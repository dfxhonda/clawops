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fx/clawops/取込/"/>
    </mc:Choice>
  </mc:AlternateContent>
  <xr:revisionPtr revIDLastSave="0" documentId="8_{6A5A642C-475A-1244-A670-590C7AD6BB62}" xr6:coauthVersionLast="47" xr6:coauthVersionMax="47" xr10:uidLastSave="{00000000-0000-0000-0000-000000000000}"/>
  <bookViews>
    <workbookView xWindow="0" yWindow="760" windowWidth="29040" windowHeight="17520" tabRatio="775" firstSheet="4" activeTab="9" xr2:uid="{00000000-000D-0000-FFFF-FFFF00000000}"/>
  </bookViews>
  <sheets>
    <sheet name="鹿屋" sheetId="34" r:id="rId1"/>
    <sheet name="都城" sheetId="37" r:id="rId2"/>
    <sheet name="霧島" sheetId="36" r:id="rId3"/>
    <sheet name="宇宿" sheetId="38" r:id="rId4"/>
    <sheet name="川内" sheetId="39" r:id="rId5"/>
    <sheet name="中央" sheetId="40" r:id="rId6"/>
    <sheet name="天文館" sheetId="41" r:id="rId7"/>
    <sheet name="ガチャ" sheetId="35" r:id="rId8"/>
    <sheet name="クレーン熊本" sheetId="33" r:id="rId9"/>
    <sheet name="集金" sheetId="2" r:id="rId10"/>
  </sheets>
  <definedNames>
    <definedName name="_xlnm._FilterDatabase" localSheetId="7" hidden="1">ガチャ!$J$4:$L$67</definedName>
    <definedName name="_xlnm._FilterDatabase" localSheetId="9" hidden="1">集金!#REF!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9" roundtripDataChecksum="7Oz8aWlf7oOxGoxRGDQsFbL+GqsadgAiuAs6aPfQJPQ="/>
    </ext>
  </extLst>
</workbook>
</file>

<file path=xl/calcChain.xml><?xml version="1.0" encoding="utf-8"?>
<calcChain xmlns="http://schemas.openxmlformats.org/spreadsheetml/2006/main">
  <c r="D112" i="2" l="1"/>
  <c r="C112" i="2"/>
  <c r="E112" i="2"/>
  <c r="D113" i="2"/>
  <c r="C113" i="2"/>
  <c r="E113" i="2"/>
  <c r="F112" i="2"/>
  <c r="D102" i="2"/>
  <c r="C102" i="2"/>
  <c r="E102" i="2"/>
  <c r="F102" i="2"/>
  <c r="D103" i="2"/>
  <c r="C103" i="2"/>
  <c r="E103" i="2"/>
  <c r="F103" i="2"/>
  <c r="F101" i="2"/>
  <c r="AE231" i="39"/>
  <c r="AF231" i="39"/>
  <c r="AG231" i="39"/>
  <c r="AH231" i="39"/>
  <c r="AI231" i="39"/>
  <c r="AJ231" i="39"/>
  <c r="AK231" i="39"/>
  <c r="AL231" i="39"/>
  <c r="AM231" i="39"/>
  <c r="AN231" i="39"/>
  <c r="AO231" i="39"/>
  <c r="AP231" i="39"/>
  <c r="AQ231" i="39"/>
  <c r="AR231" i="39"/>
  <c r="AS231" i="39"/>
  <c r="D125" i="2"/>
  <c r="C125" i="2"/>
  <c r="E125" i="2"/>
  <c r="AE232" i="39"/>
  <c r="AF232" i="39"/>
  <c r="AG232" i="39"/>
  <c r="AH232" i="39"/>
  <c r="AI232" i="39"/>
  <c r="AJ232" i="39"/>
  <c r="AK232" i="39"/>
  <c r="AL232" i="39"/>
  <c r="AM232" i="39"/>
  <c r="AN232" i="39"/>
  <c r="AO232" i="39"/>
  <c r="AP232" i="39"/>
  <c r="AQ232" i="39"/>
  <c r="AR232" i="39"/>
  <c r="AS232" i="39"/>
  <c r="D126" i="2"/>
  <c r="C126" i="2"/>
  <c r="E126" i="2"/>
  <c r="F125" i="2"/>
  <c r="AB104" i="40"/>
  <c r="J79" i="2"/>
  <c r="D56" i="2"/>
  <c r="C56" i="2"/>
  <c r="E56" i="2"/>
  <c r="F56" i="2"/>
  <c r="F55" i="2"/>
  <c r="D104" i="2"/>
  <c r="C104" i="2"/>
  <c r="E104" i="2"/>
  <c r="AA15" i="39"/>
  <c r="AB15" i="39"/>
  <c r="AC15" i="39"/>
  <c r="AE15" i="39"/>
  <c r="AF15" i="39"/>
  <c r="AG15" i="39"/>
  <c r="AH15" i="39"/>
  <c r="AI15" i="39"/>
  <c r="AJ15" i="39"/>
  <c r="AK15" i="39"/>
  <c r="AL15" i="39"/>
  <c r="AM15" i="39"/>
  <c r="AN15" i="39"/>
  <c r="AO15" i="39"/>
  <c r="AP15" i="39"/>
  <c r="AQ15" i="39"/>
  <c r="AR15" i="39"/>
  <c r="AS15" i="39"/>
  <c r="D105" i="2"/>
  <c r="C105" i="2"/>
  <c r="E105" i="2"/>
  <c r="AA27" i="39"/>
  <c r="AB27" i="39"/>
  <c r="AC27" i="39"/>
  <c r="AE27" i="39"/>
  <c r="AF27" i="39"/>
  <c r="AG27" i="39"/>
  <c r="AH27" i="39"/>
  <c r="AI27" i="39"/>
  <c r="AJ27" i="39"/>
  <c r="AK27" i="39"/>
  <c r="AL27" i="39"/>
  <c r="AM27" i="39"/>
  <c r="AN27" i="39"/>
  <c r="AO27" i="39"/>
  <c r="AP27" i="39"/>
  <c r="AQ27" i="39"/>
  <c r="AR27" i="39"/>
  <c r="AS27" i="39"/>
  <c r="D106" i="2"/>
  <c r="C106" i="2"/>
  <c r="E106" i="2"/>
  <c r="AA39" i="39"/>
  <c r="AB39" i="39"/>
  <c r="AC39" i="39"/>
  <c r="AE39" i="39"/>
  <c r="AF39" i="39"/>
  <c r="AG39" i="39"/>
  <c r="AH39" i="39"/>
  <c r="AI39" i="39"/>
  <c r="AJ39" i="39"/>
  <c r="AK39" i="39"/>
  <c r="AL39" i="39"/>
  <c r="AM39" i="39"/>
  <c r="AN39" i="39"/>
  <c r="AO39" i="39"/>
  <c r="AP39" i="39"/>
  <c r="AQ39" i="39"/>
  <c r="AR39" i="39"/>
  <c r="AS39" i="39"/>
  <c r="D107" i="2"/>
  <c r="C107" i="2"/>
  <c r="E107" i="2"/>
  <c r="F104" i="2"/>
  <c r="AA51" i="39"/>
  <c r="AB51" i="39"/>
  <c r="AC51" i="39"/>
  <c r="AE51" i="39"/>
  <c r="AF51" i="39"/>
  <c r="AG51" i="39"/>
  <c r="AH51" i="39"/>
  <c r="AI51" i="39"/>
  <c r="AJ51" i="39"/>
  <c r="AK51" i="39"/>
  <c r="AL51" i="39"/>
  <c r="AM51" i="39"/>
  <c r="AN51" i="39"/>
  <c r="AO51" i="39"/>
  <c r="AP51" i="39"/>
  <c r="AQ51" i="39"/>
  <c r="AR51" i="39"/>
  <c r="AS51" i="39"/>
  <c r="D108" i="2"/>
  <c r="C108" i="2"/>
  <c r="E108" i="2"/>
  <c r="AA63" i="39"/>
  <c r="AB63" i="39"/>
  <c r="AC63" i="39"/>
  <c r="AE63" i="39"/>
  <c r="AF63" i="39"/>
  <c r="AG63" i="39"/>
  <c r="AH63" i="39"/>
  <c r="AI63" i="39"/>
  <c r="AJ63" i="39"/>
  <c r="AK63" i="39"/>
  <c r="AL63" i="39"/>
  <c r="AM63" i="39"/>
  <c r="AN63" i="39"/>
  <c r="AO63" i="39"/>
  <c r="AP63" i="39"/>
  <c r="AQ63" i="39"/>
  <c r="AR63" i="39"/>
  <c r="AS63" i="39"/>
  <c r="D109" i="2"/>
  <c r="C109" i="2"/>
  <c r="E109" i="2"/>
  <c r="AA75" i="39"/>
  <c r="AB75" i="39"/>
  <c r="AC75" i="39"/>
  <c r="AE75" i="39"/>
  <c r="AF75" i="39"/>
  <c r="AG75" i="39"/>
  <c r="AH75" i="39"/>
  <c r="AI75" i="39"/>
  <c r="AJ75" i="39"/>
  <c r="AK75" i="39"/>
  <c r="AL75" i="39"/>
  <c r="AM75" i="39"/>
  <c r="AN75" i="39"/>
  <c r="AO75" i="39"/>
  <c r="AP75" i="39"/>
  <c r="AQ75" i="39"/>
  <c r="AR75" i="39"/>
  <c r="AS75" i="39"/>
  <c r="D110" i="2"/>
  <c r="C110" i="2"/>
  <c r="E110" i="2"/>
  <c r="AA87" i="39"/>
  <c r="AB87" i="39"/>
  <c r="AC87" i="39"/>
  <c r="AE87" i="39"/>
  <c r="AF87" i="39"/>
  <c r="AG87" i="39"/>
  <c r="AH87" i="39"/>
  <c r="AI87" i="39"/>
  <c r="AJ87" i="39"/>
  <c r="AK87" i="39"/>
  <c r="AL87" i="39"/>
  <c r="AM87" i="39"/>
  <c r="AN87" i="39"/>
  <c r="AO87" i="39"/>
  <c r="AP87" i="39"/>
  <c r="AQ87" i="39"/>
  <c r="AR87" i="39"/>
  <c r="AS87" i="39"/>
  <c r="D111" i="2"/>
  <c r="C111" i="2"/>
  <c r="E111" i="2"/>
  <c r="F108" i="2"/>
  <c r="AA99" i="39"/>
  <c r="AB99" i="39"/>
  <c r="AC99" i="39"/>
  <c r="AE99" i="39"/>
  <c r="AF99" i="39"/>
  <c r="AG99" i="39"/>
  <c r="AH99" i="39"/>
  <c r="AI99" i="39"/>
  <c r="AJ99" i="39"/>
  <c r="AK99" i="39"/>
  <c r="AL99" i="39"/>
  <c r="AM99" i="39"/>
  <c r="AN99" i="39"/>
  <c r="AO99" i="39"/>
  <c r="AP99" i="39"/>
  <c r="AQ99" i="39"/>
  <c r="AR99" i="39"/>
  <c r="AS99" i="39"/>
  <c r="D114" i="2"/>
  <c r="C114" i="2"/>
  <c r="E114" i="2"/>
  <c r="F114" i="2"/>
  <c r="AA111" i="39"/>
  <c r="AB111" i="39"/>
  <c r="AC111" i="39"/>
  <c r="AE111" i="39"/>
  <c r="AF111" i="39"/>
  <c r="AG111" i="39"/>
  <c r="AH111" i="39"/>
  <c r="AI111" i="39"/>
  <c r="AJ111" i="39"/>
  <c r="AK111" i="39"/>
  <c r="AL111" i="39"/>
  <c r="AM111" i="39"/>
  <c r="AN111" i="39"/>
  <c r="AO111" i="39"/>
  <c r="AP111" i="39"/>
  <c r="AQ111" i="39"/>
  <c r="AR111" i="39"/>
  <c r="AS111" i="39"/>
  <c r="D115" i="2"/>
  <c r="C115" i="2"/>
  <c r="E115" i="2"/>
  <c r="F115" i="2"/>
  <c r="AA123" i="39"/>
  <c r="AB123" i="39"/>
  <c r="AC123" i="39"/>
  <c r="AE123" i="39"/>
  <c r="AF123" i="39"/>
  <c r="AG123" i="39"/>
  <c r="AH123" i="39"/>
  <c r="AI123" i="39"/>
  <c r="AJ123" i="39"/>
  <c r="AK123" i="39"/>
  <c r="AL123" i="39"/>
  <c r="AM123" i="39"/>
  <c r="AN123" i="39"/>
  <c r="AO123" i="39"/>
  <c r="AP123" i="39"/>
  <c r="AQ123" i="39"/>
  <c r="AR123" i="39"/>
  <c r="AS123" i="39"/>
  <c r="D116" i="2"/>
  <c r="C116" i="2"/>
  <c r="E116" i="2"/>
  <c r="F116" i="2"/>
  <c r="AA135" i="39"/>
  <c r="AB135" i="39"/>
  <c r="AC135" i="39"/>
  <c r="AE135" i="39"/>
  <c r="AF135" i="39"/>
  <c r="AG135" i="39"/>
  <c r="AH135" i="39"/>
  <c r="AI135" i="39"/>
  <c r="AJ135" i="39"/>
  <c r="AK135" i="39"/>
  <c r="AL135" i="39"/>
  <c r="AM135" i="39"/>
  <c r="AN135" i="39"/>
  <c r="AO135" i="39"/>
  <c r="AP135" i="39"/>
  <c r="AQ135" i="39"/>
  <c r="AR135" i="39"/>
  <c r="AS135" i="39"/>
  <c r="D117" i="2"/>
  <c r="C117" i="2"/>
  <c r="E117" i="2"/>
  <c r="AA147" i="39"/>
  <c r="AB147" i="39"/>
  <c r="AC147" i="39"/>
  <c r="AE147" i="39"/>
  <c r="AF147" i="39"/>
  <c r="AG147" i="39"/>
  <c r="AH147" i="39"/>
  <c r="AI147" i="39"/>
  <c r="AJ147" i="39"/>
  <c r="AK147" i="39"/>
  <c r="AL147" i="39"/>
  <c r="AM147" i="39"/>
  <c r="AN147" i="39"/>
  <c r="AO147" i="39"/>
  <c r="AP147" i="39"/>
  <c r="AQ147" i="39"/>
  <c r="AR147" i="39"/>
  <c r="AS147" i="39"/>
  <c r="D118" i="2"/>
  <c r="C118" i="2"/>
  <c r="E118" i="2"/>
  <c r="AA159" i="39"/>
  <c r="AB159" i="39"/>
  <c r="AC159" i="39"/>
  <c r="AE159" i="39"/>
  <c r="AF159" i="39"/>
  <c r="AG159" i="39"/>
  <c r="AH159" i="39"/>
  <c r="AI159" i="39"/>
  <c r="AJ159" i="39"/>
  <c r="AK159" i="39"/>
  <c r="AL159" i="39"/>
  <c r="AM159" i="39"/>
  <c r="AN159" i="39"/>
  <c r="AO159" i="39"/>
  <c r="AP159" i="39"/>
  <c r="AQ159" i="39"/>
  <c r="AR159" i="39"/>
  <c r="AS159" i="39"/>
  <c r="D119" i="2"/>
  <c r="C119" i="2"/>
  <c r="E119" i="2"/>
  <c r="AA171" i="39"/>
  <c r="AB171" i="39"/>
  <c r="AC171" i="39"/>
  <c r="AE171" i="39"/>
  <c r="AF171" i="39"/>
  <c r="AG171" i="39"/>
  <c r="AH171" i="39"/>
  <c r="AI171" i="39"/>
  <c r="AJ171" i="39"/>
  <c r="AK171" i="39"/>
  <c r="AL171" i="39"/>
  <c r="AM171" i="39"/>
  <c r="AN171" i="39"/>
  <c r="AO171" i="39"/>
  <c r="AP171" i="39"/>
  <c r="AQ171" i="39"/>
  <c r="AR171" i="39"/>
  <c r="AS171" i="39"/>
  <c r="D120" i="2"/>
  <c r="C120" i="2"/>
  <c r="E120" i="2"/>
  <c r="F117" i="2"/>
  <c r="AA183" i="39"/>
  <c r="AB183" i="39"/>
  <c r="AC183" i="39"/>
  <c r="AE183" i="39"/>
  <c r="AF183" i="39"/>
  <c r="AG183" i="39"/>
  <c r="AH183" i="39"/>
  <c r="AI183" i="39"/>
  <c r="AJ183" i="39"/>
  <c r="AK183" i="39"/>
  <c r="AL183" i="39"/>
  <c r="AM183" i="39"/>
  <c r="AN183" i="39"/>
  <c r="AO183" i="39"/>
  <c r="AP183" i="39"/>
  <c r="AQ183" i="39"/>
  <c r="AR183" i="39"/>
  <c r="AS183" i="39"/>
  <c r="D121" i="2"/>
  <c r="C121" i="2"/>
  <c r="E121" i="2"/>
  <c r="AA195" i="39"/>
  <c r="AB195" i="39"/>
  <c r="AC195" i="39"/>
  <c r="AE195" i="39"/>
  <c r="AF195" i="39"/>
  <c r="AG195" i="39"/>
  <c r="AH195" i="39"/>
  <c r="AI195" i="39"/>
  <c r="AJ195" i="39"/>
  <c r="AK195" i="39"/>
  <c r="AL195" i="39"/>
  <c r="AM195" i="39"/>
  <c r="AN195" i="39"/>
  <c r="AO195" i="39"/>
  <c r="AP195" i="39"/>
  <c r="AQ195" i="39"/>
  <c r="AR195" i="39"/>
  <c r="AS195" i="39"/>
  <c r="D122" i="2"/>
  <c r="C122" i="2"/>
  <c r="E122" i="2"/>
  <c r="AA207" i="39"/>
  <c r="AB207" i="39"/>
  <c r="AC207" i="39"/>
  <c r="AE207" i="39"/>
  <c r="AF207" i="39"/>
  <c r="AG207" i="39"/>
  <c r="AH207" i="39"/>
  <c r="AI207" i="39"/>
  <c r="AJ207" i="39"/>
  <c r="AK207" i="39"/>
  <c r="AL207" i="39"/>
  <c r="AM207" i="39"/>
  <c r="AN207" i="39"/>
  <c r="AO207" i="39"/>
  <c r="AP207" i="39"/>
  <c r="AQ207" i="39"/>
  <c r="AR207" i="39"/>
  <c r="AS207" i="39"/>
  <c r="D123" i="2"/>
  <c r="C123" i="2"/>
  <c r="E123" i="2"/>
  <c r="AA219" i="39"/>
  <c r="AB219" i="39"/>
  <c r="AC219" i="39"/>
  <c r="AE219" i="39"/>
  <c r="AF219" i="39"/>
  <c r="AG219" i="39"/>
  <c r="AH219" i="39"/>
  <c r="AI219" i="39"/>
  <c r="AJ219" i="39"/>
  <c r="AK219" i="39"/>
  <c r="AL219" i="39"/>
  <c r="AM219" i="39"/>
  <c r="AN219" i="39"/>
  <c r="AO219" i="39"/>
  <c r="AP219" i="39"/>
  <c r="AQ219" i="39"/>
  <c r="AR219" i="39"/>
  <c r="AS219" i="39"/>
  <c r="D124" i="2"/>
  <c r="C124" i="2"/>
  <c r="E124" i="2"/>
  <c r="F121" i="2"/>
  <c r="AA231" i="39"/>
  <c r="AB231" i="39"/>
  <c r="AC231" i="39"/>
  <c r="AA232" i="39"/>
  <c r="AB232" i="39"/>
  <c r="AC232" i="39"/>
  <c r="E42" i="2"/>
  <c r="F42" i="2"/>
  <c r="F22" i="2"/>
  <c r="AA41" i="33"/>
  <c r="AB39" i="33"/>
  <c r="AB41" i="33"/>
  <c r="AC39" i="33"/>
  <c r="AC41" i="33"/>
  <c r="AE184" i="35"/>
  <c r="AF184" i="35"/>
  <c r="AG184" i="35"/>
  <c r="AE185" i="35"/>
  <c r="AF185" i="35"/>
  <c r="AG185" i="35"/>
  <c r="AE186" i="35"/>
  <c r="AF186" i="35"/>
  <c r="AG186" i="35"/>
  <c r="AE187" i="35"/>
  <c r="AF187" i="35"/>
  <c r="AG187" i="35"/>
  <c r="AB99" i="33"/>
  <c r="AC99" i="33"/>
  <c r="AB101" i="33"/>
  <c r="AC101" i="33"/>
  <c r="AD108" i="33"/>
  <c r="AB103" i="33"/>
  <c r="AC103" i="33"/>
  <c r="AD103" i="33"/>
  <c r="AD109" i="33"/>
  <c r="AD106" i="33"/>
  <c r="AD110" i="33"/>
  <c r="AD389" i="33"/>
  <c r="Y231" i="39"/>
  <c r="Y232" i="39"/>
  <c r="Y240" i="39"/>
  <c r="Z240" i="39"/>
  <c r="AA240" i="39"/>
  <c r="AB240" i="39"/>
  <c r="AC240" i="39"/>
  <c r="AD240" i="39"/>
  <c r="AE240" i="39"/>
  <c r="AF240" i="39"/>
  <c r="AG240" i="39"/>
  <c r="AH240" i="39"/>
  <c r="AI240" i="39"/>
  <c r="AJ240" i="39"/>
  <c r="AK240" i="39"/>
  <c r="AL240" i="39"/>
  <c r="AM240" i="39"/>
  <c r="AN240" i="39"/>
  <c r="AO240" i="39"/>
  <c r="AP240" i="39"/>
  <c r="AQ240" i="39"/>
  <c r="AR240" i="39"/>
  <c r="AS240" i="39"/>
  <c r="A239" i="39"/>
  <c r="W51" i="40"/>
  <c r="W58" i="40"/>
  <c r="X51" i="40"/>
  <c r="X58" i="40"/>
  <c r="Y51" i="40"/>
  <c r="Y58" i="40"/>
  <c r="Z58" i="40"/>
  <c r="AA51" i="40"/>
  <c r="AA58" i="40"/>
  <c r="AB51" i="40"/>
  <c r="AB58" i="40"/>
  <c r="AC58" i="40"/>
  <c r="AD51" i="40"/>
  <c r="AD58" i="40"/>
  <c r="AE51" i="40"/>
  <c r="AE58" i="40"/>
  <c r="AF51" i="40"/>
  <c r="AF58" i="40"/>
  <c r="AG51" i="40"/>
  <c r="AG58" i="40"/>
  <c r="AH51" i="40"/>
  <c r="AH58" i="40"/>
  <c r="AI51" i="40"/>
  <c r="AI58" i="40"/>
  <c r="AJ51" i="40"/>
  <c r="AJ58" i="40"/>
  <c r="AK51" i="40"/>
  <c r="AK58" i="40"/>
  <c r="AL51" i="40"/>
  <c r="AL58" i="40"/>
  <c r="AM51" i="40"/>
  <c r="AM58" i="40"/>
  <c r="AN51" i="40"/>
  <c r="AN58" i="40"/>
  <c r="AO51" i="40"/>
  <c r="AO58" i="40"/>
  <c r="AP51" i="40"/>
  <c r="AP58" i="40"/>
  <c r="AQ51" i="40"/>
  <c r="AQ58" i="40"/>
  <c r="AR51" i="40"/>
  <c r="AR58" i="40"/>
  <c r="AS51" i="40"/>
  <c r="AS58" i="40"/>
  <c r="A57" i="40"/>
  <c r="W63" i="40"/>
  <c r="W70" i="40"/>
  <c r="X63" i="40"/>
  <c r="X70" i="40"/>
  <c r="Y63" i="40"/>
  <c r="Y70" i="40"/>
  <c r="Z70" i="40"/>
  <c r="AA63" i="40"/>
  <c r="AA70" i="40"/>
  <c r="AB63" i="40"/>
  <c r="AB70" i="40"/>
  <c r="AC70" i="40"/>
  <c r="AD63" i="40"/>
  <c r="AD70" i="40"/>
  <c r="AE63" i="40"/>
  <c r="AE70" i="40"/>
  <c r="AF63" i="40"/>
  <c r="AF70" i="40"/>
  <c r="AG63" i="40"/>
  <c r="AG70" i="40"/>
  <c r="AH63" i="40"/>
  <c r="AH70" i="40"/>
  <c r="AI63" i="40"/>
  <c r="AI70" i="40"/>
  <c r="AJ63" i="40"/>
  <c r="AJ70" i="40"/>
  <c r="AK63" i="40"/>
  <c r="AK70" i="40"/>
  <c r="AL63" i="40"/>
  <c r="AL70" i="40"/>
  <c r="AM63" i="40"/>
  <c r="AM70" i="40"/>
  <c r="AN63" i="40"/>
  <c r="AN70" i="40"/>
  <c r="AO63" i="40"/>
  <c r="AO70" i="40"/>
  <c r="AP63" i="40"/>
  <c r="AP70" i="40"/>
  <c r="AQ63" i="40"/>
  <c r="AQ70" i="40"/>
  <c r="AR63" i="40"/>
  <c r="AR70" i="40"/>
  <c r="AS63" i="40"/>
  <c r="AS70" i="40"/>
  <c r="A69" i="40"/>
  <c r="W75" i="40"/>
  <c r="W82" i="40"/>
  <c r="X75" i="40"/>
  <c r="X82" i="40"/>
  <c r="Y75" i="40"/>
  <c r="Y82" i="40"/>
  <c r="Z82" i="40"/>
  <c r="AA75" i="40"/>
  <c r="AA82" i="40"/>
  <c r="AB75" i="40"/>
  <c r="AB82" i="40"/>
  <c r="AC82" i="40"/>
  <c r="AD75" i="40"/>
  <c r="AD82" i="40"/>
  <c r="AE75" i="40"/>
  <c r="AE82" i="40"/>
  <c r="AF75" i="40"/>
  <c r="AF82" i="40"/>
  <c r="AG75" i="40"/>
  <c r="AG82" i="40"/>
  <c r="AH75" i="40"/>
  <c r="AH82" i="40"/>
  <c r="AI75" i="40"/>
  <c r="AI82" i="40"/>
  <c r="AJ75" i="40"/>
  <c r="AJ82" i="40"/>
  <c r="AK75" i="40"/>
  <c r="AK82" i="40"/>
  <c r="AL75" i="40"/>
  <c r="AL82" i="40"/>
  <c r="AM75" i="40"/>
  <c r="AM82" i="40"/>
  <c r="AN75" i="40"/>
  <c r="AN82" i="40"/>
  <c r="AO75" i="40"/>
  <c r="AO82" i="40"/>
  <c r="AP75" i="40"/>
  <c r="AP82" i="40"/>
  <c r="AQ75" i="40"/>
  <c r="AQ82" i="40"/>
  <c r="AR75" i="40"/>
  <c r="AR82" i="40"/>
  <c r="AS75" i="40"/>
  <c r="AS82" i="40"/>
  <c r="A81" i="40"/>
  <c r="W87" i="40"/>
  <c r="W94" i="40"/>
  <c r="X87" i="40"/>
  <c r="X94" i="40"/>
  <c r="Y87" i="40"/>
  <c r="Y94" i="40"/>
  <c r="Z94" i="40"/>
  <c r="AA87" i="40"/>
  <c r="AA94" i="40"/>
  <c r="AB87" i="40"/>
  <c r="AB94" i="40"/>
  <c r="AC94" i="40"/>
  <c r="AD87" i="40"/>
  <c r="AD94" i="40"/>
  <c r="AE87" i="40"/>
  <c r="AE94" i="40"/>
  <c r="AF87" i="40"/>
  <c r="AF94" i="40"/>
  <c r="AG87" i="40"/>
  <c r="AG94" i="40"/>
  <c r="AH87" i="40"/>
  <c r="AH94" i="40"/>
  <c r="AI87" i="40"/>
  <c r="AI94" i="40"/>
  <c r="AJ87" i="40"/>
  <c r="AJ94" i="40"/>
  <c r="AK87" i="40"/>
  <c r="AK94" i="40"/>
  <c r="AL87" i="40"/>
  <c r="AL94" i="40"/>
  <c r="AM87" i="40"/>
  <c r="AM94" i="40"/>
  <c r="AN87" i="40"/>
  <c r="AN94" i="40"/>
  <c r="AO87" i="40"/>
  <c r="AO94" i="40"/>
  <c r="AP87" i="40"/>
  <c r="AP94" i="40"/>
  <c r="AQ87" i="40"/>
  <c r="AQ94" i="40"/>
  <c r="AR87" i="40"/>
  <c r="AR94" i="40"/>
  <c r="AS87" i="40"/>
  <c r="AS94" i="40"/>
  <c r="A93" i="40"/>
  <c r="W10" i="40"/>
  <c r="X10" i="40"/>
  <c r="Y10" i="40"/>
  <c r="Z10" i="40"/>
  <c r="AA10" i="40"/>
  <c r="AB10" i="40"/>
  <c r="AC10" i="40"/>
  <c r="AD10" i="40"/>
  <c r="A9" i="40"/>
  <c r="W15" i="40"/>
  <c r="W22" i="40"/>
  <c r="X15" i="40"/>
  <c r="X22" i="40"/>
  <c r="Y15" i="40"/>
  <c r="Y22" i="40"/>
  <c r="Z22" i="40"/>
  <c r="AA15" i="40"/>
  <c r="AA22" i="40"/>
  <c r="AB15" i="40"/>
  <c r="AB22" i="40"/>
  <c r="AC22" i="40"/>
  <c r="AD15" i="40"/>
  <c r="AD22" i="40"/>
  <c r="AE15" i="40"/>
  <c r="AE22" i="40"/>
  <c r="AF15" i="40"/>
  <c r="AF22" i="40"/>
  <c r="AG15" i="40"/>
  <c r="AG22" i="40"/>
  <c r="AH15" i="40"/>
  <c r="AH22" i="40"/>
  <c r="AI15" i="40"/>
  <c r="AI22" i="40"/>
  <c r="AJ15" i="40"/>
  <c r="AJ22" i="40"/>
  <c r="AK15" i="40"/>
  <c r="AK22" i="40"/>
  <c r="AL15" i="40"/>
  <c r="AL22" i="40"/>
  <c r="AM15" i="40"/>
  <c r="AM22" i="40"/>
  <c r="AN15" i="40"/>
  <c r="AN22" i="40"/>
  <c r="AO15" i="40"/>
  <c r="AO22" i="40"/>
  <c r="AP15" i="40"/>
  <c r="AP22" i="40"/>
  <c r="AQ15" i="40"/>
  <c r="AQ22" i="40"/>
  <c r="AR15" i="40"/>
  <c r="AR22" i="40"/>
  <c r="AS15" i="40"/>
  <c r="AS22" i="40"/>
  <c r="A21" i="40"/>
  <c r="W27" i="40"/>
  <c r="W34" i="40"/>
  <c r="X27" i="40"/>
  <c r="X34" i="40"/>
  <c r="Y27" i="40"/>
  <c r="Y34" i="40"/>
  <c r="Z34" i="40"/>
  <c r="AA27" i="40"/>
  <c r="AA34" i="40"/>
  <c r="AB27" i="40"/>
  <c r="AB34" i="40"/>
  <c r="AC34" i="40"/>
  <c r="AD27" i="40"/>
  <c r="AD34" i="40"/>
  <c r="AE27" i="40"/>
  <c r="AE34" i="40"/>
  <c r="AF27" i="40"/>
  <c r="AF34" i="40"/>
  <c r="AG27" i="40"/>
  <c r="AG34" i="40"/>
  <c r="AH27" i="40"/>
  <c r="AH34" i="40"/>
  <c r="AI27" i="40"/>
  <c r="AI34" i="40"/>
  <c r="AJ27" i="40"/>
  <c r="AJ34" i="40"/>
  <c r="AK27" i="40"/>
  <c r="AK34" i="40"/>
  <c r="AL27" i="40"/>
  <c r="AL34" i="40"/>
  <c r="AM27" i="40"/>
  <c r="AM34" i="40"/>
  <c r="AN27" i="40"/>
  <c r="AN34" i="40"/>
  <c r="AO27" i="40"/>
  <c r="AO34" i="40"/>
  <c r="AP27" i="40"/>
  <c r="AP34" i="40"/>
  <c r="AQ27" i="40"/>
  <c r="AQ34" i="40"/>
  <c r="AR27" i="40"/>
  <c r="AR34" i="40"/>
  <c r="AS27" i="40"/>
  <c r="AS34" i="40"/>
  <c r="A33" i="40"/>
  <c r="W39" i="40"/>
  <c r="W46" i="40"/>
  <c r="X39" i="40"/>
  <c r="X46" i="40"/>
  <c r="Y39" i="40"/>
  <c r="Y46" i="40"/>
  <c r="Z46" i="40"/>
  <c r="AA39" i="40"/>
  <c r="AA46" i="40"/>
  <c r="AB39" i="40"/>
  <c r="AB46" i="40"/>
  <c r="AC46" i="40"/>
  <c r="AD39" i="40"/>
  <c r="AD46" i="40"/>
  <c r="AE39" i="40"/>
  <c r="AE46" i="40"/>
  <c r="AF39" i="40"/>
  <c r="AF46" i="40"/>
  <c r="AG39" i="40"/>
  <c r="AG46" i="40"/>
  <c r="AH39" i="40"/>
  <c r="AH46" i="40"/>
  <c r="AI39" i="40"/>
  <c r="AI46" i="40"/>
  <c r="AJ39" i="40"/>
  <c r="AJ46" i="40"/>
  <c r="AK39" i="40"/>
  <c r="AK46" i="40"/>
  <c r="AL39" i="40"/>
  <c r="AL46" i="40"/>
  <c r="AM39" i="40"/>
  <c r="AM46" i="40"/>
  <c r="AN39" i="40"/>
  <c r="AN46" i="40"/>
  <c r="AO39" i="40"/>
  <c r="AO46" i="40"/>
  <c r="AP39" i="40"/>
  <c r="AP46" i="40"/>
  <c r="AQ39" i="40"/>
  <c r="AQ46" i="40"/>
  <c r="AR39" i="40"/>
  <c r="AR46" i="40"/>
  <c r="AS39" i="40"/>
  <c r="AS46" i="40"/>
  <c r="A45" i="40"/>
  <c r="W99" i="40"/>
  <c r="W106" i="40"/>
  <c r="X99" i="40"/>
  <c r="X106" i="40"/>
  <c r="Y99" i="40"/>
  <c r="Y106" i="40"/>
  <c r="Z106" i="40"/>
  <c r="AA99" i="40"/>
  <c r="AA106" i="40"/>
  <c r="AB99" i="40"/>
  <c r="AB106" i="40"/>
  <c r="AC106" i="40"/>
  <c r="AD99" i="40"/>
  <c r="AD106" i="40"/>
  <c r="AE99" i="40"/>
  <c r="AE106" i="40"/>
  <c r="AF99" i="40"/>
  <c r="AF106" i="40"/>
  <c r="AG99" i="40"/>
  <c r="AG106" i="40"/>
  <c r="AH99" i="40"/>
  <c r="AH106" i="40"/>
  <c r="AI99" i="40"/>
  <c r="AI106" i="40"/>
  <c r="AJ99" i="40"/>
  <c r="AJ106" i="40"/>
  <c r="AK99" i="40"/>
  <c r="AK106" i="40"/>
  <c r="AL99" i="40"/>
  <c r="AL106" i="40"/>
  <c r="AM99" i="40"/>
  <c r="AM106" i="40"/>
  <c r="AN99" i="40"/>
  <c r="AN106" i="40"/>
  <c r="AO99" i="40"/>
  <c r="AO106" i="40"/>
  <c r="AP99" i="40"/>
  <c r="AP106" i="40"/>
  <c r="AQ99" i="40"/>
  <c r="AQ106" i="40"/>
  <c r="AR99" i="40"/>
  <c r="AR106" i="40"/>
  <c r="AS99" i="40"/>
  <c r="AS106" i="40"/>
  <c r="A105" i="40"/>
  <c r="A1" i="40"/>
  <c r="AH22" i="2"/>
  <c r="AH23" i="2"/>
  <c r="AH24" i="2"/>
  <c r="AD10" i="35"/>
  <c r="AD11" i="35"/>
  <c r="AD12" i="35"/>
  <c r="AD13" i="35"/>
  <c r="AD20" i="35"/>
  <c r="AD21" i="35"/>
  <c r="AD22" i="35"/>
  <c r="AD23" i="35"/>
  <c r="AD30" i="35"/>
  <c r="AD31" i="35"/>
  <c r="AD32" i="35"/>
  <c r="AD33" i="35"/>
  <c r="AD40" i="35"/>
  <c r="AD41" i="35"/>
  <c r="AD42" i="35"/>
  <c r="AD43" i="35"/>
  <c r="AD50" i="35"/>
  <c r="AD51" i="35"/>
  <c r="AD52" i="35"/>
  <c r="AD53" i="35"/>
  <c r="AD60" i="35"/>
  <c r="AD61" i="35"/>
  <c r="AD62" i="35"/>
  <c r="AD63" i="35"/>
  <c r="AD70" i="35"/>
  <c r="AD71" i="35"/>
  <c r="AD72" i="35"/>
  <c r="AD73" i="35"/>
  <c r="AD80" i="35"/>
  <c r="AD81" i="35"/>
  <c r="AD82" i="35"/>
  <c r="AD83" i="35"/>
  <c r="AD90" i="35"/>
  <c r="AD91" i="35"/>
  <c r="AD92" i="35"/>
  <c r="AD93" i="35"/>
  <c r="AD100" i="35"/>
  <c r="AD101" i="35"/>
  <c r="AD102" i="35"/>
  <c r="AD103" i="35"/>
  <c r="AD205" i="35"/>
  <c r="AD206" i="35"/>
  <c r="AD131" i="35"/>
  <c r="AA184" i="35"/>
  <c r="AB184" i="35"/>
  <c r="AC184" i="35"/>
  <c r="AD184" i="35"/>
  <c r="AA185" i="35"/>
  <c r="AB185" i="35"/>
  <c r="AC185" i="35"/>
  <c r="AD185" i="35"/>
  <c r="AA186" i="35"/>
  <c r="AB186" i="35"/>
  <c r="AC186" i="35"/>
  <c r="AD186" i="35"/>
  <c r="AA187" i="35"/>
  <c r="AB187" i="35"/>
  <c r="AC187" i="35"/>
  <c r="AD187" i="35"/>
  <c r="W375" i="33"/>
  <c r="X375" i="33"/>
  <c r="Y375" i="33"/>
  <c r="Z375" i="33"/>
  <c r="W377" i="33"/>
  <c r="X377" i="33"/>
  <c r="Y377" i="33"/>
  <c r="Z377" i="33"/>
  <c r="AA377" i="33"/>
  <c r="AA384" i="33"/>
  <c r="W379" i="33"/>
  <c r="X379" i="33"/>
  <c r="Y379" i="33"/>
  <c r="Z379" i="33"/>
  <c r="AA379" i="33"/>
  <c r="AA385" i="33"/>
  <c r="AA386" i="33"/>
  <c r="Y160" i="38"/>
  <c r="Z167" i="38"/>
  <c r="Y87" i="38"/>
  <c r="Y89" i="38"/>
  <c r="Z96" i="38"/>
  <c r="Y91" i="38"/>
  <c r="Z91" i="38"/>
  <c r="Z97" i="38"/>
  <c r="Z94" i="38"/>
  <c r="Z98" i="38"/>
  <c r="AB154" i="36"/>
  <c r="W219" i="33"/>
  <c r="X219" i="33"/>
  <c r="T219" i="33"/>
  <c r="U219" i="33"/>
  <c r="T223" i="33"/>
  <c r="U223" i="33"/>
  <c r="V223" i="33"/>
  <c r="W223" i="33"/>
  <c r="X223" i="33"/>
  <c r="Y223" i="33"/>
  <c r="Z217" i="35"/>
  <c r="AA217" i="35"/>
  <c r="AB217" i="35"/>
  <c r="Z218" i="35"/>
  <c r="AA218" i="35"/>
  <c r="AB218" i="35"/>
  <c r="Z219" i="35"/>
  <c r="AA219" i="35"/>
  <c r="AB219" i="35"/>
  <c r="Z220" i="35"/>
  <c r="AA220" i="35"/>
  <c r="AB220" i="35"/>
  <c r="Z221" i="35"/>
  <c r="AA221" i="35"/>
  <c r="AB221" i="35"/>
  <c r="Z205" i="35"/>
  <c r="AA205" i="35"/>
  <c r="AB205" i="35"/>
  <c r="Z206" i="35"/>
  <c r="AA206" i="35"/>
  <c r="AB206" i="35"/>
  <c r="Z207" i="35"/>
  <c r="AA207" i="35"/>
  <c r="AB207" i="35"/>
  <c r="Z208" i="35"/>
  <c r="AA208" i="35"/>
  <c r="AB208" i="35"/>
  <c r="Z209" i="35"/>
  <c r="AA209" i="35"/>
  <c r="AB209" i="35"/>
  <c r="Z194" i="35"/>
  <c r="AA194" i="35"/>
  <c r="AB194" i="35"/>
  <c r="Z195" i="35"/>
  <c r="AA195" i="35"/>
  <c r="AB195" i="35"/>
  <c r="Z196" i="35"/>
  <c r="AA196" i="35"/>
  <c r="AB196" i="35"/>
  <c r="Z197" i="35"/>
  <c r="AA197" i="35"/>
  <c r="AB197" i="35"/>
  <c r="Z184" i="35"/>
  <c r="Z185" i="35"/>
  <c r="Z186" i="35"/>
  <c r="Z187" i="35"/>
  <c r="Z173" i="35"/>
  <c r="AA173" i="35"/>
  <c r="AB173" i="35"/>
  <c r="Z174" i="35"/>
  <c r="AA174" i="35"/>
  <c r="AB174" i="35"/>
  <c r="Z175" i="35"/>
  <c r="AA175" i="35"/>
  <c r="AB175" i="35"/>
  <c r="Z176" i="35"/>
  <c r="AA176" i="35"/>
  <c r="AB176" i="35"/>
  <c r="Z177" i="35"/>
  <c r="AA177" i="35"/>
  <c r="AB177" i="35"/>
  <c r="Z161" i="35"/>
  <c r="AA161" i="35"/>
  <c r="AB161" i="35"/>
  <c r="Z162" i="35"/>
  <c r="AA162" i="35"/>
  <c r="AB162" i="35"/>
  <c r="Z163" i="35"/>
  <c r="AA163" i="35"/>
  <c r="AB163" i="35"/>
  <c r="Z164" i="35"/>
  <c r="AA164" i="35"/>
  <c r="AB164" i="35"/>
  <c r="Z165" i="35"/>
  <c r="AA165" i="35"/>
  <c r="AB165" i="35"/>
  <c r="T99" i="33"/>
  <c r="U99" i="33"/>
  <c r="V106" i="33"/>
  <c r="T100" i="33"/>
  <c r="U100" i="33"/>
  <c r="V107" i="33"/>
  <c r="T101" i="33"/>
  <c r="U101" i="33"/>
  <c r="V108" i="33"/>
  <c r="T103" i="33"/>
  <c r="U103" i="33"/>
  <c r="V103" i="33"/>
  <c r="V109" i="33"/>
  <c r="V110" i="33"/>
  <c r="T111" i="33"/>
  <c r="U111" i="33"/>
  <c r="T113" i="33"/>
  <c r="U113" i="33"/>
  <c r="V113" i="33"/>
  <c r="T115" i="33"/>
  <c r="U115" i="33"/>
  <c r="V115" i="33"/>
  <c r="T116" i="33"/>
  <c r="U116" i="33"/>
  <c r="V116" i="33"/>
  <c r="V118" i="33"/>
  <c r="T112" i="33"/>
  <c r="U112" i="33"/>
  <c r="V119" i="33"/>
  <c r="V120" i="33"/>
  <c r="V121" i="33"/>
  <c r="V122" i="33"/>
  <c r="T123" i="33"/>
  <c r="U123" i="33"/>
  <c r="T125" i="33"/>
  <c r="U125" i="33"/>
  <c r="V125" i="33"/>
  <c r="T127" i="33"/>
  <c r="U127" i="33"/>
  <c r="V127" i="33"/>
  <c r="T128" i="33"/>
  <c r="U128" i="33"/>
  <c r="V128" i="33"/>
  <c r="V130" i="33"/>
  <c r="T124" i="33"/>
  <c r="U124" i="33"/>
  <c r="V131" i="33"/>
  <c r="V132" i="33"/>
  <c r="V133" i="33"/>
  <c r="V134" i="33"/>
  <c r="T135" i="33"/>
  <c r="U135" i="33"/>
  <c r="T137" i="33"/>
  <c r="U137" i="33"/>
  <c r="V137" i="33"/>
  <c r="T139" i="33"/>
  <c r="U139" i="33"/>
  <c r="V139" i="33"/>
  <c r="T140" i="33"/>
  <c r="U140" i="33"/>
  <c r="V140" i="33"/>
  <c r="V142" i="33"/>
  <c r="T136" i="33"/>
  <c r="U136" i="33"/>
  <c r="V143" i="33"/>
  <c r="V144" i="33"/>
  <c r="V145" i="33"/>
  <c r="V146" i="33"/>
  <c r="T147" i="33"/>
  <c r="U147" i="33"/>
  <c r="T149" i="33"/>
  <c r="U149" i="33"/>
  <c r="V149" i="33"/>
  <c r="T151" i="33"/>
  <c r="U151" i="33"/>
  <c r="V151" i="33"/>
  <c r="T152" i="33"/>
  <c r="U152" i="33"/>
  <c r="V152" i="33"/>
  <c r="V154" i="33"/>
  <c r="T148" i="33"/>
  <c r="U148" i="33"/>
  <c r="V155" i="33"/>
  <c r="V156" i="33"/>
  <c r="V157" i="33"/>
  <c r="V158" i="33"/>
  <c r="T159" i="33"/>
  <c r="U159" i="33"/>
  <c r="T161" i="33"/>
  <c r="U161" i="33"/>
  <c r="V161" i="33"/>
  <c r="T163" i="33"/>
  <c r="U163" i="33"/>
  <c r="V163" i="33"/>
  <c r="T164" i="33"/>
  <c r="U164" i="33"/>
  <c r="V164" i="33"/>
  <c r="V166" i="33"/>
  <c r="T160" i="33"/>
  <c r="U160" i="33"/>
  <c r="V167" i="33"/>
  <c r="V168" i="33"/>
  <c r="V169" i="33"/>
  <c r="V170" i="33"/>
  <c r="T172" i="33"/>
  <c r="U172" i="33"/>
  <c r="V172" i="33"/>
  <c r="T171" i="33"/>
  <c r="U171" i="33"/>
  <c r="T173" i="33"/>
  <c r="U173" i="33"/>
  <c r="V173" i="33"/>
  <c r="T175" i="33"/>
  <c r="U175" i="33"/>
  <c r="V175" i="33"/>
  <c r="T176" i="33"/>
  <c r="U176" i="33"/>
  <c r="V176" i="33"/>
  <c r="V178" i="33"/>
  <c r="V179" i="33"/>
  <c r="V180" i="33"/>
  <c r="V181" i="33"/>
  <c r="V182" i="33"/>
  <c r="T183" i="33"/>
  <c r="U183" i="33"/>
  <c r="T185" i="33"/>
  <c r="U185" i="33"/>
  <c r="V185" i="33"/>
  <c r="T187" i="33"/>
  <c r="U187" i="33"/>
  <c r="V187" i="33"/>
  <c r="T188" i="33"/>
  <c r="U188" i="33"/>
  <c r="V188" i="33"/>
  <c r="V190" i="33"/>
  <c r="T184" i="33"/>
  <c r="U184" i="33"/>
  <c r="V191" i="33"/>
  <c r="V192" i="33"/>
  <c r="V193" i="33"/>
  <c r="V194" i="33"/>
  <c r="T195" i="33"/>
  <c r="U195" i="33"/>
  <c r="T197" i="33"/>
  <c r="U197" i="33"/>
  <c r="V197" i="33"/>
  <c r="T199" i="33"/>
  <c r="U199" i="33"/>
  <c r="V199" i="33"/>
  <c r="T200" i="33"/>
  <c r="U200" i="33"/>
  <c r="V200" i="33"/>
  <c r="V202" i="33"/>
  <c r="T196" i="33"/>
  <c r="U196" i="33"/>
  <c r="V203" i="33"/>
  <c r="V204" i="33"/>
  <c r="V205" i="33"/>
  <c r="V206" i="33"/>
  <c r="T211" i="33"/>
  <c r="U211" i="33"/>
  <c r="V211" i="33"/>
  <c r="T212" i="33"/>
  <c r="U212" i="33"/>
  <c r="V212" i="33"/>
  <c r="V214" i="33"/>
  <c r="T208" i="33"/>
  <c r="U208" i="33"/>
  <c r="V215" i="33"/>
  <c r="T209" i="33"/>
  <c r="U209" i="33"/>
  <c r="V216" i="33"/>
  <c r="V217" i="33"/>
  <c r="V218" i="33"/>
  <c r="T221" i="33"/>
  <c r="U221" i="33"/>
  <c r="V221" i="33"/>
  <c r="T224" i="33"/>
  <c r="U224" i="33"/>
  <c r="V224" i="33"/>
  <c r="V226" i="33"/>
  <c r="T220" i="33"/>
  <c r="U220" i="33"/>
  <c r="V227" i="33"/>
  <c r="V228" i="33"/>
  <c r="V229" i="33"/>
  <c r="V230" i="33"/>
  <c r="T231" i="33"/>
  <c r="U231" i="33"/>
  <c r="T235" i="33"/>
  <c r="U235" i="33"/>
  <c r="V235" i="33"/>
  <c r="T236" i="33"/>
  <c r="U236" i="33"/>
  <c r="V236" i="33"/>
  <c r="V238" i="33"/>
  <c r="T232" i="33"/>
  <c r="U232" i="33"/>
  <c r="V239" i="33"/>
  <c r="T233" i="33"/>
  <c r="U233" i="33"/>
  <c r="V240" i="33"/>
  <c r="V241" i="33"/>
  <c r="V242" i="33"/>
  <c r="T243" i="33"/>
  <c r="U243" i="33"/>
  <c r="V243" i="33"/>
  <c r="T244" i="33"/>
  <c r="U244" i="33"/>
  <c r="V244" i="33"/>
  <c r="T245" i="33"/>
  <c r="U245" i="33"/>
  <c r="V245" i="33"/>
  <c r="T247" i="33"/>
  <c r="U247" i="33"/>
  <c r="V247" i="33"/>
  <c r="U248" i="33"/>
  <c r="V248" i="33"/>
  <c r="V250" i="33"/>
  <c r="V251" i="33"/>
  <c r="V252" i="33"/>
  <c r="V253" i="33"/>
  <c r="V254" i="33"/>
  <c r="T255" i="33"/>
  <c r="U255" i="33"/>
  <c r="V255" i="33"/>
  <c r="T256" i="33"/>
  <c r="U256" i="33"/>
  <c r="V256" i="33"/>
  <c r="T259" i="33"/>
  <c r="U259" i="33"/>
  <c r="V259" i="33"/>
  <c r="T260" i="33"/>
  <c r="U260" i="33"/>
  <c r="V260" i="33"/>
  <c r="V262" i="33"/>
  <c r="V263" i="33"/>
  <c r="T257" i="33"/>
  <c r="U257" i="33"/>
  <c r="V264" i="33"/>
  <c r="V265" i="33"/>
  <c r="V266" i="33"/>
  <c r="T267" i="33"/>
  <c r="U267" i="33"/>
  <c r="V267" i="33"/>
  <c r="T268" i="33"/>
  <c r="U268" i="33"/>
  <c r="V268" i="33"/>
  <c r="T271" i="33"/>
  <c r="U271" i="33"/>
  <c r="V271" i="33"/>
  <c r="T272" i="33"/>
  <c r="U272" i="33"/>
  <c r="V272" i="33"/>
  <c r="V274" i="33"/>
  <c r="V275" i="33"/>
  <c r="T269" i="33"/>
  <c r="U269" i="33"/>
  <c r="V276" i="33"/>
  <c r="V277" i="33"/>
  <c r="V278" i="33"/>
  <c r="T280" i="33"/>
  <c r="U280" i="33"/>
  <c r="V280" i="33"/>
  <c r="T281" i="33"/>
  <c r="U281" i="33"/>
  <c r="V281" i="33"/>
  <c r="T283" i="33"/>
  <c r="U283" i="33"/>
  <c r="V283" i="33"/>
  <c r="T284" i="33"/>
  <c r="U284" i="33"/>
  <c r="V284" i="33"/>
  <c r="V286" i="33"/>
  <c r="V287" i="33"/>
  <c r="V288" i="33"/>
  <c r="V289" i="33"/>
  <c r="V290" i="33"/>
  <c r="T291" i="33"/>
  <c r="U291" i="33"/>
  <c r="T295" i="33"/>
  <c r="U295" i="33"/>
  <c r="V295" i="33"/>
  <c r="T296" i="33"/>
  <c r="U296" i="33"/>
  <c r="V296" i="33"/>
  <c r="V298" i="33"/>
  <c r="T292" i="33"/>
  <c r="U292" i="33"/>
  <c r="V299" i="33"/>
  <c r="T293" i="33"/>
  <c r="U293" i="33"/>
  <c r="V300" i="33"/>
  <c r="V301" i="33"/>
  <c r="V302" i="33"/>
  <c r="T303" i="33"/>
  <c r="U303" i="33"/>
  <c r="T307" i="33"/>
  <c r="U307" i="33"/>
  <c r="V307" i="33"/>
  <c r="T308" i="33"/>
  <c r="U308" i="33"/>
  <c r="V308" i="33"/>
  <c r="V310" i="33"/>
  <c r="T304" i="33"/>
  <c r="U304" i="33"/>
  <c r="V311" i="33"/>
  <c r="T305" i="33"/>
  <c r="U305" i="33"/>
  <c r="V312" i="33"/>
  <c r="V313" i="33"/>
  <c r="V314" i="33"/>
  <c r="T315" i="33"/>
  <c r="U315" i="33"/>
  <c r="T319" i="33"/>
  <c r="U319" i="33"/>
  <c r="V319" i="33"/>
  <c r="T320" i="33"/>
  <c r="U320" i="33"/>
  <c r="V320" i="33"/>
  <c r="V322" i="33"/>
  <c r="T316" i="33"/>
  <c r="U316" i="33"/>
  <c r="V323" i="33"/>
  <c r="T317" i="33"/>
  <c r="U317" i="33"/>
  <c r="V324" i="33"/>
  <c r="V325" i="33"/>
  <c r="V326" i="33"/>
  <c r="T327" i="33"/>
  <c r="U327" i="33"/>
  <c r="T331" i="33"/>
  <c r="U331" i="33"/>
  <c r="V331" i="33"/>
  <c r="T332" i="33"/>
  <c r="U332" i="33"/>
  <c r="V332" i="33"/>
  <c r="V334" i="33"/>
  <c r="T328" i="33"/>
  <c r="U328" i="33"/>
  <c r="V335" i="33"/>
  <c r="T329" i="33"/>
  <c r="U329" i="33"/>
  <c r="V336" i="33"/>
  <c r="V337" i="33"/>
  <c r="V338" i="33"/>
  <c r="T339" i="33"/>
  <c r="U339" i="33"/>
  <c r="T341" i="33"/>
  <c r="U341" i="33"/>
  <c r="V341" i="33"/>
  <c r="T343" i="33"/>
  <c r="U343" i="33"/>
  <c r="V343" i="33"/>
  <c r="T344" i="33"/>
  <c r="U344" i="33"/>
  <c r="V344" i="33"/>
  <c r="V346" i="33"/>
  <c r="T340" i="33"/>
  <c r="U340" i="33"/>
  <c r="V347" i="33"/>
  <c r="V348" i="33"/>
  <c r="V349" i="33"/>
  <c r="V350" i="33"/>
  <c r="T351" i="33"/>
  <c r="U351" i="33"/>
  <c r="T355" i="33"/>
  <c r="U355" i="33"/>
  <c r="V355" i="33"/>
  <c r="T356" i="33"/>
  <c r="U356" i="33"/>
  <c r="V358" i="33"/>
  <c r="T352" i="33"/>
  <c r="U352" i="33"/>
  <c r="V359" i="33"/>
  <c r="T353" i="33"/>
  <c r="U353" i="33"/>
  <c r="V360" i="33"/>
  <c r="V361" i="33"/>
  <c r="V362" i="33"/>
  <c r="T363" i="33"/>
  <c r="U363" i="33"/>
  <c r="T367" i="33"/>
  <c r="U367" i="33"/>
  <c r="V367" i="33"/>
  <c r="T368" i="33"/>
  <c r="U368" i="33"/>
  <c r="V368" i="33"/>
  <c r="V370" i="33"/>
  <c r="T364" i="33"/>
  <c r="U364" i="33"/>
  <c r="V371" i="33"/>
  <c r="T365" i="33"/>
  <c r="U365" i="33"/>
  <c r="V372" i="33"/>
  <c r="V373" i="33"/>
  <c r="V374" i="33"/>
  <c r="T375" i="33"/>
  <c r="U375" i="33"/>
  <c r="T377" i="33"/>
  <c r="U377" i="33"/>
  <c r="V377" i="33"/>
  <c r="T379" i="33"/>
  <c r="U379" i="33"/>
  <c r="V379" i="33"/>
  <c r="T380" i="33"/>
  <c r="U380" i="33"/>
  <c r="V380" i="33"/>
  <c r="V382" i="33"/>
  <c r="T376" i="33"/>
  <c r="U376" i="33"/>
  <c r="V383" i="33"/>
  <c r="V384" i="33"/>
  <c r="V385" i="33"/>
  <c r="V386" i="33"/>
  <c r="T387" i="33"/>
  <c r="U387" i="33"/>
  <c r="T389" i="33"/>
  <c r="U389" i="33"/>
  <c r="V389" i="33"/>
  <c r="T391" i="33"/>
  <c r="U391" i="33"/>
  <c r="V391" i="33"/>
  <c r="T392" i="33"/>
  <c r="U392" i="33"/>
  <c r="V392" i="33"/>
  <c r="V394" i="33"/>
  <c r="T388" i="33"/>
  <c r="U388" i="33"/>
  <c r="V395" i="33"/>
  <c r="V396" i="33"/>
  <c r="V397" i="33"/>
  <c r="V398" i="33"/>
  <c r="T87" i="33"/>
  <c r="U87" i="33"/>
  <c r="V94" i="33"/>
  <c r="T88" i="33"/>
  <c r="U88" i="33"/>
  <c r="V95" i="33"/>
  <c r="T89" i="33"/>
  <c r="U89" i="33"/>
  <c r="V96" i="33"/>
  <c r="T91" i="33"/>
  <c r="U91" i="33"/>
  <c r="V91" i="33"/>
  <c r="V97" i="33"/>
  <c r="V98" i="33"/>
  <c r="T104" i="33"/>
  <c r="U104" i="33"/>
  <c r="V104" i="33"/>
  <c r="T75" i="33"/>
  <c r="U75" i="33"/>
  <c r="V82" i="33"/>
  <c r="T76" i="33"/>
  <c r="U76" i="33"/>
  <c r="V76" i="33"/>
  <c r="V83" i="33"/>
  <c r="T77" i="33"/>
  <c r="U77" i="33"/>
  <c r="V77" i="33"/>
  <c r="V84" i="33"/>
  <c r="T79" i="33"/>
  <c r="U79" i="33"/>
  <c r="V79" i="33"/>
  <c r="V85" i="33"/>
  <c r="V86" i="33"/>
  <c r="T92" i="33"/>
  <c r="U92" i="33"/>
  <c r="V92" i="33"/>
  <c r="T63" i="33"/>
  <c r="U63" i="33"/>
  <c r="V70" i="33"/>
  <c r="S64" i="33"/>
  <c r="T64" i="33"/>
  <c r="U64" i="33"/>
  <c r="V71" i="33"/>
  <c r="T65" i="33"/>
  <c r="U65" i="33"/>
  <c r="V65" i="33"/>
  <c r="V72" i="33"/>
  <c r="T67" i="33"/>
  <c r="U67" i="33"/>
  <c r="V67" i="33"/>
  <c r="V73" i="33"/>
  <c r="V74" i="33"/>
  <c r="T80" i="33"/>
  <c r="U80" i="33"/>
  <c r="V80" i="33"/>
  <c r="T51" i="33"/>
  <c r="U51" i="33"/>
  <c r="V58" i="33"/>
  <c r="S52" i="33"/>
  <c r="T52" i="33"/>
  <c r="U52" i="33"/>
  <c r="V52" i="33"/>
  <c r="V59" i="33"/>
  <c r="T53" i="33"/>
  <c r="U53" i="33"/>
  <c r="V53" i="33"/>
  <c r="V60" i="33"/>
  <c r="T55" i="33"/>
  <c r="U55" i="33"/>
  <c r="V55" i="33"/>
  <c r="V61" i="33"/>
  <c r="V62" i="33"/>
  <c r="T68" i="33"/>
  <c r="U68" i="33"/>
  <c r="V68" i="33"/>
  <c r="T39" i="33"/>
  <c r="U39" i="33"/>
  <c r="V46" i="33"/>
  <c r="T40" i="33"/>
  <c r="U40" i="33"/>
  <c r="V40" i="33"/>
  <c r="V47" i="33"/>
  <c r="T41" i="33"/>
  <c r="U41" i="33"/>
  <c r="V41" i="33"/>
  <c r="V48" i="33"/>
  <c r="T43" i="33"/>
  <c r="U43" i="33"/>
  <c r="V43" i="33"/>
  <c r="V49" i="33"/>
  <c r="V50" i="33"/>
  <c r="T56" i="33"/>
  <c r="U56" i="33"/>
  <c r="V56" i="33"/>
  <c r="T44" i="33"/>
  <c r="U44" i="33"/>
  <c r="V44" i="33"/>
  <c r="T27" i="33"/>
  <c r="U27" i="33"/>
  <c r="V34" i="33"/>
  <c r="T28" i="33"/>
  <c r="U28" i="33"/>
  <c r="V35" i="33"/>
  <c r="T29" i="33"/>
  <c r="U29" i="33"/>
  <c r="V36" i="33"/>
  <c r="T31" i="33"/>
  <c r="U31" i="33"/>
  <c r="V31" i="33"/>
  <c r="V37" i="33"/>
  <c r="V38" i="33"/>
  <c r="T32" i="33"/>
  <c r="U32" i="33"/>
  <c r="V32" i="33"/>
  <c r="T15" i="33"/>
  <c r="U15" i="33"/>
  <c r="V22" i="33"/>
  <c r="S16" i="33"/>
  <c r="T16" i="33"/>
  <c r="U16" i="33"/>
  <c r="V16" i="33"/>
  <c r="V23" i="33"/>
  <c r="T17" i="33"/>
  <c r="U17" i="33"/>
  <c r="V17" i="33"/>
  <c r="V24" i="33"/>
  <c r="T19" i="33"/>
  <c r="U19" i="33"/>
  <c r="V19" i="33"/>
  <c r="V25" i="33"/>
  <c r="V26" i="33"/>
  <c r="T20" i="33"/>
  <c r="U20" i="33"/>
  <c r="V20" i="33"/>
  <c r="V10" i="33"/>
  <c r="T4" i="33"/>
  <c r="U4" i="33"/>
  <c r="V11" i="33"/>
  <c r="T5" i="33"/>
  <c r="U5" i="33"/>
  <c r="V12" i="33"/>
  <c r="S7" i="33"/>
  <c r="T7" i="33"/>
  <c r="U7" i="33"/>
  <c r="V7" i="33"/>
  <c r="V13" i="33"/>
  <c r="V14" i="33"/>
  <c r="V1" i="33"/>
  <c r="V2" i="33"/>
  <c r="S8" i="33"/>
  <c r="T8" i="33"/>
  <c r="U8" i="33"/>
  <c r="V8" i="33"/>
  <c r="AC32" i="36"/>
  <c r="Z140" i="35"/>
  <c r="Z132" i="35"/>
  <c r="Z133" i="35"/>
  <c r="Z131" i="35"/>
  <c r="Z130" i="35"/>
  <c r="Z112" i="35"/>
  <c r="Z113" i="35"/>
  <c r="Z111" i="35"/>
  <c r="Z110" i="35"/>
  <c r="Y132" i="35"/>
  <c r="Y133" i="35"/>
  <c r="Y131" i="35"/>
  <c r="Y130" i="35"/>
  <c r="V4" i="40"/>
  <c r="Y186" i="35"/>
  <c r="Y187" i="35"/>
  <c r="Y185" i="35"/>
  <c r="Y184" i="35"/>
  <c r="X122" i="35"/>
  <c r="X123" i="35"/>
  <c r="X121" i="35"/>
  <c r="X120" i="35"/>
  <c r="X112" i="35"/>
  <c r="X113" i="35"/>
  <c r="X111" i="35"/>
  <c r="X110" i="35"/>
  <c r="X102" i="35"/>
  <c r="X103" i="35"/>
  <c r="X101" i="35"/>
  <c r="X100" i="35"/>
  <c r="X92" i="35"/>
  <c r="X93" i="35"/>
  <c r="X91" i="35"/>
  <c r="X90" i="35"/>
  <c r="Y90" i="35"/>
  <c r="Z90" i="35"/>
  <c r="AA90" i="35"/>
  <c r="AB90" i="35"/>
  <c r="AC90" i="35"/>
  <c r="AE90" i="35"/>
  <c r="AF90" i="35"/>
  <c r="AG90" i="35"/>
  <c r="AH90" i="35"/>
  <c r="A88" i="35"/>
  <c r="X82" i="35"/>
  <c r="X83" i="35"/>
  <c r="X81" i="35"/>
  <c r="X80" i="35"/>
  <c r="X72" i="35"/>
  <c r="X73" i="35"/>
  <c r="X71" i="35"/>
  <c r="X70" i="35"/>
  <c r="X62" i="35"/>
  <c r="X63" i="35"/>
  <c r="X61" i="35"/>
  <c r="X60" i="35"/>
  <c r="X52" i="35"/>
  <c r="X53" i="35"/>
  <c r="X51" i="35"/>
  <c r="X50" i="35"/>
  <c r="Y50" i="35"/>
  <c r="Z50" i="35"/>
  <c r="AA50" i="35"/>
  <c r="AB50" i="35"/>
  <c r="AC50" i="35"/>
  <c r="AE50" i="35"/>
  <c r="AF50" i="35"/>
  <c r="AG50" i="35"/>
  <c r="AH50" i="35"/>
  <c r="A50" i="35"/>
  <c r="X42" i="35"/>
  <c r="X43" i="35"/>
  <c r="X41" i="35"/>
  <c r="X40" i="35"/>
  <c r="X32" i="35"/>
  <c r="X33" i="35"/>
  <c r="X31" i="35"/>
  <c r="X30" i="35"/>
  <c r="X22" i="35"/>
  <c r="X23" i="35"/>
  <c r="X21" i="35"/>
  <c r="X20" i="35"/>
  <c r="X12" i="35"/>
  <c r="X13" i="35"/>
  <c r="X11" i="35"/>
  <c r="X10" i="35"/>
  <c r="X220" i="35"/>
  <c r="X221" i="35"/>
  <c r="X219" i="35"/>
  <c r="X218" i="35"/>
  <c r="X217" i="35"/>
  <c r="X209" i="35"/>
  <c r="X208" i="35"/>
  <c r="X207" i="35"/>
  <c r="X206" i="35"/>
  <c r="X205" i="35"/>
  <c r="X196" i="35"/>
  <c r="X197" i="35"/>
  <c r="X195" i="35"/>
  <c r="X194" i="35"/>
  <c r="X186" i="35"/>
  <c r="X187" i="35"/>
  <c r="X185" i="35"/>
  <c r="X184" i="35"/>
  <c r="X176" i="35"/>
  <c r="X177" i="35"/>
  <c r="X175" i="35"/>
  <c r="X174" i="35"/>
  <c r="X173" i="35"/>
  <c r="X164" i="35"/>
  <c r="X165" i="35"/>
  <c r="X163" i="35"/>
  <c r="X162" i="35"/>
  <c r="X161" i="35"/>
  <c r="W130" i="35"/>
  <c r="W131" i="35"/>
  <c r="W132" i="35"/>
  <c r="W133" i="35"/>
  <c r="V166" i="34"/>
  <c r="P99" i="33"/>
  <c r="Q99" i="33"/>
  <c r="R99" i="33"/>
  <c r="P101" i="33"/>
  <c r="Q101" i="33"/>
  <c r="R101" i="33"/>
  <c r="S108" i="33"/>
  <c r="P103" i="33"/>
  <c r="Q103" i="33"/>
  <c r="R103" i="33"/>
  <c r="S103" i="33"/>
  <c r="S109" i="33"/>
  <c r="S106" i="33"/>
  <c r="S110" i="33"/>
  <c r="W176" i="35"/>
  <c r="W177" i="35"/>
  <c r="P87" i="33"/>
  <c r="Q87" i="33"/>
  <c r="R87" i="33"/>
  <c r="P89" i="33"/>
  <c r="Q89" i="33"/>
  <c r="R89" i="33"/>
  <c r="S89" i="33"/>
  <c r="S96" i="33"/>
  <c r="P91" i="33"/>
  <c r="Q91" i="33"/>
  <c r="R91" i="33"/>
  <c r="S91" i="33"/>
  <c r="S97" i="33"/>
  <c r="S98" i="33"/>
  <c r="W151" i="35"/>
  <c r="W150" i="35"/>
  <c r="U130" i="35"/>
  <c r="V130" i="35"/>
  <c r="U131" i="35"/>
  <c r="V131" i="35"/>
  <c r="U132" i="35"/>
  <c r="V132" i="35"/>
  <c r="U133" i="35"/>
  <c r="V133" i="35"/>
  <c r="T50" i="35"/>
  <c r="U50" i="35"/>
  <c r="V50" i="35"/>
  <c r="T51" i="35"/>
  <c r="U51" i="35"/>
  <c r="V51" i="35"/>
  <c r="T52" i="35"/>
  <c r="U52" i="35"/>
  <c r="V52" i="35"/>
  <c r="T53" i="35"/>
  <c r="U53" i="35"/>
  <c r="V53" i="35"/>
  <c r="U10" i="35"/>
  <c r="U11" i="35"/>
  <c r="U12" i="35"/>
  <c r="U13" i="35"/>
  <c r="V10" i="35"/>
  <c r="V11" i="35"/>
  <c r="P267" i="33"/>
  <c r="Q267" i="33"/>
  <c r="R267" i="33"/>
  <c r="P269" i="33"/>
  <c r="Q269" i="33"/>
  <c r="R269" i="33"/>
  <c r="S269" i="33"/>
  <c r="S276" i="33"/>
  <c r="P271" i="33"/>
  <c r="Q271" i="33"/>
  <c r="R271" i="33"/>
  <c r="S271" i="33"/>
  <c r="S277" i="33"/>
  <c r="S278" i="33"/>
  <c r="V92" i="35"/>
  <c r="V93" i="35"/>
  <c r="U92" i="35"/>
  <c r="U93" i="35"/>
  <c r="T92" i="35"/>
  <c r="T93" i="35"/>
  <c r="V91" i="35"/>
  <c r="U91" i="35"/>
  <c r="T91" i="35"/>
  <c r="V90" i="35"/>
  <c r="U90" i="35"/>
  <c r="T90" i="35"/>
  <c r="V72" i="35"/>
  <c r="V73" i="35"/>
  <c r="V71" i="35"/>
  <c r="V70" i="35"/>
  <c r="T184" i="35"/>
  <c r="U184" i="35"/>
  <c r="V184" i="35"/>
  <c r="T185" i="35"/>
  <c r="U185" i="35"/>
  <c r="V185" i="35"/>
  <c r="T186" i="35"/>
  <c r="U186" i="35"/>
  <c r="V186" i="35"/>
  <c r="T187" i="35"/>
  <c r="U187" i="35"/>
  <c r="V187" i="35"/>
  <c r="AG26" i="2"/>
  <c r="AH30" i="2"/>
  <c r="AH31" i="2"/>
  <c r="AH29" i="2"/>
  <c r="AH27" i="2"/>
  <c r="AH28" i="2"/>
  <c r="AH32" i="2"/>
  <c r="AH33" i="2"/>
  <c r="S112" i="35"/>
  <c r="S113" i="35"/>
  <c r="S111" i="35"/>
  <c r="S110" i="35"/>
  <c r="S132" i="35"/>
  <c r="S133" i="35"/>
  <c r="S131" i="35"/>
  <c r="S130" i="35"/>
  <c r="P99" i="38"/>
  <c r="P106" i="38"/>
  <c r="O8" i="38"/>
  <c r="S28" i="34"/>
  <c r="T28" i="34"/>
  <c r="T35" i="34"/>
  <c r="Q184" i="35"/>
  <c r="R184" i="35"/>
  <c r="Q185" i="35"/>
  <c r="R185" i="35"/>
  <c r="Q186" i="35"/>
  <c r="R186" i="35"/>
  <c r="Q187" i="35"/>
  <c r="R187" i="35"/>
  <c r="O96" i="33"/>
  <c r="O91" i="33"/>
  <c r="O97" i="33"/>
  <c r="O94" i="33"/>
  <c r="O98" i="33"/>
  <c r="J363" i="33"/>
  <c r="K363" i="33"/>
  <c r="L363" i="33"/>
  <c r="M363" i="33"/>
  <c r="N363" i="33"/>
  <c r="J365" i="33"/>
  <c r="K365" i="33"/>
  <c r="L365" i="33"/>
  <c r="M365" i="33"/>
  <c r="N365" i="33"/>
  <c r="O372" i="33"/>
  <c r="J367" i="33"/>
  <c r="K367" i="33"/>
  <c r="L367" i="33"/>
  <c r="M367" i="33"/>
  <c r="N367" i="33"/>
  <c r="O367" i="33"/>
  <c r="O373" i="33"/>
  <c r="O370" i="33"/>
  <c r="O374" i="33"/>
  <c r="R142" i="35"/>
  <c r="R143" i="35"/>
  <c r="R141" i="35"/>
  <c r="R140" i="35"/>
  <c r="R132" i="35"/>
  <c r="R133" i="35"/>
  <c r="R131" i="35"/>
  <c r="R130" i="35"/>
  <c r="R112" i="35"/>
  <c r="R113" i="35"/>
  <c r="Q112" i="35"/>
  <c r="Q113" i="35"/>
  <c r="R111" i="35"/>
  <c r="Q111" i="35"/>
  <c r="R110" i="35"/>
  <c r="Q110" i="35"/>
  <c r="R102" i="35"/>
  <c r="R103" i="35"/>
  <c r="Q102" i="35"/>
  <c r="Q103" i="35"/>
  <c r="R101" i="35"/>
  <c r="Q101" i="35"/>
  <c r="R100" i="35"/>
  <c r="Q100" i="35"/>
  <c r="R92" i="35"/>
  <c r="R93" i="35"/>
  <c r="Q92" i="35"/>
  <c r="Q93" i="35"/>
  <c r="R91" i="35"/>
  <c r="Q91" i="35"/>
  <c r="R90" i="35"/>
  <c r="Q90" i="35"/>
  <c r="R72" i="35"/>
  <c r="R73" i="35"/>
  <c r="Q72" i="35"/>
  <c r="Q73" i="35"/>
  <c r="R71" i="35"/>
  <c r="Q71" i="35"/>
  <c r="R70" i="35"/>
  <c r="Q70" i="35"/>
  <c r="R62" i="35"/>
  <c r="R63" i="35"/>
  <c r="Q62" i="35"/>
  <c r="Q63" i="35"/>
  <c r="R61" i="35"/>
  <c r="Q61" i="35"/>
  <c r="R60" i="35"/>
  <c r="Q60" i="35"/>
  <c r="R52" i="35"/>
  <c r="R53" i="35"/>
  <c r="Q52" i="35"/>
  <c r="Q53" i="35"/>
  <c r="R51" i="35"/>
  <c r="Q51" i="35"/>
  <c r="R50" i="35"/>
  <c r="Q50" i="35"/>
  <c r="R32" i="35"/>
  <c r="R33" i="35"/>
  <c r="Q32" i="35"/>
  <c r="Q33" i="35"/>
  <c r="R31" i="35"/>
  <c r="Q31" i="35"/>
  <c r="R30" i="35"/>
  <c r="Q30" i="35"/>
  <c r="R22" i="35"/>
  <c r="R23" i="35"/>
  <c r="Q22" i="35"/>
  <c r="Q23" i="35"/>
  <c r="R21" i="35"/>
  <c r="Q21" i="35"/>
  <c r="R20" i="35"/>
  <c r="Q20" i="35"/>
  <c r="R12" i="35"/>
  <c r="R13" i="35"/>
  <c r="Q12" i="35"/>
  <c r="Q13" i="35"/>
  <c r="R11" i="35"/>
  <c r="Q11" i="35"/>
  <c r="R10" i="35"/>
  <c r="Q10" i="35"/>
  <c r="Q217" i="35"/>
  <c r="Q218" i="35"/>
  <c r="Q219" i="35"/>
  <c r="Q220" i="35"/>
  <c r="Q221" i="35"/>
  <c r="Q205" i="35"/>
  <c r="Q206" i="35"/>
  <c r="Q207" i="35"/>
  <c r="Q208" i="35"/>
  <c r="Q209" i="35"/>
  <c r="Q194" i="35"/>
  <c r="Q195" i="35"/>
  <c r="Q196" i="35"/>
  <c r="Q197" i="35"/>
  <c r="Q173" i="35"/>
  <c r="Q174" i="35"/>
  <c r="Q175" i="35"/>
  <c r="Q176" i="35"/>
  <c r="Q177" i="35"/>
  <c r="Q161" i="35"/>
  <c r="Q162" i="35"/>
  <c r="Q163" i="35"/>
  <c r="Q164" i="35"/>
  <c r="Q165" i="35"/>
  <c r="L70" i="39"/>
  <c r="P132" i="35"/>
  <c r="P133" i="35"/>
  <c r="P131" i="35"/>
  <c r="P130" i="35"/>
  <c r="L230" i="39"/>
  <c r="H1" i="38"/>
  <c r="I1" i="38"/>
  <c r="J1" i="38"/>
  <c r="K1" i="38"/>
  <c r="L1" i="38"/>
  <c r="H2" i="38"/>
  <c r="I2" i="38"/>
  <c r="J2" i="38"/>
  <c r="K2" i="38"/>
  <c r="L2" i="38"/>
  <c r="J147" i="38"/>
  <c r="K147" i="38"/>
  <c r="M147" i="38"/>
  <c r="N147" i="38"/>
  <c r="P147" i="38"/>
  <c r="Q147" i="38"/>
  <c r="R147" i="38"/>
  <c r="S147" i="38"/>
  <c r="U147" i="38"/>
  <c r="W147" i="38"/>
  <c r="X147" i="38"/>
  <c r="Y147" i="38"/>
  <c r="AA147" i="38"/>
  <c r="AB147" i="38"/>
  <c r="AD147" i="38"/>
  <c r="AE147" i="38"/>
  <c r="AF147" i="38"/>
  <c r="AG147" i="38"/>
  <c r="AH147" i="38"/>
  <c r="AI147" i="38"/>
  <c r="AJ147" i="38"/>
  <c r="AK147" i="38"/>
  <c r="AL147" i="38"/>
  <c r="AM147" i="38"/>
  <c r="AN147" i="38"/>
  <c r="AO147" i="38"/>
  <c r="AP147" i="38"/>
  <c r="AQ147" i="38"/>
  <c r="AR147" i="38"/>
  <c r="AS147" i="38"/>
  <c r="J148" i="38"/>
  <c r="K148" i="38"/>
  <c r="M148" i="38"/>
  <c r="N148" i="38"/>
  <c r="P148" i="38"/>
  <c r="Q148" i="38"/>
  <c r="R148" i="38"/>
  <c r="S148" i="38"/>
  <c r="T148" i="38"/>
  <c r="U148" i="38"/>
  <c r="W148" i="38"/>
  <c r="X148" i="38"/>
  <c r="Y148" i="38"/>
  <c r="AA148" i="38"/>
  <c r="AB148" i="38"/>
  <c r="AD148" i="38"/>
  <c r="AE148" i="38"/>
  <c r="AF148" i="38"/>
  <c r="AG148" i="38"/>
  <c r="AH148" i="38"/>
  <c r="AI148" i="38"/>
  <c r="AJ148" i="38"/>
  <c r="AK148" i="38"/>
  <c r="AL148" i="38"/>
  <c r="AM148" i="38"/>
  <c r="AN148" i="38"/>
  <c r="AO148" i="38"/>
  <c r="AP148" i="38"/>
  <c r="AQ148" i="38"/>
  <c r="AR148" i="38"/>
  <c r="AS148" i="38"/>
  <c r="J149" i="38"/>
  <c r="K149" i="38"/>
  <c r="M149" i="38"/>
  <c r="N149" i="38"/>
  <c r="P149" i="38"/>
  <c r="Q149" i="38"/>
  <c r="R149" i="38"/>
  <c r="S149" i="38"/>
  <c r="T149" i="38"/>
  <c r="U149" i="38"/>
  <c r="W149" i="38"/>
  <c r="X149" i="38"/>
  <c r="Y149" i="38"/>
  <c r="AA149" i="38"/>
  <c r="AB149" i="38"/>
  <c r="AD149" i="38"/>
  <c r="AE149" i="38"/>
  <c r="AF149" i="38"/>
  <c r="AG149" i="38"/>
  <c r="AH149" i="38"/>
  <c r="AI149" i="38"/>
  <c r="AJ149" i="38"/>
  <c r="AK149" i="38"/>
  <c r="AL149" i="38"/>
  <c r="AM149" i="38"/>
  <c r="AN149" i="38"/>
  <c r="AO149" i="38"/>
  <c r="AP149" i="38"/>
  <c r="AQ149" i="38"/>
  <c r="AR149" i="38"/>
  <c r="AS149" i="38"/>
  <c r="J151" i="38"/>
  <c r="K151" i="38"/>
  <c r="L151" i="38"/>
  <c r="M151" i="38"/>
  <c r="N151" i="38"/>
  <c r="O151" i="38"/>
  <c r="P151" i="38"/>
  <c r="Q151" i="38"/>
  <c r="R151" i="38"/>
  <c r="S151" i="38"/>
  <c r="T151" i="38"/>
  <c r="U151" i="38"/>
  <c r="V151" i="38"/>
  <c r="W151" i="38"/>
  <c r="X151" i="38"/>
  <c r="Y151" i="38"/>
  <c r="Z151" i="38"/>
  <c r="AA151" i="38"/>
  <c r="AB151" i="38"/>
  <c r="AC151" i="38"/>
  <c r="AD151" i="38"/>
  <c r="AE151" i="38"/>
  <c r="AF151" i="38"/>
  <c r="AG151" i="38"/>
  <c r="AH151" i="38"/>
  <c r="AI151" i="38"/>
  <c r="AJ151" i="38"/>
  <c r="AK151" i="38"/>
  <c r="AL151" i="38"/>
  <c r="AM151" i="38"/>
  <c r="AN151" i="38"/>
  <c r="AO151" i="38"/>
  <c r="AP151" i="38"/>
  <c r="AQ151" i="38"/>
  <c r="AR151" i="38"/>
  <c r="AS151" i="38"/>
  <c r="J152" i="38"/>
  <c r="K152" i="38"/>
  <c r="L152" i="38"/>
  <c r="M152" i="38"/>
  <c r="N152" i="38"/>
  <c r="O152" i="38"/>
  <c r="P152" i="38"/>
  <c r="Q152" i="38"/>
  <c r="R152" i="38"/>
  <c r="S152" i="38"/>
  <c r="T152" i="38"/>
  <c r="U152" i="38"/>
  <c r="V152" i="38"/>
  <c r="W152" i="38"/>
  <c r="X152" i="38"/>
  <c r="Y152" i="38"/>
  <c r="Z152" i="38"/>
  <c r="AA152" i="38"/>
  <c r="AB152" i="38"/>
  <c r="AC152" i="38"/>
  <c r="AD152" i="38"/>
  <c r="AE152" i="38"/>
  <c r="AF152" i="38"/>
  <c r="AG152" i="38"/>
  <c r="AH152" i="38"/>
  <c r="AI152" i="38"/>
  <c r="AJ152" i="38"/>
  <c r="AK152" i="38"/>
  <c r="AL152" i="38"/>
  <c r="AM152" i="38"/>
  <c r="AN152" i="38"/>
  <c r="AO152" i="38"/>
  <c r="AP152" i="38"/>
  <c r="AQ152" i="38"/>
  <c r="AR152" i="38"/>
  <c r="AS152" i="38"/>
  <c r="K154" i="38"/>
  <c r="L154" i="38"/>
  <c r="M154" i="38"/>
  <c r="N154" i="38"/>
  <c r="O154" i="38"/>
  <c r="P154" i="38"/>
  <c r="Q154" i="38"/>
  <c r="R154" i="38"/>
  <c r="S154" i="38"/>
  <c r="T154" i="38"/>
  <c r="U154" i="38"/>
  <c r="V154" i="38"/>
  <c r="W154" i="38"/>
  <c r="X154" i="38"/>
  <c r="Y154" i="38"/>
  <c r="Z154" i="38"/>
  <c r="AA154" i="38"/>
  <c r="AB154" i="38"/>
  <c r="AC154" i="38"/>
  <c r="AD154" i="38"/>
  <c r="AE154" i="38"/>
  <c r="AF154" i="38"/>
  <c r="AG154" i="38"/>
  <c r="AH154" i="38"/>
  <c r="AI154" i="38"/>
  <c r="AJ154" i="38"/>
  <c r="AK154" i="38"/>
  <c r="AL154" i="38"/>
  <c r="AM154" i="38"/>
  <c r="AN154" i="38"/>
  <c r="AO154" i="38"/>
  <c r="AP154" i="38"/>
  <c r="AQ154" i="38"/>
  <c r="AR154" i="38"/>
  <c r="AS154" i="38"/>
  <c r="K155" i="38"/>
  <c r="L155" i="38"/>
  <c r="M155" i="38"/>
  <c r="N155" i="38"/>
  <c r="O155" i="38"/>
  <c r="P155" i="38"/>
  <c r="Q155" i="38"/>
  <c r="R155" i="38"/>
  <c r="S155" i="38"/>
  <c r="T155" i="38"/>
  <c r="U155" i="38"/>
  <c r="V155" i="38"/>
  <c r="W155" i="38"/>
  <c r="X155" i="38"/>
  <c r="Y155" i="38"/>
  <c r="Z155" i="38"/>
  <c r="AA155" i="38"/>
  <c r="AB155" i="38"/>
  <c r="AC155" i="38"/>
  <c r="AD155" i="38"/>
  <c r="AE155" i="38"/>
  <c r="AF155" i="38"/>
  <c r="AG155" i="38"/>
  <c r="AH155" i="38"/>
  <c r="AI155" i="38"/>
  <c r="AJ155" i="38"/>
  <c r="AK155" i="38"/>
  <c r="AL155" i="38"/>
  <c r="AM155" i="38"/>
  <c r="AN155" i="38"/>
  <c r="AO155" i="38"/>
  <c r="AP155" i="38"/>
  <c r="AQ155" i="38"/>
  <c r="AR155" i="38"/>
  <c r="AS155" i="38"/>
  <c r="K156" i="38"/>
  <c r="L156" i="38"/>
  <c r="M156" i="38"/>
  <c r="N156" i="38"/>
  <c r="O156" i="38"/>
  <c r="P156" i="38"/>
  <c r="Q156" i="38"/>
  <c r="R156" i="38"/>
  <c r="S156" i="38"/>
  <c r="T156" i="38"/>
  <c r="U156" i="38"/>
  <c r="V156" i="38"/>
  <c r="W156" i="38"/>
  <c r="X156" i="38"/>
  <c r="Y156" i="38"/>
  <c r="Z156" i="38"/>
  <c r="AA156" i="38"/>
  <c r="AB156" i="38"/>
  <c r="AC156" i="38"/>
  <c r="AD156" i="38"/>
  <c r="AE156" i="38"/>
  <c r="AF156" i="38"/>
  <c r="AG156" i="38"/>
  <c r="AH156" i="38"/>
  <c r="AI156" i="38"/>
  <c r="AJ156" i="38"/>
  <c r="AK156" i="38"/>
  <c r="AL156" i="38"/>
  <c r="AM156" i="38"/>
  <c r="AN156" i="38"/>
  <c r="AO156" i="38"/>
  <c r="AP156" i="38"/>
  <c r="AQ156" i="38"/>
  <c r="AR156" i="38"/>
  <c r="AS156" i="38"/>
  <c r="K157" i="38"/>
  <c r="L157" i="38"/>
  <c r="M157" i="38"/>
  <c r="N157" i="38"/>
  <c r="O157" i="38"/>
  <c r="P157" i="38"/>
  <c r="Q157" i="38"/>
  <c r="R157" i="38"/>
  <c r="S157" i="38"/>
  <c r="T157" i="38"/>
  <c r="U157" i="38"/>
  <c r="V157" i="38"/>
  <c r="W157" i="38"/>
  <c r="X157" i="38"/>
  <c r="Y157" i="38"/>
  <c r="Z157" i="38"/>
  <c r="AA157" i="38"/>
  <c r="AB157" i="38"/>
  <c r="AC157" i="38"/>
  <c r="AD157" i="38"/>
  <c r="AE157" i="38"/>
  <c r="AF157" i="38"/>
  <c r="AG157" i="38"/>
  <c r="AH157" i="38"/>
  <c r="AI157" i="38"/>
  <c r="AJ157" i="38"/>
  <c r="AK157" i="38"/>
  <c r="AL157" i="38"/>
  <c r="AM157" i="38"/>
  <c r="AN157" i="38"/>
  <c r="AO157" i="38"/>
  <c r="AP157" i="38"/>
  <c r="AQ157" i="38"/>
  <c r="AR157" i="38"/>
  <c r="AS157" i="38"/>
  <c r="K158" i="38"/>
  <c r="L158" i="38"/>
  <c r="M158" i="38"/>
  <c r="N158" i="38"/>
  <c r="O158" i="38"/>
  <c r="P158" i="38"/>
  <c r="Q158" i="38"/>
  <c r="R158" i="38"/>
  <c r="S158" i="38"/>
  <c r="T158" i="38"/>
  <c r="U158" i="38"/>
  <c r="V158" i="38"/>
  <c r="W158" i="38"/>
  <c r="X158" i="38"/>
  <c r="Y158" i="38"/>
  <c r="Z158" i="38"/>
  <c r="AA158" i="38"/>
  <c r="AB158" i="38"/>
  <c r="AC158" i="38"/>
  <c r="AD158" i="38"/>
  <c r="AE158" i="38"/>
  <c r="AF158" i="38"/>
  <c r="AG158" i="38"/>
  <c r="AH158" i="38"/>
  <c r="AI158" i="38"/>
  <c r="AJ158" i="38"/>
  <c r="AK158" i="38"/>
  <c r="AL158" i="38"/>
  <c r="AM158" i="38"/>
  <c r="AN158" i="38"/>
  <c r="AO158" i="38"/>
  <c r="AP158" i="38"/>
  <c r="AQ158" i="38"/>
  <c r="AR158" i="38"/>
  <c r="AS158" i="38"/>
  <c r="J154" i="38"/>
  <c r="J155" i="38"/>
  <c r="J156" i="38"/>
  <c r="J157" i="38"/>
  <c r="J158" i="38"/>
  <c r="M184" i="35"/>
  <c r="N184" i="35"/>
  <c r="O184" i="35"/>
  <c r="M185" i="35"/>
  <c r="N185" i="35"/>
  <c r="O185" i="35"/>
  <c r="M186" i="35"/>
  <c r="N186" i="35"/>
  <c r="O186" i="35"/>
  <c r="M187" i="35"/>
  <c r="N187" i="35"/>
  <c r="O187" i="35"/>
  <c r="O52" i="35"/>
  <c r="O53" i="35"/>
  <c r="O51" i="35"/>
  <c r="O50" i="35"/>
  <c r="O92" i="35"/>
  <c r="O93" i="35"/>
  <c r="O91" i="35"/>
  <c r="O90" i="35"/>
  <c r="O132" i="35"/>
  <c r="O133" i="35"/>
  <c r="O131" i="35"/>
  <c r="O130" i="35"/>
  <c r="N132" i="35"/>
  <c r="N133" i="35"/>
  <c r="N131" i="35"/>
  <c r="N130" i="35"/>
  <c r="N122" i="35"/>
  <c r="N123" i="35"/>
  <c r="N121" i="35"/>
  <c r="N120" i="35"/>
  <c r="N92" i="35"/>
  <c r="N93" i="35"/>
  <c r="M92" i="35"/>
  <c r="M93" i="35"/>
  <c r="N91" i="35"/>
  <c r="M91" i="35"/>
  <c r="N90" i="35"/>
  <c r="M90" i="35"/>
  <c r="N82" i="35"/>
  <c r="N83" i="35"/>
  <c r="M82" i="35"/>
  <c r="M83" i="35"/>
  <c r="N81" i="35"/>
  <c r="M81" i="35"/>
  <c r="N80" i="35"/>
  <c r="M80" i="35"/>
  <c r="N72" i="35"/>
  <c r="N73" i="35"/>
  <c r="M72" i="35"/>
  <c r="M73" i="35"/>
  <c r="N71" i="35"/>
  <c r="M71" i="35"/>
  <c r="N70" i="35"/>
  <c r="M70" i="35"/>
  <c r="N52" i="35"/>
  <c r="N53" i="35"/>
  <c r="M52" i="35"/>
  <c r="M53" i="35"/>
  <c r="N51" i="35"/>
  <c r="M51" i="35"/>
  <c r="N50" i="35"/>
  <c r="M50" i="35"/>
  <c r="N42" i="35"/>
  <c r="N43" i="35"/>
  <c r="M42" i="35"/>
  <c r="M43" i="35"/>
  <c r="N41" i="35"/>
  <c r="M41" i="35"/>
  <c r="N40" i="35"/>
  <c r="M40" i="35"/>
  <c r="N32" i="35"/>
  <c r="N33" i="35"/>
  <c r="M32" i="35"/>
  <c r="M33" i="35"/>
  <c r="N31" i="35"/>
  <c r="M31" i="35"/>
  <c r="N30" i="35"/>
  <c r="M30" i="35"/>
  <c r="N22" i="35"/>
  <c r="N23" i="35"/>
  <c r="M22" i="35"/>
  <c r="M23" i="35"/>
  <c r="N21" i="35"/>
  <c r="M21" i="35"/>
  <c r="N20" i="35"/>
  <c r="M20" i="35"/>
  <c r="N12" i="35"/>
  <c r="N13" i="35"/>
  <c r="M12" i="35"/>
  <c r="M13" i="35"/>
  <c r="N11" i="35"/>
  <c r="M11" i="35"/>
  <c r="N10" i="35"/>
  <c r="M10" i="35"/>
  <c r="H19" i="38"/>
  <c r="H36" i="41"/>
  <c r="H31" i="41"/>
  <c r="H37" i="41"/>
  <c r="I15" i="40"/>
  <c r="L186" i="35"/>
  <c r="L187" i="35"/>
  <c r="K186" i="35"/>
  <c r="K187" i="35"/>
  <c r="L185" i="35"/>
  <c r="K185" i="35"/>
  <c r="L184" i="35"/>
  <c r="K184" i="35"/>
  <c r="I28" i="39"/>
  <c r="I35" i="39"/>
  <c r="F15" i="39"/>
  <c r="G15" i="39"/>
  <c r="F17" i="39"/>
  <c r="G17" i="39"/>
  <c r="H17" i="39"/>
  <c r="H24" i="39"/>
  <c r="F19" i="39"/>
  <c r="G19" i="39"/>
  <c r="H19" i="39"/>
  <c r="H25" i="39"/>
  <c r="L40" i="34"/>
  <c r="L47" i="34"/>
  <c r="I15" i="34"/>
  <c r="J15" i="34"/>
  <c r="I19" i="34"/>
  <c r="J19" i="34"/>
  <c r="K19" i="34"/>
  <c r="AG14" i="2"/>
  <c r="AG15" i="2"/>
  <c r="L132" i="35"/>
  <c r="L133" i="35"/>
  <c r="K132" i="35"/>
  <c r="K133" i="35"/>
  <c r="L131" i="35"/>
  <c r="K131" i="35"/>
  <c r="L130" i="35"/>
  <c r="K130" i="35"/>
  <c r="K112" i="35"/>
  <c r="K113" i="35"/>
  <c r="K111" i="35"/>
  <c r="K110" i="35"/>
  <c r="K52" i="35"/>
  <c r="K53" i="35"/>
  <c r="J52" i="35"/>
  <c r="J53" i="35"/>
  <c r="K51" i="35"/>
  <c r="J51" i="35"/>
  <c r="K50" i="35"/>
  <c r="J50" i="35"/>
  <c r="K42" i="35"/>
  <c r="K43" i="35"/>
  <c r="K41" i="35"/>
  <c r="K40" i="35"/>
  <c r="K32" i="35"/>
  <c r="K33" i="35"/>
  <c r="K31" i="35"/>
  <c r="K30" i="35"/>
  <c r="K22" i="35"/>
  <c r="K23" i="35"/>
  <c r="K21" i="35"/>
  <c r="K20" i="35"/>
  <c r="K12" i="35"/>
  <c r="K13" i="35"/>
  <c r="K11" i="35"/>
  <c r="K10" i="35"/>
  <c r="K92" i="35"/>
  <c r="K93" i="35"/>
  <c r="J92" i="35"/>
  <c r="J93" i="35"/>
  <c r="K91" i="35"/>
  <c r="J91" i="35"/>
  <c r="K90" i="35"/>
  <c r="J90" i="35"/>
  <c r="K72" i="35"/>
  <c r="K73" i="35"/>
  <c r="K71" i="35"/>
  <c r="K70" i="35"/>
  <c r="AH12" i="2"/>
  <c r="AH13" i="2"/>
  <c r="AH14" i="2"/>
  <c r="AH15" i="2"/>
  <c r="AH16" i="2"/>
  <c r="AH17" i="2"/>
  <c r="J4" i="2"/>
  <c r="J7" i="2"/>
  <c r="J8" i="2"/>
  <c r="J12" i="2"/>
  <c r="J16" i="2"/>
  <c r="J17" i="2"/>
  <c r="J18" i="2"/>
  <c r="J23" i="2"/>
  <c r="J24" i="2"/>
  <c r="J28" i="2"/>
  <c r="J30" i="2"/>
  <c r="J32" i="2"/>
  <c r="J34" i="2"/>
  <c r="J36" i="2"/>
  <c r="J38" i="2"/>
  <c r="J42" i="2"/>
  <c r="J44" i="2"/>
  <c r="J45" i="2"/>
  <c r="J47" i="2"/>
  <c r="J48" i="2"/>
  <c r="J52" i="2"/>
  <c r="J53" i="2"/>
  <c r="AG2" i="2"/>
  <c r="AG11" i="2"/>
  <c r="AH18" i="2"/>
  <c r="AH3" i="2"/>
  <c r="AH4" i="2"/>
  <c r="AH5" i="2"/>
  <c r="AH6" i="2"/>
  <c r="AH7" i="2"/>
  <c r="AH8" i="2"/>
  <c r="AH9" i="2"/>
  <c r="D23" i="2"/>
  <c r="C23" i="2"/>
  <c r="D24" i="2"/>
  <c r="C24" i="2"/>
  <c r="E24" i="2"/>
  <c r="D15" i="33"/>
  <c r="E15" i="33"/>
  <c r="G15" i="33"/>
  <c r="H15" i="33"/>
  <c r="J15" i="33"/>
  <c r="K15" i="33"/>
  <c r="M15" i="33"/>
  <c r="N15" i="33"/>
  <c r="P15" i="33"/>
  <c r="Q15" i="33"/>
  <c r="R15" i="33"/>
  <c r="W15" i="33"/>
  <c r="X15" i="33"/>
  <c r="Y15" i="33"/>
  <c r="Z15" i="33"/>
  <c r="AB15" i="33"/>
  <c r="AC15" i="33"/>
  <c r="AE15" i="33"/>
  <c r="AF15" i="33"/>
  <c r="AG15" i="33"/>
  <c r="AH15" i="33"/>
  <c r="AI15" i="33"/>
  <c r="AJ15" i="33"/>
  <c r="AK15" i="33"/>
  <c r="AL15" i="33"/>
  <c r="AM15" i="33"/>
  <c r="AN15" i="33"/>
  <c r="AO15" i="33"/>
  <c r="AP15" i="33"/>
  <c r="AQ15" i="33"/>
  <c r="AR15" i="33"/>
  <c r="D25" i="2"/>
  <c r="C25" i="2"/>
  <c r="E25" i="2"/>
  <c r="D27" i="33"/>
  <c r="E27" i="33"/>
  <c r="G27" i="33"/>
  <c r="H27" i="33"/>
  <c r="J27" i="33"/>
  <c r="K27" i="33"/>
  <c r="M27" i="33"/>
  <c r="N27" i="33"/>
  <c r="P27" i="33"/>
  <c r="Q27" i="33"/>
  <c r="R27" i="33"/>
  <c r="W27" i="33"/>
  <c r="X27" i="33"/>
  <c r="Y27" i="33"/>
  <c r="Z27" i="33"/>
  <c r="AB27" i="33"/>
  <c r="AC27" i="33"/>
  <c r="AE27" i="33"/>
  <c r="AF27" i="33"/>
  <c r="AG27" i="33"/>
  <c r="AH27" i="33"/>
  <c r="AI27" i="33"/>
  <c r="AJ27" i="33"/>
  <c r="AK27" i="33"/>
  <c r="AL27" i="33"/>
  <c r="AM27" i="33"/>
  <c r="AN27" i="33"/>
  <c r="AO27" i="33"/>
  <c r="AP27" i="33"/>
  <c r="AQ27" i="33"/>
  <c r="AR27" i="33"/>
  <c r="D26" i="2"/>
  <c r="C26" i="2"/>
  <c r="E26" i="2"/>
  <c r="D39" i="33"/>
  <c r="E39" i="33"/>
  <c r="G39" i="33"/>
  <c r="H39" i="33"/>
  <c r="J39" i="33"/>
  <c r="K39" i="33"/>
  <c r="M39" i="33"/>
  <c r="N39" i="33"/>
  <c r="P39" i="33"/>
  <c r="Q39" i="33"/>
  <c r="R39" i="33"/>
  <c r="W39" i="33"/>
  <c r="X39" i="33"/>
  <c r="Y39" i="33"/>
  <c r="Z39" i="33"/>
  <c r="AE39" i="33"/>
  <c r="AF39" i="33"/>
  <c r="AG39" i="33"/>
  <c r="AH39" i="33"/>
  <c r="AI39" i="33"/>
  <c r="AJ39" i="33"/>
  <c r="AK39" i="33"/>
  <c r="AL39" i="33"/>
  <c r="AM39" i="33"/>
  <c r="AN39" i="33"/>
  <c r="AO39" i="33"/>
  <c r="AP39" i="33"/>
  <c r="AQ39" i="33"/>
  <c r="AR39" i="33"/>
  <c r="D27" i="2"/>
  <c r="C27" i="2"/>
  <c r="E27" i="2"/>
  <c r="F24" i="2"/>
  <c r="D28" i="2"/>
  <c r="C28" i="2"/>
  <c r="E28" i="2"/>
  <c r="D29" i="2"/>
  <c r="C29" i="2"/>
  <c r="E29" i="2"/>
  <c r="D111" i="33"/>
  <c r="E111" i="33"/>
  <c r="G111" i="33"/>
  <c r="H111" i="33"/>
  <c r="J111" i="33"/>
  <c r="K111" i="33"/>
  <c r="M111" i="33"/>
  <c r="N111" i="33"/>
  <c r="P111" i="33"/>
  <c r="Q111" i="33"/>
  <c r="R111" i="33"/>
  <c r="W111" i="33"/>
  <c r="X111" i="33"/>
  <c r="Y111" i="33"/>
  <c r="Z111" i="33"/>
  <c r="AB111" i="33"/>
  <c r="AC111" i="33"/>
  <c r="AE111" i="33"/>
  <c r="AF111" i="33"/>
  <c r="AG111" i="33"/>
  <c r="AH111" i="33"/>
  <c r="AI111" i="33"/>
  <c r="AJ111" i="33"/>
  <c r="AK111" i="33"/>
  <c r="AL111" i="33"/>
  <c r="AM111" i="33"/>
  <c r="AN111" i="33"/>
  <c r="AO111" i="33"/>
  <c r="AP111" i="33"/>
  <c r="AQ111" i="33"/>
  <c r="AR111" i="33"/>
  <c r="D30" i="2"/>
  <c r="C30" i="2"/>
  <c r="E30" i="2"/>
  <c r="D123" i="33"/>
  <c r="E123" i="33"/>
  <c r="G123" i="33"/>
  <c r="H123" i="33"/>
  <c r="J123" i="33"/>
  <c r="K123" i="33"/>
  <c r="M123" i="33"/>
  <c r="N123" i="33"/>
  <c r="P123" i="33"/>
  <c r="Q123" i="33"/>
  <c r="R123" i="33"/>
  <c r="W123" i="33"/>
  <c r="X123" i="33"/>
  <c r="Y123" i="33"/>
  <c r="Z123" i="33"/>
  <c r="AB123" i="33"/>
  <c r="AC123" i="33"/>
  <c r="AE123" i="33"/>
  <c r="AF123" i="33"/>
  <c r="AG123" i="33"/>
  <c r="AH123" i="33"/>
  <c r="AI123" i="33"/>
  <c r="AJ123" i="33"/>
  <c r="AK123" i="33"/>
  <c r="AL123" i="33"/>
  <c r="AM123" i="33"/>
  <c r="AN123" i="33"/>
  <c r="AO123" i="33"/>
  <c r="AP123" i="33"/>
  <c r="AQ123" i="33"/>
  <c r="AR123" i="33"/>
  <c r="D31" i="2"/>
  <c r="C31" i="2"/>
  <c r="E31" i="2"/>
  <c r="F30" i="2"/>
  <c r="D135" i="33"/>
  <c r="E135" i="33"/>
  <c r="G135" i="33"/>
  <c r="H135" i="33"/>
  <c r="J135" i="33"/>
  <c r="K135" i="33"/>
  <c r="M135" i="33"/>
  <c r="N135" i="33"/>
  <c r="P135" i="33"/>
  <c r="Q135" i="33"/>
  <c r="R135" i="33"/>
  <c r="W135" i="33"/>
  <c r="X135" i="33"/>
  <c r="Y135" i="33"/>
  <c r="Z135" i="33"/>
  <c r="AB135" i="33"/>
  <c r="AC135" i="33"/>
  <c r="AE135" i="33"/>
  <c r="AF135" i="33"/>
  <c r="AG135" i="33"/>
  <c r="AH135" i="33"/>
  <c r="AI135" i="33"/>
  <c r="AJ135" i="33"/>
  <c r="AK135" i="33"/>
  <c r="AL135" i="33"/>
  <c r="AM135" i="33"/>
  <c r="AN135" i="33"/>
  <c r="AO135" i="33"/>
  <c r="AP135" i="33"/>
  <c r="AQ135" i="33"/>
  <c r="AR135" i="33"/>
  <c r="D32" i="2"/>
  <c r="C32" i="2"/>
  <c r="E32" i="2"/>
  <c r="D147" i="33"/>
  <c r="E147" i="33"/>
  <c r="G147" i="33"/>
  <c r="H147" i="33"/>
  <c r="J147" i="33"/>
  <c r="K147" i="33"/>
  <c r="M147" i="33"/>
  <c r="N147" i="33"/>
  <c r="P147" i="33"/>
  <c r="Q147" i="33"/>
  <c r="R147" i="33"/>
  <c r="W147" i="33"/>
  <c r="X147" i="33"/>
  <c r="Y147" i="33"/>
  <c r="Z147" i="33"/>
  <c r="AB147" i="33"/>
  <c r="AC147" i="33"/>
  <c r="AE147" i="33"/>
  <c r="AF147" i="33"/>
  <c r="AG147" i="33"/>
  <c r="AH147" i="33"/>
  <c r="AI147" i="33"/>
  <c r="AJ147" i="33"/>
  <c r="AK147" i="33"/>
  <c r="AL147" i="33"/>
  <c r="AM147" i="33"/>
  <c r="AN147" i="33"/>
  <c r="AO147" i="33"/>
  <c r="AP147" i="33"/>
  <c r="AQ147" i="33"/>
  <c r="AR147" i="33"/>
  <c r="D33" i="2"/>
  <c r="C33" i="2"/>
  <c r="E33" i="2"/>
  <c r="F32" i="2"/>
  <c r="D159" i="33"/>
  <c r="E159" i="33"/>
  <c r="G159" i="33"/>
  <c r="H159" i="33"/>
  <c r="J159" i="33"/>
  <c r="K159" i="33"/>
  <c r="M159" i="33"/>
  <c r="N159" i="33"/>
  <c r="P159" i="33"/>
  <c r="Q159" i="33"/>
  <c r="R159" i="33"/>
  <c r="W159" i="33"/>
  <c r="X159" i="33"/>
  <c r="Y159" i="33"/>
  <c r="Z159" i="33"/>
  <c r="AB159" i="33"/>
  <c r="AC159" i="33"/>
  <c r="AE159" i="33"/>
  <c r="AF159" i="33"/>
  <c r="AG159" i="33"/>
  <c r="AH159" i="33"/>
  <c r="AI159" i="33"/>
  <c r="AJ159" i="33"/>
  <c r="AK159" i="33"/>
  <c r="AL159" i="33"/>
  <c r="AM159" i="33"/>
  <c r="AN159" i="33"/>
  <c r="AO159" i="33"/>
  <c r="AP159" i="33"/>
  <c r="AQ159" i="33"/>
  <c r="AR159" i="33"/>
  <c r="D34" i="2"/>
  <c r="C34" i="2"/>
  <c r="E34" i="2"/>
  <c r="D171" i="33"/>
  <c r="E171" i="33"/>
  <c r="G171" i="33"/>
  <c r="H171" i="33"/>
  <c r="J171" i="33"/>
  <c r="K171" i="33"/>
  <c r="M171" i="33"/>
  <c r="N171" i="33"/>
  <c r="P171" i="33"/>
  <c r="Q171" i="33"/>
  <c r="R171" i="33"/>
  <c r="W171" i="33"/>
  <c r="X171" i="33"/>
  <c r="Y171" i="33"/>
  <c r="Z171" i="33"/>
  <c r="AB171" i="33"/>
  <c r="AC171" i="33"/>
  <c r="AE171" i="33"/>
  <c r="AF171" i="33"/>
  <c r="AG171" i="33"/>
  <c r="AH171" i="33"/>
  <c r="AI171" i="33"/>
  <c r="AJ171" i="33"/>
  <c r="AK171" i="33"/>
  <c r="AL171" i="33"/>
  <c r="AM171" i="33"/>
  <c r="AN171" i="33"/>
  <c r="AO171" i="33"/>
  <c r="AP171" i="33"/>
  <c r="AQ171" i="33"/>
  <c r="AR171" i="33"/>
  <c r="D35" i="2"/>
  <c r="C35" i="2"/>
  <c r="E35" i="2"/>
  <c r="F34" i="2"/>
  <c r="D183" i="33"/>
  <c r="E183" i="33"/>
  <c r="G183" i="33"/>
  <c r="H183" i="33"/>
  <c r="J183" i="33"/>
  <c r="K183" i="33"/>
  <c r="M183" i="33"/>
  <c r="N183" i="33"/>
  <c r="P183" i="33"/>
  <c r="Q183" i="33"/>
  <c r="R183" i="33"/>
  <c r="W183" i="33"/>
  <c r="X183" i="33"/>
  <c r="Y183" i="33"/>
  <c r="Z183" i="33"/>
  <c r="AB183" i="33"/>
  <c r="AC183" i="33"/>
  <c r="AE183" i="33"/>
  <c r="AF183" i="33"/>
  <c r="AG183" i="33"/>
  <c r="AH183" i="33"/>
  <c r="AI183" i="33"/>
  <c r="AJ183" i="33"/>
  <c r="AK183" i="33"/>
  <c r="AL183" i="33"/>
  <c r="AM183" i="33"/>
  <c r="AN183" i="33"/>
  <c r="AO183" i="33"/>
  <c r="AP183" i="33"/>
  <c r="AQ183" i="33"/>
  <c r="AR183" i="33"/>
  <c r="D36" i="2"/>
  <c r="C36" i="2"/>
  <c r="E36" i="2"/>
  <c r="D195" i="33"/>
  <c r="E195" i="33"/>
  <c r="G195" i="33"/>
  <c r="H195" i="33"/>
  <c r="J195" i="33"/>
  <c r="K195" i="33"/>
  <c r="M195" i="33"/>
  <c r="N195" i="33"/>
  <c r="P195" i="33"/>
  <c r="Q195" i="33"/>
  <c r="R195" i="33"/>
  <c r="W195" i="33"/>
  <c r="X195" i="33"/>
  <c r="Y195" i="33"/>
  <c r="Z195" i="33"/>
  <c r="AB195" i="33"/>
  <c r="AC195" i="33"/>
  <c r="AE195" i="33"/>
  <c r="AF195" i="33"/>
  <c r="AG195" i="33"/>
  <c r="AH195" i="33"/>
  <c r="AI195" i="33"/>
  <c r="AJ195" i="33"/>
  <c r="AK195" i="33"/>
  <c r="AL195" i="33"/>
  <c r="AM195" i="33"/>
  <c r="AN195" i="33"/>
  <c r="AO195" i="33"/>
  <c r="AP195" i="33"/>
  <c r="AQ195" i="33"/>
  <c r="AR195" i="33"/>
  <c r="D37" i="2"/>
  <c r="C37" i="2"/>
  <c r="E37" i="2"/>
  <c r="F36" i="2"/>
  <c r="D51" i="33"/>
  <c r="E51" i="33"/>
  <c r="G51" i="33"/>
  <c r="H51" i="33"/>
  <c r="J51" i="33"/>
  <c r="K51" i="33"/>
  <c r="M51" i="33"/>
  <c r="N51" i="33"/>
  <c r="P51" i="33"/>
  <c r="Q51" i="33"/>
  <c r="R51" i="33"/>
  <c r="W51" i="33"/>
  <c r="X51" i="33"/>
  <c r="Y51" i="33"/>
  <c r="Z51" i="33"/>
  <c r="AB51" i="33"/>
  <c r="AC51" i="33"/>
  <c r="AE51" i="33"/>
  <c r="AF51" i="33"/>
  <c r="AG51" i="33"/>
  <c r="AH51" i="33"/>
  <c r="AI51" i="33"/>
  <c r="AJ51" i="33"/>
  <c r="AK51" i="33"/>
  <c r="AL51" i="33"/>
  <c r="AM51" i="33"/>
  <c r="AN51" i="33"/>
  <c r="AO51" i="33"/>
  <c r="AP51" i="33"/>
  <c r="AQ51" i="33"/>
  <c r="AR51" i="33"/>
  <c r="D38" i="2"/>
  <c r="C38" i="2"/>
  <c r="E38" i="2"/>
  <c r="D63" i="33"/>
  <c r="E63" i="33"/>
  <c r="G63" i="33"/>
  <c r="H63" i="33"/>
  <c r="J63" i="33"/>
  <c r="K63" i="33"/>
  <c r="M63" i="33"/>
  <c r="N63" i="33"/>
  <c r="P63" i="33"/>
  <c r="Q63" i="33"/>
  <c r="R63" i="33"/>
  <c r="W63" i="33"/>
  <c r="X63" i="33"/>
  <c r="Y63" i="33"/>
  <c r="Z63" i="33"/>
  <c r="AB63" i="33"/>
  <c r="AC63" i="33"/>
  <c r="AE63" i="33"/>
  <c r="AF63" i="33"/>
  <c r="AG63" i="33"/>
  <c r="AH63" i="33"/>
  <c r="AI63" i="33"/>
  <c r="AJ63" i="33"/>
  <c r="AK63" i="33"/>
  <c r="AL63" i="33"/>
  <c r="AM63" i="33"/>
  <c r="AN63" i="33"/>
  <c r="AO63" i="33"/>
  <c r="AP63" i="33"/>
  <c r="AQ63" i="33"/>
  <c r="AR63" i="33"/>
  <c r="D39" i="2"/>
  <c r="C39" i="2"/>
  <c r="E39" i="2"/>
  <c r="D75" i="33"/>
  <c r="E75" i="33"/>
  <c r="G75" i="33"/>
  <c r="H75" i="33"/>
  <c r="J75" i="33"/>
  <c r="K75" i="33"/>
  <c r="M75" i="33"/>
  <c r="N75" i="33"/>
  <c r="P75" i="33"/>
  <c r="Q75" i="33"/>
  <c r="R75" i="33"/>
  <c r="W75" i="33"/>
  <c r="X75" i="33"/>
  <c r="Y75" i="33"/>
  <c r="Z75" i="33"/>
  <c r="AB75" i="33"/>
  <c r="AC75" i="33"/>
  <c r="AE75" i="33"/>
  <c r="AF75" i="33"/>
  <c r="AG75" i="33"/>
  <c r="AH75" i="33"/>
  <c r="AI75" i="33"/>
  <c r="AJ75" i="33"/>
  <c r="AK75" i="33"/>
  <c r="AL75" i="33"/>
  <c r="AM75" i="33"/>
  <c r="AN75" i="33"/>
  <c r="AO75" i="33"/>
  <c r="AP75" i="33"/>
  <c r="AQ75" i="33"/>
  <c r="AR75" i="33"/>
  <c r="D40" i="2"/>
  <c r="C40" i="2"/>
  <c r="E40" i="2"/>
  <c r="D87" i="33"/>
  <c r="E87" i="33"/>
  <c r="G87" i="33"/>
  <c r="H87" i="33"/>
  <c r="J87" i="33"/>
  <c r="K87" i="33"/>
  <c r="M87" i="33"/>
  <c r="N87" i="33"/>
  <c r="W87" i="33"/>
  <c r="X87" i="33"/>
  <c r="Y87" i="33"/>
  <c r="Z87" i="33"/>
  <c r="AB87" i="33"/>
  <c r="AC87" i="33"/>
  <c r="AE87" i="33"/>
  <c r="AF87" i="33"/>
  <c r="AG87" i="33"/>
  <c r="AH87" i="33"/>
  <c r="AI87" i="33"/>
  <c r="AJ87" i="33"/>
  <c r="AK87" i="33"/>
  <c r="AL87" i="33"/>
  <c r="AM87" i="33"/>
  <c r="AN87" i="33"/>
  <c r="AO87" i="33"/>
  <c r="AP87" i="33"/>
  <c r="AQ87" i="33"/>
  <c r="AR87" i="33"/>
  <c r="D41" i="2"/>
  <c r="C41" i="2"/>
  <c r="E41" i="2"/>
  <c r="F38" i="2"/>
  <c r="D99" i="33"/>
  <c r="E99" i="33"/>
  <c r="G99" i="33"/>
  <c r="H99" i="33"/>
  <c r="J99" i="33"/>
  <c r="K99" i="33"/>
  <c r="M99" i="33"/>
  <c r="N99" i="33"/>
  <c r="W99" i="33"/>
  <c r="X99" i="33"/>
  <c r="Y99" i="33"/>
  <c r="Z99" i="33"/>
  <c r="AE99" i="33"/>
  <c r="AF99" i="33"/>
  <c r="AG99" i="33"/>
  <c r="AH99" i="33"/>
  <c r="AI99" i="33"/>
  <c r="AJ99" i="33"/>
  <c r="AK99" i="33"/>
  <c r="AL99" i="33"/>
  <c r="AM99" i="33"/>
  <c r="AN99" i="33"/>
  <c r="AO99" i="33"/>
  <c r="AP99" i="33"/>
  <c r="AQ99" i="33"/>
  <c r="AR99" i="33"/>
  <c r="D44" i="2"/>
  <c r="C44" i="2"/>
  <c r="E44" i="2"/>
  <c r="F44" i="2"/>
  <c r="D47" i="2"/>
  <c r="C47" i="2"/>
  <c r="E47" i="2"/>
  <c r="F47" i="2"/>
  <c r="D48" i="2"/>
  <c r="C48" i="2"/>
  <c r="E48" i="2"/>
  <c r="D219" i="33"/>
  <c r="E219" i="33"/>
  <c r="G219" i="33"/>
  <c r="H219" i="33"/>
  <c r="J219" i="33"/>
  <c r="K219" i="33"/>
  <c r="M219" i="33"/>
  <c r="N219" i="33"/>
  <c r="P219" i="33"/>
  <c r="Q219" i="33"/>
  <c r="R219" i="33"/>
  <c r="Z219" i="33"/>
  <c r="AA219" i="33"/>
  <c r="AB219" i="33"/>
  <c r="AC219" i="33"/>
  <c r="AE219" i="33"/>
  <c r="AF219" i="33"/>
  <c r="AG219" i="33"/>
  <c r="AH219" i="33"/>
  <c r="AI219" i="33"/>
  <c r="AJ219" i="33"/>
  <c r="AK219" i="33"/>
  <c r="AL219" i="33"/>
  <c r="AM219" i="33"/>
  <c r="AN219" i="33"/>
  <c r="AO219" i="33"/>
  <c r="AP219" i="33"/>
  <c r="AQ219" i="33"/>
  <c r="AR219" i="33"/>
  <c r="D49" i="2"/>
  <c r="C49" i="2"/>
  <c r="E49" i="2"/>
  <c r="D231" i="33"/>
  <c r="E231" i="33"/>
  <c r="G231" i="33"/>
  <c r="H231" i="33"/>
  <c r="J231" i="33"/>
  <c r="K231" i="33"/>
  <c r="M231" i="33"/>
  <c r="N231" i="33"/>
  <c r="P231" i="33"/>
  <c r="Q231" i="33"/>
  <c r="R231" i="33"/>
  <c r="W231" i="33"/>
  <c r="X231" i="33"/>
  <c r="Z231" i="33"/>
  <c r="AA231" i="33"/>
  <c r="AB231" i="33"/>
  <c r="AC231" i="33"/>
  <c r="AE231" i="33"/>
  <c r="AF231" i="33"/>
  <c r="AG231" i="33"/>
  <c r="AH231" i="33"/>
  <c r="AI231" i="33"/>
  <c r="AJ231" i="33"/>
  <c r="AK231" i="33"/>
  <c r="AL231" i="33"/>
  <c r="AM231" i="33"/>
  <c r="AN231" i="33"/>
  <c r="AO231" i="33"/>
  <c r="AP231" i="33"/>
  <c r="AQ231" i="33"/>
  <c r="AR231" i="33"/>
  <c r="D50" i="2"/>
  <c r="C50" i="2"/>
  <c r="E50" i="2"/>
  <c r="D243" i="33"/>
  <c r="E243" i="33"/>
  <c r="G243" i="33"/>
  <c r="H243" i="33"/>
  <c r="J243" i="33"/>
  <c r="K243" i="33"/>
  <c r="M243" i="33"/>
  <c r="N243" i="33"/>
  <c r="P243" i="33"/>
  <c r="Q243" i="33"/>
  <c r="R243" i="33"/>
  <c r="W243" i="33"/>
  <c r="X243" i="33"/>
  <c r="Z243" i="33"/>
  <c r="AA243" i="33"/>
  <c r="AB243" i="33"/>
  <c r="AC243" i="33"/>
  <c r="AE243" i="33"/>
  <c r="AF243" i="33"/>
  <c r="AG243" i="33"/>
  <c r="AH243" i="33"/>
  <c r="AI243" i="33"/>
  <c r="AJ243" i="33"/>
  <c r="AK243" i="33"/>
  <c r="AL243" i="33"/>
  <c r="AM243" i="33"/>
  <c r="AN243" i="33"/>
  <c r="AO243" i="33"/>
  <c r="AP243" i="33"/>
  <c r="AQ243" i="33"/>
  <c r="AR243" i="33"/>
  <c r="D51" i="2"/>
  <c r="C51" i="2"/>
  <c r="E51" i="2"/>
  <c r="F48" i="2"/>
  <c r="D255" i="33"/>
  <c r="E255" i="33"/>
  <c r="G255" i="33"/>
  <c r="H255" i="33"/>
  <c r="J255" i="33"/>
  <c r="K255" i="33"/>
  <c r="M255" i="33"/>
  <c r="N255" i="33"/>
  <c r="P255" i="33"/>
  <c r="Q255" i="33"/>
  <c r="R255" i="33"/>
  <c r="W255" i="33"/>
  <c r="X255" i="33"/>
  <c r="Z255" i="33"/>
  <c r="AA255" i="33"/>
  <c r="AB255" i="33"/>
  <c r="AC255" i="33"/>
  <c r="AE255" i="33"/>
  <c r="AF255" i="33"/>
  <c r="AG255" i="33"/>
  <c r="AH255" i="33"/>
  <c r="AI255" i="33"/>
  <c r="AJ255" i="33"/>
  <c r="AK255" i="33"/>
  <c r="AL255" i="33"/>
  <c r="AM255" i="33"/>
  <c r="AN255" i="33"/>
  <c r="AO255" i="33"/>
  <c r="AP255" i="33"/>
  <c r="AQ255" i="33"/>
  <c r="AR255" i="33"/>
  <c r="D52" i="2"/>
  <c r="C52" i="2"/>
  <c r="E52" i="2"/>
  <c r="D267" i="33"/>
  <c r="E267" i="33"/>
  <c r="G267" i="33"/>
  <c r="H267" i="33"/>
  <c r="J267" i="33"/>
  <c r="K267" i="33"/>
  <c r="M267" i="33"/>
  <c r="N267" i="33"/>
  <c r="W267" i="33"/>
  <c r="X267" i="33"/>
  <c r="Z267" i="33"/>
  <c r="AA267" i="33"/>
  <c r="AB267" i="33"/>
  <c r="AC267" i="33"/>
  <c r="AE267" i="33"/>
  <c r="AF267" i="33"/>
  <c r="AG267" i="33"/>
  <c r="AH267" i="33"/>
  <c r="AI267" i="33"/>
  <c r="AJ267" i="33"/>
  <c r="AK267" i="33"/>
  <c r="AL267" i="33"/>
  <c r="AM267" i="33"/>
  <c r="AN267" i="33"/>
  <c r="AO267" i="33"/>
  <c r="AP267" i="33"/>
  <c r="AQ267" i="33"/>
  <c r="AR267" i="33"/>
  <c r="D53" i="2"/>
  <c r="C53" i="2"/>
  <c r="E53" i="2"/>
  <c r="F52" i="2"/>
  <c r="D57" i="2"/>
  <c r="C57" i="2"/>
  <c r="E57" i="2"/>
  <c r="D15" i="38"/>
  <c r="F15" i="38"/>
  <c r="G15" i="38"/>
  <c r="I15" i="38"/>
  <c r="J15" i="38"/>
  <c r="K15" i="38"/>
  <c r="M15" i="38"/>
  <c r="N15" i="38"/>
  <c r="P15" i="38"/>
  <c r="Q15" i="38"/>
  <c r="R15" i="38"/>
  <c r="S15" i="38"/>
  <c r="U15" i="38"/>
  <c r="W15" i="38"/>
  <c r="X15" i="38"/>
  <c r="Y15" i="38"/>
  <c r="AA15" i="38"/>
  <c r="AB15" i="38"/>
  <c r="AD15" i="38"/>
  <c r="AE15" i="38"/>
  <c r="AF15" i="38"/>
  <c r="AG15" i="38"/>
  <c r="AH15" i="38"/>
  <c r="AI15" i="38"/>
  <c r="AJ15" i="38"/>
  <c r="AK15" i="38"/>
  <c r="AL15" i="38"/>
  <c r="AM15" i="38"/>
  <c r="AN15" i="38"/>
  <c r="AO15" i="38"/>
  <c r="AP15" i="38"/>
  <c r="AQ15" i="38"/>
  <c r="AR15" i="38"/>
  <c r="AS15" i="38"/>
  <c r="D58" i="2"/>
  <c r="C58" i="2"/>
  <c r="E58" i="2"/>
  <c r="D27" i="38"/>
  <c r="F27" i="38"/>
  <c r="G27" i="38"/>
  <c r="I27" i="38"/>
  <c r="J27" i="38"/>
  <c r="K27" i="38"/>
  <c r="M27" i="38"/>
  <c r="N27" i="38"/>
  <c r="P27" i="38"/>
  <c r="Q27" i="38"/>
  <c r="R27" i="38"/>
  <c r="S27" i="38"/>
  <c r="U27" i="38"/>
  <c r="W27" i="38"/>
  <c r="X27" i="38"/>
  <c r="Y27" i="38"/>
  <c r="AA27" i="38"/>
  <c r="AB27" i="38"/>
  <c r="AD27" i="38"/>
  <c r="AE27" i="38"/>
  <c r="AF27" i="38"/>
  <c r="AG27" i="38"/>
  <c r="AH27" i="38"/>
  <c r="AI27" i="38"/>
  <c r="AJ27" i="38"/>
  <c r="AK27" i="38"/>
  <c r="AL27" i="38"/>
  <c r="AM27" i="38"/>
  <c r="AN27" i="38"/>
  <c r="AO27" i="38"/>
  <c r="AP27" i="38"/>
  <c r="AQ27" i="38"/>
  <c r="AR27" i="38"/>
  <c r="AS27" i="38"/>
  <c r="D59" i="2"/>
  <c r="C59" i="2"/>
  <c r="E59" i="2"/>
  <c r="D39" i="38"/>
  <c r="F39" i="38"/>
  <c r="G39" i="38"/>
  <c r="I39" i="38"/>
  <c r="J39" i="38"/>
  <c r="K39" i="38"/>
  <c r="M39" i="38"/>
  <c r="N39" i="38"/>
  <c r="P39" i="38"/>
  <c r="Q39" i="38"/>
  <c r="R39" i="38"/>
  <c r="S39" i="38"/>
  <c r="U39" i="38"/>
  <c r="W39" i="38"/>
  <c r="X39" i="38"/>
  <c r="Y39" i="38"/>
  <c r="AA39" i="38"/>
  <c r="AB39" i="38"/>
  <c r="AD39" i="38"/>
  <c r="AE39" i="38"/>
  <c r="AF39" i="38"/>
  <c r="AG39" i="38"/>
  <c r="AH39" i="38"/>
  <c r="AI39" i="38"/>
  <c r="AJ39" i="38"/>
  <c r="AK39" i="38"/>
  <c r="AL39" i="38"/>
  <c r="AM39" i="38"/>
  <c r="AN39" i="38"/>
  <c r="AO39" i="38"/>
  <c r="AP39" i="38"/>
  <c r="AQ39" i="38"/>
  <c r="AR39" i="38"/>
  <c r="AS39" i="38"/>
  <c r="D60" i="2"/>
  <c r="C60" i="2"/>
  <c r="E60" i="2"/>
  <c r="F57" i="2"/>
  <c r="D51" i="38"/>
  <c r="F51" i="38"/>
  <c r="G51" i="38"/>
  <c r="I51" i="38"/>
  <c r="J51" i="38"/>
  <c r="K51" i="38"/>
  <c r="M51" i="38"/>
  <c r="N51" i="38"/>
  <c r="P51" i="38"/>
  <c r="Q51" i="38"/>
  <c r="R51" i="38"/>
  <c r="S51" i="38"/>
  <c r="U51" i="38"/>
  <c r="W51" i="38"/>
  <c r="X51" i="38"/>
  <c r="Y51" i="38"/>
  <c r="AA51" i="38"/>
  <c r="AB51" i="38"/>
  <c r="AD51" i="38"/>
  <c r="AE51" i="38"/>
  <c r="AF51" i="38"/>
  <c r="AG51" i="38"/>
  <c r="AH51" i="38"/>
  <c r="AI51" i="38"/>
  <c r="AJ51" i="38"/>
  <c r="AK51" i="38"/>
  <c r="AL51" i="38"/>
  <c r="AM51" i="38"/>
  <c r="AN51" i="38"/>
  <c r="AO51" i="38"/>
  <c r="AP51" i="38"/>
  <c r="AQ51" i="38"/>
  <c r="AR51" i="38"/>
  <c r="AS51" i="38"/>
  <c r="D61" i="2"/>
  <c r="C61" i="2"/>
  <c r="E61" i="2"/>
  <c r="D63" i="38"/>
  <c r="F63" i="38"/>
  <c r="G63" i="38"/>
  <c r="I63" i="38"/>
  <c r="J63" i="38"/>
  <c r="K63" i="38"/>
  <c r="M63" i="38"/>
  <c r="N63" i="38"/>
  <c r="P63" i="38"/>
  <c r="Q63" i="38"/>
  <c r="R63" i="38"/>
  <c r="S63" i="38"/>
  <c r="U63" i="38"/>
  <c r="W63" i="38"/>
  <c r="X63" i="38"/>
  <c r="Y63" i="38"/>
  <c r="AA63" i="38"/>
  <c r="AB63" i="38"/>
  <c r="AD63" i="38"/>
  <c r="AE63" i="38"/>
  <c r="AF63" i="38"/>
  <c r="AG63" i="38"/>
  <c r="AH63" i="38"/>
  <c r="AI63" i="38"/>
  <c r="AJ63" i="38"/>
  <c r="AK63" i="38"/>
  <c r="AL63" i="38"/>
  <c r="AM63" i="38"/>
  <c r="AN63" i="38"/>
  <c r="AO63" i="38"/>
  <c r="AP63" i="38"/>
  <c r="AQ63" i="38"/>
  <c r="AR63" i="38"/>
  <c r="AS63" i="38"/>
  <c r="D62" i="2"/>
  <c r="C62" i="2"/>
  <c r="E62" i="2"/>
  <c r="D75" i="38"/>
  <c r="F75" i="38"/>
  <c r="G75" i="38"/>
  <c r="I75" i="38"/>
  <c r="J75" i="38"/>
  <c r="K75" i="38"/>
  <c r="M75" i="38"/>
  <c r="N75" i="38"/>
  <c r="P75" i="38"/>
  <c r="Q75" i="38"/>
  <c r="R75" i="38"/>
  <c r="S75" i="38"/>
  <c r="U75" i="38"/>
  <c r="W75" i="38"/>
  <c r="X75" i="38"/>
  <c r="Y75" i="38"/>
  <c r="AA75" i="38"/>
  <c r="AB75" i="38"/>
  <c r="AD75" i="38"/>
  <c r="AE75" i="38"/>
  <c r="AF75" i="38"/>
  <c r="AG75" i="38"/>
  <c r="AH75" i="38"/>
  <c r="AI75" i="38"/>
  <c r="AJ75" i="38"/>
  <c r="AK75" i="38"/>
  <c r="AL75" i="38"/>
  <c r="AM75" i="38"/>
  <c r="AN75" i="38"/>
  <c r="AO75" i="38"/>
  <c r="AP75" i="38"/>
  <c r="AQ75" i="38"/>
  <c r="AR75" i="38"/>
  <c r="AS75" i="38"/>
  <c r="D63" i="2"/>
  <c r="C63" i="2"/>
  <c r="E63" i="2"/>
  <c r="D87" i="38"/>
  <c r="F87" i="38"/>
  <c r="G87" i="38"/>
  <c r="I87" i="38"/>
  <c r="J87" i="38"/>
  <c r="K87" i="38"/>
  <c r="M87" i="38"/>
  <c r="N87" i="38"/>
  <c r="P87" i="38"/>
  <c r="Q87" i="38"/>
  <c r="R87" i="38"/>
  <c r="S87" i="38"/>
  <c r="U87" i="38"/>
  <c r="W87" i="38"/>
  <c r="X87" i="38"/>
  <c r="AA87" i="38"/>
  <c r="AB87" i="38"/>
  <c r="AD87" i="38"/>
  <c r="AE87" i="38"/>
  <c r="AF87" i="38"/>
  <c r="AG87" i="38"/>
  <c r="AH87" i="38"/>
  <c r="AI87" i="38"/>
  <c r="AJ87" i="38"/>
  <c r="AK87" i="38"/>
  <c r="AL87" i="38"/>
  <c r="AM87" i="38"/>
  <c r="AN87" i="38"/>
  <c r="AO87" i="38"/>
  <c r="AP87" i="38"/>
  <c r="AQ87" i="38"/>
  <c r="AR87" i="38"/>
  <c r="AS87" i="38"/>
  <c r="D64" i="2"/>
  <c r="C64" i="2"/>
  <c r="E64" i="2"/>
  <c r="F61" i="2"/>
  <c r="D147" i="38"/>
  <c r="F147" i="38"/>
  <c r="G147" i="38"/>
  <c r="I147" i="38"/>
  <c r="D65" i="2"/>
  <c r="C65" i="2"/>
  <c r="E65" i="2"/>
  <c r="F65" i="2"/>
  <c r="D99" i="38"/>
  <c r="F99" i="38"/>
  <c r="G99" i="38"/>
  <c r="I99" i="38"/>
  <c r="J99" i="38"/>
  <c r="K99" i="38"/>
  <c r="M99" i="38"/>
  <c r="N99" i="38"/>
  <c r="Q99" i="38"/>
  <c r="R99" i="38"/>
  <c r="S99" i="38"/>
  <c r="U99" i="38"/>
  <c r="W99" i="38"/>
  <c r="X99" i="38"/>
  <c r="Y99" i="38"/>
  <c r="AA99" i="38"/>
  <c r="AB99" i="38"/>
  <c r="AD99" i="38"/>
  <c r="AE99" i="38"/>
  <c r="AF99" i="38"/>
  <c r="AG99" i="38"/>
  <c r="AH99" i="38"/>
  <c r="AI99" i="38"/>
  <c r="AJ99" i="38"/>
  <c r="AK99" i="38"/>
  <c r="AL99" i="38"/>
  <c r="AM99" i="38"/>
  <c r="AN99" i="38"/>
  <c r="AO99" i="38"/>
  <c r="AP99" i="38"/>
  <c r="AQ99" i="38"/>
  <c r="AR99" i="38"/>
  <c r="AS99" i="38"/>
  <c r="D66" i="2"/>
  <c r="C66" i="2"/>
  <c r="E66" i="2"/>
  <c r="D111" i="38"/>
  <c r="F111" i="38"/>
  <c r="G111" i="38"/>
  <c r="I111" i="38"/>
  <c r="J111" i="38"/>
  <c r="K111" i="38"/>
  <c r="M111" i="38"/>
  <c r="N111" i="38"/>
  <c r="P111" i="38"/>
  <c r="Q111" i="38"/>
  <c r="R111" i="38"/>
  <c r="S111" i="38"/>
  <c r="U111" i="38"/>
  <c r="W111" i="38"/>
  <c r="X111" i="38"/>
  <c r="Y111" i="38"/>
  <c r="AA111" i="38"/>
  <c r="AB111" i="38"/>
  <c r="AD111" i="38"/>
  <c r="AE111" i="38"/>
  <c r="AF111" i="38"/>
  <c r="AG111" i="38"/>
  <c r="AH111" i="38"/>
  <c r="AI111" i="38"/>
  <c r="AJ111" i="38"/>
  <c r="AK111" i="38"/>
  <c r="AL111" i="38"/>
  <c r="AM111" i="38"/>
  <c r="AN111" i="38"/>
  <c r="AO111" i="38"/>
  <c r="AP111" i="38"/>
  <c r="AQ111" i="38"/>
  <c r="AR111" i="38"/>
  <c r="AS111" i="38"/>
  <c r="D67" i="2"/>
  <c r="C67" i="2"/>
  <c r="E67" i="2"/>
  <c r="D123" i="38"/>
  <c r="F123" i="38"/>
  <c r="G123" i="38"/>
  <c r="I123" i="38"/>
  <c r="J123" i="38"/>
  <c r="K123" i="38"/>
  <c r="M123" i="38"/>
  <c r="N123" i="38"/>
  <c r="P123" i="38"/>
  <c r="Q123" i="38"/>
  <c r="R123" i="38"/>
  <c r="S123" i="38"/>
  <c r="U123" i="38"/>
  <c r="W123" i="38"/>
  <c r="X123" i="38"/>
  <c r="Y123" i="38"/>
  <c r="AA123" i="38"/>
  <c r="AB123" i="38"/>
  <c r="AD123" i="38"/>
  <c r="AE123" i="38"/>
  <c r="AF123" i="38"/>
  <c r="AG123" i="38"/>
  <c r="AH123" i="38"/>
  <c r="AI123" i="38"/>
  <c r="AJ123" i="38"/>
  <c r="AK123" i="38"/>
  <c r="AL123" i="38"/>
  <c r="AM123" i="38"/>
  <c r="AN123" i="38"/>
  <c r="AO123" i="38"/>
  <c r="AP123" i="38"/>
  <c r="AQ123" i="38"/>
  <c r="AR123" i="38"/>
  <c r="AS123" i="38"/>
  <c r="D68" i="2"/>
  <c r="C68" i="2"/>
  <c r="E68" i="2"/>
  <c r="D135" i="38"/>
  <c r="F135" i="38"/>
  <c r="G135" i="38"/>
  <c r="I135" i="38"/>
  <c r="J135" i="38"/>
  <c r="K135" i="38"/>
  <c r="M135" i="38"/>
  <c r="N135" i="38"/>
  <c r="P135" i="38"/>
  <c r="Q135" i="38"/>
  <c r="R135" i="38"/>
  <c r="S135" i="38"/>
  <c r="U135" i="38"/>
  <c r="W135" i="38"/>
  <c r="X135" i="38"/>
  <c r="Y135" i="38"/>
  <c r="AA135" i="38"/>
  <c r="AB135" i="38"/>
  <c r="AD135" i="38"/>
  <c r="AE135" i="38"/>
  <c r="AF135" i="38"/>
  <c r="AG135" i="38"/>
  <c r="AH135" i="38"/>
  <c r="AI135" i="38"/>
  <c r="AJ135" i="38"/>
  <c r="AK135" i="38"/>
  <c r="AL135" i="38"/>
  <c r="AM135" i="38"/>
  <c r="AN135" i="38"/>
  <c r="AO135" i="38"/>
  <c r="AP135" i="38"/>
  <c r="AQ135" i="38"/>
  <c r="AR135" i="38"/>
  <c r="AS135" i="38"/>
  <c r="D69" i="2"/>
  <c r="C69" i="2"/>
  <c r="E69" i="2"/>
  <c r="F66" i="2"/>
  <c r="D159" i="38"/>
  <c r="F159" i="38"/>
  <c r="G159" i="38"/>
  <c r="I159" i="38"/>
  <c r="J159" i="38"/>
  <c r="K159" i="38"/>
  <c r="M159" i="38"/>
  <c r="N159" i="38"/>
  <c r="P159" i="38"/>
  <c r="Q159" i="38"/>
  <c r="R159" i="38"/>
  <c r="S159" i="38"/>
  <c r="U159" i="38"/>
  <c r="W159" i="38"/>
  <c r="X159" i="38"/>
  <c r="Y159" i="38"/>
  <c r="AA159" i="38"/>
  <c r="AB159" i="38"/>
  <c r="AD159" i="38"/>
  <c r="AE159" i="38"/>
  <c r="AF159" i="38"/>
  <c r="AG159" i="38"/>
  <c r="AH159" i="38"/>
  <c r="AI159" i="38"/>
  <c r="AJ159" i="38"/>
  <c r="AK159" i="38"/>
  <c r="AL159" i="38"/>
  <c r="AM159" i="38"/>
  <c r="AN159" i="38"/>
  <c r="AO159" i="38"/>
  <c r="AP159" i="38"/>
  <c r="AQ159" i="38"/>
  <c r="AR159" i="38"/>
  <c r="AS159" i="38"/>
  <c r="D70" i="2"/>
  <c r="C70" i="2"/>
  <c r="E70" i="2"/>
  <c r="F70" i="2"/>
  <c r="D171" i="38"/>
  <c r="F171" i="38"/>
  <c r="G171" i="38"/>
  <c r="I171" i="38"/>
  <c r="J171" i="38"/>
  <c r="K171" i="38"/>
  <c r="M171" i="38"/>
  <c r="N171" i="38"/>
  <c r="P171" i="38"/>
  <c r="Q171" i="38"/>
  <c r="R171" i="38"/>
  <c r="S171" i="38"/>
  <c r="U171" i="38"/>
  <c r="W171" i="38"/>
  <c r="X171" i="38"/>
  <c r="Y171" i="38"/>
  <c r="AA171" i="38"/>
  <c r="AB171" i="38"/>
  <c r="AD171" i="38"/>
  <c r="AE171" i="38"/>
  <c r="AF171" i="38"/>
  <c r="AG171" i="38"/>
  <c r="AH171" i="38"/>
  <c r="AI171" i="38"/>
  <c r="AJ171" i="38"/>
  <c r="AK171" i="38"/>
  <c r="AL171" i="38"/>
  <c r="AM171" i="38"/>
  <c r="AN171" i="38"/>
  <c r="AO171" i="38"/>
  <c r="AP171" i="38"/>
  <c r="AQ171" i="38"/>
  <c r="AR171" i="38"/>
  <c r="AS171" i="38"/>
  <c r="D71" i="2"/>
  <c r="C71" i="2"/>
  <c r="E71" i="2"/>
  <c r="D183" i="38"/>
  <c r="F183" i="38"/>
  <c r="G183" i="38"/>
  <c r="I183" i="38"/>
  <c r="J183" i="38"/>
  <c r="K183" i="38"/>
  <c r="M183" i="38"/>
  <c r="N183" i="38"/>
  <c r="P183" i="38"/>
  <c r="Q183" i="38"/>
  <c r="R183" i="38"/>
  <c r="S183" i="38"/>
  <c r="U183" i="38"/>
  <c r="W183" i="38"/>
  <c r="X183" i="38"/>
  <c r="Y183" i="38"/>
  <c r="AA183" i="38"/>
  <c r="AB183" i="38"/>
  <c r="AD183" i="38"/>
  <c r="AE183" i="38"/>
  <c r="AF183" i="38"/>
  <c r="AG183" i="38"/>
  <c r="AH183" i="38"/>
  <c r="AI183" i="38"/>
  <c r="AJ183" i="38"/>
  <c r="AK183" i="38"/>
  <c r="AL183" i="38"/>
  <c r="AM183" i="38"/>
  <c r="AN183" i="38"/>
  <c r="AO183" i="38"/>
  <c r="AP183" i="38"/>
  <c r="AQ183" i="38"/>
  <c r="AR183" i="38"/>
  <c r="AS183" i="38"/>
  <c r="D72" i="2"/>
  <c r="C72" i="2"/>
  <c r="E72" i="2"/>
  <c r="D195" i="38"/>
  <c r="F195" i="38"/>
  <c r="G195" i="38"/>
  <c r="I195" i="38"/>
  <c r="J195" i="38"/>
  <c r="K195" i="38"/>
  <c r="M195" i="38"/>
  <c r="N195" i="38"/>
  <c r="P195" i="38"/>
  <c r="Q195" i="38"/>
  <c r="R195" i="38"/>
  <c r="S195" i="38"/>
  <c r="U195" i="38"/>
  <c r="W195" i="38"/>
  <c r="X195" i="38"/>
  <c r="Y195" i="38"/>
  <c r="AA195" i="38"/>
  <c r="AB195" i="38"/>
  <c r="AD195" i="38"/>
  <c r="AE195" i="38"/>
  <c r="AF195" i="38"/>
  <c r="AG195" i="38"/>
  <c r="AH195" i="38"/>
  <c r="AI195" i="38"/>
  <c r="AJ195" i="38"/>
  <c r="AK195" i="38"/>
  <c r="AL195" i="38"/>
  <c r="AM195" i="38"/>
  <c r="AN195" i="38"/>
  <c r="AO195" i="38"/>
  <c r="AP195" i="38"/>
  <c r="AQ195" i="38"/>
  <c r="AR195" i="38"/>
  <c r="AS195" i="38"/>
  <c r="D73" i="2"/>
  <c r="C73" i="2"/>
  <c r="E73" i="2"/>
  <c r="D207" i="38"/>
  <c r="F207" i="38"/>
  <c r="G207" i="38"/>
  <c r="I207" i="38"/>
  <c r="J207" i="38"/>
  <c r="K207" i="38"/>
  <c r="M207" i="38"/>
  <c r="N207" i="38"/>
  <c r="P207" i="38"/>
  <c r="Q207" i="38"/>
  <c r="R207" i="38"/>
  <c r="S207" i="38"/>
  <c r="U207" i="38"/>
  <c r="W207" i="38"/>
  <c r="X207" i="38"/>
  <c r="Y207" i="38"/>
  <c r="AA207" i="38"/>
  <c r="AB207" i="38"/>
  <c r="AD207" i="38"/>
  <c r="AE207" i="38"/>
  <c r="AF207" i="38"/>
  <c r="AG207" i="38"/>
  <c r="AH207" i="38"/>
  <c r="AI207" i="38"/>
  <c r="AJ207" i="38"/>
  <c r="AK207" i="38"/>
  <c r="AL207" i="38"/>
  <c r="AM207" i="38"/>
  <c r="AN207" i="38"/>
  <c r="AO207" i="38"/>
  <c r="AP207" i="38"/>
  <c r="AQ207" i="38"/>
  <c r="AR207" i="38"/>
  <c r="AS207" i="38"/>
  <c r="D74" i="2"/>
  <c r="C74" i="2"/>
  <c r="E74" i="2"/>
  <c r="F71" i="2"/>
  <c r="D219" i="38"/>
  <c r="F219" i="38"/>
  <c r="G219" i="38"/>
  <c r="I219" i="38"/>
  <c r="J219" i="38"/>
  <c r="K219" i="38"/>
  <c r="M219" i="38"/>
  <c r="N219" i="38"/>
  <c r="P219" i="38"/>
  <c r="Q219" i="38"/>
  <c r="R219" i="38"/>
  <c r="S219" i="38"/>
  <c r="U219" i="38"/>
  <c r="W219" i="38"/>
  <c r="X219" i="38"/>
  <c r="Y219" i="38"/>
  <c r="AA219" i="38"/>
  <c r="AB219" i="38"/>
  <c r="AD219" i="38"/>
  <c r="AE219" i="38"/>
  <c r="AF219" i="38"/>
  <c r="AG219" i="38"/>
  <c r="AH219" i="38"/>
  <c r="AI219" i="38"/>
  <c r="AJ219" i="38"/>
  <c r="AK219" i="38"/>
  <c r="AL219" i="38"/>
  <c r="AM219" i="38"/>
  <c r="AN219" i="38"/>
  <c r="AO219" i="38"/>
  <c r="AP219" i="38"/>
  <c r="AQ219" i="38"/>
  <c r="AR219" i="38"/>
  <c r="AS219" i="38"/>
  <c r="D75" i="2"/>
  <c r="C75" i="2"/>
  <c r="E75" i="2"/>
  <c r="D231" i="38"/>
  <c r="F231" i="38"/>
  <c r="G231" i="38"/>
  <c r="I231" i="38"/>
  <c r="J231" i="38"/>
  <c r="K231" i="38"/>
  <c r="M231" i="38"/>
  <c r="N231" i="38"/>
  <c r="P231" i="38"/>
  <c r="Q231" i="38"/>
  <c r="R231" i="38"/>
  <c r="S231" i="38"/>
  <c r="U231" i="38"/>
  <c r="W231" i="38"/>
  <c r="X231" i="38"/>
  <c r="Y231" i="38"/>
  <c r="AA231" i="38"/>
  <c r="AB231" i="38"/>
  <c r="AD231" i="38"/>
  <c r="AE231" i="38"/>
  <c r="AF231" i="38"/>
  <c r="AG231" i="38"/>
  <c r="AH231" i="38"/>
  <c r="AI231" i="38"/>
  <c r="AJ231" i="38"/>
  <c r="AK231" i="38"/>
  <c r="AL231" i="38"/>
  <c r="AM231" i="38"/>
  <c r="AN231" i="38"/>
  <c r="AO231" i="38"/>
  <c r="AP231" i="38"/>
  <c r="AQ231" i="38"/>
  <c r="AR231" i="38"/>
  <c r="AS231" i="38"/>
  <c r="D76" i="2"/>
  <c r="C76" i="2"/>
  <c r="E76" i="2"/>
  <c r="D243" i="38"/>
  <c r="F243" i="38"/>
  <c r="G243" i="38"/>
  <c r="I243" i="38"/>
  <c r="J243" i="38"/>
  <c r="K243" i="38"/>
  <c r="M243" i="38"/>
  <c r="N243" i="38"/>
  <c r="P243" i="38"/>
  <c r="Q243" i="38"/>
  <c r="R243" i="38"/>
  <c r="S243" i="38"/>
  <c r="U243" i="38"/>
  <c r="W243" i="38"/>
  <c r="X243" i="38"/>
  <c r="Y243" i="38"/>
  <c r="AA243" i="38"/>
  <c r="AB243" i="38"/>
  <c r="AD243" i="38"/>
  <c r="AE243" i="38"/>
  <c r="AF243" i="38"/>
  <c r="AG243" i="38"/>
  <c r="AH243" i="38"/>
  <c r="AI243" i="38"/>
  <c r="AJ243" i="38"/>
  <c r="AK243" i="38"/>
  <c r="AL243" i="38"/>
  <c r="AM243" i="38"/>
  <c r="AN243" i="38"/>
  <c r="AO243" i="38"/>
  <c r="AP243" i="38"/>
  <c r="AQ243" i="38"/>
  <c r="AR243" i="38"/>
  <c r="AS243" i="38"/>
  <c r="D77" i="2"/>
  <c r="C77" i="2"/>
  <c r="E77" i="2"/>
  <c r="D255" i="38"/>
  <c r="F255" i="38"/>
  <c r="G255" i="38"/>
  <c r="I255" i="38"/>
  <c r="J255" i="38"/>
  <c r="K255" i="38"/>
  <c r="M255" i="38"/>
  <c r="N255" i="38"/>
  <c r="P255" i="38"/>
  <c r="Q255" i="38"/>
  <c r="R255" i="38"/>
  <c r="S255" i="38"/>
  <c r="U255" i="38"/>
  <c r="W255" i="38"/>
  <c r="X255" i="38"/>
  <c r="Y255" i="38"/>
  <c r="AA255" i="38"/>
  <c r="AB255" i="38"/>
  <c r="AD255" i="38"/>
  <c r="AE255" i="38"/>
  <c r="AF255" i="38"/>
  <c r="AG255" i="38"/>
  <c r="AH255" i="38"/>
  <c r="AI255" i="38"/>
  <c r="AJ255" i="38"/>
  <c r="AK255" i="38"/>
  <c r="AL255" i="38"/>
  <c r="AM255" i="38"/>
  <c r="AN255" i="38"/>
  <c r="AO255" i="38"/>
  <c r="AP255" i="38"/>
  <c r="AQ255" i="38"/>
  <c r="AR255" i="38"/>
  <c r="AS255" i="38"/>
  <c r="D78" i="2"/>
  <c r="C78" i="2"/>
  <c r="E78" i="2"/>
  <c r="F75" i="2"/>
  <c r="D81" i="2"/>
  <c r="C81" i="2"/>
  <c r="E81" i="2"/>
  <c r="D15" i="41"/>
  <c r="F15" i="41"/>
  <c r="G15" i="41"/>
  <c r="I15" i="41"/>
  <c r="J15" i="41"/>
  <c r="K15" i="41"/>
  <c r="M15" i="41"/>
  <c r="N15" i="41"/>
  <c r="P15" i="41"/>
  <c r="Q15" i="41"/>
  <c r="R15" i="41"/>
  <c r="S15" i="41"/>
  <c r="U15" i="41"/>
  <c r="W15" i="41"/>
  <c r="X15" i="41"/>
  <c r="Y15" i="41"/>
  <c r="AA15" i="41"/>
  <c r="AB15" i="41"/>
  <c r="AD15" i="41"/>
  <c r="AE15" i="41"/>
  <c r="AF15" i="41"/>
  <c r="AG15" i="41"/>
  <c r="AH15" i="41"/>
  <c r="AI15" i="41"/>
  <c r="AJ15" i="41"/>
  <c r="AK15" i="41"/>
  <c r="AL15" i="41"/>
  <c r="AM15" i="41"/>
  <c r="AN15" i="41"/>
  <c r="AO15" i="41"/>
  <c r="AP15" i="41"/>
  <c r="AQ15" i="41"/>
  <c r="AR15" i="41"/>
  <c r="AS15" i="41"/>
  <c r="D82" i="2"/>
  <c r="C82" i="2"/>
  <c r="E82" i="2"/>
  <c r="D27" i="41"/>
  <c r="F27" i="41"/>
  <c r="G27" i="41"/>
  <c r="I27" i="41"/>
  <c r="J27" i="41"/>
  <c r="K27" i="41"/>
  <c r="M27" i="41"/>
  <c r="N27" i="41"/>
  <c r="P27" i="41"/>
  <c r="Q27" i="41"/>
  <c r="R27" i="41"/>
  <c r="S27" i="41"/>
  <c r="U27" i="41"/>
  <c r="W27" i="41"/>
  <c r="X27" i="41"/>
  <c r="Y27" i="41"/>
  <c r="AA27" i="41"/>
  <c r="AB27" i="41"/>
  <c r="AD27" i="41"/>
  <c r="AE27" i="41"/>
  <c r="AF27" i="41"/>
  <c r="AG27" i="41"/>
  <c r="AH27" i="41"/>
  <c r="AI27" i="41"/>
  <c r="AJ27" i="41"/>
  <c r="AK27" i="41"/>
  <c r="AL27" i="41"/>
  <c r="AM27" i="41"/>
  <c r="AN27" i="41"/>
  <c r="AO27" i="41"/>
  <c r="AP27" i="41"/>
  <c r="AQ27" i="41"/>
  <c r="AR27" i="41"/>
  <c r="AS27" i="41"/>
  <c r="D83" i="2"/>
  <c r="C83" i="2"/>
  <c r="E83" i="2"/>
  <c r="D39" i="41"/>
  <c r="F39" i="41"/>
  <c r="G39" i="41"/>
  <c r="I39" i="41"/>
  <c r="J39" i="41"/>
  <c r="K39" i="41"/>
  <c r="M39" i="41"/>
  <c r="N39" i="41"/>
  <c r="P39" i="41"/>
  <c r="Q39" i="41"/>
  <c r="R39" i="41"/>
  <c r="S39" i="41"/>
  <c r="U39" i="41"/>
  <c r="W39" i="41"/>
  <c r="X39" i="41"/>
  <c r="Y39" i="41"/>
  <c r="AA39" i="41"/>
  <c r="AB39" i="41"/>
  <c r="AD39" i="41"/>
  <c r="AE39" i="41"/>
  <c r="AF39" i="41"/>
  <c r="AG39" i="41"/>
  <c r="AH39" i="41"/>
  <c r="AI39" i="41"/>
  <c r="AJ39" i="41"/>
  <c r="AK39" i="41"/>
  <c r="AL39" i="41"/>
  <c r="AM39" i="41"/>
  <c r="AN39" i="41"/>
  <c r="AO39" i="41"/>
  <c r="AP39" i="41"/>
  <c r="AQ39" i="41"/>
  <c r="AR39" i="41"/>
  <c r="AS39" i="41"/>
  <c r="D84" i="2"/>
  <c r="C84" i="2"/>
  <c r="E84" i="2"/>
  <c r="F81" i="2"/>
  <c r="D51" i="41"/>
  <c r="F51" i="41"/>
  <c r="G51" i="41"/>
  <c r="I51" i="41"/>
  <c r="J51" i="41"/>
  <c r="K51" i="41"/>
  <c r="M51" i="41"/>
  <c r="N51" i="41"/>
  <c r="P51" i="41"/>
  <c r="Q51" i="41"/>
  <c r="R51" i="41"/>
  <c r="S51" i="41"/>
  <c r="U51" i="41"/>
  <c r="W51" i="41"/>
  <c r="X51" i="41"/>
  <c r="Y51" i="41"/>
  <c r="AA51" i="41"/>
  <c r="AB51" i="41"/>
  <c r="AD51" i="41"/>
  <c r="AE51" i="41"/>
  <c r="AF51" i="41"/>
  <c r="AG51" i="41"/>
  <c r="AH51" i="41"/>
  <c r="AI51" i="41"/>
  <c r="AJ51" i="41"/>
  <c r="AK51" i="41"/>
  <c r="AL51" i="41"/>
  <c r="AM51" i="41"/>
  <c r="AN51" i="41"/>
  <c r="AO51" i="41"/>
  <c r="AP51" i="41"/>
  <c r="AQ51" i="41"/>
  <c r="AR51" i="41"/>
  <c r="AS51" i="41"/>
  <c r="D85" i="2"/>
  <c r="C85" i="2"/>
  <c r="E85" i="2"/>
  <c r="D63" i="41"/>
  <c r="F63" i="41"/>
  <c r="G63" i="41"/>
  <c r="I63" i="41"/>
  <c r="J63" i="41"/>
  <c r="K63" i="41"/>
  <c r="M63" i="41"/>
  <c r="N63" i="41"/>
  <c r="P63" i="41"/>
  <c r="Q63" i="41"/>
  <c r="R63" i="41"/>
  <c r="S63" i="41"/>
  <c r="U63" i="41"/>
  <c r="W63" i="41"/>
  <c r="X63" i="41"/>
  <c r="Y63" i="41"/>
  <c r="AA63" i="41"/>
  <c r="AB63" i="41"/>
  <c r="AD63" i="41"/>
  <c r="AE63" i="41"/>
  <c r="AF63" i="41"/>
  <c r="AG63" i="41"/>
  <c r="AH63" i="41"/>
  <c r="AI63" i="41"/>
  <c r="AJ63" i="41"/>
  <c r="AK63" i="41"/>
  <c r="AL63" i="41"/>
  <c r="AM63" i="41"/>
  <c r="AN63" i="41"/>
  <c r="AO63" i="41"/>
  <c r="AP63" i="41"/>
  <c r="AQ63" i="41"/>
  <c r="AR63" i="41"/>
  <c r="AS63" i="41"/>
  <c r="D86" i="2"/>
  <c r="C86" i="2"/>
  <c r="E86" i="2"/>
  <c r="D75" i="41"/>
  <c r="F75" i="41"/>
  <c r="G75" i="41"/>
  <c r="I75" i="41"/>
  <c r="J75" i="41"/>
  <c r="K75" i="41"/>
  <c r="M75" i="41"/>
  <c r="N75" i="41"/>
  <c r="P75" i="41"/>
  <c r="Q75" i="41"/>
  <c r="R75" i="41"/>
  <c r="S75" i="41"/>
  <c r="U75" i="41"/>
  <c r="W75" i="41"/>
  <c r="X75" i="41"/>
  <c r="Y75" i="41"/>
  <c r="AA75" i="41"/>
  <c r="AB75" i="41"/>
  <c r="AD75" i="41"/>
  <c r="AE75" i="41"/>
  <c r="AF75" i="41"/>
  <c r="AG75" i="41"/>
  <c r="AH75" i="41"/>
  <c r="AI75" i="41"/>
  <c r="AJ75" i="41"/>
  <c r="AK75" i="41"/>
  <c r="AL75" i="41"/>
  <c r="AM75" i="41"/>
  <c r="AN75" i="41"/>
  <c r="AO75" i="41"/>
  <c r="AP75" i="41"/>
  <c r="AQ75" i="41"/>
  <c r="AR75" i="41"/>
  <c r="AS75" i="41"/>
  <c r="D87" i="2"/>
  <c r="C87" i="2"/>
  <c r="E87" i="2"/>
  <c r="D87" i="41"/>
  <c r="F87" i="41"/>
  <c r="G87" i="41"/>
  <c r="I87" i="41"/>
  <c r="J87" i="41"/>
  <c r="K87" i="41"/>
  <c r="M87" i="41"/>
  <c r="N87" i="41"/>
  <c r="P87" i="41"/>
  <c r="Q87" i="41"/>
  <c r="R87" i="41"/>
  <c r="S87" i="41"/>
  <c r="U87" i="41"/>
  <c r="W87" i="41"/>
  <c r="X87" i="41"/>
  <c r="Y87" i="41"/>
  <c r="AA87" i="41"/>
  <c r="AB87" i="41"/>
  <c r="AD87" i="41"/>
  <c r="AE87" i="41"/>
  <c r="AF87" i="41"/>
  <c r="AG87" i="41"/>
  <c r="AH87" i="41"/>
  <c r="AI87" i="41"/>
  <c r="AJ87" i="41"/>
  <c r="AK87" i="41"/>
  <c r="AL87" i="41"/>
  <c r="AM87" i="41"/>
  <c r="AN87" i="41"/>
  <c r="AO87" i="41"/>
  <c r="AP87" i="41"/>
  <c r="AQ87" i="41"/>
  <c r="AR87" i="41"/>
  <c r="AS87" i="41"/>
  <c r="D88" i="2"/>
  <c r="C88" i="2"/>
  <c r="E88" i="2"/>
  <c r="F85" i="2"/>
  <c r="F80" i="2"/>
  <c r="D91" i="2"/>
  <c r="C91" i="2"/>
  <c r="E91" i="2"/>
  <c r="D15" i="40"/>
  <c r="F15" i="40"/>
  <c r="G15" i="40"/>
  <c r="J15" i="40"/>
  <c r="K15" i="40"/>
  <c r="M15" i="40"/>
  <c r="N15" i="40"/>
  <c r="P15" i="40"/>
  <c r="Q15" i="40"/>
  <c r="R15" i="40"/>
  <c r="S15" i="40"/>
  <c r="U15" i="40"/>
  <c r="D92" i="2"/>
  <c r="C92" i="2"/>
  <c r="E92" i="2"/>
  <c r="D27" i="40"/>
  <c r="F27" i="40"/>
  <c r="G27" i="40"/>
  <c r="I27" i="40"/>
  <c r="J27" i="40"/>
  <c r="K27" i="40"/>
  <c r="M27" i="40"/>
  <c r="N27" i="40"/>
  <c r="P27" i="40"/>
  <c r="Q27" i="40"/>
  <c r="R27" i="40"/>
  <c r="S27" i="40"/>
  <c r="U27" i="40"/>
  <c r="D93" i="2"/>
  <c r="C93" i="2"/>
  <c r="E93" i="2"/>
  <c r="D39" i="40"/>
  <c r="F39" i="40"/>
  <c r="G39" i="40"/>
  <c r="I39" i="40"/>
  <c r="J39" i="40"/>
  <c r="K39" i="40"/>
  <c r="M39" i="40"/>
  <c r="N39" i="40"/>
  <c r="P39" i="40"/>
  <c r="Q39" i="40"/>
  <c r="R39" i="40"/>
  <c r="S39" i="40"/>
  <c r="U39" i="40"/>
  <c r="D94" i="2"/>
  <c r="C94" i="2"/>
  <c r="E94" i="2"/>
  <c r="F91" i="2"/>
  <c r="D51" i="40"/>
  <c r="F51" i="40"/>
  <c r="G51" i="40"/>
  <c r="I51" i="40"/>
  <c r="J51" i="40"/>
  <c r="K51" i="40"/>
  <c r="M51" i="40"/>
  <c r="N51" i="40"/>
  <c r="P51" i="40"/>
  <c r="Q51" i="40"/>
  <c r="R51" i="40"/>
  <c r="S51" i="40"/>
  <c r="U51" i="40"/>
  <c r="D95" i="2"/>
  <c r="C95" i="2"/>
  <c r="E95" i="2"/>
  <c r="D63" i="40"/>
  <c r="F63" i="40"/>
  <c r="G63" i="40"/>
  <c r="I63" i="40"/>
  <c r="J63" i="40"/>
  <c r="K63" i="40"/>
  <c r="M63" i="40"/>
  <c r="N63" i="40"/>
  <c r="P63" i="40"/>
  <c r="Q63" i="40"/>
  <c r="R63" i="40"/>
  <c r="S63" i="40"/>
  <c r="U63" i="40"/>
  <c r="D96" i="2"/>
  <c r="C96" i="2"/>
  <c r="E96" i="2"/>
  <c r="D75" i="40"/>
  <c r="F75" i="40"/>
  <c r="G75" i="40"/>
  <c r="I75" i="40"/>
  <c r="J75" i="40"/>
  <c r="K75" i="40"/>
  <c r="M75" i="40"/>
  <c r="N75" i="40"/>
  <c r="P75" i="40"/>
  <c r="Q75" i="40"/>
  <c r="R75" i="40"/>
  <c r="S75" i="40"/>
  <c r="U75" i="40"/>
  <c r="D97" i="2"/>
  <c r="C97" i="2"/>
  <c r="E97" i="2"/>
  <c r="D87" i="40"/>
  <c r="F87" i="40"/>
  <c r="G87" i="40"/>
  <c r="I87" i="40"/>
  <c r="J87" i="40"/>
  <c r="K87" i="40"/>
  <c r="M87" i="40"/>
  <c r="N87" i="40"/>
  <c r="P87" i="40"/>
  <c r="Q87" i="40"/>
  <c r="R87" i="40"/>
  <c r="S87" i="40"/>
  <c r="U87" i="40"/>
  <c r="D98" i="2"/>
  <c r="C98" i="2"/>
  <c r="E98" i="2"/>
  <c r="F95" i="2"/>
  <c r="D99" i="40"/>
  <c r="F99" i="40"/>
  <c r="G99" i="40"/>
  <c r="I99" i="40"/>
  <c r="J99" i="40"/>
  <c r="K99" i="40"/>
  <c r="M99" i="40"/>
  <c r="N99" i="40"/>
  <c r="P99" i="40"/>
  <c r="Q99" i="40"/>
  <c r="R99" i="40"/>
  <c r="S99" i="40"/>
  <c r="U99" i="40"/>
  <c r="D99" i="2"/>
  <c r="C99" i="2"/>
  <c r="E99" i="2"/>
  <c r="F99" i="2"/>
  <c r="F90" i="2"/>
  <c r="D15" i="39"/>
  <c r="I15" i="39"/>
  <c r="J15" i="39"/>
  <c r="K15" i="39"/>
  <c r="M15" i="39"/>
  <c r="N15" i="39"/>
  <c r="P15" i="39"/>
  <c r="Q15" i="39"/>
  <c r="R15" i="39"/>
  <c r="T15" i="39"/>
  <c r="U15" i="39"/>
  <c r="W15" i="39"/>
  <c r="X15" i="39"/>
  <c r="Y15" i="39"/>
  <c r="D27" i="39"/>
  <c r="F27" i="39"/>
  <c r="G27" i="39"/>
  <c r="I27" i="39"/>
  <c r="J27" i="39"/>
  <c r="K27" i="39"/>
  <c r="M27" i="39"/>
  <c r="N27" i="39"/>
  <c r="P27" i="39"/>
  <c r="Q27" i="39"/>
  <c r="R27" i="39"/>
  <c r="T27" i="39"/>
  <c r="U27" i="39"/>
  <c r="W27" i="39"/>
  <c r="X27" i="39"/>
  <c r="Y27" i="39"/>
  <c r="D39" i="39"/>
  <c r="F39" i="39"/>
  <c r="G39" i="39"/>
  <c r="I39" i="39"/>
  <c r="J39" i="39"/>
  <c r="K39" i="39"/>
  <c r="M39" i="39"/>
  <c r="N39" i="39"/>
  <c r="P39" i="39"/>
  <c r="Q39" i="39"/>
  <c r="R39" i="39"/>
  <c r="T39" i="39"/>
  <c r="U39" i="39"/>
  <c r="W39" i="39"/>
  <c r="X39" i="39"/>
  <c r="Y39" i="39"/>
  <c r="D51" i="39"/>
  <c r="F51" i="39"/>
  <c r="G51" i="39"/>
  <c r="I51" i="39"/>
  <c r="J51" i="39"/>
  <c r="K51" i="39"/>
  <c r="M51" i="39"/>
  <c r="N51" i="39"/>
  <c r="P51" i="39"/>
  <c r="Q51" i="39"/>
  <c r="R51" i="39"/>
  <c r="T51" i="39"/>
  <c r="U51" i="39"/>
  <c r="W51" i="39"/>
  <c r="X51" i="39"/>
  <c r="Y51" i="39"/>
  <c r="D63" i="39"/>
  <c r="F63" i="39"/>
  <c r="G63" i="39"/>
  <c r="I63" i="39"/>
  <c r="J63" i="39"/>
  <c r="K63" i="39"/>
  <c r="M63" i="39"/>
  <c r="N63" i="39"/>
  <c r="P63" i="39"/>
  <c r="Q63" i="39"/>
  <c r="R63" i="39"/>
  <c r="T63" i="39"/>
  <c r="U63" i="39"/>
  <c r="W63" i="39"/>
  <c r="X63" i="39"/>
  <c r="Y63" i="39"/>
  <c r="D75" i="39"/>
  <c r="F75" i="39"/>
  <c r="G75" i="39"/>
  <c r="I75" i="39"/>
  <c r="J75" i="39"/>
  <c r="K75" i="39"/>
  <c r="M75" i="39"/>
  <c r="N75" i="39"/>
  <c r="P75" i="39"/>
  <c r="Q75" i="39"/>
  <c r="R75" i="39"/>
  <c r="T75" i="39"/>
  <c r="U75" i="39"/>
  <c r="W75" i="39"/>
  <c r="X75" i="39"/>
  <c r="Y75" i="39"/>
  <c r="D87" i="39"/>
  <c r="F87" i="39"/>
  <c r="G87" i="39"/>
  <c r="I87" i="39"/>
  <c r="J87" i="39"/>
  <c r="K87" i="39"/>
  <c r="M87" i="39"/>
  <c r="N87" i="39"/>
  <c r="P87" i="39"/>
  <c r="Q87" i="39"/>
  <c r="R87" i="39"/>
  <c r="T87" i="39"/>
  <c r="U87" i="39"/>
  <c r="W87" i="39"/>
  <c r="X87" i="39"/>
  <c r="Y87" i="39"/>
  <c r="D99" i="39"/>
  <c r="F99" i="39"/>
  <c r="G99" i="39"/>
  <c r="I99" i="39"/>
  <c r="J99" i="39"/>
  <c r="K99" i="39"/>
  <c r="M99" i="39"/>
  <c r="N99" i="39"/>
  <c r="P99" i="39"/>
  <c r="Q99" i="39"/>
  <c r="R99" i="39"/>
  <c r="T99" i="39"/>
  <c r="U99" i="39"/>
  <c r="W99" i="39"/>
  <c r="X99" i="39"/>
  <c r="Y99" i="39"/>
  <c r="D111" i="39"/>
  <c r="F111" i="39"/>
  <c r="G111" i="39"/>
  <c r="I111" i="39"/>
  <c r="J111" i="39"/>
  <c r="K111" i="39"/>
  <c r="M111" i="39"/>
  <c r="N111" i="39"/>
  <c r="P111" i="39"/>
  <c r="Q111" i="39"/>
  <c r="R111" i="39"/>
  <c r="T111" i="39"/>
  <c r="U111" i="39"/>
  <c r="W111" i="39"/>
  <c r="X111" i="39"/>
  <c r="Y111" i="39"/>
  <c r="D123" i="39"/>
  <c r="F123" i="39"/>
  <c r="G123" i="39"/>
  <c r="I123" i="39"/>
  <c r="J123" i="39"/>
  <c r="K123" i="39"/>
  <c r="M123" i="39"/>
  <c r="N123" i="39"/>
  <c r="P123" i="39"/>
  <c r="Q123" i="39"/>
  <c r="R123" i="39"/>
  <c r="T123" i="39"/>
  <c r="U123" i="39"/>
  <c r="W123" i="39"/>
  <c r="X123" i="39"/>
  <c r="Y123" i="39"/>
  <c r="D135" i="39"/>
  <c r="F135" i="39"/>
  <c r="G135" i="39"/>
  <c r="I135" i="39"/>
  <c r="J135" i="39"/>
  <c r="K135" i="39"/>
  <c r="M135" i="39"/>
  <c r="N135" i="39"/>
  <c r="P135" i="39"/>
  <c r="Q135" i="39"/>
  <c r="R135" i="39"/>
  <c r="T135" i="39"/>
  <c r="U135" i="39"/>
  <c r="W135" i="39"/>
  <c r="X135" i="39"/>
  <c r="Y135" i="39"/>
  <c r="Z135" i="39"/>
  <c r="D147" i="39"/>
  <c r="F147" i="39"/>
  <c r="G147" i="39"/>
  <c r="I147" i="39"/>
  <c r="J147" i="39"/>
  <c r="K147" i="39"/>
  <c r="M147" i="39"/>
  <c r="N147" i="39"/>
  <c r="P147" i="39"/>
  <c r="Q147" i="39"/>
  <c r="R147" i="39"/>
  <c r="T147" i="39"/>
  <c r="U147" i="39"/>
  <c r="W147" i="39"/>
  <c r="X147" i="39"/>
  <c r="Y147" i="39"/>
  <c r="Z147" i="39"/>
  <c r="D159" i="39"/>
  <c r="F159" i="39"/>
  <c r="G159" i="39"/>
  <c r="I159" i="39"/>
  <c r="J159" i="39"/>
  <c r="K159" i="39"/>
  <c r="M159" i="39"/>
  <c r="N159" i="39"/>
  <c r="P159" i="39"/>
  <c r="Q159" i="39"/>
  <c r="R159" i="39"/>
  <c r="T159" i="39"/>
  <c r="U159" i="39"/>
  <c r="W159" i="39"/>
  <c r="X159" i="39"/>
  <c r="Y159" i="39"/>
  <c r="Z159" i="39"/>
  <c r="D171" i="39"/>
  <c r="F171" i="39"/>
  <c r="G171" i="39"/>
  <c r="I171" i="39"/>
  <c r="J171" i="39"/>
  <c r="K171" i="39"/>
  <c r="M171" i="39"/>
  <c r="N171" i="39"/>
  <c r="P171" i="39"/>
  <c r="Q171" i="39"/>
  <c r="R171" i="39"/>
  <c r="T171" i="39"/>
  <c r="U171" i="39"/>
  <c r="W171" i="39"/>
  <c r="X171" i="39"/>
  <c r="Y171" i="39"/>
  <c r="Z171" i="39"/>
  <c r="D183" i="39"/>
  <c r="F183" i="39"/>
  <c r="G183" i="39"/>
  <c r="I183" i="39"/>
  <c r="J183" i="39"/>
  <c r="K183" i="39"/>
  <c r="M183" i="39"/>
  <c r="N183" i="39"/>
  <c r="P183" i="39"/>
  <c r="Q183" i="39"/>
  <c r="R183" i="39"/>
  <c r="T183" i="39"/>
  <c r="U183" i="39"/>
  <c r="W183" i="39"/>
  <c r="X183" i="39"/>
  <c r="Y183" i="39"/>
  <c r="Z183" i="39"/>
  <c r="D195" i="39"/>
  <c r="F195" i="39"/>
  <c r="G195" i="39"/>
  <c r="I195" i="39"/>
  <c r="J195" i="39"/>
  <c r="K195" i="39"/>
  <c r="M195" i="39"/>
  <c r="N195" i="39"/>
  <c r="P195" i="39"/>
  <c r="Q195" i="39"/>
  <c r="R195" i="39"/>
  <c r="T195" i="39"/>
  <c r="U195" i="39"/>
  <c r="W195" i="39"/>
  <c r="X195" i="39"/>
  <c r="Y195" i="39"/>
  <c r="Z195" i="39"/>
  <c r="D207" i="39"/>
  <c r="F207" i="39"/>
  <c r="G207" i="39"/>
  <c r="I207" i="39"/>
  <c r="J207" i="39"/>
  <c r="K207" i="39"/>
  <c r="M207" i="39"/>
  <c r="N207" i="39"/>
  <c r="P207" i="39"/>
  <c r="Q207" i="39"/>
  <c r="R207" i="39"/>
  <c r="T207" i="39"/>
  <c r="U207" i="39"/>
  <c r="W207" i="39"/>
  <c r="X207" i="39"/>
  <c r="Y207" i="39"/>
  <c r="Z207" i="39"/>
  <c r="D219" i="39"/>
  <c r="F219" i="39"/>
  <c r="G219" i="39"/>
  <c r="I219" i="39"/>
  <c r="J219" i="39"/>
  <c r="K219" i="39"/>
  <c r="M219" i="39"/>
  <c r="N219" i="39"/>
  <c r="P219" i="39"/>
  <c r="Q219" i="39"/>
  <c r="R219" i="39"/>
  <c r="T219" i="39"/>
  <c r="U219" i="39"/>
  <c r="W219" i="39"/>
  <c r="X219" i="39"/>
  <c r="Y219" i="39"/>
  <c r="Z219" i="39"/>
  <c r="D231" i="39"/>
  <c r="F231" i="39"/>
  <c r="G231" i="39"/>
  <c r="I231" i="39"/>
  <c r="J231" i="39"/>
  <c r="K231" i="39"/>
  <c r="M231" i="39"/>
  <c r="N231" i="39"/>
  <c r="P231" i="39"/>
  <c r="Q231" i="39"/>
  <c r="R231" i="39"/>
  <c r="T231" i="39"/>
  <c r="U231" i="39"/>
  <c r="W231" i="39"/>
  <c r="X231" i="39"/>
  <c r="D232" i="39"/>
  <c r="F232" i="39"/>
  <c r="G232" i="39"/>
  <c r="I232" i="39"/>
  <c r="J232" i="39"/>
  <c r="K232" i="39"/>
  <c r="M232" i="39"/>
  <c r="N232" i="39"/>
  <c r="P232" i="39"/>
  <c r="Q232" i="39"/>
  <c r="R232" i="39"/>
  <c r="T232" i="39"/>
  <c r="U232" i="39"/>
  <c r="W232" i="39"/>
  <c r="X232" i="39"/>
  <c r="D129" i="2"/>
  <c r="C129" i="2"/>
  <c r="D130" i="2"/>
  <c r="C130" i="2"/>
  <c r="D131" i="2"/>
  <c r="C131" i="2"/>
  <c r="E131" i="2"/>
  <c r="D132" i="2"/>
  <c r="C132" i="2"/>
  <c r="E132" i="2"/>
  <c r="F131" i="2"/>
  <c r="J131" i="2"/>
  <c r="K131" i="2"/>
  <c r="D39" i="36"/>
  <c r="E39" i="36"/>
  <c r="G39" i="36"/>
  <c r="H39" i="36"/>
  <c r="J39" i="36"/>
  <c r="K39" i="36"/>
  <c r="M39" i="36"/>
  <c r="N39" i="36"/>
  <c r="O39" i="36"/>
  <c r="Q39" i="36"/>
  <c r="R39" i="36"/>
  <c r="T39" i="36"/>
  <c r="U39" i="36"/>
  <c r="V39" i="36"/>
  <c r="X39" i="36"/>
  <c r="Y39" i="36"/>
  <c r="AA39" i="36"/>
  <c r="AB39" i="36"/>
  <c r="AC39" i="36"/>
  <c r="AE39" i="36"/>
  <c r="AF39" i="36"/>
  <c r="AH39" i="36"/>
  <c r="AI39" i="36"/>
  <c r="AJ39" i="36"/>
  <c r="AK39" i="36"/>
  <c r="AL39" i="36"/>
  <c r="AM39" i="36"/>
  <c r="AN39" i="36"/>
  <c r="AO39" i="36"/>
  <c r="AP39" i="36"/>
  <c r="AQ39" i="36"/>
  <c r="AR39" i="36"/>
  <c r="AS39" i="36"/>
  <c r="D135" i="2"/>
  <c r="C135" i="2"/>
  <c r="E135" i="2"/>
  <c r="D51" i="36"/>
  <c r="E51" i="36"/>
  <c r="G51" i="36"/>
  <c r="H51" i="36"/>
  <c r="J51" i="36"/>
  <c r="K51" i="36"/>
  <c r="M51" i="36"/>
  <c r="N51" i="36"/>
  <c r="O51" i="36"/>
  <c r="Q51" i="36"/>
  <c r="R51" i="36"/>
  <c r="T51" i="36"/>
  <c r="U51" i="36"/>
  <c r="V51" i="36"/>
  <c r="X51" i="36"/>
  <c r="Y51" i="36"/>
  <c r="AA51" i="36"/>
  <c r="AB51" i="36"/>
  <c r="AC51" i="36"/>
  <c r="AE51" i="36"/>
  <c r="AF51" i="36"/>
  <c r="AH51" i="36"/>
  <c r="AI51" i="36"/>
  <c r="AJ51" i="36"/>
  <c r="AK51" i="36"/>
  <c r="AL51" i="36"/>
  <c r="AM51" i="36"/>
  <c r="AN51" i="36"/>
  <c r="AO51" i="36"/>
  <c r="AP51" i="36"/>
  <c r="AQ51" i="36"/>
  <c r="AR51" i="36"/>
  <c r="AS51" i="36"/>
  <c r="D136" i="2"/>
  <c r="C136" i="2"/>
  <c r="E136" i="2"/>
  <c r="D63" i="36"/>
  <c r="E63" i="36"/>
  <c r="G63" i="36"/>
  <c r="H63" i="36"/>
  <c r="J63" i="36"/>
  <c r="K63" i="36"/>
  <c r="M63" i="36"/>
  <c r="N63" i="36"/>
  <c r="O63" i="36"/>
  <c r="Q63" i="36"/>
  <c r="R63" i="36"/>
  <c r="T63" i="36"/>
  <c r="U63" i="36"/>
  <c r="V63" i="36"/>
  <c r="X63" i="36"/>
  <c r="Y63" i="36"/>
  <c r="AA63" i="36"/>
  <c r="AB63" i="36"/>
  <c r="AC63" i="36"/>
  <c r="AE63" i="36"/>
  <c r="AF63" i="36"/>
  <c r="AH63" i="36"/>
  <c r="AI63" i="36"/>
  <c r="AJ63" i="36"/>
  <c r="AK63" i="36"/>
  <c r="AL63" i="36"/>
  <c r="AM63" i="36"/>
  <c r="AN63" i="36"/>
  <c r="AO63" i="36"/>
  <c r="AP63" i="36"/>
  <c r="AQ63" i="36"/>
  <c r="AR63" i="36"/>
  <c r="AS63" i="36"/>
  <c r="D137" i="2"/>
  <c r="C137" i="2"/>
  <c r="E137" i="2"/>
  <c r="D75" i="36"/>
  <c r="E75" i="36"/>
  <c r="G75" i="36"/>
  <c r="H75" i="36"/>
  <c r="J75" i="36"/>
  <c r="K75" i="36"/>
  <c r="M75" i="36"/>
  <c r="N75" i="36"/>
  <c r="O75" i="36"/>
  <c r="Q75" i="36"/>
  <c r="R75" i="36"/>
  <c r="T75" i="36"/>
  <c r="U75" i="36"/>
  <c r="V75" i="36"/>
  <c r="X75" i="36"/>
  <c r="Y75" i="36"/>
  <c r="AA75" i="36"/>
  <c r="AB75" i="36"/>
  <c r="AC75" i="36"/>
  <c r="AE75" i="36"/>
  <c r="AF75" i="36"/>
  <c r="AH75" i="36"/>
  <c r="AI75" i="36"/>
  <c r="AJ75" i="36"/>
  <c r="AK75" i="36"/>
  <c r="AL75" i="36"/>
  <c r="AM75" i="36"/>
  <c r="AN75" i="36"/>
  <c r="AO75" i="36"/>
  <c r="AP75" i="36"/>
  <c r="AQ75" i="36"/>
  <c r="AR75" i="36"/>
  <c r="AS75" i="36"/>
  <c r="D138" i="2"/>
  <c r="C138" i="2"/>
  <c r="E138" i="2"/>
  <c r="F135" i="2"/>
  <c r="D87" i="36"/>
  <c r="E87" i="36"/>
  <c r="G87" i="36"/>
  <c r="H87" i="36"/>
  <c r="J87" i="36"/>
  <c r="K87" i="36"/>
  <c r="M87" i="36"/>
  <c r="N87" i="36"/>
  <c r="O87" i="36"/>
  <c r="Q87" i="36"/>
  <c r="R87" i="36"/>
  <c r="T87" i="36"/>
  <c r="U87" i="36"/>
  <c r="V87" i="36"/>
  <c r="X87" i="36"/>
  <c r="Y87" i="36"/>
  <c r="AA87" i="36"/>
  <c r="AB87" i="36"/>
  <c r="AC87" i="36"/>
  <c r="AE87" i="36"/>
  <c r="AF87" i="36"/>
  <c r="AH87" i="36"/>
  <c r="AI87" i="36"/>
  <c r="AJ87" i="36"/>
  <c r="AK87" i="36"/>
  <c r="AL87" i="36"/>
  <c r="AM87" i="36"/>
  <c r="AN87" i="36"/>
  <c r="AO87" i="36"/>
  <c r="AP87" i="36"/>
  <c r="AQ87" i="36"/>
  <c r="AR87" i="36"/>
  <c r="AS87" i="36"/>
  <c r="D139" i="2"/>
  <c r="C139" i="2"/>
  <c r="E139" i="2"/>
  <c r="D99" i="36"/>
  <c r="E99" i="36"/>
  <c r="G99" i="36"/>
  <c r="H99" i="36"/>
  <c r="J99" i="36"/>
  <c r="K99" i="36"/>
  <c r="M99" i="36"/>
  <c r="N99" i="36"/>
  <c r="O99" i="36"/>
  <c r="Q99" i="36"/>
  <c r="R99" i="36"/>
  <c r="T99" i="36"/>
  <c r="U99" i="36"/>
  <c r="V99" i="36"/>
  <c r="X99" i="36"/>
  <c r="Y99" i="36"/>
  <c r="AA99" i="36"/>
  <c r="AB99" i="36"/>
  <c r="AC99" i="36"/>
  <c r="AE99" i="36"/>
  <c r="AF99" i="36"/>
  <c r="AH99" i="36"/>
  <c r="AI99" i="36"/>
  <c r="AJ99" i="36"/>
  <c r="AK99" i="36"/>
  <c r="AL99" i="36"/>
  <c r="AM99" i="36"/>
  <c r="AN99" i="36"/>
  <c r="AO99" i="36"/>
  <c r="AP99" i="36"/>
  <c r="AQ99" i="36"/>
  <c r="AR99" i="36"/>
  <c r="AS99" i="36"/>
  <c r="D140" i="2"/>
  <c r="C140" i="2"/>
  <c r="E140" i="2"/>
  <c r="D111" i="36"/>
  <c r="E111" i="36"/>
  <c r="G111" i="36"/>
  <c r="H111" i="36"/>
  <c r="J111" i="36"/>
  <c r="K111" i="36"/>
  <c r="M111" i="36"/>
  <c r="N111" i="36"/>
  <c r="O111" i="36"/>
  <c r="Q111" i="36"/>
  <c r="R111" i="36"/>
  <c r="T111" i="36"/>
  <c r="U111" i="36"/>
  <c r="V111" i="36"/>
  <c r="X111" i="36"/>
  <c r="Y111" i="36"/>
  <c r="AA111" i="36"/>
  <c r="AB111" i="36"/>
  <c r="AC111" i="36"/>
  <c r="AE111" i="36"/>
  <c r="AF111" i="36"/>
  <c r="AH111" i="36"/>
  <c r="AI111" i="36"/>
  <c r="AJ111" i="36"/>
  <c r="AK111" i="36"/>
  <c r="AL111" i="36"/>
  <c r="AM111" i="36"/>
  <c r="AN111" i="36"/>
  <c r="AO111" i="36"/>
  <c r="AP111" i="36"/>
  <c r="AQ111" i="36"/>
  <c r="AR111" i="36"/>
  <c r="AS111" i="36"/>
  <c r="D141" i="2"/>
  <c r="C141" i="2"/>
  <c r="E141" i="2"/>
  <c r="D123" i="36"/>
  <c r="E123" i="36"/>
  <c r="G123" i="36"/>
  <c r="H123" i="36"/>
  <c r="J123" i="36"/>
  <c r="K123" i="36"/>
  <c r="M123" i="36"/>
  <c r="N123" i="36"/>
  <c r="O123" i="36"/>
  <c r="Q123" i="36"/>
  <c r="R123" i="36"/>
  <c r="T123" i="36"/>
  <c r="U123" i="36"/>
  <c r="V123" i="36"/>
  <c r="X123" i="36"/>
  <c r="Y123" i="36"/>
  <c r="AA123" i="36"/>
  <c r="AB123" i="36"/>
  <c r="AC123" i="36"/>
  <c r="AE123" i="36"/>
  <c r="AF123" i="36"/>
  <c r="AH123" i="36"/>
  <c r="AI123" i="36"/>
  <c r="AJ123" i="36"/>
  <c r="AK123" i="36"/>
  <c r="AL123" i="36"/>
  <c r="AM123" i="36"/>
  <c r="AN123" i="36"/>
  <c r="AO123" i="36"/>
  <c r="AP123" i="36"/>
  <c r="AQ123" i="36"/>
  <c r="AR123" i="36"/>
  <c r="AS123" i="36"/>
  <c r="D142" i="2"/>
  <c r="C142" i="2"/>
  <c r="E142" i="2"/>
  <c r="F139" i="2"/>
  <c r="D135" i="36"/>
  <c r="E135" i="36"/>
  <c r="G135" i="36"/>
  <c r="H135" i="36"/>
  <c r="J135" i="36"/>
  <c r="K135" i="36"/>
  <c r="M135" i="36"/>
  <c r="N135" i="36"/>
  <c r="O135" i="36"/>
  <c r="Q135" i="36"/>
  <c r="R135" i="36"/>
  <c r="T135" i="36"/>
  <c r="U135" i="36"/>
  <c r="V135" i="36"/>
  <c r="X135" i="36"/>
  <c r="Y135" i="36"/>
  <c r="AA135" i="36"/>
  <c r="AB135" i="36"/>
  <c r="AC135" i="36"/>
  <c r="AE135" i="36"/>
  <c r="AF135" i="36"/>
  <c r="AH135" i="36"/>
  <c r="AI135" i="36"/>
  <c r="AJ135" i="36"/>
  <c r="AK135" i="36"/>
  <c r="AL135" i="36"/>
  <c r="AM135" i="36"/>
  <c r="AN135" i="36"/>
  <c r="AO135" i="36"/>
  <c r="AP135" i="36"/>
  <c r="AQ135" i="36"/>
  <c r="AR135" i="36"/>
  <c r="AS135" i="36"/>
  <c r="D143" i="2"/>
  <c r="C143" i="2"/>
  <c r="E143" i="2"/>
  <c r="D147" i="36"/>
  <c r="E147" i="36"/>
  <c r="G147" i="36"/>
  <c r="H147" i="36"/>
  <c r="J147" i="36"/>
  <c r="K147" i="36"/>
  <c r="M147" i="36"/>
  <c r="N147" i="36"/>
  <c r="O147" i="36"/>
  <c r="Q147" i="36"/>
  <c r="R147" i="36"/>
  <c r="T147" i="36"/>
  <c r="U147" i="36"/>
  <c r="V147" i="36"/>
  <c r="X147" i="36"/>
  <c r="Y147" i="36"/>
  <c r="AA147" i="36"/>
  <c r="AB147" i="36"/>
  <c r="AC147" i="36"/>
  <c r="AE147" i="36"/>
  <c r="AF147" i="36"/>
  <c r="AH147" i="36"/>
  <c r="AI147" i="36"/>
  <c r="AJ147" i="36"/>
  <c r="AK147" i="36"/>
  <c r="AL147" i="36"/>
  <c r="AM147" i="36"/>
  <c r="AN147" i="36"/>
  <c r="AO147" i="36"/>
  <c r="AP147" i="36"/>
  <c r="AQ147" i="36"/>
  <c r="AR147" i="36"/>
  <c r="AS147" i="36"/>
  <c r="D144" i="2"/>
  <c r="C144" i="2"/>
  <c r="E144" i="2"/>
  <c r="D159" i="36"/>
  <c r="E159" i="36"/>
  <c r="G159" i="36"/>
  <c r="H159" i="36"/>
  <c r="J159" i="36"/>
  <c r="K159" i="36"/>
  <c r="M159" i="36"/>
  <c r="N159" i="36"/>
  <c r="O159" i="36"/>
  <c r="Q159" i="36"/>
  <c r="R159" i="36"/>
  <c r="T159" i="36"/>
  <c r="U159" i="36"/>
  <c r="V159" i="36"/>
  <c r="X159" i="36"/>
  <c r="Y159" i="36"/>
  <c r="AA159" i="36"/>
  <c r="AB159" i="36"/>
  <c r="AC159" i="36"/>
  <c r="AE159" i="36"/>
  <c r="AF159" i="36"/>
  <c r="AH159" i="36"/>
  <c r="AI159" i="36"/>
  <c r="AJ159" i="36"/>
  <c r="AK159" i="36"/>
  <c r="AL159" i="36"/>
  <c r="AM159" i="36"/>
  <c r="AN159" i="36"/>
  <c r="AO159" i="36"/>
  <c r="AP159" i="36"/>
  <c r="AQ159" i="36"/>
  <c r="AR159" i="36"/>
  <c r="AS159" i="36"/>
  <c r="D145" i="2"/>
  <c r="C145" i="2"/>
  <c r="E145" i="2"/>
  <c r="D171" i="36"/>
  <c r="E171" i="36"/>
  <c r="G171" i="36"/>
  <c r="H171" i="36"/>
  <c r="J171" i="36"/>
  <c r="K171" i="36"/>
  <c r="M171" i="36"/>
  <c r="N171" i="36"/>
  <c r="O171" i="36"/>
  <c r="Q171" i="36"/>
  <c r="R171" i="36"/>
  <c r="T171" i="36"/>
  <c r="U171" i="36"/>
  <c r="V171" i="36"/>
  <c r="X171" i="36"/>
  <c r="Y171" i="36"/>
  <c r="AA171" i="36"/>
  <c r="AB171" i="36"/>
  <c r="AC171" i="36"/>
  <c r="AE171" i="36"/>
  <c r="AF171" i="36"/>
  <c r="AH171" i="36"/>
  <c r="AI171" i="36"/>
  <c r="AJ171" i="36"/>
  <c r="AK171" i="36"/>
  <c r="AL171" i="36"/>
  <c r="AM171" i="36"/>
  <c r="AN171" i="36"/>
  <c r="AO171" i="36"/>
  <c r="AP171" i="36"/>
  <c r="AQ171" i="36"/>
  <c r="AR171" i="36"/>
  <c r="AS171" i="36"/>
  <c r="D146" i="2"/>
  <c r="C146" i="2"/>
  <c r="E146" i="2"/>
  <c r="F143" i="2"/>
  <c r="D183" i="36"/>
  <c r="E183" i="36"/>
  <c r="G183" i="36"/>
  <c r="H183" i="36"/>
  <c r="J183" i="36"/>
  <c r="K183" i="36"/>
  <c r="M183" i="36"/>
  <c r="N183" i="36"/>
  <c r="O183" i="36"/>
  <c r="Q183" i="36"/>
  <c r="R183" i="36"/>
  <c r="T183" i="36"/>
  <c r="U183" i="36"/>
  <c r="V183" i="36"/>
  <c r="X183" i="36"/>
  <c r="Y183" i="36"/>
  <c r="AA183" i="36"/>
  <c r="AB183" i="36"/>
  <c r="AC183" i="36"/>
  <c r="AE183" i="36"/>
  <c r="AF183" i="36"/>
  <c r="AH183" i="36"/>
  <c r="AI183" i="36"/>
  <c r="AJ183" i="36"/>
  <c r="AK183" i="36"/>
  <c r="AL183" i="36"/>
  <c r="AM183" i="36"/>
  <c r="AN183" i="36"/>
  <c r="AO183" i="36"/>
  <c r="AP183" i="36"/>
  <c r="AQ183" i="36"/>
  <c r="AR183" i="36"/>
  <c r="AS183" i="36"/>
  <c r="D147" i="2"/>
  <c r="C147" i="2"/>
  <c r="E147" i="2"/>
  <c r="D195" i="36"/>
  <c r="E195" i="36"/>
  <c r="G195" i="36"/>
  <c r="H195" i="36"/>
  <c r="J195" i="36"/>
  <c r="K195" i="36"/>
  <c r="M195" i="36"/>
  <c r="N195" i="36"/>
  <c r="O195" i="36"/>
  <c r="Q195" i="36"/>
  <c r="R195" i="36"/>
  <c r="T195" i="36"/>
  <c r="U195" i="36"/>
  <c r="V195" i="36"/>
  <c r="X195" i="36"/>
  <c r="Y195" i="36"/>
  <c r="AA195" i="36"/>
  <c r="AB195" i="36"/>
  <c r="AC195" i="36"/>
  <c r="AE195" i="36"/>
  <c r="AF195" i="36"/>
  <c r="AH195" i="36"/>
  <c r="AI195" i="36"/>
  <c r="AJ195" i="36"/>
  <c r="AK195" i="36"/>
  <c r="AL195" i="36"/>
  <c r="AM195" i="36"/>
  <c r="AN195" i="36"/>
  <c r="AO195" i="36"/>
  <c r="AP195" i="36"/>
  <c r="AQ195" i="36"/>
  <c r="AR195" i="36"/>
  <c r="AS195" i="36"/>
  <c r="D148" i="2"/>
  <c r="C148" i="2"/>
  <c r="E148" i="2"/>
  <c r="D207" i="36"/>
  <c r="E207" i="36"/>
  <c r="G207" i="36"/>
  <c r="H207" i="36"/>
  <c r="J207" i="36"/>
  <c r="K207" i="36"/>
  <c r="M207" i="36"/>
  <c r="N207" i="36"/>
  <c r="O207" i="36"/>
  <c r="Q207" i="36"/>
  <c r="R207" i="36"/>
  <c r="T207" i="36"/>
  <c r="U207" i="36"/>
  <c r="V207" i="36"/>
  <c r="X207" i="36"/>
  <c r="Y207" i="36"/>
  <c r="AA207" i="36"/>
  <c r="AB207" i="36"/>
  <c r="AC207" i="36"/>
  <c r="AE207" i="36"/>
  <c r="AF207" i="36"/>
  <c r="AH207" i="36"/>
  <c r="AI207" i="36"/>
  <c r="AJ207" i="36"/>
  <c r="AK207" i="36"/>
  <c r="AL207" i="36"/>
  <c r="AM207" i="36"/>
  <c r="AN207" i="36"/>
  <c r="AO207" i="36"/>
  <c r="AP207" i="36"/>
  <c r="AQ207" i="36"/>
  <c r="AR207" i="36"/>
  <c r="AS207" i="36"/>
  <c r="D149" i="2"/>
  <c r="C149" i="2"/>
  <c r="E149" i="2"/>
  <c r="D219" i="36"/>
  <c r="E219" i="36"/>
  <c r="G219" i="36"/>
  <c r="H219" i="36"/>
  <c r="J219" i="36"/>
  <c r="K219" i="36"/>
  <c r="M219" i="36"/>
  <c r="N219" i="36"/>
  <c r="O219" i="36"/>
  <c r="Q219" i="36"/>
  <c r="R219" i="36"/>
  <c r="T219" i="36"/>
  <c r="U219" i="36"/>
  <c r="V219" i="36"/>
  <c r="X219" i="36"/>
  <c r="Y219" i="36"/>
  <c r="AA219" i="36"/>
  <c r="AB219" i="36"/>
  <c r="AC219" i="36"/>
  <c r="AE219" i="36"/>
  <c r="AF219" i="36"/>
  <c r="AH219" i="36"/>
  <c r="AI219" i="36"/>
  <c r="AJ219" i="36"/>
  <c r="AK219" i="36"/>
  <c r="AL219" i="36"/>
  <c r="AM219" i="36"/>
  <c r="AN219" i="36"/>
  <c r="AO219" i="36"/>
  <c r="AP219" i="36"/>
  <c r="AQ219" i="36"/>
  <c r="AR219" i="36"/>
  <c r="AS219" i="36"/>
  <c r="D150" i="2"/>
  <c r="C150" i="2"/>
  <c r="E150" i="2"/>
  <c r="F147" i="2"/>
  <c r="D231" i="36"/>
  <c r="E231" i="36"/>
  <c r="G231" i="36"/>
  <c r="H231" i="36"/>
  <c r="J231" i="36"/>
  <c r="K231" i="36"/>
  <c r="M231" i="36"/>
  <c r="N231" i="36"/>
  <c r="O231" i="36"/>
  <c r="Q231" i="36"/>
  <c r="R231" i="36"/>
  <c r="T231" i="36"/>
  <c r="U231" i="36"/>
  <c r="V231" i="36"/>
  <c r="X231" i="36"/>
  <c r="Y231" i="36"/>
  <c r="AA231" i="36"/>
  <c r="AB231" i="36"/>
  <c r="AC231" i="36"/>
  <c r="AE231" i="36"/>
  <c r="AF231" i="36"/>
  <c r="AH231" i="36"/>
  <c r="AI231" i="36"/>
  <c r="AJ231" i="36"/>
  <c r="AK231" i="36"/>
  <c r="AL231" i="36"/>
  <c r="AM231" i="36"/>
  <c r="AN231" i="36"/>
  <c r="AO231" i="36"/>
  <c r="AP231" i="36"/>
  <c r="AQ231" i="36"/>
  <c r="AR231" i="36"/>
  <c r="AS231" i="36"/>
  <c r="D151" i="2"/>
  <c r="C151" i="2"/>
  <c r="E151" i="2"/>
  <c r="D243" i="36"/>
  <c r="E243" i="36"/>
  <c r="G243" i="36"/>
  <c r="H243" i="36"/>
  <c r="J243" i="36"/>
  <c r="K243" i="36"/>
  <c r="M243" i="36"/>
  <c r="N243" i="36"/>
  <c r="O243" i="36"/>
  <c r="Q243" i="36"/>
  <c r="R243" i="36"/>
  <c r="T243" i="36"/>
  <c r="U243" i="36"/>
  <c r="V243" i="36"/>
  <c r="X243" i="36"/>
  <c r="Y243" i="36"/>
  <c r="AA243" i="36"/>
  <c r="AB243" i="36"/>
  <c r="AC243" i="36"/>
  <c r="AE243" i="36"/>
  <c r="AF243" i="36"/>
  <c r="AH243" i="36"/>
  <c r="AI243" i="36"/>
  <c r="AJ243" i="36"/>
  <c r="AK243" i="36"/>
  <c r="AL243" i="36"/>
  <c r="AM243" i="36"/>
  <c r="AN243" i="36"/>
  <c r="AO243" i="36"/>
  <c r="AP243" i="36"/>
  <c r="AQ243" i="36"/>
  <c r="AR243" i="36"/>
  <c r="AS243" i="36"/>
  <c r="D152" i="2"/>
  <c r="C152" i="2"/>
  <c r="E152" i="2"/>
  <c r="F151" i="2"/>
  <c r="D15" i="36"/>
  <c r="E15" i="36"/>
  <c r="G15" i="36"/>
  <c r="H15" i="36"/>
  <c r="J15" i="36"/>
  <c r="K15" i="36"/>
  <c r="M15" i="36"/>
  <c r="N15" i="36"/>
  <c r="O15" i="36"/>
  <c r="Q15" i="36"/>
  <c r="R15" i="36"/>
  <c r="T15" i="36"/>
  <c r="U15" i="36"/>
  <c r="V15" i="36"/>
  <c r="X15" i="36"/>
  <c r="Y15" i="36"/>
  <c r="AA15" i="36"/>
  <c r="AB15" i="36"/>
  <c r="AC15" i="36"/>
  <c r="AE15" i="36"/>
  <c r="AF15" i="36"/>
  <c r="AH15" i="36"/>
  <c r="AI15" i="36"/>
  <c r="AJ15" i="36"/>
  <c r="AK15" i="36"/>
  <c r="AL15" i="36"/>
  <c r="AM15" i="36"/>
  <c r="AN15" i="36"/>
  <c r="AO15" i="36"/>
  <c r="AP15" i="36"/>
  <c r="AQ15" i="36"/>
  <c r="AR15" i="36"/>
  <c r="AS15" i="36"/>
  <c r="D153" i="2"/>
  <c r="C153" i="2"/>
  <c r="E153" i="2"/>
  <c r="F153" i="2"/>
  <c r="D159" i="2"/>
  <c r="C159" i="2"/>
  <c r="E159" i="2"/>
  <c r="D15" i="34"/>
  <c r="F15" i="34"/>
  <c r="G15" i="34"/>
  <c r="L15" i="34"/>
  <c r="M15" i="34"/>
  <c r="N15" i="34"/>
  <c r="P15" i="34"/>
  <c r="Q15" i="34"/>
  <c r="S15" i="34"/>
  <c r="T15" i="34"/>
  <c r="U15" i="34"/>
  <c r="W15" i="34"/>
  <c r="X15" i="34"/>
  <c r="Z15" i="34"/>
  <c r="AA15" i="34"/>
  <c r="AB15" i="34"/>
  <c r="AD15" i="34"/>
  <c r="AE15" i="34"/>
  <c r="AG15" i="34"/>
  <c r="AH15" i="34"/>
  <c r="AI15" i="34"/>
  <c r="AJ15" i="34"/>
  <c r="AK15" i="34"/>
  <c r="AL15" i="34"/>
  <c r="AM15" i="34"/>
  <c r="AN15" i="34"/>
  <c r="AO15" i="34"/>
  <c r="AP15" i="34"/>
  <c r="AQ15" i="34"/>
  <c r="AR15" i="34"/>
  <c r="AS15" i="34"/>
  <c r="D160" i="2"/>
  <c r="C160" i="2"/>
  <c r="E160" i="2"/>
  <c r="D27" i="34"/>
  <c r="F27" i="34"/>
  <c r="G27" i="34"/>
  <c r="I27" i="34"/>
  <c r="J27" i="34"/>
  <c r="L27" i="34"/>
  <c r="M27" i="34"/>
  <c r="N27" i="34"/>
  <c r="P27" i="34"/>
  <c r="Q27" i="34"/>
  <c r="S27" i="34"/>
  <c r="T27" i="34"/>
  <c r="U27" i="34"/>
  <c r="W27" i="34"/>
  <c r="X27" i="34"/>
  <c r="Z27" i="34"/>
  <c r="AA27" i="34"/>
  <c r="AB27" i="34"/>
  <c r="AD27" i="34"/>
  <c r="AE27" i="34"/>
  <c r="AG27" i="34"/>
  <c r="AH27" i="34"/>
  <c r="AI27" i="34"/>
  <c r="AJ27" i="34"/>
  <c r="AK27" i="34"/>
  <c r="AL27" i="34"/>
  <c r="AM27" i="34"/>
  <c r="AN27" i="34"/>
  <c r="AO27" i="34"/>
  <c r="AP27" i="34"/>
  <c r="AQ27" i="34"/>
  <c r="AR27" i="34"/>
  <c r="AS27" i="34"/>
  <c r="D161" i="2"/>
  <c r="C161" i="2"/>
  <c r="E161" i="2"/>
  <c r="D39" i="34"/>
  <c r="F39" i="34"/>
  <c r="G39" i="34"/>
  <c r="I39" i="34"/>
  <c r="J39" i="34"/>
  <c r="L39" i="34"/>
  <c r="M39" i="34"/>
  <c r="N39" i="34"/>
  <c r="P39" i="34"/>
  <c r="Q39" i="34"/>
  <c r="S39" i="34"/>
  <c r="T39" i="34"/>
  <c r="U39" i="34"/>
  <c r="W39" i="34"/>
  <c r="X39" i="34"/>
  <c r="Z39" i="34"/>
  <c r="AA39" i="34"/>
  <c r="AB39" i="34"/>
  <c r="AD39" i="34"/>
  <c r="AE39" i="34"/>
  <c r="AG39" i="34"/>
  <c r="AH39" i="34"/>
  <c r="AI39" i="34"/>
  <c r="AJ39" i="34"/>
  <c r="AK39" i="34"/>
  <c r="AL39" i="34"/>
  <c r="AM39" i="34"/>
  <c r="AN39" i="34"/>
  <c r="AO39" i="34"/>
  <c r="AP39" i="34"/>
  <c r="AQ39" i="34"/>
  <c r="AR39" i="34"/>
  <c r="AS39" i="34"/>
  <c r="D162" i="2"/>
  <c r="C162" i="2"/>
  <c r="E162" i="2"/>
  <c r="F159" i="2"/>
  <c r="D51" i="34"/>
  <c r="F51" i="34"/>
  <c r="G51" i="34"/>
  <c r="I51" i="34"/>
  <c r="J51" i="34"/>
  <c r="L51" i="34"/>
  <c r="M51" i="34"/>
  <c r="N51" i="34"/>
  <c r="P51" i="34"/>
  <c r="Q51" i="34"/>
  <c r="S51" i="34"/>
  <c r="T51" i="34"/>
  <c r="U51" i="34"/>
  <c r="W51" i="34"/>
  <c r="X51" i="34"/>
  <c r="Z51" i="34"/>
  <c r="AA51" i="34"/>
  <c r="AB51" i="34"/>
  <c r="AD51" i="34"/>
  <c r="AE51" i="34"/>
  <c r="AG51" i="34"/>
  <c r="AH51" i="34"/>
  <c r="AI51" i="34"/>
  <c r="AJ51" i="34"/>
  <c r="AK51" i="34"/>
  <c r="AL51" i="34"/>
  <c r="AM51" i="34"/>
  <c r="AN51" i="34"/>
  <c r="AO51" i="34"/>
  <c r="AP51" i="34"/>
  <c r="AQ51" i="34"/>
  <c r="AR51" i="34"/>
  <c r="AS51" i="34"/>
  <c r="D163" i="2"/>
  <c r="C163" i="2"/>
  <c r="E163" i="2"/>
  <c r="D63" i="34"/>
  <c r="F63" i="34"/>
  <c r="G63" i="34"/>
  <c r="I63" i="34"/>
  <c r="J63" i="34"/>
  <c r="L63" i="34"/>
  <c r="M63" i="34"/>
  <c r="N63" i="34"/>
  <c r="P63" i="34"/>
  <c r="Q63" i="34"/>
  <c r="S63" i="34"/>
  <c r="T63" i="34"/>
  <c r="U63" i="34"/>
  <c r="W63" i="34"/>
  <c r="X63" i="34"/>
  <c r="Z63" i="34"/>
  <c r="AA63" i="34"/>
  <c r="AB63" i="34"/>
  <c r="AD63" i="34"/>
  <c r="AE63" i="34"/>
  <c r="AG63" i="34"/>
  <c r="AH63" i="34"/>
  <c r="AI63" i="34"/>
  <c r="AJ63" i="34"/>
  <c r="AK63" i="34"/>
  <c r="AL63" i="34"/>
  <c r="AM63" i="34"/>
  <c r="AN63" i="34"/>
  <c r="AO63" i="34"/>
  <c r="AP63" i="34"/>
  <c r="AQ63" i="34"/>
  <c r="AR63" i="34"/>
  <c r="AS63" i="34"/>
  <c r="D164" i="2"/>
  <c r="C164" i="2"/>
  <c r="E164" i="2"/>
  <c r="D75" i="34"/>
  <c r="F75" i="34"/>
  <c r="G75" i="34"/>
  <c r="I75" i="34"/>
  <c r="J75" i="34"/>
  <c r="L75" i="34"/>
  <c r="M75" i="34"/>
  <c r="N75" i="34"/>
  <c r="P75" i="34"/>
  <c r="Q75" i="34"/>
  <c r="S75" i="34"/>
  <c r="T75" i="34"/>
  <c r="U75" i="34"/>
  <c r="W75" i="34"/>
  <c r="X75" i="34"/>
  <c r="Z75" i="34"/>
  <c r="AA75" i="34"/>
  <c r="AB75" i="34"/>
  <c r="AD75" i="34"/>
  <c r="AE75" i="34"/>
  <c r="AG75" i="34"/>
  <c r="AH75" i="34"/>
  <c r="AI75" i="34"/>
  <c r="AJ75" i="34"/>
  <c r="AK75" i="34"/>
  <c r="AL75" i="34"/>
  <c r="AM75" i="34"/>
  <c r="AN75" i="34"/>
  <c r="AO75" i="34"/>
  <c r="AP75" i="34"/>
  <c r="AQ75" i="34"/>
  <c r="AR75" i="34"/>
  <c r="AS75" i="34"/>
  <c r="D165" i="2"/>
  <c r="C165" i="2"/>
  <c r="E165" i="2"/>
  <c r="D87" i="34"/>
  <c r="F87" i="34"/>
  <c r="G87" i="34"/>
  <c r="I87" i="34"/>
  <c r="J87" i="34"/>
  <c r="L87" i="34"/>
  <c r="M87" i="34"/>
  <c r="N87" i="34"/>
  <c r="P87" i="34"/>
  <c r="Q87" i="34"/>
  <c r="S87" i="34"/>
  <c r="T87" i="34"/>
  <c r="U87" i="34"/>
  <c r="W87" i="34"/>
  <c r="X87" i="34"/>
  <c r="Z87" i="34"/>
  <c r="AA87" i="34"/>
  <c r="AB87" i="34"/>
  <c r="AD87" i="34"/>
  <c r="AE87" i="34"/>
  <c r="AG87" i="34"/>
  <c r="AH87" i="34"/>
  <c r="AI87" i="34"/>
  <c r="AJ87" i="34"/>
  <c r="AK87" i="34"/>
  <c r="AL87" i="34"/>
  <c r="AM87" i="34"/>
  <c r="AN87" i="34"/>
  <c r="AO87" i="34"/>
  <c r="AP87" i="34"/>
  <c r="AQ87" i="34"/>
  <c r="AR87" i="34"/>
  <c r="AS87" i="34"/>
  <c r="D166" i="2"/>
  <c r="C166" i="2"/>
  <c r="E166" i="2"/>
  <c r="F163" i="2"/>
  <c r="D99" i="34"/>
  <c r="F99" i="34"/>
  <c r="G99" i="34"/>
  <c r="I99" i="34"/>
  <c r="J99" i="34"/>
  <c r="L99" i="34"/>
  <c r="M99" i="34"/>
  <c r="N99" i="34"/>
  <c r="P99" i="34"/>
  <c r="Q99" i="34"/>
  <c r="S99" i="34"/>
  <c r="T99" i="34"/>
  <c r="U99" i="34"/>
  <c r="W99" i="34"/>
  <c r="X99" i="34"/>
  <c r="Z99" i="34"/>
  <c r="AA99" i="34"/>
  <c r="AB99" i="34"/>
  <c r="AD99" i="34"/>
  <c r="AE99" i="34"/>
  <c r="AG99" i="34"/>
  <c r="AH99" i="34"/>
  <c r="AI99" i="34"/>
  <c r="AJ99" i="34"/>
  <c r="AK99" i="34"/>
  <c r="AL99" i="34"/>
  <c r="AM99" i="34"/>
  <c r="AN99" i="34"/>
  <c r="AO99" i="34"/>
  <c r="AP99" i="34"/>
  <c r="AQ99" i="34"/>
  <c r="AR99" i="34"/>
  <c r="AS99" i="34"/>
  <c r="D167" i="2"/>
  <c r="C167" i="2"/>
  <c r="E167" i="2"/>
  <c r="D111" i="34"/>
  <c r="F111" i="34"/>
  <c r="G111" i="34"/>
  <c r="I111" i="34"/>
  <c r="J111" i="34"/>
  <c r="L111" i="34"/>
  <c r="M111" i="34"/>
  <c r="N111" i="34"/>
  <c r="P111" i="34"/>
  <c r="Q111" i="34"/>
  <c r="S111" i="34"/>
  <c r="T111" i="34"/>
  <c r="U111" i="34"/>
  <c r="W111" i="34"/>
  <c r="X111" i="34"/>
  <c r="Z111" i="34"/>
  <c r="AA111" i="34"/>
  <c r="AB111" i="34"/>
  <c r="AD111" i="34"/>
  <c r="AE111" i="34"/>
  <c r="AG111" i="34"/>
  <c r="AH111" i="34"/>
  <c r="AI111" i="34"/>
  <c r="AJ111" i="34"/>
  <c r="AK111" i="34"/>
  <c r="AL111" i="34"/>
  <c r="AM111" i="34"/>
  <c r="AN111" i="34"/>
  <c r="AO111" i="34"/>
  <c r="AP111" i="34"/>
  <c r="AQ111" i="34"/>
  <c r="AR111" i="34"/>
  <c r="AS111" i="34"/>
  <c r="D168" i="2"/>
  <c r="C168" i="2"/>
  <c r="E168" i="2"/>
  <c r="D123" i="34"/>
  <c r="F123" i="34"/>
  <c r="G123" i="34"/>
  <c r="I123" i="34"/>
  <c r="J123" i="34"/>
  <c r="L123" i="34"/>
  <c r="M123" i="34"/>
  <c r="N123" i="34"/>
  <c r="P123" i="34"/>
  <c r="Q123" i="34"/>
  <c r="S123" i="34"/>
  <c r="T123" i="34"/>
  <c r="U123" i="34"/>
  <c r="W123" i="34"/>
  <c r="X123" i="34"/>
  <c r="Z123" i="34"/>
  <c r="AA123" i="34"/>
  <c r="AB123" i="34"/>
  <c r="AD123" i="34"/>
  <c r="AE123" i="34"/>
  <c r="AG123" i="34"/>
  <c r="AH123" i="34"/>
  <c r="AI123" i="34"/>
  <c r="AJ123" i="34"/>
  <c r="AK123" i="34"/>
  <c r="AL123" i="34"/>
  <c r="AM123" i="34"/>
  <c r="AN123" i="34"/>
  <c r="AO123" i="34"/>
  <c r="AP123" i="34"/>
  <c r="AQ123" i="34"/>
  <c r="AR123" i="34"/>
  <c r="AS123" i="34"/>
  <c r="D169" i="2"/>
  <c r="C169" i="2"/>
  <c r="E169" i="2"/>
  <c r="D135" i="34"/>
  <c r="F135" i="34"/>
  <c r="G135" i="34"/>
  <c r="I135" i="34"/>
  <c r="J135" i="34"/>
  <c r="L135" i="34"/>
  <c r="M135" i="34"/>
  <c r="N135" i="34"/>
  <c r="P135" i="34"/>
  <c r="Q135" i="34"/>
  <c r="S135" i="34"/>
  <c r="T135" i="34"/>
  <c r="U135" i="34"/>
  <c r="W135" i="34"/>
  <c r="X135" i="34"/>
  <c r="Z135" i="34"/>
  <c r="AA135" i="34"/>
  <c r="AB135" i="34"/>
  <c r="AD135" i="34"/>
  <c r="AE135" i="34"/>
  <c r="AG135" i="34"/>
  <c r="AH135" i="34"/>
  <c r="AI135" i="34"/>
  <c r="AJ135" i="34"/>
  <c r="AK135" i="34"/>
  <c r="AL135" i="34"/>
  <c r="AM135" i="34"/>
  <c r="AN135" i="34"/>
  <c r="AO135" i="34"/>
  <c r="AP135" i="34"/>
  <c r="AQ135" i="34"/>
  <c r="AR135" i="34"/>
  <c r="AS135" i="34"/>
  <c r="D170" i="2"/>
  <c r="C170" i="2"/>
  <c r="E170" i="2"/>
  <c r="F167" i="2"/>
  <c r="D147" i="34"/>
  <c r="F147" i="34"/>
  <c r="G147" i="34"/>
  <c r="I147" i="34"/>
  <c r="J147" i="34"/>
  <c r="L147" i="34"/>
  <c r="M147" i="34"/>
  <c r="N147" i="34"/>
  <c r="P147" i="34"/>
  <c r="Q147" i="34"/>
  <c r="S147" i="34"/>
  <c r="T147" i="34"/>
  <c r="U147" i="34"/>
  <c r="W147" i="34"/>
  <c r="X147" i="34"/>
  <c r="Z147" i="34"/>
  <c r="AA147" i="34"/>
  <c r="AB147" i="34"/>
  <c r="AD147" i="34"/>
  <c r="AE147" i="34"/>
  <c r="AG147" i="34"/>
  <c r="AH147" i="34"/>
  <c r="AI147" i="34"/>
  <c r="AJ147" i="34"/>
  <c r="AK147" i="34"/>
  <c r="AL147" i="34"/>
  <c r="AM147" i="34"/>
  <c r="AN147" i="34"/>
  <c r="AO147" i="34"/>
  <c r="AP147" i="34"/>
  <c r="AQ147" i="34"/>
  <c r="AR147" i="34"/>
  <c r="AS147" i="34"/>
  <c r="D171" i="2"/>
  <c r="C171" i="2"/>
  <c r="E171" i="2"/>
  <c r="D159" i="34"/>
  <c r="F159" i="34"/>
  <c r="G159" i="34"/>
  <c r="I159" i="34"/>
  <c r="J159" i="34"/>
  <c r="L159" i="34"/>
  <c r="M159" i="34"/>
  <c r="N159" i="34"/>
  <c r="P159" i="34"/>
  <c r="Q159" i="34"/>
  <c r="S159" i="34"/>
  <c r="T159" i="34"/>
  <c r="U159" i="34"/>
  <c r="W159" i="34"/>
  <c r="X159" i="34"/>
  <c r="Z159" i="34"/>
  <c r="AA159" i="34"/>
  <c r="AB159" i="34"/>
  <c r="AD159" i="34"/>
  <c r="AE159" i="34"/>
  <c r="AG159" i="34"/>
  <c r="AH159" i="34"/>
  <c r="AI159" i="34"/>
  <c r="AJ159" i="34"/>
  <c r="AK159" i="34"/>
  <c r="AL159" i="34"/>
  <c r="AM159" i="34"/>
  <c r="AN159" i="34"/>
  <c r="AO159" i="34"/>
  <c r="AP159" i="34"/>
  <c r="AQ159" i="34"/>
  <c r="AR159" i="34"/>
  <c r="AS159" i="34"/>
  <c r="D172" i="2"/>
  <c r="C172" i="2"/>
  <c r="E172" i="2"/>
  <c r="D171" i="34"/>
  <c r="F171" i="34"/>
  <c r="G171" i="34"/>
  <c r="I171" i="34"/>
  <c r="J171" i="34"/>
  <c r="L171" i="34"/>
  <c r="M171" i="34"/>
  <c r="N171" i="34"/>
  <c r="P171" i="34"/>
  <c r="Q171" i="34"/>
  <c r="S171" i="34"/>
  <c r="T171" i="34"/>
  <c r="U171" i="34"/>
  <c r="W171" i="34"/>
  <c r="X171" i="34"/>
  <c r="Z171" i="34"/>
  <c r="AA171" i="34"/>
  <c r="AB171" i="34"/>
  <c r="AD171" i="34"/>
  <c r="AE171" i="34"/>
  <c r="AG171" i="34"/>
  <c r="AH171" i="34"/>
  <c r="AI171" i="34"/>
  <c r="AJ171" i="34"/>
  <c r="AK171" i="34"/>
  <c r="AL171" i="34"/>
  <c r="AM171" i="34"/>
  <c r="AN171" i="34"/>
  <c r="AO171" i="34"/>
  <c r="AP171" i="34"/>
  <c r="AQ171" i="34"/>
  <c r="AR171" i="34"/>
  <c r="AS171" i="34"/>
  <c r="D173" i="2"/>
  <c r="C173" i="2"/>
  <c r="E173" i="2"/>
  <c r="D183" i="34"/>
  <c r="F183" i="34"/>
  <c r="G183" i="34"/>
  <c r="I183" i="34"/>
  <c r="J183" i="34"/>
  <c r="L183" i="34"/>
  <c r="M183" i="34"/>
  <c r="N183" i="34"/>
  <c r="P183" i="34"/>
  <c r="Q183" i="34"/>
  <c r="S183" i="34"/>
  <c r="T183" i="34"/>
  <c r="U183" i="34"/>
  <c r="W183" i="34"/>
  <c r="X183" i="34"/>
  <c r="Z183" i="34"/>
  <c r="AA183" i="34"/>
  <c r="AB183" i="34"/>
  <c r="AD183" i="34"/>
  <c r="AE183" i="34"/>
  <c r="AG183" i="34"/>
  <c r="AH183" i="34"/>
  <c r="AI183" i="34"/>
  <c r="AJ183" i="34"/>
  <c r="AK183" i="34"/>
  <c r="AL183" i="34"/>
  <c r="AM183" i="34"/>
  <c r="AN183" i="34"/>
  <c r="AO183" i="34"/>
  <c r="AP183" i="34"/>
  <c r="AQ183" i="34"/>
  <c r="AR183" i="34"/>
  <c r="AS183" i="34"/>
  <c r="D174" i="2"/>
  <c r="C174" i="2"/>
  <c r="E174" i="2"/>
  <c r="F171" i="2"/>
  <c r="D195" i="34"/>
  <c r="F195" i="34"/>
  <c r="G195" i="34"/>
  <c r="I195" i="34"/>
  <c r="J195" i="34"/>
  <c r="L195" i="34"/>
  <c r="M195" i="34"/>
  <c r="N195" i="34"/>
  <c r="P195" i="34"/>
  <c r="Q195" i="34"/>
  <c r="S195" i="34"/>
  <c r="T195" i="34"/>
  <c r="U195" i="34"/>
  <c r="W195" i="34"/>
  <c r="X195" i="34"/>
  <c r="Z195" i="34"/>
  <c r="AA195" i="34"/>
  <c r="AB195" i="34"/>
  <c r="AD195" i="34"/>
  <c r="AE195" i="34"/>
  <c r="AG195" i="34"/>
  <c r="AH195" i="34"/>
  <c r="AI195" i="34"/>
  <c r="AJ195" i="34"/>
  <c r="AK195" i="34"/>
  <c r="AL195" i="34"/>
  <c r="AM195" i="34"/>
  <c r="AN195" i="34"/>
  <c r="AO195" i="34"/>
  <c r="AP195" i="34"/>
  <c r="AQ195" i="34"/>
  <c r="AR195" i="34"/>
  <c r="AS195" i="34"/>
  <c r="D175" i="2"/>
  <c r="C175" i="2"/>
  <c r="E175" i="2"/>
  <c r="D207" i="34"/>
  <c r="F207" i="34"/>
  <c r="G207" i="34"/>
  <c r="I207" i="34"/>
  <c r="J207" i="34"/>
  <c r="L207" i="34"/>
  <c r="M207" i="34"/>
  <c r="N207" i="34"/>
  <c r="P207" i="34"/>
  <c r="Q207" i="34"/>
  <c r="S207" i="34"/>
  <c r="T207" i="34"/>
  <c r="U207" i="34"/>
  <c r="W207" i="34"/>
  <c r="X207" i="34"/>
  <c r="Z207" i="34"/>
  <c r="AA207" i="34"/>
  <c r="AB207" i="34"/>
  <c r="AD207" i="34"/>
  <c r="AE207" i="34"/>
  <c r="AG207" i="34"/>
  <c r="AH207" i="34"/>
  <c r="AI207" i="34"/>
  <c r="AJ207" i="34"/>
  <c r="AK207" i="34"/>
  <c r="AL207" i="34"/>
  <c r="AM207" i="34"/>
  <c r="AN207" i="34"/>
  <c r="AO207" i="34"/>
  <c r="AP207" i="34"/>
  <c r="AQ207" i="34"/>
  <c r="AR207" i="34"/>
  <c r="AS207" i="34"/>
  <c r="D176" i="2"/>
  <c r="C176" i="2"/>
  <c r="E176" i="2"/>
  <c r="D219" i="34"/>
  <c r="F219" i="34"/>
  <c r="G219" i="34"/>
  <c r="I219" i="34"/>
  <c r="J219" i="34"/>
  <c r="L219" i="34"/>
  <c r="M219" i="34"/>
  <c r="N219" i="34"/>
  <c r="P219" i="34"/>
  <c r="Q219" i="34"/>
  <c r="S219" i="34"/>
  <c r="T219" i="34"/>
  <c r="U219" i="34"/>
  <c r="W219" i="34"/>
  <c r="X219" i="34"/>
  <c r="Z219" i="34"/>
  <c r="AA219" i="34"/>
  <c r="AB219" i="34"/>
  <c r="AD219" i="34"/>
  <c r="AE219" i="34"/>
  <c r="AG219" i="34"/>
  <c r="AH219" i="34"/>
  <c r="AI219" i="34"/>
  <c r="AJ219" i="34"/>
  <c r="AK219" i="34"/>
  <c r="AL219" i="34"/>
  <c r="AM219" i="34"/>
  <c r="AN219" i="34"/>
  <c r="AO219" i="34"/>
  <c r="AP219" i="34"/>
  <c r="AQ219" i="34"/>
  <c r="AR219" i="34"/>
  <c r="AS219" i="34"/>
  <c r="D177" i="2"/>
  <c r="C177" i="2"/>
  <c r="E177" i="2"/>
  <c r="D231" i="34"/>
  <c r="F231" i="34"/>
  <c r="G231" i="34"/>
  <c r="I231" i="34"/>
  <c r="J231" i="34"/>
  <c r="L231" i="34"/>
  <c r="M231" i="34"/>
  <c r="N231" i="34"/>
  <c r="P231" i="34"/>
  <c r="Q231" i="34"/>
  <c r="S231" i="34"/>
  <c r="T231" i="34"/>
  <c r="U231" i="34"/>
  <c r="W231" i="34"/>
  <c r="X231" i="34"/>
  <c r="Z231" i="34"/>
  <c r="AA231" i="34"/>
  <c r="AB231" i="34"/>
  <c r="AD231" i="34"/>
  <c r="AE231" i="34"/>
  <c r="AG231" i="34"/>
  <c r="AH231" i="34"/>
  <c r="AI231" i="34"/>
  <c r="AJ231" i="34"/>
  <c r="AK231" i="34"/>
  <c r="AL231" i="34"/>
  <c r="AM231" i="34"/>
  <c r="AN231" i="34"/>
  <c r="AO231" i="34"/>
  <c r="AP231" i="34"/>
  <c r="AQ231" i="34"/>
  <c r="AR231" i="34"/>
  <c r="AS231" i="34"/>
  <c r="D178" i="2"/>
  <c r="C178" i="2"/>
  <c r="E178" i="2"/>
  <c r="F175" i="2"/>
  <c r="D179" i="2"/>
  <c r="C179" i="2"/>
  <c r="E179" i="2"/>
  <c r="F179" i="2"/>
  <c r="D180" i="2"/>
  <c r="C180" i="2"/>
  <c r="D181" i="2"/>
  <c r="C181" i="2"/>
  <c r="E181" i="2"/>
  <c r="D182" i="2"/>
  <c r="C182" i="2"/>
  <c r="E182" i="2"/>
  <c r="F181" i="2"/>
  <c r="J181" i="2"/>
  <c r="K181" i="2"/>
  <c r="D243" i="34"/>
  <c r="F243" i="34"/>
  <c r="G243" i="34"/>
  <c r="I243" i="34"/>
  <c r="J243" i="34"/>
  <c r="L243" i="34"/>
  <c r="M243" i="34"/>
  <c r="N243" i="34"/>
  <c r="P243" i="34"/>
  <c r="Q243" i="34"/>
  <c r="S243" i="34"/>
  <c r="T243" i="34"/>
  <c r="U243" i="34"/>
  <c r="W243" i="34"/>
  <c r="X243" i="34"/>
  <c r="Z243" i="34"/>
  <c r="AA243" i="34"/>
  <c r="AB243" i="34"/>
  <c r="AD243" i="34"/>
  <c r="AE243" i="34"/>
  <c r="AG243" i="34"/>
  <c r="AH243" i="34"/>
  <c r="AI243" i="34"/>
  <c r="AJ243" i="34"/>
  <c r="AK243" i="34"/>
  <c r="AL243" i="34"/>
  <c r="AM243" i="34"/>
  <c r="AN243" i="34"/>
  <c r="AO243" i="34"/>
  <c r="AP243" i="34"/>
  <c r="AQ243" i="34"/>
  <c r="AR243" i="34"/>
  <c r="AS243" i="34"/>
  <c r="D183" i="2"/>
  <c r="C183" i="2"/>
  <c r="E183" i="2"/>
  <c r="F183" i="2"/>
  <c r="D255" i="34"/>
  <c r="F255" i="34"/>
  <c r="G255" i="34"/>
  <c r="I255" i="34"/>
  <c r="J255" i="34"/>
  <c r="L255" i="34"/>
  <c r="M255" i="34"/>
  <c r="N255" i="34"/>
  <c r="P255" i="34"/>
  <c r="Q255" i="34"/>
  <c r="S255" i="34"/>
  <c r="T255" i="34"/>
  <c r="U255" i="34"/>
  <c r="W255" i="34"/>
  <c r="X255" i="34"/>
  <c r="Z255" i="34"/>
  <c r="AA255" i="34"/>
  <c r="AB255" i="34"/>
  <c r="AD255" i="34"/>
  <c r="AE255" i="34"/>
  <c r="AG255" i="34"/>
  <c r="AH255" i="34"/>
  <c r="AI255" i="34"/>
  <c r="AJ255" i="34"/>
  <c r="AK255" i="34"/>
  <c r="AL255" i="34"/>
  <c r="AM255" i="34"/>
  <c r="AN255" i="34"/>
  <c r="AO255" i="34"/>
  <c r="AP255" i="34"/>
  <c r="AQ255" i="34"/>
  <c r="AR255" i="34"/>
  <c r="AS255" i="34"/>
  <c r="D184" i="2"/>
  <c r="C184" i="2"/>
  <c r="E184" i="2"/>
  <c r="F184" i="2"/>
  <c r="D188" i="2"/>
  <c r="C188" i="2"/>
  <c r="D189" i="2"/>
  <c r="C189" i="2"/>
  <c r="E189" i="2"/>
  <c r="F189" i="2"/>
  <c r="J189" i="2"/>
  <c r="K189" i="2"/>
  <c r="D190" i="2"/>
  <c r="C190" i="2"/>
  <c r="E190" i="2"/>
  <c r="D15" i="37"/>
  <c r="F15" i="37"/>
  <c r="G15" i="37"/>
  <c r="I15" i="37"/>
  <c r="J15" i="37"/>
  <c r="L15" i="37"/>
  <c r="M15" i="37"/>
  <c r="N15" i="37"/>
  <c r="P15" i="37"/>
  <c r="Q15" i="37"/>
  <c r="S15" i="37"/>
  <c r="T15" i="37"/>
  <c r="U15" i="37"/>
  <c r="W15" i="37"/>
  <c r="X15" i="37"/>
  <c r="Z15" i="37"/>
  <c r="AA15" i="37"/>
  <c r="AB15" i="37"/>
  <c r="AD15" i="37"/>
  <c r="AE15" i="37"/>
  <c r="AG15" i="37"/>
  <c r="AH15" i="37"/>
  <c r="AI15" i="37"/>
  <c r="AJ15" i="37"/>
  <c r="AK15" i="37"/>
  <c r="AL15" i="37"/>
  <c r="AM15" i="37"/>
  <c r="AN15" i="37"/>
  <c r="AO15" i="37"/>
  <c r="AP15" i="37"/>
  <c r="AQ15" i="37"/>
  <c r="AR15" i="37"/>
  <c r="AS15" i="37"/>
  <c r="D191" i="2"/>
  <c r="C191" i="2"/>
  <c r="E191" i="2"/>
  <c r="D27" i="37"/>
  <c r="F27" i="37"/>
  <c r="G27" i="37"/>
  <c r="I27" i="37"/>
  <c r="J27" i="37"/>
  <c r="L27" i="37"/>
  <c r="M27" i="37"/>
  <c r="N27" i="37"/>
  <c r="P27" i="37"/>
  <c r="Q27" i="37"/>
  <c r="S27" i="37"/>
  <c r="T27" i="37"/>
  <c r="U27" i="37"/>
  <c r="W27" i="37"/>
  <c r="X27" i="37"/>
  <c r="Z27" i="37"/>
  <c r="AA27" i="37"/>
  <c r="AB27" i="37"/>
  <c r="AD27" i="37"/>
  <c r="AE27" i="37"/>
  <c r="AG27" i="37"/>
  <c r="AH27" i="37"/>
  <c r="AI27" i="37"/>
  <c r="AJ27" i="37"/>
  <c r="AK27" i="37"/>
  <c r="AL27" i="37"/>
  <c r="AM27" i="37"/>
  <c r="AN27" i="37"/>
  <c r="AO27" i="37"/>
  <c r="AP27" i="37"/>
  <c r="AQ27" i="37"/>
  <c r="AR27" i="37"/>
  <c r="AS27" i="37"/>
  <c r="D192" i="2"/>
  <c r="C192" i="2"/>
  <c r="E192" i="2"/>
  <c r="D39" i="37"/>
  <c r="F39" i="37"/>
  <c r="G39" i="37"/>
  <c r="I39" i="37"/>
  <c r="J39" i="37"/>
  <c r="L39" i="37"/>
  <c r="M39" i="37"/>
  <c r="N39" i="37"/>
  <c r="P39" i="37"/>
  <c r="Q39" i="37"/>
  <c r="S39" i="37"/>
  <c r="T39" i="37"/>
  <c r="U39" i="37"/>
  <c r="W39" i="37"/>
  <c r="X39" i="37"/>
  <c r="Z39" i="37"/>
  <c r="AA39" i="37"/>
  <c r="AB39" i="37"/>
  <c r="AD39" i="37"/>
  <c r="AE39" i="37"/>
  <c r="AG39" i="37"/>
  <c r="AH39" i="37"/>
  <c r="AI39" i="37"/>
  <c r="AJ39" i="37"/>
  <c r="AK39" i="37"/>
  <c r="AL39" i="37"/>
  <c r="AM39" i="37"/>
  <c r="AN39" i="37"/>
  <c r="AO39" i="37"/>
  <c r="AP39" i="37"/>
  <c r="AQ39" i="37"/>
  <c r="AR39" i="37"/>
  <c r="AS39" i="37"/>
  <c r="D193" i="2"/>
  <c r="C193" i="2"/>
  <c r="E193" i="2"/>
  <c r="F190" i="2"/>
  <c r="D51" i="37"/>
  <c r="F51" i="37"/>
  <c r="G51" i="37"/>
  <c r="I51" i="37"/>
  <c r="J51" i="37"/>
  <c r="L51" i="37"/>
  <c r="M51" i="37"/>
  <c r="N51" i="37"/>
  <c r="P51" i="37"/>
  <c r="Q51" i="37"/>
  <c r="S51" i="37"/>
  <c r="T51" i="37"/>
  <c r="U51" i="37"/>
  <c r="W51" i="37"/>
  <c r="X51" i="37"/>
  <c r="Z51" i="37"/>
  <c r="AA51" i="37"/>
  <c r="AB51" i="37"/>
  <c r="AD51" i="37"/>
  <c r="AE51" i="37"/>
  <c r="AG51" i="37"/>
  <c r="AH51" i="37"/>
  <c r="AI51" i="37"/>
  <c r="AJ51" i="37"/>
  <c r="AK51" i="37"/>
  <c r="AL51" i="37"/>
  <c r="AM51" i="37"/>
  <c r="AN51" i="37"/>
  <c r="AO51" i="37"/>
  <c r="AP51" i="37"/>
  <c r="AQ51" i="37"/>
  <c r="AR51" i="37"/>
  <c r="AS51" i="37"/>
  <c r="D194" i="2"/>
  <c r="C194" i="2"/>
  <c r="E194" i="2"/>
  <c r="D63" i="37"/>
  <c r="F63" i="37"/>
  <c r="G63" i="37"/>
  <c r="I63" i="37"/>
  <c r="J63" i="37"/>
  <c r="L63" i="37"/>
  <c r="M63" i="37"/>
  <c r="N63" i="37"/>
  <c r="P63" i="37"/>
  <c r="Q63" i="37"/>
  <c r="S63" i="37"/>
  <c r="T63" i="37"/>
  <c r="U63" i="37"/>
  <c r="W63" i="37"/>
  <c r="X63" i="37"/>
  <c r="Z63" i="37"/>
  <c r="AA63" i="37"/>
  <c r="AB63" i="37"/>
  <c r="AD63" i="37"/>
  <c r="AE63" i="37"/>
  <c r="AG63" i="37"/>
  <c r="AH63" i="37"/>
  <c r="AI63" i="37"/>
  <c r="AJ63" i="37"/>
  <c r="AK63" i="37"/>
  <c r="AL63" i="37"/>
  <c r="AM63" i="37"/>
  <c r="AN63" i="37"/>
  <c r="AO63" i="37"/>
  <c r="AP63" i="37"/>
  <c r="AQ63" i="37"/>
  <c r="AR63" i="37"/>
  <c r="AS63" i="37"/>
  <c r="D195" i="2"/>
  <c r="C195" i="2"/>
  <c r="E195" i="2"/>
  <c r="D75" i="37"/>
  <c r="F75" i="37"/>
  <c r="G75" i="37"/>
  <c r="I75" i="37"/>
  <c r="J75" i="37"/>
  <c r="L75" i="37"/>
  <c r="M75" i="37"/>
  <c r="N75" i="37"/>
  <c r="P75" i="37"/>
  <c r="Q75" i="37"/>
  <c r="S75" i="37"/>
  <c r="T75" i="37"/>
  <c r="U75" i="37"/>
  <c r="W75" i="37"/>
  <c r="X75" i="37"/>
  <c r="Z75" i="37"/>
  <c r="AA75" i="37"/>
  <c r="AB75" i="37"/>
  <c r="AD75" i="37"/>
  <c r="AE75" i="37"/>
  <c r="AG75" i="37"/>
  <c r="AH75" i="37"/>
  <c r="AI75" i="37"/>
  <c r="AJ75" i="37"/>
  <c r="AK75" i="37"/>
  <c r="AL75" i="37"/>
  <c r="AM75" i="37"/>
  <c r="AN75" i="37"/>
  <c r="AO75" i="37"/>
  <c r="AP75" i="37"/>
  <c r="AQ75" i="37"/>
  <c r="AR75" i="37"/>
  <c r="AS75" i="37"/>
  <c r="D196" i="2"/>
  <c r="C196" i="2"/>
  <c r="E196" i="2"/>
  <c r="D87" i="37"/>
  <c r="F87" i="37"/>
  <c r="G87" i="37"/>
  <c r="I87" i="37"/>
  <c r="J87" i="37"/>
  <c r="L87" i="37"/>
  <c r="M87" i="37"/>
  <c r="N87" i="37"/>
  <c r="P87" i="37"/>
  <c r="Q87" i="37"/>
  <c r="S87" i="37"/>
  <c r="T87" i="37"/>
  <c r="U87" i="37"/>
  <c r="W87" i="37"/>
  <c r="X87" i="37"/>
  <c r="Z87" i="37"/>
  <c r="AA87" i="37"/>
  <c r="AB87" i="37"/>
  <c r="AD87" i="37"/>
  <c r="AE87" i="37"/>
  <c r="AG87" i="37"/>
  <c r="AH87" i="37"/>
  <c r="AI87" i="37"/>
  <c r="AJ87" i="37"/>
  <c r="AK87" i="37"/>
  <c r="AL87" i="37"/>
  <c r="AM87" i="37"/>
  <c r="AN87" i="37"/>
  <c r="AO87" i="37"/>
  <c r="AP87" i="37"/>
  <c r="AQ87" i="37"/>
  <c r="AR87" i="37"/>
  <c r="AS87" i="37"/>
  <c r="D197" i="2"/>
  <c r="C197" i="2"/>
  <c r="E197" i="2"/>
  <c r="F194" i="2"/>
  <c r="D99" i="37"/>
  <c r="F99" i="37"/>
  <c r="G99" i="37"/>
  <c r="I99" i="37"/>
  <c r="J99" i="37"/>
  <c r="L99" i="37"/>
  <c r="M99" i="37"/>
  <c r="N99" i="37"/>
  <c r="P99" i="37"/>
  <c r="Q99" i="37"/>
  <c r="S99" i="37"/>
  <c r="T99" i="37"/>
  <c r="U99" i="37"/>
  <c r="W99" i="37"/>
  <c r="X99" i="37"/>
  <c r="Z99" i="37"/>
  <c r="AA99" i="37"/>
  <c r="AB99" i="37"/>
  <c r="AD99" i="37"/>
  <c r="AE99" i="37"/>
  <c r="AG99" i="37"/>
  <c r="AH99" i="37"/>
  <c r="AI99" i="37"/>
  <c r="AJ99" i="37"/>
  <c r="AK99" i="37"/>
  <c r="AL99" i="37"/>
  <c r="AM99" i="37"/>
  <c r="AN99" i="37"/>
  <c r="AO99" i="37"/>
  <c r="AP99" i="37"/>
  <c r="AQ99" i="37"/>
  <c r="AR99" i="37"/>
  <c r="AS99" i="37"/>
  <c r="D198" i="2"/>
  <c r="C198" i="2"/>
  <c r="E198" i="2"/>
  <c r="D111" i="37"/>
  <c r="F111" i="37"/>
  <c r="G111" i="37"/>
  <c r="I111" i="37"/>
  <c r="J111" i="37"/>
  <c r="L111" i="37"/>
  <c r="M111" i="37"/>
  <c r="N111" i="37"/>
  <c r="P111" i="37"/>
  <c r="Q111" i="37"/>
  <c r="S111" i="37"/>
  <c r="T111" i="37"/>
  <c r="U111" i="37"/>
  <c r="W111" i="37"/>
  <c r="X111" i="37"/>
  <c r="Z111" i="37"/>
  <c r="AA111" i="37"/>
  <c r="AB111" i="37"/>
  <c r="AD111" i="37"/>
  <c r="AE111" i="37"/>
  <c r="AG111" i="37"/>
  <c r="AH111" i="37"/>
  <c r="AI111" i="37"/>
  <c r="AJ111" i="37"/>
  <c r="AK111" i="37"/>
  <c r="AL111" i="37"/>
  <c r="AM111" i="37"/>
  <c r="AN111" i="37"/>
  <c r="AO111" i="37"/>
  <c r="AP111" i="37"/>
  <c r="AQ111" i="37"/>
  <c r="AR111" i="37"/>
  <c r="AS111" i="37"/>
  <c r="D199" i="2"/>
  <c r="C199" i="2"/>
  <c r="E199" i="2"/>
  <c r="D123" i="37"/>
  <c r="F123" i="37"/>
  <c r="G123" i="37"/>
  <c r="I123" i="37"/>
  <c r="J123" i="37"/>
  <c r="L123" i="37"/>
  <c r="M123" i="37"/>
  <c r="N123" i="37"/>
  <c r="P123" i="37"/>
  <c r="Q123" i="37"/>
  <c r="S123" i="37"/>
  <c r="T123" i="37"/>
  <c r="U123" i="37"/>
  <c r="W123" i="37"/>
  <c r="X123" i="37"/>
  <c r="Z123" i="37"/>
  <c r="AA123" i="37"/>
  <c r="AB123" i="37"/>
  <c r="AD123" i="37"/>
  <c r="AE123" i="37"/>
  <c r="AG123" i="37"/>
  <c r="AH123" i="37"/>
  <c r="AI123" i="37"/>
  <c r="AJ123" i="37"/>
  <c r="AK123" i="37"/>
  <c r="AL123" i="37"/>
  <c r="AM123" i="37"/>
  <c r="AN123" i="37"/>
  <c r="AO123" i="37"/>
  <c r="AP123" i="37"/>
  <c r="AQ123" i="37"/>
  <c r="AR123" i="37"/>
  <c r="AS123" i="37"/>
  <c r="D200" i="2"/>
  <c r="C200" i="2"/>
  <c r="E200" i="2"/>
  <c r="D135" i="37"/>
  <c r="F135" i="37"/>
  <c r="G135" i="37"/>
  <c r="I135" i="37"/>
  <c r="J135" i="37"/>
  <c r="L135" i="37"/>
  <c r="M135" i="37"/>
  <c r="N135" i="37"/>
  <c r="P135" i="37"/>
  <c r="Q135" i="37"/>
  <c r="S135" i="37"/>
  <c r="T135" i="37"/>
  <c r="U135" i="37"/>
  <c r="W135" i="37"/>
  <c r="X135" i="37"/>
  <c r="Z135" i="37"/>
  <c r="AA135" i="37"/>
  <c r="AB135" i="37"/>
  <c r="AD135" i="37"/>
  <c r="AE135" i="37"/>
  <c r="AG135" i="37"/>
  <c r="AH135" i="37"/>
  <c r="AI135" i="37"/>
  <c r="AJ135" i="37"/>
  <c r="AK135" i="37"/>
  <c r="AL135" i="37"/>
  <c r="AM135" i="37"/>
  <c r="AN135" i="37"/>
  <c r="AO135" i="37"/>
  <c r="AP135" i="37"/>
  <c r="AQ135" i="37"/>
  <c r="AR135" i="37"/>
  <c r="AS135" i="37"/>
  <c r="D201" i="2"/>
  <c r="C201" i="2"/>
  <c r="E201" i="2"/>
  <c r="F198" i="2"/>
  <c r="D147" i="37"/>
  <c r="F147" i="37"/>
  <c r="G147" i="37"/>
  <c r="I147" i="37"/>
  <c r="J147" i="37"/>
  <c r="L147" i="37"/>
  <c r="M147" i="37"/>
  <c r="N147" i="37"/>
  <c r="P147" i="37"/>
  <c r="Q147" i="37"/>
  <c r="S147" i="37"/>
  <c r="T147" i="37"/>
  <c r="U147" i="37"/>
  <c r="W147" i="37"/>
  <c r="X147" i="37"/>
  <c r="Z147" i="37"/>
  <c r="AA147" i="37"/>
  <c r="AB147" i="37"/>
  <c r="AD147" i="37"/>
  <c r="AE147" i="37"/>
  <c r="AG147" i="37"/>
  <c r="AH147" i="37"/>
  <c r="AI147" i="37"/>
  <c r="AJ147" i="37"/>
  <c r="AK147" i="37"/>
  <c r="AL147" i="37"/>
  <c r="AM147" i="37"/>
  <c r="AN147" i="37"/>
  <c r="AO147" i="37"/>
  <c r="AP147" i="37"/>
  <c r="AQ147" i="37"/>
  <c r="AR147" i="37"/>
  <c r="AS147" i="37"/>
  <c r="D202" i="2"/>
  <c r="C202" i="2"/>
  <c r="E202" i="2"/>
  <c r="D159" i="37"/>
  <c r="F159" i="37"/>
  <c r="G159" i="37"/>
  <c r="I159" i="37"/>
  <c r="J159" i="37"/>
  <c r="L159" i="37"/>
  <c r="M159" i="37"/>
  <c r="N159" i="37"/>
  <c r="P159" i="37"/>
  <c r="Q159" i="37"/>
  <c r="S159" i="37"/>
  <c r="T159" i="37"/>
  <c r="U159" i="37"/>
  <c r="W159" i="37"/>
  <c r="X159" i="37"/>
  <c r="Z159" i="37"/>
  <c r="AA159" i="37"/>
  <c r="AB159" i="37"/>
  <c r="AD159" i="37"/>
  <c r="AE159" i="37"/>
  <c r="AG159" i="37"/>
  <c r="AH159" i="37"/>
  <c r="AI159" i="37"/>
  <c r="AJ159" i="37"/>
  <c r="AK159" i="37"/>
  <c r="AL159" i="37"/>
  <c r="AM159" i="37"/>
  <c r="AN159" i="37"/>
  <c r="AO159" i="37"/>
  <c r="AP159" i="37"/>
  <c r="AQ159" i="37"/>
  <c r="AR159" i="37"/>
  <c r="AS159" i="37"/>
  <c r="D203" i="2"/>
  <c r="C203" i="2"/>
  <c r="E203" i="2"/>
  <c r="D171" i="37"/>
  <c r="F171" i="37"/>
  <c r="G171" i="37"/>
  <c r="I171" i="37"/>
  <c r="J171" i="37"/>
  <c r="L171" i="37"/>
  <c r="M171" i="37"/>
  <c r="N171" i="37"/>
  <c r="P171" i="37"/>
  <c r="Q171" i="37"/>
  <c r="S171" i="37"/>
  <c r="T171" i="37"/>
  <c r="U171" i="37"/>
  <c r="W171" i="37"/>
  <c r="X171" i="37"/>
  <c r="Z171" i="37"/>
  <c r="AA171" i="37"/>
  <c r="AB171" i="37"/>
  <c r="AD171" i="37"/>
  <c r="AE171" i="37"/>
  <c r="AG171" i="37"/>
  <c r="AH171" i="37"/>
  <c r="AI171" i="37"/>
  <c r="AJ171" i="37"/>
  <c r="AK171" i="37"/>
  <c r="AL171" i="37"/>
  <c r="AM171" i="37"/>
  <c r="AN171" i="37"/>
  <c r="AO171" i="37"/>
  <c r="AP171" i="37"/>
  <c r="AQ171" i="37"/>
  <c r="AR171" i="37"/>
  <c r="AS171" i="37"/>
  <c r="D204" i="2"/>
  <c r="C204" i="2"/>
  <c r="E204" i="2"/>
  <c r="D183" i="37"/>
  <c r="F183" i="37"/>
  <c r="G183" i="37"/>
  <c r="I183" i="37"/>
  <c r="J183" i="37"/>
  <c r="L183" i="37"/>
  <c r="M183" i="37"/>
  <c r="N183" i="37"/>
  <c r="P183" i="37"/>
  <c r="Q183" i="37"/>
  <c r="S183" i="37"/>
  <c r="T183" i="37"/>
  <c r="U183" i="37"/>
  <c r="W183" i="37"/>
  <c r="X183" i="37"/>
  <c r="Z183" i="37"/>
  <c r="AA183" i="37"/>
  <c r="AB183" i="37"/>
  <c r="AD183" i="37"/>
  <c r="AE183" i="37"/>
  <c r="AG183" i="37"/>
  <c r="AH183" i="37"/>
  <c r="AI183" i="37"/>
  <c r="AJ183" i="37"/>
  <c r="AK183" i="37"/>
  <c r="AL183" i="37"/>
  <c r="AM183" i="37"/>
  <c r="AN183" i="37"/>
  <c r="AO183" i="37"/>
  <c r="AP183" i="37"/>
  <c r="AQ183" i="37"/>
  <c r="AR183" i="37"/>
  <c r="AS183" i="37"/>
  <c r="D205" i="2"/>
  <c r="C205" i="2"/>
  <c r="E205" i="2"/>
  <c r="F202" i="2"/>
  <c r="D195" i="37"/>
  <c r="F195" i="37"/>
  <c r="G195" i="37"/>
  <c r="I195" i="37"/>
  <c r="J195" i="37"/>
  <c r="L195" i="37"/>
  <c r="M195" i="37"/>
  <c r="N195" i="37"/>
  <c r="P195" i="37"/>
  <c r="Q195" i="37"/>
  <c r="S195" i="37"/>
  <c r="T195" i="37"/>
  <c r="U195" i="37"/>
  <c r="W195" i="37"/>
  <c r="X195" i="37"/>
  <c r="Z195" i="37"/>
  <c r="AA195" i="37"/>
  <c r="AB195" i="37"/>
  <c r="AD195" i="37"/>
  <c r="AE195" i="37"/>
  <c r="AG195" i="37"/>
  <c r="AH195" i="37"/>
  <c r="AI195" i="37"/>
  <c r="AJ195" i="37"/>
  <c r="AK195" i="37"/>
  <c r="AL195" i="37"/>
  <c r="AM195" i="37"/>
  <c r="AN195" i="37"/>
  <c r="AO195" i="37"/>
  <c r="AP195" i="37"/>
  <c r="AQ195" i="37"/>
  <c r="AR195" i="37"/>
  <c r="AS195" i="37"/>
  <c r="D206" i="2"/>
  <c r="C206" i="2"/>
  <c r="E206" i="2"/>
  <c r="F206" i="2"/>
  <c r="D207" i="37"/>
  <c r="F207" i="37"/>
  <c r="G207" i="37"/>
  <c r="I207" i="37"/>
  <c r="J207" i="37"/>
  <c r="L207" i="37"/>
  <c r="M207" i="37"/>
  <c r="N207" i="37"/>
  <c r="P207" i="37"/>
  <c r="Q207" i="37"/>
  <c r="S207" i="37"/>
  <c r="T207" i="37"/>
  <c r="U207" i="37"/>
  <c r="W207" i="37"/>
  <c r="X207" i="37"/>
  <c r="Z207" i="37"/>
  <c r="AA207" i="37"/>
  <c r="AB207" i="37"/>
  <c r="AD207" i="37"/>
  <c r="AE207" i="37"/>
  <c r="AG207" i="37"/>
  <c r="AH207" i="37"/>
  <c r="AI207" i="37"/>
  <c r="AJ207" i="37"/>
  <c r="AK207" i="37"/>
  <c r="AL207" i="37"/>
  <c r="AM207" i="37"/>
  <c r="AN207" i="37"/>
  <c r="AO207" i="37"/>
  <c r="AP207" i="37"/>
  <c r="AQ207" i="37"/>
  <c r="AR207" i="37"/>
  <c r="AS207" i="37"/>
  <c r="D207" i="2"/>
  <c r="C207" i="2"/>
  <c r="E207" i="2"/>
  <c r="F207" i="2"/>
  <c r="D219" i="37"/>
  <c r="F219" i="37"/>
  <c r="G219" i="37"/>
  <c r="I219" i="37"/>
  <c r="J219" i="37"/>
  <c r="L219" i="37"/>
  <c r="M219" i="37"/>
  <c r="N219" i="37"/>
  <c r="P219" i="37"/>
  <c r="Q219" i="37"/>
  <c r="S219" i="37"/>
  <c r="T219" i="37"/>
  <c r="U219" i="37"/>
  <c r="W219" i="37"/>
  <c r="X219" i="37"/>
  <c r="Z219" i="37"/>
  <c r="AA219" i="37"/>
  <c r="AB219" i="37"/>
  <c r="AD219" i="37"/>
  <c r="AE219" i="37"/>
  <c r="AG219" i="37"/>
  <c r="AH219" i="37"/>
  <c r="AI219" i="37"/>
  <c r="AJ219" i="37"/>
  <c r="AK219" i="37"/>
  <c r="AL219" i="37"/>
  <c r="AM219" i="37"/>
  <c r="AN219" i="37"/>
  <c r="AO219" i="37"/>
  <c r="AP219" i="37"/>
  <c r="AQ219" i="37"/>
  <c r="AR219" i="37"/>
  <c r="AS219" i="37"/>
  <c r="D208" i="2"/>
  <c r="C208" i="2"/>
  <c r="E208" i="2"/>
  <c r="F208" i="2"/>
  <c r="D231" i="37"/>
  <c r="F231" i="37"/>
  <c r="G231" i="37"/>
  <c r="I231" i="37"/>
  <c r="J231" i="37"/>
  <c r="L231" i="37"/>
  <c r="M231" i="37"/>
  <c r="N231" i="37"/>
  <c r="P231" i="37"/>
  <c r="Q231" i="37"/>
  <c r="S231" i="37"/>
  <c r="T231" i="37"/>
  <c r="U231" i="37"/>
  <c r="W231" i="37"/>
  <c r="X231" i="37"/>
  <c r="Z231" i="37"/>
  <c r="AA231" i="37"/>
  <c r="AB231" i="37"/>
  <c r="AD231" i="37"/>
  <c r="AE231" i="37"/>
  <c r="AG231" i="37"/>
  <c r="AH231" i="37"/>
  <c r="AI231" i="37"/>
  <c r="AJ231" i="37"/>
  <c r="AK231" i="37"/>
  <c r="AL231" i="37"/>
  <c r="AM231" i="37"/>
  <c r="AN231" i="37"/>
  <c r="AO231" i="37"/>
  <c r="AP231" i="37"/>
  <c r="AQ231" i="37"/>
  <c r="AR231" i="37"/>
  <c r="AS231" i="37"/>
  <c r="D209" i="2"/>
  <c r="C209" i="2"/>
  <c r="E209" i="2"/>
  <c r="F209" i="2"/>
  <c r="D7" i="2"/>
  <c r="C7" i="2"/>
  <c r="E7" i="2"/>
  <c r="F7" i="2"/>
  <c r="D8" i="2"/>
  <c r="C8" i="2"/>
  <c r="E8" i="2"/>
  <c r="D291" i="33"/>
  <c r="E291" i="33"/>
  <c r="G291" i="33"/>
  <c r="H291" i="33"/>
  <c r="J291" i="33"/>
  <c r="K291" i="33"/>
  <c r="L291" i="33"/>
  <c r="M291" i="33"/>
  <c r="N291" i="33"/>
  <c r="P291" i="33"/>
  <c r="Q291" i="33"/>
  <c r="R291" i="33"/>
  <c r="W291" i="33"/>
  <c r="X291" i="33"/>
  <c r="Y291" i="33"/>
  <c r="Z291" i="33"/>
  <c r="AB291" i="33"/>
  <c r="AC291" i="33"/>
  <c r="AE291" i="33"/>
  <c r="AF291" i="33"/>
  <c r="AG291" i="33"/>
  <c r="AH291" i="33"/>
  <c r="AI291" i="33"/>
  <c r="AJ291" i="33"/>
  <c r="AK291" i="33"/>
  <c r="AL291" i="33"/>
  <c r="AM291" i="33"/>
  <c r="AN291" i="33"/>
  <c r="AO291" i="33"/>
  <c r="AP291" i="33"/>
  <c r="AQ291" i="33"/>
  <c r="AR291" i="33"/>
  <c r="D9" i="2"/>
  <c r="C9" i="2"/>
  <c r="E9" i="2"/>
  <c r="D303" i="33"/>
  <c r="E303" i="33"/>
  <c r="G303" i="33"/>
  <c r="H303" i="33"/>
  <c r="J303" i="33"/>
  <c r="K303" i="33"/>
  <c r="L303" i="33"/>
  <c r="M303" i="33"/>
  <c r="N303" i="33"/>
  <c r="P303" i="33"/>
  <c r="Q303" i="33"/>
  <c r="R303" i="33"/>
  <c r="W303" i="33"/>
  <c r="X303" i="33"/>
  <c r="Y303" i="33"/>
  <c r="Z303" i="33"/>
  <c r="AB303" i="33"/>
  <c r="AC303" i="33"/>
  <c r="AE303" i="33"/>
  <c r="AF303" i="33"/>
  <c r="AG303" i="33"/>
  <c r="AH303" i="33"/>
  <c r="AI303" i="33"/>
  <c r="AJ303" i="33"/>
  <c r="AK303" i="33"/>
  <c r="AL303" i="33"/>
  <c r="AM303" i="33"/>
  <c r="AN303" i="33"/>
  <c r="AO303" i="33"/>
  <c r="AP303" i="33"/>
  <c r="AQ303" i="33"/>
  <c r="AR303" i="33"/>
  <c r="D10" i="2"/>
  <c r="C10" i="2"/>
  <c r="E10" i="2"/>
  <c r="D315" i="33"/>
  <c r="E315" i="33"/>
  <c r="G315" i="33"/>
  <c r="H315" i="33"/>
  <c r="J315" i="33"/>
  <c r="K315" i="33"/>
  <c r="L315" i="33"/>
  <c r="M315" i="33"/>
  <c r="N315" i="33"/>
  <c r="P315" i="33"/>
  <c r="Q315" i="33"/>
  <c r="R315" i="33"/>
  <c r="W315" i="33"/>
  <c r="X315" i="33"/>
  <c r="Y315" i="33"/>
  <c r="Z315" i="33"/>
  <c r="AB315" i="33"/>
  <c r="AC315" i="33"/>
  <c r="AE315" i="33"/>
  <c r="AF315" i="33"/>
  <c r="AG315" i="33"/>
  <c r="AH315" i="33"/>
  <c r="AI315" i="33"/>
  <c r="AJ315" i="33"/>
  <c r="AK315" i="33"/>
  <c r="AL315" i="33"/>
  <c r="AM315" i="33"/>
  <c r="AN315" i="33"/>
  <c r="AO315" i="33"/>
  <c r="AP315" i="33"/>
  <c r="AQ315" i="33"/>
  <c r="AR315" i="33"/>
  <c r="D11" i="2"/>
  <c r="C11" i="2"/>
  <c r="E11" i="2"/>
  <c r="F8" i="2"/>
  <c r="D327" i="33"/>
  <c r="E327" i="33"/>
  <c r="G327" i="33"/>
  <c r="H327" i="33"/>
  <c r="J327" i="33"/>
  <c r="K327" i="33"/>
  <c r="L327" i="33"/>
  <c r="M327" i="33"/>
  <c r="N327" i="33"/>
  <c r="P327" i="33"/>
  <c r="Q327" i="33"/>
  <c r="R327" i="33"/>
  <c r="W327" i="33"/>
  <c r="X327" i="33"/>
  <c r="Y327" i="33"/>
  <c r="Z327" i="33"/>
  <c r="AB327" i="33"/>
  <c r="AC327" i="33"/>
  <c r="AE327" i="33"/>
  <c r="AF327" i="33"/>
  <c r="AG327" i="33"/>
  <c r="AH327" i="33"/>
  <c r="AI327" i="33"/>
  <c r="AJ327" i="33"/>
  <c r="AK327" i="33"/>
  <c r="AL327" i="33"/>
  <c r="AM327" i="33"/>
  <c r="AN327" i="33"/>
  <c r="AO327" i="33"/>
  <c r="AP327" i="33"/>
  <c r="AQ327" i="33"/>
  <c r="AR327" i="33"/>
  <c r="D12" i="2"/>
  <c r="C12" i="2"/>
  <c r="E12" i="2"/>
  <c r="D339" i="33"/>
  <c r="E339" i="33"/>
  <c r="G339" i="33"/>
  <c r="H339" i="33"/>
  <c r="J339" i="33"/>
  <c r="K339" i="33"/>
  <c r="L339" i="33"/>
  <c r="M339" i="33"/>
  <c r="N339" i="33"/>
  <c r="P339" i="33"/>
  <c r="Q339" i="33"/>
  <c r="R339" i="33"/>
  <c r="W339" i="33"/>
  <c r="X339" i="33"/>
  <c r="Y339" i="33"/>
  <c r="Z339" i="33"/>
  <c r="AB339" i="33"/>
  <c r="AC339" i="33"/>
  <c r="AE339" i="33"/>
  <c r="AF339" i="33"/>
  <c r="AG339" i="33"/>
  <c r="AH339" i="33"/>
  <c r="AI339" i="33"/>
  <c r="AJ339" i="33"/>
  <c r="AK339" i="33"/>
  <c r="AL339" i="33"/>
  <c r="AM339" i="33"/>
  <c r="AN339" i="33"/>
  <c r="AO339" i="33"/>
  <c r="AP339" i="33"/>
  <c r="AQ339" i="33"/>
  <c r="AR339" i="33"/>
  <c r="D13" i="2"/>
  <c r="C13" i="2"/>
  <c r="E13" i="2"/>
  <c r="D351" i="33"/>
  <c r="E351" i="33"/>
  <c r="G351" i="33"/>
  <c r="H351" i="33"/>
  <c r="J351" i="33"/>
  <c r="K351" i="33"/>
  <c r="L351" i="33"/>
  <c r="M351" i="33"/>
  <c r="N351" i="33"/>
  <c r="P351" i="33"/>
  <c r="Q351" i="33"/>
  <c r="R351" i="33"/>
  <c r="W351" i="33"/>
  <c r="X351" i="33"/>
  <c r="Y351" i="33"/>
  <c r="Z351" i="33"/>
  <c r="AB351" i="33"/>
  <c r="AC351" i="33"/>
  <c r="AE351" i="33"/>
  <c r="AF351" i="33"/>
  <c r="AG351" i="33"/>
  <c r="AH351" i="33"/>
  <c r="AI351" i="33"/>
  <c r="AJ351" i="33"/>
  <c r="AK351" i="33"/>
  <c r="AL351" i="33"/>
  <c r="AM351" i="33"/>
  <c r="AN351" i="33"/>
  <c r="AO351" i="33"/>
  <c r="AP351" i="33"/>
  <c r="AQ351" i="33"/>
  <c r="AR351" i="33"/>
  <c r="D14" i="2"/>
  <c r="C14" i="2"/>
  <c r="E14" i="2"/>
  <c r="D363" i="33"/>
  <c r="E363" i="33"/>
  <c r="G363" i="33"/>
  <c r="H363" i="33"/>
  <c r="P363" i="33"/>
  <c r="Q363" i="33"/>
  <c r="R363" i="33"/>
  <c r="W363" i="33"/>
  <c r="X363" i="33"/>
  <c r="Y363" i="33"/>
  <c r="Z363" i="33"/>
  <c r="AB363" i="33"/>
  <c r="AC363" i="33"/>
  <c r="AE363" i="33"/>
  <c r="AF363" i="33"/>
  <c r="AG363" i="33"/>
  <c r="AH363" i="33"/>
  <c r="AI363" i="33"/>
  <c r="AJ363" i="33"/>
  <c r="AK363" i="33"/>
  <c r="AL363" i="33"/>
  <c r="AM363" i="33"/>
  <c r="AN363" i="33"/>
  <c r="AO363" i="33"/>
  <c r="AP363" i="33"/>
  <c r="AQ363" i="33"/>
  <c r="AR363" i="33"/>
  <c r="D15" i="2"/>
  <c r="C15" i="2"/>
  <c r="E15" i="2"/>
  <c r="F12" i="2"/>
  <c r="D375" i="33"/>
  <c r="E375" i="33"/>
  <c r="G375" i="33"/>
  <c r="H375" i="33"/>
  <c r="J375" i="33"/>
  <c r="K375" i="33"/>
  <c r="L375" i="33"/>
  <c r="M375" i="33"/>
  <c r="N375" i="33"/>
  <c r="P375" i="33"/>
  <c r="Q375" i="33"/>
  <c r="R375" i="33"/>
  <c r="AB375" i="33"/>
  <c r="AC375" i="33"/>
  <c r="AE375" i="33"/>
  <c r="AF375" i="33"/>
  <c r="AG375" i="33"/>
  <c r="AH375" i="33"/>
  <c r="AI375" i="33"/>
  <c r="AJ375" i="33"/>
  <c r="AK375" i="33"/>
  <c r="AL375" i="33"/>
  <c r="AM375" i="33"/>
  <c r="AN375" i="33"/>
  <c r="AO375" i="33"/>
  <c r="AP375" i="33"/>
  <c r="AQ375" i="33"/>
  <c r="AR375" i="33"/>
  <c r="D16" i="2"/>
  <c r="C16" i="2"/>
  <c r="E16" i="2"/>
  <c r="F16" i="2"/>
  <c r="D387" i="33"/>
  <c r="E387" i="33"/>
  <c r="G387" i="33"/>
  <c r="H387" i="33"/>
  <c r="J387" i="33"/>
  <c r="K387" i="33"/>
  <c r="L387" i="33"/>
  <c r="M387" i="33"/>
  <c r="N387" i="33"/>
  <c r="P387" i="33"/>
  <c r="Q387" i="33"/>
  <c r="R387" i="33"/>
  <c r="W387" i="33"/>
  <c r="X387" i="33"/>
  <c r="Y387" i="33"/>
  <c r="Z387" i="33"/>
  <c r="AB387" i="33"/>
  <c r="AC387" i="33"/>
  <c r="AE387" i="33"/>
  <c r="AF387" i="33"/>
  <c r="AG387" i="33"/>
  <c r="AH387" i="33"/>
  <c r="AI387" i="33"/>
  <c r="AJ387" i="33"/>
  <c r="AK387" i="33"/>
  <c r="AL387" i="33"/>
  <c r="AM387" i="33"/>
  <c r="AN387" i="33"/>
  <c r="AO387" i="33"/>
  <c r="AP387" i="33"/>
  <c r="AQ387" i="33"/>
  <c r="AR387" i="33"/>
  <c r="D17" i="2"/>
  <c r="C17" i="2"/>
  <c r="E17" i="2"/>
  <c r="F17" i="2"/>
  <c r="D58" i="34"/>
  <c r="E58" i="34"/>
  <c r="F58" i="34"/>
  <c r="G58" i="34"/>
  <c r="H58" i="34"/>
  <c r="I58" i="34"/>
  <c r="J58" i="34"/>
  <c r="K58" i="34"/>
  <c r="L58" i="34"/>
  <c r="M58" i="34"/>
  <c r="N58" i="34"/>
  <c r="O58" i="34"/>
  <c r="P58" i="34"/>
  <c r="Q58" i="34"/>
  <c r="R58" i="34"/>
  <c r="S58" i="34"/>
  <c r="T58" i="34"/>
  <c r="U58" i="34"/>
  <c r="V58" i="34"/>
  <c r="W58" i="34"/>
  <c r="X58" i="34"/>
  <c r="Y58" i="34"/>
  <c r="Z58" i="34"/>
  <c r="AA58" i="34"/>
  <c r="AB58" i="34"/>
  <c r="AC58" i="34"/>
  <c r="AD58" i="34"/>
  <c r="AE58" i="34"/>
  <c r="AF58" i="34"/>
  <c r="AG58" i="34"/>
  <c r="AH58" i="34"/>
  <c r="AI58" i="34"/>
  <c r="AJ58" i="34"/>
  <c r="AK58" i="34"/>
  <c r="AL58" i="34"/>
  <c r="AM58" i="34"/>
  <c r="AN58" i="34"/>
  <c r="AO58" i="34"/>
  <c r="AP58" i="34"/>
  <c r="AQ58" i="34"/>
  <c r="AR58" i="34"/>
  <c r="AS58" i="34"/>
  <c r="A57" i="34"/>
  <c r="D70" i="34"/>
  <c r="E70" i="34"/>
  <c r="F70" i="34"/>
  <c r="G70" i="34"/>
  <c r="H70" i="34"/>
  <c r="I70" i="34"/>
  <c r="J70" i="34"/>
  <c r="K70" i="34"/>
  <c r="L70" i="34"/>
  <c r="M70" i="34"/>
  <c r="N70" i="34"/>
  <c r="O70" i="34"/>
  <c r="P70" i="34"/>
  <c r="Q70" i="34"/>
  <c r="R70" i="34"/>
  <c r="S70" i="34"/>
  <c r="T70" i="34"/>
  <c r="U70" i="34"/>
  <c r="V70" i="34"/>
  <c r="W70" i="34"/>
  <c r="X70" i="34"/>
  <c r="Y70" i="34"/>
  <c r="Z70" i="34"/>
  <c r="AA70" i="34"/>
  <c r="AB70" i="34"/>
  <c r="AC70" i="34"/>
  <c r="AD70" i="34"/>
  <c r="AE70" i="34"/>
  <c r="AF70" i="34"/>
  <c r="AG70" i="34"/>
  <c r="AH70" i="34"/>
  <c r="AI70" i="34"/>
  <c r="AJ70" i="34"/>
  <c r="AK70" i="34"/>
  <c r="AL70" i="34"/>
  <c r="AM70" i="34"/>
  <c r="AN70" i="34"/>
  <c r="AO70" i="34"/>
  <c r="AP70" i="34"/>
  <c r="AQ70" i="34"/>
  <c r="AR70" i="34"/>
  <c r="AS70" i="34"/>
  <c r="A69" i="34"/>
  <c r="D82" i="34"/>
  <c r="E82" i="34"/>
  <c r="F82" i="34"/>
  <c r="G82" i="34"/>
  <c r="H82" i="34"/>
  <c r="I82" i="34"/>
  <c r="J82" i="34"/>
  <c r="K82" i="34"/>
  <c r="L82" i="34"/>
  <c r="M82" i="34"/>
  <c r="N82" i="34"/>
  <c r="O82" i="34"/>
  <c r="P82" i="34"/>
  <c r="Q82" i="34"/>
  <c r="R82" i="34"/>
  <c r="S82" i="34"/>
  <c r="T82" i="34"/>
  <c r="U82" i="34"/>
  <c r="V82" i="34"/>
  <c r="W82" i="34"/>
  <c r="X82" i="34"/>
  <c r="Y82" i="34"/>
  <c r="Z82" i="34"/>
  <c r="AA82" i="34"/>
  <c r="AB82" i="34"/>
  <c r="AC82" i="34"/>
  <c r="AD82" i="34"/>
  <c r="AE82" i="34"/>
  <c r="AF82" i="34"/>
  <c r="AG82" i="34"/>
  <c r="AH82" i="34"/>
  <c r="AI82" i="34"/>
  <c r="AJ82" i="34"/>
  <c r="AK82" i="34"/>
  <c r="AL82" i="34"/>
  <c r="AM82" i="34"/>
  <c r="AN82" i="34"/>
  <c r="AO82" i="34"/>
  <c r="AP82" i="34"/>
  <c r="AQ82" i="34"/>
  <c r="AR82" i="34"/>
  <c r="AS82" i="34"/>
  <c r="A81" i="34"/>
  <c r="D94" i="34"/>
  <c r="E94" i="34"/>
  <c r="F94" i="34"/>
  <c r="G94" i="34"/>
  <c r="H94" i="34"/>
  <c r="I94" i="34"/>
  <c r="J94" i="34"/>
  <c r="K94" i="34"/>
  <c r="L94" i="34"/>
  <c r="M94" i="34"/>
  <c r="N94" i="34"/>
  <c r="O94" i="34"/>
  <c r="P94" i="34"/>
  <c r="Q94" i="34"/>
  <c r="R94" i="34"/>
  <c r="S94" i="34"/>
  <c r="T94" i="34"/>
  <c r="U94" i="34"/>
  <c r="V94" i="34"/>
  <c r="W94" i="34"/>
  <c r="X94" i="34"/>
  <c r="Y94" i="34"/>
  <c r="Z94" i="34"/>
  <c r="AA94" i="34"/>
  <c r="AB94" i="34"/>
  <c r="AC94" i="34"/>
  <c r="AD94" i="34"/>
  <c r="AE94" i="34"/>
  <c r="AF94" i="34"/>
  <c r="AG94" i="34"/>
  <c r="AH94" i="34"/>
  <c r="AI94" i="34"/>
  <c r="AJ94" i="34"/>
  <c r="AK94" i="34"/>
  <c r="AL94" i="34"/>
  <c r="AM94" i="34"/>
  <c r="AN94" i="34"/>
  <c r="AO94" i="34"/>
  <c r="AP94" i="34"/>
  <c r="AQ94" i="34"/>
  <c r="AR94" i="34"/>
  <c r="AS94" i="34"/>
  <c r="A93" i="34"/>
  <c r="D10" i="34"/>
  <c r="E10" i="34"/>
  <c r="F10" i="34"/>
  <c r="G10" i="34"/>
  <c r="H10" i="34"/>
  <c r="I10" i="34"/>
  <c r="J10" i="34"/>
  <c r="K10" i="34"/>
  <c r="L10" i="34"/>
  <c r="M10" i="34"/>
  <c r="N10" i="34"/>
  <c r="O10" i="34"/>
  <c r="P10" i="34"/>
  <c r="Q10" i="34"/>
  <c r="R10" i="34"/>
  <c r="S10" i="34"/>
  <c r="T10" i="34"/>
  <c r="U10" i="34"/>
  <c r="V10" i="34"/>
  <c r="W10" i="34"/>
  <c r="X10" i="34"/>
  <c r="Y10" i="34"/>
  <c r="Z10" i="34"/>
  <c r="AA10" i="34"/>
  <c r="AB10" i="34"/>
  <c r="AC10" i="34"/>
  <c r="AD10" i="34"/>
  <c r="AE10" i="34"/>
  <c r="AF10" i="34"/>
  <c r="AG10" i="34"/>
  <c r="AH10" i="34"/>
  <c r="AI10" i="34"/>
  <c r="AJ10" i="34"/>
  <c r="AK10" i="34"/>
  <c r="AL10" i="34"/>
  <c r="A9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AI22" i="34"/>
  <c r="AJ22" i="34"/>
  <c r="AK22" i="34"/>
  <c r="AL22" i="34"/>
  <c r="AM22" i="34"/>
  <c r="AN22" i="34"/>
  <c r="AO22" i="34"/>
  <c r="AP22" i="34"/>
  <c r="AQ22" i="34"/>
  <c r="AR22" i="34"/>
  <c r="AS22" i="34"/>
  <c r="A21" i="34"/>
  <c r="D34" i="34"/>
  <c r="E34" i="34"/>
  <c r="F34" i="34"/>
  <c r="G34" i="34"/>
  <c r="H34" i="34"/>
  <c r="I34" i="34"/>
  <c r="J34" i="34"/>
  <c r="K34" i="34"/>
  <c r="L34" i="34"/>
  <c r="M34" i="34"/>
  <c r="N34" i="34"/>
  <c r="O34" i="34"/>
  <c r="P34" i="34"/>
  <c r="Q34" i="34"/>
  <c r="R34" i="34"/>
  <c r="S34" i="34"/>
  <c r="T34" i="34"/>
  <c r="U34" i="34"/>
  <c r="V34" i="34"/>
  <c r="W34" i="34"/>
  <c r="X34" i="34"/>
  <c r="Y34" i="34"/>
  <c r="Z34" i="34"/>
  <c r="AA34" i="34"/>
  <c r="AB34" i="34"/>
  <c r="AC34" i="34"/>
  <c r="AD34" i="34"/>
  <c r="AE34" i="34"/>
  <c r="AF34" i="34"/>
  <c r="AG34" i="34"/>
  <c r="AH34" i="34"/>
  <c r="AI34" i="34"/>
  <c r="AJ34" i="34"/>
  <c r="AK34" i="34"/>
  <c r="AL34" i="34"/>
  <c r="AM34" i="34"/>
  <c r="AN34" i="34"/>
  <c r="AO34" i="34"/>
  <c r="AP34" i="34"/>
  <c r="AQ34" i="34"/>
  <c r="AR34" i="34"/>
  <c r="AS34" i="34"/>
  <c r="A33" i="34"/>
  <c r="D46" i="34"/>
  <c r="E46" i="34"/>
  <c r="F46" i="34"/>
  <c r="G46" i="34"/>
  <c r="H46" i="34"/>
  <c r="I46" i="34"/>
  <c r="J46" i="34"/>
  <c r="K46" i="34"/>
  <c r="L46" i="34"/>
  <c r="M46" i="34"/>
  <c r="N46" i="34"/>
  <c r="O46" i="34"/>
  <c r="P46" i="34"/>
  <c r="Q46" i="34"/>
  <c r="R46" i="34"/>
  <c r="S46" i="34"/>
  <c r="T46" i="34"/>
  <c r="U46" i="34"/>
  <c r="V46" i="34"/>
  <c r="W46" i="34"/>
  <c r="X46" i="34"/>
  <c r="Y46" i="34"/>
  <c r="Z46" i="34"/>
  <c r="AA46" i="34"/>
  <c r="AB46" i="34"/>
  <c r="AC46" i="34"/>
  <c r="AD46" i="34"/>
  <c r="AE46" i="34"/>
  <c r="AF46" i="34"/>
  <c r="AG46" i="34"/>
  <c r="AH46" i="34"/>
  <c r="AI46" i="34"/>
  <c r="AJ46" i="34"/>
  <c r="AK46" i="34"/>
  <c r="AL46" i="34"/>
  <c r="AM46" i="34"/>
  <c r="AN46" i="34"/>
  <c r="AO46" i="34"/>
  <c r="AP46" i="34"/>
  <c r="AQ46" i="34"/>
  <c r="AR46" i="34"/>
  <c r="AS46" i="34"/>
  <c r="A45" i="34"/>
  <c r="D202" i="34"/>
  <c r="E202" i="34"/>
  <c r="F202" i="34"/>
  <c r="G202" i="34"/>
  <c r="H202" i="34"/>
  <c r="I202" i="34"/>
  <c r="J202" i="34"/>
  <c r="K202" i="34"/>
  <c r="L202" i="34"/>
  <c r="M202" i="34"/>
  <c r="N202" i="34"/>
  <c r="O202" i="34"/>
  <c r="P202" i="34"/>
  <c r="Q202" i="34"/>
  <c r="R202" i="34"/>
  <c r="S202" i="34"/>
  <c r="T202" i="34"/>
  <c r="U202" i="34"/>
  <c r="V202" i="34"/>
  <c r="W202" i="34"/>
  <c r="X202" i="34"/>
  <c r="Y202" i="34"/>
  <c r="Z202" i="34"/>
  <c r="AA202" i="34"/>
  <c r="AB202" i="34"/>
  <c r="AC202" i="34"/>
  <c r="AD202" i="34"/>
  <c r="AE202" i="34"/>
  <c r="AF202" i="34"/>
  <c r="AG202" i="34"/>
  <c r="AH202" i="34"/>
  <c r="AI202" i="34"/>
  <c r="AJ202" i="34"/>
  <c r="AK202" i="34"/>
  <c r="AL202" i="34"/>
  <c r="AM202" i="34"/>
  <c r="AN202" i="34"/>
  <c r="AO202" i="34"/>
  <c r="AP202" i="34"/>
  <c r="AQ202" i="34"/>
  <c r="AR202" i="34"/>
  <c r="AS202" i="34"/>
  <c r="A201" i="34"/>
  <c r="D214" i="34"/>
  <c r="E214" i="34"/>
  <c r="F214" i="34"/>
  <c r="G214" i="34"/>
  <c r="H214" i="34"/>
  <c r="I214" i="34"/>
  <c r="J214" i="34"/>
  <c r="K214" i="34"/>
  <c r="L214" i="34"/>
  <c r="M214" i="34"/>
  <c r="N214" i="34"/>
  <c r="O214" i="34"/>
  <c r="P214" i="34"/>
  <c r="Q214" i="34"/>
  <c r="R214" i="34"/>
  <c r="S214" i="34"/>
  <c r="T214" i="34"/>
  <c r="U214" i="34"/>
  <c r="V214" i="34"/>
  <c r="W214" i="34"/>
  <c r="X214" i="34"/>
  <c r="Y214" i="34"/>
  <c r="Z214" i="34"/>
  <c r="AA214" i="34"/>
  <c r="AB214" i="34"/>
  <c r="AC214" i="34"/>
  <c r="AD214" i="34"/>
  <c r="AE214" i="34"/>
  <c r="AF214" i="34"/>
  <c r="AG214" i="34"/>
  <c r="AH214" i="34"/>
  <c r="AI214" i="34"/>
  <c r="AJ214" i="34"/>
  <c r="AK214" i="34"/>
  <c r="AL214" i="34"/>
  <c r="AM214" i="34"/>
  <c r="AN214" i="34"/>
  <c r="AO214" i="34"/>
  <c r="AP214" i="34"/>
  <c r="AQ214" i="34"/>
  <c r="AR214" i="34"/>
  <c r="AS214" i="34"/>
  <c r="A213" i="34"/>
  <c r="D226" i="34"/>
  <c r="E226" i="34"/>
  <c r="F226" i="34"/>
  <c r="G226" i="34"/>
  <c r="H226" i="34"/>
  <c r="I226" i="34"/>
  <c r="J226" i="34"/>
  <c r="K226" i="34"/>
  <c r="L226" i="34"/>
  <c r="M226" i="34"/>
  <c r="N226" i="34"/>
  <c r="O226" i="34"/>
  <c r="P226" i="34"/>
  <c r="Q226" i="34"/>
  <c r="R226" i="34"/>
  <c r="S226" i="34"/>
  <c r="T226" i="34"/>
  <c r="U226" i="34"/>
  <c r="V226" i="34"/>
  <c r="W226" i="34"/>
  <c r="X226" i="34"/>
  <c r="Y226" i="34"/>
  <c r="Z226" i="34"/>
  <c r="AA226" i="34"/>
  <c r="AB226" i="34"/>
  <c r="AC226" i="34"/>
  <c r="AD226" i="34"/>
  <c r="AE226" i="34"/>
  <c r="AF226" i="34"/>
  <c r="AG226" i="34"/>
  <c r="AH226" i="34"/>
  <c r="AI226" i="34"/>
  <c r="AJ226" i="34"/>
  <c r="AK226" i="34"/>
  <c r="AL226" i="34"/>
  <c r="AM226" i="34"/>
  <c r="AN226" i="34"/>
  <c r="AO226" i="34"/>
  <c r="AP226" i="34"/>
  <c r="AQ226" i="34"/>
  <c r="AR226" i="34"/>
  <c r="AS226" i="34"/>
  <c r="A225" i="34"/>
  <c r="D238" i="34"/>
  <c r="E238" i="34"/>
  <c r="F238" i="34"/>
  <c r="G238" i="34"/>
  <c r="H238" i="34"/>
  <c r="I238" i="34"/>
  <c r="J238" i="34"/>
  <c r="K238" i="34"/>
  <c r="L238" i="34"/>
  <c r="M238" i="34"/>
  <c r="N238" i="34"/>
  <c r="O238" i="34"/>
  <c r="P238" i="34"/>
  <c r="Q238" i="34"/>
  <c r="R238" i="34"/>
  <c r="S238" i="34"/>
  <c r="T238" i="34"/>
  <c r="U238" i="34"/>
  <c r="V238" i="34"/>
  <c r="W238" i="34"/>
  <c r="X238" i="34"/>
  <c r="Y238" i="34"/>
  <c r="Z238" i="34"/>
  <c r="AA238" i="34"/>
  <c r="AB238" i="34"/>
  <c r="AC238" i="34"/>
  <c r="AD238" i="34"/>
  <c r="AE238" i="34"/>
  <c r="AF238" i="34"/>
  <c r="AG238" i="34"/>
  <c r="AH238" i="34"/>
  <c r="AI238" i="34"/>
  <c r="AJ238" i="34"/>
  <c r="AK238" i="34"/>
  <c r="AL238" i="34"/>
  <c r="AM238" i="34"/>
  <c r="AN238" i="34"/>
  <c r="AO238" i="34"/>
  <c r="AP238" i="34"/>
  <c r="AQ238" i="34"/>
  <c r="AR238" i="34"/>
  <c r="AS238" i="34"/>
  <c r="A237" i="34"/>
  <c r="D106" i="34"/>
  <c r="E106" i="34"/>
  <c r="F106" i="34"/>
  <c r="G106" i="34"/>
  <c r="H106" i="34"/>
  <c r="I106" i="34"/>
  <c r="J106" i="34"/>
  <c r="K106" i="34"/>
  <c r="L106" i="34"/>
  <c r="M106" i="34"/>
  <c r="N106" i="34"/>
  <c r="O106" i="34"/>
  <c r="P106" i="34"/>
  <c r="Q106" i="34"/>
  <c r="R106" i="34"/>
  <c r="S106" i="34"/>
  <c r="T106" i="34"/>
  <c r="U106" i="34"/>
  <c r="V106" i="34"/>
  <c r="W106" i="34"/>
  <c r="X106" i="34"/>
  <c r="Y106" i="34"/>
  <c r="Z106" i="34"/>
  <c r="AA106" i="34"/>
  <c r="AB106" i="34"/>
  <c r="AC106" i="34"/>
  <c r="AD106" i="34"/>
  <c r="AE106" i="34"/>
  <c r="AF106" i="34"/>
  <c r="AG106" i="34"/>
  <c r="AH106" i="34"/>
  <c r="AI106" i="34"/>
  <c r="AJ106" i="34"/>
  <c r="AK106" i="34"/>
  <c r="AL106" i="34"/>
  <c r="AM106" i="34"/>
  <c r="AN106" i="34"/>
  <c r="AO106" i="34"/>
  <c r="AP106" i="34"/>
  <c r="AQ106" i="34"/>
  <c r="AR106" i="34"/>
  <c r="AS106" i="34"/>
  <c r="A105" i="34"/>
  <c r="D118" i="34"/>
  <c r="E118" i="34"/>
  <c r="F118" i="34"/>
  <c r="G118" i="34"/>
  <c r="H118" i="34"/>
  <c r="I118" i="34"/>
  <c r="J118" i="34"/>
  <c r="K118" i="34"/>
  <c r="L118" i="34"/>
  <c r="M118" i="34"/>
  <c r="N118" i="34"/>
  <c r="O118" i="34"/>
  <c r="P118" i="34"/>
  <c r="Q118" i="34"/>
  <c r="R118" i="34"/>
  <c r="S118" i="34"/>
  <c r="T118" i="34"/>
  <c r="U118" i="34"/>
  <c r="V118" i="34"/>
  <c r="W118" i="34"/>
  <c r="X118" i="34"/>
  <c r="Y118" i="34"/>
  <c r="Z118" i="34"/>
  <c r="AA118" i="34"/>
  <c r="AB118" i="34"/>
  <c r="AC118" i="34"/>
  <c r="AD118" i="34"/>
  <c r="AE118" i="34"/>
  <c r="AF118" i="34"/>
  <c r="AG118" i="34"/>
  <c r="AH118" i="34"/>
  <c r="AI118" i="34"/>
  <c r="AJ118" i="34"/>
  <c r="AK118" i="34"/>
  <c r="AL118" i="34"/>
  <c r="AM118" i="34"/>
  <c r="AN118" i="34"/>
  <c r="AO118" i="34"/>
  <c r="AP118" i="34"/>
  <c r="AQ118" i="34"/>
  <c r="AR118" i="34"/>
  <c r="AS118" i="34"/>
  <c r="A117" i="34"/>
  <c r="D130" i="34"/>
  <c r="E130" i="34"/>
  <c r="F130" i="34"/>
  <c r="G130" i="34"/>
  <c r="H130" i="34"/>
  <c r="I130" i="34"/>
  <c r="J130" i="34"/>
  <c r="K130" i="34"/>
  <c r="L130" i="34"/>
  <c r="M130" i="34"/>
  <c r="N130" i="34"/>
  <c r="O130" i="34"/>
  <c r="P130" i="34"/>
  <c r="Q130" i="34"/>
  <c r="R130" i="34"/>
  <c r="S130" i="34"/>
  <c r="T130" i="34"/>
  <c r="U130" i="34"/>
  <c r="V130" i="34"/>
  <c r="W130" i="34"/>
  <c r="X130" i="34"/>
  <c r="Y130" i="34"/>
  <c r="Z130" i="34"/>
  <c r="AA130" i="34"/>
  <c r="AB130" i="34"/>
  <c r="AC130" i="34"/>
  <c r="AD130" i="34"/>
  <c r="AE130" i="34"/>
  <c r="AF130" i="34"/>
  <c r="AG130" i="34"/>
  <c r="AH130" i="34"/>
  <c r="AI130" i="34"/>
  <c r="AJ130" i="34"/>
  <c r="AK130" i="34"/>
  <c r="AL130" i="34"/>
  <c r="AM130" i="34"/>
  <c r="AN130" i="34"/>
  <c r="AO130" i="34"/>
  <c r="AP130" i="34"/>
  <c r="AQ130" i="34"/>
  <c r="AR130" i="34"/>
  <c r="AS130" i="34"/>
  <c r="A129" i="34"/>
  <c r="D142" i="34"/>
  <c r="E142" i="34"/>
  <c r="F142" i="34"/>
  <c r="G142" i="34"/>
  <c r="H142" i="34"/>
  <c r="I142" i="34"/>
  <c r="J142" i="34"/>
  <c r="K142" i="34"/>
  <c r="L142" i="34"/>
  <c r="M142" i="34"/>
  <c r="N142" i="34"/>
  <c r="O142" i="34"/>
  <c r="P142" i="34"/>
  <c r="Q142" i="34"/>
  <c r="R142" i="34"/>
  <c r="S142" i="34"/>
  <c r="T142" i="34"/>
  <c r="U142" i="34"/>
  <c r="V142" i="34"/>
  <c r="W142" i="34"/>
  <c r="X142" i="34"/>
  <c r="Y142" i="34"/>
  <c r="Z142" i="34"/>
  <c r="AA142" i="34"/>
  <c r="AB142" i="34"/>
  <c r="AC142" i="34"/>
  <c r="AD142" i="34"/>
  <c r="AE142" i="34"/>
  <c r="AF142" i="34"/>
  <c r="AG142" i="34"/>
  <c r="AH142" i="34"/>
  <c r="AI142" i="34"/>
  <c r="AJ142" i="34"/>
  <c r="AK142" i="34"/>
  <c r="AL142" i="34"/>
  <c r="AM142" i="34"/>
  <c r="AN142" i="34"/>
  <c r="AO142" i="34"/>
  <c r="AP142" i="34"/>
  <c r="AQ142" i="34"/>
  <c r="AR142" i="34"/>
  <c r="AS142" i="34"/>
  <c r="A141" i="34"/>
  <c r="D154" i="34"/>
  <c r="E154" i="34"/>
  <c r="F154" i="34"/>
  <c r="G154" i="34"/>
  <c r="H154" i="34"/>
  <c r="I154" i="34"/>
  <c r="J154" i="34"/>
  <c r="K154" i="34"/>
  <c r="L154" i="34"/>
  <c r="M154" i="34"/>
  <c r="N154" i="34"/>
  <c r="O154" i="34"/>
  <c r="P154" i="34"/>
  <c r="Q154" i="34"/>
  <c r="R154" i="34"/>
  <c r="S154" i="34"/>
  <c r="T154" i="34"/>
  <c r="U154" i="34"/>
  <c r="V154" i="34"/>
  <c r="W154" i="34"/>
  <c r="X154" i="34"/>
  <c r="Y154" i="34"/>
  <c r="Z154" i="34"/>
  <c r="AA154" i="34"/>
  <c r="AB154" i="34"/>
  <c r="AC154" i="34"/>
  <c r="AD154" i="34"/>
  <c r="AE154" i="34"/>
  <c r="AF154" i="34"/>
  <c r="AG154" i="34"/>
  <c r="AH154" i="34"/>
  <c r="AI154" i="34"/>
  <c r="AJ154" i="34"/>
  <c r="AK154" i="34"/>
  <c r="AL154" i="34"/>
  <c r="AM154" i="34"/>
  <c r="AN154" i="34"/>
  <c r="AO154" i="34"/>
  <c r="AP154" i="34"/>
  <c r="AQ154" i="34"/>
  <c r="AR154" i="34"/>
  <c r="AS154" i="34"/>
  <c r="A153" i="34"/>
  <c r="D166" i="34"/>
  <c r="E166" i="34"/>
  <c r="F166" i="34"/>
  <c r="G166" i="34"/>
  <c r="H166" i="34"/>
  <c r="I166" i="34"/>
  <c r="J166" i="34"/>
  <c r="K166" i="34"/>
  <c r="L166" i="34"/>
  <c r="M166" i="34"/>
  <c r="N166" i="34"/>
  <c r="O166" i="34"/>
  <c r="P166" i="34"/>
  <c r="Q166" i="34"/>
  <c r="R166" i="34"/>
  <c r="S166" i="34"/>
  <c r="T166" i="34"/>
  <c r="U166" i="34"/>
  <c r="W166" i="34"/>
  <c r="X166" i="34"/>
  <c r="Y166" i="34"/>
  <c r="Z166" i="34"/>
  <c r="AA166" i="34"/>
  <c r="AB166" i="34"/>
  <c r="AC166" i="34"/>
  <c r="AD166" i="34"/>
  <c r="AE166" i="34"/>
  <c r="AF166" i="34"/>
  <c r="AG166" i="34"/>
  <c r="AH166" i="34"/>
  <c r="AI166" i="34"/>
  <c r="AJ166" i="34"/>
  <c r="AK166" i="34"/>
  <c r="AL166" i="34"/>
  <c r="AM166" i="34"/>
  <c r="AN166" i="34"/>
  <c r="AO166" i="34"/>
  <c r="AP166" i="34"/>
  <c r="AQ166" i="34"/>
  <c r="AR166" i="34"/>
  <c r="AS166" i="34"/>
  <c r="A165" i="34"/>
  <c r="D178" i="34"/>
  <c r="E178" i="34"/>
  <c r="F178" i="34"/>
  <c r="G178" i="34"/>
  <c r="H178" i="34"/>
  <c r="I178" i="34"/>
  <c r="J178" i="34"/>
  <c r="K178" i="34"/>
  <c r="L178" i="34"/>
  <c r="M178" i="34"/>
  <c r="N178" i="34"/>
  <c r="O178" i="34"/>
  <c r="P178" i="34"/>
  <c r="Q178" i="34"/>
  <c r="R178" i="34"/>
  <c r="S178" i="34"/>
  <c r="T178" i="34"/>
  <c r="U178" i="34"/>
  <c r="V178" i="34"/>
  <c r="W178" i="34"/>
  <c r="X178" i="34"/>
  <c r="Y178" i="34"/>
  <c r="Z178" i="34"/>
  <c r="AA178" i="34"/>
  <c r="AB178" i="34"/>
  <c r="AC178" i="34"/>
  <c r="AD178" i="34"/>
  <c r="AE178" i="34"/>
  <c r="AF178" i="34"/>
  <c r="AG178" i="34"/>
  <c r="AH178" i="34"/>
  <c r="AI178" i="34"/>
  <c r="AJ178" i="34"/>
  <c r="AK178" i="34"/>
  <c r="AL178" i="34"/>
  <c r="AM178" i="34"/>
  <c r="AN178" i="34"/>
  <c r="AO178" i="34"/>
  <c r="AP178" i="34"/>
  <c r="AQ178" i="34"/>
  <c r="AR178" i="34"/>
  <c r="AS178" i="34"/>
  <c r="A177" i="34"/>
  <c r="D190" i="34"/>
  <c r="E190" i="34"/>
  <c r="F190" i="34"/>
  <c r="G190" i="34"/>
  <c r="H190" i="34"/>
  <c r="I190" i="34"/>
  <c r="J190" i="34"/>
  <c r="K190" i="34"/>
  <c r="L190" i="34"/>
  <c r="M190" i="34"/>
  <c r="N190" i="34"/>
  <c r="O190" i="34"/>
  <c r="P190" i="34"/>
  <c r="Q190" i="34"/>
  <c r="R190" i="34"/>
  <c r="S190" i="34"/>
  <c r="T190" i="34"/>
  <c r="U190" i="34"/>
  <c r="V190" i="34"/>
  <c r="W190" i="34"/>
  <c r="X190" i="34"/>
  <c r="Y190" i="34"/>
  <c r="Z190" i="34"/>
  <c r="AA190" i="34"/>
  <c r="AB190" i="34"/>
  <c r="AC190" i="34"/>
  <c r="AD190" i="34"/>
  <c r="AE190" i="34"/>
  <c r="AF190" i="34"/>
  <c r="AG190" i="34"/>
  <c r="AH190" i="34"/>
  <c r="AI190" i="34"/>
  <c r="AJ190" i="34"/>
  <c r="AK190" i="34"/>
  <c r="AL190" i="34"/>
  <c r="AM190" i="34"/>
  <c r="AN190" i="34"/>
  <c r="AO190" i="34"/>
  <c r="AP190" i="34"/>
  <c r="AQ190" i="34"/>
  <c r="AR190" i="34"/>
  <c r="AS190" i="34"/>
  <c r="A189" i="34"/>
  <c r="D250" i="34"/>
  <c r="E250" i="34"/>
  <c r="F250" i="34"/>
  <c r="G250" i="34"/>
  <c r="H250" i="34"/>
  <c r="I250" i="34"/>
  <c r="J250" i="34"/>
  <c r="K250" i="34"/>
  <c r="L250" i="34"/>
  <c r="M250" i="34"/>
  <c r="N250" i="34"/>
  <c r="O250" i="34"/>
  <c r="P250" i="34"/>
  <c r="Q250" i="34"/>
  <c r="R250" i="34"/>
  <c r="S250" i="34"/>
  <c r="T250" i="34"/>
  <c r="U250" i="34"/>
  <c r="V250" i="34"/>
  <c r="W250" i="34"/>
  <c r="X250" i="34"/>
  <c r="Y250" i="34"/>
  <c r="Z250" i="34"/>
  <c r="AA250" i="34"/>
  <c r="AB250" i="34"/>
  <c r="AC250" i="34"/>
  <c r="AD250" i="34"/>
  <c r="AE250" i="34"/>
  <c r="AF250" i="34"/>
  <c r="AG250" i="34"/>
  <c r="AH250" i="34"/>
  <c r="AI250" i="34"/>
  <c r="AJ250" i="34"/>
  <c r="AK250" i="34"/>
  <c r="AL250" i="34"/>
  <c r="AM250" i="34"/>
  <c r="AN250" i="34"/>
  <c r="AO250" i="34"/>
  <c r="AP250" i="34"/>
  <c r="AQ250" i="34"/>
  <c r="AR250" i="34"/>
  <c r="AS250" i="34"/>
  <c r="A249" i="34"/>
  <c r="D262" i="34"/>
  <c r="E262" i="34"/>
  <c r="F262" i="34"/>
  <c r="G262" i="34"/>
  <c r="H262" i="34"/>
  <c r="I262" i="34"/>
  <c r="J262" i="34"/>
  <c r="K262" i="34"/>
  <c r="L262" i="34"/>
  <c r="M262" i="34"/>
  <c r="N262" i="34"/>
  <c r="O262" i="34"/>
  <c r="P262" i="34"/>
  <c r="Q262" i="34"/>
  <c r="R262" i="34"/>
  <c r="S262" i="34"/>
  <c r="T262" i="34"/>
  <c r="U262" i="34"/>
  <c r="V262" i="34"/>
  <c r="W262" i="34"/>
  <c r="X262" i="34"/>
  <c r="Y262" i="34"/>
  <c r="Z262" i="34"/>
  <c r="AA262" i="34"/>
  <c r="AB262" i="34"/>
  <c r="AC262" i="34"/>
  <c r="AD262" i="34"/>
  <c r="AE262" i="34"/>
  <c r="AF262" i="34"/>
  <c r="AG262" i="34"/>
  <c r="AH262" i="34"/>
  <c r="AI262" i="34"/>
  <c r="AJ262" i="34"/>
  <c r="AK262" i="34"/>
  <c r="AL262" i="34"/>
  <c r="AM262" i="34"/>
  <c r="AN262" i="34"/>
  <c r="AO262" i="34"/>
  <c r="AP262" i="34"/>
  <c r="AQ262" i="34"/>
  <c r="AR262" i="34"/>
  <c r="AS262" i="34"/>
  <c r="A261" i="34"/>
  <c r="A1" i="34"/>
  <c r="D58" i="37"/>
  <c r="E58" i="37"/>
  <c r="F58" i="37"/>
  <c r="G58" i="37"/>
  <c r="H58" i="37"/>
  <c r="I58" i="37"/>
  <c r="J58" i="37"/>
  <c r="K58" i="37"/>
  <c r="L58" i="37"/>
  <c r="M58" i="37"/>
  <c r="N58" i="37"/>
  <c r="O58" i="37"/>
  <c r="P58" i="37"/>
  <c r="Q58" i="37"/>
  <c r="R58" i="37"/>
  <c r="S58" i="37"/>
  <c r="T58" i="37"/>
  <c r="U58" i="37"/>
  <c r="V58" i="37"/>
  <c r="W58" i="37"/>
  <c r="X58" i="37"/>
  <c r="Y58" i="37"/>
  <c r="Z58" i="37"/>
  <c r="AA58" i="37"/>
  <c r="AB58" i="37"/>
  <c r="AC58" i="37"/>
  <c r="AD58" i="37"/>
  <c r="AE58" i="37"/>
  <c r="AF58" i="37"/>
  <c r="AG58" i="37"/>
  <c r="AH58" i="37"/>
  <c r="AI58" i="37"/>
  <c r="AJ58" i="37"/>
  <c r="AK58" i="37"/>
  <c r="AL58" i="37"/>
  <c r="AM58" i="37"/>
  <c r="AN58" i="37"/>
  <c r="AO58" i="37"/>
  <c r="AP58" i="37"/>
  <c r="AQ58" i="37"/>
  <c r="AR58" i="37"/>
  <c r="AS58" i="37"/>
  <c r="A57" i="37"/>
  <c r="D70" i="37"/>
  <c r="E70" i="37"/>
  <c r="F70" i="37"/>
  <c r="G70" i="37"/>
  <c r="H70" i="37"/>
  <c r="I70" i="37"/>
  <c r="J70" i="37"/>
  <c r="K70" i="37"/>
  <c r="L70" i="37"/>
  <c r="M70" i="37"/>
  <c r="N70" i="37"/>
  <c r="O70" i="37"/>
  <c r="P70" i="37"/>
  <c r="Q70" i="37"/>
  <c r="R70" i="37"/>
  <c r="S70" i="37"/>
  <c r="T70" i="37"/>
  <c r="U70" i="37"/>
  <c r="V70" i="37"/>
  <c r="W70" i="37"/>
  <c r="X70" i="37"/>
  <c r="Y70" i="37"/>
  <c r="Z70" i="37"/>
  <c r="AA70" i="37"/>
  <c r="AB70" i="37"/>
  <c r="AC70" i="37"/>
  <c r="AD70" i="37"/>
  <c r="AE70" i="37"/>
  <c r="AF70" i="37"/>
  <c r="AG70" i="37"/>
  <c r="AH70" i="37"/>
  <c r="AI70" i="37"/>
  <c r="AJ70" i="37"/>
  <c r="AK70" i="37"/>
  <c r="AL70" i="37"/>
  <c r="AM70" i="37"/>
  <c r="AN70" i="37"/>
  <c r="AO70" i="37"/>
  <c r="AP70" i="37"/>
  <c r="AQ70" i="37"/>
  <c r="AR70" i="37"/>
  <c r="AS70" i="37"/>
  <c r="A69" i="37"/>
  <c r="D82" i="37"/>
  <c r="E82" i="37"/>
  <c r="F82" i="37"/>
  <c r="G82" i="37"/>
  <c r="H82" i="37"/>
  <c r="I82" i="37"/>
  <c r="J82" i="37"/>
  <c r="K82" i="37"/>
  <c r="L82" i="37"/>
  <c r="M82" i="37"/>
  <c r="N82" i="37"/>
  <c r="O82" i="37"/>
  <c r="P82" i="37"/>
  <c r="Q82" i="37"/>
  <c r="R82" i="37"/>
  <c r="S82" i="37"/>
  <c r="T82" i="37"/>
  <c r="U82" i="37"/>
  <c r="V82" i="37"/>
  <c r="W82" i="37"/>
  <c r="X82" i="37"/>
  <c r="Y82" i="37"/>
  <c r="Z82" i="37"/>
  <c r="AA82" i="37"/>
  <c r="AB82" i="37"/>
  <c r="AC82" i="37"/>
  <c r="AD82" i="37"/>
  <c r="AE82" i="37"/>
  <c r="AF82" i="37"/>
  <c r="AG82" i="37"/>
  <c r="AH82" i="37"/>
  <c r="AI82" i="37"/>
  <c r="AJ82" i="37"/>
  <c r="AK82" i="37"/>
  <c r="AL82" i="37"/>
  <c r="AM82" i="37"/>
  <c r="AN82" i="37"/>
  <c r="AO82" i="37"/>
  <c r="AP82" i="37"/>
  <c r="AQ82" i="37"/>
  <c r="AR82" i="37"/>
  <c r="AS82" i="37"/>
  <c r="A81" i="37"/>
  <c r="D94" i="37"/>
  <c r="E94" i="37"/>
  <c r="F94" i="37"/>
  <c r="G94" i="37"/>
  <c r="H94" i="37"/>
  <c r="I94" i="37"/>
  <c r="J94" i="37"/>
  <c r="K94" i="37"/>
  <c r="L94" i="37"/>
  <c r="M94" i="37"/>
  <c r="N94" i="37"/>
  <c r="O94" i="37"/>
  <c r="P94" i="37"/>
  <c r="Q94" i="37"/>
  <c r="R94" i="37"/>
  <c r="S94" i="37"/>
  <c r="T94" i="37"/>
  <c r="U94" i="37"/>
  <c r="V94" i="37"/>
  <c r="W94" i="37"/>
  <c r="X94" i="37"/>
  <c r="Y94" i="37"/>
  <c r="Z94" i="37"/>
  <c r="AA94" i="37"/>
  <c r="AB94" i="37"/>
  <c r="AC94" i="37"/>
  <c r="AD94" i="37"/>
  <c r="AE94" i="37"/>
  <c r="AF94" i="37"/>
  <c r="AG94" i="37"/>
  <c r="AH94" i="37"/>
  <c r="AI94" i="37"/>
  <c r="AJ94" i="37"/>
  <c r="AK94" i="37"/>
  <c r="AL94" i="37"/>
  <c r="AM94" i="37"/>
  <c r="AN94" i="37"/>
  <c r="AO94" i="37"/>
  <c r="AP94" i="37"/>
  <c r="AQ94" i="37"/>
  <c r="AR94" i="37"/>
  <c r="AS94" i="37"/>
  <c r="A93" i="37"/>
  <c r="D10" i="37"/>
  <c r="E10" i="37"/>
  <c r="F10" i="37"/>
  <c r="G10" i="37"/>
  <c r="H10" i="37"/>
  <c r="I10" i="37"/>
  <c r="J10" i="37"/>
  <c r="K10" i="37"/>
  <c r="L10" i="37"/>
  <c r="M10" i="37"/>
  <c r="N10" i="37"/>
  <c r="O10" i="37"/>
  <c r="P10" i="37"/>
  <c r="Q10" i="37"/>
  <c r="R10" i="37"/>
  <c r="S10" i="37"/>
  <c r="T10" i="37"/>
  <c r="U10" i="37"/>
  <c r="V10" i="37"/>
  <c r="W10" i="37"/>
  <c r="X10" i="37"/>
  <c r="Y10" i="37"/>
  <c r="Z10" i="37"/>
  <c r="AA10" i="37"/>
  <c r="AB10" i="37"/>
  <c r="AC10" i="37"/>
  <c r="AD10" i="37"/>
  <c r="AE10" i="37"/>
  <c r="AF10" i="37"/>
  <c r="AG10" i="37"/>
  <c r="AH10" i="37"/>
  <c r="AI10" i="37"/>
  <c r="AJ10" i="37"/>
  <c r="AK10" i="37"/>
  <c r="AL10" i="37"/>
  <c r="AM10" i="37"/>
  <c r="A9" i="37"/>
  <c r="D22" i="37"/>
  <c r="E22" i="37"/>
  <c r="F22" i="37"/>
  <c r="G22" i="37"/>
  <c r="H22" i="37"/>
  <c r="I22" i="37"/>
  <c r="J22" i="37"/>
  <c r="K22" i="37"/>
  <c r="L22" i="37"/>
  <c r="M22" i="37"/>
  <c r="N22" i="37"/>
  <c r="O22" i="37"/>
  <c r="P22" i="37"/>
  <c r="Q22" i="37"/>
  <c r="R22" i="37"/>
  <c r="S22" i="37"/>
  <c r="T22" i="37"/>
  <c r="U22" i="37"/>
  <c r="V22" i="37"/>
  <c r="W22" i="37"/>
  <c r="X22" i="37"/>
  <c r="Y22" i="37"/>
  <c r="Z22" i="37"/>
  <c r="AA22" i="37"/>
  <c r="AB22" i="37"/>
  <c r="AC22" i="37"/>
  <c r="AD22" i="37"/>
  <c r="AE22" i="37"/>
  <c r="AF22" i="37"/>
  <c r="AG22" i="37"/>
  <c r="AH22" i="37"/>
  <c r="AI22" i="37"/>
  <c r="AJ22" i="37"/>
  <c r="AK22" i="37"/>
  <c r="AL22" i="37"/>
  <c r="AM22" i="37"/>
  <c r="AN22" i="37"/>
  <c r="AO22" i="37"/>
  <c r="AP22" i="37"/>
  <c r="AQ22" i="37"/>
  <c r="AR22" i="37"/>
  <c r="AS22" i="37"/>
  <c r="A21" i="37"/>
  <c r="D34" i="37"/>
  <c r="E34" i="37"/>
  <c r="F34" i="37"/>
  <c r="G34" i="37"/>
  <c r="H34" i="37"/>
  <c r="I34" i="37"/>
  <c r="J34" i="37"/>
  <c r="K34" i="37"/>
  <c r="L34" i="37"/>
  <c r="M34" i="37"/>
  <c r="N34" i="37"/>
  <c r="O34" i="37"/>
  <c r="P34" i="37"/>
  <c r="Q34" i="37"/>
  <c r="R34" i="37"/>
  <c r="S34" i="37"/>
  <c r="T34" i="37"/>
  <c r="U34" i="37"/>
  <c r="V34" i="37"/>
  <c r="W34" i="37"/>
  <c r="X34" i="37"/>
  <c r="Y34" i="37"/>
  <c r="Z34" i="37"/>
  <c r="AA34" i="37"/>
  <c r="AB34" i="37"/>
  <c r="AC34" i="37"/>
  <c r="AD34" i="37"/>
  <c r="AE34" i="37"/>
  <c r="AF34" i="37"/>
  <c r="AG34" i="37"/>
  <c r="AH34" i="37"/>
  <c r="AI34" i="37"/>
  <c r="AJ34" i="37"/>
  <c r="AK34" i="37"/>
  <c r="AL34" i="37"/>
  <c r="AM34" i="37"/>
  <c r="AN34" i="37"/>
  <c r="AO34" i="37"/>
  <c r="AP34" i="37"/>
  <c r="AQ34" i="37"/>
  <c r="AR34" i="37"/>
  <c r="AS34" i="37"/>
  <c r="A33" i="37"/>
  <c r="D46" i="37"/>
  <c r="E46" i="37"/>
  <c r="F46" i="37"/>
  <c r="G46" i="37"/>
  <c r="H46" i="37"/>
  <c r="I46" i="37"/>
  <c r="J46" i="37"/>
  <c r="K46" i="37"/>
  <c r="L46" i="37"/>
  <c r="M46" i="37"/>
  <c r="N46" i="37"/>
  <c r="O46" i="37"/>
  <c r="P46" i="37"/>
  <c r="Q46" i="37"/>
  <c r="R46" i="37"/>
  <c r="S46" i="37"/>
  <c r="T46" i="37"/>
  <c r="U46" i="37"/>
  <c r="V46" i="37"/>
  <c r="W46" i="37"/>
  <c r="X46" i="37"/>
  <c r="Y46" i="37"/>
  <c r="Z46" i="37"/>
  <c r="AA46" i="37"/>
  <c r="AB46" i="37"/>
  <c r="AC46" i="37"/>
  <c r="AD46" i="37"/>
  <c r="AE46" i="37"/>
  <c r="AF46" i="37"/>
  <c r="AG46" i="37"/>
  <c r="AH46" i="37"/>
  <c r="AI46" i="37"/>
  <c r="AJ46" i="37"/>
  <c r="AK46" i="37"/>
  <c r="AL46" i="37"/>
  <c r="AM46" i="37"/>
  <c r="AN46" i="37"/>
  <c r="AO46" i="37"/>
  <c r="AP46" i="37"/>
  <c r="AQ46" i="37"/>
  <c r="AR46" i="37"/>
  <c r="AS46" i="37"/>
  <c r="A45" i="37"/>
  <c r="D202" i="37"/>
  <c r="E202" i="37"/>
  <c r="F202" i="37"/>
  <c r="G202" i="37"/>
  <c r="H202" i="37"/>
  <c r="I202" i="37"/>
  <c r="J202" i="37"/>
  <c r="K202" i="37"/>
  <c r="L202" i="37"/>
  <c r="M202" i="37"/>
  <c r="N202" i="37"/>
  <c r="O202" i="37"/>
  <c r="P202" i="37"/>
  <c r="Q202" i="37"/>
  <c r="R202" i="37"/>
  <c r="S202" i="37"/>
  <c r="T202" i="37"/>
  <c r="U202" i="37"/>
  <c r="V202" i="37"/>
  <c r="W202" i="37"/>
  <c r="X202" i="37"/>
  <c r="Y202" i="37"/>
  <c r="Z202" i="37"/>
  <c r="AA202" i="37"/>
  <c r="AB202" i="37"/>
  <c r="AC202" i="37"/>
  <c r="AD202" i="37"/>
  <c r="AE202" i="37"/>
  <c r="AF202" i="37"/>
  <c r="AG202" i="37"/>
  <c r="AH202" i="37"/>
  <c r="AI202" i="37"/>
  <c r="AJ202" i="37"/>
  <c r="AK202" i="37"/>
  <c r="AL202" i="37"/>
  <c r="AM202" i="37"/>
  <c r="AN202" i="37"/>
  <c r="AO202" i="37"/>
  <c r="AP202" i="37"/>
  <c r="AQ202" i="37"/>
  <c r="AR202" i="37"/>
  <c r="AS202" i="37"/>
  <c r="A201" i="37"/>
  <c r="D214" i="37"/>
  <c r="E214" i="37"/>
  <c r="F214" i="37"/>
  <c r="G214" i="37"/>
  <c r="H214" i="37"/>
  <c r="I214" i="37"/>
  <c r="J214" i="37"/>
  <c r="K214" i="37"/>
  <c r="L214" i="37"/>
  <c r="M214" i="37"/>
  <c r="N214" i="37"/>
  <c r="O214" i="37"/>
  <c r="P214" i="37"/>
  <c r="Q214" i="37"/>
  <c r="R214" i="37"/>
  <c r="S214" i="37"/>
  <c r="T214" i="37"/>
  <c r="U214" i="37"/>
  <c r="V214" i="37"/>
  <c r="W214" i="37"/>
  <c r="X214" i="37"/>
  <c r="Y214" i="37"/>
  <c r="Z214" i="37"/>
  <c r="AA214" i="37"/>
  <c r="AB214" i="37"/>
  <c r="AC214" i="37"/>
  <c r="AD214" i="37"/>
  <c r="AE214" i="37"/>
  <c r="AF214" i="37"/>
  <c r="AG214" i="37"/>
  <c r="AH214" i="37"/>
  <c r="AI214" i="37"/>
  <c r="AJ214" i="37"/>
  <c r="AK214" i="37"/>
  <c r="AL214" i="37"/>
  <c r="AM214" i="37"/>
  <c r="AN214" i="37"/>
  <c r="AO214" i="37"/>
  <c r="AP214" i="37"/>
  <c r="AQ214" i="37"/>
  <c r="AR214" i="37"/>
  <c r="AS214" i="37"/>
  <c r="A213" i="37"/>
  <c r="D226" i="37"/>
  <c r="E226" i="37"/>
  <c r="F226" i="37"/>
  <c r="G226" i="37"/>
  <c r="H226" i="37"/>
  <c r="I226" i="37"/>
  <c r="J226" i="37"/>
  <c r="K226" i="37"/>
  <c r="L226" i="37"/>
  <c r="M226" i="37"/>
  <c r="N226" i="37"/>
  <c r="O226" i="37"/>
  <c r="P226" i="37"/>
  <c r="Q226" i="37"/>
  <c r="R226" i="37"/>
  <c r="S226" i="37"/>
  <c r="T226" i="37"/>
  <c r="U226" i="37"/>
  <c r="V226" i="37"/>
  <c r="W226" i="37"/>
  <c r="X226" i="37"/>
  <c r="Y226" i="37"/>
  <c r="Z226" i="37"/>
  <c r="AA226" i="37"/>
  <c r="AB226" i="37"/>
  <c r="AC226" i="37"/>
  <c r="AD226" i="37"/>
  <c r="AE226" i="37"/>
  <c r="AF226" i="37"/>
  <c r="AG226" i="37"/>
  <c r="AH226" i="37"/>
  <c r="AI226" i="37"/>
  <c r="AJ226" i="37"/>
  <c r="AK226" i="37"/>
  <c r="AL226" i="37"/>
  <c r="AM226" i="37"/>
  <c r="AN226" i="37"/>
  <c r="AO226" i="37"/>
  <c r="AP226" i="37"/>
  <c r="AQ226" i="37"/>
  <c r="AR226" i="37"/>
  <c r="AS226" i="37"/>
  <c r="A225" i="37"/>
  <c r="D238" i="37"/>
  <c r="E238" i="37"/>
  <c r="F238" i="37"/>
  <c r="G238" i="37"/>
  <c r="H238" i="37"/>
  <c r="I238" i="37"/>
  <c r="J238" i="37"/>
  <c r="K238" i="37"/>
  <c r="L238" i="37"/>
  <c r="M238" i="37"/>
  <c r="N238" i="37"/>
  <c r="O238" i="37"/>
  <c r="P238" i="37"/>
  <c r="Q238" i="37"/>
  <c r="R238" i="37"/>
  <c r="S238" i="37"/>
  <c r="T238" i="37"/>
  <c r="U238" i="37"/>
  <c r="V238" i="37"/>
  <c r="W238" i="37"/>
  <c r="X238" i="37"/>
  <c r="Y238" i="37"/>
  <c r="Z238" i="37"/>
  <c r="AA238" i="37"/>
  <c r="AB238" i="37"/>
  <c r="AC238" i="37"/>
  <c r="AD238" i="37"/>
  <c r="AE238" i="37"/>
  <c r="AF238" i="37"/>
  <c r="AG238" i="37"/>
  <c r="AH238" i="37"/>
  <c r="AI238" i="37"/>
  <c r="AJ238" i="37"/>
  <c r="AK238" i="37"/>
  <c r="AL238" i="37"/>
  <c r="AM238" i="37"/>
  <c r="AN238" i="37"/>
  <c r="AO238" i="37"/>
  <c r="AP238" i="37"/>
  <c r="AQ238" i="37"/>
  <c r="AR238" i="37"/>
  <c r="AS238" i="37"/>
  <c r="A237" i="37"/>
  <c r="D106" i="37"/>
  <c r="E106" i="37"/>
  <c r="F106" i="37"/>
  <c r="G106" i="37"/>
  <c r="H106" i="37"/>
  <c r="I106" i="37"/>
  <c r="J106" i="37"/>
  <c r="K106" i="37"/>
  <c r="L106" i="37"/>
  <c r="M106" i="37"/>
  <c r="N106" i="37"/>
  <c r="O106" i="37"/>
  <c r="P106" i="37"/>
  <c r="Q106" i="37"/>
  <c r="R106" i="37"/>
  <c r="S106" i="37"/>
  <c r="T106" i="37"/>
  <c r="U106" i="37"/>
  <c r="V106" i="37"/>
  <c r="W106" i="37"/>
  <c r="X106" i="37"/>
  <c r="Y106" i="37"/>
  <c r="Z106" i="37"/>
  <c r="AA106" i="37"/>
  <c r="AB106" i="37"/>
  <c r="AC106" i="37"/>
  <c r="AD106" i="37"/>
  <c r="AE106" i="37"/>
  <c r="AF106" i="37"/>
  <c r="AG106" i="37"/>
  <c r="AH106" i="37"/>
  <c r="AI106" i="37"/>
  <c r="AJ106" i="37"/>
  <c r="AK106" i="37"/>
  <c r="AL106" i="37"/>
  <c r="AM106" i="37"/>
  <c r="AN106" i="37"/>
  <c r="AO106" i="37"/>
  <c r="AP106" i="37"/>
  <c r="AQ106" i="37"/>
  <c r="AR106" i="37"/>
  <c r="AS106" i="37"/>
  <c r="A105" i="37"/>
  <c r="D118" i="37"/>
  <c r="E118" i="37"/>
  <c r="F118" i="37"/>
  <c r="G118" i="37"/>
  <c r="H118" i="37"/>
  <c r="I118" i="37"/>
  <c r="J118" i="37"/>
  <c r="K118" i="37"/>
  <c r="L118" i="37"/>
  <c r="M118" i="37"/>
  <c r="N118" i="37"/>
  <c r="O118" i="37"/>
  <c r="P118" i="37"/>
  <c r="Q118" i="37"/>
  <c r="R118" i="37"/>
  <c r="S118" i="37"/>
  <c r="T118" i="37"/>
  <c r="U118" i="37"/>
  <c r="V118" i="37"/>
  <c r="W118" i="37"/>
  <c r="X118" i="37"/>
  <c r="Y118" i="37"/>
  <c r="Z118" i="37"/>
  <c r="AA118" i="37"/>
  <c r="AB118" i="37"/>
  <c r="AC118" i="37"/>
  <c r="AD118" i="37"/>
  <c r="AE118" i="37"/>
  <c r="AF118" i="37"/>
  <c r="AG118" i="37"/>
  <c r="AH118" i="37"/>
  <c r="AI118" i="37"/>
  <c r="AJ118" i="37"/>
  <c r="AK118" i="37"/>
  <c r="AL118" i="37"/>
  <c r="AM118" i="37"/>
  <c r="AN118" i="37"/>
  <c r="AO118" i="37"/>
  <c r="AP118" i="37"/>
  <c r="AQ118" i="37"/>
  <c r="AR118" i="37"/>
  <c r="AS118" i="37"/>
  <c r="A117" i="37"/>
  <c r="D130" i="37"/>
  <c r="E130" i="37"/>
  <c r="F130" i="37"/>
  <c r="G130" i="37"/>
  <c r="H130" i="37"/>
  <c r="I130" i="37"/>
  <c r="J130" i="37"/>
  <c r="K130" i="37"/>
  <c r="L130" i="37"/>
  <c r="M130" i="37"/>
  <c r="N130" i="37"/>
  <c r="O130" i="37"/>
  <c r="P130" i="37"/>
  <c r="Q130" i="37"/>
  <c r="R130" i="37"/>
  <c r="S130" i="37"/>
  <c r="T130" i="37"/>
  <c r="U130" i="37"/>
  <c r="V130" i="37"/>
  <c r="W130" i="37"/>
  <c r="X130" i="37"/>
  <c r="Y130" i="37"/>
  <c r="Z130" i="37"/>
  <c r="AA130" i="37"/>
  <c r="AB130" i="37"/>
  <c r="AC130" i="37"/>
  <c r="AD130" i="37"/>
  <c r="AE130" i="37"/>
  <c r="AF130" i="37"/>
  <c r="AG130" i="37"/>
  <c r="AH130" i="37"/>
  <c r="AI130" i="37"/>
  <c r="AJ130" i="37"/>
  <c r="AK130" i="37"/>
  <c r="AL130" i="37"/>
  <c r="AM130" i="37"/>
  <c r="AN130" i="37"/>
  <c r="AO130" i="37"/>
  <c r="AP130" i="37"/>
  <c r="AQ130" i="37"/>
  <c r="AR130" i="37"/>
  <c r="AS130" i="37"/>
  <c r="A129" i="37"/>
  <c r="D142" i="37"/>
  <c r="E142" i="37"/>
  <c r="F142" i="37"/>
  <c r="G142" i="37"/>
  <c r="H142" i="37"/>
  <c r="I142" i="37"/>
  <c r="J142" i="37"/>
  <c r="K142" i="37"/>
  <c r="L142" i="37"/>
  <c r="M142" i="37"/>
  <c r="N142" i="37"/>
  <c r="O142" i="37"/>
  <c r="P142" i="37"/>
  <c r="Q142" i="37"/>
  <c r="R142" i="37"/>
  <c r="S142" i="37"/>
  <c r="T142" i="37"/>
  <c r="U142" i="37"/>
  <c r="V142" i="37"/>
  <c r="W142" i="37"/>
  <c r="X142" i="37"/>
  <c r="Y142" i="37"/>
  <c r="Z142" i="37"/>
  <c r="AA142" i="37"/>
  <c r="AB142" i="37"/>
  <c r="AC142" i="37"/>
  <c r="AD142" i="37"/>
  <c r="AE142" i="37"/>
  <c r="AF142" i="37"/>
  <c r="AG142" i="37"/>
  <c r="AH142" i="37"/>
  <c r="AI142" i="37"/>
  <c r="AJ142" i="37"/>
  <c r="AK142" i="37"/>
  <c r="AL142" i="37"/>
  <c r="AM142" i="37"/>
  <c r="AN142" i="37"/>
  <c r="AO142" i="37"/>
  <c r="AP142" i="37"/>
  <c r="AQ142" i="37"/>
  <c r="AR142" i="37"/>
  <c r="AS142" i="37"/>
  <c r="A141" i="37"/>
  <c r="D154" i="37"/>
  <c r="E154" i="37"/>
  <c r="F154" i="37"/>
  <c r="G154" i="37"/>
  <c r="H154" i="37"/>
  <c r="I154" i="37"/>
  <c r="J154" i="37"/>
  <c r="K154" i="37"/>
  <c r="L154" i="37"/>
  <c r="M154" i="37"/>
  <c r="N154" i="37"/>
  <c r="O154" i="37"/>
  <c r="P154" i="37"/>
  <c r="Q154" i="37"/>
  <c r="R154" i="37"/>
  <c r="S154" i="37"/>
  <c r="T154" i="37"/>
  <c r="U154" i="37"/>
  <c r="V154" i="37"/>
  <c r="W154" i="37"/>
  <c r="X154" i="37"/>
  <c r="Y154" i="37"/>
  <c r="Z154" i="37"/>
  <c r="AA154" i="37"/>
  <c r="AB154" i="37"/>
  <c r="AC154" i="37"/>
  <c r="AD154" i="37"/>
  <c r="AE154" i="37"/>
  <c r="AF154" i="37"/>
  <c r="AG154" i="37"/>
  <c r="AH154" i="37"/>
  <c r="AI154" i="37"/>
  <c r="AJ154" i="37"/>
  <c r="AK154" i="37"/>
  <c r="AL154" i="37"/>
  <c r="AM154" i="37"/>
  <c r="AN154" i="37"/>
  <c r="AO154" i="37"/>
  <c r="AP154" i="37"/>
  <c r="AQ154" i="37"/>
  <c r="AR154" i="37"/>
  <c r="AS154" i="37"/>
  <c r="A153" i="37"/>
  <c r="D166" i="37"/>
  <c r="E166" i="37"/>
  <c r="F166" i="37"/>
  <c r="G166" i="37"/>
  <c r="H166" i="37"/>
  <c r="I166" i="37"/>
  <c r="J166" i="37"/>
  <c r="K166" i="37"/>
  <c r="L166" i="37"/>
  <c r="M166" i="37"/>
  <c r="N166" i="37"/>
  <c r="O166" i="37"/>
  <c r="P166" i="37"/>
  <c r="Q166" i="37"/>
  <c r="R166" i="37"/>
  <c r="S166" i="37"/>
  <c r="T166" i="37"/>
  <c r="U166" i="37"/>
  <c r="V166" i="37"/>
  <c r="W166" i="37"/>
  <c r="X166" i="37"/>
  <c r="Y166" i="37"/>
  <c r="Z166" i="37"/>
  <c r="AA166" i="37"/>
  <c r="AB166" i="37"/>
  <c r="AC166" i="37"/>
  <c r="AD166" i="37"/>
  <c r="AE166" i="37"/>
  <c r="AF166" i="37"/>
  <c r="AG166" i="37"/>
  <c r="AH166" i="37"/>
  <c r="AI166" i="37"/>
  <c r="AJ166" i="37"/>
  <c r="AK166" i="37"/>
  <c r="AL166" i="37"/>
  <c r="AM166" i="37"/>
  <c r="AN166" i="37"/>
  <c r="AO166" i="37"/>
  <c r="AP166" i="37"/>
  <c r="AQ166" i="37"/>
  <c r="AR166" i="37"/>
  <c r="AS166" i="37"/>
  <c r="A165" i="37"/>
  <c r="D178" i="37"/>
  <c r="E178" i="37"/>
  <c r="F178" i="37"/>
  <c r="G178" i="37"/>
  <c r="H178" i="37"/>
  <c r="I178" i="37"/>
  <c r="J178" i="37"/>
  <c r="K178" i="37"/>
  <c r="L178" i="37"/>
  <c r="M178" i="37"/>
  <c r="N178" i="37"/>
  <c r="O178" i="37"/>
  <c r="P178" i="37"/>
  <c r="Q178" i="37"/>
  <c r="R178" i="37"/>
  <c r="S178" i="37"/>
  <c r="T178" i="37"/>
  <c r="U178" i="37"/>
  <c r="V178" i="37"/>
  <c r="W178" i="37"/>
  <c r="X178" i="37"/>
  <c r="Y178" i="37"/>
  <c r="Z178" i="37"/>
  <c r="AA178" i="37"/>
  <c r="AB178" i="37"/>
  <c r="AC178" i="37"/>
  <c r="AD178" i="37"/>
  <c r="AE178" i="37"/>
  <c r="AF178" i="37"/>
  <c r="AG178" i="37"/>
  <c r="AH178" i="37"/>
  <c r="AI178" i="37"/>
  <c r="AJ178" i="37"/>
  <c r="AK178" i="37"/>
  <c r="AL178" i="37"/>
  <c r="AM178" i="37"/>
  <c r="AN178" i="37"/>
  <c r="AO178" i="37"/>
  <c r="AP178" i="37"/>
  <c r="AQ178" i="37"/>
  <c r="AR178" i="37"/>
  <c r="AS178" i="37"/>
  <c r="A177" i="37"/>
  <c r="D190" i="37"/>
  <c r="E190" i="37"/>
  <c r="F190" i="37"/>
  <c r="G190" i="37"/>
  <c r="H190" i="37"/>
  <c r="I190" i="37"/>
  <c r="J190" i="37"/>
  <c r="K190" i="37"/>
  <c r="L190" i="37"/>
  <c r="M190" i="37"/>
  <c r="N190" i="37"/>
  <c r="O190" i="37"/>
  <c r="P190" i="37"/>
  <c r="Q190" i="37"/>
  <c r="R190" i="37"/>
  <c r="S190" i="37"/>
  <c r="T190" i="37"/>
  <c r="U190" i="37"/>
  <c r="V190" i="37"/>
  <c r="W190" i="37"/>
  <c r="X190" i="37"/>
  <c r="Y190" i="37"/>
  <c r="Z190" i="37"/>
  <c r="AA190" i="37"/>
  <c r="AB190" i="37"/>
  <c r="AC190" i="37"/>
  <c r="AD190" i="37"/>
  <c r="AE190" i="37"/>
  <c r="AF190" i="37"/>
  <c r="AG190" i="37"/>
  <c r="AH190" i="37"/>
  <c r="AI190" i="37"/>
  <c r="AJ190" i="37"/>
  <c r="AK190" i="37"/>
  <c r="AL190" i="37"/>
  <c r="AM190" i="37"/>
  <c r="AN190" i="37"/>
  <c r="AO190" i="37"/>
  <c r="AP190" i="37"/>
  <c r="AQ190" i="37"/>
  <c r="AR190" i="37"/>
  <c r="AS190" i="37"/>
  <c r="A189" i="37"/>
  <c r="A1" i="37"/>
  <c r="D10" i="36"/>
  <c r="E10" i="36"/>
  <c r="F10" i="36"/>
  <c r="G10" i="36"/>
  <c r="H10" i="36"/>
  <c r="I10" i="36"/>
  <c r="J10" i="36"/>
  <c r="K10" i="36"/>
  <c r="L10" i="36"/>
  <c r="M10" i="36"/>
  <c r="N10" i="36"/>
  <c r="O10" i="36"/>
  <c r="P10" i="36"/>
  <c r="Q10" i="36"/>
  <c r="R10" i="36"/>
  <c r="S10" i="36"/>
  <c r="T10" i="36"/>
  <c r="U10" i="36"/>
  <c r="V10" i="36"/>
  <c r="W10" i="36"/>
  <c r="X10" i="36"/>
  <c r="Y10" i="36"/>
  <c r="Z10" i="36"/>
  <c r="AA10" i="36"/>
  <c r="AB10" i="36"/>
  <c r="AC10" i="36"/>
  <c r="AD10" i="36"/>
  <c r="AE10" i="36"/>
  <c r="AF10" i="36"/>
  <c r="AG10" i="36"/>
  <c r="AH10" i="36"/>
  <c r="AI10" i="36"/>
  <c r="AJ10" i="36"/>
  <c r="AK10" i="36"/>
  <c r="AL10" i="36"/>
  <c r="AM10" i="36"/>
  <c r="AN10" i="36"/>
  <c r="AO10" i="36"/>
  <c r="A9" i="36"/>
  <c r="D46" i="36"/>
  <c r="E46" i="36"/>
  <c r="F46" i="36"/>
  <c r="G46" i="36"/>
  <c r="H46" i="36"/>
  <c r="I46" i="36"/>
  <c r="J46" i="36"/>
  <c r="K46" i="36"/>
  <c r="L46" i="36"/>
  <c r="M46" i="36"/>
  <c r="N46" i="36"/>
  <c r="O46" i="36"/>
  <c r="P46" i="36"/>
  <c r="Q46" i="36"/>
  <c r="R46" i="36"/>
  <c r="S46" i="36"/>
  <c r="T46" i="36"/>
  <c r="U46" i="36"/>
  <c r="V46" i="36"/>
  <c r="W46" i="36"/>
  <c r="X46" i="36"/>
  <c r="Y46" i="36"/>
  <c r="Z46" i="36"/>
  <c r="AA46" i="36"/>
  <c r="AB46" i="36"/>
  <c r="AC46" i="36"/>
  <c r="AD46" i="36"/>
  <c r="AE46" i="36"/>
  <c r="AF46" i="36"/>
  <c r="AG46" i="36"/>
  <c r="AH46" i="36"/>
  <c r="AI46" i="36"/>
  <c r="AJ46" i="36"/>
  <c r="AK46" i="36"/>
  <c r="AL46" i="36"/>
  <c r="AM46" i="36"/>
  <c r="AN46" i="36"/>
  <c r="AO46" i="36"/>
  <c r="AP46" i="36"/>
  <c r="AQ46" i="36"/>
  <c r="AR46" i="36"/>
  <c r="AS46" i="36"/>
  <c r="A45" i="36"/>
  <c r="D58" i="36"/>
  <c r="E58" i="36"/>
  <c r="F58" i="36"/>
  <c r="G58" i="36"/>
  <c r="H58" i="36"/>
  <c r="I58" i="36"/>
  <c r="J58" i="36"/>
  <c r="K58" i="36"/>
  <c r="L58" i="36"/>
  <c r="M58" i="36"/>
  <c r="N58" i="36"/>
  <c r="O58" i="36"/>
  <c r="P58" i="36"/>
  <c r="Q58" i="36"/>
  <c r="R58" i="36"/>
  <c r="S58" i="36"/>
  <c r="T58" i="36"/>
  <c r="U58" i="36"/>
  <c r="V58" i="36"/>
  <c r="W58" i="36"/>
  <c r="X58" i="36"/>
  <c r="Y58" i="36"/>
  <c r="Z58" i="36"/>
  <c r="AA58" i="36"/>
  <c r="AB58" i="36"/>
  <c r="AC58" i="36"/>
  <c r="AD58" i="36"/>
  <c r="AE58" i="36"/>
  <c r="AF58" i="36"/>
  <c r="AG58" i="36"/>
  <c r="AH58" i="36"/>
  <c r="AI58" i="36"/>
  <c r="AJ58" i="36"/>
  <c r="AK58" i="36"/>
  <c r="AL58" i="36"/>
  <c r="AM58" i="36"/>
  <c r="AN58" i="36"/>
  <c r="AO58" i="36"/>
  <c r="AP58" i="36"/>
  <c r="AQ58" i="36"/>
  <c r="AR58" i="36"/>
  <c r="AS58" i="36"/>
  <c r="A57" i="36"/>
  <c r="D70" i="36"/>
  <c r="E70" i="36"/>
  <c r="F70" i="36"/>
  <c r="G70" i="36"/>
  <c r="H70" i="36"/>
  <c r="I70" i="36"/>
  <c r="J70" i="36"/>
  <c r="K70" i="36"/>
  <c r="L70" i="36"/>
  <c r="M70" i="36"/>
  <c r="N70" i="36"/>
  <c r="O70" i="36"/>
  <c r="P70" i="36"/>
  <c r="Q70" i="36"/>
  <c r="R70" i="36"/>
  <c r="S70" i="36"/>
  <c r="T70" i="36"/>
  <c r="U70" i="36"/>
  <c r="V70" i="36"/>
  <c r="W70" i="36"/>
  <c r="X70" i="36"/>
  <c r="Y70" i="36"/>
  <c r="Z70" i="36"/>
  <c r="AA70" i="36"/>
  <c r="AB70" i="36"/>
  <c r="AC70" i="36"/>
  <c r="AD70" i="36"/>
  <c r="AE70" i="36"/>
  <c r="AF70" i="36"/>
  <c r="AG70" i="36"/>
  <c r="AH70" i="36"/>
  <c r="AI70" i="36"/>
  <c r="AJ70" i="36"/>
  <c r="AK70" i="36"/>
  <c r="AL70" i="36"/>
  <c r="AM70" i="36"/>
  <c r="AN70" i="36"/>
  <c r="AO70" i="36"/>
  <c r="AP70" i="36"/>
  <c r="AQ70" i="36"/>
  <c r="AR70" i="36"/>
  <c r="AS70" i="36"/>
  <c r="A69" i="36"/>
  <c r="D82" i="36"/>
  <c r="E82" i="36"/>
  <c r="F82" i="36"/>
  <c r="G82" i="36"/>
  <c r="H82" i="36"/>
  <c r="I82" i="36"/>
  <c r="J82" i="36"/>
  <c r="K82" i="36"/>
  <c r="L82" i="36"/>
  <c r="M82" i="36"/>
  <c r="N82" i="36"/>
  <c r="O82" i="36"/>
  <c r="P82" i="36"/>
  <c r="Q82" i="36"/>
  <c r="R82" i="36"/>
  <c r="S82" i="36"/>
  <c r="T82" i="36"/>
  <c r="U82" i="36"/>
  <c r="V82" i="36"/>
  <c r="W82" i="36"/>
  <c r="X82" i="36"/>
  <c r="Y82" i="36"/>
  <c r="Z82" i="36"/>
  <c r="AA82" i="36"/>
  <c r="AB82" i="36"/>
  <c r="AC82" i="36"/>
  <c r="AD82" i="36"/>
  <c r="AE82" i="36"/>
  <c r="AF82" i="36"/>
  <c r="AG82" i="36"/>
  <c r="AH82" i="36"/>
  <c r="AI82" i="36"/>
  <c r="AJ82" i="36"/>
  <c r="AK82" i="36"/>
  <c r="AL82" i="36"/>
  <c r="AM82" i="36"/>
  <c r="AN82" i="36"/>
  <c r="AO82" i="36"/>
  <c r="AP82" i="36"/>
  <c r="AQ82" i="36"/>
  <c r="AR82" i="36"/>
  <c r="AS82" i="36"/>
  <c r="A81" i="36"/>
  <c r="D94" i="36"/>
  <c r="E94" i="36"/>
  <c r="F94" i="36"/>
  <c r="G94" i="36"/>
  <c r="H94" i="36"/>
  <c r="I94" i="36"/>
  <c r="J94" i="36"/>
  <c r="K94" i="36"/>
  <c r="L94" i="36"/>
  <c r="M94" i="36"/>
  <c r="N94" i="36"/>
  <c r="O94" i="36"/>
  <c r="P94" i="36"/>
  <c r="Q94" i="36"/>
  <c r="R94" i="36"/>
  <c r="S94" i="36"/>
  <c r="T94" i="36"/>
  <c r="U94" i="36"/>
  <c r="V94" i="36"/>
  <c r="W94" i="36"/>
  <c r="X94" i="36"/>
  <c r="Y94" i="36"/>
  <c r="Z94" i="36"/>
  <c r="AA94" i="36"/>
  <c r="AB94" i="36"/>
  <c r="AC94" i="36"/>
  <c r="AD94" i="36"/>
  <c r="AE94" i="36"/>
  <c r="AF94" i="36"/>
  <c r="AG94" i="36"/>
  <c r="AH94" i="36"/>
  <c r="AI94" i="36"/>
  <c r="AJ94" i="36"/>
  <c r="AK94" i="36"/>
  <c r="AL94" i="36"/>
  <c r="AM94" i="36"/>
  <c r="AN94" i="36"/>
  <c r="AO94" i="36"/>
  <c r="AP94" i="36"/>
  <c r="AQ94" i="36"/>
  <c r="AR94" i="36"/>
  <c r="AS94" i="36"/>
  <c r="A93" i="36"/>
  <c r="D106" i="36"/>
  <c r="E106" i="36"/>
  <c r="F106" i="36"/>
  <c r="G106" i="36"/>
  <c r="H106" i="36"/>
  <c r="I106" i="36"/>
  <c r="J106" i="36"/>
  <c r="K106" i="36"/>
  <c r="L106" i="36"/>
  <c r="M106" i="36"/>
  <c r="N106" i="36"/>
  <c r="O106" i="36"/>
  <c r="P106" i="36"/>
  <c r="Q106" i="36"/>
  <c r="R106" i="36"/>
  <c r="S106" i="36"/>
  <c r="T106" i="36"/>
  <c r="U106" i="36"/>
  <c r="V106" i="36"/>
  <c r="W106" i="36"/>
  <c r="X106" i="36"/>
  <c r="Y106" i="36"/>
  <c r="Z106" i="36"/>
  <c r="AA106" i="36"/>
  <c r="AB106" i="36"/>
  <c r="AC106" i="36"/>
  <c r="AD106" i="36"/>
  <c r="AE106" i="36"/>
  <c r="AF106" i="36"/>
  <c r="AG106" i="36"/>
  <c r="AH106" i="36"/>
  <c r="AI106" i="36"/>
  <c r="AJ106" i="36"/>
  <c r="AK106" i="36"/>
  <c r="AL106" i="36"/>
  <c r="AM106" i="36"/>
  <c r="AN106" i="36"/>
  <c r="AO106" i="36"/>
  <c r="AP106" i="36"/>
  <c r="AQ106" i="36"/>
  <c r="AR106" i="36"/>
  <c r="AS106" i="36"/>
  <c r="A105" i="36"/>
  <c r="D118" i="36"/>
  <c r="E118" i="36"/>
  <c r="F118" i="36"/>
  <c r="G118" i="36"/>
  <c r="H118" i="36"/>
  <c r="I118" i="36"/>
  <c r="J118" i="36"/>
  <c r="K118" i="36"/>
  <c r="L118" i="36"/>
  <c r="M118" i="36"/>
  <c r="N118" i="36"/>
  <c r="O118" i="36"/>
  <c r="P118" i="36"/>
  <c r="Q118" i="36"/>
  <c r="R118" i="36"/>
  <c r="S118" i="36"/>
  <c r="T118" i="36"/>
  <c r="U118" i="36"/>
  <c r="V118" i="36"/>
  <c r="W118" i="36"/>
  <c r="X118" i="36"/>
  <c r="Y118" i="36"/>
  <c r="Z118" i="36"/>
  <c r="AA118" i="36"/>
  <c r="AB118" i="36"/>
  <c r="AC118" i="36"/>
  <c r="AD118" i="36"/>
  <c r="AE118" i="36"/>
  <c r="AF118" i="36"/>
  <c r="AG118" i="36"/>
  <c r="AH118" i="36"/>
  <c r="AI118" i="36"/>
  <c r="AJ118" i="36"/>
  <c r="AK118" i="36"/>
  <c r="AL118" i="36"/>
  <c r="AM118" i="36"/>
  <c r="AN118" i="36"/>
  <c r="AO118" i="36"/>
  <c r="AP118" i="36"/>
  <c r="AQ118" i="36"/>
  <c r="AR118" i="36"/>
  <c r="AS118" i="36"/>
  <c r="A117" i="36"/>
  <c r="D130" i="36"/>
  <c r="E130" i="36"/>
  <c r="F130" i="36"/>
  <c r="G130" i="36"/>
  <c r="H130" i="36"/>
  <c r="I130" i="36"/>
  <c r="J130" i="36"/>
  <c r="K130" i="36"/>
  <c r="L130" i="36"/>
  <c r="M130" i="36"/>
  <c r="N130" i="36"/>
  <c r="O130" i="36"/>
  <c r="P130" i="36"/>
  <c r="Q130" i="36"/>
  <c r="R130" i="36"/>
  <c r="S130" i="36"/>
  <c r="T130" i="36"/>
  <c r="U130" i="36"/>
  <c r="V130" i="36"/>
  <c r="W130" i="36"/>
  <c r="X130" i="36"/>
  <c r="Y130" i="36"/>
  <c r="Z130" i="36"/>
  <c r="AA130" i="36"/>
  <c r="AB130" i="36"/>
  <c r="AC130" i="36"/>
  <c r="AD130" i="36"/>
  <c r="AE130" i="36"/>
  <c r="AF130" i="36"/>
  <c r="AG130" i="36"/>
  <c r="AH130" i="36"/>
  <c r="AI130" i="36"/>
  <c r="AJ130" i="36"/>
  <c r="AK130" i="36"/>
  <c r="AL130" i="36"/>
  <c r="AM130" i="36"/>
  <c r="AN130" i="36"/>
  <c r="AO130" i="36"/>
  <c r="AP130" i="36"/>
  <c r="AQ130" i="36"/>
  <c r="AR130" i="36"/>
  <c r="AS130" i="36"/>
  <c r="A129" i="36"/>
  <c r="D154" i="36"/>
  <c r="E154" i="36"/>
  <c r="F154" i="36"/>
  <c r="G154" i="36"/>
  <c r="H154" i="36"/>
  <c r="I154" i="36"/>
  <c r="J154" i="36"/>
  <c r="K154" i="36"/>
  <c r="L154" i="36"/>
  <c r="M154" i="36"/>
  <c r="N154" i="36"/>
  <c r="O154" i="36"/>
  <c r="P154" i="36"/>
  <c r="Q154" i="36"/>
  <c r="R154" i="36"/>
  <c r="S154" i="36"/>
  <c r="T154" i="36"/>
  <c r="U154" i="36"/>
  <c r="V154" i="36"/>
  <c r="W154" i="36"/>
  <c r="X154" i="36"/>
  <c r="Y154" i="36"/>
  <c r="Z154" i="36"/>
  <c r="AA154" i="36"/>
  <c r="AC154" i="36"/>
  <c r="AD154" i="36"/>
  <c r="AE154" i="36"/>
  <c r="AF154" i="36"/>
  <c r="AG154" i="36"/>
  <c r="AH154" i="36"/>
  <c r="AI154" i="36"/>
  <c r="AJ154" i="36"/>
  <c r="AK154" i="36"/>
  <c r="AL154" i="36"/>
  <c r="AM154" i="36"/>
  <c r="AN154" i="36"/>
  <c r="AO154" i="36"/>
  <c r="AP154" i="36"/>
  <c r="AQ154" i="36"/>
  <c r="AR154" i="36"/>
  <c r="AS154" i="36"/>
  <c r="A153" i="36"/>
  <c r="D142" i="36"/>
  <c r="E142" i="36"/>
  <c r="F142" i="36"/>
  <c r="G142" i="36"/>
  <c r="H142" i="36"/>
  <c r="I142" i="36"/>
  <c r="J142" i="36"/>
  <c r="K142" i="36"/>
  <c r="L142" i="36"/>
  <c r="M142" i="36"/>
  <c r="N142" i="36"/>
  <c r="O142" i="36"/>
  <c r="P142" i="36"/>
  <c r="Q142" i="36"/>
  <c r="R142" i="36"/>
  <c r="S142" i="36"/>
  <c r="T142" i="36"/>
  <c r="U142" i="36"/>
  <c r="V142" i="36"/>
  <c r="W142" i="36"/>
  <c r="X142" i="36"/>
  <c r="Y142" i="36"/>
  <c r="Z142" i="36"/>
  <c r="AA142" i="36"/>
  <c r="AB142" i="36"/>
  <c r="AC142" i="36"/>
  <c r="AD142" i="36"/>
  <c r="AE142" i="36"/>
  <c r="AF142" i="36"/>
  <c r="AG142" i="36"/>
  <c r="AH142" i="36"/>
  <c r="AI142" i="36"/>
  <c r="AJ142" i="36"/>
  <c r="AK142" i="36"/>
  <c r="AL142" i="36"/>
  <c r="AM142" i="36"/>
  <c r="AN142" i="36"/>
  <c r="AO142" i="36"/>
  <c r="AP142" i="36"/>
  <c r="AQ142" i="36"/>
  <c r="AR142" i="36"/>
  <c r="AS142" i="36"/>
  <c r="A141" i="36"/>
  <c r="D166" i="36"/>
  <c r="E166" i="36"/>
  <c r="F166" i="36"/>
  <c r="G166" i="36"/>
  <c r="H166" i="36"/>
  <c r="I166" i="36"/>
  <c r="J166" i="36"/>
  <c r="K166" i="36"/>
  <c r="L166" i="36"/>
  <c r="M166" i="36"/>
  <c r="N166" i="36"/>
  <c r="O166" i="36"/>
  <c r="P166" i="36"/>
  <c r="Q166" i="36"/>
  <c r="R166" i="36"/>
  <c r="S166" i="36"/>
  <c r="T166" i="36"/>
  <c r="U166" i="36"/>
  <c r="V166" i="36"/>
  <c r="W166" i="36"/>
  <c r="X166" i="36"/>
  <c r="Y166" i="36"/>
  <c r="Z166" i="36"/>
  <c r="AA166" i="36"/>
  <c r="AB166" i="36"/>
  <c r="AC166" i="36"/>
  <c r="AD166" i="36"/>
  <c r="AE166" i="36"/>
  <c r="AF166" i="36"/>
  <c r="AG166" i="36"/>
  <c r="AH166" i="36"/>
  <c r="AI166" i="36"/>
  <c r="AJ166" i="36"/>
  <c r="AK166" i="36"/>
  <c r="AL166" i="36"/>
  <c r="AM166" i="36"/>
  <c r="AN166" i="36"/>
  <c r="AO166" i="36"/>
  <c r="AP166" i="36"/>
  <c r="AQ166" i="36"/>
  <c r="AR166" i="36"/>
  <c r="AS166" i="36"/>
  <c r="A165" i="36"/>
  <c r="D178" i="36"/>
  <c r="E178" i="36"/>
  <c r="F178" i="36"/>
  <c r="G178" i="36"/>
  <c r="H178" i="36"/>
  <c r="I178" i="36"/>
  <c r="J178" i="36"/>
  <c r="K178" i="36"/>
  <c r="L178" i="36"/>
  <c r="M178" i="36"/>
  <c r="N178" i="36"/>
  <c r="O178" i="36"/>
  <c r="P178" i="36"/>
  <c r="Q178" i="36"/>
  <c r="R178" i="36"/>
  <c r="S178" i="36"/>
  <c r="T178" i="36"/>
  <c r="U178" i="36"/>
  <c r="V178" i="36"/>
  <c r="W178" i="36"/>
  <c r="X178" i="36"/>
  <c r="Y178" i="36"/>
  <c r="Z178" i="36"/>
  <c r="AA178" i="36"/>
  <c r="AB178" i="36"/>
  <c r="AC178" i="36"/>
  <c r="AD178" i="36"/>
  <c r="AE178" i="36"/>
  <c r="AF178" i="36"/>
  <c r="AG178" i="36"/>
  <c r="AH178" i="36"/>
  <c r="AI178" i="36"/>
  <c r="AJ178" i="36"/>
  <c r="AK178" i="36"/>
  <c r="AL178" i="36"/>
  <c r="AM178" i="36"/>
  <c r="AN178" i="36"/>
  <c r="AO178" i="36"/>
  <c r="AP178" i="36"/>
  <c r="AQ178" i="36"/>
  <c r="AR178" i="36"/>
  <c r="AS178" i="36"/>
  <c r="A177" i="36"/>
  <c r="D190" i="36"/>
  <c r="E190" i="36"/>
  <c r="F190" i="36"/>
  <c r="G190" i="36"/>
  <c r="H190" i="36"/>
  <c r="I190" i="36"/>
  <c r="J190" i="36"/>
  <c r="K190" i="36"/>
  <c r="L190" i="36"/>
  <c r="M190" i="36"/>
  <c r="N190" i="36"/>
  <c r="O190" i="36"/>
  <c r="P190" i="36"/>
  <c r="Q190" i="36"/>
  <c r="R190" i="36"/>
  <c r="S190" i="36"/>
  <c r="T190" i="36"/>
  <c r="U190" i="36"/>
  <c r="V190" i="36"/>
  <c r="W190" i="36"/>
  <c r="X190" i="36"/>
  <c r="Y190" i="36"/>
  <c r="Z190" i="36"/>
  <c r="AA190" i="36"/>
  <c r="AB190" i="36"/>
  <c r="AC190" i="36"/>
  <c r="AD190" i="36"/>
  <c r="AE190" i="36"/>
  <c r="AF190" i="36"/>
  <c r="AG190" i="36"/>
  <c r="AH190" i="36"/>
  <c r="AI190" i="36"/>
  <c r="AJ190" i="36"/>
  <c r="AK190" i="36"/>
  <c r="AL190" i="36"/>
  <c r="AM190" i="36"/>
  <c r="AN190" i="36"/>
  <c r="AO190" i="36"/>
  <c r="AP190" i="36"/>
  <c r="AQ190" i="36"/>
  <c r="AR190" i="36"/>
  <c r="AS190" i="36"/>
  <c r="A189" i="36"/>
  <c r="D202" i="36"/>
  <c r="E202" i="36"/>
  <c r="F202" i="36"/>
  <c r="G202" i="36"/>
  <c r="H202" i="36"/>
  <c r="I202" i="36"/>
  <c r="J202" i="36"/>
  <c r="K202" i="36"/>
  <c r="L202" i="36"/>
  <c r="M202" i="36"/>
  <c r="N202" i="36"/>
  <c r="O202" i="36"/>
  <c r="P202" i="36"/>
  <c r="Q202" i="36"/>
  <c r="R202" i="36"/>
  <c r="S202" i="36"/>
  <c r="T202" i="36"/>
  <c r="U202" i="36"/>
  <c r="V202" i="36"/>
  <c r="W202" i="36"/>
  <c r="X202" i="36"/>
  <c r="Y202" i="36"/>
  <c r="Z202" i="36"/>
  <c r="AA202" i="36"/>
  <c r="AB202" i="36"/>
  <c r="AC202" i="36"/>
  <c r="AD202" i="36"/>
  <c r="AE202" i="36"/>
  <c r="AF202" i="36"/>
  <c r="AG202" i="36"/>
  <c r="AH202" i="36"/>
  <c r="AI202" i="36"/>
  <c r="AJ202" i="36"/>
  <c r="AK202" i="36"/>
  <c r="AL202" i="36"/>
  <c r="AM202" i="36"/>
  <c r="AN202" i="36"/>
  <c r="AO202" i="36"/>
  <c r="AP202" i="36"/>
  <c r="AQ202" i="36"/>
  <c r="AR202" i="36"/>
  <c r="AS202" i="36"/>
  <c r="A201" i="36"/>
  <c r="D214" i="36"/>
  <c r="E214" i="36"/>
  <c r="F214" i="36"/>
  <c r="G214" i="36"/>
  <c r="H214" i="36"/>
  <c r="I214" i="36"/>
  <c r="J214" i="36"/>
  <c r="K214" i="36"/>
  <c r="L214" i="36"/>
  <c r="M214" i="36"/>
  <c r="N214" i="36"/>
  <c r="O214" i="36"/>
  <c r="P214" i="36"/>
  <c r="Q214" i="36"/>
  <c r="R214" i="36"/>
  <c r="S214" i="36"/>
  <c r="T214" i="36"/>
  <c r="U214" i="36"/>
  <c r="V214" i="36"/>
  <c r="W214" i="36"/>
  <c r="X214" i="36"/>
  <c r="Y214" i="36"/>
  <c r="Z214" i="36"/>
  <c r="AA214" i="36"/>
  <c r="AB214" i="36"/>
  <c r="AC214" i="36"/>
  <c r="AD214" i="36"/>
  <c r="AE214" i="36"/>
  <c r="AF214" i="36"/>
  <c r="AG214" i="36"/>
  <c r="AH214" i="36"/>
  <c r="AI214" i="36"/>
  <c r="AJ214" i="36"/>
  <c r="AK214" i="36"/>
  <c r="AL214" i="36"/>
  <c r="AM214" i="36"/>
  <c r="AN214" i="36"/>
  <c r="AO214" i="36"/>
  <c r="AP214" i="36"/>
  <c r="AQ214" i="36"/>
  <c r="AR214" i="36"/>
  <c r="AS214" i="36"/>
  <c r="A213" i="36"/>
  <c r="D226" i="36"/>
  <c r="E226" i="36"/>
  <c r="F226" i="36"/>
  <c r="G226" i="36"/>
  <c r="H226" i="36"/>
  <c r="I226" i="36"/>
  <c r="J226" i="36"/>
  <c r="K226" i="36"/>
  <c r="L226" i="36"/>
  <c r="M226" i="36"/>
  <c r="N226" i="36"/>
  <c r="O226" i="36"/>
  <c r="P226" i="36"/>
  <c r="Q226" i="36"/>
  <c r="R226" i="36"/>
  <c r="S226" i="36"/>
  <c r="T226" i="36"/>
  <c r="U226" i="36"/>
  <c r="V226" i="36"/>
  <c r="W226" i="36"/>
  <c r="X226" i="36"/>
  <c r="Y226" i="36"/>
  <c r="Z226" i="36"/>
  <c r="AA226" i="36"/>
  <c r="AB226" i="36"/>
  <c r="AC226" i="36"/>
  <c r="AD226" i="36"/>
  <c r="AE226" i="36"/>
  <c r="AF226" i="36"/>
  <c r="AG226" i="36"/>
  <c r="AH226" i="36"/>
  <c r="AI226" i="36"/>
  <c r="AJ226" i="36"/>
  <c r="AK226" i="36"/>
  <c r="AL226" i="36"/>
  <c r="AM226" i="36"/>
  <c r="AN226" i="36"/>
  <c r="AO226" i="36"/>
  <c r="AP226" i="36"/>
  <c r="AQ226" i="36"/>
  <c r="AR226" i="36"/>
  <c r="AS226" i="36"/>
  <c r="A225" i="36"/>
  <c r="D27" i="36"/>
  <c r="D34" i="36"/>
  <c r="E27" i="36"/>
  <c r="E34" i="36"/>
  <c r="F34" i="36"/>
  <c r="G27" i="36"/>
  <c r="G34" i="36"/>
  <c r="H27" i="36"/>
  <c r="H34" i="36"/>
  <c r="I34" i="36"/>
  <c r="J27" i="36"/>
  <c r="J34" i="36"/>
  <c r="K27" i="36"/>
  <c r="K34" i="36"/>
  <c r="L34" i="36"/>
  <c r="M27" i="36"/>
  <c r="M34" i="36"/>
  <c r="N27" i="36"/>
  <c r="N34" i="36"/>
  <c r="O27" i="36"/>
  <c r="O34" i="36"/>
  <c r="P34" i="36"/>
  <c r="Q27" i="36"/>
  <c r="Q34" i="36"/>
  <c r="R27" i="36"/>
  <c r="R34" i="36"/>
  <c r="S34" i="36"/>
  <c r="T27" i="36"/>
  <c r="T34" i="36"/>
  <c r="U27" i="36"/>
  <c r="U34" i="36"/>
  <c r="V27" i="36"/>
  <c r="V34" i="36"/>
  <c r="W34" i="36"/>
  <c r="X27" i="36"/>
  <c r="X34" i="36"/>
  <c r="Y27" i="36"/>
  <c r="Y34" i="36"/>
  <c r="Z34" i="36"/>
  <c r="AA27" i="36"/>
  <c r="AA34" i="36"/>
  <c r="AB27" i="36"/>
  <c r="AB34" i="36"/>
  <c r="AC27" i="36"/>
  <c r="AC34" i="36"/>
  <c r="AD34" i="36"/>
  <c r="AE27" i="36"/>
  <c r="AE34" i="36"/>
  <c r="AF27" i="36"/>
  <c r="AF34" i="36"/>
  <c r="AG34" i="36"/>
  <c r="AH27" i="36"/>
  <c r="AH34" i="36"/>
  <c r="AI27" i="36"/>
  <c r="AI34" i="36"/>
  <c r="AJ27" i="36"/>
  <c r="AJ34" i="36"/>
  <c r="AK27" i="36"/>
  <c r="AK34" i="36"/>
  <c r="AL27" i="36"/>
  <c r="AL34" i="36"/>
  <c r="AM27" i="36"/>
  <c r="AM34" i="36"/>
  <c r="AN27" i="36"/>
  <c r="AN34" i="36"/>
  <c r="AO27" i="36"/>
  <c r="AO34" i="36"/>
  <c r="AP27" i="36"/>
  <c r="AP34" i="36"/>
  <c r="AQ27" i="36"/>
  <c r="AQ34" i="36"/>
  <c r="AR27" i="36"/>
  <c r="AR34" i="36"/>
  <c r="AS27" i="36"/>
  <c r="AS34" i="36"/>
  <c r="A33" i="36"/>
  <c r="D22" i="36"/>
  <c r="E22" i="36"/>
  <c r="F22" i="36"/>
  <c r="G22" i="36"/>
  <c r="H22" i="36"/>
  <c r="I22" i="36"/>
  <c r="J22" i="36"/>
  <c r="K22" i="36"/>
  <c r="L22" i="36"/>
  <c r="M22" i="36"/>
  <c r="N22" i="36"/>
  <c r="O22" i="36"/>
  <c r="P22" i="36"/>
  <c r="Q22" i="36"/>
  <c r="R22" i="36"/>
  <c r="S22" i="36"/>
  <c r="T22" i="36"/>
  <c r="U22" i="36"/>
  <c r="V22" i="36"/>
  <c r="W22" i="36"/>
  <c r="X22" i="36"/>
  <c r="Y22" i="36"/>
  <c r="Z22" i="36"/>
  <c r="AA22" i="36"/>
  <c r="AB22" i="36"/>
  <c r="AC22" i="36"/>
  <c r="AD22" i="36"/>
  <c r="AE22" i="36"/>
  <c r="AF22" i="36"/>
  <c r="AG22" i="36"/>
  <c r="AH22" i="36"/>
  <c r="AI22" i="36"/>
  <c r="AJ22" i="36"/>
  <c r="AK22" i="36"/>
  <c r="AL22" i="36"/>
  <c r="AM22" i="36"/>
  <c r="AN22" i="36"/>
  <c r="AO22" i="36"/>
  <c r="AP22" i="36"/>
  <c r="AQ22" i="36"/>
  <c r="AR22" i="36"/>
  <c r="AS22" i="36"/>
  <c r="A21" i="36"/>
  <c r="D238" i="36"/>
  <c r="E238" i="36"/>
  <c r="F238" i="36"/>
  <c r="G238" i="36"/>
  <c r="H238" i="36"/>
  <c r="I238" i="36"/>
  <c r="J238" i="36"/>
  <c r="K238" i="36"/>
  <c r="L238" i="36"/>
  <c r="M238" i="36"/>
  <c r="N238" i="36"/>
  <c r="O238" i="36"/>
  <c r="P238" i="36"/>
  <c r="Q238" i="36"/>
  <c r="R238" i="36"/>
  <c r="S238" i="36"/>
  <c r="T238" i="36"/>
  <c r="U238" i="36"/>
  <c r="V238" i="36"/>
  <c r="W238" i="36"/>
  <c r="X238" i="36"/>
  <c r="Y238" i="36"/>
  <c r="Z238" i="36"/>
  <c r="AA238" i="36"/>
  <c r="AB238" i="36"/>
  <c r="AC238" i="36"/>
  <c r="AD238" i="36"/>
  <c r="AE238" i="36"/>
  <c r="AF238" i="36"/>
  <c r="AG238" i="36"/>
  <c r="AH238" i="36"/>
  <c r="AI238" i="36"/>
  <c r="AJ238" i="36"/>
  <c r="AK238" i="36"/>
  <c r="AL238" i="36"/>
  <c r="AM238" i="36"/>
  <c r="AN238" i="36"/>
  <c r="AO238" i="36"/>
  <c r="AP238" i="36"/>
  <c r="AQ238" i="36"/>
  <c r="AR238" i="36"/>
  <c r="AS238" i="36"/>
  <c r="A237" i="36"/>
  <c r="D250" i="36"/>
  <c r="E250" i="36"/>
  <c r="F250" i="36"/>
  <c r="G250" i="36"/>
  <c r="H250" i="36"/>
  <c r="I250" i="36"/>
  <c r="J250" i="36"/>
  <c r="K250" i="36"/>
  <c r="L250" i="36"/>
  <c r="M250" i="36"/>
  <c r="N250" i="36"/>
  <c r="O250" i="36"/>
  <c r="P250" i="36"/>
  <c r="Q250" i="36"/>
  <c r="R250" i="36"/>
  <c r="S250" i="36"/>
  <c r="T250" i="36"/>
  <c r="U250" i="36"/>
  <c r="V250" i="36"/>
  <c r="W250" i="36"/>
  <c r="X250" i="36"/>
  <c r="Y250" i="36"/>
  <c r="Z250" i="36"/>
  <c r="AA250" i="36"/>
  <c r="AB250" i="36"/>
  <c r="AC250" i="36"/>
  <c r="AD250" i="36"/>
  <c r="AE250" i="36"/>
  <c r="AF250" i="36"/>
  <c r="AG250" i="36"/>
  <c r="AH250" i="36"/>
  <c r="AI250" i="36"/>
  <c r="AJ250" i="36"/>
  <c r="AK250" i="36"/>
  <c r="AL250" i="36"/>
  <c r="AM250" i="36"/>
  <c r="AN250" i="36"/>
  <c r="AO250" i="36"/>
  <c r="AP250" i="36"/>
  <c r="AQ250" i="36"/>
  <c r="AR250" i="36"/>
  <c r="AS250" i="36"/>
  <c r="A249" i="36"/>
  <c r="A1" i="36"/>
  <c r="D10" i="38"/>
  <c r="E10" i="38"/>
  <c r="F10" i="38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AJ10" i="38"/>
  <c r="AK10" i="38"/>
  <c r="AL10" i="38"/>
  <c r="AM10" i="38"/>
  <c r="AN10" i="38"/>
  <c r="AO10" i="38"/>
  <c r="A9" i="38"/>
  <c r="D46" i="38"/>
  <c r="E46" i="38"/>
  <c r="F46" i="38"/>
  <c r="G46" i="38"/>
  <c r="H46" i="38"/>
  <c r="I46" i="38"/>
  <c r="J46" i="38"/>
  <c r="K46" i="38"/>
  <c r="L46" i="38"/>
  <c r="M46" i="38"/>
  <c r="N46" i="38"/>
  <c r="O46" i="38"/>
  <c r="P46" i="38"/>
  <c r="Q46" i="38"/>
  <c r="R46" i="38"/>
  <c r="S46" i="38"/>
  <c r="T46" i="38"/>
  <c r="U46" i="38"/>
  <c r="V46" i="38"/>
  <c r="W46" i="38"/>
  <c r="X46" i="38"/>
  <c r="Y46" i="38"/>
  <c r="Z46" i="38"/>
  <c r="AA46" i="38"/>
  <c r="AB46" i="38"/>
  <c r="AC46" i="38"/>
  <c r="AD46" i="38"/>
  <c r="AE46" i="38"/>
  <c r="AF46" i="38"/>
  <c r="AG46" i="38"/>
  <c r="AH46" i="38"/>
  <c r="AI46" i="38"/>
  <c r="AJ46" i="38"/>
  <c r="AK46" i="38"/>
  <c r="AL46" i="38"/>
  <c r="AM46" i="38"/>
  <c r="AN46" i="38"/>
  <c r="AO46" i="38"/>
  <c r="AP46" i="38"/>
  <c r="AQ46" i="38"/>
  <c r="AR46" i="38"/>
  <c r="AS46" i="38"/>
  <c r="A45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AL58" i="38"/>
  <c r="AM58" i="38"/>
  <c r="AN58" i="38"/>
  <c r="AO58" i="38"/>
  <c r="AP58" i="38"/>
  <c r="AQ58" i="38"/>
  <c r="AR58" i="38"/>
  <c r="AS58" i="38"/>
  <c r="A57" i="38"/>
  <c r="D70" i="38"/>
  <c r="E70" i="38"/>
  <c r="F70" i="38"/>
  <c r="G70" i="38"/>
  <c r="H70" i="38"/>
  <c r="I70" i="38"/>
  <c r="J70" i="38"/>
  <c r="K70" i="38"/>
  <c r="L70" i="38"/>
  <c r="M70" i="38"/>
  <c r="N70" i="38"/>
  <c r="O70" i="38"/>
  <c r="P70" i="38"/>
  <c r="Q70" i="38"/>
  <c r="R70" i="38"/>
  <c r="S70" i="38"/>
  <c r="T70" i="38"/>
  <c r="U70" i="38"/>
  <c r="V70" i="38"/>
  <c r="W70" i="38"/>
  <c r="X70" i="38"/>
  <c r="Y70" i="38"/>
  <c r="Z70" i="38"/>
  <c r="AA70" i="38"/>
  <c r="AB70" i="38"/>
  <c r="AC70" i="38"/>
  <c r="AD70" i="38"/>
  <c r="AE70" i="38"/>
  <c r="AF70" i="38"/>
  <c r="AG70" i="38"/>
  <c r="AH70" i="38"/>
  <c r="AI70" i="38"/>
  <c r="AJ70" i="38"/>
  <c r="AK70" i="38"/>
  <c r="AL70" i="38"/>
  <c r="AM70" i="38"/>
  <c r="AN70" i="38"/>
  <c r="AO70" i="38"/>
  <c r="AP70" i="38"/>
  <c r="AQ70" i="38"/>
  <c r="AR70" i="38"/>
  <c r="AS70" i="38"/>
  <c r="A69" i="38"/>
  <c r="D82" i="38"/>
  <c r="E82" i="38"/>
  <c r="F82" i="38"/>
  <c r="G82" i="38"/>
  <c r="H82" i="38"/>
  <c r="I82" i="38"/>
  <c r="J82" i="38"/>
  <c r="K82" i="38"/>
  <c r="L82" i="38"/>
  <c r="M82" i="38"/>
  <c r="N82" i="38"/>
  <c r="O82" i="38"/>
  <c r="P82" i="38"/>
  <c r="Q82" i="38"/>
  <c r="R82" i="38"/>
  <c r="S82" i="38"/>
  <c r="T82" i="38"/>
  <c r="U82" i="38"/>
  <c r="V82" i="38"/>
  <c r="W82" i="38"/>
  <c r="X82" i="38"/>
  <c r="Y82" i="38"/>
  <c r="Z82" i="38"/>
  <c r="AA82" i="38"/>
  <c r="AB82" i="38"/>
  <c r="AC82" i="38"/>
  <c r="AD82" i="38"/>
  <c r="AE82" i="38"/>
  <c r="AF82" i="38"/>
  <c r="AG82" i="38"/>
  <c r="AH82" i="38"/>
  <c r="AI82" i="38"/>
  <c r="AJ82" i="38"/>
  <c r="AK82" i="38"/>
  <c r="AL82" i="38"/>
  <c r="AM82" i="38"/>
  <c r="AN82" i="38"/>
  <c r="AO82" i="38"/>
  <c r="AP82" i="38"/>
  <c r="AQ82" i="38"/>
  <c r="AR82" i="38"/>
  <c r="AS82" i="38"/>
  <c r="A81" i="38"/>
  <c r="D94" i="38"/>
  <c r="E94" i="38"/>
  <c r="F94" i="38"/>
  <c r="G94" i="38"/>
  <c r="H94" i="38"/>
  <c r="I94" i="38"/>
  <c r="J94" i="38"/>
  <c r="K94" i="38"/>
  <c r="L94" i="38"/>
  <c r="M94" i="38"/>
  <c r="N94" i="38"/>
  <c r="O94" i="38"/>
  <c r="P94" i="38"/>
  <c r="Q94" i="38"/>
  <c r="R94" i="38"/>
  <c r="S94" i="38"/>
  <c r="T94" i="38"/>
  <c r="U94" i="38"/>
  <c r="V94" i="38"/>
  <c r="W94" i="38"/>
  <c r="X94" i="38"/>
  <c r="Y94" i="38"/>
  <c r="AA94" i="38"/>
  <c r="AB94" i="38"/>
  <c r="AC94" i="38"/>
  <c r="AD94" i="38"/>
  <c r="AE94" i="38"/>
  <c r="AF94" i="38"/>
  <c r="AG94" i="38"/>
  <c r="AH94" i="38"/>
  <c r="AI94" i="38"/>
  <c r="AJ94" i="38"/>
  <c r="AK94" i="38"/>
  <c r="AL94" i="38"/>
  <c r="AM94" i="38"/>
  <c r="AN94" i="38"/>
  <c r="AO94" i="38"/>
  <c r="AP94" i="38"/>
  <c r="AQ94" i="38"/>
  <c r="AR94" i="38"/>
  <c r="AS94" i="38"/>
  <c r="A93" i="38"/>
  <c r="D106" i="38"/>
  <c r="E106" i="38"/>
  <c r="F106" i="38"/>
  <c r="G106" i="38"/>
  <c r="H106" i="38"/>
  <c r="I106" i="38"/>
  <c r="J106" i="38"/>
  <c r="K106" i="38"/>
  <c r="L106" i="38"/>
  <c r="M106" i="38"/>
  <c r="N106" i="38"/>
  <c r="O106" i="38"/>
  <c r="Q106" i="38"/>
  <c r="R106" i="38"/>
  <c r="S106" i="38"/>
  <c r="T106" i="38"/>
  <c r="U106" i="38"/>
  <c r="V106" i="38"/>
  <c r="W106" i="38"/>
  <c r="X106" i="38"/>
  <c r="Y106" i="38"/>
  <c r="Z106" i="38"/>
  <c r="AA106" i="38"/>
  <c r="AB106" i="38"/>
  <c r="AC106" i="38"/>
  <c r="AD106" i="38"/>
  <c r="AE106" i="38"/>
  <c r="AF106" i="38"/>
  <c r="AG106" i="38"/>
  <c r="AH106" i="38"/>
  <c r="AI106" i="38"/>
  <c r="AJ106" i="38"/>
  <c r="AK106" i="38"/>
  <c r="AL106" i="38"/>
  <c r="AM106" i="38"/>
  <c r="AN106" i="38"/>
  <c r="AO106" i="38"/>
  <c r="AP106" i="38"/>
  <c r="AQ106" i="38"/>
  <c r="AR106" i="38"/>
  <c r="AS106" i="38"/>
  <c r="A105" i="38"/>
  <c r="D118" i="38"/>
  <c r="E118" i="38"/>
  <c r="F118" i="38"/>
  <c r="G118" i="38"/>
  <c r="H118" i="38"/>
  <c r="I118" i="38"/>
  <c r="J118" i="38"/>
  <c r="K118" i="38"/>
  <c r="L118" i="38"/>
  <c r="M118" i="38"/>
  <c r="N118" i="38"/>
  <c r="O118" i="38"/>
  <c r="P118" i="38"/>
  <c r="Q118" i="38"/>
  <c r="R118" i="38"/>
  <c r="S118" i="38"/>
  <c r="T118" i="38"/>
  <c r="U118" i="38"/>
  <c r="V118" i="38"/>
  <c r="W118" i="38"/>
  <c r="X118" i="38"/>
  <c r="Y118" i="38"/>
  <c r="Z118" i="38"/>
  <c r="AA118" i="38"/>
  <c r="AB118" i="38"/>
  <c r="AC118" i="38"/>
  <c r="AD118" i="38"/>
  <c r="AE118" i="38"/>
  <c r="AF118" i="38"/>
  <c r="AG118" i="38"/>
  <c r="AH118" i="38"/>
  <c r="AI118" i="38"/>
  <c r="AJ118" i="38"/>
  <c r="AK118" i="38"/>
  <c r="AL118" i="38"/>
  <c r="AM118" i="38"/>
  <c r="AN118" i="38"/>
  <c r="AO118" i="38"/>
  <c r="AP118" i="38"/>
  <c r="AQ118" i="38"/>
  <c r="AR118" i="38"/>
  <c r="AS118" i="38"/>
  <c r="A117" i="38"/>
  <c r="D130" i="38"/>
  <c r="E130" i="38"/>
  <c r="F130" i="38"/>
  <c r="G130" i="38"/>
  <c r="H130" i="38"/>
  <c r="I130" i="38"/>
  <c r="J130" i="38"/>
  <c r="K130" i="38"/>
  <c r="L130" i="38"/>
  <c r="M130" i="38"/>
  <c r="N130" i="38"/>
  <c r="O130" i="38"/>
  <c r="P130" i="38"/>
  <c r="Q130" i="38"/>
  <c r="R130" i="38"/>
  <c r="S130" i="38"/>
  <c r="T130" i="38"/>
  <c r="U130" i="38"/>
  <c r="V130" i="38"/>
  <c r="W130" i="38"/>
  <c r="X130" i="38"/>
  <c r="Y130" i="38"/>
  <c r="Z130" i="38"/>
  <c r="AA130" i="38"/>
  <c r="AB130" i="38"/>
  <c r="AC130" i="38"/>
  <c r="AD130" i="38"/>
  <c r="AE130" i="38"/>
  <c r="AF130" i="38"/>
  <c r="AG130" i="38"/>
  <c r="AH130" i="38"/>
  <c r="AI130" i="38"/>
  <c r="AJ130" i="38"/>
  <c r="AK130" i="38"/>
  <c r="AL130" i="38"/>
  <c r="AM130" i="38"/>
  <c r="AN130" i="38"/>
  <c r="AO130" i="38"/>
  <c r="AP130" i="38"/>
  <c r="AQ130" i="38"/>
  <c r="AR130" i="38"/>
  <c r="AS130" i="38"/>
  <c r="A129" i="38"/>
  <c r="D154" i="38"/>
  <c r="E154" i="38"/>
  <c r="F154" i="38"/>
  <c r="G154" i="38"/>
  <c r="H154" i="38"/>
  <c r="I154" i="38"/>
  <c r="A153" i="38"/>
  <c r="D142" i="38"/>
  <c r="E142" i="38"/>
  <c r="F142" i="38"/>
  <c r="G142" i="38"/>
  <c r="H142" i="38"/>
  <c r="I142" i="38"/>
  <c r="J142" i="38"/>
  <c r="K142" i="38"/>
  <c r="L142" i="38"/>
  <c r="M142" i="38"/>
  <c r="N142" i="38"/>
  <c r="O142" i="38"/>
  <c r="P142" i="38"/>
  <c r="Q142" i="38"/>
  <c r="R142" i="38"/>
  <c r="S142" i="38"/>
  <c r="T142" i="38"/>
  <c r="U142" i="38"/>
  <c r="V142" i="38"/>
  <c r="W142" i="38"/>
  <c r="X142" i="38"/>
  <c r="Y142" i="38"/>
  <c r="Z142" i="38"/>
  <c r="AA142" i="38"/>
  <c r="AB142" i="38"/>
  <c r="AC142" i="38"/>
  <c r="AD142" i="38"/>
  <c r="AE142" i="38"/>
  <c r="AF142" i="38"/>
  <c r="AG142" i="38"/>
  <c r="AH142" i="38"/>
  <c r="AI142" i="38"/>
  <c r="AJ142" i="38"/>
  <c r="AK142" i="38"/>
  <c r="AL142" i="38"/>
  <c r="AM142" i="38"/>
  <c r="AN142" i="38"/>
  <c r="AO142" i="38"/>
  <c r="AP142" i="38"/>
  <c r="AQ142" i="38"/>
  <c r="AR142" i="38"/>
  <c r="AS142" i="38"/>
  <c r="A141" i="38"/>
  <c r="D166" i="38"/>
  <c r="E166" i="38"/>
  <c r="F166" i="38"/>
  <c r="G166" i="38"/>
  <c r="H166" i="38"/>
  <c r="I166" i="38"/>
  <c r="J166" i="38"/>
  <c r="K166" i="38"/>
  <c r="L166" i="38"/>
  <c r="M166" i="38"/>
  <c r="N166" i="38"/>
  <c r="O166" i="38"/>
  <c r="P166" i="38"/>
  <c r="Q166" i="38"/>
  <c r="R166" i="38"/>
  <c r="S166" i="38"/>
  <c r="T166" i="38"/>
  <c r="U166" i="38"/>
  <c r="V166" i="38"/>
  <c r="W166" i="38"/>
  <c r="X166" i="38"/>
  <c r="Y166" i="38"/>
  <c r="Z166" i="38"/>
  <c r="AA166" i="38"/>
  <c r="AB166" i="38"/>
  <c r="AC166" i="38"/>
  <c r="AD166" i="38"/>
  <c r="AE166" i="38"/>
  <c r="AF166" i="38"/>
  <c r="AG166" i="38"/>
  <c r="AH166" i="38"/>
  <c r="AI166" i="38"/>
  <c r="AJ166" i="38"/>
  <c r="AK166" i="38"/>
  <c r="AL166" i="38"/>
  <c r="AM166" i="38"/>
  <c r="AN166" i="38"/>
  <c r="AO166" i="38"/>
  <c r="AP166" i="38"/>
  <c r="AQ166" i="38"/>
  <c r="AR166" i="38"/>
  <c r="AS166" i="38"/>
  <c r="A165" i="38"/>
  <c r="D178" i="38"/>
  <c r="E178" i="38"/>
  <c r="F178" i="38"/>
  <c r="G178" i="38"/>
  <c r="H178" i="38"/>
  <c r="I178" i="38"/>
  <c r="J178" i="38"/>
  <c r="K178" i="38"/>
  <c r="L178" i="38"/>
  <c r="M178" i="38"/>
  <c r="N178" i="38"/>
  <c r="O178" i="38"/>
  <c r="P178" i="38"/>
  <c r="Q178" i="38"/>
  <c r="R178" i="38"/>
  <c r="S178" i="38"/>
  <c r="T178" i="38"/>
  <c r="U178" i="38"/>
  <c r="V178" i="38"/>
  <c r="W178" i="38"/>
  <c r="X178" i="38"/>
  <c r="Y178" i="38"/>
  <c r="Z178" i="38"/>
  <c r="AA178" i="38"/>
  <c r="AB178" i="38"/>
  <c r="AC178" i="38"/>
  <c r="AD178" i="38"/>
  <c r="AE178" i="38"/>
  <c r="AF178" i="38"/>
  <c r="AG178" i="38"/>
  <c r="AH178" i="38"/>
  <c r="AI178" i="38"/>
  <c r="AJ178" i="38"/>
  <c r="AK178" i="38"/>
  <c r="AL178" i="38"/>
  <c r="AM178" i="38"/>
  <c r="AN178" i="38"/>
  <c r="AO178" i="38"/>
  <c r="AP178" i="38"/>
  <c r="AQ178" i="38"/>
  <c r="AR178" i="38"/>
  <c r="AS178" i="38"/>
  <c r="A177" i="38"/>
  <c r="D190" i="38"/>
  <c r="E190" i="38"/>
  <c r="F190" i="38"/>
  <c r="G190" i="38"/>
  <c r="H190" i="38"/>
  <c r="I190" i="38"/>
  <c r="J190" i="38"/>
  <c r="K190" i="38"/>
  <c r="L190" i="38"/>
  <c r="M190" i="38"/>
  <c r="N190" i="38"/>
  <c r="O190" i="38"/>
  <c r="P190" i="38"/>
  <c r="Q190" i="38"/>
  <c r="R190" i="38"/>
  <c r="S190" i="38"/>
  <c r="T190" i="38"/>
  <c r="U190" i="38"/>
  <c r="V190" i="38"/>
  <c r="W190" i="38"/>
  <c r="X190" i="38"/>
  <c r="Y190" i="38"/>
  <c r="Z190" i="38"/>
  <c r="AA190" i="38"/>
  <c r="AB190" i="38"/>
  <c r="AC190" i="38"/>
  <c r="AD190" i="38"/>
  <c r="AE190" i="38"/>
  <c r="AF190" i="38"/>
  <c r="AG190" i="38"/>
  <c r="AH190" i="38"/>
  <c r="AI190" i="38"/>
  <c r="AJ190" i="38"/>
  <c r="AK190" i="38"/>
  <c r="AL190" i="38"/>
  <c r="AM190" i="38"/>
  <c r="AN190" i="38"/>
  <c r="AO190" i="38"/>
  <c r="AP190" i="38"/>
  <c r="AQ190" i="38"/>
  <c r="AR190" i="38"/>
  <c r="AS190" i="38"/>
  <c r="A189" i="38"/>
  <c r="D202" i="38"/>
  <c r="E202" i="38"/>
  <c r="F202" i="38"/>
  <c r="G202" i="38"/>
  <c r="H202" i="38"/>
  <c r="I202" i="38"/>
  <c r="J202" i="38"/>
  <c r="K202" i="38"/>
  <c r="L202" i="38"/>
  <c r="M202" i="38"/>
  <c r="N202" i="38"/>
  <c r="O202" i="38"/>
  <c r="P202" i="38"/>
  <c r="Q202" i="38"/>
  <c r="R202" i="38"/>
  <c r="S202" i="38"/>
  <c r="T202" i="38"/>
  <c r="U202" i="38"/>
  <c r="V202" i="38"/>
  <c r="W202" i="38"/>
  <c r="X202" i="38"/>
  <c r="Y202" i="38"/>
  <c r="Z202" i="38"/>
  <c r="AA202" i="38"/>
  <c r="AB202" i="38"/>
  <c r="AC202" i="38"/>
  <c r="AD202" i="38"/>
  <c r="AE202" i="38"/>
  <c r="AF202" i="38"/>
  <c r="AG202" i="38"/>
  <c r="AH202" i="38"/>
  <c r="AI202" i="38"/>
  <c r="AJ202" i="38"/>
  <c r="AK202" i="38"/>
  <c r="AL202" i="38"/>
  <c r="AM202" i="38"/>
  <c r="AN202" i="38"/>
  <c r="AO202" i="38"/>
  <c r="AP202" i="38"/>
  <c r="AQ202" i="38"/>
  <c r="AR202" i="38"/>
  <c r="AS202" i="38"/>
  <c r="A201" i="38"/>
  <c r="D214" i="38"/>
  <c r="E214" i="38"/>
  <c r="F214" i="38"/>
  <c r="G214" i="38"/>
  <c r="H214" i="38"/>
  <c r="I214" i="38"/>
  <c r="J214" i="38"/>
  <c r="K214" i="38"/>
  <c r="L214" i="38"/>
  <c r="M214" i="38"/>
  <c r="N214" i="38"/>
  <c r="O214" i="38"/>
  <c r="P214" i="38"/>
  <c r="Q214" i="38"/>
  <c r="R214" i="38"/>
  <c r="S214" i="38"/>
  <c r="T214" i="38"/>
  <c r="U214" i="38"/>
  <c r="V214" i="38"/>
  <c r="W214" i="38"/>
  <c r="X214" i="38"/>
  <c r="Y214" i="38"/>
  <c r="Z214" i="38"/>
  <c r="AA214" i="38"/>
  <c r="AB214" i="38"/>
  <c r="AC214" i="38"/>
  <c r="AD214" i="38"/>
  <c r="AE214" i="38"/>
  <c r="AF214" i="38"/>
  <c r="AG214" i="38"/>
  <c r="AH214" i="38"/>
  <c r="AI214" i="38"/>
  <c r="AJ214" i="38"/>
  <c r="AK214" i="38"/>
  <c r="AL214" i="38"/>
  <c r="AM214" i="38"/>
  <c r="AN214" i="38"/>
  <c r="AO214" i="38"/>
  <c r="AP214" i="38"/>
  <c r="AQ214" i="38"/>
  <c r="AR214" i="38"/>
  <c r="AS214" i="38"/>
  <c r="A213" i="38"/>
  <c r="D226" i="38"/>
  <c r="E226" i="38"/>
  <c r="F226" i="38"/>
  <c r="G226" i="38"/>
  <c r="H226" i="38"/>
  <c r="I226" i="38"/>
  <c r="J226" i="38"/>
  <c r="K226" i="38"/>
  <c r="L226" i="38"/>
  <c r="M226" i="38"/>
  <c r="N226" i="38"/>
  <c r="O226" i="38"/>
  <c r="P226" i="38"/>
  <c r="Q226" i="38"/>
  <c r="R226" i="38"/>
  <c r="S226" i="38"/>
  <c r="T226" i="38"/>
  <c r="U226" i="38"/>
  <c r="V226" i="38"/>
  <c r="W226" i="38"/>
  <c r="X226" i="38"/>
  <c r="Y226" i="38"/>
  <c r="Z226" i="38"/>
  <c r="AA226" i="38"/>
  <c r="AB226" i="38"/>
  <c r="AC226" i="38"/>
  <c r="AD226" i="38"/>
  <c r="AE226" i="38"/>
  <c r="AF226" i="38"/>
  <c r="AG226" i="38"/>
  <c r="AH226" i="38"/>
  <c r="AI226" i="38"/>
  <c r="AJ226" i="38"/>
  <c r="AK226" i="38"/>
  <c r="AL226" i="38"/>
  <c r="AM226" i="38"/>
  <c r="AN226" i="38"/>
  <c r="AO226" i="38"/>
  <c r="AP226" i="38"/>
  <c r="AQ226" i="38"/>
  <c r="AR226" i="38"/>
  <c r="AS226" i="38"/>
  <c r="A225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T34" i="38"/>
  <c r="U34" i="38"/>
  <c r="V34" i="38"/>
  <c r="W34" i="38"/>
  <c r="X34" i="38"/>
  <c r="Y34" i="38"/>
  <c r="Z34" i="38"/>
  <c r="AA34" i="38"/>
  <c r="AB34" i="38"/>
  <c r="AC34" i="38"/>
  <c r="AD34" i="38"/>
  <c r="AE34" i="38"/>
  <c r="AF34" i="38"/>
  <c r="AG34" i="38"/>
  <c r="AH34" i="38"/>
  <c r="AI34" i="38"/>
  <c r="AJ34" i="38"/>
  <c r="AK34" i="38"/>
  <c r="AL34" i="38"/>
  <c r="AM34" i="38"/>
  <c r="AN34" i="38"/>
  <c r="AO34" i="38"/>
  <c r="AP34" i="38"/>
  <c r="AQ34" i="38"/>
  <c r="AR34" i="38"/>
  <c r="AS34" i="38"/>
  <c r="A33" i="38"/>
  <c r="D22" i="38"/>
  <c r="E22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U22" i="38"/>
  <c r="V22" i="38"/>
  <c r="W22" i="38"/>
  <c r="X22" i="38"/>
  <c r="Y22" i="38"/>
  <c r="Z22" i="38"/>
  <c r="AA22" i="38"/>
  <c r="AB22" i="38"/>
  <c r="AC22" i="38"/>
  <c r="AD22" i="38"/>
  <c r="AE22" i="38"/>
  <c r="AF22" i="38"/>
  <c r="AG22" i="38"/>
  <c r="AH22" i="38"/>
  <c r="AI22" i="38"/>
  <c r="AJ22" i="38"/>
  <c r="AK22" i="38"/>
  <c r="AL22" i="38"/>
  <c r="AM22" i="38"/>
  <c r="AN22" i="38"/>
  <c r="AO22" i="38"/>
  <c r="AP22" i="38"/>
  <c r="AQ22" i="38"/>
  <c r="AR22" i="38"/>
  <c r="AS22" i="38"/>
  <c r="A21" i="38"/>
  <c r="D238" i="38"/>
  <c r="E238" i="38"/>
  <c r="F238" i="38"/>
  <c r="G238" i="38"/>
  <c r="H238" i="38"/>
  <c r="I238" i="38"/>
  <c r="J238" i="38"/>
  <c r="K238" i="38"/>
  <c r="L238" i="38"/>
  <c r="M238" i="38"/>
  <c r="N238" i="38"/>
  <c r="O238" i="38"/>
  <c r="P238" i="38"/>
  <c r="Q238" i="38"/>
  <c r="R238" i="38"/>
  <c r="S238" i="38"/>
  <c r="T238" i="38"/>
  <c r="U238" i="38"/>
  <c r="V238" i="38"/>
  <c r="W238" i="38"/>
  <c r="X238" i="38"/>
  <c r="Y238" i="38"/>
  <c r="Z238" i="38"/>
  <c r="AA238" i="38"/>
  <c r="AB238" i="38"/>
  <c r="AC238" i="38"/>
  <c r="AD238" i="38"/>
  <c r="AE238" i="38"/>
  <c r="AF238" i="38"/>
  <c r="AG238" i="38"/>
  <c r="AH238" i="38"/>
  <c r="AI238" i="38"/>
  <c r="AJ238" i="38"/>
  <c r="AK238" i="38"/>
  <c r="AL238" i="38"/>
  <c r="AM238" i="38"/>
  <c r="AN238" i="38"/>
  <c r="AO238" i="38"/>
  <c r="AP238" i="38"/>
  <c r="AQ238" i="38"/>
  <c r="AR238" i="38"/>
  <c r="AS238" i="38"/>
  <c r="A237" i="38"/>
  <c r="D250" i="38"/>
  <c r="E250" i="38"/>
  <c r="F250" i="38"/>
  <c r="G250" i="38"/>
  <c r="H250" i="38"/>
  <c r="I250" i="38"/>
  <c r="J250" i="38"/>
  <c r="K250" i="38"/>
  <c r="L250" i="38"/>
  <c r="M250" i="38"/>
  <c r="N250" i="38"/>
  <c r="O250" i="38"/>
  <c r="P250" i="38"/>
  <c r="Q250" i="38"/>
  <c r="R250" i="38"/>
  <c r="S250" i="38"/>
  <c r="T250" i="38"/>
  <c r="U250" i="38"/>
  <c r="V250" i="38"/>
  <c r="W250" i="38"/>
  <c r="X250" i="38"/>
  <c r="Y250" i="38"/>
  <c r="Z250" i="38"/>
  <c r="AA250" i="38"/>
  <c r="AB250" i="38"/>
  <c r="AC250" i="38"/>
  <c r="AD250" i="38"/>
  <c r="AE250" i="38"/>
  <c r="AF250" i="38"/>
  <c r="AG250" i="38"/>
  <c r="AH250" i="38"/>
  <c r="AI250" i="38"/>
  <c r="AJ250" i="38"/>
  <c r="AK250" i="38"/>
  <c r="AL250" i="38"/>
  <c r="AM250" i="38"/>
  <c r="AN250" i="38"/>
  <c r="AO250" i="38"/>
  <c r="AP250" i="38"/>
  <c r="AQ250" i="38"/>
  <c r="AR250" i="38"/>
  <c r="AS250" i="38"/>
  <c r="A249" i="38"/>
  <c r="A1" i="38"/>
  <c r="D10" i="39"/>
  <c r="E10" i="39"/>
  <c r="F10" i="39"/>
  <c r="G10" i="39"/>
  <c r="H10" i="39"/>
  <c r="I10" i="39"/>
  <c r="J10" i="39"/>
  <c r="K10" i="39"/>
  <c r="L10" i="39"/>
  <c r="M10" i="39"/>
  <c r="N10" i="39"/>
  <c r="O10" i="39"/>
  <c r="P10" i="39"/>
  <c r="Q10" i="39"/>
  <c r="R10" i="39"/>
  <c r="S10" i="39"/>
  <c r="T10" i="39"/>
  <c r="U10" i="39"/>
  <c r="V10" i="39"/>
  <c r="W10" i="39"/>
  <c r="X10" i="39"/>
  <c r="Y10" i="39"/>
  <c r="Z10" i="39"/>
  <c r="AA10" i="39"/>
  <c r="AB10" i="39"/>
  <c r="AC10" i="39"/>
  <c r="AD10" i="39"/>
  <c r="AE10" i="39"/>
  <c r="AF10" i="39"/>
  <c r="AG10" i="39"/>
  <c r="AH10" i="39"/>
  <c r="AI10" i="39"/>
  <c r="AJ10" i="39"/>
  <c r="AK10" i="39"/>
  <c r="AL10" i="39"/>
  <c r="AM10" i="39"/>
  <c r="AN10" i="39"/>
  <c r="A9" i="39"/>
  <c r="D46" i="39"/>
  <c r="E46" i="39"/>
  <c r="F46" i="39"/>
  <c r="G46" i="39"/>
  <c r="H46" i="39"/>
  <c r="I46" i="39"/>
  <c r="J46" i="39"/>
  <c r="K46" i="39"/>
  <c r="L46" i="39"/>
  <c r="M46" i="39"/>
  <c r="N46" i="39"/>
  <c r="O46" i="39"/>
  <c r="P46" i="39"/>
  <c r="Q46" i="39"/>
  <c r="R46" i="39"/>
  <c r="S46" i="39"/>
  <c r="T46" i="39"/>
  <c r="U46" i="39"/>
  <c r="V46" i="39"/>
  <c r="W46" i="39"/>
  <c r="X46" i="39"/>
  <c r="Y46" i="39"/>
  <c r="Z46" i="39"/>
  <c r="AA46" i="39"/>
  <c r="AB46" i="39"/>
  <c r="AC46" i="39"/>
  <c r="AD46" i="39"/>
  <c r="AE46" i="39"/>
  <c r="AF46" i="39"/>
  <c r="AG46" i="39"/>
  <c r="AH46" i="39"/>
  <c r="AI46" i="39"/>
  <c r="AJ46" i="39"/>
  <c r="AK46" i="39"/>
  <c r="AL46" i="39"/>
  <c r="AM46" i="39"/>
  <c r="AN46" i="39"/>
  <c r="AO46" i="39"/>
  <c r="AP46" i="39"/>
  <c r="AQ46" i="39"/>
  <c r="AR46" i="39"/>
  <c r="AS46" i="39"/>
  <c r="A45" i="39"/>
  <c r="D58" i="39"/>
  <c r="E58" i="39"/>
  <c r="F58" i="39"/>
  <c r="G58" i="39"/>
  <c r="H58" i="39"/>
  <c r="I58" i="39"/>
  <c r="J58" i="39"/>
  <c r="K58" i="39"/>
  <c r="L58" i="39"/>
  <c r="M58" i="39"/>
  <c r="N58" i="39"/>
  <c r="O58" i="39"/>
  <c r="P58" i="39"/>
  <c r="Q58" i="39"/>
  <c r="R58" i="39"/>
  <c r="S58" i="39"/>
  <c r="T58" i="39"/>
  <c r="U58" i="39"/>
  <c r="V58" i="39"/>
  <c r="W58" i="39"/>
  <c r="X58" i="39"/>
  <c r="Y58" i="39"/>
  <c r="Z58" i="39"/>
  <c r="AA58" i="39"/>
  <c r="AB58" i="39"/>
  <c r="AC58" i="39"/>
  <c r="AD58" i="39"/>
  <c r="AE58" i="39"/>
  <c r="AF58" i="39"/>
  <c r="AG58" i="39"/>
  <c r="AH58" i="39"/>
  <c r="AI58" i="39"/>
  <c r="AJ58" i="39"/>
  <c r="AK58" i="39"/>
  <c r="AL58" i="39"/>
  <c r="AM58" i="39"/>
  <c r="AN58" i="39"/>
  <c r="AO58" i="39"/>
  <c r="AP58" i="39"/>
  <c r="AQ58" i="39"/>
  <c r="AR58" i="39"/>
  <c r="AS58" i="39"/>
  <c r="A57" i="39"/>
  <c r="D70" i="39"/>
  <c r="E70" i="39"/>
  <c r="F70" i="39"/>
  <c r="G70" i="39"/>
  <c r="H70" i="39"/>
  <c r="I70" i="39"/>
  <c r="J70" i="39"/>
  <c r="K70" i="39"/>
  <c r="M70" i="39"/>
  <c r="N70" i="39"/>
  <c r="O70" i="39"/>
  <c r="P70" i="39"/>
  <c r="Q70" i="39"/>
  <c r="R70" i="39"/>
  <c r="S70" i="39"/>
  <c r="T70" i="39"/>
  <c r="U70" i="39"/>
  <c r="V70" i="39"/>
  <c r="W70" i="39"/>
  <c r="X70" i="39"/>
  <c r="Y70" i="39"/>
  <c r="Z70" i="39"/>
  <c r="AA70" i="39"/>
  <c r="AB70" i="39"/>
  <c r="AC70" i="39"/>
  <c r="AD70" i="39"/>
  <c r="AE70" i="39"/>
  <c r="AF70" i="39"/>
  <c r="AG70" i="39"/>
  <c r="AH70" i="39"/>
  <c r="AI70" i="39"/>
  <c r="AJ70" i="39"/>
  <c r="AK70" i="39"/>
  <c r="AL70" i="39"/>
  <c r="AM70" i="39"/>
  <c r="AN70" i="39"/>
  <c r="AO70" i="39"/>
  <c r="AP70" i="39"/>
  <c r="AQ70" i="39"/>
  <c r="AR70" i="39"/>
  <c r="AS70" i="39"/>
  <c r="A69" i="39"/>
  <c r="D82" i="39"/>
  <c r="E82" i="39"/>
  <c r="F82" i="39"/>
  <c r="G82" i="39"/>
  <c r="H82" i="39"/>
  <c r="I82" i="39"/>
  <c r="J82" i="39"/>
  <c r="K82" i="39"/>
  <c r="L82" i="39"/>
  <c r="M82" i="39"/>
  <c r="N82" i="39"/>
  <c r="O82" i="39"/>
  <c r="P82" i="39"/>
  <c r="Q82" i="39"/>
  <c r="R82" i="39"/>
  <c r="S82" i="39"/>
  <c r="T82" i="39"/>
  <c r="U82" i="39"/>
  <c r="V82" i="39"/>
  <c r="W82" i="39"/>
  <c r="X82" i="39"/>
  <c r="Y82" i="39"/>
  <c r="Z82" i="39"/>
  <c r="AA82" i="39"/>
  <c r="AB82" i="39"/>
  <c r="AC82" i="39"/>
  <c r="AD82" i="39"/>
  <c r="AE82" i="39"/>
  <c r="AF82" i="39"/>
  <c r="AG82" i="39"/>
  <c r="AH82" i="39"/>
  <c r="AI82" i="39"/>
  <c r="AJ82" i="39"/>
  <c r="AK82" i="39"/>
  <c r="AL82" i="39"/>
  <c r="AM82" i="39"/>
  <c r="AN82" i="39"/>
  <c r="AO82" i="39"/>
  <c r="AP82" i="39"/>
  <c r="AQ82" i="39"/>
  <c r="AR82" i="39"/>
  <c r="AS82" i="39"/>
  <c r="A81" i="39"/>
  <c r="D94" i="39"/>
  <c r="E94" i="39"/>
  <c r="F94" i="39"/>
  <c r="G94" i="39"/>
  <c r="H94" i="39"/>
  <c r="I94" i="39"/>
  <c r="J94" i="39"/>
  <c r="K94" i="39"/>
  <c r="L94" i="39"/>
  <c r="M94" i="39"/>
  <c r="N94" i="39"/>
  <c r="O94" i="39"/>
  <c r="P94" i="39"/>
  <c r="Q94" i="39"/>
  <c r="R94" i="39"/>
  <c r="S94" i="39"/>
  <c r="T94" i="39"/>
  <c r="U94" i="39"/>
  <c r="V94" i="39"/>
  <c r="W94" i="39"/>
  <c r="X94" i="39"/>
  <c r="Y94" i="39"/>
  <c r="Z94" i="39"/>
  <c r="AA94" i="39"/>
  <c r="AB94" i="39"/>
  <c r="AC94" i="39"/>
  <c r="AD94" i="39"/>
  <c r="AE94" i="39"/>
  <c r="AF94" i="39"/>
  <c r="AG94" i="39"/>
  <c r="AH94" i="39"/>
  <c r="AI94" i="39"/>
  <c r="AJ94" i="39"/>
  <c r="AK94" i="39"/>
  <c r="AL94" i="39"/>
  <c r="AM94" i="39"/>
  <c r="AN94" i="39"/>
  <c r="AO94" i="39"/>
  <c r="AP94" i="39"/>
  <c r="AQ94" i="39"/>
  <c r="AR94" i="39"/>
  <c r="AS94" i="39"/>
  <c r="A93" i="39"/>
  <c r="D106" i="39"/>
  <c r="E106" i="39"/>
  <c r="F106" i="39"/>
  <c r="G106" i="39"/>
  <c r="H106" i="39"/>
  <c r="I106" i="39"/>
  <c r="J106" i="39"/>
  <c r="K106" i="39"/>
  <c r="L106" i="39"/>
  <c r="M106" i="39"/>
  <c r="N106" i="39"/>
  <c r="O106" i="39"/>
  <c r="P106" i="39"/>
  <c r="Q106" i="39"/>
  <c r="R106" i="39"/>
  <c r="S106" i="39"/>
  <c r="T106" i="39"/>
  <c r="U106" i="39"/>
  <c r="V106" i="39"/>
  <c r="W106" i="39"/>
  <c r="X106" i="39"/>
  <c r="Y106" i="39"/>
  <c r="Z106" i="39"/>
  <c r="AA106" i="39"/>
  <c r="AB106" i="39"/>
  <c r="AC106" i="39"/>
  <c r="AD106" i="39"/>
  <c r="AE106" i="39"/>
  <c r="AF106" i="39"/>
  <c r="AG106" i="39"/>
  <c r="AH106" i="39"/>
  <c r="AI106" i="39"/>
  <c r="AJ106" i="39"/>
  <c r="AK106" i="39"/>
  <c r="AL106" i="39"/>
  <c r="AM106" i="39"/>
  <c r="AN106" i="39"/>
  <c r="AO106" i="39"/>
  <c r="AP106" i="39"/>
  <c r="AQ106" i="39"/>
  <c r="AR106" i="39"/>
  <c r="AS106" i="39"/>
  <c r="A105" i="39"/>
  <c r="D118" i="39"/>
  <c r="E118" i="39"/>
  <c r="F118" i="39"/>
  <c r="G118" i="39"/>
  <c r="H118" i="39"/>
  <c r="I118" i="39"/>
  <c r="J118" i="39"/>
  <c r="K118" i="39"/>
  <c r="L118" i="39"/>
  <c r="M118" i="39"/>
  <c r="N118" i="39"/>
  <c r="O118" i="39"/>
  <c r="P118" i="39"/>
  <c r="Q118" i="39"/>
  <c r="R118" i="39"/>
  <c r="S118" i="39"/>
  <c r="T118" i="39"/>
  <c r="U118" i="39"/>
  <c r="V118" i="39"/>
  <c r="W118" i="39"/>
  <c r="X118" i="39"/>
  <c r="Y118" i="39"/>
  <c r="Z118" i="39"/>
  <c r="AA118" i="39"/>
  <c r="AB118" i="39"/>
  <c r="AC118" i="39"/>
  <c r="AD118" i="39"/>
  <c r="AE118" i="39"/>
  <c r="AF118" i="39"/>
  <c r="AG118" i="39"/>
  <c r="AH118" i="39"/>
  <c r="AI118" i="39"/>
  <c r="AJ118" i="39"/>
  <c r="AK118" i="39"/>
  <c r="AL118" i="39"/>
  <c r="AM118" i="39"/>
  <c r="AN118" i="39"/>
  <c r="AO118" i="39"/>
  <c r="AP118" i="39"/>
  <c r="AQ118" i="39"/>
  <c r="AR118" i="39"/>
  <c r="AS118" i="39"/>
  <c r="A117" i="39"/>
  <c r="D130" i="39"/>
  <c r="E130" i="39"/>
  <c r="F130" i="39"/>
  <c r="G130" i="39"/>
  <c r="H130" i="39"/>
  <c r="I130" i="39"/>
  <c r="J130" i="39"/>
  <c r="K130" i="39"/>
  <c r="L130" i="39"/>
  <c r="M130" i="39"/>
  <c r="N130" i="39"/>
  <c r="O130" i="39"/>
  <c r="P130" i="39"/>
  <c r="Q130" i="39"/>
  <c r="R130" i="39"/>
  <c r="S130" i="39"/>
  <c r="T130" i="39"/>
  <c r="U130" i="39"/>
  <c r="V130" i="39"/>
  <c r="W130" i="39"/>
  <c r="X130" i="39"/>
  <c r="Y130" i="39"/>
  <c r="Z130" i="39"/>
  <c r="AA130" i="39"/>
  <c r="AB130" i="39"/>
  <c r="AC130" i="39"/>
  <c r="AD130" i="39"/>
  <c r="AE130" i="39"/>
  <c r="AF130" i="39"/>
  <c r="AG130" i="39"/>
  <c r="AH130" i="39"/>
  <c r="AI130" i="39"/>
  <c r="AJ130" i="39"/>
  <c r="AK130" i="39"/>
  <c r="AL130" i="39"/>
  <c r="AM130" i="39"/>
  <c r="AN130" i="39"/>
  <c r="AO130" i="39"/>
  <c r="AP130" i="39"/>
  <c r="AQ130" i="39"/>
  <c r="AR130" i="39"/>
  <c r="AS130" i="39"/>
  <c r="A129" i="39"/>
  <c r="D154" i="39"/>
  <c r="E154" i="39"/>
  <c r="F154" i="39"/>
  <c r="G154" i="39"/>
  <c r="H154" i="39"/>
  <c r="I154" i="39"/>
  <c r="J154" i="39"/>
  <c r="K154" i="39"/>
  <c r="L154" i="39"/>
  <c r="M154" i="39"/>
  <c r="N154" i="39"/>
  <c r="O154" i="39"/>
  <c r="P154" i="39"/>
  <c r="Q154" i="39"/>
  <c r="R154" i="39"/>
  <c r="S154" i="39"/>
  <c r="T154" i="39"/>
  <c r="U154" i="39"/>
  <c r="V154" i="39"/>
  <c r="W154" i="39"/>
  <c r="X154" i="39"/>
  <c r="Y154" i="39"/>
  <c r="Z154" i="39"/>
  <c r="AA154" i="39"/>
  <c r="AB154" i="39"/>
  <c r="AC154" i="39"/>
  <c r="AD154" i="39"/>
  <c r="AE154" i="39"/>
  <c r="AF154" i="39"/>
  <c r="AG154" i="39"/>
  <c r="AH154" i="39"/>
  <c r="AI154" i="39"/>
  <c r="AJ154" i="39"/>
  <c r="AK154" i="39"/>
  <c r="AL154" i="39"/>
  <c r="AM154" i="39"/>
  <c r="AN154" i="39"/>
  <c r="AO154" i="39"/>
  <c r="AP154" i="39"/>
  <c r="AQ154" i="39"/>
  <c r="AR154" i="39"/>
  <c r="AS154" i="39"/>
  <c r="A153" i="39"/>
  <c r="D142" i="39"/>
  <c r="E142" i="39"/>
  <c r="F142" i="39"/>
  <c r="G142" i="39"/>
  <c r="H142" i="39"/>
  <c r="I142" i="39"/>
  <c r="J142" i="39"/>
  <c r="K142" i="39"/>
  <c r="L142" i="39"/>
  <c r="M142" i="39"/>
  <c r="N142" i="39"/>
  <c r="O142" i="39"/>
  <c r="P142" i="39"/>
  <c r="Q142" i="39"/>
  <c r="R142" i="39"/>
  <c r="S142" i="39"/>
  <c r="T142" i="39"/>
  <c r="U142" i="39"/>
  <c r="V142" i="39"/>
  <c r="W142" i="39"/>
  <c r="X142" i="39"/>
  <c r="Y142" i="39"/>
  <c r="Z142" i="39"/>
  <c r="AA142" i="39"/>
  <c r="AB142" i="39"/>
  <c r="AC142" i="39"/>
  <c r="AD142" i="39"/>
  <c r="AE142" i="39"/>
  <c r="AF142" i="39"/>
  <c r="AG142" i="39"/>
  <c r="AH142" i="39"/>
  <c r="AI142" i="39"/>
  <c r="AJ142" i="39"/>
  <c r="AK142" i="39"/>
  <c r="AL142" i="39"/>
  <c r="AM142" i="39"/>
  <c r="AN142" i="39"/>
  <c r="AO142" i="39"/>
  <c r="AP142" i="39"/>
  <c r="AQ142" i="39"/>
  <c r="AR142" i="39"/>
  <c r="AS142" i="39"/>
  <c r="A141" i="39"/>
  <c r="D166" i="39"/>
  <c r="E166" i="39"/>
  <c r="F166" i="39"/>
  <c r="G166" i="39"/>
  <c r="H166" i="39"/>
  <c r="I166" i="39"/>
  <c r="J166" i="39"/>
  <c r="K166" i="39"/>
  <c r="L166" i="39"/>
  <c r="M166" i="39"/>
  <c r="N166" i="39"/>
  <c r="O166" i="39"/>
  <c r="P166" i="39"/>
  <c r="Q166" i="39"/>
  <c r="R166" i="39"/>
  <c r="S166" i="39"/>
  <c r="T166" i="39"/>
  <c r="U166" i="39"/>
  <c r="V166" i="39"/>
  <c r="W166" i="39"/>
  <c r="X166" i="39"/>
  <c r="Y166" i="39"/>
  <c r="Z166" i="39"/>
  <c r="AA166" i="39"/>
  <c r="AB166" i="39"/>
  <c r="AC166" i="39"/>
  <c r="AD166" i="39"/>
  <c r="AE166" i="39"/>
  <c r="AF166" i="39"/>
  <c r="AG166" i="39"/>
  <c r="AH166" i="39"/>
  <c r="AI166" i="39"/>
  <c r="AJ166" i="39"/>
  <c r="AK166" i="39"/>
  <c r="AL166" i="39"/>
  <c r="AM166" i="39"/>
  <c r="AN166" i="39"/>
  <c r="AO166" i="39"/>
  <c r="AP166" i="39"/>
  <c r="AQ166" i="39"/>
  <c r="AR166" i="39"/>
  <c r="AS166" i="39"/>
  <c r="A165" i="39"/>
  <c r="D178" i="39"/>
  <c r="E178" i="39"/>
  <c r="F178" i="39"/>
  <c r="G178" i="39"/>
  <c r="H178" i="39"/>
  <c r="I178" i="39"/>
  <c r="J178" i="39"/>
  <c r="K178" i="39"/>
  <c r="L178" i="39"/>
  <c r="M178" i="39"/>
  <c r="N178" i="39"/>
  <c r="O178" i="39"/>
  <c r="P178" i="39"/>
  <c r="Q178" i="39"/>
  <c r="R178" i="39"/>
  <c r="S178" i="39"/>
  <c r="T178" i="39"/>
  <c r="U178" i="39"/>
  <c r="V178" i="39"/>
  <c r="W178" i="39"/>
  <c r="X178" i="39"/>
  <c r="Y178" i="39"/>
  <c r="Z178" i="39"/>
  <c r="AA178" i="39"/>
  <c r="AB178" i="39"/>
  <c r="AC178" i="39"/>
  <c r="AD178" i="39"/>
  <c r="AE178" i="39"/>
  <c r="AF178" i="39"/>
  <c r="AG178" i="39"/>
  <c r="AH178" i="39"/>
  <c r="AI178" i="39"/>
  <c r="AJ178" i="39"/>
  <c r="AK178" i="39"/>
  <c r="AL178" i="39"/>
  <c r="AM178" i="39"/>
  <c r="AN178" i="39"/>
  <c r="AO178" i="39"/>
  <c r="AP178" i="39"/>
  <c r="AQ178" i="39"/>
  <c r="AR178" i="39"/>
  <c r="AS178" i="39"/>
  <c r="A177" i="39"/>
  <c r="D190" i="39"/>
  <c r="E190" i="39"/>
  <c r="F190" i="39"/>
  <c r="G190" i="39"/>
  <c r="H190" i="39"/>
  <c r="I190" i="39"/>
  <c r="J190" i="39"/>
  <c r="K190" i="39"/>
  <c r="L190" i="39"/>
  <c r="M190" i="39"/>
  <c r="N190" i="39"/>
  <c r="O190" i="39"/>
  <c r="P190" i="39"/>
  <c r="Q190" i="39"/>
  <c r="R190" i="39"/>
  <c r="S190" i="39"/>
  <c r="T190" i="39"/>
  <c r="U190" i="39"/>
  <c r="V190" i="39"/>
  <c r="W190" i="39"/>
  <c r="X190" i="39"/>
  <c r="Y190" i="39"/>
  <c r="Z190" i="39"/>
  <c r="AA190" i="39"/>
  <c r="AB190" i="39"/>
  <c r="AC190" i="39"/>
  <c r="AD190" i="39"/>
  <c r="AE190" i="39"/>
  <c r="AF190" i="39"/>
  <c r="AG190" i="39"/>
  <c r="AH190" i="39"/>
  <c r="AI190" i="39"/>
  <c r="AJ190" i="39"/>
  <c r="AK190" i="39"/>
  <c r="AL190" i="39"/>
  <c r="AM190" i="39"/>
  <c r="AN190" i="39"/>
  <c r="AO190" i="39"/>
  <c r="AP190" i="39"/>
  <c r="AQ190" i="39"/>
  <c r="AR190" i="39"/>
  <c r="AS190" i="39"/>
  <c r="A189" i="39"/>
  <c r="D202" i="39"/>
  <c r="E202" i="39"/>
  <c r="F202" i="39"/>
  <c r="G202" i="39"/>
  <c r="H202" i="39"/>
  <c r="I202" i="39"/>
  <c r="J202" i="39"/>
  <c r="K202" i="39"/>
  <c r="L202" i="39"/>
  <c r="M202" i="39"/>
  <c r="N202" i="39"/>
  <c r="O202" i="39"/>
  <c r="P202" i="39"/>
  <c r="Q202" i="39"/>
  <c r="R202" i="39"/>
  <c r="S202" i="39"/>
  <c r="T202" i="39"/>
  <c r="U202" i="39"/>
  <c r="V202" i="39"/>
  <c r="W202" i="39"/>
  <c r="X202" i="39"/>
  <c r="Y202" i="39"/>
  <c r="Z202" i="39"/>
  <c r="AA202" i="39"/>
  <c r="AB202" i="39"/>
  <c r="AC202" i="39"/>
  <c r="AD202" i="39"/>
  <c r="AE202" i="39"/>
  <c r="AF202" i="39"/>
  <c r="AG202" i="39"/>
  <c r="AH202" i="39"/>
  <c r="AI202" i="39"/>
  <c r="AJ202" i="39"/>
  <c r="AK202" i="39"/>
  <c r="AL202" i="39"/>
  <c r="AM202" i="39"/>
  <c r="AN202" i="39"/>
  <c r="AO202" i="39"/>
  <c r="AP202" i="39"/>
  <c r="AQ202" i="39"/>
  <c r="AR202" i="39"/>
  <c r="AS202" i="39"/>
  <c r="A201" i="39"/>
  <c r="D214" i="39"/>
  <c r="E214" i="39"/>
  <c r="F214" i="39"/>
  <c r="G214" i="39"/>
  <c r="H214" i="39"/>
  <c r="I214" i="39"/>
  <c r="J214" i="39"/>
  <c r="K214" i="39"/>
  <c r="L214" i="39"/>
  <c r="M214" i="39"/>
  <c r="N214" i="39"/>
  <c r="O214" i="39"/>
  <c r="P214" i="39"/>
  <c r="Q214" i="39"/>
  <c r="R214" i="39"/>
  <c r="S214" i="39"/>
  <c r="T214" i="39"/>
  <c r="U214" i="39"/>
  <c r="V214" i="39"/>
  <c r="W214" i="39"/>
  <c r="X214" i="39"/>
  <c r="Y214" i="39"/>
  <c r="Z214" i="39"/>
  <c r="AA214" i="39"/>
  <c r="AB214" i="39"/>
  <c r="AC214" i="39"/>
  <c r="AD214" i="39"/>
  <c r="AE214" i="39"/>
  <c r="AF214" i="39"/>
  <c r="AG214" i="39"/>
  <c r="AH214" i="39"/>
  <c r="AI214" i="39"/>
  <c r="AJ214" i="39"/>
  <c r="AK214" i="39"/>
  <c r="AL214" i="39"/>
  <c r="AM214" i="39"/>
  <c r="AN214" i="39"/>
  <c r="AO214" i="39"/>
  <c r="AP214" i="39"/>
  <c r="AQ214" i="39"/>
  <c r="AR214" i="39"/>
  <c r="AS214" i="39"/>
  <c r="A213" i="39"/>
  <c r="D226" i="39"/>
  <c r="E226" i="39"/>
  <c r="F226" i="39"/>
  <c r="G226" i="39"/>
  <c r="H226" i="39"/>
  <c r="I226" i="39"/>
  <c r="J226" i="39"/>
  <c r="K226" i="39"/>
  <c r="L226" i="39"/>
  <c r="M226" i="39"/>
  <c r="N226" i="39"/>
  <c r="O226" i="39"/>
  <c r="P226" i="39"/>
  <c r="Q226" i="39"/>
  <c r="R226" i="39"/>
  <c r="S226" i="39"/>
  <c r="T226" i="39"/>
  <c r="U226" i="39"/>
  <c r="V226" i="39"/>
  <c r="W226" i="39"/>
  <c r="X226" i="39"/>
  <c r="Y226" i="39"/>
  <c r="Z226" i="39"/>
  <c r="AA226" i="39"/>
  <c r="AB226" i="39"/>
  <c r="AC226" i="39"/>
  <c r="AD226" i="39"/>
  <c r="AE226" i="39"/>
  <c r="AF226" i="39"/>
  <c r="AG226" i="39"/>
  <c r="AH226" i="39"/>
  <c r="AI226" i="39"/>
  <c r="AJ226" i="39"/>
  <c r="AK226" i="39"/>
  <c r="AL226" i="39"/>
  <c r="AM226" i="39"/>
  <c r="AN226" i="39"/>
  <c r="AO226" i="39"/>
  <c r="AP226" i="39"/>
  <c r="AQ226" i="39"/>
  <c r="AR226" i="39"/>
  <c r="AS226" i="39"/>
  <c r="A225" i="39"/>
  <c r="D34" i="39"/>
  <c r="E34" i="39"/>
  <c r="F34" i="39"/>
  <c r="G34" i="39"/>
  <c r="H34" i="39"/>
  <c r="I34" i="39"/>
  <c r="J34" i="39"/>
  <c r="K34" i="39"/>
  <c r="L34" i="39"/>
  <c r="M34" i="39"/>
  <c r="N34" i="39"/>
  <c r="O34" i="39"/>
  <c r="P34" i="39"/>
  <c r="Q34" i="39"/>
  <c r="R34" i="39"/>
  <c r="S34" i="39"/>
  <c r="T34" i="39"/>
  <c r="U34" i="39"/>
  <c r="V34" i="39"/>
  <c r="W34" i="39"/>
  <c r="X34" i="39"/>
  <c r="Y34" i="39"/>
  <c r="Z34" i="39"/>
  <c r="AA34" i="39"/>
  <c r="AB34" i="39"/>
  <c r="AC34" i="39"/>
  <c r="AD34" i="39"/>
  <c r="AE34" i="39"/>
  <c r="AF34" i="39"/>
  <c r="AG34" i="39"/>
  <c r="AH34" i="39"/>
  <c r="AI34" i="39"/>
  <c r="AJ34" i="39"/>
  <c r="AK34" i="39"/>
  <c r="AL34" i="39"/>
  <c r="AM34" i="39"/>
  <c r="AN34" i="39"/>
  <c r="AO34" i="39"/>
  <c r="AP34" i="39"/>
  <c r="AQ34" i="39"/>
  <c r="AR34" i="39"/>
  <c r="AS34" i="39"/>
  <c r="A33" i="39"/>
  <c r="D22" i="39"/>
  <c r="E22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AM22" i="39"/>
  <c r="AN22" i="39"/>
  <c r="AO22" i="39"/>
  <c r="AP22" i="39"/>
  <c r="AQ22" i="39"/>
  <c r="AR22" i="39"/>
  <c r="AS22" i="39"/>
  <c r="A21" i="39"/>
  <c r="D240" i="39"/>
  <c r="E240" i="39"/>
  <c r="F240" i="39"/>
  <c r="G240" i="39"/>
  <c r="H240" i="39"/>
  <c r="I240" i="39"/>
  <c r="J240" i="39"/>
  <c r="K240" i="39"/>
  <c r="L240" i="39"/>
  <c r="M240" i="39"/>
  <c r="N240" i="39"/>
  <c r="O240" i="39"/>
  <c r="P240" i="39"/>
  <c r="Q240" i="39"/>
  <c r="R240" i="39"/>
  <c r="S240" i="39"/>
  <c r="T240" i="39"/>
  <c r="U240" i="39"/>
  <c r="V240" i="39"/>
  <c r="W240" i="39"/>
  <c r="X240" i="39"/>
  <c r="A1" i="39"/>
  <c r="D58" i="40"/>
  <c r="E58" i="40"/>
  <c r="F58" i="40"/>
  <c r="G58" i="40"/>
  <c r="H58" i="40"/>
  <c r="I58" i="40"/>
  <c r="J58" i="40"/>
  <c r="K58" i="40"/>
  <c r="L58" i="40"/>
  <c r="M58" i="40"/>
  <c r="N58" i="40"/>
  <c r="O58" i="40"/>
  <c r="P58" i="40"/>
  <c r="Q58" i="40"/>
  <c r="R58" i="40"/>
  <c r="S58" i="40"/>
  <c r="T58" i="40"/>
  <c r="U58" i="40"/>
  <c r="V58" i="40"/>
  <c r="D70" i="40"/>
  <c r="E70" i="40"/>
  <c r="F70" i="40"/>
  <c r="G70" i="40"/>
  <c r="H70" i="40"/>
  <c r="I70" i="40"/>
  <c r="J70" i="40"/>
  <c r="K70" i="40"/>
  <c r="L70" i="40"/>
  <c r="M70" i="40"/>
  <c r="N70" i="40"/>
  <c r="O70" i="40"/>
  <c r="P70" i="40"/>
  <c r="Q70" i="40"/>
  <c r="R70" i="40"/>
  <c r="S70" i="40"/>
  <c r="T70" i="40"/>
  <c r="U70" i="40"/>
  <c r="V70" i="40"/>
  <c r="D82" i="40"/>
  <c r="E82" i="40"/>
  <c r="F82" i="40"/>
  <c r="G82" i="40"/>
  <c r="H82" i="40"/>
  <c r="I82" i="40"/>
  <c r="J82" i="40"/>
  <c r="K82" i="40"/>
  <c r="L82" i="40"/>
  <c r="M82" i="40"/>
  <c r="N82" i="40"/>
  <c r="O82" i="40"/>
  <c r="P82" i="40"/>
  <c r="Q82" i="40"/>
  <c r="R82" i="40"/>
  <c r="S82" i="40"/>
  <c r="T82" i="40"/>
  <c r="U82" i="40"/>
  <c r="V82" i="40"/>
  <c r="D94" i="40"/>
  <c r="E94" i="40"/>
  <c r="F94" i="40"/>
  <c r="G94" i="40"/>
  <c r="H94" i="40"/>
  <c r="I94" i="40"/>
  <c r="J94" i="40"/>
  <c r="K94" i="40"/>
  <c r="L94" i="40"/>
  <c r="M94" i="40"/>
  <c r="N94" i="40"/>
  <c r="O94" i="40"/>
  <c r="P94" i="40"/>
  <c r="Q94" i="40"/>
  <c r="R94" i="40"/>
  <c r="S94" i="40"/>
  <c r="T94" i="40"/>
  <c r="U94" i="40"/>
  <c r="V94" i="40"/>
  <c r="D10" i="40"/>
  <c r="E10" i="40"/>
  <c r="F10" i="40"/>
  <c r="G10" i="40"/>
  <c r="H10" i="40"/>
  <c r="I10" i="40"/>
  <c r="J10" i="40"/>
  <c r="K10" i="40"/>
  <c r="L10" i="40"/>
  <c r="M10" i="40"/>
  <c r="N10" i="40"/>
  <c r="O10" i="40"/>
  <c r="P10" i="40"/>
  <c r="Q10" i="40"/>
  <c r="R10" i="40"/>
  <c r="S10" i="40"/>
  <c r="T10" i="40"/>
  <c r="U10" i="40"/>
  <c r="V10" i="40"/>
  <c r="AE10" i="40"/>
  <c r="AF10" i="40"/>
  <c r="AG10" i="40"/>
  <c r="AH10" i="40"/>
  <c r="AI10" i="40"/>
  <c r="AJ10" i="40"/>
  <c r="AK10" i="40"/>
  <c r="AL10" i="40"/>
  <c r="AM10" i="40"/>
  <c r="AN10" i="40"/>
  <c r="AO10" i="40"/>
  <c r="D22" i="40"/>
  <c r="E22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D34" i="40"/>
  <c r="E34" i="40"/>
  <c r="F34" i="40"/>
  <c r="G34" i="40"/>
  <c r="H34" i="40"/>
  <c r="I34" i="40"/>
  <c r="J34" i="40"/>
  <c r="K34" i="40"/>
  <c r="L34" i="40"/>
  <c r="M34" i="40"/>
  <c r="N34" i="40"/>
  <c r="O34" i="40"/>
  <c r="P34" i="40"/>
  <c r="Q34" i="40"/>
  <c r="R34" i="40"/>
  <c r="S34" i="40"/>
  <c r="T34" i="40"/>
  <c r="U34" i="40"/>
  <c r="V34" i="40"/>
  <c r="D46" i="40"/>
  <c r="E46" i="40"/>
  <c r="F46" i="40"/>
  <c r="G46" i="40"/>
  <c r="H46" i="40"/>
  <c r="I46" i="40"/>
  <c r="J46" i="40"/>
  <c r="K46" i="40"/>
  <c r="L46" i="40"/>
  <c r="M46" i="40"/>
  <c r="N46" i="40"/>
  <c r="O46" i="40"/>
  <c r="P46" i="40"/>
  <c r="Q46" i="40"/>
  <c r="R46" i="40"/>
  <c r="S46" i="40"/>
  <c r="T46" i="40"/>
  <c r="U46" i="40"/>
  <c r="V46" i="40"/>
  <c r="D106" i="40"/>
  <c r="E106" i="40"/>
  <c r="F106" i="40"/>
  <c r="G106" i="40"/>
  <c r="H106" i="40"/>
  <c r="I106" i="40"/>
  <c r="J106" i="40"/>
  <c r="K106" i="40"/>
  <c r="L106" i="40"/>
  <c r="M106" i="40"/>
  <c r="N106" i="40"/>
  <c r="O106" i="40"/>
  <c r="P106" i="40"/>
  <c r="Q106" i="40"/>
  <c r="R106" i="40"/>
  <c r="S106" i="40"/>
  <c r="T106" i="40"/>
  <c r="U106" i="40"/>
  <c r="V106" i="40"/>
  <c r="D58" i="41"/>
  <c r="E58" i="41"/>
  <c r="F58" i="41"/>
  <c r="G58" i="41"/>
  <c r="H58" i="41"/>
  <c r="I58" i="41"/>
  <c r="J58" i="41"/>
  <c r="K58" i="41"/>
  <c r="L58" i="41"/>
  <c r="M58" i="41"/>
  <c r="N58" i="41"/>
  <c r="O58" i="41"/>
  <c r="P58" i="41"/>
  <c r="Q58" i="41"/>
  <c r="R58" i="41"/>
  <c r="S58" i="41"/>
  <c r="T58" i="41"/>
  <c r="U58" i="41"/>
  <c r="V58" i="41"/>
  <c r="W58" i="41"/>
  <c r="X58" i="41"/>
  <c r="Y58" i="41"/>
  <c r="Z58" i="41"/>
  <c r="AA58" i="41"/>
  <c r="AB58" i="41"/>
  <c r="AC58" i="41"/>
  <c r="AD58" i="41"/>
  <c r="AE58" i="41"/>
  <c r="AF58" i="41"/>
  <c r="AG58" i="41"/>
  <c r="AH58" i="41"/>
  <c r="AI58" i="41"/>
  <c r="AJ58" i="41"/>
  <c r="AK58" i="41"/>
  <c r="AL58" i="41"/>
  <c r="AM58" i="41"/>
  <c r="AN58" i="41"/>
  <c r="AO58" i="41"/>
  <c r="AP58" i="41"/>
  <c r="AQ58" i="41"/>
  <c r="AR58" i="41"/>
  <c r="AS58" i="41"/>
  <c r="A57" i="41"/>
  <c r="D70" i="41"/>
  <c r="E70" i="41"/>
  <c r="F70" i="41"/>
  <c r="G70" i="41"/>
  <c r="H70" i="41"/>
  <c r="I70" i="41"/>
  <c r="J70" i="41"/>
  <c r="K70" i="41"/>
  <c r="L70" i="41"/>
  <c r="M70" i="41"/>
  <c r="N70" i="41"/>
  <c r="O70" i="41"/>
  <c r="P70" i="41"/>
  <c r="Q70" i="41"/>
  <c r="R70" i="41"/>
  <c r="S70" i="41"/>
  <c r="T70" i="41"/>
  <c r="U70" i="41"/>
  <c r="V70" i="41"/>
  <c r="W70" i="41"/>
  <c r="X70" i="41"/>
  <c r="Y70" i="41"/>
  <c r="Z70" i="41"/>
  <c r="AA70" i="41"/>
  <c r="AB70" i="41"/>
  <c r="AC70" i="41"/>
  <c r="AD70" i="41"/>
  <c r="AE70" i="41"/>
  <c r="AF70" i="41"/>
  <c r="AG70" i="41"/>
  <c r="AH70" i="41"/>
  <c r="AI70" i="41"/>
  <c r="AJ70" i="41"/>
  <c r="AK70" i="41"/>
  <c r="AL70" i="41"/>
  <c r="AM70" i="41"/>
  <c r="AN70" i="41"/>
  <c r="AO70" i="41"/>
  <c r="AP70" i="41"/>
  <c r="AQ70" i="41"/>
  <c r="AR70" i="41"/>
  <c r="AS70" i="41"/>
  <c r="A69" i="41"/>
  <c r="D82" i="41"/>
  <c r="E82" i="41"/>
  <c r="F82" i="41"/>
  <c r="G82" i="41"/>
  <c r="H82" i="41"/>
  <c r="I82" i="41"/>
  <c r="J82" i="41"/>
  <c r="K82" i="41"/>
  <c r="L82" i="41"/>
  <c r="M82" i="41"/>
  <c r="N82" i="41"/>
  <c r="O82" i="41"/>
  <c r="P82" i="41"/>
  <c r="Q82" i="41"/>
  <c r="R82" i="41"/>
  <c r="S82" i="41"/>
  <c r="T82" i="41"/>
  <c r="U82" i="41"/>
  <c r="V82" i="41"/>
  <c r="W82" i="41"/>
  <c r="X82" i="41"/>
  <c r="Y82" i="41"/>
  <c r="Z82" i="41"/>
  <c r="AA82" i="41"/>
  <c r="AB82" i="41"/>
  <c r="AC82" i="41"/>
  <c r="AD82" i="41"/>
  <c r="AE82" i="41"/>
  <c r="AF82" i="41"/>
  <c r="AG82" i="41"/>
  <c r="AH82" i="41"/>
  <c r="AI82" i="41"/>
  <c r="AJ82" i="41"/>
  <c r="AK82" i="41"/>
  <c r="AL82" i="41"/>
  <c r="AM82" i="41"/>
  <c r="AN82" i="41"/>
  <c r="AO82" i="41"/>
  <c r="AP82" i="41"/>
  <c r="AQ82" i="41"/>
  <c r="AR82" i="41"/>
  <c r="AS82" i="41"/>
  <c r="A81" i="41"/>
  <c r="D94" i="41"/>
  <c r="E94" i="41"/>
  <c r="F94" i="41"/>
  <c r="G94" i="41"/>
  <c r="H94" i="41"/>
  <c r="I94" i="41"/>
  <c r="J94" i="41"/>
  <c r="K94" i="41"/>
  <c r="L94" i="41"/>
  <c r="M94" i="41"/>
  <c r="N94" i="41"/>
  <c r="O94" i="41"/>
  <c r="P94" i="41"/>
  <c r="Q94" i="41"/>
  <c r="R94" i="41"/>
  <c r="S94" i="41"/>
  <c r="T94" i="41"/>
  <c r="U94" i="41"/>
  <c r="V94" i="41"/>
  <c r="W94" i="41"/>
  <c r="X94" i="41"/>
  <c r="Y94" i="41"/>
  <c r="Z94" i="41"/>
  <c r="AA94" i="41"/>
  <c r="AB94" i="41"/>
  <c r="AC94" i="41"/>
  <c r="AD94" i="41"/>
  <c r="AE94" i="41"/>
  <c r="AF94" i="41"/>
  <c r="AG94" i="41"/>
  <c r="AH94" i="41"/>
  <c r="AI94" i="41"/>
  <c r="AJ94" i="41"/>
  <c r="AK94" i="41"/>
  <c r="AL94" i="41"/>
  <c r="AM94" i="41"/>
  <c r="AN94" i="41"/>
  <c r="AO94" i="41"/>
  <c r="AP94" i="41"/>
  <c r="AQ94" i="41"/>
  <c r="AR94" i="41"/>
  <c r="AS94" i="41"/>
  <c r="A93" i="41"/>
  <c r="D10" i="41"/>
  <c r="E10" i="41"/>
  <c r="F10" i="41"/>
  <c r="G10" i="41"/>
  <c r="H10" i="41"/>
  <c r="I10" i="41"/>
  <c r="J10" i="41"/>
  <c r="K10" i="41"/>
  <c r="L10" i="41"/>
  <c r="M10" i="41"/>
  <c r="N10" i="41"/>
  <c r="O10" i="41"/>
  <c r="P10" i="41"/>
  <c r="Q10" i="41"/>
  <c r="R10" i="41"/>
  <c r="S10" i="41"/>
  <c r="T10" i="41"/>
  <c r="U10" i="41"/>
  <c r="V10" i="41"/>
  <c r="W10" i="41"/>
  <c r="X10" i="41"/>
  <c r="Y10" i="41"/>
  <c r="Z10" i="41"/>
  <c r="AA10" i="41"/>
  <c r="AB10" i="41"/>
  <c r="AC10" i="41"/>
  <c r="AD10" i="41"/>
  <c r="AE10" i="41"/>
  <c r="AF10" i="41"/>
  <c r="AG10" i="41"/>
  <c r="AH10" i="41"/>
  <c r="AI10" i="41"/>
  <c r="AJ10" i="41"/>
  <c r="AK10" i="41"/>
  <c r="AL10" i="41"/>
  <c r="AM10" i="41"/>
  <c r="AN10" i="41"/>
  <c r="A9" i="41"/>
  <c r="D22" i="41"/>
  <c r="E22" i="41"/>
  <c r="F22" i="41"/>
  <c r="G22" i="41"/>
  <c r="H22" i="41"/>
  <c r="I22" i="41"/>
  <c r="J22" i="41"/>
  <c r="K22" i="41"/>
  <c r="L22" i="41"/>
  <c r="M22" i="41"/>
  <c r="N22" i="41"/>
  <c r="O22" i="41"/>
  <c r="P22" i="41"/>
  <c r="Q22" i="41"/>
  <c r="R22" i="41"/>
  <c r="S22" i="41"/>
  <c r="T22" i="41"/>
  <c r="U22" i="41"/>
  <c r="V22" i="41"/>
  <c r="W22" i="41"/>
  <c r="X22" i="41"/>
  <c r="Y22" i="41"/>
  <c r="Z22" i="41"/>
  <c r="AA22" i="41"/>
  <c r="AB22" i="41"/>
  <c r="AC22" i="41"/>
  <c r="AD22" i="41"/>
  <c r="AE22" i="41"/>
  <c r="AF22" i="41"/>
  <c r="AG22" i="41"/>
  <c r="AH22" i="41"/>
  <c r="AI22" i="41"/>
  <c r="AJ22" i="41"/>
  <c r="AK22" i="41"/>
  <c r="AL22" i="41"/>
  <c r="AM22" i="41"/>
  <c r="AN22" i="41"/>
  <c r="AO22" i="41"/>
  <c r="AP22" i="41"/>
  <c r="AQ22" i="41"/>
  <c r="AR22" i="41"/>
  <c r="AS22" i="41"/>
  <c r="A21" i="41"/>
  <c r="D34" i="41"/>
  <c r="E34" i="41"/>
  <c r="F34" i="41"/>
  <c r="G34" i="41"/>
  <c r="H34" i="41"/>
  <c r="I34" i="41"/>
  <c r="J34" i="41"/>
  <c r="K34" i="41"/>
  <c r="L34" i="41"/>
  <c r="M34" i="41"/>
  <c r="N34" i="41"/>
  <c r="O34" i="41"/>
  <c r="P34" i="41"/>
  <c r="Q34" i="41"/>
  <c r="R34" i="41"/>
  <c r="S34" i="41"/>
  <c r="T34" i="41"/>
  <c r="U34" i="41"/>
  <c r="V34" i="41"/>
  <c r="W34" i="41"/>
  <c r="X34" i="41"/>
  <c r="Y34" i="41"/>
  <c r="Z34" i="41"/>
  <c r="AA34" i="41"/>
  <c r="AB34" i="41"/>
  <c r="AC34" i="41"/>
  <c r="AD34" i="41"/>
  <c r="AE34" i="41"/>
  <c r="AF34" i="41"/>
  <c r="AG34" i="41"/>
  <c r="AH34" i="41"/>
  <c r="AI34" i="41"/>
  <c r="AJ34" i="41"/>
  <c r="AK34" i="41"/>
  <c r="AL34" i="41"/>
  <c r="AM34" i="41"/>
  <c r="AN34" i="41"/>
  <c r="AO34" i="41"/>
  <c r="AP34" i="41"/>
  <c r="AQ34" i="41"/>
  <c r="AR34" i="41"/>
  <c r="AS34" i="41"/>
  <c r="A33" i="41"/>
  <c r="D46" i="41"/>
  <c r="E46" i="41"/>
  <c r="F46" i="41"/>
  <c r="G46" i="41"/>
  <c r="H46" i="41"/>
  <c r="I46" i="41"/>
  <c r="J46" i="41"/>
  <c r="K46" i="41"/>
  <c r="L46" i="41"/>
  <c r="M46" i="41"/>
  <c r="N46" i="41"/>
  <c r="O46" i="41"/>
  <c r="P46" i="41"/>
  <c r="Q46" i="41"/>
  <c r="R46" i="41"/>
  <c r="S46" i="41"/>
  <c r="T46" i="41"/>
  <c r="U46" i="41"/>
  <c r="V46" i="41"/>
  <c r="W46" i="41"/>
  <c r="X46" i="41"/>
  <c r="Y46" i="41"/>
  <c r="Z46" i="41"/>
  <c r="AA46" i="41"/>
  <c r="AB46" i="41"/>
  <c r="AC46" i="41"/>
  <c r="AD46" i="41"/>
  <c r="AE46" i="41"/>
  <c r="AF46" i="41"/>
  <c r="AG46" i="41"/>
  <c r="AH46" i="41"/>
  <c r="AI46" i="41"/>
  <c r="AJ46" i="41"/>
  <c r="AK46" i="41"/>
  <c r="AL46" i="41"/>
  <c r="AM46" i="41"/>
  <c r="AN46" i="41"/>
  <c r="AO46" i="41"/>
  <c r="AP46" i="41"/>
  <c r="AQ46" i="41"/>
  <c r="AR46" i="41"/>
  <c r="AS46" i="41"/>
  <c r="A45" i="41"/>
  <c r="A1" i="41"/>
  <c r="D274" i="33"/>
  <c r="E274" i="33"/>
  <c r="F274" i="33"/>
  <c r="G274" i="33"/>
  <c r="H274" i="33"/>
  <c r="I274" i="33"/>
  <c r="J274" i="33"/>
  <c r="K274" i="33"/>
  <c r="L274" i="33"/>
  <c r="M274" i="33"/>
  <c r="N274" i="33"/>
  <c r="O274" i="33"/>
  <c r="P274" i="33"/>
  <c r="Q274" i="33"/>
  <c r="R274" i="33"/>
  <c r="S274" i="33"/>
  <c r="T274" i="33"/>
  <c r="U274" i="33"/>
  <c r="W274" i="33"/>
  <c r="X274" i="33"/>
  <c r="Y274" i="33"/>
  <c r="Z274" i="33"/>
  <c r="AA274" i="33"/>
  <c r="AB274" i="33"/>
  <c r="AC274" i="33"/>
  <c r="AD274" i="33"/>
  <c r="AE274" i="33"/>
  <c r="AF274" i="33"/>
  <c r="AG274" i="33"/>
  <c r="AH274" i="33"/>
  <c r="AI274" i="33"/>
  <c r="AJ274" i="33"/>
  <c r="AK274" i="33"/>
  <c r="AL274" i="33"/>
  <c r="AM274" i="33"/>
  <c r="AN274" i="33"/>
  <c r="AO274" i="33"/>
  <c r="AP274" i="33"/>
  <c r="AQ274" i="33"/>
  <c r="AR274" i="33"/>
  <c r="A273" i="33"/>
  <c r="D382" i="33"/>
  <c r="E382" i="33"/>
  <c r="F382" i="33"/>
  <c r="G382" i="33"/>
  <c r="H382" i="33"/>
  <c r="I382" i="33"/>
  <c r="J382" i="33"/>
  <c r="K382" i="33"/>
  <c r="L382" i="33"/>
  <c r="M382" i="33"/>
  <c r="N382" i="33"/>
  <c r="O382" i="33"/>
  <c r="P382" i="33"/>
  <c r="Q382" i="33"/>
  <c r="R382" i="33"/>
  <c r="S382" i="33"/>
  <c r="T382" i="33"/>
  <c r="U382" i="33"/>
  <c r="W382" i="33"/>
  <c r="X382" i="33"/>
  <c r="Y382" i="33"/>
  <c r="Z382" i="33"/>
  <c r="AA382" i="33"/>
  <c r="AB382" i="33"/>
  <c r="AC382" i="33"/>
  <c r="AD382" i="33"/>
  <c r="AE382" i="33"/>
  <c r="AF382" i="33"/>
  <c r="AG382" i="33"/>
  <c r="AH382" i="33"/>
  <c r="AI382" i="33"/>
  <c r="AJ382" i="33"/>
  <c r="AK382" i="33"/>
  <c r="AL382" i="33"/>
  <c r="AM382" i="33"/>
  <c r="AN382" i="33"/>
  <c r="AO382" i="33"/>
  <c r="AP382" i="33"/>
  <c r="AQ382" i="33"/>
  <c r="AR382" i="33"/>
  <c r="A381" i="33"/>
  <c r="D394" i="33"/>
  <c r="E394" i="33"/>
  <c r="F394" i="33"/>
  <c r="G394" i="33"/>
  <c r="H394" i="33"/>
  <c r="I394" i="33"/>
  <c r="J394" i="33"/>
  <c r="K394" i="33"/>
  <c r="L394" i="33"/>
  <c r="M394" i="33"/>
  <c r="N394" i="33"/>
  <c r="O394" i="33"/>
  <c r="P394" i="33"/>
  <c r="Q394" i="33"/>
  <c r="R394" i="33"/>
  <c r="S394" i="33"/>
  <c r="T394" i="33"/>
  <c r="U394" i="33"/>
  <c r="W394" i="33"/>
  <c r="X394" i="33"/>
  <c r="Y394" i="33"/>
  <c r="Z394" i="33"/>
  <c r="AA394" i="33"/>
  <c r="AB394" i="33"/>
  <c r="AC394" i="33"/>
  <c r="AD394" i="33"/>
  <c r="AE394" i="33"/>
  <c r="AF394" i="33"/>
  <c r="AG394" i="33"/>
  <c r="AH394" i="33"/>
  <c r="AI394" i="33"/>
  <c r="AJ394" i="33"/>
  <c r="AK394" i="33"/>
  <c r="AL394" i="33"/>
  <c r="AM394" i="33"/>
  <c r="AN394" i="33"/>
  <c r="AO394" i="33"/>
  <c r="AP394" i="33"/>
  <c r="AQ394" i="33"/>
  <c r="AR394" i="33"/>
  <c r="A393" i="33"/>
  <c r="D10" i="33"/>
  <c r="E10" i="33"/>
  <c r="F10" i="33"/>
  <c r="G10" i="33"/>
  <c r="H10" i="33"/>
  <c r="I10" i="33"/>
  <c r="J10" i="33"/>
  <c r="K10" i="33"/>
  <c r="L10" i="33"/>
  <c r="M10" i="33"/>
  <c r="N10" i="33"/>
  <c r="O10" i="33"/>
  <c r="P10" i="33"/>
  <c r="Q10" i="33"/>
  <c r="R10" i="33"/>
  <c r="S10" i="33"/>
  <c r="T10" i="33"/>
  <c r="U10" i="33"/>
  <c r="W10" i="33"/>
  <c r="X10" i="33"/>
  <c r="Y10" i="33"/>
  <c r="Z10" i="33"/>
  <c r="AA10" i="33"/>
  <c r="AB10" i="33"/>
  <c r="AC10" i="33"/>
  <c r="AD10" i="33"/>
  <c r="AE10" i="33"/>
  <c r="AF10" i="33"/>
  <c r="AG10" i="33"/>
  <c r="AH10" i="33"/>
  <c r="AI10" i="33"/>
  <c r="AJ10" i="33"/>
  <c r="AK10" i="33"/>
  <c r="AL10" i="33"/>
  <c r="AM10" i="33"/>
  <c r="AN10" i="33"/>
  <c r="AO10" i="33"/>
  <c r="AP10" i="33"/>
  <c r="A9" i="33"/>
  <c r="D22" i="33"/>
  <c r="E22" i="33"/>
  <c r="F22" i="33"/>
  <c r="G22" i="33"/>
  <c r="H22" i="33"/>
  <c r="I22" i="33"/>
  <c r="J22" i="33"/>
  <c r="K22" i="33"/>
  <c r="L22" i="33"/>
  <c r="M22" i="33"/>
  <c r="N22" i="33"/>
  <c r="O22" i="33"/>
  <c r="P22" i="33"/>
  <c r="Q22" i="33"/>
  <c r="R22" i="33"/>
  <c r="S22" i="33"/>
  <c r="T22" i="33"/>
  <c r="U22" i="33"/>
  <c r="W22" i="33"/>
  <c r="X22" i="33"/>
  <c r="Y22" i="33"/>
  <c r="Z22" i="33"/>
  <c r="AA22" i="33"/>
  <c r="AB22" i="33"/>
  <c r="AC22" i="33"/>
  <c r="AD22" i="33"/>
  <c r="AE22" i="33"/>
  <c r="AF22" i="33"/>
  <c r="AG22" i="33"/>
  <c r="AH22" i="33"/>
  <c r="AI22" i="33"/>
  <c r="AJ22" i="33"/>
  <c r="AK22" i="33"/>
  <c r="AL22" i="33"/>
  <c r="AM22" i="33"/>
  <c r="AN22" i="33"/>
  <c r="AO22" i="33"/>
  <c r="AP22" i="33"/>
  <c r="AQ22" i="33"/>
  <c r="AR22" i="33"/>
  <c r="A21" i="33"/>
  <c r="D34" i="33"/>
  <c r="E34" i="33"/>
  <c r="F34" i="33"/>
  <c r="G34" i="33"/>
  <c r="H34" i="33"/>
  <c r="I34" i="33"/>
  <c r="J34" i="33"/>
  <c r="K34" i="33"/>
  <c r="L34" i="33"/>
  <c r="M34" i="33"/>
  <c r="N34" i="33"/>
  <c r="O34" i="33"/>
  <c r="P34" i="33"/>
  <c r="Q34" i="33"/>
  <c r="R34" i="33"/>
  <c r="S34" i="33"/>
  <c r="T34" i="33"/>
  <c r="U34" i="33"/>
  <c r="W34" i="33"/>
  <c r="X34" i="33"/>
  <c r="Y34" i="33"/>
  <c r="Z34" i="33"/>
  <c r="AA34" i="33"/>
  <c r="AB34" i="33"/>
  <c r="AC34" i="33"/>
  <c r="AD34" i="33"/>
  <c r="AE34" i="33"/>
  <c r="AF34" i="33"/>
  <c r="AG34" i="33"/>
  <c r="AH34" i="33"/>
  <c r="AI34" i="33"/>
  <c r="AJ34" i="33"/>
  <c r="AK34" i="33"/>
  <c r="AL34" i="33"/>
  <c r="AM34" i="33"/>
  <c r="AN34" i="33"/>
  <c r="AO34" i="33"/>
  <c r="AP34" i="33"/>
  <c r="AQ34" i="33"/>
  <c r="AR34" i="33"/>
  <c r="A33" i="33"/>
  <c r="D46" i="33"/>
  <c r="E46" i="33"/>
  <c r="F46" i="33"/>
  <c r="G46" i="33"/>
  <c r="H46" i="33"/>
  <c r="I46" i="33"/>
  <c r="J46" i="33"/>
  <c r="K46" i="33"/>
  <c r="L46" i="33"/>
  <c r="M46" i="33"/>
  <c r="N46" i="33"/>
  <c r="O46" i="33"/>
  <c r="P46" i="33"/>
  <c r="Q46" i="33"/>
  <c r="R46" i="33"/>
  <c r="S46" i="33"/>
  <c r="T46" i="33"/>
  <c r="U46" i="33"/>
  <c r="W46" i="33"/>
  <c r="X46" i="33"/>
  <c r="Y46" i="33"/>
  <c r="Z46" i="33"/>
  <c r="AA46" i="33"/>
  <c r="AB46" i="33"/>
  <c r="AC46" i="33"/>
  <c r="AD46" i="33"/>
  <c r="AE46" i="33"/>
  <c r="AF46" i="33"/>
  <c r="AG46" i="33"/>
  <c r="AH46" i="33"/>
  <c r="AI46" i="33"/>
  <c r="AJ46" i="33"/>
  <c r="AK46" i="33"/>
  <c r="AL46" i="33"/>
  <c r="AM46" i="33"/>
  <c r="AN46" i="33"/>
  <c r="AO46" i="33"/>
  <c r="AP46" i="33"/>
  <c r="AQ46" i="33"/>
  <c r="AR46" i="33"/>
  <c r="A45" i="33"/>
  <c r="D58" i="33"/>
  <c r="E58" i="33"/>
  <c r="F58" i="33"/>
  <c r="G58" i="33"/>
  <c r="H58" i="33"/>
  <c r="I58" i="33"/>
  <c r="J58" i="33"/>
  <c r="K58" i="33"/>
  <c r="L58" i="33"/>
  <c r="M58" i="33"/>
  <c r="N58" i="33"/>
  <c r="O58" i="33"/>
  <c r="P58" i="33"/>
  <c r="Q58" i="33"/>
  <c r="R58" i="33"/>
  <c r="S58" i="33"/>
  <c r="T58" i="33"/>
  <c r="U58" i="33"/>
  <c r="W58" i="33"/>
  <c r="X58" i="33"/>
  <c r="Y58" i="33"/>
  <c r="Z58" i="33"/>
  <c r="AA58" i="33"/>
  <c r="AB58" i="33"/>
  <c r="AC58" i="33"/>
  <c r="AD58" i="33"/>
  <c r="AE58" i="33"/>
  <c r="AF58" i="33"/>
  <c r="AG58" i="33"/>
  <c r="AH58" i="33"/>
  <c r="AI58" i="33"/>
  <c r="AJ58" i="33"/>
  <c r="AK58" i="33"/>
  <c r="AL58" i="33"/>
  <c r="AM58" i="33"/>
  <c r="AN58" i="33"/>
  <c r="AO58" i="33"/>
  <c r="AP58" i="33"/>
  <c r="AQ58" i="33"/>
  <c r="AR58" i="33"/>
  <c r="A57" i="33"/>
  <c r="D70" i="33"/>
  <c r="E70" i="33"/>
  <c r="F70" i="33"/>
  <c r="G70" i="33"/>
  <c r="H70" i="33"/>
  <c r="I70" i="33"/>
  <c r="J70" i="33"/>
  <c r="K70" i="33"/>
  <c r="L70" i="33"/>
  <c r="M70" i="33"/>
  <c r="N70" i="33"/>
  <c r="O70" i="33"/>
  <c r="P70" i="33"/>
  <c r="Q70" i="33"/>
  <c r="R70" i="33"/>
  <c r="S70" i="33"/>
  <c r="T70" i="33"/>
  <c r="U70" i="33"/>
  <c r="W70" i="33"/>
  <c r="X70" i="33"/>
  <c r="Y70" i="33"/>
  <c r="Z70" i="33"/>
  <c r="AA70" i="33"/>
  <c r="AB70" i="33"/>
  <c r="AC70" i="33"/>
  <c r="AD70" i="33"/>
  <c r="AE70" i="33"/>
  <c r="AF70" i="33"/>
  <c r="AG70" i="33"/>
  <c r="AH70" i="33"/>
  <c r="AI70" i="33"/>
  <c r="AJ70" i="33"/>
  <c r="AK70" i="33"/>
  <c r="AL70" i="33"/>
  <c r="AM70" i="33"/>
  <c r="AN70" i="33"/>
  <c r="AO70" i="33"/>
  <c r="AP70" i="33"/>
  <c r="AQ70" i="33"/>
  <c r="AR70" i="33"/>
  <c r="A69" i="33"/>
  <c r="D82" i="33"/>
  <c r="E82" i="33"/>
  <c r="F82" i="33"/>
  <c r="G82" i="33"/>
  <c r="H82" i="33"/>
  <c r="I82" i="33"/>
  <c r="J82" i="33"/>
  <c r="K82" i="33"/>
  <c r="L82" i="33"/>
  <c r="M82" i="33"/>
  <c r="N82" i="33"/>
  <c r="O82" i="33"/>
  <c r="P82" i="33"/>
  <c r="Q82" i="33"/>
  <c r="R82" i="33"/>
  <c r="S82" i="33"/>
  <c r="T82" i="33"/>
  <c r="U82" i="33"/>
  <c r="W82" i="33"/>
  <c r="X82" i="33"/>
  <c r="Y82" i="33"/>
  <c r="Z82" i="33"/>
  <c r="AA82" i="33"/>
  <c r="AB82" i="33"/>
  <c r="AC82" i="33"/>
  <c r="AD82" i="33"/>
  <c r="AE82" i="33"/>
  <c r="AF82" i="33"/>
  <c r="AG82" i="33"/>
  <c r="AH82" i="33"/>
  <c r="AI82" i="33"/>
  <c r="AJ82" i="33"/>
  <c r="AK82" i="33"/>
  <c r="AL82" i="33"/>
  <c r="AM82" i="33"/>
  <c r="AN82" i="33"/>
  <c r="AO82" i="33"/>
  <c r="AP82" i="33"/>
  <c r="AQ82" i="33"/>
  <c r="AR82" i="33"/>
  <c r="A81" i="33"/>
  <c r="D94" i="33"/>
  <c r="E94" i="33"/>
  <c r="F94" i="33"/>
  <c r="G94" i="33"/>
  <c r="H94" i="33"/>
  <c r="I94" i="33"/>
  <c r="J94" i="33"/>
  <c r="K94" i="33"/>
  <c r="L94" i="33"/>
  <c r="M94" i="33"/>
  <c r="N94" i="33"/>
  <c r="P94" i="33"/>
  <c r="Q94" i="33"/>
  <c r="R94" i="33"/>
  <c r="S94" i="33"/>
  <c r="T94" i="33"/>
  <c r="U94" i="33"/>
  <c r="W94" i="33"/>
  <c r="X94" i="33"/>
  <c r="Y94" i="33"/>
  <c r="Z94" i="33"/>
  <c r="AA94" i="33"/>
  <c r="AB94" i="33"/>
  <c r="AC94" i="33"/>
  <c r="AD94" i="33"/>
  <c r="AE94" i="33"/>
  <c r="AF94" i="33"/>
  <c r="AG94" i="33"/>
  <c r="AH94" i="33"/>
  <c r="AI94" i="33"/>
  <c r="AJ94" i="33"/>
  <c r="AK94" i="33"/>
  <c r="AL94" i="33"/>
  <c r="AM94" i="33"/>
  <c r="AN94" i="33"/>
  <c r="AO94" i="33"/>
  <c r="AP94" i="33"/>
  <c r="AQ94" i="33"/>
  <c r="AR94" i="33"/>
  <c r="A93" i="33"/>
  <c r="D106" i="33"/>
  <c r="E106" i="33"/>
  <c r="F106" i="33"/>
  <c r="G106" i="33"/>
  <c r="H106" i="33"/>
  <c r="I106" i="33"/>
  <c r="J106" i="33"/>
  <c r="K106" i="33"/>
  <c r="L106" i="33"/>
  <c r="M106" i="33"/>
  <c r="N106" i="33"/>
  <c r="O106" i="33"/>
  <c r="P106" i="33"/>
  <c r="Q106" i="33"/>
  <c r="R106" i="33"/>
  <c r="T106" i="33"/>
  <c r="U106" i="33"/>
  <c r="W106" i="33"/>
  <c r="X106" i="33"/>
  <c r="Y106" i="33"/>
  <c r="Z106" i="33"/>
  <c r="AA106" i="33"/>
  <c r="AB106" i="33"/>
  <c r="AC106" i="33"/>
  <c r="AE106" i="33"/>
  <c r="AF106" i="33"/>
  <c r="AG106" i="33"/>
  <c r="AH106" i="33"/>
  <c r="AI106" i="33"/>
  <c r="AJ106" i="33"/>
  <c r="AK106" i="33"/>
  <c r="AL106" i="33"/>
  <c r="AM106" i="33"/>
  <c r="AN106" i="33"/>
  <c r="AO106" i="33"/>
  <c r="AP106" i="33"/>
  <c r="AQ106" i="33"/>
  <c r="AR106" i="33"/>
  <c r="A105" i="33"/>
  <c r="D118" i="33"/>
  <c r="E118" i="33"/>
  <c r="F118" i="33"/>
  <c r="G118" i="33"/>
  <c r="H118" i="33"/>
  <c r="I118" i="33"/>
  <c r="J118" i="33"/>
  <c r="K118" i="33"/>
  <c r="L118" i="33"/>
  <c r="M118" i="33"/>
  <c r="N118" i="33"/>
  <c r="O118" i="33"/>
  <c r="P118" i="33"/>
  <c r="Q118" i="33"/>
  <c r="R118" i="33"/>
  <c r="S118" i="33"/>
  <c r="T118" i="33"/>
  <c r="U118" i="33"/>
  <c r="W118" i="33"/>
  <c r="X118" i="33"/>
  <c r="Y118" i="33"/>
  <c r="Z118" i="33"/>
  <c r="AA118" i="33"/>
  <c r="AB118" i="33"/>
  <c r="AC118" i="33"/>
  <c r="AD118" i="33"/>
  <c r="AE118" i="33"/>
  <c r="AF118" i="33"/>
  <c r="AG118" i="33"/>
  <c r="AH118" i="33"/>
  <c r="AI118" i="33"/>
  <c r="AJ118" i="33"/>
  <c r="AK118" i="33"/>
  <c r="AL118" i="33"/>
  <c r="AM118" i="33"/>
  <c r="AN118" i="33"/>
  <c r="AO118" i="33"/>
  <c r="AP118" i="33"/>
  <c r="AQ118" i="33"/>
  <c r="AR118" i="33"/>
  <c r="A117" i="33"/>
  <c r="D130" i="33"/>
  <c r="E130" i="33"/>
  <c r="F130" i="33"/>
  <c r="G130" i="33"/>
  <c r="H130" i="33"/>
  <c r="I130" i="33"/>
  <c r="J130" i="33"/>
  <c r="K130" i="33"/>
  <c r="L130" i="33"/>
  <c r="M130" i="33"/>
  <c r="N130" i="33"/>
  <c r="O130" i="33"/>
  <c r="P130" i="33"/>
  <c r="Q130" i="33"/>
  <c r="R130" i="33"/>
  <c r="S130" i="33"/>
  <c r="T130" i="33"/>
  <c r="U130" i="33"/>
  <c r="W130" i="33"/>
  <c r="X130" i="33"/>
  <c r="Y130" i="33"/>
  <c r="Z130" i="33"/>
  <c r="AA130" i="33"/>
  <c r="AB130" i="33"/>
  <c r="AC130" i="33"/>
  <c r="AD130" i="33"/>
  <c r="AE130" i="33"/>
  <c r="AF130" i="33"/>
  <c r="AG130" i="33"/>
  <c r="AH130" i="33"/>
  <c r="AI130" i="33"/>
  <c r="AJ130" i="33"/>
  <c r="AK130" i="33"/>
  <c r="AL130" i="33"/>
  <c r="AM130" i="33"/>
  <c r="AN130" i="33"/>
  <c r="AO130" i="33"/>
  <c r="AP130" i="33"/>
  <c r="AQ130" i="33"/>
  <c r="AR130" i="33"/>
  <c r="A129" i="33"/>
  <c r="D142" i="33"/>
  <c r="E142" i="33"/>
  <c r="F142" i="33"/>
  <c r="G142" i="33"/>
  <c r="H142" i="33"/>
  <c r="I142" i="33"/>
  <c r="J142" i="33"/>
  <c r="K142" i="33"/>
  <c r="L142" i="33"/>
  <c r="M142" i="33"/>
  <c r="N142" i="33"/>
  <c r="O142" i="33"/>
  <c r="P142" i="33"/>
  <c r="Q142" i="33"/>
  <c r="R142" i="33"/>
  <c r="S142" i="33"/>
  <c r="T142" i="33"/>
  <c r="U142" i="33"/>
  <c r="W142" i="33"/>
  <c r="X142" i="33"/>
  <c r="Y142" i="33"/>
  <c r="Z142" i="33"/>
  <c r="AA142" i="33"/>
  <c r="AB142" i="33"/>
  <c r="AC142" i="33"/>
  <c r="AD142" i="33"/>
  <c r="AE142" i="33"/>
  <c r="AF142" i="33"/>
  <c r="AG142" i="33"/>
  <c r="AH142" i="33"/>
  <c r="AI142" i="33"/>
  <c r="AJ142" i="33"/>
  <c r="AK142" i="33"/>
  <c r="AL142" i="33"/>
  <c r="AM142" i="33"/>
  <c r="AN142" i="33"/>
  <c r="AO142" i="33"/>
  <c r="AP142" i="33"/>
  <c r="AQ142" i="33"/>
  <c r="AR142" i="33"/>
  <c r="A141" i="33"/>
  <c r="D154" i="33"/>
  <c r="E154" i="33"/>
  <c r="F154" i="33"/>
  <c r="G154" i="33"/>
  <c r="H154" i="33"/>
  <c r="I154" i="33"/>
  <c r="J154" i="33"/>
  <c r="K154" i="33"/>
  <c r="L154" i="33"/>
  <c r="M154" i="33"/>
  <c r="N154" i="33"/>
  <c r="O154" i="33"/>
  <c r="P154" i="33"/>
  <c r="Q154" i="33"/>
  <c r="R154" i="33"/>
  <c r="S154" i="33"/>
  <c r="T154" i="33"/>
  <c r="U154" i="33"/>
  <c r="W154" i="33"/>
  <c r="X154" i="33"/>
  <c r="Y154" i="33"/>
  <c r="Z154" i="33"/>
  <c r="AA154" i="33"/>
  <c r="AB154" i="33"/>
  <c r="AC154" i="33"/>
  <c r="AD154" i="33"/>
  <c r="AE154" i="33"/>
  <c r="AF154" i="33"/>
  <c r="AG154" i="33"/>
  <c r="AH154" i="33"/>
  <c r="AI154" i="33"/>
  <c r="AJ154" i="33"/>
  <c r="AK154" i="33"/>
  <c r="AL154" i="33"/>
  <c r="AM154" i="33"/>
  <c r="AN154" i="33"/>
  <c r="AO154" i="33"/>
  <c r="AP154" i="33"/>
  <c r="AQ154" i="33"/>
  <c r="AR154" i="33"/>
  <c r="A153" i="33"/>
  <c r="D166" i="33"/>
  <c r="E166" i="33"/>
  <c r="F166" i="33"/>
  <c r="G166" i="33"/>
  <c r="H166" i="33"/>
  <c r="I166" i="33"/>
  <c r="J166" i="33"/>
  <c r="K166" i="33"/>
  <c r="L166" i="33"/>
  <c r="M166" i="33"/>
  <c r="N166" i="33"/>
  <c r="O166" i="33"/>
  <c r="P166" i="33"/>
  <c r="Q166" i="33"/>
  <c r="R166" i="33"/>
  <c r="S166" i="33"/>
  <c r="T166" i="33"/>
  <c r="U166" i="33"/>
  <c r="W166" i="33"/>
  <c r="X166" i="33"/>
  <c r="Y166" i="33"/>
  <c r="Z166" i="33"/>
  <c r="AA166" i="33"/>
  <c r="AB166" i="33"/>
  <c r="AC166" i="33"/>
  <c r="AD166" i="33"/>
  <c r="AE166" i="33"/>
  <c r="AF166" i="33"/>
  <c r="AG166" i="33"/>
  <c r="AH166" i="33"/>
  <c r="AI166" i="33"/>
  <c r="AJ166" i="33"/>
  <c r="AK166" i="33"/>
  <c r="AL166" i="33"/>
  <c r="AM166" i="33"/>
  <c r="AN166" i="33"/>
  <c r="AO166" i="33"/>
  <c r="AP166" i="33"/>
  <c r="AQ166" i="33"/>
  <c r="AR166" i="33"/>
  <c r="A165" i="33"/>
  <c r="D178" i="33"/>
  <c r="E178" i="33"/>
  <c r="F178" i="33"/>
  <c r="G178" i="33"/>
  <c r="H178" i="33"/>
  <c r="I178" i="33"/>
  <c r="J178" i="33"/>
  <c r="K178" i="33"/>
  <c r="L178" i="33"/>
  <c r="M178" i="33"/>
  <c r="N178" i="33"/>
  <c r="O178" i="33"/>
  <c r="P178" i="33"/>
  <c r="Q178" i="33"/>
  <c r="R178" i="33"/>
  <c r="S178" i="33"/>
  <c r="T178" i="33"/>
  <c r="U178" i="33"/>
  <c r="W178" i="33"/>
  <c r="X178" i="33"/>
  <c r="Y178" i="33"/>
  <c r="Z178" i="33"/>
  <c r="AA178" i="33"/>
  <c r="AB178" i="33"/>
  <c r="AC178" i="33"/>
  <c r="AD178" i="33"/>
  <c r="AE178" i="33"/>
  <c r="AF178" i="33"/>
  <c r="AG178" i="33"/>
  <c r="AH178" i="33"/>
  <c r="AI178" i="33"/>
  <c r="AJ178" i="33"/>
  <c r="AK178" i="33"/>
  <c r="AL178" i="33"/>
  <c r="AM178" i="33"/>
  <c r="AN178" i="33"/>
  <c r="AO178" i="33"/>
  <c r="AP178" i="33"/>
  <c r="AQ178" i="33"/>
  <c r="AR178" i="33"/>
  <c r="A177" i="33"/>
  <c r="D190" i="33"/>
  <c r="E190" i="33"/>
  <c r="F190" i="33"/>
  <c r="G190" i="33"/>
  <c r="H190" i="33"/>
  <c r="I190" i="33"/>
  <c r="J190" i="33"/>
  <c r="K190" i="33"/>
  <c r="L190" i="33"/>
  <c r="M190" i="33"/>
  <c r="N190" i="33"/>
  <c r="O190" i="33"/>
  <c r="P190" i="33"/>
  <c r="Q190" i="33"/>
  <c r="R190" i="33"/>
  <c r="S190" i="33"/>
  <c r="T190" i="33"/>
  <c r="U190" i="33"/>
  <c r="W190" i="33"/>
  <c r="X190" i="33"/>
  <c r="Y190" i="33"/>
  <c r="Z190" i="33"/>
  <c r="AA190" i="33"/>
  <c r="AB190" i="33"/>
  <c r="AC190" i="33"/>
  <c r="AD190" i="33"/>
  <c r="AE190" i="33"/>
  <c r="AF190" i="33"/>
  <c r="AG190" i="33"/>
  <c r="AH190" i="33"/>
  <c r="AI190" i="33"/>
  <c r="AJ190" i="33"/>
  <c r="AK190" i="33"/>
  <c r="AL190" i="33"/>
  <c r="AM190" i="33"/>
  <c r="AN190" i="33"/>
  <c r="AO190" i="33"/>
  <c r="AP190" i="33"/>
  <c r="AQ190" i="33"/>
  <c r="AR190" i="33"/>
  <c r="A189" i="33"/>
  <c r="D202" i="33"/>
  <c r="E202" i="33"/>
  <c r="F202" i="33"/>
  <c r="G202" i="33"/>
  <c r="H202" i="33"/>
  <c r="I202" i="33"/>
  <c r="J202" i="33"/>
  <c r="K202" i="33"/>
  <c r="L202" i="33"/>
  <c r="M202" i="33"/>
  <c r="N202" i="33"/>
  <c r="O202" i="33"/>
  <c r="P202" i="33"/>
  <c r="Q202" i="33"/>
  <c r="R202" i="33"/>
  <c r="S202" i="33"/>
  <c r="T202" i="33"/>
  <c r="U202" i="33"/>
  <c r="W202" i="33"/>
  <c r="X202" i="33"/>
  <c r="Y202" i="33"/>
  <c r="Z202" i="33"/>
  <c r="AA202" i="33"/>
  <c r="AB202" i="33"/>
  <c r="AC202" i="33"/>
  <c r="AD202" i="33"/>
  <c r="AE202" i="33"/>
  <c r="AF202" i="33"/>
  <c r="AG202" i="33"/>
  <c r="AH202" i="33"/>
  <c r="AI202" i="33"/>
  <c r="AJ202" i="33"/>
  <c r="AK202" i="33"/>
  <c r="AL202" i="33"/>
  <c r="AM202" i="33"/>
  <c r="AN202" i="33"/>
  <c r="AO202" i="33"/>
  <c r="AP202" i="33"/>
  <c r="AQ202" i="33"/>
  <c r="AR202" i="33"/>
  <c r="A201" i="33"/>
  <c r="D214" i="33"/>
  <c r="E214" i="33"/>
  <c r="F214" i="33"/>
  <c r="G214" i="33"/>
  <c r="H214" i="33"/>
  <c r="I214" i="33"/>
  <c r="J214" i="33"/>
  <c r="K214" i="33"/>
  <c r="L214" i="33"/>
  <c r="M214" i="33"/>
  <c r="N214" i="33"/>
  <c r="O214" i="33"/>
  <c r="P214" i="33"/>
  <c r="Q214" i="33"/>
  <c r="R214" i="33"/>
  <c r="S214" i="33"/>
  <c r="T214" i="33"/>
  <c r="U214" i="33"/>
  <c r="W214" i="33"/>
  <c r="X214" i="33"/>
  <c r="Y214" i="33"/>
  <c r="Z214" i="33"/>
  <c r="AA214" i="33"/>
  <c r="AB214" i="33"/>
  <c r="AC214" i="33"/>
  <c r="AD214" i="33"/>
  <c r="AE214" i="33"/>
  <c r="AF214" i="33"/>
  <c r="AG214" i="33"/>
  <c r="AH214" i="33"/>
  <c r="AI214" i="33"/>
  <c r="AJ214" i="33"/>
  <c r="AK214" i="33"/>
  <c r="AL214" i="33"/>
  <c r="AM214" i="33"/>
  <c r="AN214" i="33"/>
  <c r="AO214" i="33"/>
  <c r="AP214" i="33"/>
  <c r="A213" i="33"/>
  <c r="D226" i="33"/>
  <c r="E226" i="33"/>
  <c r="F226" i="33"/>
  <c r="G226" i="33"/>
  <c r="H226" i="33"/>
  <c r="I226" i="33"/>
  <c r="J226" i="33"/>
  <c r="K226" i="33"/>
  <c r="L226" i="33"/>
  <c r="M226" i="33"/>
  <c r="N226" i="33"/>
  <c r="O226" i="33"/>
  <c r="P226" i="33"/>
  <c r="Q226" i="33"/>
  <c r="R226" i="33"/>
  <c r="S226" i="33"/>
  <c r="T226" i="33"/>
  <c r="U226" i="33"/>
  <c r="W226" i="33"/>
  <c r="X226" i="33"/>
  <c r="Y226" i="33"/>
  <c r="Z226" i="33"/>
  <c r="AA226" i="33"/>
  <c r="AB226" i="33"/>
  <c r="AC226" i="33"/>
  <c r="AD226" i="33"/>
  <c r="AE226" i="33"/>
  <c r="AF226" i="33"/>
  <c r="AG226" i="33"/>
  <c r="AH226" i="33"/>
  <c r="AI226" i="33"/>
  <c r="AJ226" i="33"/>
  <c r="AK226" i="33"/>
  <c r="AL226" i="33"/>
  <c r="AM226" i="33"/>
  <c r="AN226" i="33"/>
  <c r="AO226" i="33"/>
  <c r="AP226" i="33"/>
  <c r="AQ226" i="33"/>
  <c r="AR226" i="33"/>
  <c r="A225" i="33"/>
  <c r="D238" i="33"/>
  <c r="E238" i="33"/>
  <c r="F238" i="33"/>
  <c r="G238" i="33"/>
  <c r="H238" i="33"/>
  <c r="I238" i="33"/>
  <c r="J238" i="33"/>
  <c r="K238" i="33"/>
  <c r="L238" i="33"/>
  <c r="M238" i="33"/>
  <c r="N238" i="33"/>
  <c r="O238" i="33"/>
  <c r="P238" i="33"/>
  <c r="Q238" i="33"/>
  <c r="R238" i="33"/>
  <c r="S238" i="33"/>
  <c r="T238" i="33"/>
  <c r="U238" i="33"/>
  <c r="W238" i="33"/>
  <c r="X238" i="33"/>
  <c r="Y238" i="33"/>
  <c r="Z238" i="33"/>
  <c r="AA238" i="33"/>
  <c r="AB238" i="33"/>
  <c r="AC238" i="33"/>
  <c r="AD238" i="33"/>
  <c r="AE238" i="33"/>
  <c r="AF238" i="33"/>
  <c r="AG238" i="33"/>
  <c r="AH238" i="33"/>
  <c r="AI238" i="33"/>
  <c r="AJ238" i="33"/>
  <c r="AK238" i="33"/>
  <c r="AL238" i="33"/>
  <c r="AM238" i="33"/>
  <c r="AN238" i="33"/>
  <c r="AO238" i="33"/>
  <c r="AP238" i="33"/>
  <c r="AQ238" i="33"/>
  <c r="AR238" i="33"/>
  <c r="A237" i="33"/>
  <c r="D250" i="33"/>
  <c r="E250" i="33"/>
  <c r="F250" i="33"/>
  <c r="G250" i="33"/>
  <c r="H250" i="33"/>
  <c r="I250" i="33"/>
  <c r="J250" i="33"/>
  <c r="K250" i="33"/>
  <c r="L250" i="33"/>
  <c r="M250" i="33"/>
  <c r="N250" i="33"/>
  <c r="O250" i="33"/>
  <c r="P250" i="33"/>
  <c r="Q250" i="33"/>
  <c r="R250" i="33"/>
  <c r="S250" i="33"/>
  <c r="T250" i="33"/>
  <c r="U250" i="33"/>
  <c r="W250" i="33"/>
  <c r="X250" i="33"/>
  <c r="Y250" i="33"/>
  <c r="Z250" i="33"/>
  <c r="AA250" i="33"/>
  <c r="AB250" i="33"/>
  <c r="AC250" i="33"/>
  <c r="AD250" i="33"/>
  <c r="AE250" i="33"/>
  <c r="AF250" i="33"/>
  <c r="AG250" i="33"/>
  <c r="AH250" i="33"/>
  <c r="AI250" i="33"/>
  <c r="AJ250" i="33"/>
  <c r="AK250" i="33"/>
  <c r="AL250" i="33"/>
  <c r="AM250" i="33"/>
  <c r="AN250" i="33"/>
  <c r="AO250" i="33"/>
  <c r="AP250" i="33"/>
  <c r="AQ250" i="33"/>
  <c r="AR250" i="33"/>
  <c r="A249" i="33"/>
  <c r="D262" i="33"/>
  <c r="E262" i="33"/>
  <c r="F262" i="33"/>
  <c r="G262" i="33"/>
  <c r="H262" i="33"/>
  <c r="I262" i="33"/>
  <c r="J262" i="33"/>
  <c r="K262" i="33"/>
  <c r="L262" i="33"/>
  <c r="M262" i="33"/>
  <c r="N262" i="33"/>
  <c r="O262" i="33"/>
  <c r="P262" i="33"/>
  <c r="Q262" i="33"/>
  <c r="R262" i="33"/>
  <c r="S262" i="33"/>
  <c r="T262" i="33"/>
  <c r="U262" i="33"/>
  <c r="W262" i="33"/>
  <c r="X262" i="33"/>
  <c r="Y262" i="33"/>
  <c r="Z262" i="33"/>
  <c r="AA262" i="33"/>
  <c r="AB262" i="33"/>
  <c r="AC262" i="33"/>
  <c r="AD262" i="33"/>
  <c r="AE262" i="33"/>
  <c r="AF262" i="33"/>
  <c r="AG262" i="33"/>
  <c r="AH262" i="33"/>
  <c r="AI262" i="33"/>
  <c r="AJ262" i="33"/>
  <c r="AK262" i="33"/>
  <c r="AL262" i="33"/>
  <c r="AM262" i="33"/>
  <c r="AN262" i="33"/>
  <c r="AO262" i="33"/>
  <c r="AP262" i="33"/>
  <c r="AQ262" i="33"/>
  <c r="AR262" i="33"/>
  <c r="A261" i="33"/>
  <c r="D286" i="33"/>
  <c r="E286" i="33"/>
  <c r="F286" i="33"/>
  <c r="G286" i="33"/>
  <c r="H286" i="33"/>
  <c r="I286" i="33"/>
  <c r="J286" i="33"/>
  <c r="K286" i="33"/>
  <c r="L286" i="33"/>
  <c r="M286" i="33"/>
  <c r="N286" i="33"/>
  <c r="O286" i="33"/>
  <c r="P286" i="33"/>
  <c r="Q286" i="33"/>
  <c r="R286" i="33"/>
  <c r="S286" i="33"/>
  <c r="T286" i="33"/>
  <c r="U286" i="33"/>
  <c r="W286" i="33"/>
  <c r="X286" i="33"/>
  <c r="Y286" i="33"/>
  <c r="Z286" i="33"/>
  <c r="AA286" i="33"/>
  <c r="AB286" i="33"/>
  <c r="AC286" i="33"/>
  <c r="AD286" i="33"/>
  <c r="AE286" i="33"/>
  <c r="AF286" i="33"/>
  <c r="AG286" i="33"/>
  <c r="AH286" i="33"/>
  <c r="AI286" i="33"/>
  <c r="AJ286" i="33"/>
  <c r="AK286" i="33"/>
  <c r="AL286" i="33"/>
  <c r="AM286" i="33"/>
  <c r="AN286" i="33"/>
  <c r="AO286" i="33"/>
  <c r="AP286" i="33"/>
  <c r="A285" i="33"/>
  <c r="D298" i="33"/>
  <c r="E298" i="33"/>
  <c r="F298" i="33"/>
  <c r="G298" i="33"/>
  <c r="H298" i="33"/>
  <c r="I298" i="33"/>
  <c r="J298" i="33"/>
  <c r="K298" i="33"/>
  <c r="L298" i="33"/>
  <c r="M298" i="33"/>
  <c r="N298" i="33"/>
  <c r="O298" i="33"/>
  <c r="P298" i="33"/>
  <c r="Q298" i="33"/>
  <c r="R298" i="33"/>
  <c r="S298" i="33"/>
  <c r="T298" i="33"/>
  <c r="U298" i="33"/>
  <c r="W298" i="33"/>
  <c r="X298" i="33"/>
  <c r="Y298" i="33"/>
  <c r="Z298" i="33"/>
  <c r="AA298" i="33"/>
  <c r="AB298" i="33"/>
  <c r="AC298" i="33"/>
  <c r="AD298" i="33"/>
  <c r="AE298" i="33"/>
  <c r="AF298" i="33"/>
  <c r="AG298" i="33"/>
  <c r="AH298" i="33"/>
  <c r="AI298" i="33"/>
  <c r="AJ298" i="33"/>
  <c r="AK298" i="33"/>
  <c r="AL298" i="33"/>
  <c r="AM298" i="33"/>
  <c r="AN298" i="33"/>
  <c r="AO298" i="33"/>
  <c r="AP298" i="33"/>
  <c r="AQ298" i="33"/>
  <c r="AR298" i="33"/>
  <c r="A297" i="33"/>
  <c r="D310" i="33"/>
  <c r="E310" i="33"/>
  <c r="F310" i="33"/>
  <c r="G310" i="33"/>
  <c r="H310" i="33"/>
  <c r="I310" i="33"/>
  <c r="J310" i="33"/>
  <c r="K310" i="33"/>
  <c r="L310" i="33"/>
  <c r="M310" i="33"/>
  <c r="N310" i="33"/>
  <c r="O310" i="33"/>
  <c r="P310" i="33"/>
  <c r="Q310" i="33"/>
  <c r="R310" i="33"/>
  <c r="S310" i="33"/>
  <c r="T310" i="33"/>
  <c r="U310" i="33"/>
  <c r="W310" i="33"/>
  <c r="X310" i="33"/>
  <c r="Y310" i="33"/>
  <c r="Z310" i="33"/>
  <c r="AA310" i="33"/>
  <c r="AB310" i="33"/>
  <c r="AC310" i="33"/>
  <c r="AD310" i="33"/>
  <c r="AE310" i="33"/>
  <c r="AF310" i="33"/>
  <c r="AG310" i="33"/>
  <c r="AH310" i="33"/>
  <c r="AI310" i="33"/>
  <c r="AJ310" i="33"/>
  <c r="AK310" i="33"/>
  <c r="AL310" i="33"/>
  <c r="AM310" i="33"/>
  <c r="AN310" i="33"/>
  <c r="AO310" i="33"/>
  <c r="AP310" i="33"/>
  <c r="AQ310" i="33"/>
  <c r="AR310" i="33"/>
  <c r="A309" i="33"/>
  <c r="D322" i="33"/>
  <c r="E322" i="33"/>
  <c r="F322" i="33"/>
  <c r="G322" i="33"/>
  <c r="H322" i="33"/>
  <c r="I322" i="33"/>
  <c r="J322" i="33"/>
  <c r="K322" i="33"/>
  <c r="L322" i="33"/>
  <c r="M322" i="33"/>
  <c r="N322" i="33"/>
  <c r="O322" i="33"/>
  <c r="P322" i="33"/>
  <c r="Q322" i="33"/>
  <c r="R322" i="33"/>
  <c r="S322" i="33"/>
  <c r="T322" i="33"/>
  <c r="U322" i="33"/>
  <c r="W322" i="33"/>
  <c r="X322" i="33"/>
  <c r="Y322" i="33"/>
  <c r="Z322" i="33"/>
  <c r="AA322" i="33"/>
  <c r="AB322" i="33"/>
  <c r="AC322" i="33"/>
  <c r="AD322" i="33"/>
  <c r="AE322" i="33"/>
  <c r="AF322" i="33"/>
  <c r="AG322" i="33"/>
  <c r="AH322" i="33"/>
  <c r="AI322" i="33"/>
  <c r="AJ322" i="33"/>
  <c r="AK322" i="33"/>
  <c r="AL322" i="33"/>
  <c r="AM322" i="33"/>
  <c r="AN322" i="33"/>
  <c r="AO322" i="33"/>
  <c r="AP322" i="33"/>
  <c r="AQ322" i="33"/>
  <c r="AR322" i="33"/>
  <c r="A321" i="33"/>
  <c r="D334" i="33"/>
  <c r="E334" i="33"/>
  <c r="F334" i="33"/>
  <c r="G334" i="33"/>
  <c r="H334" i="33"/>
  <c r="I334" i="33"/>
  <c r="J334" i="33"/>
  <c r="K334" i="33"/>
  <c r="L334" i="33"/>
  <c r="M334" i="33"/>
  <c r="N334" i="33"/>
  <c r="O334" i="33"/>
  <c r="P334" i="33"/>
  <c r="Q334" i="33"/>
  <c r="R334" i="33"/>
  <c r="S334" i="33"/>
  <c r="T334" i="33"/>
  <c r="U334" i="33"/>
  <c r="W334" i="33"/>
  <c r="X334" i="33"/>
  <c r="Y334" i="33"/>
  <c r="Z334" i="33"/>
  <c r="AA334" i="33"/>
  <c r="AB334" i="33"/>
  <c r="AC334" i="33"/>
  <c r="AD334" i="33"/>
  <c r="AE334" i="33"/>
  <c r="AF334" i="33"/>
  <c r="AG334" i="33"/>
  <c r="AH334" i="33"/>
  <c r="AI334" i="33"/>
  <c r="AJ334" i="33"/>
  <c r="AK334" i="33"/>
  <c r="AL334" i="33"/>
  <c r="AM334" i="33"/>
  <c r="AN334" i="33"/>
  <c r="AO334" i="33"/>
  <c r="AP334" i="33"/>
  <c r="AQ334" i="33"/>
  <c r="AR334" i="33"/>
  <c r="A333" i="33"/>
  <c r="D346" i="33"/>
  <c r="E346" i="33"/>
  <c r="F346" i="33"/>
  <c r="G346" i="33"/>
  <c r="H346" i="33"/>
  <c r="I346" i="33"/>
  <c r="J346" i="33"/>
  <c r="K346" i="33"/>
  <c r="L346" i="33"/>
  <c r="M346" i="33"/>
  <c r="N346" i="33"/>
  <c r="O346" i="33"/>
  <c r="P346" i="33"/>
  <c r="Q346" i="33"/>
  <c r="R346" i="33"/>
  <c r="S346" i="33"/>
  <c r="T346" i="33"/>
  <c r="U346" i="33"/>
  <c r="W346" i="33"/>
  <c r="X346" i="33"/>
  <c r="Y346" i="33"/>
  <c r="Z346" i="33"/>
  <c r="AA346" i="33"/>
  <c r="AB346" i="33"/>
  <c r="AC346" i="33"/>
  <c r="AD346" i="33"/>
  <c r="AE346" i="33"/>
  <c r="AF346" i="33"/>
  <c r="AG346" i="33"/>
  <c r="AH346" i="33"/>
  <c r="AI346" i="33"/>
  <c r="AJ346" i="33"/>
  <c r="AK346" i="33"/>
  <c r="AL346" i="33"/>
  <c r="AM346" i="33"/>
  <c r="AN346" i="33"/>
  <c r="AO346" i="33"/>
  <c r="AP346" i="33"/>
  <c r="AQ346" i="33"/>
  <c r="AR346" i="33"/>
  <c r="A345" i="33"/>
  <c r="D358" i="33"/>
  <c r="E358" i="33"/>
  <c r="F358" i="33"/>
  <c r="G358" i="33"/>
  <c r="H358" i="33"/>
  <c r="I358" i="33"/>
  <c r="J358" i="33"/>
  <c r="K358" i="33"/>
  <c r="L358" i="33"/>
  <c r="M358" i="33"/>
  <c r="N358" i="33"/>
  <c r="O358" i="33"/>
  <c r="P358" i="33"/>
  <c r="Q358" i="33"/>
  <c r="R358" i="33"/>
  <c r="S358" i="33"/>
  <c r="T358" i="33"/>
  <c r="U358" i="33"/>
  <c r="W358" i="33"/>
  <c r="X358" i="33"/>
  <c r="Y358" i="33"/>
  <c r="Z358" i="33"/>
  <c r="AA358" i="33"/>
  <c r="AB358" i="33"/>
  <c r="AC358" i="33"/>
  <c r="AD358" i="33"/>
  <c r="AE358" i="33"/>
  <c r="AF358" i="33"/>
  <c r="AG358" i="33"/>
  <c r="AH358" i="33"/>
  <c r="AI358" i="33"/>
  <c r="AJ358" i="33"/>
  <c r="AK358" i="33"/>
  <c r="AL358" i="33"/>
  <c r="AM358" i="33"/>
  <c r="AN358" i="33"/>
  <c r="AO358" i="33"/>
  <c r="AP358" i="33"/>
  <c r="AQ358" i="33"/>
  <c r="AR358" i="33"/>
  <c r="A357" i="33"/>
  <c r="D370" i="33"/>
  <c r="E370" i="33"/>
  <c r="F370" i="33"/>
  <c r="G370" i="33"/>
  <c r="H370" i="33"/>
  <c r="I370" i="33"/>
  <c r="J370" i="33"/>
  <c r="K370" i="33"/>
  <c r="L370" i="33"/>
  <c r="M370" i="33"/>
  <c r="N370" i="33"/>
  <c r="P370" i="33"/>
  <c r="Q370" i="33"/>
  <c r="R370" i="33"/>
  <c r="S370" i="33"/>
  <c r="T370" i="33"/>
  <c r="U370" i="33"/>
  <c r="W370" i="33"/>
  <c r="X370" i="33"/>
  <c r="Y370" i="33"/>
  <c r="Z370" i="33"/>
  <c r="AA370" i="33"/>
  <c r="AB370" i="33"/>
  <c r="AC370" i="33"/>
  <c r="AD370" i="33"/>
  <c r="AE370" i="33"/>
  <c r="AF370" i="33"/>
  <c r="AG370" i="33"/>
  <c r="AH370" i="33"/>
  <c r="AI370" i="33"/>
  <c r="AJ370" i="33"/>
  <c r="AK370" i="33"/>
  <c r="AL370" i="33"/>
  <c r="AM370" i="33"/>
  <c r="AN370" i="33"/>
  <c r="AO370" i="33"/>
  <c r="AP370" i="33"/>
  <c r="AQ370" i="33"/>
  <c r="AR370" i="33"/>
  <c r="A369" i="33"/>
  <c r="A1" i="33"/>
  <c r="A1" i="2"/>
  <c r="AH25" i="2"/>
  <c r="AG18" i="2"/>
  <c r="G127" i="33"/>
  <c r="H127" i="33"/>
  <c r="I127" i="33"/>
  <c r="J127" i="33"/>
  <c r="K127" i="33"/>
  <c r="L127" i="33"/>
  <c r="M127" i="33"/>
  <c r="N127" i="33"/>
  <c r="O127" i="33"/>
  <c r="P127" i="33"/>
  <c r="Q127" i="33"/>
  <c r="R127" i="33"/>
  <c r="S127" i="33"/>
  <c r="W127" i="33"/>
  <c r="X127" i="33"/>
  <c r="Y127" i="33"/>
  <c r="Z127" i="33"/>
  <c r="AA127" i="33"/>
  <c r="AB127" i="33"/>
  <c r="AC127" i="33"/>
  <c r="AD127" i="33"/>
  <c r="AE127" i="33"/>
  <c r="AF127" i="33"/>
  <c r="AG127" i="33"/>
  <c r="AH127" i="33"/>
  <c r="AI127" i="33"/>
  <c r="AJ127" i="33"/>
  <c r="AK127" i="33"/>
  <c r="AL127" i="33"/>
  <c r="AM127" i="33"/>
  <c r="AN127" i="33"/>
  <c r="AO127" i="33"/>
  <c r="G128" i="33"/>
  <c r="H128" i="33"/>
  <c r="I128" i="33"/>
  <c r="J128" i="33"/>
  <c r="K128" i="33"/>
  <c r="L128" i="33"/>
  <c r="M128" i="33"/>
  <c r="N128" i="33"/>
  <c r="O128" i="33"/>
  <c r="P128" i="33"/>
  <c r="Q128" i="33"/>
  <c r="R128" i="33"/>
  <c r="S128" i="33"/>
  <c r="W128" i="33"/>
  <c r="X128" i="33"/>
  <c r="Y128" i="33"/>
  <c r="Z128" i="33"/>
  <c r="AA128" i="33"/>
  <c r="AB128" i="33"/>
  <c r="AC128" i="33"/>
  <c r="AD128" i="33"/>
  <c r="AE128" i="33"/>
  <c r="AF128" i="33"/>
  <c r="AG128" i="33"/>
  <c r="AH128" i="33"/>
  <c r="AI128" i="33"/>
  <c r="AJ128" i="33"/>
  <c r="AK128" i="33"/>
  <c r="AL128" i="33"/>
  <c r="AM128" i="33"/>
  <c r="AN128" i="33"/>
  <c r="AO128" i="33"/>
  <c r="G124" i="33"/>
  <c r="G131" i="33"/>
  <c r="H124" i="33"/>
  <c r="H131" i="33"/>
  <c r="I131" i="33"/>
  <c r="J124" i="33"/>
  <c r="J131" i="33"/>
  <c r="K124" i="33"/>
  <c r="K131" i="33"/>
  <c r="L131" i="33"/>
  <c r="M124" i="33"/>
  <c r="M131" i="33"/>
  <c r="N124" i="33"/>
  <c r="N131" i="33"/>
  <c r="O131" i="33"/>
  <c r="P124" i="33"/>
  <c r="P131" i="33"/>
  <c r="Q124" i="33"/>
  <c r="Q131" i="33"/>
  <c r="R124" i="33"/>
  <c r="R131" i="33"/>
  <c r="S131" i="33"/>
  <c r="T131" i="33"/>
  <c r="U131" i="33"/>
  <c r="W124" i="33"/>
  <c r="W131" i="33"/>
  <c r="X124" i="33"/>
  <c r="X131" i="33"/>
  <c r="Y124" i="33"/>
  <c r="Y131" i="33"/>
  <c r="Z124" i="33"/>
  <c r="Z131" i="33"/>
  <c r="AA131" i="33"/>
  <c r="AB124" i="33"/>
  <c r="AB131" i="33"/>
  <c r="AC124" i="33"/>
  <c r="AC131" i="33"/>
  <c r="AD131" i="33"/>
  <c r="AE124" i="33"/>
  <c r="AE131" i="33"/>
  <c r="AF124" i="33"/>
  <c r="AF131" i="33"/>
  <c r="AG124" i="33"/>
  <c r="AG131" i="33"/>
  <c r="AH124" i="33"/>
  <c r="AH131" i="33"/>
  <c r="AI124" i="33"/>
  <c r="AI131" i="33"/>
  <c r="AJ124" i="33"/>
  <c r="AJ131" i="33"/>
  <c r="AK124" i="33"/>
  <c r="AK131" i="33"/>
  <c r="AL124" i="33"/>
  <c r="AL131" i="33"/>
  <c r="AM124" i="33"/>
  <c r="AM131" i="33"/>
  <c r="AN124" i="33"/>
  <c r="AN131" i="33"/>
  <c r="AO124" i="33"/>
  <c r="AO131" i="33"/>
  <c r="G125" i="33"/>
  <c r="G132" i="33"/>
  <c r="H125" i="33"/>
  <c r="H132" i="33"/>
  <c r="I125" i="33"/>
  <c r="I132" i="33"/>
  <c r="J125" i="33"/>
  <c r="J132" i="33"/>
  <c r="K125" i="33"/>
  <c r="K132" i="33"/>
  <c r="L125" i="33"/>
  <c r="L132" i="33"/>
  <c r="M125" i="33"/>
  <c r="M132" i="33"/>
  <c r="N125" i="33"/>
  <c r="N132" i="33"/>
  <c r="O125" i="33"/>
  <c r="O132" i="33"/>
  <c r="P125" i="33"/>
  <c r="P132" i="33"/>
  <c r="Q125" i="33"/>
  <c r="Q132" i="33"/>
  <c r="R125" i="33"/>
  <c r="R132" i="33"/>
  <c r="S125" i="33"/>
  <c r="S132" i="33"/>
  <c r="T132" i="33"/>
  <c r="U132" i="33"/>
  <c r="W125" i="33"/>
  <c r="W132" i="33"/>
  <c r="X125" i="33"/>
  <c r="X132" i="33"/>
  <c r="Y125" i="33"/>
  <c r="Y132" i="33"/>
  <c r="Z125" i="33"/>
  <c r="Z132" i="33"/>
  <c r="AA125" i="33"/>
  <c r="AA132" i="33"/>
  <c r="AB125" i="33"/>
  <c r="AB132" i="33"/>
  <c r="AC125" i="33"/>
  <c r="AC132" i="33"/>
  <c r="AD125" i="33"/>
  <c r="AD132" i="33"/>
  <c r="AE125" i="33"/>
  <c r="AE132" i="33"/>
  <c r="AF125" i="33"/>
  <c r="AF132" i="33"/>
  <c r="AG125" i="33"/>
  <c r="AG132" i="33"/>
  <c r="AH125" i="33"/>
  <c r="AH132" i="33"/>
  <c r="AI125" i="33"/>
  <c r="AI132" i="33"/>
  <c r="AJ125" i="33"/>
  <c r="AJ132" i="33"/>
  <c r="AK125" i="33"/>
  <c r="AK132" i="33"/>
  <c r="AL125" i="33"/>
  <c r="AL132" i="33"/>
  <c r="AM125" i="33"/>
  <c r="AM132" i="33"/>
  <c r="AN125" i="33"/>
  <c r="AN132" i="33"/>
  <c r="AO125" i="33"/>
  <c r="AO132" i="33"/>
  <c r="G133" i="33"/>
  <c r="H133" i="33"/>
  <c r="I133" i="33"/>
  <c r="J133" i="33"/>
  <c r="K133" i="33"/>
  <c r="L133" i="33"/>
  <c r="M133" i="33"/>
  <c r="N133" i="33"/>
  <c r="O133" i="33"/>
  <c r="P133" i="33"/>
  <c r="Q133" i="33"/>
  <c r="R133" i="33"/>
  <c r="S133" i="33"/>
  <c r="T133" i="33"/>
  <c r="U133" i="33"/>
  <c r="W133" i="33"/>
  <c r="X133" i="33"/>
  <c r="Y133" i="33"/>
  <c r="Z133" i="33"/>
  <c r="AA133" i="33"/>
  <c r="AB133" i="33"/>
  <c r="AC133" i="33"/>
  <c r="AD133" i="33"/>
  <c r="AE133" i="33"/>
  <c r="AF133" i="33"/>
  <c r="AG133" i="33"/>
  <c r="AH133" i="33"/>
  <c r="AI133" i="33"/>
  <c r="AJ133" i="33"/>
  <c r="AK133" i="33"/>
  <c r="AL133" i="33"/>
  <c r="AM133" i="33"/>
  <c r="AN133" i="33"/>
  <c r="AO133" i="33"/>
  <c r="G134" i="33"/>
  <c r="H134" i="33"/>
  <c r="I134" i="33"/>
  <c r="J134" i="33"/>
  <c r="K134" i="33"/>
  <c r="L134" i="33"/>
  <c r="M134" i="33"/>
  <c r="N134" i="33"/>
  <c r="O134" i="33"/>
  <c r="P134" i="33"/>
  <c r="Q134" i="33"/>
  <c r="R134" i="33"/>
  <c r="S134" i="33"/>
  <c r="T134" i="33"/>
  <c r="U134" i="33"/>
  <c r="W134" i="33"/>
  <c r="X134" i="33"/>
  <c r="Y134" i="33"/>
  <c r="Z134" i="33"/>
  <c r="AA134" i="33"/>
  <c r="AB134" i="33"/>
  <c r="AC134" i="33"/>
  <c r="AD134" i="33"/>
  <c r="AE134" i="33"/>
  <c r="AF134" i="33"/>
  <c r="AG134" i="33"/>
  <c r="AH134" i="33"/>
  <c r="AI134" i="33"/>
  <c r="AJ134" i="33"/>
  <c r="AK134" i="33"/>
  <c r="AL134" i="33"/>
  <c r="AM134" i="33"/>
  <c r="AN134" i="33"/>
  <c r="AO134" i="33"/>
  <c r="G136" i="33"/>
  <c r="H136" i="33"/>
  <c r="J136" i="33"/>
  <c r="K136" i="33"/>
  <c r="M136" i="33"/>
  <c r="N136" i="33"/>
  <c r="P136" i="33"/>
  <c r="Q136" i="33"/>
  <c r="R136" i="33"/>
  <c r="W136" i="33"/>
  <c r="X136" i="33"/>
  <c r="Y136" i="33"/>
  <c r="Z136" i="33"/>
  <c r="AB136" i="33"/>
  <c r="AC136" i="33"/>
  <c r="AE136" i="33"/>
  <c r="AF136" i="33"/>
  <c r="AG136" i="33"/>
  <c r="AH136" i="33"/>
  <c r="AI136" i="33"/>
  <c r="AJ136" i="33"/>
  <c r="AK136" i="33"/>
  <c r="AL136" i="33"/>
  <c r="AM136" i="33"/>
  <c r="AN136" i="33"/>
  <c r="AO136" i="33"/>
  <c r="G137" i="33"/>
  <c r="H137" i="33"/>
  <c r="I137" i="33"/>
  <c r="J137" i="33"/>
  <c r="K137" i="33"/>
  <c r="L137" i="33"/>
  <c r="M137" i="33"/>
  <c r="N137" i="33"/>
  <c r="O137" i="33"/>
  <c r="P137" i="33"/>
  <c r="Q137" i="33"/>
  <c r="R137" i="33"/>
  <c r="S137" i="33"/>
  <c r="W137" i="33"/>
  <c r="X137" i="33"/>
  <c r="Y137" i="33"/>
  <c r="Z137" i="33"/>
  <c r="AA137" i="33"/>
  <c r="AB137" i="33"/>
  <c r="AC137" i="33"/>
  <c r="AD137" i="33"/>
  <c r="AE137" i="33"/>
  <c r="AF137" i="33"/>
  <c r="AG137" i="33"/>
  <c r="AH137" i="33"/>
  <c r="AI137" i="33"/>
  <c r="AJ137" i="33"/>
  <c r="AK137" i="33"/>
  <c r="AL137" i="33"/>
  <c r="AM137" i="33"/>
  <c r="AN137" i="33"/>
  <c r="AO137" i="33"/>
  <c r="G139" i="33"/>
  <c r="H139" i="33"/>
  <c r="I139" i="33"/>
  <c r="J139" i="33"/>
  <c r="K139" i="33"/>
  <c r="L139" i="33"/>
  <c r="M139" i="33"/>
  <c r="N139" i="33"/>
  <c r="O139" i="33"/>
  <c r="P139" i="33"/>
  <c r="Q139" i="33"/>
  <c r="R139" i="33"/>
  <c r="S139" i="33"/>
  <c r="W139" i="33"/>
  <c r="X139" i="33"/>
  <c r="Y139" i="33"/>
  <c r="Z139" i="33"/>
  <c r="AA139" i="33"/>
  <c r="AB139" i="33"/>
  <c r="AC139" i="33"/>
  <c r="AD139" i="33"/>
  <c r="AE139" i="33"/>
  <c r="AF139" i="33"/>
  <c r="AG139" i="33"/>
  <c r="AH139" i="33"/>
  <c r="AI139" i="33"/>
  <c r="AJ139" i="33"/>
  <c r="AK139" i="33"/>
  <c r="AL139" i="33"/>
  <c r="AM139" i="33"/>
  <c r="AN139" i="33"/>
  <c r="AO139" i="33"/>
  <c r="G140" i="33"/>
  <c r="H140" i="33"/>
  <c r="I140" i="33"/>
  <c r="J140" i="33"/>
  <c r="K140" i="33"/>
  <c r="L140" i="33"/>
  <c r="M140" i="33"/>
  <c r="N140" i="33"/>
  <c r="O140" i="33"/>
  <c r="P140" i="33"/>
  <c r="Q140" i="33"/>
  <c r="R140" i="33"/>
  <c r="S140" i="33"/>
  <c r="W140" i="33"/>
  <c r="X140" i="33"/>
  <c r="Y140" i="33"/>
  <c r="Z140" i="33"/>
  <c r="AA140" i="33"/>
  <c r="AB140" i="33"/>
  <c r="AC140" i="33"/>
  <c r="AD140" i="33"/>
  <c r="AE140" i="33"/>
  <c r="AF140" i="33"/>
  <c r="AG140" i="33"/>
  <c r="AH140" i="33"/>
  <c r="AI140" i="33"/>
  <c r="AJ140" i="33"/>
  <c r="AK140" i="33"/>
  <c r="AL140" i="33"/>
  <c r="AM140" i="33"/>
  <c r="AN140" i="33"/>
  <c r="AO140" i="33"/>
  <c r="G143" i="33"/>
  <c r="H143" i="33"/>
  <c r="I143" i="33"/>
  <c r="J143" i="33"/>
  <c r="K143" i="33"/>
  <c r="L143" i="33"/>
  <c r="M143" i="33"/>
  <c r="N143" i="33"/>
  <c r="O143" i="33"/>
  <c r="P143" i="33"/>
  <c r="Q143" i="33"/>
  <c r="R143" i="33"/>
  <c r="S143" i="33"/>
  <c r="T143" i="33"/>
  <c r="U143" i="33"/>
  <c r="W143" i="33"/>
  <c r="X143" i="33"/>
  <c r="Y143" i="33"/>
  <c r="Z143" i="33"/>
  <c r="AA143" i="33"/>
  <c r="AB143" i="33"/>
  <c r="AC143" i="33"/>
  <c r="AD143" i="33"/>
  <c r="AE143" i="33"/>
  <c r="AF143" i="33"/>
  <c r="AG143" i="33"/>
  <c r="AH143" i="33"/>
  <c r="AI143" i="33"/>
  <c r="AJ143" i="33"/>
  <c r="AK143" i="33"/>
  <c r="AL143" i="33"/>
  <c r="AM143" i="33"/>
  <c r="AN143" i="33"/>
  <c r="AO143" i="33"/>
  <c r="G144" i="33"/>
  <c r="H144" i="33"/>
  <c r="I144" i="33"/>
  <c r="J144" i="33"/>
  <c r="K144" i="33"/>
  <c r="L144" i="33"/>
  <c r="M144" i="33"/>
  <c r="N144" i="33"/>
  <c r="O144" i="33"/>
  <c r="P144" i="33"/>
  <c r="Q144" i="33"/>
  <c r="R144" i="33"/>
  <c r="S144" i="33"/>
  <c r="T144" i="33"/>
  <c r="U144" i="33"/>
  <c r="W144" i="33"/>
  <c r="X144" i="33"/>
  <c r="Y144" i="33"/>
  <c r="Z144" i="33"/>
  <c r="AA144" i="33"/>
  <c r="AB144" i="33"/>
  <c r="AC144" i="33"/>
  <c r="AD144" i="33"/>
  <c r="AE144" i="33"/>
  <c r="AF144" i="33"/>
  <c r="AG144" i="33"/>
  <c r="AH144" i="33"/>
  <c r="AI144" i="33"/>
  <c r="AJ144" i="33"/>
  <c r="AK144" i="33"/>
  <c r="AL144" i="33"/>
  <c r="AM144" i="33"/>
  <c r="AN144" i="33"/>
  <c r="AO144" i="33"/>
  <c r="G145" i="33"/>
  <c r="H145" i="33"/>
  <c r="I145" i="33"/>
  <c r="J145" i="33"/>
  <c r="K145" i="33"/>
  <c r="L145" i="33"/>
  <c r="M145" i="33"/>
  <c r="N145" i="33"/>
  <c r="O145" i="33"/>
  <c r="P145" i="33"/>
  <c r="Q145" i="33"/>
  <c r="R145" i="33"/>
  <c r="S145" i="33"/>
  <c r="T145" i="33"/>
  <c r="U145" i="33"/>
  <c r="W145" i="33"/>
  <c r="X145" i="33"/>
  <c r="Y145" i="33"/>
  <c r="Z145" i="33"/>
  <c r="AA145" i="33"/>
  <c r="AB145" i="33"/>
  <c r="AC145" i="33"/>
  <c r="AD145" i="33"/>
  <c r="AE145" i="33"/>
  <c r="AF145" i="33"/>
  <c r="AG145" i="33"/>
  <c r="AH145" i="33"/>
  <c r="AI145" i="33"/>
  <c r="AJ145" i="33"/>
  <c r="AK145" i="33"/>
  <c r="AL145" i="33"/>
  <c r="AM145" i="33"/>
  <c r="AN145" i="33"/>
  <c r="AO145" i="33"/>
  <c r="G146" i="33"/>
  <c r="H146" i="33"/>
  <c r="I146" i="33"/>
  <c r="J146" i="33"/>
  <c r="K146" i="33"/>
  <c r="L146" i="33"/>
  <c r="M146" i="33"/>
  <c r="N146" i="33"/>
  <c r="O146" i="33"/>
  <c r="P146" i="33"/>
  <c r="Q146" i="33"/>
  <c r="R146" i="33"/>
  <c r="S146" i="33"/>
  <c r="T146" i="33"/>
  <c r="U146" i="33"/>
  <c r="W146" i="33"/>
  <c r="X146" i="33"/>
  <c r="Y146" i="33"/>
  <c r="Z146" i="33"/>
  <c r="AA146" i="33"/>
  <c r="AB146" i="33"/>
  <c r="AC146" i="33"/>
  <c r="AD146" i="33"/>
  <c r="AE146" i="33"/>
  <c r="AF146" i="33"/>
  <c r="AG146" i="33"/>
  <c r="AH146" i="33"/>
  <c r="AI146" i="33"/>
  <c r="AJ146" i="33"/>
  <c r="AK146" i="33"/>
  <c r="AL146" i="33"/>
  <c r="AM146" i="33"/>
  <c r="AN146" i="33"/>
  <c r="AO146" i="33"/>
  <c r="G148" i="33"/>
  <c r="H148" i="33"/>
  <c r="J148" i="33"/>
  <c r="K148" i="33"/>
  <c r="L148" i="33"/>
  <c r="M148" i="33"/>
  <c r="N148" i="33"/>
  <c r="O148" i="33"/>
  <c r="P148" i="33"/>
  <c r="Q148" i="33"/>
  <c r="R148" i="33"/>
  <c r="W148" i="33"/>
  <c r="X148" i="33"/>
  <c r="Y148" i="33"/>
  <c r="Z148" i="33"/>
  <c r="AB148" i="33"/>
  <c r="AC148" i="33"/>
  <c r="AE148" i="33"/>
  <c r="AF148" i="33"/>
  <c r="AG148" i="33"/>
  <c r="AH148" i="33"/>
  <c r="AI148" i="33"/>
  <c r="AJ148" i="33"/>
  <c r="AK148" i="33"/>
  <c r="AL148" i="33"/>
  <c r="AM148" i="33"/>
  <c r="AN148" i="33"/>
  <c r="AO148" i="33"/>
  <c r="G149" i="33"/>
  <c r="H149" i="33"/>
  <c r="I149" i="33"/>
  <c r="J149" i="33"/>
  <c r="K149" i="33"/>
  <c r="L149" i="33"/>
  <c r="M149" i="33"/>
  <c r="N149" i="33"/>
  <c r="O149" i="33"/>
  <c r="P149" i="33"/>
  <c r="Q149" i="33"/>
  <c r="R149" i="33"/>
  <c r="S149" i="33"/>
  <c r="W149" i="33"/>
  <c r="X149" i="33"/>
  <c r="Y149" i="33"/>
  <c r="Z149" i="33"/>
  <c r="AA149" i="33"/>
  <c r="AB149" i="33"/>
  <c r="AC149" i="33"/>
  <c r="AD149" i="33"/>
  <c r="AE149" i="33"/>
  <c r="AF149" i="33"/>
  <c r="AG149" i="33"/>
  <c r="AH149" i="33"/>
  <c r="AI149" i="33"/>
  <c r="AJ149" i="33"/>
  <c r="AK149" i="33"/>
  <c r="AL149" i="33"/>
  <c r="AM149" i="33"/>
  <c r="AN149" i="33"/>
  <c r="AO149" i="33"/>
  <c r="G151" i="33"/>
  <c r="H151" i="33"/>
  <c r="I151" i="33"/>
  <c r="J151" i="33"/>
  <c r="K151" i="33"/>
  <c r="L151" i="33"/>
  <c r="M151" i="33"/>
  <c r="N151" i="33"/>
  <c r="O151" i="33"/>
  <c r="P151" i="33"/>
  <c r="Q151" i="33"/>
  <c r="R151" i="33"/>
  <c r="S151" i="33"/>
  <c r="W151" i="33"/>
  <c r="X151" i="33"/>
  <c r="Y151" i="33"/>
  <c r="Z151" i="33"/>
  <c r="AA151" i="33"/>
  <c r="AB151" i="33"/>
  <c r="AC151" i="33"/>
  <c r="AD151" i="33"/>
  <c r="AE151" i="33"/>
  <c r="AF151" i="33"/>
  <c r="AG151" i="33"/>
  <c r="AH151" i="33"/>
  <c r="AI151" i="33"/>
  <c r="AJ151" i="33"/>
  <c r="AK151" i="33"/>
  <c r="AL151" i="33"/>
  <c r="AM151" i="33"/>
  <c r="AN151" i="33"/>
  <c r="AO151" i="33"/>
  <c r="G152" i="33"/>
  <c r="H152" i="33"/>
  <c r="I152" i="33"/>
  <c r="J152" i="33"/>
  <c r="K152" i="33"/>
  <c r="L152" i="33"/>
  <c r="M152" i="33"/>
  <c r="N152" i="33"/>
  <c r="O152" i="33"/>
  <c r="P152" i="33"/>
  <c r="Q152" i="33"/>
  <c r="R152" i="33"/>
  <c r="S152" i="33"/>
  <c r="W152" i="33"/>
  <c r="X152" i="33"/>
  <c r="Y152" i="33"/>
  <c r="Z152" i="33"/>
  <c r="AA152" i="33"/>
  <c r="AB152" i="33"/>
  <c r="AC152" i="33"/>
  <c r="AD152" i="33"/>
  <c r="AE152" i="33"/>
  <c r="AF152" i="33"/>
  <c r="AG152" i="33"/>
  <c r="AH152" i="33"/>
  <c r="AI152" i="33"/>
  <c r="AJ152" i="33"/>
  <c r="AK152" i="33"/>
  <c r="AL152" i="33"/>
  <c r="AM152" i="33"/>
  <c r="AN152" i="33"/>
  <c r="AO152" i="33"/>
  <c r="G155" i="33"/>
  <c r="H155" i="33"/>
  <c r="I155" i="33"/>
  <c r="J155" i="33"/>
  <c r="K155" i="33"/>
  <c r="L155" i="33"/>
  <c r="M155" i="33"/>
  <c r="N155" i="33"/>
  <c r="O155" i="33"/>
  <c r="P155" i="33"/>
  <c r="Q155" i="33"/>
  <c r="R155" i="33"/>
  <c r="S155" i="33"/>
  <c r="T155" i="33"/>
  <c r="U155" i="33"/>
  <c r="W155" i="33"/>
  <c r="X155" i="33"/>
  <c r="Y155" i="33"/>
  <c r="Z155" i="33"/>
  <c r="AA155" i="33"/>
  <c r="AB155" i="33"/>
  <c r="AC155" i="33"/>
  <c r="AD155" i="33"/>
  <c r="AE155" i="33"/>
  <c r="AF155" i="33"/>
  <c r="AG155" i="33"/>
  <c r="AH155" i="33"/>
  <c r="AI155" i="33"/>
  <c r="AJ155" i="33"/>
  <c r="AK155" i="33"/>
  <c r="AL155" i="33"/>
  <c r="AM155" i="33"/>
  <c r="AN155" i="33"/>
  <c r="AO155" i="33"/>
  <c r="G156" i="33"/>
  <c r="H156" i="33"/>
  <c r="I156" i="33"/>
  <c r="J156" i="33"/>
  <c r="K156" i="33"/>
  <c r="L156" i="33"/>
  <c r="M156" i="33"/>
  <c r="N156" i="33"/>
  <c r="O156" i="33"/>
  <c r="P156" i="33"/>
  <c r="Q156" i="33"/>
  <c r="R156" i="33"/>
  <c r="S156" i="33"/>
  <c r="T156" i="33"/>
  <c r="U156" i="33"/>
  <c r="W156" i="33"/>
  <c r="X156" i="33"/>
  <c r="Y156" i="33"/>
  <c r="Z156" i="33"/>
  <c r="AA156" i="33"/>
  <c r="AB156" i="33"/>
  <c r="AC156" i="33"/>
  <c r="AD156" i="33"/>
  <c r="AE156" i="33"/>
  <c r="AF156" i="33"/>
  <c r="AG156" i="33"/>
  <c r="AH156" i="33"/>
  <c r="AI156" i="33"/>
  <c r="AJ156" i="33"/>
  <c r="AK156" i="33"/>
  <c r="AL156" i="33"/>
  <c r="AM156" i="33"/>
  <c r="AN156" i="33"/>
  <c r="AO156" i="33"/>
  <c r="G157" i="33"/>
  <c r="H157" i="33"/>
  <c r="I157" i="33"/>
  <c r="J157" i="33"/>
  <c r="K157" i="33"/>
  <c r="L157" i="33"/>
  <c r="M157" i="33"/>
  <c r="N157" i="33"/>
  <c r="O157" i="33"/>
  <c r="P157" i="33"/>
  <c r="Q157" i="33"/>
  <c r="R157" i="33"/>
  <c r="S157" i="33"/>
  <c r="T157" i="33"/>
  <c r="U157" i="33"/>
  <c r="W157" i="33"/>
  <c r="X157" i="33"/>
  <c r="Y157" i="33"/>
  <c r="Z157" i="33"/>
  <c r="AA157" i="33"/>
  <c r="AB157" i="33"/>
  <c r="AC157" i="33"/>
  <c r="AD157" i="33"/>
  <c r="AE157" i="33"/>
  <c r="AF157" i="33"/>
  <c r="AG157" i="33"/>
  <c r="AH157" i="33"/>
  <c r="AI157" i="33"/>
  <c r="AJ157" i="33"/>
  <c r="AK157" i="33"/>
  <c r="AL157" i="33"/>
  <c r="AM157" i="33"/>
  <c r="AN157" i="33"/>
  <c r="AO157" i="33"/>
  <c r="G158" i="33"/>
  <c r="H158" i="33"/>
  <c r="I158" i="33"/>
  <c r="J158" i="33"/>
  <c r="K158" i="33"/>
  <c r="L158" i="33"/>
  <c r="M158" i="33"/>
  <c r="N158" i="33"/>
  <c r="O158" i="33"/>
  <c r="P158" i="33"/>
  <c r="Q158" i="33"/>
  <c r="R158" i="33"/>
  <c r="S158" i="33"/>
  <c r="T158" i="33"/>
  <c r="U158" i="33"/>
  <c r="W158" i="33"/>
  <c r="X158" i="33"/>
  <c r="Y158" i="33"/>
  <c r="Z158" i="33"/>
  <c r="AA158" i="33"/>
  <c r="AB158" i="33"/>
  <c r="AC158" i="33"/>
  <c r="AD158" i="33"/>
  <c r="AE158" i="33"/>
  <c r="AF158" i="33"/>
  <c r="AG158" i="33"/>
  <c r="AH158" i="33"/>
  <c r="AI158" i="33"/>
  <c r="AJ158" i="33"/>
  <c r="AK158" i="33"/>
  <c r="AL158" i="33"/>
  <c r="AM158" i="33"/>
  <c r="AN158" i="33"/>
  <c r="AO158" i="33"/>
  <c r="G160" i="33"/>
  <c r="H160" i="33"/>
  <c r="J160" i="33"/>
  <c r="K160" i="33"/>
  <c r="M160" i="33"/>
  <c r="N160" i="33"/>
  <c r="P160" i="33"/>
  <c r="Q160" i="33"/>
  <c r="R160" i="33"/>
  <c r="W160" i="33"/>
  <c r="X160" i="33"/>
  <c r="Y160" i="33"/>
  <c r="Z160" i="33"/>
  <c r="AB160" i="33"/>
  <c r="AC160" i="33"/>
  <c r="AE160" i="33"/>
  <c r="AF160" i="33"/>
  <c r="AG160" i="33"/>
  <c r="AH160" i="33"/>
  <c r="AI160" i="33"/>
  <c r="AJ160" i="33"/>
  <c r="AK160" i="33"/>
  <c r="AL160" i="33"/>
  <c r="AM160" i="33"/>
  <c r="AN160" i="33"/>
  <c r="AO160" i="33"/>
  <c r="G161" i="33"/>
  <c r="H161" i="33"/>
  <c r="I161" i="33"/>
  <c r="J161" i="33"/>
  <c r="K161" i="33"/>
  <c r="L161" i="33"/>
  <c r="M161" i="33"/>
  <c r="N161" i="33"/>
  <c r="O161" i="33"/>
  <c r="P161" i="33"/>
  <c r="Q161" i="33"/>
  <c r="R161" i="33"/>
  <c r="S161" i="33"/>
  <c r="W161" i="33"/>
  <c r="X161" i="33"/>
  <c r="Y161" i="33"/>
  <c r="Z161" i="33"/>
  <c r="AA161" i="33"/>
  <c r="AB161" i="33"/>
  <c r="AC161" i="33"/>
  <c r="AD161" i="33"/>
  <c r="AE161" i="33"/>
  <c r="AF161" i="33"/>
  <c r="AG161" i="33"/>
  <c r="AH161" i="33"/>
  <c r="AI161" i="33"/>
  <c r="AJ161" i="33"/>
  <c r="AK161" i="33"/>
  <c r="AL161" i="33"/>
  <c r="AM161" i="33"/>
  <c r="AN161" i="33"/>
  <c r="AO161" i="33"/>
  <c r="G163" i="33"/>
  <c r="H163" i="33"/>
  <c r="I163" i="33"/>
  <c r="J163" i="33"/>
  <c r="K163" i="33"/>
  <c r="L163" i="33"/>
  <c r="M163" i="33"/>
  <c r="N163" i="33"/>
  <c r="O163" i="33"/>
  <c r="P163" i="33"/>
  <c r="Q163" i="33"/>
  <c r="R163" i="33"/>
  <c r="S163" i="33"/>
  <c r="W163" i="33"/>
  <c r="X163" i="33"/>
  <c r="Y163" i="33"/>
  <c r="Z163" i="33"/>
  <c r="AA163" i="33"/>
  <c r="AB163" i="33"/>
  <c r="AC163" i="33"/>
  <c r="AD163" i="33"/>
  <c r="AE163" i="33"/>
  <c r="AF163" i="33"/>
  <c r="AG163" i="33"/>
  <c r="AH163" i="33"/>
  <c r="AI163" i="33"/>
  <c r="AJ163" i="33"/>
  <c r="AK163" i="33"/>
  <c r="AL163" i="33"/>
  <c r="AM163" i="33"/>
  <c r="AN163" i="33"/>
  <c r="AO163" i="33"/>
  <c r="G164" i="33"/>
  <c r="H164" i="33"/>
  <c r="I164" i="33"/>
  <c r="J164" i="33"/>
  <c r="K164" i="33"/>
  <c r="L164" i="33"/>
  <c r="M164" i="33"/>
  <c r="N164" i="33"/>
  <c r="O164" i="33"/>
  <c r="P164" i="33"/>
  <c r="Q164" i="33"/>
  <c r="R164" i="33"/>
  <c r="S164" i="33"/>
  <c r="W164" i="33"/>
  <c r="X164" i="33"/>
  <c r="Y164" i="33"/>
  <c r="Z164" i="33"/>
  <c r="AA164" i="33"/>
  <c r="AB164" i="33"/>
  <c r="AC164" i="33"/>
  <c r="AD164" i="33"/>
  <c r="AE164" i="33"/>
  <c r="AF164" i="33"/>
  <c r="AG164" i="33"/>
  <c r="AH164" i="33"/>
  <c r="AI164" i="33"/>
  <c r="AJ164" i="33"/>
  <c r="AK164" i="33"/>
  <c r="AL164" i="33"/>
  <c r="AM164" i="33"/>
  <c r="AN164" i="33"/>
  <c r="AO164" i="33"/>
  <c r="G167" i="33"/>
  <c r="H167" i="33"/>
  <c r="I167" i="33"/>
  <c r="J167" i="33"/>
  <c r="K167" i="33"/>
  <c r="L167" i="33"/>
  <c r="M167" i="33"/>
  <c r="N167" i="33"/>
  <c r="O167" i="33"/>
  <c r="P167" i="33"/>
  <c r="Q167" i="33"/>
  <c r="R167" i="33"/>
  <c r="S167" i="33"/>
  <c r="T167" i="33"/>
  <c r="U167" i="33"/>
  <c r="W167" i="33"/>
  <c r="X167" i="33"/>
  <c r="Y167" i="33"/>
  <c r="Z167" i="33"/>
  <c r="AA167" i="33"/>
  <c r="AB167" i="33"/>
  <c r="AC167" i="33"/>
  <c r="AD167" i="33"/>
  <c r="AE167" i="33"/>
  <c r="AF167" i="33"/>
  <c r="AG167" i="33"/>
  <c r="AH167" i="33"/>
  <c r="AI167" i="33"/>
  <c r="AJ167" i="33"/>
  <c r="AK167" i="33"/>
  <c r="AL167" i="33"/>
  <c r="AM167" i="33"/>
  <c r="AN167" i="33"/>
  <c r="AO167" i="33"/>
  <c r="G168" i="33"/>
  <c r="H168" i="33"/>
  <c r="I168" i="33"/>
  <c r="J168" i="33"/>
  <c r="K168" i="33"/>
  <c r="L168" i="33"/>
  <c r="M168" i="33"/>
  <c r="N168" i="33"/>
  <c r="O168" i="33"/>
  <c r="P168" i="33"/>
  <c r="Q168" i="33"/>
  <c r="R168" i="33"/>
  <c r="S168" i="33"/>
  <c r="T168" i="33"/>
  <c r="U168" i="33"/>
  <c r="W168" i="33"/>
  <c r="X168" i="33"/>
  <c r="Y168" i="33"/>
  <c r="Z168" i="33"/>
  <c r="AA168" i="33"/>
  <c r="AB168" i="33"/>
  <c r="AC168" i="33"/>
  <c r="AD168" i="33"/>
  <c r="AE168" i="33"/>
  <c r="AF168" i="33"/>
  <c r="AG168" i="33"/>
  <c r="AH168" i="33"/>
  <c r="AI168" i="33"/>
  <c r="AJ168" i="33"/>
  <c r="AK168" i="33"/>
  <c r="AL168" i="33"/>
  <c r="AM168" i="33"/>
  <c r="AN168" i="33"/>
  <c r="AO168" i="33"/>
  <c r="G169" i="33"/>
  <c r="H169" i="33"/>
  <c r="I169" i="33"/>
  <c r="J169" i="33"/>
  <c r="K169" i="33"/>
  <c r="L169" i="33"/>
  <c r="M169" i="33"/>
  <c r="N169" i="33"/>
  <c r="O169" i="33"/>
  <c r="P169" i="33"/>
  <c r="Q169" i="33"/>
  <c r="R169" i="33"/>
  <c r="S169" i="33"/>
  <c r="T169" i="33"/>
  <c r="U169" i="33"/>
  <c r="W169" i="33"/>
  <c r="X169" i="33"/>
  <c r="Y169" i="33"/>
  <c r="Z169" i="33"/>
  <c r="AA169" i="33"/>
  <c r="AB169" i="33"/>
  <c r="AC169" i="33"/>
  <c r="AD169" i="33"/>
  <c r="AE169" i="33"/>
  <c r="AF169" i="33"/>
  <c r="AG169" i="33"/>
  <c r="AH169" i="33"/>
  <c r="AI169" i="33"/>
  <c r="AJ169" i="33"/>
  <c r="AK169" i="33"/>
  <c r="AL169" i="33"/>
  <c r="AM169" i="33"/>
  <c r="AN169" i="33"/>
  <c r="AO169" i="33"/>
  <c r="G170" i="33"/>
  <c r="H170" i="33"/>
  <c r="I170" i="33"/>
  <c r="J170" i="33"/>
  <c r="K170" i="33"/>
  <c r="L170" i="33"/>
  <c r="M170" i="33"/>
  <c r="N170" i="33"/>
  <c r="O170" i="33"/>
  <c r="P170" i="33"/>
  <c r="Q170" i="33"/>
  <c r="R170" i="33"/>
  <c r="S170" i="33"/>
  <c r="T170" i="33"/>
  <c r="U170" i="33"/>
  <c r="W170" i="33"/>
  <c r="X170" i="33"/>
  <c r="Y170" i="33"/>
  <c r="Z170" i="33"/>
  <c r="AA170" i="33"/>
  <c r="AB170" i="33"/>
  <c r="AC170" i="33"/>
  <c r="AD170" i="33"/>
  <c r="AE170" i="33"/>
  <c r="AF170" i="33"/>
  <c r="AG170" i="33"/>
  <c r="AH170" i="33"/>
  <c r="AI170" i="33"/>
  <c r="AJ170" i="33"/>
  <c r="AK170" i="33"/>
  <c r="AL170" i="33"/>
  <c r="AM170" i="33"/>
  <c r="AN170" i="33"/>
  <c r="AO170" i="33"/>
  <c r="G172" i="33"/>
  <c r="H172" i="33"/>
  <c r="J172" i="33"/>
  <c r="K172" i="33"/>
  <c r="M172" i="33"/>
  <c r="N172" i="33"/>
  <c r="P172" i="33"/>
  <c r="Q172" i="33"/>
  <c r="R172" i="33"/>
  <c r="W172" i="33"/>
  <c r="X172" i="33"/>
  <c r="Y172" i="33"/>
  <c r="Z172" i="33"/>
  <c r="AB172" i="33"/>
  <c r="AC172" i="33"/>
  <c r="AE172" i="33"/>
  <c r="AF172" i="33"/>
  <c r="AG172" i="33"/>
  <c r="AH172" i="33"/>
  <c r="AI172" i="33"/>
  <c r="AJ172" i="33"/>
  <c r="AK172" i="33"/>
  <c r="AL172" i="33"/>
  <c r="AM172" i="33"/>
  <c r="AN172" i="33"/>
  <c r="AO172" i="33"/>
  <c r="G173" i="33"/>
  <c r="H173" i="33"/>
  <c r="I173" i="33"/>
  <c r="J173" i="33"/>
  <c r="K173" i="33"/>
  <c r="L173" i="33"/>
  <c r="M173" i="33"/>
  <c r="N173" i="33"/>
  <c r="O173" i="33"/>
  <c r="P173" i="33"/>
  <c r="Q173" i="33"/>
  <c r="R173" i="33"/>
  <c r="S173" i="33"/>
  <c r="W173" i="33"/>
  <c r="X173" i="33"/>
  <c r="Y173" i="33"/>
  <c r="Z173" i="33"/>
  <c r="AA173" i="33"/>
  <c r="AB173" i="33"/>
  <c r="AC173" i="33"/>
  <c r="AD173" i="33"/>
  <c r="AE173" i="33"/>
  <c r="AF173" i="33"/>
  <c r="AG173" i="33"/>
  <c r="AH173" i="33"/>
  <c r="AI173" i="33"/>
  <c r="AJ173" i="33"/>
  <c r="AK173" i="33"/>
  <c r="AL173" i="33"/>
  <c r="AM173" i="33"/>
  <c r="AN173" i="33"/>
  <c r="AO173" i="33"/>
  <c r="G175" i="33"/>
  <c r="H175" i="33"/>
  <c r="I175" i="33"/>
  <c r="J175" i="33"/>
  <c r="K175" i="33"/>
  <c r="L175" i="33"/>
  <c r="M175" i="33"/>
  <c r="N175" i="33"/>
  <c r="O175" i="33"/>
  <c r="P175" i="33"/>
  <c r="Q175" i="33"/>
  <c r="R175" i="33"/>
  <c r="S175" i="33"/>
  <c r="W175" i="33"/>
  <c r="X175" i="33"/>
  <c r="Y175" i="33"/>
  <c r="Z175" i="33"/>
  <c r="AA175" i="33"/>
  <c r="AB175" i="33"/>
  <c r="AC175" i="33"/>
  <c r="AD175" i="33"/>
  <c r="AE175" i="33"/>
  <c r="AF175" i="33"/>
  <c r="AG175" i="33"/>
  <c r="AH175" i="33"/>
  <c r="AI175" i="33"/>
  <c r="AJ175" i="33"/>
  <c r="AK175" i="33"/>
  <c r="AL175" i="33"/>
  <c r="AM175" i="33"/>
  <c r="AN175" i="33"/>
  <c r="AO175" i="33"/>
  <c r="G176" i="33"/>
  <c r="H176" i="33"/>
  <c r="I176" i="33"/>
  <c r="J176" i="33"/>
  <c r="K176" i="33"/>
  <c r="L176" i="33"/>
  <c r="M176" i="33"/>
  <c r="N176" i="33"/>
  <c r="O176" i="33"/>
  <c r="P176" i="33"/>
  <c r="Q176" i="33"/>
  <c r="R176" i="33"/>
  <c r="S176" i="33"/>
  <c r="W176" i="33"/>
  <c r="X176" i="33"/>
  <c r="Y176" i="33"/>
  <c r="Z176" i="33"/>
  <c r="AA176" i="33"/>
  <c r="AB176" i="33"/>
  <c r="AC176" i="33"/>
  <c r="AD176" i="33"/>
  <c r="AE176" i="33"/>
  <c r="AF176" i="33"/>
  <c r="AG176" i="33"/>
  <c r="AH176" i="33"/>
  <c r="AI176" i="33"/>
  <c r="AJ176" i="33"/>
  <c r="AK176" i="33"/>
  <c r="AL176" i="33"/>
  <c r="AM176" i="33"/>
  <c r="AN176" i="33"/>
  <c r="AO176" i="33"/>
  <c r="G179" i="33"/>
  <c r="H179" i="33"/>
  <c r="I179" i="33"/>
  <c r="J179" i="33"/>
  <c r="K179" i="33"/>
  <c r="L179" i="33"/>
  <c r="M179" i="33"/>
  <c r="N179" i="33"/>
  <c r="O179" i="33"/>
  <c r="P179" i="33"/>
  <c r="Q179" i="33"/>
  <c r="R179" i="33"/>
  <c r="S179" i="33"/>
  <c r="T179" i="33"/>
  <c r="U179" i="33"/>
  <c r="W179" i="33"/>
  <c r="X179" i="33"/>
  <c r="Y179" i="33"/>
  <c r="Z179" i="33"/>
  <c r="AA179" i="33"/>
  <c r="AB179" i="33"/>
  <c r="AC179" i="33"/>
  <c r="AD179" i="33"/>
  <c r="AE179" i="33"/>
  <c r="AF179" i="33"/>
  <c r="AG179" i="33"/>
  <c r="AH179" i="33"/>
  <c r="AI179" i="33"/>
  <c r="AJ179" i="33"/>
  <c r="AK179" i="33"/>
  <c r="AL179" i="33"/>
  <c r="AM179" i="33"/>
  <c r="AN179" i="33"/>
  <c r="AO179" i="33"/>
  <c r="G180" i="33"/>
  <c r="H180" i="33"/>
  <c r="I180" i="33"/>
  <c r="J180" i="33"/>
  <c r="K180" i="33"/>
  <c r="L180" i="33"/>
  <c r="M180" i="33"/>
  <c r="N180" i="33"/>
  <c r="O180" i="33"/>
  <c r="P180" i="33"/>
  <c r="Q180" i="33"/>
  <c r="R180" i="33"/>
  <c r="S180" i="33"/>
  <c r="T180" i="33"/>
  <c r="U180" i="33"/>
  <c r="W180" i="33"/>
  <c r="X180" i="33"/>
  <c r="Y180" i="33"/>
  <c r="Z180" i="33"/>
  <c r="AA180" i="33"/>
  <c r="AB180" i="33"/>
  <c r="AC180" i="33"/>
  <c r="AD180" i="33"/>
  <c r="AE180" i="33"/>
  <c r="AF180" i="33"/>
  <c r="AG180" i="33"/>
  <c r="AH180" i="33"/>
  <c r="AI180" i="33"/>
  <c r="AJ180" i="33"/>
  <c r="AK180" i="33"/>
  <c r="AL180" i="33"/>
  <c r="AM180" i="33"/>
  <c r="AN180" i="33"/>
  <c r="AO180" i="33"/>
  <c r="G181" i="33"/>
  <c r="H181" i="33"/>
  <c r="I181" i="33"/>
  <c r="J181" i="33"/>
  <c r="K181" i="33"/>
  <c r="L181" i="33"/>
  <c r="M181" i="33"/>
  <c r="N181" i="33"/>
  <c r="O181" i="33"/>
  <c r="P181" i="33"/>
  <c r="Q181" i="33"/>
  <c r="R181" i="33"/>
  <c r="S181" i="33"/>
  <c r="T181" i="33"/>
  <c r="U181" i="33"/>
  <c r="W181" i="33"/>
  <c r="X181" i="33"/>
  <c r="Y181" i="33"/>
  <c r="Z181" i="33"/>
  <c r="AA181" i="33"/>
  <c r="AB181" i="33"/>
  <c r="AC181" i="33"/>
  <c r="AD181" i="33"/>
  <c r="AE181" i="33"/>
  <c r="AF181" i="33"/>
  <c r="AG181" i="33"/>
  <c r="AH181" i="33"/>
  <c r="AI181" i="33"/>
  <c r="AJ181" i="33"/>
  <c r="AK181" i="33"/>
  <c r="AL181" i="33"/>
  <c r="AM181" i="33"/>
  <c r="AN181" i="33"/>
  <c r="AO181" i="33"/>
  <c r="G182" i="33"/>
  <c r="H182" i="33"/>
  <c r="I182" i="33"/>
  <c r="J182" i="33"/>
  <c r="K182" i="33"/>
  <c r="L182" i="33"/>
  <c r="M182" i="33"/>
  <c r="N182" i="33"/>
  <c r="O182" i="33"/>
  <c r="P182" i="33"/>
  <c r="Q182" i="33"/>
  <c r="R182" i="33"/>
  <c r="S182" i="33"/>
  <c r="T182" i="33"/>
  <c r="U182" i="33"/>
  <c r="W182" i="33"/>
  <c r="X182" i="33"/>
  <c r="Y182" i="33"/>
  <c r="Z182" i="33"/>
  <c r="AA182" i="33"/>
  <c r="AB182" i="33"/>
  <c r="AC182" i="33"/>
  <c r="AD182" i="33"/>
  <c r="AE182" i="33"/>
  <c r="AF182" i="33"/>
  <c r="AG182" i="33"/>
  <c r="AH182" i="33"/>
  <c r="AI182" i="33"/>
  <c r="AJ182" i="33"/>
  <c r="AK182" i="33"/>
  <c r="AL182" i="33"/>
  <c r="AM182" i="33"/>
  <c r="AN182" i="33"/>
  <c r="AO182" i="33"/>
  <c r="G184" i="33"/>
  <c r="H184" i="33"/>
  <c r="I184" i="33"/>
  <c r="J184" i="33"/>
  <c r="K184" i="33"/>
  <c r="M184" i="33"/>
  <c r="N184" i="33"/>
  <c r="O184" i="33"/>
  <c r="P184" i="33"/>
  <c r="Q184" i="33"/>
  <c r="R184" i="33"/>
  <c r="W184" i="33"/>
  <c r="X184" i="33"/>
  <c r="Y184" i="33"/>
  <c r="Z184" i="33"/>
  <c r="AB184" i="33"/>
  <c r="AC184" i="33"/>
  <c r="AE184" i="33"/>
  <c r="AF184" i="33"/>
  <c r="AG184" i="33"/>
  <c r="AH184" i="33"/>
  <c r="AI184" i="33"/>
  <c r="AJ184" i="33"/>
  <c r="AK184" i="33"/>
  <c r="AL184" i="33"/>
  <c r="AM184" i="33"/>
  <c r="AN184" i="33"/>
  <c r="AO184" i="33"/>
  <c r="G185" i="33"/>
  <c r="H185" i="33"/>
  <c r="I185" i="33"/>
  <c r="J185" i="33"/>
  <c r="K185" i="33"/>
  <c r="L185" i="33"/>
  <c r="M185" i="33"/>
  <c r="N185" i="33"/>
  <c r="O185" i="33"/>
  <c r="P185" i="33"/>
  <c r="Q185" i="33"/>
  <c r="R185" i="33"/>
  <c r="S185" i="33"/>
  <c r="W185" i="33"/>
  <c r="X185" i="33"/>
  <c r="Y185" i="33"/>
  <c r="Z185" i="33"/>
  <c r="AA185" i="33"/>
  <c r="AB185" i="33"/>
  <c r="AC185" i="33"/>
  <c r="AD185" i="33"/>
  <c r="AE185" i="33"/>
  <c r="AF185" i="33"/>
  <c r="AG185" i="33"/>
  <c r="AH185" i="33"/>
  <c r="AI185" i="33"/>
  <c r="AJ185" i="33"/>
  <c r="AK185" i="33"/>
  <c r="AL185" i="33"/>
  <c r="AM185" i="33"/>
  <c r="AN185" i="33"/>
  <c r="AO185" i="33"/>
  <c r="G187" i="33"/>
  <c r="H187" i="33"/>
  <c r="I187" i="33"/>
  <c r="J187" i="33"/>
  <c r="K187" i="33"/>
  <c r="L187" i="33"/>
  <c r="M187" i="33"/>
  <c r="N187" i="33"/>
  <c r="O187" i="33"/>
  <c r="P187" i="33"/>
  <c r="Q187" i="33"/>
  <c r="R187" i="33"/>
  <c r="S187" i="33"/>
  <c r="W187" i="33"/>
  <c r="X187" i="33"/>
  <c r="Y187" i="33"/>
  <c r="Z187" i="33"/>
  <c r="AA187" i="33"/>
  <c r="AB187" i="33"/>
  <c r="AC187" i="33"/>
  <c r="AD187" i="33"/>
  <c r="AE187" i="33"/>
  <c r="AF187" i="33"/>
  <c r="AG187" i="33"/>
  <c r="AH187" i="33"/>
  <c r="AI187" i="33"/>
  <c r="AJ187" i="33"/>
  <c r="AK187" i="33"/>
  <c r="AL187" i="33"/>
  <c r="AM187" i="33"/>
  <c r="AN187" i="33"/>
  <c r="AO187" i="33"/>
  <c r="G188" i="33"/>
  <c r="H188" i="33"/>
  <c r="I188" i="33"/>
  <c r="J188" i="33"/>
  <c r="K188" i="33"/>
  <c r="L188" i="33"/>
  <c r="M188" i="33"/>
  <c r="N188" i="33"/>
  <c r="O188" i="33"/>
  <c r="P188" i="33"/>
  <c r="Q188" i="33"/>
  <c r="R188" i="33"/>
  <c r="S188" i="33"/>
  <c r="W188" i="33"/>
  <c r="X188" i="33"/>
  <c r="Y188" i="33"/>
  <c r="Z188" i="33"/>
  <c r="AA188" i="33"/>
  <c r="AB188" i="33"/>
  <c r="AC188" i="33"/>
  <c r="AD188" i="33"/>
  <c r="AE188" i="33"/>
  <c r="AF188" i="33"/>
  <c r="AG188" i="33"/>
  <c r="AH188" i="33"/>
  <c r="AI188" i="33"/>
  <c r="AJ188" i="33"/>
  <c r="AK188" i="33"/>
  <c r="AL188" i="33"/>
  <c r="AM188" i="33"/>
  <c r="AN188" i="33"/>
  <c r="AO188" i="33"/>
  <c r="G191" i="33"/>
  <c r="H191" i="33"/>
  <c r="I191" i="33"/>
  <c r="J191" i="33"/>
  <c r="K191" i="33"/>
  <c r="L191" i="33"/>
  <c r="M191" i="33"/>
  <c r="N191" i="33"/>
  <c r="O191" i="33"/>
  <c r="P191" i="33"/>
  <c r="Q191" i="33"/>
  <c r="R191" i="33"/>
  <c r="S191" i="33"/>
  <c r="T191" i="33"/>
  <c r="U191" i="33"/>
  <c r="W191" i="33"/>
  <c r="X191" i="33"/>
  <c r="Y191" i="33"/>
  <c r="Z191" i="33"/>
  <c r="AA191" i="33"/>
  <c r="AB191" i="33"/>
  <c r="AC191" i="33"/>
  <c r="AD191" i="33"/>
  <c r="AE191" i="33"/>
  <c r="AF191" i="33"/>
  <c r="AG191" i="33"/>
  <c r="AH191" i="33"/>
  <c r="AI191" i="33"/>
  <c r="AJ191" i="33"/>
  <c r="AK191" i="33"/>
  <c r="AL191" i="33"/>
  <c r="AM191" i="33"/>
  <c r="AN191" i="33"/>
  <c r="AO191" i="33"/>
  <c r="G192" i="33"/>
  <c r="H192" i="33"/>
  <c r="I192" i="33"/>
  <c r="J192" i="33"/>
  <c r="K192" i="33"/>
  <c r="L192" i="33"/>
  <c r="M192" i="33"/>
  <c r="N192" i="33"/>
  <c r="O192" i="33"/>
  <c r="P192" i="33"/>
  <c r="Q192" i="33"/>
  <c r="R192" i="33"/>
  <c r="S192" i="33"/>
  <c r="T192" i="33"/>
  <c r="U192" i="33"/>
  <c r="W192" i="33"/>
  <c r="X192" i="33"/>
  <c r="Y192" i="33"/>
  <c r="Z192" i="33"/>
  <c r="AA192" i="33"/>
  <c r="AB192" i="33"/>
  <c r="AC192" i="33"/>
  <c r="AD192" i="33"/>
  <c r="AE192" i="33"/>
  <c r="AF192" i="33"/>
  <c r="AG192" i="33"/>
  <c r="AH192" i="33"/>
  <c r="AI192" i="33"/>
  <c r="AJ192" i="33"/>
  <c r="AK192" i="33"/>
  <c r="AL192" i="33"/>
  <c r="AM192" i="33"/>
  <c r="AN192" i="33"/>
  <c r="AO192" i="33"/>
  <c r="G193" i="33"/>
  <c r="H193" i="33"/>
  <c r="I193" i="33"/>
  <c r="J193" i="33"/>
  <c r="K193" i="33"/>
  <c r="L193" i="33"/>
  <c r="M193" i="33"/>
  <c r="N193" i="33"/>
  <c r="O193" i="33"/>
  <c r="P193" i="33"/>
  <c r="Q193" i="33"/>
  <c r="R193" i="33"/>
  <c r="S193" i="33"/>
  <c r="T193" i="33"/>
  <c r="U193" i="33"/>
  <c r="W193" i="33"/>
  <c r="X193" i="33"/>
  <c r="Y193" i="33"/>
  <c r="Z193" i="33"/>
  <c r="AA193" i="33"/>
  <c r="AB193" i="33"/>
  <c r="AC193" i="33"/>
  <c r="AD193" i="33"/>
  <c r="AE193" i="33"/>
  <c r="AF193" i="33"/>
  <c r="AG193" i="33"/>
  <c r="AH193" i="33"/>
  <c r="AI193" i="33"/>
  <c r="AJ193" i="33"/>
  <c r="AK193" i="33"/>
  <c r="AL193" i="33"/>
  <c r="AM193" i="33"/>
  <c r="AN193" i="33"/>
  <c r="AO193" i="33"/>
  <c r="G194" i="33"/>
  <c r="H194" i="33"/>
  <c r="I194" i="33"/>
  <c r="J194" i="33"/>
  <c r="K194" i="33"/>
  <c r="L194" i="33"/>
  <c r="M194" i="33"/>
  <c r="N194" i="33"/>
  <c r="O194" i="33"/>
  <c r="P194" i="33"/>
  <c r="Q194" i="33"/>
  <c r="R194" i="33"/>
  <c r="S194" i="33"/>
  <c r="T194" i="33"/>
  <c r="U194" i="33"/>
  <c r="W194" i="33"/>
  <c r="X194" i="33"/>
  <c r="Y194" i="33"/>
  <c r="Z194" i="33"/>
  <c r="AA194" i="33"/>
  <c r="AB194" i="33"/>
  <c r="AC194" i="33"/>
  <c r="AD194" i="33"/>
  <c r="AE194" i="33"/>
  <c r="AF194" i="33"/>
  <c r="AG194" i="33"/>
  <c r="AH194" i="33"/>
  <c r="AI194" i="33"/>
  <c r="AJ194" i="33"/>
  <c r="AK194" i="33"/>
  <c r="AL194" i="33"/>
  <c r="AM194" i="33"/>
  <c r="AN194" i="33"/>
  <c r="AO194" i="33"/>
  <c r="G196" i="33"/>
  <c r="H196" i="33"/>
  <c r="J196" i="33"/>
  <c r="K196" i="33"/>
  <c r="L196" i="33"/>
  <c r="M196" i="33"/>
  <c r="N196" i="33"/>
  <c r="P196" i="33"/>
  <c r="Q196" i="33"/>
  <c r="R196" i="33"/>
  <c r="W196" i="33"/>
  <c r="X196" i="33"/>
  <c r="Y196" i="33"/>
  <c r="Z196" i="33"/>
  <c r="AB196" i="33"/>
  <c r="AC196" i="33"/>
  <c r="AE196" i="33"/>
  <c r="AF196" i="33"/>
  <c r="AG196" i="33"/>
  <c r="AH196" i="33"/>
  <c r="AI196" i="33"/>
  <c r="AJ196" i="33"/>
  <c r="AK196" i="33"/>
  <c r="AL196" i="33"/>
  <c r="AM196" i="33"/>
  <c r="AN196" i="33"/>
  <c r="AO196" i="33"/>
  <c r="G197" i="33"/>
  <c r="H197" i="33"/>
  <c r="I197" i="33"/>
  <c r="J197" i="33"/>
  <c r="K197" i="33"/>
  <c r="L197" i="33"/>
  <c r="M197" i="33"/>
  <c r="N197" i="33"/>
  <c r="O197" i="33"/>
  <c r="P197" i="33"/>
  <c r="Q197" i="33"/>
  <c r="R197" i="33"/>
  <c r="S197" i="33"/>
  <c r="W197" i="33"/>
  <c r="X197" i="33"/>
  <c r="Y197" i="33"/>
  <c r="Z197" i="33"/>
  <c r="AA197" i="33"/>
  <c r="AB197" i="33"/>
  <c r="AC197" i="33"/>
  <c r="AD197" i="33"/>
  <c r="AE197" i="33"/>
  <c r="AF197" i="33"/>
  <c r="AG197" i="33"/>
  <c r="AH197" i="33"/>
  <c r="AI197" i="33"/>
  <c r="AJ197" i="33"/>
  <c r="AK197" i="33"/>
  <c r="AL197" i="33"/>
  <c r="AM197" i="33"/>
  <c r="AN197" i="33"/>
  <c r="AO197" i="33"/>
  <c r="G199" i="33"/>
  <c r="H199" i="33"/>
  <c r="I199" i="33"/>
  <c r="J199" i="33"/>
  <c r="K199" i="33"/>
  <c r="L199" i="33"/>
  <c r="M199" i="33"/>
  <c r="N199" i="33"/>
  <c r="O199" i="33"/>
  <c r="P199" i="33"/>
  <c r="Q199" i="33"/>
  <c r="R199" i="33"/>
  <c r="S199" i="33"/>
  <c r="W199" i="33"/>
  <c r="X199" i="33"/>
  <c r="Y199" i="33"/>
  <c r="Z199" i="33"/>
  <c r="AA199" i="33"/>
  <c r="AB199" i="33"/>
  <c r="AC199" i="33"/>
  <c r="AD199" i="33"/>
  <c r="AE199" i="33"/>
  <c r="AF199" i="33"/>
  <c r="AG199" i="33"/>
  <c r="AH199" i="33"/>
  <c r="AI199" i="33"/>
  <c r="AJ199" i="33"/>
  <c r="AK199" i="33"/>
  <c r="AL199" i="33"/>
  <c r="AM199" i="33"/>
  <c r="AN199" i="33"/>
  <c r="AO199" i="33"/>
  <c r="G200" i="33"/>
  <c r="H200" i="33"/>
  <c r="I200" i="33"/>
  <c r="J200" i="33"/>
  <c r="K200" i="33"/>
  <c r="L200" i="33"/>
  <c r="M200" i="33"/>
  <c r="N200" i="33"/>
  <c r="O200" i="33"/>
  <c r="P200" i="33"/>
  <c r="Q200" i="33"/>
  <c r="R200" i="33"/>
  <c r="S200" i="33"/>
  <c r="W200" i="33"/>
  <c r="X200" i="33"/>
  <c r="Y200" i="33"/>
  <c r="Z200" i="33"/>
  <c r="AA200" i="33"/>
  <c r="AB200" i="33"/>
  <c r="AC200" i="33"/>
  <c r="AD200" i="33"/>
  <c r="AE200" i="33"/>
  <c r="AF200" i="33"/>
  <c r="AG200" i="33"/>
  <c r="AH200" i="33"/>
  <c r="AI200" i="33"/>
  <c r="AJ200" i="33"/>
  <c r="AK200" i="33"/>
  <c r="AL200" i="33"/>
  <c r="AM200" i="33"/>
  <c r="AN200" i="33"/>
  <c r="AO200" i="33"/>
  <c r="G203" i="33"/>
  <c r="H203" i="33"/>
  <c r="I203" i="33"/>
  <c r="J203" i="33"/>
  <c r="K203" i="33"/>
  <c r="L203" i="33"/>
  <c r="M203" i="33"/>
  <c r="N203" i="33"/>
  <c r="O203" i="33"/>
  <c r="P203" i="33"/>
  <c r="Q203" i="33"/>
  <c r="R203" i="33"/>
  <c r="S203" i="33"/>
  <c r="T203" i="33"/>
  <c r="U203" i="33"/>
  <c r="W203" i="33"/>
  <c r="X203" i="33"/>
  <c r="Y203" i="33"/>
  <c r="Z203" i="33"/>
  <c r="AA203" i="33"/>
  <c r="AB203" i="33"/>
  <c r="AC203" i="33"/>
  <c r="AD203" i="33"/>
  <c r="AE203" i="33"/>
  <c r="AF203" i="33"/>
  <c r="AG203" i="33"/>
  <c r="AH203" i="33"/>
  <c r="AI203" i="33"/>
  <c r="AJ203" i="33"/>
  <c r="AK203" i="33"/>
  <c r="AL203" i="33"/>
  <c r="AM203" i="33"/>
  <c r="AN203" i="33"/>
  <c r="AO203" i="33"/>
  <c r="G204" i="33"/>
  <c r="H204" i="33"/>
  <c r="I204" i="33"/>
  <c r="J204" i="33"/>
  <c r="K204" i="33"/>
  <c r="L204" i="33"/>
  <c r="M204" i="33"/>
  <c r="N204" i="33"/>
  <c r="O204" i="33"/>
  <c r="P204" i="33"/>
  <c r="Q204" i="33"/>
  <c r="R204" i="33"/>
  <c r="S204" i="33"/>
  <c r="T204" i="33"/>
  <c r="U204" i="33"/>
  <c r="W204" i="33"/>
  <c r="X204" i="33"/>
  <c r="Y204" i="33"/>
  <c r="Z204" i="33"/>
  <c r="AA204" i="33"/>
  <c r="AB204" i="33"/>
  <c r="AC204" i="33"/>
  <c r="AD204" i="33"/>
  <c r="AE204" i="33"/>
  <c r="AF204" i="33"/>
  <c r="AG204" i="33"/>
  <c r="AH204" i="33"/>
  <c r="AI204" i="33"/>
  <c r="AJ204" i="33"/>
  <c r="AK204" i="33"/>
  <c r="AL204" i="33"/>
  <c r="AM204" i="33"/>
  <c r="AN204" i="33"/>
  <c r="AO204" i="33"/>
  <c r="G205" i="33"/>
  <c r="H205" i="33"/>
  <c r="I205" i="33"/>
  <c r="J205" i="33"/>
  <c r="K205" i="33"/>
  <c r="L205" i="33"/>
  <c r="M205" i="33"/>
  <c r="N205" i="33"/>
  <c r="O205" i="33"/>
  <c r="P205" i="33"/>
  <c r="Q205" i="33"/>
  <c r="R205" i="33"/>
  <c r="S205" i="33"/>
  <c r="T205" i="33"/>
  <c r="U205" i="33"/>
  <c r="W205" i="33"/>
  <c r="X205" i="33"/>
  <c r="Y205" i="33"/>
  <c r="Z205" i="33"/>
  <c r="AA205" i="33"/>
  <c r="AB205" i="33"/>
  <c r="AC205" i="33"/>
  <c r="AD205" i="33"/>
  <c r="AE205" i="33"/>
  <c r="AF205" i="33"/>
  <c r="AG205" i="33"/>
  <c r="AH205" i="33"/>
  <c r="AI205" i="33"/>
  <c r="AJ205" i="33"/>
  <c r="AK205" i="33"/>
  <c r="AL205" i="33"/>
  <c r="AM205" i="33"/>
  <c r="AN205" i="33"/>
  <c r="AO205" i="33"/>
  <c r="G206" i="33"/>
  <c r="H206" i="33"/>
  <c r="I206" i="33"/>
  <c r="J206" i="33"/>
  <c r="K206" i="33"/>
  <c r="L206" i="33"/>
  <c r="M206" i="33"/>
  <c r="N206" i="33"/>
  <c r="O206" i="33"/>
  <c r="P206" i="33"/>
  <c r="Q206" i="33"/>
  <c r="R206" i="33"/>
  <c r="S206" i="33"/>
  <c r="T206" i="33"/>
  <c r="U206" i="33"/>
  <c r="W206" i="33"/>
  <c r="X206" i="33"/>
  <c r="Y206" i="33"/>
  <c r="Z206" i="33"/>
  <c r="AA206" i="33"/>
  <c r="AB206" i="33"/>
  <c r="AC206" i="33"/>
  <c r="AD206" i="33"/>
  <c r="AE206" i="33"/>
  <c r="AF206" i="33"/>
  <c r="AG206" i="33"/>
  <c r="AH206" i="33"/>
  <c r="AI206" i="33"/>
  <c r="AJ206" i="33"/>
  <c r="AK206" i="33"/>
  <c r="AL206" i="33"/>
  <c r="AM206" i="33"/>
  <c r="AN206" i="33"/>
  <c r="AO206" i="33"/>
  <c r="G208" i="33"/>
  <c r="H208" i="33"/>
  <c r="J208" i="33"/>
  <c r="K208" i="33"/>
  <c r="M208" i="33"/>
  <c r="N208" i="33"/>
  <c r="P208" i="33"/>
  <c r="Q208" i="33"/>
  <c r="R208" i="33"/>
  <c r="W208" i="33"/>
  <c r="X208" i="33"/>
  <c r="Z208" i="33"/>
  <c r="AA208" i="33"/>
  <c r="AB208" i="33"/>
  <c r="AC208" i="33"/>
  <c r="AE208" i="33"/>
  <c r="AF208" i="33"/>
  <c r="AG208" i="33"/>
  <c r="AH208" i="33"/>
  <c r="AI208" i="33"/>
  <c r="AJ208" i="33"/>
  <c r="AK208" i="33"/>
  <c r="AL208" i="33"/>
  <c r="AM208" i="33"/>
  <c r="AN208" i="33"/>
  <c r="AO208" i="33"/>
  <c r="G209" i="33"/>
  <c r="H209" i="33"/>
  <c r="J209" i="33"/>
  <c r="K209" i="33"/>
  <c r="M209" i="33"/>
  <c r="N209" i="33"/>
  <c r="P209" i="33"/>
  <c r="Q209" i="33"/>
  <c r="R209" i="33"/>
  <c r="W209" i="33"/>
  <c r="X209" i="33"/>
  <c r="Z209" i="33"/>
  <c r="AA209" i="33"/>
  <c r="AB209" i="33"/>
  <c r="AC209" i="33"/>
  <c r="AE209" i="33"/>
  <c r="AF209" i="33"/>
  <c r="AG209" i="33"/>
  <c r="AH209" i="33"/>
  <c r="AI209" i="33"/>
  <c r="AJ209" i="33"/>
  <c r="AK209" i="33"/>
  <c r="AL209" i="33"/>
  <c r="AM209" i="33"/>
  <c r="AN209" i="33"/>
  <c r="AO209" i="33"/>
  <c r="F211" i="33"/>
  <c r="G211" i="33"/>
  <c r="H211" i="33"/>
  <c r="I211" i="33"/>
  <c r="J211" i="33"/>
  <c r="K211" i="33"/>
  <c r="L211" i="33"/>
  <c r="M211" i="33"/>
  <c r="N211" i="33"/>
  <c r="O211" i="33"/>
  <c r="P211" i="33"/>
  <c r="Q211" i="33"/>
  <c r="R211" i="33"/>
  <c r="S211" i="33"/>
  <c r="W211" i="33"/>
  <c r="X211" i="33"/>
  <c r="Y211" i="33"/>
  <c r="Z211" i="33"/>
  <c r="AA211" i="33"/>
  <c r="AB211" i="33"/>
  <c r="AC211" i="33"/>
  <c r="AE211" i="33"/>
  <c r="AF211" i="33"/>
  <c r="AG211" i="33"/>
  <c r="AH211" i="33"/>
  <c r="AI211" i="33"/>
  <c r="AJ211" i="33"/>
  <c r="AK211" i="33"/>
  <c r="AL211" i="33"/>
  <c r="AM211" i="33"/>
  <c r="AN211" i="33"/>
  <c r="AO211" i="33"/>
  <c r="F212" i="33"/>
  <c r="G212" i="33"/>
  <c r="H212" i="33"/>
  <c r="I212" i="33"/>
  <c r="J212" i="33"/>
  <c r="K212" i="33"/>
  <c r="L212" i="33"/>
  <c r="M212" i="33"/>
  <c r="N212" i="33"/>
  <c r="O212" i="33"/>
  <c r="P212" i="33"/>
  <c r="Q212" i="33"/>
  <c r="R212" i="33"/>
  <c r="S212" i="33"/>
  <c r="W212" i="33"/>
  <c r="X212" i="33"/>
  <c r="Y212" i="33"/>
  <c r="Z212" i="33"/>
  <c r="AA212" i="33"/>
  <c r="AB212" i="33"/>
  <c r="AC212" i="33"/>
  <c r="AD212" i="33"/>
  <c r="AE212" i="33"/>
  <c r="AF212" i="33"/>
  <c r="AG212" i="33"/>
  <c r="AH212" i="33"/>
  <c r="AI212" i="33"/>
  <c r="AJ212" i="33"/>
  <c r="AK212" i="33"/>
  <c r="AL212" i="33"/>
  <c r="AM212" i="33"/>
  <c r="AN212" i="33"/>
  <c r="AO212" i="33"/>
  <c r="G215" i="33"/>
  <c r="H215" i="33"/>
  <c r="I215" i="33"/>
  <c r="J215" i="33"/>
  <c r="K215" i="33"/>
  <c r="L215" i="33"/>
  <c r="M215" i="33"/>
  <c r="N215" i="33"/>
  <c r="O215" i="33"/>
  <c r="P215" i="33"/>
  <c r="Q215" i="33"/>
  <c r="R215" i="33"/>
  <c r="S215" i="33"/>
  <c r="T215" i="33"/>
  <c r="U215" i="33"/>
  <c r="W215" i="33"/>
  <c r="X215" i="33"/>
  <c r="Y215" i="33"/>
  <c r="Z215" i="33"/>
  <c r="AA215" i="33"/>
  <c r="AB215" i="33"/>
  <c r="AC215" i="33"/>
  <c r="AD215" i="33"/>
  <c r="AE215" i="33"/>
  <c r="AF215" i="33"/>
  <c r="AG215" i="33"/>
  <c r="AH215" i="33"/>
  <c r="AI215" i="33"/>
  <c r="AJ215" i="33"/>
  <c r="AK215" i="33"/>
  <c r="AL215" i="33"/>
  <c r="AM215" i="33"/>
  <c r="AN215" i="33"/>
  <c r="AO215" i="33"/>
  <c r="G216" i="33"/>
  <c r="H216" i="33"/>
  <c r="I216" i="33"/>
  <c r="J216" i="33"/>
  <c r="K216" i="33"/>
  <c r="L216" i="33"/>
  <c r="M216" i="33"/>
  <c r="N216" i="33"/>
  <c r="O216" i="33"/>
  <c r="P216" i="33"/>
  <c r="Q216" i="33"/>
  <c r="R216" i="33"/>
  <c r="S216" i="33"/>
  <c r="T216" i="33"/>
  <c r="U216" i="33"/>
  <c r="W216" i="33"/>
  <c r="X216" i="33"/>
  <c r="Y216" i="33"/>
  <c r="Z216" i="33"/>
  <c r="AA216" i="33"/>
  <c r="AB216" i="33"/>
  <c r="AC216" i="33"/>
  <c r="AD216" i="33"/>
  <c r="AE216" i="33"/>
  <c r="AF216" i="33"/>
  <c r="AG216" i="33"/>
  <c r="AH216" i="33"/>
  <c r="AI216" i="33"/>
  <c r="AJ216" i="33"/>
  <c r="AK216" i="33"/>
  <c r="AL216" i="33"/>
  <c r="AM216" i="33"/>
  <c r="AN216" i="33"/>
  <c r="AO216" i="33"/>
  <c r="G217" i="33"/>
  <c r="H217" i="33"/>
  <c r="I217" i="33"/>
  <c r="J217" i="33"/>
  <c r="K217" i="33"/>
  <c r="L217" i="33"/>
  <c r="M217" i="33"/>
  <c r="N217" i="33"/>
  <c r="O217" i="33"/>
  <c r="P217" i="33"/>
  <c r="Q217" i="33"/>
  <c r="R217" i="33"/>
  <c r="S217" i="33"/>
  <c r="T217" i="33"/>
  <c r="U217" i="33"/>
  <c r="W217" i="33"/>
  <c r="X217" i="33"/>
  <c r="Y217" i="33"/>
  <c r="Z217" i="33"/>
  <c r="AA217" i="33"/>
  <c r="AB217" i="33"/>
  <c r="AC217" i="33"/>
  <c r="AD217" i="33"/>
  <c r="AE217" i="33"/>
  <c r="AF217" i="33"/>
  <c r="AG217" i="33"/>
  <c r="AH217" i="33"/>
  <c r="AI217" i="33"/>
  <c r="AJ217" i="33"/>
  <c r="AK217" i="33"/>
  <c r="AL217" i="33"/>
  <c r="AM217" i="33"/>
  <c r="AN217" i="33"/>
  <c r="AO217" i="33"/>
  <c r="G218" i="33"/>
  <c r="H218" i="33"/>
  <c r="I218" i="33"/>
  <c r="J218" i="33"/>
  <c r="K218" i="33"/>
  <c r="L218" i="33"/>
  <c r="M218" i="33"/>
  <c r="N218" i="33"/>
  <c r="O218" i="33"/>
  <c r="P218" i="33"/>
  <c r="Q218" i="33"/>
  <c r="R218" i="33"/>
  <c r="S218" i="33"/>
  <c r="T218" i="33"/>
  <c r="U218" i="33"/>
  <c r="W218" i="33"/>
  <c r="X218" i="33"/>
  <c r="Y218" i="33"/>
  <c r="Z218" i="33"/>
  <c r="AA218" i="33"/>
  <c r="AB218" i="33"/>
  <c r="AC218" i="33"/>
  <c r="AD218" i="33"/>
  <c r="AE218" i="33"/>
  <c r="AF218" i="33"/>
  <c r="AG218" i="33"/>
  <c r="AH218" i="33"/>
  <c r="AI218" i="33"/>
  <c r="AJ218" i="33"/>
  <c r="AK218" i="33"/>
  <c r="AL218" i="33"/>
  <c r="AM218" i="33"/>
  <c r="AN218" i="33"/>
  <c r="AO218" i="33"/>
  <c r="G220" i="33"/>
  <c r="H220" i="33"/>
  <c r="J220" i="33"/>
  <c r="K220" i="33"/>
  <c r="M220" i="33"/>
  <c r="N220" i="33"/>
  <c r="P220" i="33"/>
  <c r="Q220" i="33"/>
  <c r="R220" i="33"/>
  <c r="W220" i="33"/>
  <c r="X220" i="33"/>
  <c r="Z220" i="33"/>
  <c r="AA220" i="33"/>
  <c r="AB220" i="33"/>
  <c r="AC220" i="33"/>
  <c r="AE220" i="33"/>
  <c r="AF220" i="33"/>
  <c r="AG220" i="33"/>
  <c r="AH220" i="33"/>
  <c r="AI220" i="33"/>
  <c r="AJ220" i="33"/>
  <c r="AK220" i="33"/>
  <c r="AL220" i="33"/>
  <c r="AM220" i="33"/>
  <c r="AN220" i="33"/>
  <c r="AO220" i="33"/>
  <c r="G221" i="33"/>
  <c r="H221" i="33"/>
  <c r="I221" i="33"/>
  <c r="J221" i="33"/>
  <c r="K221" i="33"/>
  <c r="M221" i="33"/>
  <c r="N221" i="33"/>
  <c r="O221" i="33"/>
  <c r="P221" i="33"/>
  <c r="Q221" i="33"/>
  <c r="R221" i="33"/>
  <c r="W221" i="33"/>
  <c r="X221" i="33"/>
  <c r="Z221" i="33"/>
  <c r="AA221" i="33"/>
  <c r="AB221" i="33"/>
  <c r="AC221" i="33"/>
  <c r="AE221" i="33"/>
  <c r="AF221" i="33"/>
  <c r="AG221" i="33"/>
  <c r="AH221" i="33"/>
  <c r="AI221" i="33"/>
  <c r="AJ221" i="33"/>
  <c r="AK221" i="33"/>
  <c r="AL221" i="33"/>
  <c r="AM221" i="33"/>
  <c r="AN221" i="33"/>
  <c r="AO221" i="33"/>
  <c r="G223" i="33"/>
  <c r="H223" i="33"/>
  <c r="I223" i="33"/>
  <c r="J223" i="33"/>
  <c r="K223" i="33"/>
  <c r="L223" i="33"/>
  <c r="M223" i="33"/>
  <c r="N223" i="33"/>
  <c r="O223" i="33"/>
  <c r="Q223" i="33"/>
  <c r="R223" i="33"/>
  <c r="S223" i="33"/>
  <c r="Z223" i="33"/>
  <c r="AA223" i="33"/>
  <c r="AB223" i="33"/>
  <c r="AC223" i="33"/>
  <c r="AD223" i="33"/>
  <c r="AE223" i="33"/>
  <c r="AF223" i="33"/>
  <c r="AG223" i="33"/>
  <c r="AH223" i="33"/>
  <c r="AI223" i="33"/>
  <c r="AJ223" i="33"/>
  <c r="AK223" i="33"/>
  <c r="AL223" i="33"/>
  <c r="AM223" i="33"/>
  <c r="AN223" i="33"/>
  <c r="AO223" i="33"/>
  <c r="G224" i="33"/>
  <c r="H224" i="33"/>
  <c r="I224" i="33"/>
  <c r="J224" i="33"/>
  <c r="K224" i="33"/>
  <c r="L224" i="33"/>
  <c r="M224" i="33"/>
  <c r="N224" i="33"/>
  <c r="O224" i="33"/>
  <c r="Q224" i="33"/>
  <c r="R224" i="33"/>
  <c r="S224" i="33"/>
  <c r="W224" i="33"/>
  <c r="X224" i="33"/>
  <c r="Y224" i="33"/>
  <c r="Z224" i="33"/>
  <c r="AA224" i="33"/>
  <c r="AB224" i="33"/>
  <c r="AC224" i="33"/>
  <c r="AD224" i="33"/>
  <c r="AE224" i="33"/>
  <c r="AF224" i="33"/>
  <c r="AG224" i="33"/>
  <c r="AH224" i="33"/>
  <c r="AI224" i="33"/>
  <c r="AJ224" i="33"/>
  <c r="AK224" i="33"/>
  <c r="AL224" i="33"/>
  <c r="AM224" i="33"/>
  <c r="AN224" i="33"/>
  <c r="AO224" i="33"/>
  <c r="G227" i="33"/>
  <c r="H227" i="33"/>
  <c r="I227" i="33"/>
  <c r="J227" i="33"/>
  <c r="K227" i="33"/>
  <c r="L227" i="33"/>
  <c r="M227" i="33"/>
  <c r="N227" i="33"/>
  <c r="O227" i="33"/>
  <c r="P227" i="33"/>
  <c r="Q227" i="33"/>
  <c r="R227" i="33"/>
  <c r="S227" i="33"/>
  <c r="T227" i="33"/>
  <c r="U227" i="33"/>
  <c r="W227" i="33"/>
  <c r="X227" i="33"/>
  <c r="Y227" i="33"/>
  <c r="Z227" i="33"/>
  <c r="AA227" i="33"/>
  <c r="AB227" i="33"/>
  <c r="AC227" i="33"/>
  <c r="AD227" i="33"/>
  <c r="AE227" i="33"/>
  <c r="AF227" i="33"/>
  <c r="AG227" i="33"/>
  <c r="AH227" i="33"/>
  <c r="AI227" i="33"/>
  <c r="AJ227" i="33"/>
  <c r="AK227" i="33"/>
  <c r="AL227" i="33"/>
  <c r="AM227" i="33"/>
  <c r="AN227" i="33"/>
  <c r="AO227" i="33"/>
  <c r="G228" i="33"/>
  <c r="H228" i="33"/>
  <c r="I228" i="33"/>
  <c r="J228" i="33"/>
  <c r="K228" i="33"/>
  <c r="L228" i="33"/>
  <c r="M228" i="33"/>
  <c r="N228" i="33"/>
  <c r="O228" i="33"/>
  <c r="P228" i="33"/>
  <c r="Q228" i="33"/>
  <c r="R228" i="33"/>
  <c r="S228" i="33"/>
  <c r="T228" i="33"/>
  <c r="U228" i="33"/>
  <c r="W228" i="33"/>
  <c r="X228" i="33"/>
  <c r="Y228" i="33"/>
  <c r="Z228" i="33"/>
  <c r="AA228" i="33"/>
  <c r="AB228" i="33"/>
  <c r="AC228" i="33"/>
  <c r="AD228" i="33"/>
  <c r="AE228" i="33"/>
  <c r="AF228" i="33"/>
  <c r="AG228" i="33"/>
  <c r="AH228" i="33"/>
  <c r="AI228" i="33"/>
  <c r="AJ228" i="33"/>
  <c r="AK228" i="33"/>
  <c r="AL228" i="33"/>
  <c r="AM228" i="33"/>
  <c r="AN228" i="33"/>
  <c r="AO228" i="33"/>
  <c r="G229" i="33"/>
  <c r="H229" i="33"/>
  <c r="I229" i="33"/>
  <c r="J229" i="33"/>
  <c r="K229" i="33"/>
  <c r="L229" i="33"/>
  <c r="M229" i="33"/>
  <c r="N229" i="33"/>
  <c r="O229" i="33"/>
  <c r="P229" i="33"/>
  <c r="Q229" i="33"/>
  <c r="R229" i="33"/>
  <c r="S229" i="33"/>
  <c r="T229" i="33"/>
  <c r="U229" i="33"/>
  <c r="W229" i="33"/>
  <c r="X229" i="33"/>
  <c r="Y229" i="33"/>
  <c r="Z229" i="33"/>
  <c r="AA229" i="33"/>
  <c r="AB229" i="33"/>
  <c r="AC229" i="33"/>
  <c r="AD229" i="33"/>
  <c r="AE229" i="33"/>
  <c r="AF229" i="33"/>
  <c r="AG229" i="33"/>
  <c r="AH229" i="33"/>
  <c r="AI229" i="33"/>
  <c r="AJ229" i="33"/>
  <c r="AK229" i="33"/>
  <c r="AL229" i="33"/>
  <c r="AM229" i="33"/>
  <c r="AN229" i="33"/>
  <c r="AO229" i="33"/>
  <c r="G230" i="33"/>
  <c r="H230" i="33"/>
  <c r="I230" i="33"/>
  <c r="J230" i="33"/>
  <c r="K230" i="33"/>
  <c r="L230" i="33"/>
  <c r="M230" i="33"/>
  <c r="N230" i="33"/>
  <c r="O230" i="33"/>
  <c r="P230" i="33"/>
  <c r="Q230" i="33"/>
  <c r="R230" i="33"/>
  <c r="S230" i="33"/>
  <c r="T230" i="33"/>
  <c r="U230" i="33"/>
  <c r="W230" i="33"/>
  <c r="X230" i="33"/>
  <c r="Y230" i="33"/>
  <c r="Z230" i="33"/>
  <c r="AA230" i="33"/>
  <c r="AB230" i="33"/>
  <c r="AC230" i="33"/>
  <c r="AD230" i="33"/>
  <c r="AE230" i="33"/>
  <c r="AF230" i="33"/>
  <c r="AG230" i="33"/>
  <c r="AH230" i="33"/>
  <c r="AI230" i="33"/>
  <c r="AJ230" i="33"/>
  <c r="AK230" i="33"/>
  <c r="AL230" i="33"/>
  <c r="AM230" i="33"/>
  <c r="AN230" i="33"/>
  <c r="AO230" i="33"/>
  <c r="G232" i="33"/>
  <c r="H232" i="33"/>
  <c r="J232" i="33"/>
  <c r="K232" i="33"/>
  <c r="M232" i="33"/>
  <c r="N232" i="33"/>
  <c r="P232" i="33"/>
  <c r="Q232" i="33"/>
  <c r="R232" i="33"/>
  <c r="W232" i="33"/>
  <c r="X232" i="33"/>
  <c r="Z232" i="33"/>
  <c r="AA232" i="33"/>
  <c r="AB232" i="33"/>
  <c r="AC232" i="33"/>
  <c r="AE232" i="33"/>
  <c r="AF232" i="33"/>
  <c r="AG232" i="33"/>
  <c r="AH232" i="33"/>
  <c r="AI232" i="33"/>
  <c r="AJ232" i="33"/>
  <c r="AK232" i="33"/>
  <c r="AL232" i="33"/>
  <c r="AM232" i="33"/>
  <c r="AN232" i="33"/>
  <c r="AO232" i="33"/>
  <c r="G233" i="33"/>
  <c r="H233" i="33"/>
  <c r="J233" i="33"/>
  <c r="K233" i="33"/>
  <c r="M233" i="33"/>
  <c r="N233" i="33"/>
  <c r="P233" i="33"/>
  <c r="Q233" i="33"/>
  <c r="R233" i="33"/>
  <c r="W233" i="33"/>
  <c r="X233" i="33"/>
  <c r="Z233" i="33"/>
  <c r="AA233" i="33"/>
  <c r="AB233" i="33"/>
  <c r="AC233" i="33"/>
  <c r="AE233" i="33"/>
  <c r="AF233" i="33"/>
  <c r="AG233" i="33"/>
  <c r="AH233" i="33"/>
  <c r="AI233" i="33"/>
  <c r="AJ233" i="33"/>
  <c r="AK233" i="33"/>
  <c r="AL233" i="33"/>
  <c r="AM233" i="33"/>
  <c r="AN233" i="33"/>
  <c r="AO233" i="33"/>
  <c r="G235" i="33"/>
  <c r="H235" i="33"/>
  <c r="I235" i="33"/>
  <c r="J235" i="33"/>
  <c r="K235" i="33"/>
  <c r="L235" i="33"/>
  <c r="M235" i="33"/>
  <c r="N235" i="33"/>
  <c r="O235" i="33"/>
  <c r="P235" i="33"/>
  <c r="Q235" i="33"/>
  <c r="R235" i="33"/>
  <c r="S235" i="33"/>
  <c r="W235" i="33"/>
  <c r="X235" i="33"/>
  <c r="Y235" i="33"/>
  <c r="Z235" i="33"/>
  <c r="AA235" i="33"/>
  <c r="AB235" i="33"/>
  <c r="AC235" i="33"/>
  <c r="AD235" i="33"/>
  <c r="AE235" i="33"/>
  <c r="AF235" i="33"/>
  <c r="AG235" i="33"/>
  <c r="AH235" i="33"/>
  <c r="AI235" i="33"/>
  <c r="AJ235" i="33"/>
  <c r="AK235" i="33"/>
  <c r="AL235" i="33"/>
  <c r="AM235" i="33"/>
  <c r="AN235" i="33"/>
  <c r="AO235" i="33"/>
  <c r="G236" i="33"/>
  <c r="H236" i="33"/>
  <c r="I236" i="33"/>
  <c r="J236" i="33"/>
  <c r="K236" i="33"/>
  <c r="L236" i="33"/>
  <c r="M236" i="33"/>
  <c r="N236" i="33"/>
  <c r="O236" i="33"/>
  <c r="P236" i="33"/>
  <c r="Q236" i="33"/>
  <c r="R236" i="33"/>
  <c r="S236" i="33"/>
  <c r="W236" i="33"/>
  <c r="X236" i="33"/>
  <c r="Y236" i="33"/>
  <c r="Z236" i="33"/>
  <c r="AA236" i="33"/>
  <c r="AB236" i="33"/>
  <c r="AC236" i="33"/>
  <c r="AD236" i="33"/>
  <c r="AE236" i="33"/>
  <c r="AF236" i="33"/>
  <c r="AG236" i="33"/>
  <c r="AH236" i="33"/>
  <c r="AI236" i="33"/>
  <c r="AJ236" i="33"/>
  <c r="AK236" i="33"/>
  <c r="AL236" i="33"/>
  <c r="AM236" i="33"/>
  <c r="AN236" i="33"/>
  <c r="AO236" i="33"/>
  <c r="G239" i="33"/>
  <c r="H239" i="33"/>
  <c r="I239" i="33"/>
  <c r="J239" i="33"/>
  <c r="K239" i="33"/>
  <c r="L239" i="33"/>
  <c r="M239" i="33"/>
  <c r="N239" i="33"/>
  <c r="O239" i="33"/>
  <c r="P239" i="33"/>
  <c r="Q239" i="33"/>
  <c r="R239" i="33"/>
  <c r="S239" i="33"/>
  <c r="T239" i="33"/>
  <c r="U239" i="33"/>
  <c r="W239" i="33"/>
  <c r="X239" i="33"/>
  <c r="Y239" i="33"/>
  <c r="Z239" i="33"/>
  <c r="AA239" i="33"/>
  <c r="AB239" i="33"/>
  <c r="AC239" i="33"/>
  <c r="AD239" i="33"/>
  <c r="AE239" i="33"/>
  <c r="AF239" i="33"/>
  <c r="AG239" i="33"/>
  <c r="AH239" i="33"/>
  <c r="AI239" i="33"/>
  <c r="AJ239" i="33"/>
  <c r="AK239" i="33"/>
  <c r="AL239" i="33"/>
  <c r="AM239" i="33"/>
  <c r="AN239" i="33"/>
  <c r="AO239" i="33"/>
  <c r="G240" i="33"/>
  <c r="H240" i="33"/>
  <c r="I240" i="33"/>
  <c r="J240" i="33"/>
  <c r="K240" i="33"/>
  <c r="L240" i="33"/>
  <c r="M240" i="33"/>
  <c r="N240" i="33"/>
  <c r="O240" i="33"/>
  <c r="P240" i="33"/>
  <c r="Q240" i="33"/>
  <c r="R240" i="33"/>
  <c r="S240" i="33"/>
  <c r="T240" i="33"/>
  <c r="U240" i="33"/>
  <c r="W240" i="33"/>
  <c r="X240" i="33"/>
  <c r="Y240" i="33"/>
  <c r="Z240" i="33"/>
  <c r="AA240" i="33"/>
  <c r="AB240" i="33"/>
  <c r="AC240" i="33"/>
  <c r="AD240" i="33"/>
  <c r="AE240" i="33"/>
  <c r="AF240" i="33"/>
  <c r="AG240" i="33"/>
  <c r="AH240" i="33"/>
  <c r="AI240" i="33"/>
  <c r="AJ240" i="33"/>
  <c r="AK240" i="33"/>
  <c r="AL240" i="33"/>
  <c r="AM240" i="33"/>
  <c r="AN240" i="33"/>
  <c r="AO240" i="33"/>
  <c r="G241" i="33"/>
  <c r="H241" i="33"/>
  <c r="I241" i="33"/>
  <c r="J241" i="33"/>
  <c r="K241" i="33"/>
  <c r="L241" i="33"/>
  <c r="M241" i="33"/>
  <c r="N241" i="33"/>
  <c r="O241" i="33"/>
  <c r="P241" i="33"/>
  <c r="Q241" i="33"/>
  <c r="R241" i="33"/>
  <c r="S241" i="33"/>
  <c r="T241" i="33"/>
  <c r="U241" i="33"/>
  <c r="W241" i="33"/>
  <c r="X241" i="33"/>
  <c r="Y241" i="33"/>
  <c r="Z241" i="33"/>
  <c r="AA241" i="33"/>
  <c r="AB241" i="33"/>
  <c r="AC241" i="33"/>
  <c r="AD241" i="33"/>
  <c r="AE241" i="33"/>
  <c r="AF241" i="33"/>
  <c r="AG241" i="33"/>
  <c r="AH241" i="33"/>
  <c r="AI241" i="33"/>
  <c r="AJ241" i="33"/>
  <c r="AK241" i="33"/>
  <c r="AL241" i="33"/>
  <c r="AM241" i="33"/>
  <c r="AN241" i="33"/>
  <c r="AO241" i="33"/>
  <c r="G242" i="33"/>
  <c r="H242" i="33"/>
  <c r="I242" i="33"/>
  <c r="J242" i="33"/>
  <c r="K242" i="33"/>
  <c r="L242" i="33"/>
  <c r="M242" i="33"/>
  <c r="N242" i="33"/>
  <c r="O242" i="33"/>
  <c r="P242" i="33"/>
  <c r="Q242" i="33"/>
  <c r="R242" i="33"/>
  <c r="S242" i="33"/>
  <c r="T242" i="33"/>
  <c r="U242" i="33"/>
  <c r="W242" i="33"/>
  <c r="X242" i="33"/>
  <c r="Y242" i="33"/>
  <c r="Z242" i="33"/>
  <c r="AA242" i="33"/>
  <c r="AB242" i="33"/>
  <c r="AC242" i="33"/>
  <c r="AD242" i="33"/>
  <c r="AE242" i="33"/>
  <c r="AF242" i="33"/>
  <c r="AG242" i="33"/>
  <c r="AH242" i="33"/>
  <c r="AI242" i="33"/>
  <c r="AJ242" i="33"/>
  <c r="AK242" i="33"/>
  <c r="AL242" i="33"/>
  <c r="AM242" i="33"/>
  <c r="AN242" i="33"/>
  <c r="AO242" i="33"/>
  <c r="G244" i="33"/>
  <c r="H244" i="33"/>
  <c r="J244" i="33"/>
  <c r="K244" i="33"/>
  <c r="M244" i="33"/>
  <c r="N244" i="33"/>
  <c r="P244" i="33"/>
  <c r="Q244" i="33"/>
  <c r="R244" i="33"/>
  <c r="W244" i="33"/>
  <c r="X244" i="33"/>
  <c r="Z244" i="33"/>
  <c r="AA244" i="33"/>
  <c r="AB244" i="33"/>
  <c r="AC244" i="33"/>
  <c r="AE244" i="33"/>
  <c r="AF244" i="33"/>
  <c r="AG244" i="33"/>
  <c r="AH244" i="33"/>
  <c r="AI244" i="33"/>
  <c r="AJ244" i="33"/>
  <c r="AK244" i="33"/>
  <c r="AL244" i="33"/>
  <c r="AM244" i="33"/>
  <c r="AN244" i="33"/>
  <c r="AO244" i="33"/>
  <c r="G245" i="33"/>
  <c r="H245" i="33"/>
  <c r="J245" i="33"/>
  <c r="K245" i="33"/>
  <c r="M245" i="33"/>
  <c r="N245" i="33"/>
  <c r="P245" i="33"/>
  <c r="Q245" i="33"/>
  <c r="R245" i="33"/>
  <c r="S245" i="33"/>
  <c r="W245" i="33"/>
  <c r="X245" i="33"/>
  <c r="Z245" i="33"/>
  <c r="AA245" i="33"/>
  <c r="AB245" i="33"/>
  <c r="AC245" i="33"/>
  <c r="AE245" i="33"/>
  <c r="AF245" i="33"/>
  <c r="AG245" i="33"/>
  <c r="AH245" i="33"/>
  <c r="AI245" i="33"/>
  <c r="AJ245" i="33"/>
  <c r="AK245" i="33"/>
  <c r="AL245" i="33"/>
  <c r="AM245" i="33"/>
  <c r="AN245" i="33"/>
  <c r="AO245" i="33"/>
  <c r="G247" i="33"/>
  <c r="H247" i="33"/>
  <c r="I247" i="33"/>
  <c r="J247" i="33"/>
  <c r="K247" i="33"/>
  <c r="L247" i="33"/>
  <c r="M247" i="33"/>
  <c r="N247" i="33"/>
  <c r="O247" i="33"/>
  <c r="P247" i="33"/>
  <c r="Q247" i="33"/>
  <c r="R247" i="33"/>
  <c r="S247" i="33"/>
  <c r="W247" i="33"/>
  <c r="X247" i="33"/>
  <c r="Y247" i="33"/>
  <c r="Z247" i="33"/>
  <c r="AA247" i="33"/>
  <c r="AB247" i="33"/>
  <c r="AC247" i="33"/>
  <c r="AD247" i="33"/>
  <c r="AE247" i="33"/>
  <c r="AF247" i="33"/>
  <c r="AG247" i="33"/>
  <c r="AH247" i="33"/>
  <c r="AI247" i="33"/>
  <c r="AJ247" i="33"/>
  <c r="AK247" i="33"/>
  <c r="AL247" i="33"/>
  <c r="AM247" i="33"/>
  <c r="AN247" i="33"/>
  <c r="AO247" i="33"/>
  <c r="G248" i="33"/>
  <c r="H248" i="33"/>
  <c r="I248" i="33"/>
  <c r="J248" i="33"/>
  <c r="K248" i="33"/>
  <c r="L248" i="33"/>
  <c r="M248" i="33"/>
  <c r="N248" i="33"/>
  <c r="O248" i="33"/>
  <c r="P248" i="33"/>
  <c r="Q248" i="33"/>
  <c r="R248" i="33"/>
  <c r="S248" i="33"/>
  <c r="W248" i="33"/>
  <c r="X248" i="33"/>
  <c r="Y248" i="33"/>
  <c r="Z248" i="33"/>
  <c r="AA248" i="33"/>
  <c r="AB248" i="33"/>
  <c r="AC248" i="33"/>
  <c r="AD248" i="33"/>
  <c r="AE248" i="33"/>
  <c r="AF248" i="33"/>
  <c r="AG248" i="33"/>
  <c r="AH248" i="33"/>
  <c r="AI248" i="33"/>
  <c r="AJ248" i="33"/>
  <c r="AK248" i="33"/>
  <c r="AL248" i="33"/>
  <c r="AM248" i="33"/>
  <c r="AN248" i="33"/>
  <c r="AO248" i="33"/>
  <c r="G251" i="33"/>
  <c r="H251" i="33"/>
  <c r="I251" i="33"/>
  <c r="J251" i="33"/>
  <c r="K251" i="33"/>
  <c r="L251" i="33"/>
  <c r="M251" i="33"/>
  <c r="N251" i="33"/>
  <c r="O251" i="33"/>
  <c r="P251" i="33"/>
  <c r="Q251" i="33"/>
  <c r="R251" i="33"/>
  <c r="S251" i="33"/>
  <c r="T251" i="33"/>
  <c r="U251" i="33"/>
  <c r="W251" i="33"/>
  <c r="X251" i="33"/>
  <c r="Y251" i="33"/>
  <c r="Z251" i="33"/>
  <c r="AA251" i="33"/>
  <c r="AB251" i="33"/>
  <c r="AC251" i="33"/>
  <c r="AD251" i="33"/>
  <c r="AE251" i="33"/>
  <c r="AF251" i="33"/>
  <c r="AG251" i="33"/>
  <c r="AH251" i="33"/>
  <c r="AI251" i="33"/>
  <c r="AJ251" i="33"/>
  <c r="AK251" i="33"/>
  <c r="AL251" i="33"/>
  <c r="AM251" i="33"/>
  <c r="AN251" i="33"/>
  <c r="AO251" i="33"/>
  <c r="G252" i="33"/>
  <c r="H252" i="33"/>
  <c r="I252" i="33"/>
  <c r="J252" i="33"/>
  <c r="K252" i="33"/>
  <c r="L252" i="33"/>
  <c r="M252" i="33"/>
  <c r="N252" i="33"/>
  <c r="O252" i="33"/>
  <c r="P252" i="33"/>
  <c r="Q252" i="33"/>
  <c r="R252" i="33"/>
  <c r="S252" i="33"/>
  <c r="T252" i="33"/>
  <c r="U252" i="33"/>
  <c r="W252" i="33"/>
  <c r="X252" i="33"/>
  <c r="Y252" i="33"/>
  <c r="Z252" i="33"/>
  <c r="AA252" i="33"/>
  <c r="AB252" i="33"/>
  <c r="AC252" i="33"/>
  <c r="AD252" i="33"/>
  <c r="AE252" i="33"/>
  <c r="AF252" i="33"/>
  <c r="AG252" i="33"/>
  <c r="AH252" i="33"/>
  <c r="AI252" i="33"/>
  <c r="AJ252" i="33"/>
  <c r="AK252" i="33"/>
  <c r="AL252" i="33"/>
  <c r="AM252" i="33"/>
  <c r="AN252" i="33"/>
  <c r="AO252" i="33"/>
  <c r="G253" i="33"/>
  <c r="H253" i="33"/>
  <c r="I253" i="33"/>
  <c r="J253" i="33"/>
  <c r="K253" i="33"/>
  <c r="L253" i="33"/>
  <c r="M253" i="33"/>
  <c r="N253" i="33"/>
  <c r="O253" i="33"/>
  <c r="P253" i="33"/>
  <c r="Q253" i="33"/>
  <c r="R253" i="33"/>
  <c r="S253" i="33"/>
  <c r="T253" i="33"/>
  <c r="U253" i="33"/>
  <c r="W253" i="33"/>
  <c r="X253" i="33"/>
  <c r="Y253" i="33"/>
  <c r="Z253" i="33"/>
  <c r="AA253" i="33"/>
  <c r="AB253" i="33"/>
  <c r="AC253" i="33"/>
  <c r="AD253" i="33"/>
  <c r="AE253" i="33"/>
  <c r="AF253" i="33"/>
  <c r="AG253" i="33"/>
  <c r="AH253" i="33"/>
  <c r="AI253" i="33"/>
  <c r="AJ253" i="33"/>
  <c r="AK253" i="33"/>
  <c r="AL253" i="33"/>
  <c r="AM253" i="33"/>
  <c r="AN253" i="33"/>
  <c r="AO253" i="33"/>
  <c r="G254" i="33"/>
  <c r="H254" i="33"/>
  <c r="I254" i="33"/>
  <c r="J254" i="33"/>
  <c r="K254" i="33"/>
  <c r="L254" i="33"/>
  <c r="M254" i="33"/>
  <c r="N254" i="33"/>
  <c r="O254" i="33"/>
  <c r="P254" i="33"/>
  <c r="Q254" i="33"/>
  <c r="R254" i="33"/>
  <c r="S254" i="33"/>
  <c r="T254" i="33"/>
  <c r="U254" i="33"/>
  <c r="W254" i="33"/>
  <c r="X254" i="33"/>
  <c r="Y254" i="33"/>
  <c r="Z254" i="33"/>
  <c r="AA254" i="33"/>
  <c r="AB254" i="33"/>
  <c r="AC254" i="33"/>
  <c r="AD254" i="33"/>
  <c r="AE254" i="33"/>
  <c r="AF254" i="33"/>
  <c r="AG254" i="33"/>
  <c r="AH254" i="33"/>
  <c r="AI254" i="33"/>
  <c r="AJ254" i="33"/>
  <c r="AK254" i="33"/>
  <c r="AL254" i="33"/>
  <c r="AM254" i="33"/>
  <c r="AN254" i="33"/>
  <c r="AO254" i="33"/>
  <c r="G256" i="33"/>
  <c r="H256" i="33"/>
  <c r="I256" i="33"/>
  <c r="J256" i="33"/>
  <c r="K256" i="33"/>
  <c r="L256" i="33"/>
  <c r="M256" i="33"/>
  <c r="N256" i="33"/>
  <c r="P256" i="33"/>
  <c r="Q256" i="33"/>
  <c r="R256" i="33"/>
  <c r="W256" i="33"/>
  <c r="X256" i="33"/>
  <c r="Z256" i="33"/>
  <c r="AA256" i="33"/>
  <c r="AB256" i="33"/>
  <c r="AC256" i="33"/>
  <c r="AE256" i="33"/>
  <c r="AF256" i="33"/>
  <c r="AG256" i="33"/>
  <c r="AH256" i="33"/>
  <c r="AI256" i="33"/>
  <c r="AJ256" i="33"/>
  <c r="AK256" i="33"/>
  <c r="AL256" i="33"/>
  <c r="AM256" i="33"/>
  <c r="AN256" i="33"/>
  <c r="AO256" i="33"/>
  <c r="G257" i="33"/>
  <c r="H257" i="33"/>
  <c r="I257" i="33"/>
  <c r="J257" i="33"/>
  <c r="K257" i="33"/>
  <c r="L257" i="33"/>
  <c r="M257" i="33"/>
  <c r="N257" i="33"/>
  <c r="O257" i="33"/>
  <c r="P257" i="33"/>
  <c r="Q257" i="33"/>
  <c r="R257" i="33"/>
  <c r="W257" i="33"/>
  <c r="X257" i="33"/>
  <c r="Y257" i="33"/>
  <c r="Z257" i="33"/>
  <c r="AA257" i="33"/>
  <c r="AB257" i="33"/>
  <c r="AC257" i="33"/>
  <c r="AD257" i="33"/>
  <c r="AE257" i="33"/>
  <c r="AF257" i="33"/>
  <c r="AG257" i="33"/>
  <c r="AH257" i="33"/>
  <c r="AI257" i="33"/>
  <c r="AJ257" i="33"/>
  <c r="AK257" i="33"/>
  <c r="AL257" i="33"/>
  <c r="AM257" i="33"/>
  <c r="AN257" i="33"/>
  <c r="AO257" i="33"/>
  <c r="G259" i="33"/>
  <c r="H259" i="33"/>
  <c r="I259" i="33"/>
  <c r="J259" i="33"/>
  <c r="K259" i="33"/>
  <c r="L259" i="33"/>
  <c r="M259" i="33"/>
  <c r="N259" i="33"/>
  <c r="O259" i="33"/>
  <c r="P259" i="33"/>
  <c r="Q259" i="33"/>
  <c r="R259" i="33"/>
  <c r="S259" i="33"/>
  <c r="W259" i="33"/>
  <c r="X259" i="33"/>
  <c r="Y259" i="33"/>
  <c r="Z259" i="33"/>
  <c r="AA259" i="33"/>
  <c r="AB259" i="33"/>
  <c r="AC259" i="33"/>
  <c r="AD259" i="33"/>
  <c r="AF259" i="33"/>
  <c r="AG259" i="33"/>
  <c r="AH259" i="33"/>
  <c r="AI259" i="33"/>
  <c r="AJ259" i="33"/>
  <c r="AK259" i="33"/>
  <c r="AL259" i="33"/>
  <c r="AM259" i="33"/>
  <c r="AN259" i="33"/>
  <c r="AO259" i="33"/>
  <c r="G260" i="33"/>
  <c r="H260" i="33"/>
  <c r="I260" i="33"/>
  <c r="J260" i="33"/>
  <c r="K260" i="33"/>
  <c r="L260" i="33"/>
  <c r="M260" i="33"/>
  <c r="N260" i="33"/>
  <c r="O260" i="33"/>
  <c r="P260" i="33"/>
  <c r="Q260" i="33"/>
  <c r="R260" i="33"/>
  <c r="S260" i="33"/>
  <c r="W260" i="33"/>
  <c r="X260" i="33"/>
  <c r="Y260" i="33"/>
  <c r="Z260" i="33"/>
  <c r="AA260" i="33"/>
  <c r="AB260" i="33"/>
  <c r="AC260" i="33"/>
  <c r="AD260" i="33"/>
  <c r="AF260" i="33"/>
  <c r="AG260" i="33"/>
  <c r="AH260" i="33"/>
  <c r="AI260" i="33"/>
  <c r="AJ260" i="33"/>
  <c r="AK260" i="33"/>
  <c r="AL260" i="33"/>
  <c r="AM260" i="33"/>
  <c r="AN260" i="33"/>
  <c r="AO260" i="33"/>
  <c r="G263" i="33"/>
  <c r="H263" i="33"/>
  <c r="I263" i="33"/>
  <c r="J263" i="33"/>
  <c r="K263" i="33"/>
  <c r="L263" i="33"/>
  <c r="M263" i="33"/>
  <c r="N263" i="33"/>
  <c r="O263" i="33"/>
  <c r="P263" i="33"/>
  <c r="Q263" i="33"/>
  <c r="R263" i="33"/>
  <c r="S263" i="33"/>
  <c r="T263" i="33"/>
  <c r="U263" i="33"/>
  <c r="W263" i="33"/>
  <c r="X263" i="33"/>
  <c r="Y263" i="33"/>
  <c r="Z263" i="33"/>
  <c r="AA263" i="33"/>
  <c r="AB263" i="33"/>
  <c r="AC263" i="33"/>
  <c r="AD263" i="33"/>
  <c r="AE263" i="33"/>
  <c r="AF263" i="33"/>
  <c r="AG263" i="33"/>
  <c r="AH263" i="33"/>
  <c r="AI263" i="33"/>
  <c r="AJ263" i="33"/>
  <c r="AK263" i="33"/>
  <c r="AL263" i="33"/>
  <c r="AM263" i="33"/>
  <c r="AN263" i="33"/>
  <c r="AO263" i="33"/>
  <c r="G264" i="33"/>
  <c r="H264" i="33"/>
  <c r="I264" i="33"/>
  <c r="J264" i="33"/>
  <c r="K264" i="33"/>
  <c r="L264" i="33"/>
  <c r="M264" i="33"/>
  <c r="N264" i="33"/>
  <c r="O264" i="33"/>
  <c r="P264" i="33"/>
  <c r="Q264" i="33"/>
  <c r="R264" i="33"/>
  <c r="S264" i="33"/>
  <c r="T264" i="33"/>
  <c r="U264" i="33"/>
  <c r="W264" i="33"/>
  <c r="X264" i="33"/>
  <c r="Y264" i="33"/>
  <c r="Z264" i="33"/>
  <c r="AA264" i="33"/>
  <c r="AB264" i="33"/>
  <c r="AC264" i="33"/>
  <c r="AD264" i="33"/>
  <c r="AE264" i="33"/>
  <c r="AF264" i="33"/>
  <c r="AG264" i="33"/>
  <c r="AH264" i="33"/>
  <c r="AI264" i="33"/>
  <c r="AJ264" i="33"/>
  <c r="AK264" i="33"/>
  <c r="AL264" i="33"/>
  <c r="AM264" i="33"/>
  <c r="AN264" i="33"/>
  <c r="AO264" i="33"/>
  <c r="G265" i="33"/>
  <c r="H265" i="33"/>
  <c r="I265" i="33"/>
  <c r="J265" i="33"/>
  <c r="K265" i="33"/>
  <c r="L265" i="33"/>
  <c r="M265" i="33"/>
  <c r="N265" i="33"/>
  <c r="O265" i="33"/>
  <c r="P265" i="33"/>
  <c r="Q265" i="33"/>
  <c r="R265" i="33"/>
  <c r="S265" i="33"/>
  <c r="T265" i="33"/>
  <c r="U265" i="33"/>
  <c r="W265" i="33"/>
  <c r="X265" i="33"/>
  <c r="Y265" i="33"/>
  <c r="Z265" i="33"/>
  <c r="AA265" i="33"/>
  <c r="AB265" i="33"/>
  <c r="AC265" i="33"/>
  <c r="AD265" i="33"/>
  <c r="AE265" i="33"/>
  <c r="AF265" i="33"/>
  <c r="AG265" i="33"/>
  <c r="AH265" i="33"/>
  <c r="AI265" i="33"/>
  <c r="AJ265" i="33"/>
  <c r="AK265" i="33"/>
  <c r="AL265" i="33"/>
  <c r="AM265" i="33"/>
  <c r="AN265" i="33"/>
  <c r="AO265" i="33"/>
  <c r="G266" i="33"/>
  <c r="H266" i="33"/>
  <c r="I266" i="33"/>
  <c r="J266" i="33"/>
  <c r="K266" i="33"/>
  <c r="L266" i="33"/>
  <c r="M266" i="33"/>
  <c r="N266" i="33"/>
  <c r="O266" i="33"/>
  <c r="P266" i="33"/>
  <c r="Q266" i="33"/>
  <c r="R266" i="33"/>
  <c r="S266" i="33"/>
  <c r="T266" i="33"/>
  <c r="U266" i="33"/>
  <c r="W266" i="33"/>
  <c r="X266" i="33"/>
  <c r="Y266" i="33"/>
  <c r="Z266" i="33"/>
  <c r="AA266" i="33"/>
  <c r="AB266" i="33"/>
  <c r="AC266" i="33"/>
  <c r="AD266" i="33"/>
  <c r="AE266" i="33"/>
  <c r="AF266" i="33"/>
  <c r="AG266" i="33"/>
  <c r="AH266" i="33"/>
  <c r="AI266" i="33"/>
  <c r="AJ266" i="33"/>
  <c r="AK266" i="33"/>
  <c r="AL266" i="33"/>
  <c r="AM266" i="33"/>
  <c r="AN266" i="33"/>
  <c r="AO266" i="33"/>
  <c r="F268" i="33"/>
  <c r="G268" i="33"/>
  <c r="H268" i="33"/>
  <c r="J268" i="33"/>
  <c r="K268" i="33"/>
  <c r="M268" i="33"/>
  <c r="N268" i="33"/>
  <c r="P268" i="33"/>
  <c r="Q268" i="33"/>
  <c r="R268" i="33"/>
  <c r="W268" i="33"/>
  <c r="X268" i="33"/>
  <c r="Z268" i="33"/>
  <c r="AA268" i="33"/>
  <c r="AB268" i="33"/>
  <c r="AC268" i="33"/>
  <c r="AE268" i="33"/>
  <c r="AF268" i="33"/>
  <c r="AG268" i="33"/>
  <c r="AH268" i="33"/>
  <c r="AI268" i="33"/>
  <c r="AJ268" i="33"/>
  <c r="AK268" i="33"/>
  <c r="AL268" i="33"/>
  <c r="AM268" i="33"/>
  <c r="AN268" i="33"/>
  <c r="AO268" i="33"/>
  <c r="G269" i="33"/>
  <c r="H269" i="33"/>
  <c r="J269" i="33"/>
  <c r="K269" i="33"/>
  <c r="M269" i="33"/>
  <c r="N269" i="33"/>
  <c r="W269" i="33"/>
  <c r="X269" i="33"/>
  <c r="Z269" i="33"/>
  <c r="AA269" i="33"/>
  <c r="AB269" i="33"/>
  <c r="AC269" i="33"/>
  <c r="AE269" i="33"/>
  <c r="AF269" i="33"/>
  <c r="AG269" i="33"/>
  <c r="AH269" i="33"/>
  <c r="AI269" i="33"/>
  <c r="AJ269" i="33"/>
  <c r="AK269" i="33"/>
  <c r="AL269" i="33"/>
  <c r="AM269" i="33"/>
  <c r="AN269" i="33"/>
  <c r="AO269" i="33"/>
  <c r="H271" i="33"/>
  <c r="I271" i="33"/>
  <c r="J271" i="33"/>
  <c r="K271" i="33"/>
  <c r="L271" i="33"/>
  <c r="M271" i="33"/>
  <c r="N271" i="33"/>
  <c r="O271" i="33"/>
  <c r="W271" i="33"/>
  <c r="X271" i="33"/>
  <c r="Y271" i="33"/>
  <c r="Z271" i="33"/>
  <c r="AA271" i="33"/>
  <c r="AB271" i="33"/>
  <c r="AC271" i="33"/>
  <c r="AD271" i="33"/>
  <c r="AE271" i="33"/>
  <c r="AF271" i="33"/>
  <c r="AG271" i="33"/>
  <c r="AH271" i="33"/>
  <c r="AI271" i="33"/>
  <c r="AJ271" i="33"/>
  <c r="AK271" i="33"/>
  <c r="AL271" i="33"/>
  <c r="AM271" i="33"/>
  <c r="AN271" i="33"/>
  <c r="H272" i="33"/>
  <c r="I272" i="33"/>
  <c r="J272" i="33"/>
  <c r="K272" i="33"/>
  <c r="L272" i="33"/>
  <c r="M272" i="33"/>
  <c r="N272" i="33"/>
  <c r="O272" i="33"/>
  <c r="P272" i="33"/>
  <c r="Q272" i="33"/>
  <c r="R272" i="33"/>
  <c r="S272" i="33"/>
  <c r="W272" i="33"/>
  <c r="X272" i="33"/>
  <c r="Y272" i="33"/>
  <c r="Z272" i="33"/>
  <c r="AA272" i="33"/>
  <c r="AB272" i="33"/>
  <c r="AC272" i="33"/>
  <c r="AD272" i="33"/>
  <c r="AE272" i="33"/>
  <c r="AF272" i="33"/>
  <c r="AG272" i="33"/>
  <c r="AH272" i="33"/>
  <c r="AI272" i="33"/>
  <c r="AJ272" i="33"/>
  <c r="AK272" i="33"/>
  <c r="AL272" i="33"/>
  <c r="AM272" i="33"/>
  <c r="AN272" i="33"/>
  <c r="AO272" i="33"/>
  <c r="G275" i="33"/>
  <c r="H275" i="33"/>
  <c r="I275" i="33"/>
  <c r="J275" i="33"/>
  <c r="K275" i="33"/>
  <c r="L275" i="33"/>
  <c r="M275" i="33"/>
  <c r="N275" i="33"/>
  <c r="O275" i="33"/>
  <c r="P275" i="33"/>
  <c r="Q275" i="33"/>
  <c r="R275" i="33"/>
  <c r="S275" i="33"/>
  <c r="T275" i="33"/>
  <c r="U275" i="33"/>
  <c r="W275" i="33"/>
  <c r="X275" i="33"/>
  <c r="Y275" i="33"/>
  <c r="Z275" i="33"/>
  <c r="AA275" i="33"/>
  <c r="AB275" i="33"/>
  <c r="AC275" i="33"/>
  <c r="AD275" i="33"/>
  <c r="AE275" i="33"/>
  <c r="AF275" i="33"/>
  <c r="AG275" i="33"/>
  <c r="AH275" i="33"/>
  <c r="AI275" i="33"/>
  <c r="AJ275" i="33"/>
  <c r="AK275" i="33"/>
  <c r="AL275" i="33"/>
  <c r="AM275" i="33"/>
  <c r="AN275" i="33"/>
  <c r="AO275" i="33"/>
  <c r="G276" i="33"/>
  <c r="H276" i="33"/>
  <c r="I276" i="33"/>
  <c r="J276" i="33"/>
  <c r="K276" i="33"/>
  <c r="L276" i="33"/>
  <c r="M276" i="33"/>
  <c r="N276" i="33"/>
  <c r="O276" i="33"/>
  <c r="P276" i="33"/>
  <c r="Q276" i="33"/>
  <c r="R276" i="33"/>
  <c r="T276" i="33"/>
  <c r="U276" i="33"/>
  <c r="W276" i="33"/>
  <c r="X276" i="33"/>
  <c r="Y276" i="33"/>
  <c r="Z276" i="33"/>
  <c r="AA276" i="33"/>
  <c r="AB276" i="33"/>
  <c r="AC276" i="33"/>
  <c r="AD276" i="33"/>
  <c r="AE276" i="33"/>
  <c r="AF276" i="33"/>
  <c r="AG276" i="33"/>
  <c r="AH276" i="33"/>
  <c r="AI276" i="33"/>
  <c r="AJ276" i="33"/>
  <c r="AK276" i="33"/>
  <c r="AL276" i="33"/>
  <c r="AM276" i="33"/>
  <c r="AN276" i="33"/>
  <c r="AO276" i="33"/>
  <c r="G277" i="33"/>
  <c r="H277" i="33"/>
  <c r="I277" i="33"/>
  <c r="J277" i="33"/>
  <c r="K277" i="33"/>
  <c r="L277" i="33"/>
  <c r="M277" i="33"/>
  <c r="N277" i="33"/>
  <c r="O277" i="33"/>
  <c r="P277" i="33"/>
  <c r="Q277" i="33"/>
  <c r="R277" i="33"/>
  <c r="T277" i="33"/>
  <c r="U277" i="33"/>
  <c r="W277" i="33"/>
  <c r="X277" i="33"/>
  <c r="Y277" i="33"/>
  <c r="Z277" i="33"/>
  <c r="AA277" i="33"/>
  <c r="AB277" i="33"/>
  <c r="AC277" i="33"/>
  <c r="AD277" i="33"/>
  <c r="AE277" i="33"/>
  <c r="AF277" i="33"/>
  <c r="AG277" i="33"/>
  <c r="AH277" i="33"/>
  <c r="AI277" i="33"/>
  <c r="AJ277" i="33"/>
  <c r="AK277" i="33"/>
  <c r="AL277" i="33"/>
  <c r="AM277" i="33"/>
  <c r="AN277" i="33"/>
  <c r="AO277" i="33"/>
  <c r="G278" i="33"/>
  <c r="H278" i="33"/>
  <c r="I278" i="33"/>
  <c r="J278" i="33"/>
  <c r="K278" i="33"/>
  <c r="L278" i="33"/>
  <c r="M278" i="33"/>
  <c r="N278" i="33"/>
  <c r="O278" i="33"/>
  <c r="P278" i="33"/>
  <c r="Q278" i="33"/>
  <c r="R278" i="33"/>
  <c r="T278" i="33"/>
  <c r="U278" i="33"/>
  <c r="W278" i="33"/>
  <c r="X278" i="33"/>
  <c r="Y278" i="33"/>
  <c r="Z278" i="33"/>
  <c r="AA278" i="33"/>
  <c r="AB278" i="33"/>
  <c r="AC278" i="33"/>
  <c r="AD278" i="33"/>
  <c r="AE278" i="33"/>
  <c r="AF278" i="33"/>
  <c r="AG278" i="33"/>
  <c r="AH278" i="33"/>
  <c r="AI278" i="33"/>
  <c r="AJ278" i="33"/>
  <c r="AK278" i="33"/>
  <c r="AL278" i="33"/>
  <c r="AM278" i="33"/>
  <c r="AN278" i="33"/>
  <c r="AO278" i="33"/>
  <c r="G280" i="33"/>
  <c r="H280" i="33"/>
  <c r="I280" i="33"/>
  <c r="J280" i="33"/>
  <c r="K280" i="33"/>
  <c r="L280" i="33"/>
  <c r="M280" i="33"/>
  <c r="N280" i="33"/>
  <c r="O280" i="33"/>
  <c r="P280" i="33"/>
  <c r="Q280" i="33"/>
  <c r="R280" i="33"/>
  <c r="S280" i="33"/>
  <c r="W280" i="33"/>
  <c r="X280" i="33"/>
  <c r="Y280" i="33"/>
  <c r="Z280" i="33"/>
  <c r="AA280" i="33"/>
  <c r="AB280" i="33"/>
  <c r="AC280" i="33"/>
  <c r="AE280" i="33"/>
  <c r="AF280" i="33"/>
  <c r="AG280" i="33"/>
  <c r="AH280" i="33"/>
  <c r="AI280" i="33"/>
  <c r="AJ280" i="33"/>
  <c r="AK280" i="33"/>
  <c r="AL280" i="33"/>
  <c r="AM280" i="33"/>
  <c r="AN280" i="33"/>
  <c r="AO280" i="33"/>
  <c r="G281" i="33"/>
  <c r="H281" i="33"/>
  <c r="J281" i="33"/>
  <c r="K281" i="33"/>
  <c r="L281" i="33"/>
  <c r="M281" i="33"/>
  <c r="N281" i="33"/>
  <c r="O281" i="33"/>
  <c r="P281" i="33"/>
  <c r="Q281" i="33"/>
  <c r="R281" i="33"/>
  <c r="W281" i="33"/>
  <c r="X281" i="33"/>
  <c r="Y281" i="33"/>
  <c r="Z281" i="33"/>
  <c r="AB281" i="33"/>
  <c r="AC281" i="33"/>
  <c r="AD281" i="33"/>
  <c r="AE281" i="33"/>
  <c r="AF281" i="33"/>
  <c r="AG281" i="33"/>
  <c r="AH281" i="33"/>
  <c r="AI281" i="33"/>
  <c r="AJ281" i="33"/>
  <c r="AK281" i="33"/>
  <c r="AL281" i="33"/>
  <c r="AM281" i="33"/>
  <c r="AN281" i="33"/>
  <c r="AO281" i="33"/>
  <c r="F283" i="33"/>
  <c r="G283" i="33"/>
  <c r="H283" i="33"/>
  <c r="I283" i="33"/>
  <c r="J283" i="33"/>
  <c r="K283" i="33"/>
  <c r="L283" i="33"/>
  <c r="M283" i="33"/>
  <c r="N283" i="33"/>
  <c r="O283" i="33"/>
  <c r="P283" i="33"/>
  <c r="Q283" i="33"/>
  <c r="R283" i="33"/>
  <c r="S283" i="33"/>
  <c r="W283" i="33"/>
  <c r="X283" i="33"/>
  <c r="Y283" i="33"/>
  <c r="Z283" i="33"/>
  <c r="AA283" i="33"/>
  <c r="AB283" i="33"/>
  <c r="AC283" i="33"/>
  <c r="AD283" i="33"/>
  <c r="AE283" i="33"/>
  <c r="AF283" i="33"/>
  <c r="AG283" i="33"/>
  <c r="AH283" i="33"/>
  <c r="AI283" i="33"/>
  <c r="AJ283" i="33"/>
  <c r="AK283" i="33"/>
  <c r="AL283" i="33"/>
  <c r="AM283" i="33"/>
  <c r="AN283" i="33"/>
  <c r="AO283" i="33"/>
  <c r="F284" i="33"/>
  <c r="G284" i="33"/>
  <c r="H284" i="33"/>
  <c r="I284" i="33"/>
  <c r="J284" i="33"/>
  <c r="K284" i="33"/>
  <c r="L284" i="33"/>
  <c r="M284" i="33"/>
  <c r="N284" i="33"/>
  <c r="O284" i="33"/>
  <c r="P284" i="33"/>
  <c r="Q284" i="33"/>
  <c r="R284" i="33"/>
  <c r="S284" i="33"/>
  <c r="W284" i="33"/>
  <c r="X284" i="33"/>
  <c r="Y284" i="33"/>
  <c r="Z284" i="33"/>
  <c r="AA284" i="33"/>
  <c r="AB284" i="33"/>
  <c r="AC284" i="33"/>
  <c r="AD284" i="33"/>
  <c r="AE284" i="33"/>
  <c r="AF284" i="33"/>
  <c r="AG284" i="33"/>
  <c r="AH284" i="33"/>
  <c r="AI284" i="33"/>
  <c r="AJ284" i="33"/>
  <c r="AK284" i="33"/>
  <c r="AL284" i="33"/>
  <c r="AM284" i="33"/>
  <c r="AN284" i="33"/>
  <c r="AO284" i="33"/>
  <c r="G287" i="33"/>
  <c r="H287" i="33"/>
  <c r="I287" i="33"/>
  <c r="J287" i="33"/>
  <c r="K287" i="33"/>
  <c r="L287" i="33"/>
  <c r="M287" i="33"/>
  <c r="N287" i="33"/>
  <c r="O287" i="33"/>
  <c r="P287" i="33"/>
  <c r="Q287" i="33"/>
  <c r="R287" i="33"/>
  <c r="S287" i="33"/>
  <c r="T287" i="33"/>
  <c r="U287" i="33"/>
  <c r="W287" i="33"/>
  <c r="X287" i="33"/>
  <c r="Y287" i="33"/>
  <c r="Z287" i="33"/>
  <c r="AA287" i="33"/>
  <c r="AB287" i="33"/>
  <c r="AC287" i="33"/>
  <c r="AD287" i="33"/>
  <c r="AE287" i="33"/>
  <c r="AF287" i="33"/>
  <c r="AG287" i="33"/>
  <c r="AH287" i="33"/>
  <c r="AI287" i="33"/>
  <c r="AJ287" i="33"/>
  <c r="AK287" i="33"/>
  <c r="AL287" i="33"/>
  <c r="AM287" i="33"/>
  <c r="AN287" i="33"/>
  <c r="AO287" i="33"/>
  <c r="G288" i="33"/>
  <c r="H288" i="33"/>
  <c r="I288" i="33"/>
  <c r="J288" i="33"/>
  <c r="K288" i="33"/>
  <c r="L288" i="33"/>
  <c r="M288" i="33"/>
  <c r="N288" i="33"/>
  <c r="O288" i="33"/>
  <c r="P288" i="33"/>
  <c r="Q288" i="33"/>
  <c r="R288" i="33"/>
  <c r="S288" i="33"/>
  <c r="T288" i="33"/>
  <c r="U288" i="33"/>
  <c r="W288" i="33"/>
  <c r="X288" i="33"/>
  <c r="Y288" i="33"/>
  <c r="Z288" i="33"/>
  <c r="AA288" i="33"/>
  <c r="AB288" i="33"/>
  <c r="AC288" i="33"/>
  <c r="AD288" i="33"/>
  <c r="AE288" i="33"/>
  <c r="AF288" i="33"/>
  <c r="AG288" i="33"/>
  <c r="AH288" i="33"/>
  <c r="AI288" i="33"/>
  <c r="AJ288" i="33"/>
  <c r="AK288" i="33"/>
  <c r="AL288" i="33"/>
  <c r="AM288" i="33"/>
  <c r="AN288" i="33"/>
  <c r="AO288" i="33"/>
  <c r="G289" i="33"/>
  <c r="H289" i="33"/>
  <c r="I289" i="33"/>
  <c r="J289" i="33"/>
  <c r="K289" i="33"/>
  <c r="L289" i="33"/>
  <c r="M289" i="33"/>
  <c r="N289" i="33"/>
  <c r="O289" i="33"/>
  <c r="P289" i="33"/>
  <c r="Q289" i="33"/>
  <c r="R289" i="33"/>
  <c r="S289" i="33"/>
  <c r="T289" i="33"/>
  <c r="U289" i="33"/>
  <c r="W289" i="33"/>
  <c r="X289" i="33"/>
  <c r="Y289" i="33"/>
  <c r="Z289" i="33"/>
  <c r="AA289" i="33"/>
  <c r="AB289" i="33"/>
  <c r="AC289" i="33"/>
  <c r="AD289" i="33"/>
  <c r="AE289" i="33"/>
  <c r="AF289" i="33"/>
  <c r="AG289" i="33"/>
  <c r="AH289" i="33"/>
  <c r="AI289" i="33"/>
  <c r="AJ289" i="33"/>
  <c r="AK289" i="33"/>
  <c r="AL289" i="33"/>
  <c r="AM289" i="33"/>
  <c r="AN289" i="33"/>
  <c r="AO289" i="33"/>
  <c r="G290" i="33"/>
  <c r="H290" i="33"/>
  <c r="I290" i="33"/>
  <c r="J290" i="33"/>
  <c r="K290" i="33"/>
  <c r="L290" i="33"/>
  <c r="M290" i="33"/>
  <c r="N290" i="33"/>
  <c r="O290" i="33"/>
  <c r="P290" i="33"/>
  <c r="Q290" i="33"/>
  <c r="R290" i="33"/>
  <c r="S290" i="33"/>
  <c r="T290" i="33"/>
  <c r="U290" i="33"/>
  <c r="W290" i="33"/>
  <c r="X290" i="33"/>
  <c r="Y290" i="33"/>
  <c r="Z290" i="33"/>
  <c r="AA290" i="33"/>
  <c r="AB290" i="33"/>
  <c r="AC290" i="33"/>
  <c r="AD290" i="33"/>
  <c r="AE290" i="33"/>
  <c r="AF290" i="33"/>
  <c r="AG290" i="33"/>
  <c r="AH290" i="33"/>
  <c r="AI290" i="33"/>
  <c r="AJ290" i="33"/>
  <c r="AK290" i="33"/>
  <c r="AL290" i="33"/>
  <c r="AM290" i="33"/>
  <c r="AN290" i="33"/>
  <c r="AO290" i="33"/>
  <c r="G292" i="33"/>
  <c r="H292" i="33"/>
  <c r="J292" i="33"/>
  <c r="K292" i="33"/>
  <c r="L292" i="33"/>
  <c r="M292" i="33"/>
  <c r="N292" i="33"/>
  <c r="O292" i="33"/>
  <c r="P292" i="33"/>
  <c r="Q292" i="33"/>
  <c r="R292" i="33"/>
  <c r="S292" i="33"/>
  <c r="W292" i="33"/>
  <c r="X292" i="33"/>
  <c r="Y292" i="33"/>
  <c r="Z292" i="33"/>
  <c r="AB292" i="33"/>
  <c r="AC292" i="33"/>
  <c r="AD292" i="33"/>
  <c r="AE292" i="33"/>
  <c r="AF292" i="33"/>
  <c r="AG292" i="33"/>
  <c r="AH292" i="33"/>
  <c r="AI292" i="33"/>
  <c r="AJ292" i="33"/>
  <c r="AK292" i="33"/>
  <c r="AL292" i="33"/>
  <c r="AM292" i="33"/>
  <c r="AN292" i="33"/>
  <c r="AO292" i="33"/>
  <c r="G293" i="33"/>
  <c r="H293" i="33"/>
  <c r="J293" i="33"/>
  <c r="K293" i="33"/>
  <c r="L293" i="33"/>
  <c r="M293" i="33"/>
  <c r="N293" i="33"/>
  <c r="O293" i="33"/>
  <c r="P293" i="33"/>
  <c r="Q293" i="33"/>
  <c r="R293" i="33"/>
  <c r="S293" i="33"/>
  <c r="W293" i="33"/>
  <c r="X293" i="33"/>
  <c r="Y293" i="33"/>
  <c r="Z293" i="33"/>
  <c r="AB293" i="33"/>
  <c r="AC293" i="33"/>
  <c r="AD293" i="33"/>
  <c r="AE293" i="33"/>
  <c r="AF293" i="33"/>
  <c r="AG293" i="33"/>
  <c r="AH293" i="33"/>
  <c r="AI293" i="33"/>
  <c r="AJ293" i="33"/>
  <c r="AK293" i="33"/>
  <c r="AL293" i="33"/>
  <c r="AM293" i="33"/>
  <c r="AN293" i="33"/>
  <c r="AO293" i="33"/>
  <c r="G295" i="33"/>
  <c r="H295" i="33"/>
  <c r="I295" i="33"/>
  <c r="J295" i="33"/>
  <c r="K295" i="33"/>
  <c r="L295" i="33"/>
  <c r="M295" i="33"/>
  <c r="N295" i="33"/>
  <c r="O295" i="33"/>
  <c r="P295" i="33"/>
  <c r="Q295" i="33"/>
  <c r="R295" i="33"/>
  <c r="S295" i="33"/>
  <c r="X295" i="33"/>
  <c r="Y295" i="33"/>
  <c r="Z295" i="33"/>
  <c r="AA295" i="33"/>
  <c r="AB295" i="33"/>
  <c r="AC295" i="33"/>
  <c r="AD295" i="33"/>
  <c r="AE295" i="33"/>
  <c r="AF295" i="33"/>
  <c r="AG295" i="33"/>
  <c r="AH295" i="33"/>
  <c r="AI295" i="33"/>
  <c r="AJ295" i="33"/>
  <c r="AK295" i="33"/>
  <c r="AL295" i="33"/>
  <c r="AM295" i="33"/>
  <c r="AN295" i="33"/>
  <c r="AO295" i="33"/>
  <c r="G296" i="33"/>
  <c r="H296" i="33"/>
  <c r="I296" i="33"/>
  <c r="J296" i="33"/>
  <c r="K296" i="33"/>
  <c r="L296" i="33"/>
  <c r="M296" i="33"/>
  <c r="N296" i="33"/>
  <c r="O296" i="33"/>
  <c r="P296" i="33"/>
  <c r="Q296" i="33"/>
  <c r="R296" i="33"/>
  <c r="S296" i="33"/>
  <c r="X296" i="33"/>
  <c r="Y296" i="33"/>
  <c r="Z296" i="33"/>
  <c r="AA296" i="33"/>
  <c r="AB296" i="33"/>
  <c r="AC296" i="33"/>
  <c r="AD296" i="33"/>
  <c r="AE296" i="33"/>
  <c r="AF296" i="33"/>
  <c r="AG296" i="33"/>
  <c r="AH296" i="33"/>
  <c r="AI296" i="33"/>
  <c r="AJ296" i="33"/>
  <c r="AK296" i="33"/>
  <c r="AL296" i="33"/>
  <c r="AM296" i="33"/>
  <c r="AN296" i="33"/>
  <c r="AO296" i="33"/>
  <c r="G299" i="33"/>
  <c r="H299" i="33"/>
  <c r="I299" i="33"/>
  <c r="J299" i="33"/>
  <c r="K299" i="33"/>
  <c r="L299" i="33"/>
  <c r="M299" i="33"/>
  <c r="N299" i="33"/>
  <c r="O299" i="33"/>
  <c r="P299" i="33"/>
  <c r="Q299" i="33"/>
  <c r="R299" i="33"/>
  <c r="S299" i="33"/>
  <c r="T299" i="33"/>
  <c r="U299" i="33"/>
  <c r="W299" i="33"/>
  <c r="X299" i="33"/>
  <c r="Y299" i="33"/>
  <c r="Z299" i="33"/>
  <c r="AA299" i="33"/>
  <c r="AB299" i="33"/>
  <c r="AC299" i="33"/>
  <c r="AD299" i="33"/>
  <c r="AE299" i="33"/>
  <c r="AF299" i="33"/>
  <c r="AG299" i="33"/>
  <c r="AH299" i="33"/>
  <c r="AI299" i="33"/>
  <c r="AJ299" i="33"/>
  <c r="AK299" i="33"/>
  <c r="AL299" i="33"/>
  <c r="AM299" i="33"/>
  <c r="AN299" i="33"/>
  <c r="AO299" i="33"/>
  <c r="G300" i="33"/>
  <c r="H300" i="33"/>
  <c r="I300" i="33"/>
  <c r="J300" i="33"/>
  <c r="K300" i="33"/>
  <c r="L300" i="33"/>
  <c r="M300" i="33"/>
  <c r="N300" i="33"/>
  <c r="O300" i="33"/>
  <c r="P300" i="33"/>
  <c r="Q300" i="33"/>
  <c r="R300" i="33"/>
  <c r="S300" i="33"/>
  <c r="T300" i="33"/>
  <c r="U300" i="33"/>
  <c r="W300" i="33"/>
  <c r="X300" i="33"/>
  <c r="Y300" i="33"/>
  <c r="Z300" i="33"/>
  <c r="AA300" i="33"/>
  <c r="AB300" i="33"/>
  <c r="AC300" i="33"/>
  <c r="AD300" i="33"/>
  <c r="AE300" i="33"/>
  <c r="AF300" i="33"/>
  <c r="AG300" i="33"/>
  <c r="AH300" i="33"/>
  <c r="AI300" i="33"/>
  <c r="AJ300" i="33"/>
  <c r="AK300" i="33"/>
  <c r="AL300" i="33"/>
  <c r="AM300" i="33"/>
  <c r="AN300" i="33"/>
  <c r="AO300" i="33"/>
  <c r="G301" i="33"/>
  <c r="H301" i="33"/>
  <c r="I301" i="33"/>
  <c r="J301" i="33"/>
  <c r="K301" i="33"/>
  <c r="L301" i="33"/>
  <c r="M301" i="33"/>
  <c r="N301" i="33"/>
  <c r="O301" i="33"/>
  <c r="P301" i="33"/>
  <c r="Q301" i="33"/>
  <c r="R301" i="33"/>
  <c r="S301" i="33"/>
  <c r="T301" i="33"/>
  <c r="U301" i="33"/>
  <c r="W301" i="33"/>
  <c r="X301" i="33"/>
  <c r="Y301" i="33"/>
  <c r="Z301" i="33"/>
  <c r="AA301" i="33"/>
  <c r="AB301" i="33"/>
  <c r="AC301" i="33"/>
  <c r="AD301" i="33"/>
  <c r="AE301" i="33"/>
  <c r="AF301" i="33"/>
  <c r="AG301" i="33"/>
  <c r="AH301" i="33"/>
  <c r="AI301" i="33"/>
  <c r="AJ301" i="33"/>
  <c r="AK301" i="33"/>
  <c r="AL301" i="33"/>
  <c r="AM301" i="33"/>
  <c r="AN301" i="33"/>
  <c r="AO301" i="33"/>
  <c r="G302" i="33"/>
  <c r="H302" i="33"/>
  <c r="I302" i="33"/>
  <c r="J302" i="33"/>
  <c r="K302" i="33"/>
  <c r="L302" i="33"/>
  <c r="M302" i="33"/>
  <c r="N302" i="33"/>
  <c r="O302" i="33"/>
  <c r="P302" i="33"/>
  <c r="Q302" i="33"/>
  <c r="R302" i="33"/>
  <c r="S302" i="33"/>
  <c r="T302" i="33"/>
  <c r="U302" i="33"/>
  <c r="W302" i="33"/>
  <c r="X302" i="33"/>
  <c r="Y302" i="33"/>
  <c r="Z302" i="33"/>
  <c r="AA302" i="33"/>
  <c r="AB302" i="33"/>
  <c r="AC302" i="33"/>
  <c r="AD302" i="33"/>
  <c r="AE302" i="33"/>
  <c r="AF302" i="33"/>
  <c r="AG302" i="33"/>
  <c r="AH302" i="33"/>
  <c r="AI302" i="33"/>
  <c r="AJ302" i="33"/>
  <c r="AK302" i="33"/>
  <c r="AL302" i="33"/>
  <c r="AM302" i="33"/>
  <c r="AN302" i="33"/>
  <c r="AO302" i="33"/>
  <c r="G304" i="33"/>
  <c r="H304" i="33"/>
  <c r="J304" i="33"/>
  <c r="K304" i="33"/>
  <c r="L304" i="33"/>
  <c r="M304" i="33"/>
  <c r="N304" i="33"/>
  <c r="O304" i="33"/>
  <c r="P304" i="33"/>
  <c r="Q304" i="33"/>
  <c r="R304" i="33"/>
  <c r="S304" i="33"/>
  <c r="W304" i="33"/>
  <c r="X304" i="33"/>
  <c r="Y304" i="33"/>
  <c r="Z304" i="33"/>
  <c r="AB304" i="33"/>
  <c r="AC304" i="33"/>
  <c r="AE304" i="33"/>
  <c r="AF304" i="33"/>
  <c r="AG304" i="33"/>
  <c r="AH304" i="33"/>
  <c r="AI304" i="33"/>
  <c r="AJ304" i="33"/>
  <c r="AK304" i="33"/>
  <c r="AL304" i="33"/>
  <c r="AM304" i="33"/>
  <c r="AN304" i="33"/>
  <c r="AO304" i="33"/>
  <c r="G305" i="33"/>
  <c r="H305" i="33"/>
  <c r="J305" i="33"/>
  <c r="K305" i="33"/>
  <c r="L305" i="33"/>
  <c r="M305" i="33"/>
  <c r="N305" i="33"/>
  <c r="P305" i="33"/>
  <c r="Q305" i="33"/>
  <c r="R305" i="33"/>
  <c r="S305" i="33"/>
  <c r="W305" i="33"/>
  <c r="X305" i="33"/>
  <c r="Y305" i="33"/>
  <c r="Z305" i="33"/>
  <c r="AB305" i="33"/>
  <c r="AC305" i="33"/>
  <c r="AD305" i="33"/>
  <c r="AE305" i="33"/>
  <c r="AF305" i="33"/>
  <c r="AG305" i="33"/>
  <c r="AH305" i="33"/>
  <c r="AI305" i="33"/>
  <c r="AJ305" i="33"/>
  <c r="AK305" i="33"/>
  <c r="AL305" i="33"/>
  <c r="AM305" i="33"/>
  <c r="AN305" i="33"/>
  <c r="AO305" i="33"/>
  <c r="H307" i="33"/>
  <c r="I307" i="33"/>
  <c r="J307" i="33"/>
  <c r="K307" i="33"/>
  <c r="L307" i="33"/>
  <c r="M307" i="33"/>
  <c r="N307" i="33"/>
  <c r="O307" i="33"/>
  <c r="P307" i="33"/>
  <c r="Q307" i="33"/>
  <c r="R307" i="33"/>
  <c r="S307" i="33"/>
  <c r="W307" i="33"/>
  <c r="X307" i="33"/>
  <c r="Y307" i="33"/>
  <c r="Z307" i="33"/>
  <c r="AA307" i="33"/>
  <c r="AB307" i="33"/>
  <c r="AC307" i="33"/>
  <c r="AD307" i="33"/>
  <c r="AE307" i="33"/>
  <c r="AF307" i="33"/>
  <c r="AG307" i="33"/>
  <c r="AH307" i="33"/>
  <c r="AI307" i="33"/>
  <c r="AJ307" i="33"/>
  <c r="AK307" i="33"/>
  <c r="AL307" i="33"/>
  <c r="AM307" i="33"/>
  <c r="AN307" i="33"/>
  <c r="AO307" i="33"/>
  <c r="H308" i="33"/>
  <c r="I308" i="33"/>
  <c r="J308" i="33"/>
  <c r="K308" i="33"/>
  <c r="L308" i="33"/>
  <c r="M308" i="33"/>
  <c r="N308" i="33"/>
  <c r="O308" i="33"/>
  <c r="P308" i="33"/>
  <c r="Q308" i="33"/>
  <c r="R308" i="33"/>
  <c r="S308" i="33"/>
  <c r="W308" i="33"/>
  <c r="X308" i="33"/>
  <c r="Y308" i="33"/>
  <c r="Z308" i="33"/>
  <c r="AA308" i="33"/>
  <c r="AB308" i="33"/>
  <c r="AC308" i="33"/>
  <c r="AD308" i="33"/>
  <c r="AE308" i="33"/>
  <c r="AF308" i="33"/>
  <c r="AG308" i="33"/>
  <c r="AH308" i="33"/>
  <c r="AI308" i="33"/>
  <c r="AJ308" i="33"/>
  <c r="AK308" i="33"/>
  <c r="AL308" i="33"/>
  <c r="AM308" i="33"/>
  <c r="AN308" i="33"/>
  <c r="AO308" i="33"/>
  <c r="G311" i="33"/>
  <c r="H311" i="33"/>
  <c r="I311" i="33"/>
  <c r="J311" i="33"/>
  <c r="K311" i="33"/>
  <c r="L311" i="33"/>
  <c r="M311" i="33"/>
  <c r="N311" i="33"/>
  <c r="O311" i="33"/>
  <c r="P311" i="33"/>
  <c r="Q311" i="33"/>
  <c r="R311" i="33"/>
  <c r="S311" i="33"/>
  <c r="T311" i="33"/>
  <c r="U311" i="33"/>
  <c r="W311" i="33"/>
  <c r="X311" i="33"/>
  <c r="Y311" i="33"/>
  <c r="Z311" i="33"/>
  <c r="AA311" i="33"/>
  <c r="AB311" i="33"/>
  <c r="AC311" i="33"/>
  <c r="AD311" i="33"/>
  <c r="AE311" i="33"/>
  <c r="AF311" i="33"/>
  <c r="AG311" i="33"/>
  <c r="AH311" i="33"/>
  <c r="AI311" i="33"/>
  <c r="AJ311" i="33"/>
  <c r="AK311" i="33"/>
  <c r="AL311" i="33"/>
  <c r="AM311" i="33"/>
  <c r="AN311" i="33"/>
  <c r="AO311" i="33"/>
  <c r="G312" i="33"/>
  <c r="H312" i="33"/>
  <c r="I312" i="33"/>
  <c r="J312" i="33"/>
  <c r="K312" i="33"/>
  <c r="L312" i="33"/>
  <c r="M312" i="33"/>
  <c r="N312" i="33"/>
  <c r="O312" i="33"/>
  <c r="P312" i="33"/>
  <c r="Q312" i="33"/>
  <c r="R312" i="33"/>
  <c r="S312" i="33"/>
  <c r="T312" i="33"/>
  <c r="U312" i="33"/>
  <c r="W312" i="33"/>
  <c r="X312" i="33"/>
  <c r="Y312" i="33"/>
  <c r="Z312" i="33"/>
  <c r="AA312" i="33"/>
  <c r="AB312" i="33"/>
  <c r="AC312" i="33"/>
  <c r="AD312" i="33"/>
  <c r="AE312" i="33"/>
  <c r="AF312" i="33"/>
  <c r="AG312" i="33"/>
  <c r="AH312" i="33"/>
  <c r="AI312" i="33"/>
  <c r="AJ312" i="33"/>
  <c r="AK312" i="33"/>
  <c r="AL312" i="33"/>
  <c r="AM312" i="33"/>
  <c r="AN312" i="33"/>
  <c r="AO312" i="33"/>
  <c r="G313" i="33"/>
  <c r="H313" i="33"/>
  <c r="I313" i="33"/>
  <c r="J313" i="33"/>
  <c r="K313" i="33"/>
  <c r="L313" i="33"/>
  <c r="M313" i="33"/>
  <c r="N313" i="33"/>
  <c r="O313" i="33"/>
  <c r="P313" i="33"/>
  <c r="Q313" i="33"/>
  <c r="R313" i="33"/>
  <c r="S313" i="33"/>
  <c r="T313" i="33"/>
  <c r="U313" i="33"/>
  <c r="W313" i="33"/>
  <c r="X313" i="33"/>
  <c r="Y313" i="33"/>
  <c r="Z313" i="33"/>
  <c r="AA313" i="33"/>
  <c r="AB313" i="33"/>
  <c r="AC313" i="33"/>
  <c r="AD313" i="33"/>
  <c r="AE313" i="33"/>
  <c r="AF313" i="33"/>
  <c r="AG313" i="33"/>
  <c r="AH313" i="33"/>
  <c r="AI313" i="33"/>
  <c r="AJ313" i="33"/>
  <c r="AK313" i="33"/>
  <c r="AL313" i="33"/>
  <c r="AM313" i="33"/>
  <c r="AN313" i="33"/>
  <c r="AO313" i="33"/>
  <c r="G314" i="33"/>
  <c r="H314" i="33"/>
  <c r="I314" i="33"/>
  <c r="J314" i="33"/>
  <c r="K314" i="33"/>
  <c r="L314" i="33"/>
  <c r="M314" i="33"/>
  <c r="N314" i="33"/>
  <c r="O314" i="33"/>
  <c r="P314" i="33"/>
  <c r="Q314" i="33"/>
  <c r="R314" i="33"/>
  <c r="S314" i="33"/>
  <c r="T314" i="33"/>
  <c r="U314" i="33"/>
  <c r="W314" i="33"/>
  <c r="X314" i="33"/>
  <c r="Y314" i="33"/>
  <c r="Z314" i="33"/>
  <c r="AA314" i="33"/>
  <c r="AB314" i="33"/>
  <c r="AC314" i="33"/>
  <c r="AD314" i="33"/>
  <c r="AE314" i="33"/>
  <c r="AF314" i="33"/>
  <c r="AG314" i="33"/>
  <c r="AH314" i="33"/>
  <c r="AI314" i="33"/>
  <c r="AJ314" i="33"/>
  <c r="AK314" i="33"/>
  <c r="AL314" i="33"/>
  <c r="AM314" i="33"/>
  <c r="AN314" i="33"/>
  <c r="AO314" i="33"/>
  <c r="G316" i="33"/>
  <c r="H316" i="33"/>
  <c r="I316" i="33"/>
  <c r="J316" i="33"/>
  <c r="K316" i="33"/>
  <c r="L316" i="33"/>
  <c r="M316" i="33"/>
  <c r="N316" i="33"/>
  <c r="P316" i="33"/>
  <c r="Q316" i="33"/>
  <c r="R316" i="33"/>
  <c r="S316" i="33"/>
  <c r="W316" i="33"/>
  <c r="X316" i="33"/>
  <c r="Y316" i="33"/>
  <c r="Z316" i="33"/>
  <c r="AB316" i="33"/>
  <c r="AC316" i="33"/>
  <c r="AE316" i="33"/>
  <c r="AF316" i="33"/>
  <c r="AG316" i="33"/>
  <c r="AH316" i="33"/>
  <c r="AI316" i="33"/>
  <c r="AJ316" i="33"/>
  <c r="AK316" i="33"/>
  <c r="AL316" i="33"/>
  <c r="AM316" i="33"/>
  <c r="AN316" i="33"/>
  <c r="AO316" i="33"/>
  <c r="G317" i="33"/>
  <c r="H317" i="33"/>
  <c r="I317" i="33"/>
  <c r="J317" i="33"/>
  <c r="K317" i="33"/>
  <c r="L317" i="33"/>
  <c r="M317" i="33"/>
  <c r="N317" i="33"/>
  <c r="P317" i="33"/>
  <c r="Q317" i="33"/>
  <c r="R317" i="33"/>
  <c r="S317" i="33"/>
  <c r="W317" i="33"/>
  <c r="X317" i="33"/>
  <c r="Y317" i="33"/>
  <c r="Z317" i="33"/>
  <c r="AB317" i="33"/>
  <c r="AC317" i="33"/>
  <c r="AD317" i="33"/>
  <c r="AE317" i="33"/>
  <c r="AF317" i="33"/>
  <c r="AG317" i="33"/>
  <c r="AH317" i="33"/>
  <c r="AI317" i="33"/>
  <c r="AJ317" i="33"/>
  <c r="AK317" i="33"/>
  <c r="AL317" i="33"/>
  <c r="AM317" i="33"/>
  <c r="AN317" i="33"/>
  <c r="AO317" i="33"/>
  <c r="H319" i="33"/>
  <c r="I319" i="33"/>
  <c r="J319" i="33"/>
  <c r="K319" i="33"/>
  <c r="L319" i="33"/>
  <c r="M319" i="33"/>
  <c r="N319" i="33"/>
  <c r="O319" i="33"/>
  <c r="P319" i="33"/>
  <c r="Q319" i="33"/>
  <c r="R319" i="33"/>
  <c r="S319" i="33"/>
  <c r="W319" i="33"/>
  <c r="X319" i="33"/>
  <c r="Y319" i="33"/>
  <c r="Z319" i="33"/>
  <c r="AA319" i="33"/>
  <c r="AB319" i="33"/>
  <c r="AC319" i="33"/>
  <c r="AD319" i="33"/>
  <c r="AE319" i="33"/>
  <c r="AF319" i="33"/>
  <c r="AG319" i="33"/>
  <c r="AH319" i="33"/>
  <c r="AI319" i="33"/>
  <c r="AJ319" i="33"/>
  <c r="AK319" i="33"/>
  <c r="AL319" i="33"/>
  <c r="AM319" i="33"/>
  <c r="AN319" i="33"/>
  <c r="AO319" i="33"/>
  <c r="H320" i="33"/>
  <c r="I320" i="33"/>
  <c r="J320" i="33"/>
  <c r="K320" i="33"/>
  <c r="L320" i="33"/>
  <c r="M320" i="33"/>
  <c r="N320" i="33"/>
  <c r="O320" i="33"/>
  <c r="P320" i="33"/>
  <c r="Q320" i="33"/>
  <c r="R320" i="33"/>
  <c r="S320" i="33"/>
  <c r="W320" i="33"/>
  <c r="X320" i="33"/>
  <c r="Y320" i="33"/>
  <c r="Z320" i="33"/>
  <c r="AA320" i="33"/>
  <c r="AB320" i="33"/>
  <c r="AC320" i="33"/>
  <c r="AD320" i="33"/>
  <c r="AE320" i="33"/>
  <c r="AF320" i="33"/>
  <c r="AG320" i="33"/>
  <c r="AH320" i="33"/>
  <c r="AI320" i="33"/>
  <c r="AJ320" i="33"/>
  <c r="AK320" i="33"/>
  <c r="AL320" i="33"/>
  <c r="AM320" i="33"/>
  <c r="AN320" i="33"/>
  <c r="AO320" i="33"/>
  <c r="G323" i="33"/>
  <c r="H323" i="33"/>
  <c r="I323" i="33"/>
  <c r="J323" i="33"/>
  <c r="K323" i="33"/>
  <c r="L323" i="33"/>
  <c r="M323" i="33"/>
  <c r="N323" i="33"/>
  <c r="O323" i="33"/>
  <c r="P323" i="33"/>
  <c r="Q323" i="33"/>
  <c r="R323" i="33"/>
  <c r="S323" i="33"/>
  <c r="T323" i="33"/>
  <c r="U323" i="33"/>
  <c r="W323" i="33"/>
  <c r="X323" i="33"/>
  <c r="Y323" i="33"/>
  <c r="Z323" i="33"/>
  <c r="AA323" i="33"/>
  <c r="AB323" i="33"/>
  <c r="AC323" i="33"/>
  <c r="AD323" i="33"/>
  <c r="AE323" i="33"/>
  <c r="AF323" i="33"/>
  <c r="AG323" i="33"/>
  <c r="AH323" i="33"/>
  <c r="AI323" i="33"/>
  <c r="AJ323" i="33"/>
  <c r="AK323" i="33"/>
  <c r="AL323" i="33"/>
  <c r="AM323" i="33"/>
  <c r="AN323" i="33"/>
  <c r="AO323" i="33"/>
  <c r="G324" i="33"/>
  <c r="H324" i="33"/>
  <c r="I324" i="33"/>
  <c r="J324" i="33"/>
  <c r="K324" i="33"/>
  <c r="L324" i="33"/>
  <c r="M324" i="33"/>
  <c r="N324" i="33"/>
  <c r="O324" i="33"/>
  <c r="P324" i="33"/>
  <c r="Q324" i="33"/>
  <c r="R324" i="33"/>
  <c r="S324" i="33"/>
  <c r="T324" i="33"/>
  <c r="U324" i="33"/>
  <c r="W324" i="33"/>
  <c r="X324" i="33"/>
  <c r="Y324" i="33"/>
  <c r="Z324" i="33"/>
  <c r="AA324" i="33"/>
  <c r="AB324" i="33"/>
  <c r="AC324" i="33"/>
  <c r="AD324" i="33"/>
  <c r="AE324" i="33"/>
  <c r="AF324" i="33"/>
  <c r="AG324" i="33"/>
  <c r="AH324" i="33"/>
  <c r="AI324" i="33"/>
  <c r="AJ324" i="33"/>
  <c r="AK324" i="33"/>
  <c r="AL324" i="33"/>
  <c r="AM324" i="33"/>
  <c r="AN324" i="33"/>
  <c r="AO324" i="33"/>
  <c r="G325" i="33"/>
  <c r="H325" i="33"/>
  <c r="I325" i="33"/>
  <c r="J325" i="33"/>
  <c r="K325" i="33"/>
  <c r="L325" i="33"/>
  <c r="M325" i="33"/>
  <c r="N325" i="33"/>
  <c r="O325" i="33"/>
  <c r="P325" i="33"/>
  <c r="Q325" i="33"/>
  <c r="R325" i="33"/>
  <c r="S325" i="33"/>
  <c r="T325" i="33"/>
  <c r="U325" i="33"/>
  <c r="W325" i="33"/>
  <c r="X325" i="33"/>
  <c r="Y325" i="33"/>
  <c r="Z325" i="33"/>
  <c r="AA325" i="33"/>
  <c r="AB325" i="33"/>
  <c r="AC325" i="33"/>
  <c r="AD325" i="33"/>
  <c r="AE325" i="33"/>
  <c r="AF325" i="33"/>
  <c r="AG325" i="33"/>
  <c r="AH325" i="33"/>
  <c r="AI325" i="33"/>
  <c r="AJ325" i="33"/>
  <c r="AK325" i="33"/>
  <c r="AL325" i="33"/>
  <c r="AM325" i="33"/>
  <c r="AN325" i="33"/>
  <c r="AO325" i="33"/>
  <c r="G326" i="33"/>
  <c r="H326" i="33"/>
  <c r="I326" i="33"/>
  <c r="J326" i="33"/>
  <c r="K326" i="33"/>
  <c r="L326" i="33"/>
  <c r="M326" i="33"/>
  <c r="N326" i="33"/>
  <c r="O326" i="33"/>
  <c r="P326" i="33"/>
  <c r="Q326" i="33"/>
  <c r="R326" i="33"/>
  <c r="S326" i="33"/>
  <c r="T326" i="33"/>
  <c r="U326" i="33"/>
  <c r="W326" i="33"/>
  <c r="X326" i="33"/>
  <c r="Y326" i="33"/>
  <c r="Z326" i="33"/>
  <c r="AA326" i="33"/>
  <c r="AB326" i="33"/>
  <c r="AC326" i="33"/>
  <c r="AD326" i="33"/>
  <c r="AE326" i="33"/>
  <c r="AF326" i="33"/>
  <c r="AG326" i="33"/>
  <c r="AH326" i="33"/>
  <c r="AI326" i="33"/>
  <c r="AJ326" i="33"/>
  <c r="AK326" i="33"/>
  <c r="AL326" i="33"/>
  <c r="AM326" i="33"/>
  <c r="AN326" i="33"/>
  <c r="AO326" i="33"/>
  <c r="G328" i="33"/>
  <c r="H328" i="33"/>
  <c r="J328" i="33"/>
  <c r="K328" i="33"/>
  <c r="L328" i="33"/>
  <c r="M328" i="33"/>
  <c r="N328" i="33"/>
  <c r="P328" i="33"/>
  <c r="Q328" i="33"/>
  <c r="R328" i="33"/>
  <c r="S328" i="33"/>
  <c r="W328" i="33"/>
  <c r="X328" i="33"/>
  <c r="Y328" i="33"/>
  <c r="Z328" i="33"/>
  <c r="AB328" i="33"/>
  <c r="AC328" i="33"/>
  <c r="AE328" i="33"/>
  <c r="AF328" i="33"/>
  <c r="AG328" i="33"/>
  <c r="AH328" i="33"/>
  <c r="AI328" i="33"/>
  <c r="AJ328" i="33"/>
  <c r="AK328" i="33"/>
  <c r="AL328" i="33"/>
  <c r="AM328" i="33"/>
  <c r="AN328" i="33"/>
  <c r="AO328" i="33"/>
  <c r="G329" i="33"/>
  <c r="H329" i="33"/>
  <c r="J329" i="33"/>
  <c r="K329" i="33"/>
  <c r="L329" i="33"/>
  <c r="M329" i="33"/>
  <c r="N329" i="33"/>
  <c r="P329" i="33"/>
  <c r="Q329" i="33"/>
  <c r="R329" i="33"/>
  <c r="S329" i="33"/>
  <c r="W329" i="33"/>
  <c r="X329" i="33"/>
  <c r="Y329" i="33"/>
  <c r="Z329" i="33"/>
  <c r="AB329" i="33"/>
  <c r="AC329" i="33"/>
  <c r="AD329" i="33"/>
  <c r="AE329" i="33"/>
  <c r="AF329" i="33"/>
  <c r="AG329" i="33"/>
  <c r="AH329" i="33"/>
  <c r="AI329" i="33"/>
  <c r="AJ329" i="33"/>
  <c r="AK329" i="33"/>
  <c r="AL329" i="33"/>
  <c r="AM329" i="33"/>
  <c r="AN329" i="33"/>
  <c r="AO329" i="33"/>
  <c r="G331" i="33"/>
  <c r="H331" i="33"/>
  <c r="I331" i="33"/>
  <c r="J331" i="33"/>
  <c r="K331" i="33"/>
  <c r="L331" i="33"/>
  <c r="M331" i="33"/>
  <c r="N331" i="33"/>
  <c r="O331" i="33"/>
  <c r="P331" i="33"/>
  <c r="Q331" i="33"/>
  <c r="R331" i="33"/>
  <c r="S331" i="33"/>
  <c r="W331" i="33"/>
  <c r="X331" i="33"/>
  <c r="Y331" i="33"/>
  <c r="Z331" i="33"/>
  <c r="AA331" i="33"/>
  <c r="AB331" i="33"/>
  <c r="AC331" i="33"/>
  <c r="AD331" i="33"/>
  <c r="AE331" i="33"/>
  <c r="AF331" i="33"/>
  <c r="AG331" i="33"/>
  <c r="AH331" i="33"/>
  <c r="AI331" i="33"/>
  <c r="AJ331" i="33"/>
  <c r="AK331" i="33"/>
  <c r="AL331" i="33"/>
  <c r="AM331" i="33"/>
  <c r="AN331" i="33"/>
  <c r="AO331" i="33"/>
  <c r="G332" i="33"/>
  <c r="H332" i="33"/>
  <c r="I332" i="33"/>
  <c r="J332" i="33"/>
  <c r="K332" i="33"/>
  <c r="L332" i="33"/>
  <c r="M332" i="33"/>
  <c r="N332" i="33"/>
  <c r="O332" i="33"/>
  <c r="P332" i="33"/>
  <c r="Q332" i="33"/>
  <c r="R332" i="33"/>
  <c r="S332" i="33"/>
  <c r="W332" i="33"/>
  <c r="X332" i="33"/>
  <c r="Y332" i="33"/>
  <c r="Z332" i="33"/>
  <c r="AA332" i="33"/>
  <c r="AB332" i="33"/>
  <c r="AC332" i="33"/>
  <c r="AD332" i="33"/>
  <c r="AE332" i="33"/>
  <c r="AF332" i="33"/>
  <c r="AG332" i="33"/>
  <c r="AH332" i="33"/>
  <c r="AI332" i="33"/>
  <c r="AJ332" i="33"/>
  <c r="AK332" i="33"/>
  <c r="AL332" i="33"/>
  <c r="AM332" i="33"/>
  <c r="AN332" i="33"/>
  <c r="AO332" i="33"/>
  <c r="G335" i="33"/>
  <c r="H335" i="33"/>
  <c r="I335" i="33"/>
  <c r="J335" i="33"/>
  <c r="K335" i="33"/>
  <c r="L335" i="33"/>
  <c r="M335" i="33"/>
  <c r="N335" i="33"/>
  <c r="O335" i="33"/>
  <c r="P335" i="33"/>
  <c r="Q335" i="33"/>
  <c r="R335" i="33"/>
  <c r="S335" i="33"/>
  <c r="T335" i="33"/>
  <c r="U335" i="33"/>
  <c r="W335" i="33"/>
  <c r="X335" i="33"/>
  <c r="Y335" i="33"/>
  <c r="Z335" i="33"/>
  <c r="AA335" i="33"/>
  <c r="AB335" i="33"/>
  <c r="AC335" i="33"/>
  <c r="AD335" i="33"/>
  <c r="AE335" i="33"/>
  <c r="AF335" i="33"/>
  <c r="AG335" i="33"/>
  <c r="AH335" i="33"/>
  <c r="AI335" i="33"/>
  <c r="AJ335" i="33"/>
  <c r="AK335" i="33"/>
  <c r="AL335" i="33"/>
  <c r="AM335" i="33"/>
  <c r="AN335" i="33"/>
  <c r="AO335" i="33"/>
  <c r="G336" i="33"/>
  <c r="H336" i="33"/>
  <c r="I336" i="33"/>
  <c r="J336" i="33"/>
  <c r="K336" i="33"/>
  <c r="L336" i="33"/>
  <c r="M336" i="33"/>
  <c r="N336" i="33"/>
  <c r="O336" i="33"/>
  <c r="P336" i="33"/>
  <c r="Q336" i="33"/>
  <c r="R336" i="33"/>
  <c r="S336" i="33"/>
  <c r="T336" i="33"/>
  <c r="U336" i="33"/>
  <c r="W336" i="33"/>
  <c r="X336" i="33"/>
  <c r="Y336" i="33"/>
  <c r="Z336" i="33"/>
  <c r="AA336" i="33"/>
  <c r="AB336" i="33"/>
  <c r="AC336" i="33"/>
  <c r="AD336" i="33"/>
  <c r="AE336" i="33"/>
  <c r="AF336" i="33"/>
  <c r="AG336" i="33"/>
  <c r="AH336" i="33"/>
  <c r="AI336" i="33"/>
  <c r="AJ336" i="33"/>
  <c r="AK336" i="33"/>
  <c r="AL336" i="33"/>
  <c r="AM336" i="33"/>
  <c r="AN336" i="33"/>
  <c r="AO336" i="33"/>
  <c r="G337" i="33"/>
  <c r="H337" i="33"/>
  <c r="I337" i="33"/>
  <c r="J337" i="33"/>
  <c r="K337" i="33"/>
  <c r="L337" i="33"/>
  <c r="M337" i="33"/>
  <c r="N337" i="33"/>
  <c r="O337" i="33"/>
  <c r="P337" i="33"/>
  <c r="Q337" i="33"/>
  <c r="R337" i="33"/>
  <c r="S337" i="33"/>
  <c r="T337" i="33"/>
  <c r="U337" i="33"/>
  <c r="W337" i="33"/>
  <c r="X337" i="33"/>
  <c r="Y337" i="33"/>
  <c r="Z337" i="33"/>
  <c r="AA337" i="33"/>
  <c r="AB337" i="33"/>
  <c r="AC337" i="33"/>
  <c r="AD337" i="33"/>
  <c r="AE337" i="33"/>
  <c r="AF337" i="33"/>
  <c r="AG337" i="33"/>
  <c r="AH337" i="33"/>
  <c r="AI337" i="33"/>
  <c r="AJ337" i="33"/>
  <c r="AK337" i="33"/>
  <c r="AL337" i="33"/>
  <c r="AM337" i="33"/>
  <c r="AN337" i="33"/>
  <c r="AO337" i="33"/>
  <c r="G338" i="33"/>
  <c r="H338" i="33"/>
  <c r="I338" i="33"/>
  <c r="J338" i="33"/>
  <c r="K338" i="33"/>
  <c r="L338" i="33"/>
  <c r="M338" i="33"/>
  <c r="N338" i="33"/>
  <c r="O338" i="33"/>
  <c r="P338" i="33"/>
  <c r="Q338" i="33"/>
  <c r="R338" i="33"/>
  <c r="S338" i="33"/>
  <c r="T338" i="33"/>
  <c r="U338" i="33"/>
  <c r="W338" i="33"/>
  <c r="X338" i="33"/>
  <c r="Y338" i="33"/>
  <c r="Z338" i="33"/>
  <c r="AA338" i="33"/>
  <c r="AB338" i="33"/>
  <c r="AC338" i="33"/>
  <c r="AD338" i="33"/>
  <c r="AE338" i="33"/>
  <c r="AF338" i="33"/>
  <c r="AG338" i="33"/>
  <c r="AH338" i="33"/>
  <c r="AI338" i="33"/>
  <c r="AJ338" i="33"/>
  <c r="AK338" i="33"/>
  <c r="AL338" i="33"/>
  <c r="AM338" i="33"/>
  <c r="AN338" i="33"/>
  <c r="AO338" i="33"/>
  <c r="G340" i="33"/>
  <c r="H340" i="33"/>
  <c r="J340" i="33"/>
  <c r="K340" i="33"/>
  <c r="L340" i="33"/>
  <c r="M340" i="33"/>
  <c r="N340" i="33"/>
  <c r="P340" i="33"/>
  <c r="Q340" i="33"/>
  <c r="R340" i="33"/>
  <c r="S340" i="33"/>
  <c r="W340" i="33"/>
  <c r="X340" i="33"/>
  <c r="Y340" i="33"/>
  <c r="Z340" i="33"/>
  <c r="AB340" i="33"/>
  <c r="AC340" i="33"/>
  <c r="AD340" i="33"/>
  <c r="AE340" i="33"/>
  <c r="AF340" i="33"/>
  <c r="AG340" i="33"/>
  <c r="AH340" i="33"/>
  <c r="AI340" i="33"/>
  <c r="AJ340" i="33"/>
  <c r="AK340" i="33"/>
  <c r="AL340" i="33"/>
  <c r="AM340" i="33"/>
  <c r="AN340" i="33"/>
  <c r="AO340" i="33"/>
  <c r="G341" i="33"/>
  <c r="H341" i="33"/>
  <c r="J341" i="33"/>
  <c r="K341" i="33"/>
  <c r="L341" i="33"/>
  <c r="M341" i="33"/>
  <c r="N341" i="33"/>
  <c r="P341" i="33"/>
  <c r="Q341" i="33"/>
  <c r="R341" i="33"/>
  <c r="S341" i="33"/>
  <c r="W341" i="33"/>
  <c r="X341" i="33"/>
  <c r="Y341" i="33"/>
  <c r="Z341" i="33"/>
  <c r="AA341" i="33"/>
  <c r="AB341" i="33"/>
  <c r="AC341" i="33"/>
  <c r="AD341" i="33"/>
  <c r="AE341" i="33"/>
  <c r="AF341" i="33"/>
  <c r="AG341" i="33"/>
  <c r="AH341" i="33"/>
  <c r="AI341" i="33"/>
  <c r="AJ341" i="33"/>
  <c r="AK341" i="33"/>
  <c r="AL341" i="33"/>
  <c r="AM341" i="33"/>
  <c r="AN341" i="33"/>
  <c r="AO341" i="33"/>
  <c r="G343" i="33"/>
  <c r="H343" i="33"/>
  <c r="I343" i="33"/>
  <c r="J343" i="33"/>
  <c r="K343" i="33"/>
  <c r="L343" i="33"/>
  <c r="M343" i="33"/>
  <c r="N343" i="33"/>
  <c r="O343" i="33"/>
  <c r="P343" i="33"/>
  <c r="Q343" i="33"/>
  <c r="R343" i="33"/>
  <c r="S343" i="33"/>
  <c r="W343" i="33"/>
  <c r="X343" i="33"/>
  <c r="Y343" i="33"/>
  <c r="Z343" i="33"/>
  <c r="AA343" i="33"/>
  <c r="AB343" i="33"/>
  <c r="AC343" i="33"/>
  <c r="AD343" i="33"/>
  <c r="AE343" i="33"/>
  <c r="AF343" i="33"/>
  <c r="AG343" i="33"/>
  <c r="AH343" i="33"/>
  <c r="AI343" i="33"/>
  <c r="AJ343" i="33"/>
  <c r="AK343" i="33"/>
  <c r="AL343" i="33"/>
  <c r="AM343" i="33"/>
  <c r="AN343" i="33"/>
  <c r="AO343" i="33"/>
  <c r="G344" i="33"/>
  <c r="H344" i="33"/>
  <c r="I344" i="33"/>
  <c r="J344" i="33"/>
  <c r="K344" i="33"/>
  <c r="L344" i="33"/>
  <c r="M344" i="33"/>
  <c r="N344" i="33"/>
  <c r="O344" i="33"/>
  <c r="P344" i="33"/>
  <c r="Q344" i="33"/>
  <c r="R344" i="33"/>
  <c r="S344" i="33"/>
  <c r="W344" i="33"/>
  <c r="X344" i="33"/>
  <c r="Y344" i="33"/>
  <c r="Z344" i="33"/>
  <c r="AA344" i="33"/>
  <c r="AB344" i="33"/>
  <c r="AC344" i="33"/>
  <c r="AD344" i="33"/>
  <c r="AE344" i="33"/>
  <c r="AF344" i="33"/>
  <c r="AG344" i="33"/>
  <c r="AH344" i="33"/>
  <c r="AI344" i="33"/>
  <c r="AJ344" i="33"/>
  <c r="AK344" i="33"/>
  <c r="AL344" i="33"/>
  <c r="AM344" i="33"/>
  <c r="AN344" i="33"/>
  <c r="AO344" i="33"/>
  <c r="G347" i="33"/>
  <c r="H347" i="33"/>
  <c r="I347" i="33"/>
  <c r="J347" i="33"/>
  <c r="K347" i="33"/>
  <c r="L347" i="33"/>
  <c r="M347" i="33"/>
  <c r="N347" i="33"/>
  <c r="O347" i="33"/>
  <c r="P347" i="33"/>
  <c r="Q347" i="33"/>
  <c r="R347" i="33"/>
  <c r="S347" i="33"/>
  <c r="T347" i="33"/>
  <c r="U347" i="33"/>
  <c r="W347" i="33"/>
  <c r="X347" i="33"/>
  <c r="Y347" i="33"/>
  <c r="Z347" i="33"/>
  <c r="AA347" i="33"/>
  <c r="AB347" i="33"/>
  <c r="AC347" i="33"/>
  <c r="AD347" i="33"/>
  <c r="AE347" i="33"/>
  <c r="AF347" i="33"/>
  <c r="AG347" i="33"/>
  <c r="AH347" i="33"/>
  <c r="AI347" i="33"/>
  <c r="AJ347" i="33"/>
  <c r="AK347" i="33"/>
  <c r="AL347" i="33"/>
  <c r="AM347" i="33"/>
  <c r="AN347" i="33"/>
  <c r="AO347" i="33"/>
  <c r="G348" i="33"/>
  <c r="H348" i="33"/>
  <c r="I348" i="33"/>
  <c r="J348" i="33"/>
  <c r="K348" i="33"/>
  <c r="L348" i="33"/>
  <c r="M348" i="33"/>
  <c r="N348" i="33"/>
  <c r="O348" i="33"/>
  <c r="P348" i="33"/>
  <c r="Q348" i="33"/>
  <c r="R348" i="33"/>
  <c r="S348" i="33"/>
  <c r="T348" i="33"/>
  <c r="U348" i="33"/>
  <c r="W348" i="33"/>
  <c r="X348" i="33"/>
  <c r="Y348" i="33"/>
  <c r="Z348" i="33"/>
  <c r="AA348" i="33"/>
  <c r="AB348" i="33"/>
  <c r="AC348" i="33"/>
  <c r="AD348" i="33"/>
  <c r="AE348" i="33"/>
  <c r="AF348" i="33"/>
  <c r="AG348" i="33"/>
  <c r="AH348" i="33"/>
  <c r="AI348" i="33"/>
  <c r="AJ348" i="33"/>
  <c r="AK348" i="33"/>
  <c r="AL348" i="33"/>
  <c r="AM348" i="33"/>
  <c r="AN348" i="33"/>
  <c r="AO348" i="33"/>
  <c r="G349" i="33"/>
  <c r="H349" i="33"/>
  <c r="I349" i="33"/>
  <c r="J349" i="33"/>
  <c r="K349" i="33"/>
  <c r="L349" i="33"/>
  <c r="M349" i="33"/>
  <c r="N349" i="33"/>
  <c r="O349" i="33"/>
  <c r="P349" i="33"/>
  <c r="Q349" i="33"/>
  <c r="R349" i="33"/>
  <c r="S349" i="33"/>
  <c r="T349" i="33"/>
  <c r="U349" i="33"/>
  <c r="W349" i="33"/>
  <c r="X349" i="33"/>
  <c r="Y349" i="33"/>
  <c r="Z349" i="33"/>
  <c r="AA349" i="33"/>
  <c r="AB349" i="33"/>
  <c r="AC349" i="33"/>
  <c r="AD349" i="33"/>
  <c r="AE349" i="33"/>
  <c r="AF349" i="33"/>
  <c r="AG349" i="33"/>
  <c r="AH349" i="33"/>
  <c r="AI349" i="33"/>
  <c r="AJ349" i="33"/>
  <c r="AK349" i="33"/>
  <c r="AL349" i="33"/>
  <c r="AM349" i="33"/>
  <c r="AN349" i="33"/>
  <c r="AO349" i="33"/>
  <c r="G350" i="33"/>
  <c r="H350" i="33"/>
  <c r="I350" i="33"/>
  <c r="J350" i="33"/>
  <c r="K350" i="33"/>
  <c r="L350" i="33"/>
  <c r="M350" i="33"/>
  <c r="N350" i="33"/>
  <c r="O350" i="33"/>
  <c r="P350" i="33"/>
  <c r="Q350" i="33"/>
  <c r="R350" i="33"/>
  <c r="S350" i="33"/>
  <c r="T350" i="33"/>
  <c r="U350" i="33"/>
  <c r="W350" i="33"/>
  <c r="X350" i="33"/>
  <c r="Y350" i="33"/>
  <c r="Z350" i="33"/>
  <c r="AA350" i="33"/>
  <c r="AB350" i="33"/>
  <c r="AC350" i="33"/>
  <c r="AD350" i="33"/>
  <c r="AE350" i="33"/>
  <c r="AF350" i="33"/>
  <c r="AG350" i="33"/>
  <c r="AH350" i="33"/>
  <c r="AI350" i="33"/>
  <c r="AJ350" i="33"/>
  <c r="AK350" i="33"/>
  <c r="AL350" i="33"/>
  <c r="AM350" i="33"/>
  <c r="AN350" i="33"/>
  <c r="AO350" i="33"/>
  <c r="G352" i="33"/>
  <c r="H352" i="33"/>
  <c r="I352" i="33"/>
  <c r="J352" i="33"/>
  <c r="K352" i="33"/>
  <c r="L352" i="33"/>
  <c r="M352" i="33"/>
  <c r="N352" i="33"/>
  <c r="P352" i="33"/>
  <c r="Q352" i="33"/>
  <c r="R352" i="33"/>
  <c r="S352" i="33"/>
  <c r="W352" i="33"/>
  <c r="X352" i="33"/>
  <c r="Y352" i="33"/>
  <c r="Z352" i="33"/>
  <c r="AB352" i="33"/>
  <c r="AC352" i="33"/>
  <c r="AE352" i="33"/>
  <c r="AF352" i="33"/>
  <c r="AG352" i="33"/>
  <c r="AH352" i="33"/>
  <c r="AI352" i="33"/>
  <c r="AJ352" i="33"/>
  <c r="AK352" i="33"/>
  <c r="AL352" i="33"/>
  <c r="AM352" i="33"/>
  <c r="AN352" i="33"/>
  <c r="AO352" i="33"/>
  <c r="G353" i="33"/>
  <c r="H353" i="33"/>
  <c r="J353" i="33"/>
  <c r="K353" i="33"/>
  <c r="L353" i="33"/>
  <c r="M353" i="33"/>
  <c r="N353" i="33"/>
  <c r="P353" i="33"/>
  <c r="Q353" i="33"/>
  <c r="R353" i="33"/>
  <c r="S353" i="33"/>
  <c r="W353" i="33"/>
  <c r="X353" i="33"/>
  <c r="Y353" i="33"/>
  <c r="Z353" i="33"/>
  <c r="AB353" i="33"/>
  <c r="AC353" i="33"/>
  <c r="AD353" i="33"/>
  <c r="AE353" i="33"/>
  <c r="AF353" i="33"/>
  <c r="AG353" i="33"/>
  <c r="AH353" i="33"/>
  <c r="AI353" i="33"/>
  <c r="AJ353" i="33"/>
  <c r="AK353" i="33"/>
  <c r="AL353" i="33"/>
  <c r="AM353" i="33"/>
  <c r="AN353" i="33"/>
  <c r="AO353" i="33"/>
  <c r="G355" i="33"/>
  <c r="H355" i="33"/>
  <c r="I355" i="33"/>
  <c r="K355" i="33"/>
  <c r="L355" i="33"/>
  <c r="M355" i="33"/>
  <c r="N355" i="33"/>
  <c r="O355" i="33"/>
  <c r="P355" i="33"/>
  <c r="Q355" i="33"/>
  <c r="R355" i="33"/>
  <c r="S355" i="33"/>
  <c r="W355" i="33"/>
  <c r="X355" i="33"/>
  <c r="Y355" i="33"/>
  <c r="Z355" i="33"/>
  <c r="AA355" i="33"/>
  <c r="AB355" i="33"/>
  <c r="AC355" i="33"/>
  <c r="AD355" i="33"/>
  <c r="AE355" i="33"/>
  <c r="AF355" i="33"/>
  <c r="AG355" i="33"/>
  <c r="AH355" i="33"/>
  <c r="AI355" i="33"/>
  <c r="AJ355" i="33"/>
  <c r="AK355" i="33"/>
  <c r="AL355" i="33"/>
  <c r="AM355" i="33"/>
  <c r="AN355" i="33"/>
  <c r="AO355" i="33"/>
  <c r="G356" i="33"/>
  <c r="H356" i="33"/>
  <c r="I356" i="33"/>
  <c r="K356" i="33"/>
  <c r="L356" i="33"/>
  <c r="M356" i="33"/>
  <c r="N356" i="33"/>
  <c r="O356" i="33"/>
  <c r="P356" i="33"/>
  <c r="Q356" i="33"/>
  <c r="R356" i="33"/>
  <c r="S356" i="33"/>
  <c r="W356" i="33"/>
  <c r="X356" i="33"/>
  <c r="Y356" i="33"/>
  <c r="Z356" i="33"/>
  <c r="AA356" i="33"/>
  <c r="AB356" i="33"/>
  <c r="AC356" i="33"/>
  <c r="AD356" i="33"/>
  <c r="AE356" i="33"/>
  <c r="AF356" i="33"/>
  <c r="AG356" i="33"/>
  <c r="AH356" i="33"/>
  <c r="AI356" i="33"/>
  <c r="AJ356" i="33"/>
  <c r="AK356" i="33"/>
  <c r="AL356" i="33"/>
  <c r="AM356" i="33"/>
  <c r="AN356" i="33"/>
  <c r="AO356" i="33"/>
  <c r="G359" i="33"/>
  <c r="H359" i="33"/>
  <c r="I359" i="33"/>
  <c r="J359" i="33"/>
  <c r="K359" i="33"/>
  <c r="L359" i="33"/>
  <c r="M359" i="33"/>
  <c r="N359" i="33"/>
  <c r="O359" i="33"/>
  <c r="P359" i="33"/>
  <c r="Q359" i="33"/>
  <c r="R359" i="33"/>
  <c r="S359" i="33"/>
  <c r="T359" i="33"/>
  <c r="U359" i="33"/>
  <c r="W359" i="33"/>
  <c r="X359" i="33"/>
  <c r="Y359" i="33"/>
  <c r="Z359" i="33"/>
  <c r="AA359" i="33"/>
  <c r="AB359" i="33"/>
  <c r="AC359" i="33"/>
  <c r="AD359" i="33"/>
  <c r="AE359" i="33"/>
  <c r="AF359" i="33"/>
  <c r="AG359" i="33"/>
  <c r="AH359" i="33"/>
  <c r="AI359" i="33"/>
  <c r="AJ359" i="33"/>
  <c r="AK359" i="33"/>
  <c r="AL359" i="33"/>
  <c r="AM359" i="33"/>
  <c r="AN359" i="33"/>
  <c r="AO359" i="33"/>
  <c r="G360" i="33"/>
  <c r="H360" i="33"/>
  <c r="I360" i="33"/>
  <c r="J360" i="33"/>
  <c r="K360" i="33"/>
  <c r="L360" i="33"/>
  <c r="M360" i="33"/>
  <c r="N360" i="33"/>
  <c r="O360" i="33"/>
  <c r="P360" i="33"/>
  <c r="Q360" i="33"/>
  <c r="R360" i="33"/>
  <c r="S360" i="33"/>
  <c r="T360" i="33"/>
  <c r="U360" i="33"/>
  <c r="W360" i="33"/>
  <c r="X360" i="33"/>
  <c r="Y360" i="33"/>
  <c r="Z360" i="33"/>
  <c r="AA360" i="33"/>
  <c r="AB360" i="33"/>
  <c r="AC360" i="33"/>
  <c r="AD360" i="33"/>
  <c r="AE360" i="33"/>
  <c r="AF360" i="33"/>
  <c r="AG360" i="33"/>
  <c r="AH360" i="33"/>
  <c r="AI360" i="33"/>
  <c r="AJ360" i="33"/>
  <c r="AK360" i="33"/>
  <c r="AL360" i="33"/>
  <c r="AM360" i="33"/>
  <c r="AN360" i="33"/>
  <c r="AO360" i="33"/>
  <c r="G361" i="33"/>
  <c r="H361" i="33"/>
  <c r="I361" i="33"/>
  <c r="J361" i="33"/>
  <c r="K361" i="33"/>
  <c r="L361" i="33"/>
  <c r="M361" i="33"/>
  <c r="N361" i="33"/>
  <c r="O361" i="33"/>
  <c r="P361" i="33"/>
  <c r="Q361" i="33"/>
  <c r="R361" i="33"/>
  <c r="S361" i="33"/>
  <c r="T361" i="33"/>
  <c r="U361" i="33"/>
  <c r="W361" i="33"/>
  <c r="X361" i="33"/>
  <c r="Y361" i="33"/>
  <c r="Z361" i="33"/>
  <c r="AA361" i="33"/>
  <c r="AB361" i="33"/>
  <c r="AC361" i="33"/>
  <c r="AD361" i="33"/>
  <c r="AE361" i="33"/>
  <c r="AF361" i="33"/>
  <c r="AG361" i="33"/>
  <c r="AH361" i="33"/>
  <c r="AI361" i="33"/>
  <c r="AJ361" i="33"/>
  <c r="AK361" i="33"/>
  <c r="AL361" i="33"/>
  <c r="AM361" i="33"/>
  <c r="AN361" i="33"/>
  <c r="AO361" i="33"/>
  <c r="G362" i="33"/>
  <c r="H362" i="33"/>
  <c r="I362" i="33"/>
  <c r="J362" i="33"/>
  <c r="K362" i="33"/>
  <c r="L362" i="33"/>
  <c r="M362" i="33"/>
  <c r="N362" i="33"/>
  <c r="O362" i="33"/>
  <c r="P362" i="33"/>
  <c r="Q362" i="33"/>
  <c r="R362" i="33"/>
  <c r="S362" i="33"/>
  <c r="T362" i="33"/>
  <c r="U362" i="33"/>
  <c r="W362" i="33"/>
  <c r="X362" i="33"/>
  <c r="Y362" i="33"/>
  <c r="Z362" i="33"/>
  <c r="AA362" i="33"/>
  <c r="AB362" i="33"/>
  <c r="AC362" i="33"/>
  <c r="AD362" i="33"/>
  <c r="AE362" i="33"/>
  <c r="AF362" i="33"/>
  <c r="AG362" i="33"/>
  <c r="AH362" i="33"/>
  <c r="AI362" i="33"/>
  <c r="AJ362" i="33"/>
  <c r="AK362" i="33"/>
  <c r="AL362" i="33"/>
  <c r="AM362" i="33"/>
  <c r="AN362" i="33"/>
  <c r="AO362" i="33"/>
  <c r="G364" i="33"/>
  <c r="H364" i="33"/>
  <c r="J364" i="33"/>
  <c r="K364" i="33"/>
  <c r="L364" i="33"/>
  <c r="M364" i="33"/>
  <c r="N364" i="33"/>
  <c r="P364" i="33"/>
  <c r="Q364" i="33"/>
  <c r="R364" i="33"/>
  <c r="S364" i="33"/>
  <c r="W364" i="33"/>
  <c r="X364" i="33"/>
  <c r="Y364" i="33"/>
  <c r="Z364" i="33"/>
  <c r="AB364" i="33"/>
  <c r="AC364" i="33"/>
  <c r="AE364" i="33"/>
  <c r="AF364" i="33"/>
  <c r="AG364" i="33"/>
  <c r="AH364" i="33"/>
  <c r="AI364" i="33"/>
  <c r="AJ364" i="33"/>
  <c r="AK364" i="33"/>
  <c r="AL364" i="33"/>
  <c r="AM364" i="33"/>
  <c r="AN364" i="33"/>
  <c r="AO364" i="33"/>
  <c r="G365" i="33"/>
  <c r="H365" i="33"/>
  <c r="P365" i="33"/>
  <c r="Q365" i="33"/>
  <c r="R365" i="33"/>
  <c r="S365" i="33"/>
  <c r="W365" i="33"/>
  <c r="X365" i="33"/>
  <c r="Y365" i="33"/>
  <c r="Z365" i="33"/>
  <c r="AA365" i="33"/>
  <c r="AB365" i="33"/>
  <c r="AC365" i="33"/>
  <c r="AD365" i="33"/>
  <c r="AE365" i="33"/>
  <c r="AF365" i="33"/>
  <c r="AG365" i="33"/>
  <c r="AH365" i="33"/>
  <c r="AI365" i="33"/>
  <c r="AJ365" i="33"/>
  <c r="AK365" i="33"/>
  <c r="AL365" i="33"/>
  <c r="AM365" i="33"/>
  <c r="AN365" i="33"/>
  <c r="AO365" i="33"/>
  <c r="H367" i="33"/>
  <c r="I367" i="33"/>
  <c r="P367" i="33"/>
  <c r="Q367" i="33"/>
  <c r="R367" i="33"/>
  <c r="S367" i="33"/>
  <c r="W367" i="33"/>
  <c r="X367" i="33"/>
  <c r="Y367" i="33"/>
  <c r="Z367" i="33"/>
  <c r="AA367" i="33"/>
  <c r="AB367" i="33"/>
  <c r="AC367" i="33"/>
  <c r="AD367" i="33"/>
  <c r="AE367" i="33"/>
  <c r="AF367" i="33"/>
  <c r="AG367" i="33"/>
  <c r="AH367" i="33"/>
  <c r="AI367" i="33"/>
  <c r="AJ367" i="33"/>
  <c r="AK367" i="33"/>
  <c r="AL367" i="33"/>
  <c r="AM367" i="33"/>
  <c r="AN367" i="33"/>
  <c r="AO367" i="33"/>
  <c r="H368" i="33"/>
  <c r="I368" i="33"/>
  <c r="J368" i="33"/>
  <c r="K368" i="33"/>
  <c r="L368" i="33"/>
  <c r="M368" i="33"/>
  <c r="N368" i="33"/>
  <c r="O368" i="33"/>
  <c r="P368" i="33"/>
  <c r="Q368" i="33"/>
  <c r="R368" i="33"/>
  <c r="S368" i="33"/>
  <c r="W368" i="33"/>
  <c r="X368" i="33"/>
  <c r="Y368" i="33"/>
  <c r="Z368" i="33"/>
  <c r="AA368" i="33"/>
  <c r="AB368" i="33"/>
  <c r="AC368" i="33"/>
  <c r="AD368" i="33"/>
  <c r="AE368" i="33"/>
  <c r="AF368" i="33"/>
  <c r="AG368" i="33"/>
  <c r="AH368" i="33"/>
  <c r="AI368" i="33"/>
  <c r="AJ368" i="33"/>
  <c r="AK368" i="33"/>
  <c r="AL368" i="33"/>
  <c r="AM368" i="33"/>
  <c r="AN368" i="33"/>
  <c r="AO368" i="33"/>
  <c r="G371" i="33"/>
  <c r="H371" i="33"/>
  <c r="I371" i="33"/>
  <c r="J371" i="33"/>
  <c r="K371" i="33"/>
  <c r="L371" i="33"/>
  <c r="M371" i="33"/>
  <c r="N371" i="33"/>
  <c r="O371" i="33"/>
  <c r="P371" i="33"/>
  <c r="Q371" i="33"/>
  <c r="R371" i="33"/>
  <c r="S371" i="33"/>
  <c r="T371" i="33"/>
  <c r="U371" i="33"/>
  <c r="W371" i="33"/>
  <c r="X371" i="33"/>
  <c r="Y371" i="33"/>
  <c r="Z371" i="33"/>
  <c r="AA371" i="33"/>
  <c r="AB371" i="33"/>
  <c r="AC371" i="33"/>
  <c r="AD371" i="33"/>
  <c r="AE371" i="33"/>
  <c r="AF371" i="33"/>
  <c r="AG371" i="33"/>
  <c r="AH371" i="33"/>
  <c r="AI371" i="33"/>
  <c r="AJ371" i="33"/>
  <c r="AK371" i="33"/>
  <c r="AL371" i="33"/>
  <c r="AM371" i="33"/>
  <c r="AN371" i="33"/>
  <c r="AO371" i="33"/>
  <c r="G372" i="33"/>
  <c r="H372" i="33"/>
  <c r="I372" i="33"/>
  <c r="J372" i="33"/>
  <c r="K372" i="33"/>
  <c r="L372" i="33"/>
  <c r="M372" i="33"/>
  <c r="N372" i="33"/>
  <c r="P372" i="33"/>
  <c r="Q372" i="33"/>
  <c r="R372" i="33"/>
  <c r="S372" i="33"/>
  <c r="T372" i="33"/>
  <c r="U372" i="33"/>
  <c r="W372" i="33"/>
  <c r="X372" i="33"/>
  <c r="Y372" i="33"/>
  <c r="Z372" i="33"/>
  <c r="AA372" i="33"/>
  <c r="AB372" i="33"/>
  <c r="AC372" i="33"/>
  <c r="AD372" i="33"/>
  <c r="AE372" i="33"/>
  <c r="AF372" i="33"/>
  <c r="AG372" i="33"/>
  <c r="AH372" i="33"/>
  <c r="AI372" i="33"/>
  <c r="AJ372" i="33"/>
  <c r="AK372" i="33"/>
  <c r="AL372" i="33"/>
  <c r="AM372" i="33"/>
  <c r="AN372" i="33"/>
  <c r="AO372" i="33"/>
  <c r="G373" i="33"/>
  <c r="H373" i="33"/>
  <c r="I373" i="33"/>
  <c r="J373" i="33"/>
  <c r="K373" i="33"/>
  <c r="L373" i="33"/>
  <c r="M373" i="33"/>
  <c r="N373" i="33"/>
  <c r="P373" i="33"/>
  <c r="Q373" i="33"/>
  <c r="R373" i="33"/>
  <c r="S373" i="33"/>
  <c r="T373" i="33"/>
  <c r="U373" i="33"/>
  <c r="W373" i="33"/>
  <c r="X373" i="33"/>
  <c r="Y373" i="33"/>
  <c r="Z373" i="33"/>
  <c r="AA373" i="33"/>
  <c r="AB373" i="33"/>
  <c r="AC373" i="33"/>
  <c r="AD373" i="33"/>
  <c r="AE373" i="33"/>
  <c r="AF373" i="33"/>
  <c r="AG373" i="33"/>
  <c r="AH373" i="33"/>
  <c r="AI373" i="33"/>
  <c r="AJ373" i="33"/>
  <c r="AK373" i="33"/>
  <c r="AL373" i="33"/>
  <c r="AM373" i="33"/>
  <c r="AN373" i="33"/>
  <c r="AO373" i="33"/>
  <c r="G374" i="33"/>
  <c r="H374" i="33"/>
  <c r="I374" i="33"/>
  <c r="J374" i="33"/>
  <c r="K374" i="33"/>
  <c r="L374" i="33"/>
  <c r="M374" i="33"/>
  <c r="N374" i="33"/>
  <c r="P374" i="33"/>
  <c r="Q374" i="33"/>
  <c r="R374" i="33"/>
  <c r="S374" i="33"/>
  <c r="T374" i="33"/>
  <c r="U374" i="33"/>
  <c r="W374" i="33"/>
  <c r="X374" i="33"/>
  <c r="Y374" i="33"/>
  <c r="Z374" i="33"/>
  <c r="AA374" i="33"/>
  <c r="AB374" i="33"/>
  <c r="AC374" i="33"/>
  <c r="AD374" i="33"/>
  <c r="AE374" i="33"/>
  <c r="AF374" i="33"/>
  <c r="AG374" i="33"/>
  <c r="AH374" i="33"/>
  <c r="AI374" i="33"/>
  <c r="AJ374" i="33"/>
  <c r="AK374" i="33"/>
  <c r="AL374" i="33"/>
  <c r="AM374" i="33"/>
  <c r="AN374" i="33"/>
  <c r="AO374" i="33"/>
  <c r="G376" i="33"/>
  <c r="H376" i="33"/>
  <c r="J376" i="33"/>
  <c r="K376" i="33"/>
  <c r="L376" i="33"/>
  <c r="M376" i="33"/>
  <c r="N376" i="33"/>
  <c r="P376" i="33"/>
  <c r="Q376" i="33"/>
  <c r="R376" i="33"/>
  <c r="W376" i="33"/>
  <c r="X376" i="33"/>
  <c r="Y376" i="33"/>
  <c r="Z376" i="33"/>
  <c r="AB376" i="33"/>
  <c r="AC376" i="33"/>
  <c r="AE376" i="33"/>
  <c r="AF376" i="33"/>
  <c r="AG376" i="33"/>
  <c r="AH376" i="33"/>
  <c r="AI376" i="33"/>
  <c r="AJ376" i="33"/>
  <c r="AK376" i="33"/>
  <c r="AL376" i="33"/>
  <c r="AM376" i="33"/>
  <c r="AN376" i="33"/>
  <c r="AO376" i="33"/>
  <c r="G377" i="33"/>
  <c r="H377" i="33"/>
  <c r="J377" i="33"/>
  <c r="K377" i="33"/>
  <c r="L377" i="33"/>
  <c r="M377" i="33"/>
  <c r="N377" i="33"/>
  <c r="O377" i="33"/>
  <c r="P377" i="33"/>
  <c r="Q377" i="33"/>
  <c r="R377" i="33"/>
  <c r="AB377" i="33"/>
  <c r="AC377" i="33"/>
  <c r="AD377" i="33"/>
  <c r="AE377" i="33"/>
  <c r="AF377" i="33"/>
  <c r="AG377" i="33"/>
  <c r="AH377" i="33"/>
  <c r="AI377" i="33"/>
  <c r="AJ377" i="33"/>
  <c r="AK377" i="33"/>
  <c r="AL377" i="33"/>
  <c r="AM377" i="33"/>
  <c r="AN377" i="33"/>
  <c r="AO377" i="33"/>
  <c r="G379" i="33"/>
  <c r="H379" i="33"/>
  <c r="I379" i="33"/>
  <c r="J379" i="33"/>
  <c r="K379" i="33"/>
  <c r="L379" i="33"/>
  <c r="M379" i="33"/>
  <c r="N379" i="33"/>
  <c r="O379" i="33"/>
  <c r="P379" i="33"/>
  <c r="Q379" i="33"/>
  <c r="R379" i="33"/>
  <c r="S379" i="33"/>
  <c r="AB379" i="33"/>
  <c r="AC379" i="33"/>
  <c r="AD379" i="33"/>
  <c r="AE379" i="33"/>
  <c r="AF379" i="33"/>
  <c r="AG379" i="33"/>
  <c r="AH379" i="33"/>
  <c r="AI379" i="33"/>
  <c r="AJ379" i="33"/>
  <c r="AK379" i="33"/>
  <c r="AL379" i="33"/>
  <c r="AM379" i="33"/>
  <c r="AN379" i="33"/>
  <c r="AO379" i="33"/>
  <c r="G380" i="33"/>
  <c r="H380" i="33"/>
  <c r="I380" i="33"/>
  <c r="J380" i="33"/>
  <c r="K380" i="33"/>
  <c r="L380" i="33"/>
  <c r="M380" i="33"/>
  <c r="N380" i="33"/>
  <c r="O380" i="33"/>
  <c r="P380" i="33"/>
  <c r="Q380" i="33"/>
  <c r="R380" i="33"/>
  <c r="S380" i="33"/>
  <c r="W380" i="33"/>
  <c r="X380" i="33"/>
  <c r="Y380" i="33"/>
  <c r="Z380" i="33"/>
  <c r="AA380" i="33"/>
  <c r="AB380" i="33"/>
  <c r="AC380" i="33"/>
  <c r="AD380" i="33"/>
  <c r="AE380" i="33"/>
  <c r="AF380" i="33"/>
  <c r="AG380" i="33"/>
  <c r="AH380" i="33"/>
  <c r="AI380" i="33"/>
  <c r="AJ380" i="33"/>
  <c r="AK380" i="33"/>
  <c r="AL380" i="33"/>
  <c r="AM380" i="33"/>
  <c r="AN380" i="33"/>
  <c r="AO380" i="33"/>
  <c r="G383" i="33"/>
  <c r="H383" i="33"/>
  <c r="I383" i="33"/>
  <c r="J383" i="33"/>
  <c r="K383" i="33"/>
  <c r="L383" i="33"/>
  <c r="M383" i="33"/>
  <c r="N383" i="33"/>
  <c r="O383" i="33"/>
  <c r="P383" i="33"/>
  <c r="Q383" i="33"/>
  <c r="R383" i="33"/>
  <c r="S383" i="33"/>
  <c r="T383" i="33"/>
  <c r="U383" i="33"/>
  <c r="W383" i="33"/>
  <c r="X383" i="33"/>
  <c r="Y383" i="33"/>
  <c r="Z383" i="33"/>
  <c r="AA383" i="33"/>
  <c r="AB383" i="33"/>
  <c r="AC383" i="33"/>
  <c r="AD383" i="33"/>
  <c r="AE383" i="33"/>
  <c r="AF383" i="33"/>
  <c r="AG383" i="33"/>
  <c r="AH383" i="33"/>
  <c r="AI383" i="33"/>
  <c r="AJ383" i="33"/>
  <c r="AK383" i="33"/>
  <c r="AL383" i="33"/>
  <c r="AM383" i="33"/>
  <c r="AN383" i="33"/>
  <c r="AO383" i="33"/>
  <c r="G384" i="33"/>
  <c r="H384" i="33"/>
  <c r="I384" i="33"/>
  <c r="J384" i="33"/>
  <c r="K384" i="33"/>
  <c r="L384" i="33"/>
  <c r="M384" i="33"/>
  <c r="N384" i="33"/>
  <c r="O384" i="33"/>
  <c r="P384" i="33"/>
  <c r="Q384" i="33"/>
  <c r="R384" i="33"/>
  <c r="S384" i="33"/>
  <c r="T384" i="33"/>
  <c r="U384" i="33"/>
  <c r="W384" i="33"/>
  <c r="X384" i="33"/>
  <c r="Y384" i="33"/>
  <c r="Z384" i="33"/>
  <c r="AB384" i="33"/>
  <c r="AC384" i="33"/>
  <c r="AD384" i="33"/>
  <c r="AE384" i="33"/>
  <c r="AF384" i="33"/>
  <c r="AG384" i="33"/>
  <c r="AH384" i="33"/>
  <c r="AI384" i="33"/>
  <c r="AJ384" i="33"/>
  <c r="AK384" i="33"/>
  <c r="AL384" i="33"/>
  <c r="AM384" i="33"/>
  <c r="AN384" i="33"/>
  <c r="AO384" i="33"/>
  <c r="G385" i="33"/>
  <c r="H385" i="33"/>
  <c r="I385" i="33"/>
  <c r="J385" i="33"/>
  <c r="K385" i="33"/>
  <c r="L385" i="33"/>
  <c r="M385" i="33"/>
  <c r="N385" i="33"/>
  <c r="O385" i="33"/>
  <c r="P385" i="33"/>
  <c r="Q385" i="33"/>
  <c r="R385" i="33"/>
  <c r="S385" i="33"/>
  <c r="T385" i="33"/>
  <c r="U385" i="33"/>
  <c r="W385" i="33"/>
  <c r="X385" i="33"/>
  <c r="Y385" i="33"/>
  <c r="Z385" i="33"/>
  <c r="AB385" i="33"/>
  <c r="AC385" i="33"/>
  <c r="AD385" i="33"/>
  <c r="AE385" i="33"/>
  <c r="AF385" i="33"/>
  <c r="AG385" i="33"/>
  <c r="AH385" i="33"/>
  <c r="AI385" i="33"/>
  <c r="AJ385" i="33"/>
  <c r="AK385" i="33"/>
  <c r="AL385" i="33"/>
  <c r="AM385" i="33"/>
  <c r="AN385" i="33"/>
  <c r="AO385" i="33"/>
  <c r="G386" i="33"/>
  <c r="H386" i="33"/>
  <c r="I386" i="33"/>
  <c r="J386" i="33"/>
  <c r="K386" i="33"/>
  <c r="L386" i="33"/>
  <c r="M386" i="33"/>
  <c r="N386" i="33"/>
  <c r="O386" i="33"/>
  <c r="P386" i="33"/>
  <c r="Q386" i="33"/>
  <c r="R386" i="33"/>
  <c r="S386" i="33"/>
  <c r="T386" i="33"/>
  <c r="U386" i="33"/>
  <c r="W386" i="33"/>
  <c r="X386" i="33"/>
  <c r="Y386" i="33"/>
  <c r="Z386" i="33"/>
  <c r="AB386" i="33"/>
  <c r="AC386" i="33"/>
  <c r="AD386" i="33"/>
  <c r="AE386" i="33"/>
  <c r="AF386" i="33"/>
  <c r="AG386" i="33"/>
  <c r="AH386" i="33"/>
  <c r="AI386" i="33"/>
  <c r="AJ386" i="33"/>
  <c r="AK386" i="33"/>
  <c r="AL386" i="33"/>
  <c r="AM386" i="33"/>
  <c r="AN386" i="33"/>
  <c r="AO386" i="33"/>
  <c r="G388" i="33"/>
  <c r="H388" i="33"/>
  <c r="J388" i="33"/>
  <c r="K388" i="33"/>
  <c r="L388" i="33"/>
  <c r="M388" i="33"/>
  <c r="N388" i="33"/>
  <c r="P388" i="33"/>
  <c r="Q388" i="33"/>
  <c r="R388" i="33"/>
  <c r="W388" i="33"/>
  <c r="X388" i="33"/>
  <c r="Y388" i="33"/>
  <c r="Z388" i="33"/>
  <c r="AB388" i="33"/>
  <c r="AC388" i="33"/>
  <c r="AE388" i="33"/>
  <c r="AF388" i="33"/>
  <c r="AG388" i="33"/>
  <c r="AH388" i="33"/>
  <c r="AI388" i="33"/>
  <c r="AJ388" i="33"/>
  <c r="AK388" i="33"/>
  <c r="AL388" i="33"/>
  <c r="AM388" i="33"/>
  <c r="AN388" i="33"/>
  <c r="AO388" i="33"/>
  <c r="G389" i="33"/>
  <c r="H389" i="33"/>
  <c r="J389" i="33"/>
  <c r="K389" i="33"/>
  <c r="L389" i="33"/>
  <c r="M389" i="33"/>
  <c r="N389" i="33"/>
  <c r="P389" i="33"/>
  <c r="Q389" i="33"/>
  <c r="R389" i="33"/>
  <c r="W389" i="33"/>
  <c r="X389" i="33"/>
  <c r="Y389" i="33"/>
  <c r="Z389" i="33"/>
  <c r="AB389" i="33"/>
  <c r="AC389" i="33"/>
  <c r="AE389" i="33"/>
  <c r="AF389" i="33"/>
  <c r="AG389" i="33"/>
  <c r="AH389" i="33"/>
  <c r="AI389" i="33"/>
  <c r="AJ389" i="33"/>
  <c r="AK389" i="33"/>
  <c r="AL389" i="33"/>
  <c r="AM389" i="33"/>
  <c r="AN389" i="33"/>
  <c r="AO389" i="33"/>
  <c r="G391" i="33"/>
  <c r="H391" i="33"/>
  <c r="I391" i="33"/>
  <c r="J391" i="33"/>
  <c r="K391" i="33"/>
  <c r="L391" i="33"/>
  <c r="M391" i="33"/>
  <c r="N391" i="33"/>
  <c r="O391" i="33"/>
  <c r="P391" i="33"/>
  <c r="Q391" i="33"/>
  <c r="R391" i="33"/>
  <c r="S391" i="33"/>
  <c r="W391" i="33"/>
  <c r="X391" i="33"/>
  <c r="Y391" i="33"/>
  <c r="Z391" i="33"/>
  <c r="AA391" i="33"/>
  <c r="AB391" i="33"/>
  <c r="AC391" i="33"/>
  <c r="AD391" i="33"/>
  <c r="AE391" i="33"/>
  <c r="AF391" i="33"/>
  <c r="AG391" i="33"/>
  <c r="AH391" i="33"/>
  <c r="AI391" i="33"/>
  <c r="AJ391" i="33"/>
  <c r="AK391" i="33"/>
  <c r="AL391" i="33"/>
  <c r="AM391" i="33"/>
  <c r="AN391" i="33"/>
  <c r="AO391" i="33"/>
  <c r="G392" i="33"/>
  <c r="H392" i="33"/>
  <c r="I392" i="33"/>
  <c r="J392" i="33"/>
  <c r="K392" i="33"/>
  <c r="L392" i="33"/>
  <c r="M392" i="33"/>
  <c r="N392" i="33"/>
  <c r="O392" i="33"/>
  <c r="P392" i="33"/>
  <c r="Q392" i="33"/>
  <c r="R392" i="33"/>
  <c r="S392" i="33"/>
  <c r="W392" i="33"/>
  <c r="X392" i="33"/>
  <c r="Y392" i="33"/>
  <c r="Z392" i="33"/>
  <c r="AA392" i="33"/>
  <c r="AB392" i="33"/>
  <c r="AC392" i="33"/>
  <c r="AD392" i="33"/>
  <c r="AE392" i="33"/>
  <c r="AF392" i="33"/>
  <c r="AG392" i="33"/>
  <c r="AH392" i="33"/>
  <c r="AI392" i="33"/>
  <c r="AJ392" i="33"/>
  <c r="AK392" i="33"/>
  <c r="AL392" i="33"/>
  <c r="AM392" i="33"/>
  <c r="AN392" i="33"/>
  <c r="AO392" i="33"/>
  <c r="G395" i="33"/>
  <c r="H395" i="33"/>
  <c r="I395" i="33"/>
  <c r="J395" i="33"/>
  <c r="K395" i="33"/>
  <c r="L395" i="33"/>
  <c r="M395" i="33"/>
  <c r="N395" i="33"/>
  <c r="O395" i="33"/>
  <c r="P395" i="33"/>
  <c r="Q395" i="33"/>
  <c r="R395" i="33"/>
  <c r="S395" i="33"/>
  <c r="T395" i="33"/>
  <c r="U395" i="33"/>
  <c r="W395" i="33"/>
  <c r="X395" i="33"/>
  <c r="Y395" i="33"/>
  <c r="Z395" i="33"/>
  <c r="AA395" i="33"/>
  <c r="AB395" i="33"/>
  <c r="AC395" i="33"/>
  <c r="AD395" i="33"/>
  <c r="AE395" i="33"/>
  <c r="AF395" i="33"/>
  <c r="AG395" i="33"/>
  <c r="AH395" i="33"/>
  <c r="AI395" i="33"/>
  <c r="AJ395" i="33"/>
  <c r="AK395" i="33"/>
  <c r="AL395" i="33"/>
  <c r="AM395" i="33"/>
  <c r="AN395" i="33"/>
  <c r="AO395" i="33"/>
  <c r="G396" i="33"/>
  <c r="H396" i="33"/>
  <c r="I396" i="33"/>
  <c r="J396" i="33"/>
  <c r="K396" i="33"/>
  <c r="L396" i="33"/>
  <c r="M396" i="33"/>
  <c r="N396" i="33"/>
  <c r="O396" i="33"/>
  <c r="P396" i="33"/>
  <c r="Q396" i="33"/>
  <c r="R396" i="33"/>
  <c r="S396" i="33"/>
  <c r="T396" i="33"/>
  <c r="U396" i="33"/>
  <c r="W396" i="33"/>
  <c r="X396" i="33"/>
  <c r="Y396" i="33"/>
  <c r="Z396" i="33"/>
  <c r="AA396" i="33"/>
  <c r="AB396" i="33"/>
  <c r="AC396" i="33"/>
  <c r="AD396" i="33"/>
  <c r="AE396" i="33"/>
  <c r="AF396" i="33"/>
  <c r="AG396" i="33"/>
  <c r="AH396" i="33"/>
  <c r="AI396" i="33"/>
  <c r="AJ396" i="33"/>
  <c r="AK396" i="33"/>
  <c r="AL396" i="33"/>
  <c r="AM396" i="33"/>
  <c r="AN396" i="33"/>
  <c r="AO396" i="33"/>
  <c r="G397" i="33"/>
  <c r="H397" i="33"/>
  <c r="I397" i="33"/>
  <c r="J397" i="33"/>
  <c r="K397" i="33"/>
  <c r="L397" i="33"/>
  <c r="M397" i="33"/>
  <c r="N397" i="33"/>
  <c r="O397" i="33"/>
  <c r="P397" i="33"/>
  <c r="Q397" i="33"/>
  <c r="R397" i="33"/>
  <c r="S397" i="33"/>
  <c r="T397" i="33"/>
  <c r="U397" i="33"/>
  <c r="W397" i="33"/>
  <c r="X397" i="33"/>
  <c r="Y397" i="33"/>
  <c r="Z397" i="33"/>
  <c r="AA397" i="33"/>
  <c r="AB397" i="33"/>
  <c r="AC397" i="33"/>
  <c r="AD397" i="33"/>
  <c r="AE397" i="33"/>
  <c r="AF397" i="33"/>
  <c r="AG397" i="33"/>
  <c r="AH397" i="33"/>
  <c r="AI397" i="33"/>
  <c r="AJ397" i="33"/>
  <c r="AK397" i="33"/>
  <c r="AL397" i="33"/>
  <c r="AM397" i="33"/>
  <c r="AN397" i="33"/>
  <c r="AO397" i="33"/>
  <c r="G398" i="33"/>
  <c r="H398" i="33"/>
  <c r="I398" i="33"/>
  <c r="J398" i="33"/>
  <c r="K398" i="33"/>
  <c r="L398" i="33"/>
  <c r="M398" i="33"/>
  <c r="N398" i="33"/>
  <c r="O398" i="33"/>
  <c r="P398" i="33"/>
  <c r="Q398" i="33"/>
  <c r="R398" i="33"/>
  <c r="S398" i="33"/>
  <c r="T398" i="33"/>
  <c r="U398" i="33"/>
  <c r="W398" i="33"/>
  <c r="X398" i="33"/>
  <c r="Y398" i="33"/>
  <c r="Z398" i="33"/>
  <c r="AA398" i="33"/>
  <c r="AB398" i="33"/>
  <c r="AC398" i="33"/>
  <c r="AD398" i="33"/>
  <c r="AE398" i="33"/>
  <c r="AF398" i="33"/>
  <c r="AG398" i="33"/>
  <c r="AH398" i="33"/>
  <c r="AI398" i="33"/>
  <c r="AJ398" i="33"/>
  <c r="AK398" i="33"/>
  <c r="AL398" i="33"/>
  <c r="AM398" i="33"/>
  <c r="AN398" i="33"/>
  <c r="AO398" i="33"/>
  <c r="G112" i="33"/>
  <c r="G119" i="33"/>
  <c r="H112" i="33"/>
  <c r="H119" i="33"/>
  <c r="I119" i="33"/>
  <c r="J112" i="33"/>
  <c r="J119" i="33"/>
  <c r="K112" i="33"/>
  <c r="K119" i="33"/>
  <c r="L119" i="33"/>
  <c r="M112" i="33"/>
  <c r="M119" i="33"/>
  <c r="N112" i="33"/>
  <c r="N119" i="33"/>
  <c r="O119" i="33"/>
  <c r="P112" i="33"/>
  <c r="P119" i="33"/>
  <c r="Q112" i="33"/>
  <c r="Q119" i="33"/>
  <c r="R112" i="33"/>
  <c r="R119" i="33"/>
  <c r="S119" i="33"/>
  <c r="T119" i="33"/>
  <c r="U119" i="33"/>
  <c r="W112" i="33"/>
  <c r="W119" i="33"/>
  <c r="X112" i="33"/>
  <c r="X119" i="33"/>
  <c r="Y112" i="33"/>
  <c r="Y119" i="33"/>
  <c r="Z112" i="33"/>
  <c r="Z119" i="33"/>
  <c r="AA119" i="33"/>
  <c r="AB112" i="33"/>
  <c r="AB119" i="33"/>
  <c r="AC112" i="33"/>
  <c r="AC119" i="33"/>
  <c r="AD119" i="33"/>
  <c r="AE112" i="33"/>
  <c r="AE119" i="33"/>
  <c r="AF112" i="33"/>
  <c r="AF119" i="33"/>
  <c r="AG112" i="33"/>
  <c r="AG119" i="33"/>
  <c r="AH112" i="33"/>
  <c r="AH119" i="33"/>
  <c r="AI112" i="33"/>
  <c r="AI119" i="33"/>
  <c r="AJ112" i="33"/>
  <c r="AJ119" i="33"/>
  <c r="AK112" i="33"/>
  <c r="AK119" i="33"/>
  <c r="AL112" i="33"/>
  <c r="AL119" i="33"/>
  <c r="AM112" i="33"/>
  <c r="AM119" i="33"/>
  <c r="AN112" i="33"/>
  <c r="AN119" i="33"/>
  <c r="AO112" i="33"/>
  <c r="AO119" i="33"/>
  <c r="G113" i="33"/>
  <c r="G120" i="33"/>
  <c r="H113" i="33"/>
  <c r="H120" i="33"/>
  <c r="I113" i="33"/>
  <c r="I120" i="33"/>
  <c r="J113" i="33"/>
  <c r="J120" i="33"/>
  <c r="K113" i="33"/>
  <c r="K120" i="33"/>
  <c r="L113" i="33"/>
  <c r="L120" i="33"/>
  <c r="M113" i="33"/>
  <c r="M120" i="33"/>
  <c r="N113" i="33"/>
  <c r="N120" i="33"/>
  <c r="O113" i="33"/>
  <c r="O120" i="33"/>
  <c r="P113" i="33"/>
  <c r="P120" i="33"/>
  <c r="Q113" i="33"/>
  <c r="Q120" i="33"/>
  <c r="R113" i="33"/>
  <c r="R120" i="33"/>
  <c r="S113" i="33"/>
  <c r="S120" i="33"/>
  <c r="T120" i="33"/>
  <c r="U120" i="33"/>
  <c r="W113" i="33"/>
  <c r="W120" i="33"/>
  <c r="X113" i="33"/>
  <c r="X120" i="33"/>
  <c r="Y113" i="33"/>
  <c r="Y120" i="33"/>
  <c r="Z113" i="33"/>
  <c r="Z120" i="33"/>
  <c r="AA113" i="33"/>
  <c r="AA120" i="33"/>
  <c r="AB113" i="33"/>
  <c r="AB120" i="33"/>
  <c r="AC113" i="33"/>
  <c r="AC120" i="33"/>
  <c r="AD113" i="33"/>
  <c r="AD120" i="33"/>
  <c r="AE113" i="33"/>
  <c r="AE120" i="33"/>
  <c r="AF113" i="33"/>
  <c r="AF120" i="33"/>
  <c r="AG113" i="33"/>
  <c r="AG120" i="33"/>
  <c r="AH113" i="33"/>
  <c r="AH120" i="33"/>
  <c r="AI113" i="33"/>
  <c r="AI120" i="33"/>
  <c r="AJ113" i="33"/>
  <c r="AJ120" i="33"/>
  <c r="AK113" i="33"/>
  <c r="AK120" i="33"/>
  <c r="AL113" i="33"/>
  <c r="AL120" i="33"/>
  <c r="AM113" i="33"/>
  <c r="AM120" i="33"/>
  <c r="AN113" i="33"/>
  <c r="AN120" i="33"/>
  <c r="AO113" i="33"/>
  <c r="AO120" i="33"/>
  <c r="G115" i="33"/>
  <c r="G121" i="33"/>
  <c r="H115" i="33"/>
  <c r="H121" i="33"/>
  <c r="I115" i="33"/>
  <c r="I121" i="33"/>
  <c r="J115" i="33"/>
  <c r="J121" i="33"/>
  <c r="K115" i="33"/>
  <c r="K121" i="33"/>
  <c r="L115" i="33"/>
  <c r="L121" i="33"/>
  <c r="M115" i="33"/>
  <c r="M121" i="33"/>
  <c r="N115" i="33"/>
  <c r="N121" i="33"/>
  <c r="O115" i="33"/>
  <c r="O121" i="33"/>
  <c r="P115" i="33"/>
  <c r="P121" i="33"/>
  <c r="Q115" i="33"/>
  <c r="Q121" i="33"/>
  <c r="R115" i="33"/>
  <c r="R121" i="33"/>
  <c r="S115" i="33"/>
  <c r="S121" i="33"/>
  <c r="T121" i="33"/>
  <c r="U121" i="33"/>
  <c r="W115" i="33"/>
  <c r="W121" i="33"/>
  <c r="X115" i="33"/>
  <c r="X121" i="33"/>
  <c r="Y115" i="33"/>
  <c r="Y121" i="33"/>
  <c r="Z115" i="33"/>
  <c r="Z121" i="33"/>
  <c r="AA115" i="33"/>
  <c r="AA121" i="33"/>
  <c r="AB115" i="33"/>
  <c r="AB121" i="33"/>
  <c r="AC115" i="33"/>
  <c r="AC121" i="33"/>
  <c r="AD115" i="33"/>
  <c r="AD121" i="33"/>
  <c r="AE121" i="33"/>
  <c r="AF121" i="33"/>
  <c r="AG121" i="33"/>
  <c r="AH121" i="33"/>
  <c r="AI121" i="33"/>
  <c r="AJ121" i="33"/>
  <c r="AK121" i="33"/>
  <c r="AL121" i="33"/>
  <c r="AM121" i="33"/>
  <c r="AN121" i="33"/>
  <c r="AO121" i="33"/>
  <c r="G122" i="33"/>
  <c r="H122" i="33"/>
  <c r="I122" i="33"/>
  <c r="J122" i="33"/>
  <c r="K122" i="33"/>
  <c r="L122" i="33"/>
  <c r="M122" i="33"/>
  <c r="N122" i="33"/>
  <c r="O122" i="33"/>
  <c r="P122" i="33"/>
  <c r="Q122" i="33"/>
  <c r="R122" i="33"/>
  <c r="S122" i="33"/>
  <c r="T122" i="33"/>
  <c r="U122" i="33"/>
  <c r="W122" i="33"/>
  <c r="X122" i="33"/>
  <c r="Y122" i="33"/>
  <c r="Z122" i="33"/>
  <c r="AA122" i="33"/>
  <c r="AB122" i="33"/>
  <c r="AC122" i="33"/>
  <c r="AD122" i="33"/>
  <c r="AE122" i="33"/>
  <c r="AF122" i="33"/>
  <c r="AG122" i="33"/>
  <c r="AH122" i="33"/>
  <c r="AI122" i="33"/>
  <c r="AJ122" i="33"/>
  <c r="AK122" i="33"/>
  <c r="AL122" i="33"/>
  <c r="AM122" i="33"/>
  <c r="AN122" i="33"/>
  <c r="AO122" i="33"/>
  <c r="AE115" i="33"/>
  <c r="AF115" i="33"/>
  <c r="AG115" i="33"/>
  <c r="AH115" i="33"/>
  <c r="AI115" i="33"/>
  <c r="AJ115" i="33"/>
  <c r="AK115" i="33"/>
  <c r="AL115" i="33"/>
  <c r="AM115" i="33"/>
  <c r="AN115" i="33"/>
  <c r="AO115" i="33"/>
  <c r="G116" i="33"/>
  <c r="H116" i="33"/>
  <c r="I116" i="33"/>
  <c r="J116" i="33"/>
  <c r="K116" i="33"/>
  <c r="L116" i="33"/>
  <c r="M116" i="33"/>
  <c r="N116" i="33"/>
  <c r="O116" i="33"/>
  <c r="P116" i="33"/>
  <c r="Q116" i="33"/>
  <c r="R116" i="33"/>
  <c r="S116" i="33"/>
  <c r="W116" i="33"/>
  <c r="X116" i="33"/>
  <c r="Y116" i="33"/>
  <c r="Z116" i="33"/>
  <c r="AA116" i="33"/>
  <c r="AB116" i="33"/>
  <c r="AC116" i="33"/>
  <c r="AD116" i="33"/>
  <c r="AE116" i="33"/>
  <c r="AF116" i="33"/>
  <c r="AG116" i="33"/>
  <c r="AH116" i="33"/>
  <c r="AI116" i="33"/>
  <c r="AJ116" i="33"/>
  <c r="AK116" i="33"/>
  <c r="AL116" i="33"/>
  <c r="AM116" i="33"/>
  <c r="AN116" i="33"/>
  <c r="AO116" i="33"/>
  <c r="G100" i="33"/>
  <c r="G107" i="33"/>
  <c r="H100" i="33"/>
  <c r="H107" i="33"/>
  <c r="I107" i="33"/>
  <c r="J100" i="33"/>
  <c r="J107" i="33"/>
  <c r="K100" i="33"/>
  <c r="K107" i="33"/>
  <c r="L100" i="33"/>
  <c r="L107" i="33"/>
  <c r="M100" i="33"/>
  <c r="M107" i="33"/>
  <c r="N100" i="33"/>
  <c r="N107" i="33"/>
  <c r="O107" i="33"/>
  <c r="P100" i="33"/>
  <c r="P107" i="33"/>
  <c r="Q100" i="33"/>
  <c r="Q107" i="33"/>
  <c r="R100" i="33"/>
  <c r="R107" i="33"/>
  <c r="S107" i="33"/>
  <c r="T107" i="33"/>
  <c r="U107" i="33"/>
  <c r="W100" i="33"/>
  <c r="W107" i="33"/>
  <c r="X100" i="33"/>
  <c r="X107" i="33"/>
  <c r="Y100" i="33"/>
  <c r="Y107" i="33"/>
  <c r="Z100" i="33"/>
  <c r="Z107" i="33"/>
  <c r="AA107" i="33"/>
  <c r="AB100" i="33"/>
  <c r="AB107" i="33"/>
  <c r="AC100" i="33"/>
  <c r="AC107" i="33"/>
  <c r="AD107" i="33"/>
  <c r="AE100" i="33"/>
  <c r="AE107" i="33"/>
  <c r="AF100" i="33"/>
  <c r="AF107" i="33"/>
  <c r="AG100" i="33"/>
  <c r="AG107" i="33"/>
  <c r="AH100" i="33"/>
  <c r="AH107" i="33"/>
  <c r="AI100" i="33"/>
  <c r="AI107" i="33"/>
  <c r="AJ100" i="33"/>
  <c r="AJ107" i="33"/>
  <c r="AK100" i="33"/>
  <c r="AK107" i="33"/>
  <c r="AL100" i="33"/>
  <c r="AL107" i="33"/>
  <c r="AM100" i="33"/>
  <c r="AM107" i="33"/>
  <c r="AN100" i="33"/>
  <c r="AN107" i="33"/>
  <c r="AO100" i="33"/>
  <c r="AO107" i="33"/>
  <c r="G101" i="33"/>
  <c r="G108" i="33"/>
  <c r="H101" i="33"/>
  <c r="H108" i="33"/>
  <c r="I108" i="33"/>
  <c r="J101" i="33"/>
  <c r="J108" i="33"/>
  <c r="K101" i="33"/>
  <c r="K108" i="33"/>
  <c r="L101" i="33"/>
  <c r="L108" i="33"/>
  <c r="M101" i="33"/>
  <c r="M108" i="33"/>
  <c r="N101" i="33"/>
  <c r="N108" i="33"/>
  <c r="O108" i="33"/>
  <c r="P108" i="33"/>
  <c r="Q108" i="33"/>
  <c r="R108" i="33"/>
  <c r="T108" i="33"/>
  <c r="U108" i="33"/>
  <c r="W101" i="33"/>
  <c r="W108" i="33"/>
  <c r="X101" i="33"/>
  <c r="X108" i="33"/>
  <c r="Y101" i="33"/>
  <c r="Y108" i="33"/>
  <c r="Z101" i="33"/>
  <c r="Z108" i="33"/>
  <c r="AA108" i="33"/>
  <c r="AB108" i="33"/>
  <c r="AC108" i="33"/>
  <c r="AE101" i="33"/>
  <c r="AE108" i="33"/>
  <c r="AF101" i="33"/>
  <c r="AF108" i="33"/>
  <c r="AG101" i="33"/>
  <c r="AG108" i="33"/>
  <c r="AH101" i="33"/>
  <c r="AH108" i="33"/>
  <c r="AI101" i="33"/>
  <c r="AI108" i="33"/>
  <c r="AJ101" i="33"/>
  <c r="AJ108" i="33"/>
  <c r="AK101" i="33"/>
  <c r="AK108" i="33"/>
  <c r="AL101" i="33"/>
  <c r="AL108" i="33"/>
  <c r="AM101" i="33"/>
  <c r="AM108" i="33"/>
  <c r="AN101" i="33"/>
  <c r="AN108" i="33"/>
  <c r="AO101" i="33"/>
  <c r="AO108" i="33"/>
  <c r="G103" i="33"/>
  <c r="G109" i="33"/>
  <c r="H103" i="33"/>
  <c r="H109" i="33"/>
  <c r="I103" i="33"/>
  <c r="I109" i="33"/>
  <c r="J103" i="33"/>
  <c r="J109" i="33"/>
  <c r="K103" i="33"/>
  <c r="K109" i="33"/>
  <c r="L103" i="33"/>
  <c r="L109" i="33"/>
  <c r="M103" i="33"/>
  <c r="M109" i="33"/>
  <c r="N103" i="33"/>
  <c r="N109" i="33"/>
  <c r="O103" i="33"/>
  <c r="O109" i="33"/>
  <c r="P109" i="33"/>
  <c r="Q109" i="33"/>
  <c r="R109" i="33"/>
  <c r="T109" i="33"/>
  <c r="U109" i="33"/>
  <c r="W103" i="33"/>
  <c r="W109" i="33"/>
  <c r="X103" i="33"/>
  <c r="X109" i="33"/>
  <c r="Y103" i="33"/>
  <c r="Y109" i="33"/>
  <c r="Z103" i="33"/>
  <c r="Z109" i="33"/>
  <c r="AA103" i="33"/>
  <c r="AA109" i="33"/>
  <c r="AB109" i="33"/>
  <c r="AC109" i="33"/>
  <c r="AE109" i="33"/>
  <c r="AF109" i="33"/>
  <c r="AG109" i="33"/>
  <c r="AH109" i="33"/>
  <c r="AI109" i="33"/>
  <c r="AJ109" i="33"/>
  <c r="AK109" i="33"/>
  <c r="AL109" i="33"/>
  <c r="AM109" i="33"/>
  <c r="AN109" i="33"/>
  <c r="AO109" i="33"/>
  <c r="G110" i="33"/>
  <c r="H110" i="33"/>
  <c r="I110" i="33"/>
  <c r="J110" i="33"/>
  <c r="K110" i="33"/>
  <c r="L110" i="33"/>
  <c r="M110" i="33"/>
  <c r="N110" i="33"/>
  <c r="O110" i="33"/>
  <c r="P110" i="33"/>
  <c r="Q110" i="33"/>
  <c r="R110" i="33"/>
  <c r="T110" i="33"/>
  <c r="U110" i="33"/>
  <c r="W110" i="33"/>
  <c r="X110" i="33"/>
  <c r="Y110" i="33"/>
  <c r="Z110" i="33"/>
  <c r="AA110" i="33"/>
  <c r="AB110" i="33"/>
  <c r="AC110" i="33"/>
  <c r="AE110" i="33"/>
  <c r="AF110" i="33"/>
  <c r="AG110" i="33"/>
  <c r="AH110" i="33"/>
  <c r="AI110" i="33"/>
  <c r="AJ110" i="33"/>
  <c r="AK110" i="33"/>
  <c r="AL110" i="33"/>
  <c r="AM110" i="33"/>
  <c r="AN110" i="33"/>
  <c r="AO110" i="33"/>
  <c r="G88" i="33"/>
  <c r="G95" i="33"/>
  <c r="H88" i="33"/>
  <c r="H95" i="33"/>
  <c r="I95" i="33"/>
  <c r="J88" i="33"/>
  <c r="J95" i="33"/>
  <c r="K88" i="33"/>
  <c r="K95" i="33"/>
  <c r="L95" i="33"/>
  <c r="M88" i="33"/>
  <c r="M95" i="33"/>
  <c r="N88" i="33"/>
  <c r="N95" i="33"/>
  <c r="O95" i="33"/>
  <c r="P88" i="33"/>
  <c r="P95" i="33"/>
  <c r="Q88" i="33"/>
  <c r="Q95" i="33"/>
  <c r="R88" i="33"/>
  <c r="R95" i="33"/>
  <c r="S95" i="33"/>
  <c r="T95" i="33"/>
  <c r="U95" i="33"/>
  <c r="W88" i="33"/>
  <c r="W95" i="33"/>
  <c r="X88" i="33"/>
  <c r="X95" i="33"/>
  <c r="Y88" i="33"/>
  <c r="Y95" i="33"/>
  <c r="Z88" i="33"/>
  <c r="Z95" i="33"/>
  <c r="AA95" i="33"/>
  <c r="AB88" i="33"/>
  <c r="AB95" i="33"/>
  <c r="AC88" i="33"/>
  <c r="AC95" i="33"/>
  <c r="AD95" i="33"/>
  <c r="AE88" i="33"/>
  <c r="AE95" i="33"/>
  <c r="AF88" i="33"/>
  <c r="AF95" i="33"/>
  <c r="AG88" i="33"/>
  <c r="AG95" i="33"/>
  <c r="AH88" i="33"/>
  <c r="AH95" i="33"/>
  <c r="AI88" i="33"/>
  <c r="AI95" i="33"/>
  <c r="AJ88" i="33"/>
  <c r="AJ95" i="33"/>
  <c r="AK88" i="33"/>
  <c r="AK95" i="33"/>
  <c r="AL88" i="33"/>
  <c r="AL95" i="33"/>
  <c r="AM88" i="33"/>
  <c r="AM95" i="33"/>
  <c r="AN88" i="33"/>
  <c r="AN95" i="33"/>
  <c r="AO88" i="33"/>
  <c r="AO95" i="33"/>
  <c r="G89" i="33"/>
  <c r="G96" i="33"/>
  <c r="H89" i="33"/>
  <c r="H96" i="33"/>
  <c r="I96" i="33"/>
  <c r="J89" i="33"/>
  <c r="J96" i="33"/>
  <c r="K89" i="33"/>
  <c r="K96" i="33"/>
  <c r="L96" i="33"/>
  <c r="M89" i="33"/>
  <c r="M96" i="33"/>
  <c r="N89" i="33"/>
  <c r="N96" i="33"/>
  <c r="P96" i="33"/>
  <c r="Q96" i="33"/>
  <c r="R96" i="33"/>
  <c r="T96" i="33"/>
  <c r="U96" i="33"/>
  <c r="W89" i="33"/>
  <c r="W96" i="33"/>
  <c r="X89" i="33"/>
  <c r="X96" i="33"/>
  <c r="Y89" i="33"/>
  <c r="Y96" i="33"/>
  <c r="Z89" i="33"/>
  <c r="Z96" i="33"/>
  <c r="AA96" i="33"/>
  <c r="AB89" i="33"/>
  <c r="AB96" i="33"/>
  <c r="AC89" i="33"/>
  <c r="AC96" i="33"/>
  <c r="AD96" i="33"/>
  <c r="AE89" i="33"/>
  <c r="AE96" i="33"/>
  <c r="AF89" i="33"/>
  <c r="AF96" i="33"/>
  <c r="AG89" i="33"/>
  <c r="AG96" i="33"/>
  <c r="AH89" i="33"/>
  <c r="AH96" i="33"/>
  <c r="AI89" i="33"/>
  <c r="AI96" i="33"/>
  <c r="AJ89" i="33"/>
  <c r="AJ96" i="33"/>
  <c r="AK89" i="33"/>
  <c r="AK96" i="33"/>
  <c r="AL89" i="33"/>
  <c r="AL96" i="33"/>
  <c r="AM89" i="33"/>
  <c r="AM96" i="33"/>
  <c r="AN89" i="33"/>
  <c r="AN96" i="33"/>
  <c r="AO89" i="33"/>
  <c r="AO96" i="33"/>
  <c r="G97" i="33"/>
  <c r="H91" i="33"/>
  <c r="H97" i="33"/>
  <c r="I91" i="33"/>
  <c r="I97" i="33"/>
  <c r="J91" i="33"/>
  <c r="J97" i="33"/>
  <c r="K91" i="33"/>
  <c r="K97" i="33"/>
  <c r="L91" i="33"/>
  <c r="L97" i="33"/>
  <c r="M91" i="33"/>
  <c r="M97" i="33"/>
  <c r="N91" i="33"/>
  <c r="N97" i="33"/>
  <c r="P97" i="33"/>
  <c r="Q97" i="33"/>
  <c r="R97" i="33"/>
  <c r="T97" i="33"/>
  <c r="U97" i="33"/>
  <c r="W91" i="33"/>
  <c r="W97" i="33"/>
  <c r="X91" i="33"/>
  <c r="X97" i="33"/>
  <c r="Y91" i="33"/>
  <c r="Y97" i="33"/>
  <c r="Z91" i="33"/>
  <c r="Z97" i="33"/>
  <c r="AA91" i="33"/>
  <c r="AA97" i="33"/>
  <c r="AB91" i="33"/>
  <c r="AB97" i="33"/>
  <c r="AC91" i="33"/>
  <c r="AC97" i="33"/>
  <c r="AD91" i="33"/>
  <c r="AD97" i="33"/>
  <c r="AE97" i="33"/>
  <c r="AF97" i="33"/>
  <c r="AG97" i="33"/>
  <c r="AH97" i="33"/>
  <c r="AI97" i="33"/>
  <c r="AJ97" i="33"/>
  <c r="AK97" i="33"/>
  <c r="AL97" i="33"/>
  <c r="AM97" i="33"/>
  <c r="AN97" i="33"/>
  <c r="AO97" i="33"/>
  <c r="G98" i="33"/>
  <c r="H98" i="33"/>
  <c r="I98" i="33"/>
  <c r="J98" i="33"/>
  <c r="K98" i="33"/>
  <c r="L98" i="33"/>
  <c r="M98" i="33"/>
  <c r="N98" i="33"/>
  <c r="P98" i="33"/>
  <c r="Q98" i="33"/>
  <c r="R98" i="33"/>
  <c r="T98" i="33"/>
  <c r="U98" i="33"/>
  <c r="W98" i="33"/>
  <c r="X98" i="33"/>
  <c r="Y98" i="33"/>
  <c r="Z98" i="33"/>
  <c r="AA98" i="33"/>
  <c r="AB98" i="33"/>
  <c r="AC98" i="33"/>
  <c r="AD98" i="33"/>
  <c r="AE98" i="33"/>
  <c r="AF98" i="33"/>
  <c r="AG98" i="33"/>
  <c r="AH98" i="33"/>
  <c r="AI98" i="33"/>
  <c r="AJ98" i="33"/>
  <c r="AK98" i="33"/>
  <c r="AL98" i="33"/>
  <c r="AM98" i="33"/>
  <c r="AN98" i="33"/>
  <c r="AO98" i="33"/>
  <c r="AE103" i="33"/>
  <c r="AF103" i="33"/>
  <c r="AG103" i="33"/>
  <c r="AH103" i="33"/>
  <c r="AI103" i="33"/>
  <c r="AJ103" i="33"/>
  <c r="AK103" i="33"/>
  <c r="AL103" i="33"/>
  <c r="AM103" i="33"/>
  <c r="AN103" i="33"/>
  <c r="AO103" i="33"/>
  <c r="G104" i="33"/>
  <c r="H104" i="33"/>
  <c r="I104" i="33"/>
  <c r="J104" i="33"/>
  <c r="K104" i="33"/>
  <c r="L104" i="33"/>
  <c r="M104" i="33"/>
  <c r="N104" i="33"/>
  <c r="O104" i="33"/>
  <c r="P104" i="33"/>
  <c r="Q104" i="33"/>
  <c r="R104" i="33"/>
  <c r="S104" i="33"/>
  <c r="W104" i="33"/>
  <c r="X104" i="33"/>
  <c r="Y104" i="33"/>
  <c r="Z104" i="33"/>
  <c r="AA104" i="33"/>
  <c r="AB104" i="33"/>
  <c r="AC104" i="33"/>
  <c r="AD104" i="33"/>
  <c r="AE104" i="33"/>
  <c r="AF104" i="33"/>
  <c r="AG104" i="33"/>
  <c r="AH104" i="33"/>
  <c r="AI104" i="33"/>
  <c r="AJ104" i="33"/>
  <c r="AK104" i="33"/>
  <c r="AL104" i="33"/>
  <c r="AM104" i="33"/>
  <c r="AN104" i="33"/>
  <c r="AO104" i="33"/>
  <c r="G76" i="33"/>
  <c r="G83" i="33"/>
  <c r="H76" i="33"/>
  <c r="H83" i="33"/>
  <c r="I83" i="33"/>
  <c r="J76" i="33"/>
  <c r="J83" i="33"/>
  <c r="K76" i="33"/>
  <c r="K83" i="33"/>
  <c r="L83" i="33"/>
  <c r="M76" i="33"/>
  <c r="M83" i="33"/>
  <c r="N76" i="33"/>
  <c r="N83" i="33"/>
  <c r="O83" i="33"/>
  <c r="P76" i="33"/>
  <c r="P83" i="33"/>
  <c r="Q76" i="33"/>
  <c r="Q83" i="33"/>
  <c r="R76" i="33"/>
  <c r="R83" i="33"/>
  <c r="S83" i="33"/>
  <c r="T83" i="33"/>
  <c r="U83" i="33"/>
  <c r="W76" i="33"/>
  <c r="W83" i="33"/>
  <c r="X76" i="33"/>
  <c r="X83" i="33"/>
  <c r="Y76" i="33"/>
  <c r="Y83" i="33"/>
  <c r="Z76" i="33"/>
  <c r="Z83" i="33"/>
  <c r="AA83" i="33"/>
  <c r="AB76" i="33"/>
  <c r="AB83" i="33"/>
  <c r="AC76" i="33"/>
  <c r="AC83" i="33"/>
  <c r="AD83" i="33"/>
  <c r="AE76" i="33"/>
  <c r="AE83" i="33"/>
  <c r="AF76" i="33"/>
  <c r="AF83" i="33"/>
  <c r="AG76" i="33"/>
  <c r="AG83" i="33"/>
  <c r="AH76" i="33"/>
  <c r="AH83" i="33"/>
  <c r="AI76" i="33"/>
  <c r="AI83" i="33"/>
  <c r="AJ76" i="33"/>
  <c r="AJ83" i="33"/>
  <c r="AK76" i="33"/>
  <c r="AK83" i="33"/>
  <c r="AL76" i="33"/>
  <c r="AL83" i="33"/>
  <c r="AM76" i="33"/>
  <c r="AM83" i="33"/>
  <c r="AN76" i="33"/>
  <c r="AN83" i="33"/>
  <c r="AO76" i="33"/>
  <c r="AO83" i="33"/>
  <c r="G77" i="33"/>
  <c r="G84" i="33"/>
  <c r="H77" i="33"/>
  <c r="H84" i="33"/>
  <c r="I84" i="33"/>
  <c r="J77" i="33"/>
  <c r="J84" i="33"/>
  <c r="K77" i="33"/>
  <c r="K84" i="33"/>
  <c r="L84" i="33"/>
  <c r="M77" i="33"/>
  <c r="M84" i="33"/>
  <c r="N77" i="33"/>
  <c r="N84" i="33"/>
  <c r="O84" i="33"/>
  <c r="P77" i="33"/>
  <c r="P84" i="33"/>
  <c r="Q77" i="33"/>
  <c r="Q84" i="33"/>
  <c r="R77" i="33"/>
  <c r="R84" i="33"/>
  <c r="S84" i="33"/>
  <c r="T84" i="33"/>
  <c r="U84" i="33"/>
  <c r="W77" i="33"/>
  <c r="W84" i="33"/>
  <c r="X77" i="33"/>
  <c r="X84" i="33"/>
  <c r="Y77" i="33"/>
  <c r="Y84" i="33"/>
  <c r="Z77" i="33"/>
  <c r="Z84" i="33"/>
  <c r="AA84" i="33"/>
  <c r="AB77" i="33"/>
  <c r="AB84" i="33"/>
  <c r="AC77" i="33"/>
  <c r="AC84" i="33"/>
  <c r="AD84" i="33"/>
  <c r="AE77" i="33"/>
  <c r="AE84" i="33"/>
  <c r="AF77" i="33"/>
  <c r="AF84" i="33"/>
  <c r="AG77" i="33"/>
  <c r="AG84" i="33"/>
  <c r="AH77" i="33"/>
  <c r="AH84" i="33"/>
  <c r="AI77" i="33"/>
  <c r="AI84" i="33"/>
  <c r="AJ77" i="33"/>
  <c r="AJ84" i="33"/>
  <c r="AK77" i="33"/>
  <c r="AK84" i="33"/>
  <c r="AL77" i="33"/>
  <c r="AL84" i="33"/>
  <c r="AM77" i="33"/>
  <c r="AM84" i="33"/>
  <c r="AN77" i="33"/>
  <c r="AN84" i="33"/>
  <c r="AO77" i="33"/>
  <c r="AO84" i="33"/>
  <c r="G79" i="33"/>
  <c r="G85" i="33"/>
  <c r="H79" i="33"/>
  <c r="H85" i="33"/>
  <c r="I79" i="33"/>
  <c r="I85" i="33"/>
  <c r="J79" i="33"/>
  <c r="J85" i="33"/>
  <c r="K79" i="33"/>
  <c r="K85" i="33"/>
  <c r="L79" i="33"/>
  <c r="L85" i="33"/>
  <c r="M79" i="33"/>
  <c r="M85" i="33"/>
  <c r="N79" i="33"/>
  <c r="N85" i="33"/>
  <c r="O79" i="33"/>
  <c r="O85" i="33"/>
  <c r="P79" i="33"/>
  <c r="P85" i="33"/>
  <c r="Q79" i="33"/>
  <c r="Q85" i="33"/>
  <c r="R79" i="33"/>
  <c r="R85" i="33"/>
  <c r="S79" i="33"/>
  <c r="S85" i="33"/>
  <c r="T85" i="33"/>
  <c r="U85" i="33"/>
  <c r="W79" i="33"/>
  <c r="W85" i="33"/>
  <c r="X79" i="33"/>
  <c r="X85" i="33"/>
  <c r="Y79" i="33"/>
  <c r="Y85" i="33"/>
  <c r="Z79" i="33"/>
  <c r="Z85" i="33"/>
  <c r="AA79" i="33"/>
  <c r="AA85" i="33"/>
  <c r="AB79" i="33"/>
  <c r="AB85" i="33"/>
  <c r="AC79" i="33"/>
  <c r="AC85" i="33"/>
  <c r="AD79" i="33"/>
  <c r="AD85" i="33"/>
  <c r="AE85" i="33"/>
  <c r="AF85" i="33"/>
  <c r="AG85" i="33"/>
  <c r="AH85" i="33"/>
  <c r="AI85" i="33"/>
  <c r="AJ85" i="33"/>
  <c r="AK85" i="33"/>
  <c r="AL85" i="33"/>
  <c r="AM85" i="33"/>
  <c r="AN85" i="33"/>
  <c r="AO85" i="33"/>
  <c r="G86" i="33"/>
  <c r="H86" i="33"/>
  <c r="I86" i="33"/>
  <c r="J86" i="33"/>
  <c r="K86" i="33"/>
  <c r="L86" i="33"/>
  <c r="M86" i="33"/>
  <c r="N86" i="33"/>
  <c r="O86" i="33"/>
  <c r="P86" i="33"/>
  <c r="Q86" i="33"/>
  <c r="R86" i="33"/>
  <c r="S86" i="33"/>
  <c r="T86" i="33"/>
  <c r="U86" i="33"/>
  <c r="W86" i="33"/>
  <c r="X86" i="33"/>
  <c r="Y86" i="33"/>
  <c r="Z86" i="33"/>
  <c r="AA86" i="33"/>
  <c r="AB86" i="33"/>
  <c r="AC86" i="33"/>
  <c r="AD86" i="33"/>
  <c r="AE86" i="33"/>
  <c r="AF86" i="33"/>
  <c r="AG86" i="33"/>
  <c r="AH86" i="33"/>
  <c r="AI86" i="33"/>
  <c r="AJ86" i="33"/>
  <c r="AK86" i="33"/>
  <c r="AL86" i="33"/>
  <c r="AM86" i="33"/>
  <c r="AN86" i="33"/>
  <c r="AO86" i="33"/>
  <c r="AE91" i="33"/>
  <c r="AF91" i="33"/>
  <c r="AG91" i="33"/>
  <c r="AH91" i="33"/>
  <c r="AI91" i="33"/>
  <c r="AJ91" i="33"/>
  <c r="AK91" i="33"/>
  <c r="AL91" i="33"/>
  <c r="AM91" i="33"/>
  <c r="AN91" i="33"/>
  <c r="AO91" i="33"/>
  <c r="H92" i="33"/>
  <c r="I92" i="33"/>
  <c r="J92" i="33"/>
  <c r="K92" i="33"/>
  <c r="L92" i="33"/>
  <c r="M92" i="33"/>
  <c r="N92" i="33"/>
  <c r="O92" i="33"/>
  <c r="P92" i="33"/>
  <c r="Q92" i="33"/>
  <c r="R92" i="33"/>
  <c r="S92" i="33"/>
  <c r="W92" i="33"/>
  <c r="X92" i="33"/>
  <c r="Y92" i="33"/>
  <c r="Z92" i="33"/>
  <c r="AA92" i="33"/>
  <c r="AB92" i="33"/>
  <c r="AC92" i="33"/>
  <c r="AD92" i="33"/>
  <c r="AE92" i="33"/>
  <c r="AF92" i="33"/>
  <c r="AG92" i="33"/>
  <c r="AH92" i="33"/>
  <c r="AI92" i="33"/>
  <c r="AJ92" i="33"/>
  <c r="AK92" i="33"/>
  <c r="AL92" i="33"/>
  <c r="AM92" i="33"/>
  <c r="AN92" i="33"/>
  <c r="AO92" i="33"/>
  <c r="G64" i="33"/>
  <c r="G71" i="33"/>
  <c r="H64" i="33"/>
  <c r="H71" i="33"/>
  <c r="I71" i="33"/>
  <c r="J64" i="33"/>
  <c r="J71" i="33"/>
  <c r="K64" i="33"/>
  <c r="K71" i="33"/>
  <c r="L64" i="33"/>
  <c r="L71" i="33"/>
  <c r="M64" i="33"/>
  <c r="M71" i="33"/>
  <c r="N64" i="33"/>
  <c r="N71" i="33"/>
  <c r="O64" i="33"/>
  <c r="O71" i="33"/>
  <c r="P64" i="33"/>
  <c r="P71" i="33"/>
  <c r="Q64" i="33"/>
  <c r="Q71" i="33"/>
  <c r="R64" i="33"/>
  <c r="R71" i="33"/>
  <c r="S71" i="33"/>
  <c r="T71" i="33"/>
  <c r="U71" i="33"/>
  <c r="W64" i="33"/>
  <c r="W71" i="33"/>
  <c r="X64" i="33"/>
  <c r="X71" i="33"/>
  <c r="Y64" i="33"/>
  <c r="Y71" i="33"/>
  <c r="Z64" i="33"/>
  <c r="Z71" i="33"/>
  <c r="AA71" i="33"/>
  <c r="AB64" i="33"/>
  <c r="AB71" i="33"/>
  <c r="AC64" i="33"/>
  <c r="AC71" i="33"/>
  <c r="AD71" i="33"/>
  <c r="AE64" i="33"/>
  <c r="AE71" i="33"/>
  <c r="AF64" i="33"/>
  <c r="AF71" i="33"/>
  <c r="AG64" i="33"/>
  <c r="AG71" i="33"/>
  <c r="AH64" i="33"/>
  <c r="AH71" i="33"/>
  <c r="AI64" i="33"/>
  <c r="AI71" i="33"/>
  <c r="AJ64" i="33"/>
  <c r="AJ71" i="33"/>
  <c r="AK64" i="33"/>
  <c r="AK71" i="33"/>
  <c r="AL64" i="33"/>
  <c r="AL71" i="33"/>
  <c r="AM64" i="33"/>
  <c r="AM71" i="33"/>
  <c r="AN64" i="33"/>
  <c r="AN71" i="33"/>
  <c r="AO64" i="33"/>
  <c r="AO71" i="33"/>
  <c r="G65" i="33"/>
  <c r="G72" i="33"/>
  <c r="H65" i="33"/>
  <c r="H72" i="33"/>
  <c r="I72" i="33"/>
  <c r="J65" i="33"/>
  <c r="J72" i="33"/>
  <c r="K65" i="33"/>
  <c r="K72" i="33"/>
  <c r="L65" i="33"/>
  <c r="L72" i="33"/>
  <c r="M65" i="33"/>
  <c r="M72" i="33"/>
  <c r="N65" i="33"/>
  <c r="N72" i="33"/>
  <c r="O65" i="33"/>
  <c r="O72" i="33"/>
  <c r="P65" i="33"/>
  <c r="P72" i="33"/>
  <c r="Q65" i="33"/>
  <c r="Q72" i="33"/>
  <c r="R65" i="33"/>
  <c r="R72" i="33"/>
  <c r="S65" i="33"/>
  <c r="S72" i="33"/>
  <c r="T72" i="33"/>
  <c r="U72" i="33"/>
  <c r="W65" i="33"/>
  <c r="W72" i="33"/>
  <c r="X65" i="33"/>
  <c r="X72" i="33"/>
  <c r="Y65" i="33"/>
  <c r="Y72" i="33"/>
  <c r="Z65" i="33"/>
  <c r="Z72" i="33"/>
  <c r="AA65" i="33"/>
  <c r="AA72" i="33"/>
  <c r="AB65" i="33"/>
  <c r="AB72" i="33"/>
  <c r="AC65" i="33"/>
  <c r="AC72" i="33"/>
  <c r="AD65" i="33"/>
  <c r="AD72" i="33"/>
  <c r="AE65" i="33"/>
  <c r="AE72" i="33"/>
  <c r="AF65" i="33"/>
  <c r="AF72" i="33"/>
  <c r="AG65" i="33"/>
  <c r="AG72" i="33"/>
  <c r="AH65" i="33"/>
  <c r="AH72" i="33"/>
  <c r="AI65" i="33"/>
  <c r="AI72" i="33"/>
  <c r="AJ65" i="33"/>
  <c r="AJ72" i="33"/>
  <c r="AK65" i="33"/>
  <c r="AK72" i="33"/>
  <c r="AL65" i="33"/>
  <c r="AL72" i="33"/>
  <c r="AM65" i="33"/>
  <c r="AM72" i="33"/>
  <c r="AN65" i="33"/>
  <c r="AN72" i="33"/>
  <c r="AO65" i="33"/>
  <c r="AO72" i="33"/>
  <c r="G67" i="33"/>
  <c r="G73" i="33"/>
  <c r="H67" i="33"/>
  <c r="H73" i="33"/>
  <c r="I67" i="33"/>
  <c r="I73" i="33"/>
  <c r="J73" i="33"/>
  <c r="K67" i="33"/>
  <c r="K73" i="33"/>
  <c r="L67" i="33"/>
  <c r="L73" i="33"/>
  <c r="M67" i="33"/>
  <c r="M73" i="33"/>
  <c r="N67" i="33"/>
  <c r="N73" i="33"/>
  <c r="O67" i="33"/>
  <c r="O73" i="33"/>
  <c r="P67" i="33"/>
  <c r="P73" i="33"/>
  <c r="Q67" i="33"/>
  <c r="Q73" i="33"/>
  <c r="R67" i="33"/>
  <c r="R73" i="33"/>
  <c r="S67" i="33"/>
  <c r="S73" i="33"/>
  <c r="T73" i="33"/>
  <c r="U73" i="33"/>
  <c r="W67" i="33"/>
  <c r="W73" i="33"/>
  <c r="X67" i="33"/>
  <c r="X73" i="33"/>
  <c r="Y67" i="33"/>
  <c r="Y73" i="33"/>
  <c r="Z67" i="33"/>
  <c r="Z73" i="33"/>
  <c r="AA67" i="33"/>
  <c r="AA73" i="33"/>
  <c r="AB67" i="33"/>
  <c r="AB73" i="33"/>
  <c r="AC67" i="33"/>
  <c r="AC73" i="33"/>
  <c r="AD67" i="33"/>
  <c r="AD73" i="33"/>
  <c r="AE73" i="33"/>
  <c r="AF73" i="33"/>
  <c r="AG73" i="33"/>
  <c r="AH73" i="33"/>
  <c r="AI73" i="33"/>
  <c r="AJ73" i="33"/>
  <c r="AK73" i="33"/>
  <c r="AL73" i="33"/>
  <c r="AM73" i="33"/>
  <c r="AN73" i="33"/>
  <c r="AO73" i="33"/>
  <c r="G74" i="33"/>
  <c r="H74" i="33"/>
  <c r="I74" i="33"/>
  <c r="J74" i="33"/>
  <c r="K74" i="33"/>
  <c r="L74" i="33"/>
  <c r="M74" i="33"/>
  <c r="N74" i="33"/>
  <c r="O74" i="33"/>
  <c r="P74" i="33"/>
  <c r="Q74" i="33"/>
  <c r="R74" i="33"/>
  <c r="S74" i="33"/>
  <c r="T74" i="33"/>
  <c r="U74" i="33"/>
  <c r="W74" i="33"/>
  <c r="X74" i="33"/>
  <c r="Y74" i="33"/>
  <c r="Z74" i="33"/>
  <c r="AA74" i="33"/>
  <c r="AB74" i="33"/>
  <c r="AC74" i="33"/>
  <c r="AD74" i="33"/>
  <c r="AE74" i="33"/>
  <c r="AF74" i="33"/>
  <c r="AG74" i="33"/>
  <c r="AH74" i="33"/>
  <c r="AI74" i="33"/>
  <c r="AJ74" i="33"/>
  <c r="AK74" i="33"/>
  <c r="AL74" i="33"/>
  <c r="AM74" i="33"/>
  <c r="AN74" i="33"/>
  <c r="AO74" i="33"/>
  <c r="AE79" i="33"/>
  <c r="AF79" i="33"/>
  <c r="AG79" i="33"/>
  <c r="AH79" i="33"/>
  <c r="AI79" i="33"/>
  <c r="AJ79" i="33"/>
  <c r="AK79" i="33"/>
  <c r="AL79" i="33"/>
  <c r="AM79" i="33"/>
  <c r="AN79" i="33"/>
  <c r="AO79" i="33"/>
  <c r="G80" i="33"/>
  <c r="H80" i="33"/>
  <c r="I80" i="33"/>
  <c r="J80" i="33"/>
  <c r="K80" i="33"/>
  <c r="L80" i="33"/>
  <c r="M80" i="33"/>
  <c r="N80" i="33"/>
  <c r="O80" i="33"/>
  <c r="P80" i="33"/>
  <c r="Q80" i="33"/>
  <c r="R80" i="33"/>
  <c r="S80" i="33"/>
  <c r="W80" i="33"/>
  <c r="X80" i="33"/>
  <c r="Y80" i="33"/>
  <c r="Z80" i="33"/>
  <c r="AA80" i="33"/>
  <c r="AB80" i="33"/>
  <c r="AC80" i="33"/>
  <c r="AD80" i="33"/>
  <c r="AE80" i="33"/>
  <c r="AF80" i="33"/>
  <c r="AG80" i="33"/>
  <c r="AH80" i="33"/>
  <c r="AI80" i="33"/>
  <c r="AJ80" i="33"/>
  <c r="AK80" i="33"/>
  <c r="AL80" i="33"/>
  <c r="AM80" i="33"/>
  <c r="AN80" i="33"/>
  <c r="AO80" i="33"/>
  <c r="G52" i="33"/>
  <c r="G59" i="33"/>
  <c r="H52" i="33"/>
  <c r="H59" i="33"/>
  <c r="I59" i="33"/>
  <c r="J52" i="33"/>
  <c r="J59" i="33"/>
  <c r="K52" i="33"/>
  <c r="K59" i="33"/>
  <c r="L52" i="33"/>
  <c r="L59" i="33"/>
  <c r="M52" i="33"/>
  <c r="M59" i="33"/>
  <c r="N52" i="33"/>
  <c r="N59" i="33"/>
  <c r="O59" i="33"/>
  <c r="P52" i="33"/>
  <c r="P59" i="33"/>
  <c r="Q52" i="33"/>
  <c r="Q59" i="33"/>
  <c r="R52" i="33"/>
  <c r="R59" i="33"/>
  <c r="S59" i="33"/>
  <c r="T59" i="33"/>
  <c r="U59" i="33"/>
  <c r="W52" i="33"/>
  <c r="W59" i="33"/>
  <c r="X52" i="33"/>
  <c r="X59" i="33"/>
  <c r="Y52" i="33"/>
  <c r="Y59" i="33"/>
  <c r="Z52" i="33"/>
  <c r="Z59" i="33"/>
  <c r="AA59" i="33"/>
  <c r="AB52" i="33"/>
  <c r="AB59" i="33"/>
  <c r="AC52" i="33"/>
  <c r="AC59" i="33"/>
  <c r="AD59" i="33"/>
  <c r="AE52" i="33"/>
  <c r="AE59" i="33"/>
  <c r="AF52" i="33"/>
  <c r="AF59" i="33"/>
  <c r="AG52" i="33"/>
  <c r="AG59" i="33"/>
  <c r="AH52" i="33"/>
  <c r="AH59" i="33"/>
  <c r="AI52" i="33"/>
  <c r="AI59" i="33"/>
  <c r="AJ52" i="33"/>
  <c r="AJ59" i="33"/>
  <c r="AK52" i="33"/>
  <c r="AK59" i="33"/>
  <c r="AL52" i="33"/>
  <c r="AL59" i="33"/>
  <c r="AM52" i="33"/>
  <c r="AM59" i="33"/>
  <c r="AN52" i="33"/>
  <c r="AN59" i="33"/>
  <c r="AO52" i="33"/>
  <c r="AO59" i="33"/>
  <c r="G53" i="33"/>
  <c r="G60" i="33"/>
  <c r="H53" i="33"/>
  <c r="H60" i="33"/>
  <c r="I60" i="33"/>
  <c r="J53" i="33"/>
  <c r="J60" i="33"/>
  <c r="K53" i="33"/>
  <c r="K60" i="33"/>
  <c r="L53" i="33"/>
  <c r="L60" i="33"/>
  <c r="M53" i="33"/>
  <c r="M60" i="33"/>
  <c r="N53" i="33"/>
  <c r="N60" i="33"/>
  <c r="O60" i="33"/>
  <c r="P53" i="33"/>
  <c r="P60" i="33"/>
  <c r="Q53" i="33"/>
  <c r="Q60" i="33"/>
  <c r="R53" i="33"/>
  <c r="R60" i="33"/>
  <c r="S53" i="33"/>
  <c r="S60" i="33"/>
  <c r="T60" i="33"/>
  <c r="U60" i="33"/>
  <c r="W53" i="33"/>
  <c r="W60" i="33"/>
  <c r="X53" i="33"/>
  <c r="X60" i="33"/>
  <c r="Y53" i="33"/>
  <c r="Y60" i="33"/>
  <c r="Z53" i="33"/>
  <c r="Z60" i="33"/>
  <c r="AA53" i="33"/>
  <c r="AA60" i="33"/>
  <c r="AB53" i="33"/>
  <c r="AB60" i="33"/>
  <c r="AC53" i="33"/>
  <c r="AC60" i="33"/>
  <c r="AD53" i="33"/>
  <c r="AD60" i="33"/>
  <c r="AE53" i="33"/>
  <c r="AE60" i="33"/>
  <c r="AF53" i="33"/>
  <c r="AF60" i="33"/>
  <c r="AG53" i="33"/>
  <c r="AG60" i="33"/>
  <c r="AH53" i="33"/>
  <c r="AH60" i="33"/>
  <c r="AI53" i="33"/>
  <c r="AI60" i="33"/>
  <c r="AJ53" i="33"/>
  <c r="AJ60" i="33"/>
  <c r="AK53" i="33"/>
  <c r="AK60" i="33"/>
  <c r="AL53" i="33"/>
  <c r="AL60" i="33"/>
  <c r="AM53" i="33"/>
  <c r="AM60" i="33"/>
  <c r="AN53" i="33"/>
  <c r="AN60" i="33"/>
  <c r="AO53" i="33"/>
  <c r="AO60" i="33"/>
  <c r="G55" i="33"/>
  <c r="G61" i="33"/>
  <c r="H55" i="33"/>
  <c r="H61" i="33"/>
  <c r="I55" i="33"/>
  <c r="I61" i="33"/>
  <c r="J55" i="33"/>
  <c r="J61" i="33"/>
  <c r="K55" i="33"/>
  <c r="K61" i="33"/>
  <c r="L55" i="33"/>
  <c r="L61" i="33"/>
  <c r="M55" i="33"/>
  <c r="M61" i="33"/>
  <c r="N55" i="33"/>
  <c r="N61" i="33"/>
  <c r="O55" i="33"/>
  <c r="O61" i="33"/>
  <c r="P55" i="33"/>
  <c r="P61" i="33"/>
  <c r="Q55" i="33"/>
  <c r="Q61" i="33"/>
  <c r="R55" i="33"/>
  <c r="R61" i="33"/>
  <c r="S55" i="33"/>
  <c r="S61" i="33"/>
  <c r="T61" i="33"/>
  <c r="U61" i="33"/>
  <c r="W61" i="33"/>
  <c r="X55" i="33"/>
  <c r="X61" i="33"/>
  <c r="Y55" i="33"/>
  <c r="Y61" i="33"/>
  <c r="Z55" i="33"/>
  <c r="Z61" i="33"/>
  <c r="AA55" i="33"/>
  <c r="AA61" i="33"/>
  <c r="AB55" i="33"/>
  <c r="AB61" i="33"/>
  <c r="AC55" i="33"/>
  <c r="AC61" i="33"/>
  <c r="AD55" i="33"/>
  <c r="AD61" i="33"/>
  <c r="AE61" i="33"/>
  <c r="AF61" i="33"/>
  <c r="AG61" i="33"/>
  <c r="AH61" i="33"/>
  <c r="AI61" i="33"/>
  <c r="AJ61" i="33"/>
  <c r="AK61" i="33"/>
  <c r="AL61" i="33"/>
  <c r="AM61" i="33"/>
  <c r="AN61" i="33"/>
  <c r="AO61" i="33"/>
  <c r="G62" i="33"/>
  <c r="H62" i="33"/>
  <c r="I62" i="33"/>
  <c r="J62" i="33"/>
  <c r="K62" i="33"/>
  <c r="L62" i="33"/>
  <c r="M62" i="33"/>
  <c r="N62" i="33"/>
  <c r="O62" i="33"/>
  <c r="P62" i="33"/>
  <c r="Q62" i="33"/>
  <c r="R62" i="33"/>
  <c r="S62" i="33"/>
  <c r="T62" i="33"/>
  <c r="U62" i="33"/>
  <c r="W62" i="33"/>
  <c r="X62" i="33"/>
  <c r="Y62" i="33"/>
  <c r="Z62" i="33"/>
  <c r="AA62" i="33"/>
  <c r="AB62" i="33"/>
  <c r="AC62" i="33"/>
  <c r="AD62" i="33"/>
  <c r="AE62" i="33"/>
  <c r="AF62" i="33"/>
  <c r="AG62" i="33"/>
  <c r="AH62" i="33"/>
  <c r="AI62" i="33"/>
  <c r="AJ62" i="33"/>
  <c r="AK62" i="33"/>
  <c r="AL62" i="33"/>
  <c r="AM62" i="33"/>
  <c r="AN62" i="33"/>
  <c r="AO62" i="33"/>
  <c r="AE67" i="33"/>
  <c r="AF67" i="33"/>
  <c r="AG67" i="33"/>
  <c r="AH67" i="33"/>
  <c r="AI67" i="33"/>
  <c r="AJ67" i="33"/>
  <c r="AK67" i="33"/>
  <c r="AL67" i="33"/>
  <c r="AM67" i="33"/>
  <c r="AN67" i="33"/>
  <c r="AO67" i="33"/>
  <c r="G68" i="33"/>
  <c r="H68" i="33"/>
  <c r="I68" i="33"/>
  <c r="K68" i="33"/>
  <c r="L68" i="33"/>
  <c r="M68" i="33"/>
  <c r="N68" i="33"/>
  <c r="O68" i="33"/>
  <c r="P68" i="33"/>
  <c r="Q68" i="33"/>
  <c r="R68" i="33"/>
  <c r="S68" i="33"/>
  <c r="X68" i="33"/>
  <c r="Y68" i="33"/>
  <c r="Z68" i="33"/>
  <c r="AA68" i="33"/>
  <c r="AB68" i="33"/>
  <c r="AC68" i="33"/>
  <c r="AD68" i="33"/>
  <c r="AE68" i="33"/>
  <c r="AF68" i="33"/>
  <c r="AG68" i="33"/>
  <c r="AH68" i="33"/>
  <c r="AI68" i="33"/>
  <c r="AJ68" i="33"/>
  <c r="AK68" i="33"/>
  <c r="AL68" i="33"/>
  <c r="AM68" i="33"/>
  <c r="AN68" i="33"/>
  <c r="AO68" i="33"/>
  <c r="G40" i="33"/>
  <c r="G47" i="33"/>
  <c r="H40" i="33"/>
  <c r="H47" i="33"/>
  <c r="I47" i="33"/>
  <c r="J40" i="33"/>
  <c r="J47" i="33"/>
  <c r="K40" i="33"/>
  <c r="K47" i="33"/>
  <c r="L40" i="33"/>
  <c r="L47" i="33"/>
  <c r="M40" i="33"/>
  <c r="M47" i="33"/>
  <c r="N40" i="33"/>
  <c r="N47" i="33"/>
  <c r="O47" i="33"/>
  <c r="P40" i="33"/>
  <c r="P47" i="33"/>
  <c r="Q40" i="33"/>
  <c r="Q47" i="33"/>
  <c r="R40" i="33"/>
  <c r="R47" i="33"/>
  <c r="S47" i="33"/>
  <c r="T47" i="33"/>
  <c r="U47" i="33"/>
  <c r="W40" i="33"/>
  <c r="W47" i="33"/>
  <c r="X40" i="33"/>
  <c r="X47" i="33"/>
  <c r="Y40" i="33"/>
  <c r="Y47" i="33"/>
  <c r="Z40" i="33"/>
  <c r="Z47" i="33"/>
  <c r="AA47" i="33"/>
  <c r="AB40" i="33"/>
  <c r="AB47" i="33"/>
  <c r="AC40" i="33"/>
  <c r="AC47" i="33"/>
  <c r="AD47" i="33"/>
  <c r="AE40" i="33"/>
  <c r="AE47" i="33"/>
  <c r="AF40" i="33"/>
  <c r="AF47" i="33"/>
  <c r="AG40" i="33"/>
  <c r="AG47" i="33"/>
  <c r="AH40" i="33"/>
  <c r="AH47" i="33"/>
  <c r="AI40" i="33"/>
  <c r="AI47" i="33"/>
  <c r="AJ40" i="33"/>
  <c r="AJ47" i="33"/>
  <c r="AK40" i="33"/>
  <c r="AK47" i="33"/>
  <c r="AL40" i="33"/>
  <c r="AL47" i="33"/>
  <c r="AM40" i="33"/>
  <c r="AM47" i="33"/>
  <c r="AN40" i="33"/>
  <c r="AN47" i="33"/>
  <c r="AO40" i="33"/>
  <c r="AO47" i="33"/>
  <c r="G41" i="33"/>
  <c r="G48" i="33"/>
  <c r="H41" i="33"/>
  <c r="H48" i="33"/>
  <c r="I48" i="33"/>
  <c r="J41" i="33"/>
  <c r="J48" i="33"/>
  <c r="K41" i="33"/>
  <c r="K48" i="33"/>
  <c r="L48" i="33"/>
  <c r="M41" i="33"/>
  <c r="M48" i="33"/>
  <c r="N41" i="33"/>
  <c r="N48" i="33"/>
  <c r="O48" i="33"/>
  <c r="P41" i="33"/>
  <c r="P48" i="33"/>
  <c r="Q41" i="33"/>
  <c r="Q48" i="33"/>
  <c r="R41" i="33"/>
  <c r="R48" i="33"/>
  <c r="S48" i="33"/>
  <c r="T48" i="33"/>
  <c r="U48" i="33"/>
  <c r="W41" i="33"/>
  <c r="W48" i="33"/>
  <c r="X41" i="33"/>
  <c r="X48" i="33"/>
  <c r="Y41" i="33"/>
  <c r="Y48" i="33"/>
  <c r="Z41" i="33"/>
  <c r="Z48" i="33"/>
  <c r="AA48" i="33"/>
  <c r="AB48" i="33"/>
  <c r="AC48" i="33"/>
  <c r="AD48" i="33"/>
  <c r="AE41" i="33"/>
  <c r="AE48" i="33"/>
  <c r="AF41" i="33"/>
  <c r="AF48" i="33"/>
  <c r="AG41" i="33"/>
  <c r="AG48" i="33"/>
  <c r="AH41" i="33"/>
  <c r="AH48" i="33"/>
  <c r="AI41" i="33"/>
  <c r="AI48" i="33"/>
  <c r="AJ41" i="33"/>
  <c r="AJ48" i="33"/>
  <c r="AK41" i="33"/>
  <c r="AK48" i="33"/>
  <c r="AL41" i="33"/>
  <c r="AL48" i="33"/>
  <c r="AM41" i="33"/>
  <c r="AM48" i="33"/>
  <c r="AN41" i="33"/>
  <c r="AN48" i="33"/>
  <c r="AO41" i="33"/>
  <c r="AO48" i="33"/>
  <c r="G43" i="33"/>
  <c r="G49" i="33"/>
  <c r="H43" i="33"/>
  <c r="H49" i="33"/>
  <c r="I43" i="33"/>
  <c r="I49" i="33"/>
  <c r="J49" i="33"/>
  <c r="K43" i="33"/>
  <c r="K49" i="33"/>
  <c r="L43" i="33"/>
  <c r="L49" i="33"/>
  <c r="M49" i="33"/>
  <c r="N43" i="33"/>
  <c r="N49" i="33"/>
  <c r="O43" i="33"/>
  <c r="O49" i="33"/>
  <c r="P43" i="33"/>
  <c r="P49" i="33"/>
  <c r="Q43" i="33"/>
  <c r="Q49" i="33"/>
  <c r="R43" i="33"/>
  <c r="R49" i="33"/>
  <c r="S43" i="33"/>
  <c r="S49" i="33"/>
  <c r="T49" i="33"/>
  <c r="U49" i="33"/>
  <c r="W43" i="33"/>
  <c r="W49" i="33"/>
  <c r="X43" i="33"/>
  <c r="X49" i="33"/>
  <c r="Y43" i="33"/>
  <c r="Y49" i="33"/>
  <c r="Z43" i="33"/>
  <c r="Z49" i="33"/>
  <c r="AA43" i="33"/>
  <c r="AA49" i="33"/>
  <c r="AB43" i="33"/>
  <c r="AB49" i="33"/>
  <c r="AC43" i="33"/>
  <c r="AC49" i="33"/>
  <c r="AD43" i="33"/>
  <c r="AD49" i="33"/>
  <c r="AE49" i="33"/>
  <c r="AF49" i="33"/>
  <c r="AG49" i="33"/>
  <c r="AH49" i="33"/>
  <c r="AI49" i="33"/>
  <c r="AJ49" i="33"/>
  <c r="AK49" i="33"/>
  <c r="AL49" i="33"/>
  <c r="AM49" i="33"/>
  <c r="AN49" i="33"/>
  <c r="AO49" i="33"/>
  <c r="G50" i="33"/>
  <c r="H50" i="33"/>
  <c r="I50" i="33"/>
  <c r="J50" i="33"/>
  <c r="K50" i="33"/>
  <c r="L50" i="33"/>
  <c r="M50" i="33"/>
  <c r="N50" i="33"/>
  <c r="O50" i="33"/>
  <c r="P50" i="33"/>
  <c r="Q50" i="33"/>
  <c r="R50" i="33"/>
  <c r="S50" i="33"/>
  <c r="T50" i="33"/>
  <c r="U50" i="33"/>
  <c r="W50" i="33"/>
  <c r="X50" i="33"/>
  <c r="Y50" i="33"/>
  <c r="Z50" i="33"/>
  <c r="AA50" i="33"/>
  <c r="AB50" i="33"/>
  <c r="AC50" i="33"/>
  <c r="AD50" i="33"/>
  <c r="AE50" i="33"/>
  <c r="AF50" i="33"/>
  <c r="AG50" i="33"/>
  <c r="AH50" i="33"/>
  <c r="AI50" i="33"/>
  <c r="AJ50" i="33"/>
  <c r="AK50" i="33"/>
  <c r="AL50" i="33"/>
  <c r="AM50" i="33"/>
  <c r="AN50" i="33"/>
  <c r="AO50" i="33"/>
  <c r="AE55" i="33"/>
  <c r="AF55" i="33"/>
  <c r="AG55" i="33"/>
  <c r="AH55" i="33"/>
  <c r="AI55" i="33"/>
  <c r="AJ55" i="33"/>
  <c r="AK55" i="33"/>
  <c r="AL55" i="33"/>
  <c r="AM55" i="33"/>
  <c r="AN55" i="33"/>
  <c r="AO55" i="33"/>
  <c r="G56" i="33"/>
  <c r="H56" i="33"/>
  <c r="I56" i="33"/>
  <c r="J56" i="33"/>
  <c r="K56" i="33"/>
  <c r="L56" i="33"/>
  <c r="M56" i="33"/>
  <c r="N56" i="33"/>
  <c r="O56" i="33"/>
  <c r="P56" i="33"/>
  <c r="Q56" i="33"/>
  <c r="R56" i="33"/>
  <c r="S56" i="33"/>
  <c r="X56" i="33"/>
  <c r="Y56" i="33"/>
  <c r="Z56" i="33"/>
  <c r="AA56" i="33"/>
  <c r="AB56" i="33"/>
  <c r="AC56" i="33"/>
  <c r="AD56" i="33"/>
  <c r="AE56" i="33"/>
  <c r="AF56" i="33"/>
  <c r="AG56" i="33"/>
  <c r="AH56" i="33"/>
  <c r="AI56" i="33"/>
  <c r="AJ56" i="33"/>
  <c r="AK56" i="33"/>
  <c r="AL56" i="33"/>
  <c r="AM56" i="33"/>
  <c r="AN56" i="33"/>
  <c r="AO56" i="33"/>
  <c r="G28" i="33"/>
  <c r="G35" i="33"/>
  <c r="H28" i="33"/>
  <c r="H35" i="33"/>
  <c r="I35" i="33"/>
  <c r="J28" i="33"/>
  <c r="J35" i="33"/>
  <c r="K28" i="33"/>
  <c r="K35" i="33"/>
  <c r="L28" i="33"/>
  <c r="L35" i="33"/>
  <c r="M28" i="33"/>
  <c r="M35" i="33"/>
  <c r="N28" i="33"/>
  <c r="N35" i="33"/>
  <c r="O35" i="33"/>
  <c r="P28" i="33"/>
  <c r="P35" i="33"/>
  <c r="Q28" i="33"/>
  <c r="Q35" i="33"/>
  <c r="R28" i="33"/>
  <c r="R35" i="33"/>
  <c r="S35" i="33"/>
  <c r="T35" i="33"/>
  <c r="U35" i="33"/>
  <c r="W28" i="33"/>
  <c r="W35" i="33"/>
  <c r="X28" i="33"/>
  <c r="X35" i="33"/>
  <c r="Y28" i="33"/>
  <c r="Y35" i="33"/>
  <c r="Z28" i="33"/>
  <c r="Z35" i="33"/>
  <c r="AA28" i="33"/>
  <c r="AA35" i="33"/>
  <c r="AB28" i="33"/>
  <c r="AB35" i="33"/>
  <c r="AC28" i="33"/>
  <c r="AC35" i="33"/>
  <c r="AD35" i="33"/>
  <c r="AE28" i="33"/>
  <c r="AE35" i="33"/>
  <c r="AF28" i="33"/>
  <c r="AF35" i="33"/>
  <c r="AG28" i="33"/>
  <c r="AG35" i="33"/>
  <c r="AH28" i="33"/>
  <c r="AH35" i="33"/>
  <c r="AI28" i="33"/>
  <c r="AI35" i="33"/>
  <c r="AJ28" i="33"/>
  <c r="AJ35" i="33"/>
  <c r="AK28" i="33"/>
  <c r="AK35" i="33"/>
  <c r="AL28" i="33"/>
  <c r="AL35" i="33"/>
  <c r="AM28" i="33"/>
  <c r="AM35" i="33"/>
  <c r="AN28" i="33"/>
  <c r="AN35" i="33"/>
  <c r="AO28" i="33"/>
  <c r="AO35" i="33"/>
  <c r="G29" i="33"/>
  <c r="G36" i="33"/>
  <c r="H29" i="33"/>
  <c r="H36" i="33"/>
  <c r="I36" i="33"/>
  <c r="J29" i="33"/>
  <c r="J36" i="33"/>
  <c r="K29" i="33"/>
  <c r="K36" i="33"/>
  <c r="L29" i="33"/>
  <c r="L36" i="33"/>
  <c r="M29" i="33"/>
  <c r="M36" i="33"/>
  <c r="N29" i="33"/>
  <c r="N36" i="33"/>
  <c r="O36" i="33"/>
  <c r="P29" i="33"/>
  <c r="P36" i="33"/>
  <c r="Q29" i="33"/>
  <c r="Q36" i="33"/>
  <c r="R29" i="33"/>
  <c r="R36" i="33"/>
  <c r="S36" i="33"/>
  <c r="T36" i="33"/>
  <c r="U36" i="33"/>
  <c r="W29" i="33"/>
  <c r="W36" i="33"/>
  <c r="X29" i="33"/>
  <c r="X36" i="33"/>
  <c r="Y29" i="33"/>
  <c r="Y36" i="33"/>
  <c r="Z29" i="33"/>
  <c r="Z36" i="33"/>
  <c r="AA29" i="33"/>
  <c r="AA36" i="33"/>
  <c r="AB29" i="33"/>
  <c r="AB36" i="33"/>
  <c r="AC29" i="33"/>
  <c r="AC36" i="33"/>
  <c r="AD36" i="33"/>
  <c r="AE29" i="33"/>
  <c r="AE36" i="33"/>
  <c r="AF29" i="33"/>
  <c r="AF36" i="33"/>
  <c r="AG29" i="33"/>
  <c r="AG36" i="33"/>
  <c r="AH29" i="33"/>
  <c r="AH36" i="33"/>
  <c r="AI29" i="33"/>
  <c r="AI36" i="33"/>
  <c r="AJ29" i="33"/>
  <c r="AJ36" i="33"/>
  <c r="AK29" i="33"/>
  <c r="AK36" i="33"/>
  <c r="AL29" i="33"/>
  <c r="AL36" i="33"/>
  <c r="AM29" i="33"/>
  <c r="AM36" i="33"/>
  <c r="AN29" i="33"/>
  <c r="AN36" i="33"/>
  <c r="AO29" i="33"/>
  <c r="AO36" i="33"/>
  <c r="G31" i="33"/>
  <c r="G37" i="33"/>
  <c r="H31" i="33"/>
  <c r="H37" i="33"/>
  <c r="I31" i="33"/>
  <c r="I37" i="33"/>
  <c r="J31" i="33"/>
  <c r="J37" i="33"/>
  <c r="K31" i="33"/>
  <c r="K37" i="33"/>
  <c r="L31" i="33"/>
  <c r="L37" i="33"/>
  <c r="M31" i="33"/>
  <c r="M37" i="33"/>
  <c r="N31" i="33"/>
  <c r="N37" i="33"/>
  <c r="O31" i="33"/>
  <c r="O37" i="33"/>
  <c r="P31" i="33"/>
  <c r="P37" i="33"/>
  <c r="Q31" i="33"/>
  <c r="Q37" i="33"/>
  <c r="R31" i="33"/>
  <c r="R37" i="33"/>
  <c r="S31" i="33"/>
  <c r="S37" i="33"/>
  <c r="T37" i="33"/>
  <c r="U37" i="33"/>
  <c r="W31" i="33"/>
  <c r="W37" i="33"/>
  <c r="X31" i="33"/>
  <c r="X37" i="33"/>
  <c r="Y31" i="33"/>
  <c r="Y37" i="33"/>
  <c r="Z31" i="33"/>
  <c r="Z37" i="33"/>
  <c r="AA31" i="33"/>
  <c r="AA37" i="33"/>
  <c r="AB31" i="33"/>
  <c r="AB37" i="33"/>
  <c r="AC31" i="33"/>
  <c r="AC37" i="33"/>
  <c r="AD31" i="33"/>
  <c r="AD37" i="33"/>
  <c r="AE37" i="33"/>
  <c r="AF37" i="33"/>
  <c r="AG37" i="33"/>
  <c r="AH37" i="33"/>
  <c r="AI37" i="33"/>
  <c r="AJ37" i="33"/>
  <c r="AK37" i="33"/>
  <c r="AL37" i="33"/>
  <c r="AM37" i="33"/>
  <c r="AN37" i="33"/>
  <c r="AO37" i="33"/>
  <c r="G38" i="33"/>
  <c r="H38" i="33"/>
  <c r="I38" i="33"/>
  <c r="J38" i="33"/>
  <c r="K38" i="33"/>
  <c r="L38" i="33"/>
  <c r="M38" i="33"/>
  <c r="N38" i="33"/>
  <c r="O38" i="33"/>
  <c r="P38" i="33"/>
  <c r="Q38" i="33"/>
  <c r="R38" i="33"/>
  <c r="S38" i="33"/>
  <c r="T38" i="33"/>
  <c r="U38" i="33"/>
  <c r="W38" i="33"/>
  <c r="X38" i="33"/>
  <c r="Y38" i="33"/>
  <c r="Z38" i="33"/>
  <c r="AA38" i="33"/>
  <c r="AB38" i="33"/>
  <c r="AC38" i="33"/>
  <c r="AD38" i="33"/>
  <c r="AE38" i="33"/>
  <c r="AF38" i="33"/>
  <c r="AG38" i="33"/>
  <c r="AH38" i="33"/>
  <c r="AI38" i="33"/>
  <c r="AJ38" i="33"/>
  <c r="AK38" i="33"/>
  <c r="AL38" i="33"/>
  <c r="AM38" i="33"/>
  <c r="AN38" i="33"/>
  <c r="AO38" i="33"/>
  <c r="AE43" i="33"/>
  <c r="AF43" i="33"/>
  <c r="AG43" i="33"/>
  <c r="AH43" i="33"/>
  <c r="AI43" i="33"/>
  <c r="AJ43" i="33"/>
  <c r="AK43" i="33"/>
  <c r="AL43" i="33"/>
  <c r="AM43" i="33"/>
  <c r="AN43" i="33"/>
  <c r="AO43" i="33"/>
  <c r="G44" i="33"/>
  <c r="H44" i="33"/>
  <c r="I44" i="33"/>
  <c r="K44" i="33"/>
  <c r="L44" i="33"/>
  <c r="N44" i="33"/>
  <c r="O44" i="33"/>
  <c r="P44" i="33"/>
  <c r="Q44" i="33"/>
  <c r="R44" i="33"/>
  <c r="S44" i="33"/>
  <c r="W44" i="33"/>
  <c r="X44" i="33"/>
  <c r="Y44" i="33"/>
  <c r="Z44" i="33"/>
  <c r="AA44" i="33"/>
  <c r="AB44" i="33"/>
  <c r="AC44" i="33"/>
  <c r="AD44" i="33"/>
  <c r="AE44" i="33"/>
  <c r="AF44" i="33"/>
  <c r="AG44" i="33"/>
  <c r="AH44" i="33"/>
  <c r="AI44" i="33"/>
  <c r="AJ44" i="33"/>
  <c r="AK44" i="33"/>
  <c r="AL44" i="33"/>
  <c r="AM44" i="33"/>
  <c r="AN44" i="33"/>
  <c r="AO44" i="33"/>
  <c r="G16" i="33"/>
  <c r="G23" i="33"/>
  <c r="H16" i="33"/>
  <c r="H23" i="33"/>
  <c r="I23" i="33"/>
  <c r="J16" i="33"/>
  <c r="J23" i="33"/>
  <c r="K16" i="33"/>
  <c r="K23" i="33"/>
  <c r="L16" i="33"/>
  <c r="L23" i="33"/>
  <c r="M16" i="33"/>
  <c r="M23" i="33"/>
  <c r="N16" i="33"/>
  <c r="N23" i="33"/>
  <c r="O16" i="33"/>
  <c r="O23" i="33"/>
  <c r="P16" i="33"/>
  <c r="P23" i="33"/>
  <c r="Q16" i="33"/>
  <c r="Q23" i="33"/>
  <c r="R16" i="33"/>
  <c r="R23" i="33"/>
  <c r="S23" i="33"/>
  <c r="T23" i="33"/>
  <c r="U23" i="33"/>
  <c r="W16" i="33"/>
  <c r="W23" i="33"/>
  <c r="X16" i="33"/>
  <c r="X23" i="33"/>
  <c r="Y16" i="33"/>
  <c r="Y23" i="33"/>
  <c r="Z16" i="33"/>
  <c r="Z23" i="33"/>
  <c r="AA16" i="33"/>
  <c r="AA23" i="33"/>
  <c r="AB16" i="33"/>
  <c r="AB23" i="33"/>
  <c r="AC16" i="33"/>
  <c r="AC23" i="33"/>
  <c r="AD23" i="33"/>
  <c r="AE16" i="33"/>
  <c r="AE23" i="33"/>
  <c r="AF16" i="33"/>
  <c r="AF23" i="33"/>
  <c r="AG16" i="33"/>
  <c r="AG23" i="33"/>
  <c r="AH16" i="33"/>
  <c r="AH23" i="33"/>
  <c r="AI16" i="33"/>
  <c r="AI23" i="33"/>
  <c r="AJ16" i="33"/>
  <c r="AJ23" i="33"/>
  <c r="AK16" i="33"/>
  <c r="AK23" i="33"/>
  <c r="AL16" i="33"/>
  <c r="AL23" i="33"/>
  <c r="AM16" i="33"/>
  <c r="AM23" i="33"/>
  <c r="AN16" i="33"/>
  <c r="AN23" i="33"/>
  <c r="AO16" i="33"/>
  <c r="AO23" i="33"/>
  <c r="G17" i="33"/>
  <c r="G24" i="33"/>
  <c r="H17" i="33"/>
  <c r="H24" i="33"/>
  <c r="I24" i="33"/>
  <c r="J17" i="33"/>
  <c r="J24" i="33"/>
  <c r="K17" i="33"/>
  <c r="K24" i="33"/>
  <c r="L17" i="33"/>
  <c r="L24" i="33"/>
  <c r="M17" i="33"/>
  <c r="M24" i="33"/>
  <c r="N17" i="33"/>
  <c r="N24" i="33"/>
  <c r="O17" i="33"/>
  <c r="O24" i="33"/>
  <c r="P17" i="33"/>
  <c r="P24" i="33"/>
  <c r="Q17" i="33"/>
  <c r="Q24" i="33"/>
  <c r="R17" i="33"/>
  <c r="R24" i="33"/>
  <c r="S17" i="33"/>
  <c r="S24" i="33"/>
  <c r="T24" i="33"/>
  <c r="U24" i="33"/>
  <c r="W17" i="33"/>
  <c r="W24" i="33"/>
  <c r="X17" i="33"/>
  <c r="X24" i="33"/>
  <c r="Y17" i="33"/>
  <c r="Y24" i="33"/>
  <c r="Z17" i="33"/>
  <c r="Z24" i="33"/>
  <c r="AA17" i="33"/>
  <c r="AA24" i="33"/>
  <c r="AB17" i="33"/>
  <c r="AB24" i="33"/>
  <c r="AC17" i="33"/>
  <c r="AC24" i="33"/>
  <c r="AD24" i="33"/>
  <c r="AE17" i="33"/>
  <c r="AE24" i="33"/>
  <c r="AF17" i="33"/>
  <c r="AF24" i="33"/>
  <c r="AG17" i="33"/>
  <c r="AG24" i="33"/>
  <c r="AH17" i="33"/>
  <c r="AH24" i="33"/>
  <c r="AI17" i="33"/>
  <c r="AI24" i="33"/>
  <c r="AJ17" i="33"/>
  <c r="AJ24" i="33"/>
  <c r="AK17" i="33"/>
  <c r="AK24" i="33"/>
  <c r="AL17" i="33"/>
  <c r="AL24" i="33"/>
  <c r="AM17" i="33"/>
  <c r="AM24" i="33"/>
  <c r="AN17" i="33"/>
  <c r="AN24" i="33"/>
  <c r="AO17" i="33"/>
  <c r="AO24" i="33"/>
  <c r="G19" i="33"/>
  <c r="G25" i="33"/>
  <c r="H19" i="33"/>
  <c r="H25" i="33"/>
  <c r="I19" i="33"/>
  <c r="I25" i="33"/>
  <c r="J19" i="33"/>
  <c r="J25" i="33"/>
  <c r="K19" i="33"/>
  <c r="K25" i="33"/>
  <c r="L19" i="33"/>
  <c r="L25" i="33"/>
  <c r="M19" i="33"/>
  <c r="M25" i="33"/>
  <c r="N19" i="33"/>
  <c r="N25" i="33"/>
  <c r="O19" i="33"/>
  <c r="O25" i="33"/>
  <c r="P19" i="33"/>
  <c r="P25" i="33"/>
  <c r="Q19" i="33"/>
  <c r="Q25" i="33"/>
  <c r="R19" i="33"/>
  <c r="R25" i="33"/>
  <c r="S19" i="33"/>
  <c r="S25" i="33"/>
  <c r="T25" i="33"/>
  <c r="U25" i="33"/>
  <c r="W19" i="33"/>
  <c r="W25" i="33"/>
  <c r="X19" i="33"/>
  <c r="X25" i="33"/>
  <c r="Y19" i="33"/>
  <c r="Y25" i="33"/>
  <c r="Z19" i="33"/>
  <c r="Z25" i="33"/>
  <c r="AA19" i="33"/>
  <c r="AA25" i="33"/>
  <c r="AB19" i="33"/>
  <c r="AB25" i="33"/>
  <c r="AC19" i="33"/>
  <c r="AC25" i="33"/>
  <c r="AD19" i="33"/>
  <c r="AD25" i="33"/>
  <c r="AE25" i="33"/>
  <c r="AF25" i="33"/>
  <c r="AG25" i="33"/>
  <c r="AH25" i="33"/>
  <c r="AI25" i="33"/>
  <c r="AJ25" i="33"/>
  <c r="AK25" i="33"/>
  <c r="AL25" i="33"/>
  <c r="AM25" i="33"/>
  <c r="AN25" i="33"/>
  <c r="AO25" i="33"/>
  <c r="G26" i="33"/>
  <c r="H26" i="33"/>
  <c r="I26" i="33"/>
  <c r="J26" i="33"/>
  <c r="K26" i="33"/>
  <c r="L26" i="33"/>
  <c r="M26" i="33"/>
  <c r="N26" i="33"/>
  <c r="O26" i="33"/>
  <c r="P26" i="33"/>
  <c r="Q26" i="33"/>
  <c r="R26" i="33"/>
  <c r="S26" i="33"/>
  <c r="T26" i="33"/>
  <c r="U26" i="33"/>
  <c r="W26" i="33"/>
  <c r="X26" i="33"/>
  <c r="Y26" i="33"/>
  <c r="Z26" i="33"/>
  <c r="AA26" i="33"/>
  <c r="AB26" i="33"/>
  <c r="AC26" i="33"/>
  <c r="AD26" i="33"/>
  <c r="AE26" i="33"/>
  <c r="AF26" i="33"/>
  <c r="AG26" i="33"/>
  <c r="AH26" i="33"/>
  <c r="AI26" i="33"/>
  <c r="AJ26" i="33"/>
  <c r="AK26" i="33"/>
  <c r="AL26" i="33"/>
  <c r="AM26" i="33"/>
  <c r="AN26" i="33"/>
  <c r="AO26" i="33"/>
  <c r="AE31" i="33"/>
  <c r="AF31" i="33"/>
  <c r="AG31" i="33"/>
  <c r="AH31" i="33"/>
  <c r="AI31" i="33"/>
  <c r="AJ31" i="33"/>
  <c r="AK31" i="33"/>
  <c r="AL31" i="33"/>
  <c r="AM31" i="33"/>
  <c r="AN31" i="33"/>
  <c r="AO31" i="33"/>
  <c r="G32" i="33"/>
  <c r="H32" i="33"/>
  <c r="I32" i="33"/>
  <c r="J32" i="33"/>
  <c r="K32" i="33"/>
  <c r="L32" i="33"/>
  <c r="M32" i="33"/>
  <c r="N32" i="33"/>
  <c r="O32" i="33"/>
  <c r="P32" i="33"/>
  <c r="Q32" i="33"/>
  <c r="R32" i="33"/>
  <c r="S32" i="33"/>
  <c r="W32" i="33"/>
  <c r="X32" i="33"/>
  <c r="Y32" i="33"/>
  <c r="Z32" i="33"/>
  <c r="AA32" i="33"/>
  <c r="AB32" i="33"/>
  <c r="AC32" i="33"/>
  <c r="AD32" i="33"/>
  <c r="AE32" i="33"/>
  <c r="AF32" i="33"/>
  <c r="AG32" i="33"/>
  <c r="AH32" i="33"/>
  <c r="AI32" i="33"/>
  <c r="AJ32" i="33"/>
  <c r="AK32" i="33"/>
  <c r="AL32" i="33"/>
  <c r="AM32" i="33"/>
  <c r="AN32" i="33"/>
  <c r="AO32" i="33"/>
  <c r="G4" i="33"/>
  <c r="G11" i="33"/>
  <c r="H4" i="33"/>
  <c r="H11" i="33"/>
  <c r="I11" i="33"/>
  <c r="J4" i="33"/>
  <c r="J11" i="33"/>
  <c r="K4" i="33"/>
  <c r="K11" i="33"/>
  <c r="L4" i="33"/>
  <c r="L11" i="33"/>
  <c r="M4" i="33"/>
  <c r="M11" i="33"/>
  <c r="N4" i="33"/>
  <c r="N11" i="33"/>
  <c r="O11" i="33"/>
  <c r="P4" i="33"/>
  <c r="P11" i="33"/>
  <c r="Q4" i="33"/>
  <c r="Q11" i="33"/>
  <c r="R4" i="33"/>
  <c r="R11" i="33"/>
  <c r="S11" i="33"/>
  <c r="T11" i="33"/>
  <c r="U11" i="33"/>
  <c r="W4" i="33"/>
  <c r="W11" i="33"/>
  <c r="X4" i="33"/>
  <c r="X11" i="33"/>
  <c r="Y4" i="33"/>
  <c r="Y11" i="33"/>
  <c r="Z4" i="33"/>
  <c r="Z11" i="33"/>
  <c r="AA4" i="33"/>
  <c r="AA11" i="33"/>
  <c r="AB4" i="33"/>
  <c r="AB11" i="33"/>
  <c r="AC4" i="33"/>
  <c r="AC11" i="33"/>
  <c r="AD11" i="33"/>
  <c r="AE4" i="33"/>
  <c r="AE11" i="33"/>
  <c r="AF4" i="33"/>
  <c r="AF11" i="33"/>
  <c r="AG4" i="33"/>
  <c r="AG11" i="33"/>
  <c r="AH4" i="33"/>
  <c r="AH11" i="33"/>
  <c r="AI4" i="33"/>
  <c r="AI11" i="33"/>
  <c r="AJ4" i="33"/>
  <c r="AJ11" i="33"/>
  <c r="AK4" i="33"/>
  <c r="AK11" i="33"/>
  <c r="AL4" i="33"/>
  <c r="AL11" i="33"/>
  <c r="AM4" i="33"/>
  <c r="AM11" i="33"/>
  <c r="AN4" i="33"/>
  <c r="AN11" i="33"/>
  <c r="AO4" i="33"/>
  <c r="AO11" i="33"/>
  <c r="G5" i="33"/>
  <c r="G12" i="33"/>
  <c r="H5" i="33"/>
  <c r="H12" i="33"/>
  <c r="I5" i="33"/>
  <c r="I12" i="33"/>
  <c r="J5" i="33"/>
  <c r="J12" i="33"/>
  <c r="K5" i="33"/>
  <c r="K12" i="33"/>
  <c r="L5" i="33"/>
  <c r="L12" i="33"/>
  <c r="M5" i="33"/>
  <c r="M12" i="33"/>
  <c r="N5" i="33"/>
  <c r="N12" i="33"/>
  <c r="O5" i="33"/>
  <c r="O12" i="33"/>
  <c r="P5" i="33"/>
  <c r="P12" i="33"/>
  <c r="Q5" i="33"/>
  <c r="Q12" i="33"/>
  <c r="R5" i="33"/>
  <c r="R12" i="33"/>
  <c r="S12" i="33"/>
  <c r="T12" i="33"/>
  <c r="U12" i="33"/>
  <c r="W5" i="33"/>
  <c r="W12" i="33"/>
  <c r="X5" i="33"/>
  <c r="X12" i="33"/>
  <c r="Y5" i="33"/>
  <c r="Y12" i="33"/>
  <c r="Z5" i="33"/>
  <c r="Z12" i="33"/>
  <c r="AA5" i="33"/>
  <c r="AA12" i="33"/>
  <c r="AB5" i="33"/>
  <c r="AB12" i="33"/>
  <c r="AC5" i="33"/>
  <c r="AC12" i="33"/>
  <c r="AD12" i="33"/>
  <c r="AE5" i="33"/>
  <c r="AE12" i="33"/>
  <c r="AF5" i="33"/>
  <c r="AF12" i="33"/>
  <c r="AG5" i="33"/>
  <c r="AG12" i="33"/>
  <c r="AH5" i="33"/>
  <c r="AH12" i="33"/>
  <c r="AI5" i="33"/>
  <c r="AI12" i="33"/>
  <c r="AJ5" i="33"/>
  <c r="AJ12" i="33"/>
  <c r="AK5" i="33"/>
  <c r="AK12" i="33"/>
  <c r="AL5" i="33"/>
  <c r="AL12" i="33"/>
  <c r="AM5" i="33"/>
  <c r="AM12" i="33"/>
  <c r="AN5" i="33"/>
  <c r="AN12" i="33"/>
  <c r="AO5" i="33"/>
  <c r="AO12" i="33"/>
  <c r="G7" i="33"/>
  <c r="G13" i="33"/>
  <c r="H7" i="33"/>
  <c r="H13" i="33"/>
  <c r="I7" i="33"/>
  <c r="I13" i="33"/>
  <c r="J13" i="33"/>
  <c r="K7" i="33"/>
  <c r="K13" i="33"/>
  <c r="L7" i="33"/>
  <c r="L13" i="33"/>
  <c r="M13" i="33"/>
  <c r="N7" i="33"/>
  <c r="N13" i="33"/>
  <c r="O7" i="33"/>
  <c r="O13" i="33"/>
  <c r="P7" i="33"/>
  <c r="P13" i="33"/>
  <c r="Q7" i="33"/>
  <c r="Q13" i="33"/>
  <c r="R7" i="33"/>
  <c r="R13" i="33"/>
  <c r="S13" i="33"/>
  <c r="T13" i="33"/>
  <c r="U13" i="33"/>
  <c r="W7" i="33"/>
  <c r="W13" i="33"/>
  <c r="X7" i="33"/>
  <c r="X13" i="33"/>
  <c r="Y7" i="33"/>
  <c r="Y13" i="33"/>
  <c r="Z7" i="33"/>
  <c r="Z13" i="33"/>
  <c r="AA7" i="33"/>
  <c r="AA13" i="33"/>
  <c r="AB7" i="33"/>
  <c r="AB13" i="33"/>
  <c r="AC7" i="33"/>
  <c r="AC13" i="33"/>
  <c r="AD7" i="33"/>
  <c r="AD13" i="33"/>
  <c r="AE13" i="33"/>
  <c r="AF13" i="33"/>
  <c r="AG13" i="33"/>
  <c r="AH13" i="33"/>
  <c r="AI13" i="33"/>
  <c r="AJ13" i="33"/>
  <c r="AK13" i="33"/>
  <c r="AL13" i="33"/>
  <c r="AM13" i="33"/>
  <c r="AN13" i="33"/>
  <c r="AO13" i="33"/>
  <c r="G14" i="33"/>
  <c r="H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W14" i="33"/>
  <c r="X14" i="33"/>
  <c r="Y14" i="33"/>
  <c r="Z14" i="33"/>
  <c r="AA14" i="33"/>
  <c r="AB14" i="33"/>
  <c r="AC14" i="33"/>
  <c r="AD14" i="33"/>
  <c r="AE14" i="33"/>
  <c r="AF14" i="33"/>
  <c r="AG14" i="33"/>
  <c r="AH14" i="33"/>
  <c r="AI14" i="33"/>
  <c r="AJ14" i="33"/>
  <c r="AK14" i="33"/>
  <c r="AL14" i="33"/>
  <c r="AM14" i="33"/>
  <c r="AN14" i="33"/>
  <c r="AO14" i="33"/>
  <c r="AE19" i="33"/>
  <c r="AF19" i="33"/>
  <c r="AG19" i="33"/>
  <c r="AH19" i="33"/>
  <c r="AI19" i="33"/>
  <c r="AJ19" i="33"/>
  <c r="AK19" i="33"/>
  <c r="AL19" i="33"/>
  <c r="AM19" i="33"/>
  <c r="AN19" i="33"/>
  <c r="AO19" i="33"/>
  <c r="G20" i="33"/>
  <c r="H20" i="33"/>
  <c r="I20" i="33"/>
  <c r="J20" i="33"/>
  <c r="K20" i="33"/>
  <c r="L20" i="33"/>
  <c r="M20" i="33"/>
  <c r="N20" i="33"/>
  <c r="O20" i="33"/>
  <c r="P20" i="33"/>
  <c r="Q20" i="33"/>
  <c r="R20" i="33"/>
  <c r="S20" i="33"/>
  <c r="W20" i="33"/>
  <c r="X20" i="33"/>
  <c r="Y20" i="33"/>
  <c r="Z20" i="33"/>
  <c r="AA20" i="33"/>
  <c r="AB20" i="33"/>
  <c r="AC20" i="33"/>
  <c r="AD20" i="33"/>
  <c r="AE20" i="33"/>
  <c r="AF20" i="33"/>
  <c r="AG20" i="33"/>
  <c r="AH20" i="33"/>
  <c r="AI20" i="33"/>
  <c r="AJ20" i="33"/>
  <c r="AK20" i="33"/>
  <c r="AL20" i="33"/>
  <c r="AM20" i="33"/>
  <c r="AN20" i="33"/>
  <c r="AO20" i="33"/>
  <c r="D1" i="33"/>
  <c r="E1" i="33"/>
  <c r="F1" i="33"/>
  <c r="G1" i="33"/>
  <c r="H1" i="33"/>
  <c r="I1" i="33"/>
  <c r="J1" i="33"/>
  <c r="K1" i="33"/>
  <c r="L1" i="33"/>
  <c r="M1" i="33"/>
  <c r="N1" i="33"/>
  <c r="O1" i="33"/>
  <c r="P1" i="33"/>
  <c r="Q1" i="33"/>
  <c r="R1" i="33"/>
  <c r="S1" i="33"/>
  <c r="T1" i="33"/>
  <c r="U1" i="33"/>
  <c r="W1" i="33"/>
  <c r="X1" i="33"/>
  <c r="Y1" i="33"/>
  <c r="Z1" i="33"/>
  <c r="AA1" i="33"/>
  <c r="AB1" i="33"/>
  <c r="AC1" i="33"/>
  <c r="AD1" i="33"/>
  <c r="AE1" i="33"/>
  <c r="AF1" i="33"/>
  <c r="AG1" i="33"/>
  <c r="AH1" i="33"/>
  <c r="AI1" i="33"/>
  <c r="AJ1" i="33"/>
  <c r="AK1" i="33"/>
  <c r="AL1" i="33"/>
  <c r="AM1" i="33"/>
  <c r="AN1" i="33"/>
  <c r="AO1" i="33"/>
  <c r="G2" i="33"/>
  <c r="H2" i="33"/>
  <c r="I2" i="33"/>
  <c r="J2" i="33"/>
  <c r="K2" i="33"/>
  <c r="L2" i="33"/>
  <c r="M2" i="33"/>
  <c r="N2" i="33"/>
  <c r="O2" i="33"/>
  <c r="P2" i="33"/>
  <c r="Q2" i="33"/>
  <c r="R2" i="33"/>
  <c r="S2" i="33"/>
  <c r="T2" i="33"/>
  <c r="U2" i="33"/>
  <c r="W2" i="33"/>
  <c r="X2" i="33"/>
  <c r="Y2" i="33"/>
  <c r="Z2" i="33"/>
  <c r="AA2" i="33"/>
  <c r="AB2" i="33"/>
  <c r="AC2" i="33"/>
  <c r="AD2" i="33"/>
  <c r="AE2" i="33"/>
  <c r="AF2" i="33"/>
  <c r="AG2" i="33"/>
  <c r="AH2" i="33"/>
  <c r="AI2" i="33"/>
  <c r="AJ2" i="33"/>
  <c r="AK2" i="33"/>
  <c r="AL2" i="33"/>
  <c r="AM2" i="33"/>
  <c r="AN2" i="33"/>
  <c r="AO2" i="33"/>
  <c r="AE7" i="33"/>
  <c r="AF7" i="33"/>
  <c r="AG7" i="33"/>
  <c r="AH7" i="33"/>
  <c r="AI7" i="33"/>
  <c r="AJ7" i="33"/>
  <c r="AK7" i="33"/>
  <c r="AL7" i="33"/>
  <c r="AM7" i="33"/>
  <c r="AN7" i="33"/>
  <c r="AO7" i="33"/>
  <c r="G8" i="33"/>
  <c r="H8" i="33"/>
  <c r="I8" i="33"/>
  <c r="K8" i="33"/>
  <c r="L8" i="33"/>
  <c r="N8" i="33"/>
  <c r="O8" i="33"/>
  <c r="P8" i="33"/>
  <c r="Q8" i="33"/>
  <c r="R8" i="33"/>
  <c r="W8" i="33"/>
  <c r="X8" i="33"/>
  <c r="Y8" i="33"/>
  <c r="Z8" i="33"/>
  <c r="AA8" i="33"/>
  <c r="AB8" i="33"/>
  <c r="AC8" i="33"/>
  <c r="AD8" i="33"/>
  <c r="AE8" i="33"/>
  <c r="AF8" i="33"/>
  <c r="AG8" i="33"/>
  <c r="AH8" i="33"/>
  <c r="AI8" i="33"/>
  <c r="AJ8" i="33"/>
  <c r="AK8" i="33"/>
  <c r="AL8" i="33"/>
  <c r="AM8" i="33"/>
  <c r="AN8" i="33"/>
  <c r="AO8" i="33"/>
  <c r="D79" i="33"/>
  <c r="E79" i="33"/>
  <c r="F79" i="33"/>
  <c r="D80" i="33"/>
  <c r="E80" i="33"/>
  <c r="F80" i="33"/>
  <c r="D76" i="33"/>
  <c r="D83" i="33"/>
  <c r="E76" i="33"/>
  <c r="E83" i="33"/>
  <c r="F76" i="33"/>
  <c r="F83" i="33"/>
  <c r="D77" i="33"/>
  <c r="D84" i="33"/>
  <c r="E77" i="33"/>
  <c r="E84" i="33"/>
  <c r="F84" i="33"/>
  <c r="D85" i="33"/>
  <c r="E85" i="33"/>
  <c r="F85" i="33"/>
  <c r="D86" i="33"/>
  <c r="E86" i="33"/>
  <c r="F86" i="33"/>
  <c r="D88" i="33"/>
  <c r="E88" i="33"/>
  <c r="F88" i="33"/>
  <c r="D89" i="33"/>
  <c r="E89" i="33"/>
  <c r="F89" i="33"/>
  <c r="D91" i="33"/>
  <c r="E91" i="33"/>
  <c r="F91" i="33"/>
  <c r="D92" i="33"/>
  <c r="E92" i="33"/>
  <c r="F92" i="33"/>
  <c r="D95" i="33"/>
  <c r="E95" i="33"/>
  <c r="F95" i="33"/>
  <c r="D96" i="33"/>
  <c r="E96" i="33"/>
  <c r="F96" i="33"/>
  <c r="D97" i="33"/>
  <c r="E97" i="33"/>
  <c r="F97" i="33"/>
  <c r="D98" i="33"/>
  <c r="E98" i="33"/>
  <c r="F98" i="33"/>
  <c r="D100" i="33"/>
  <c r="E100" i="33"/>
  <c r="D101" i="33"/>
  <c r="E101" i="33"/>
  <c r="D103" i="33"/>
  <c r="E103" i="33"/>
  <c r="F103" i="33"/>
  <c r="D104" i="33"/>
  <c r="E104" i="33"/>
  <c r="F104" i="33"/>
  <c r="D107" i="33"/>
  <c r="E107" i="33"/>
  <c r="F107" i="33"/>
  <c r="D108" i="33"/>
  <c r="E108" i="33"/>
  <c r="F108" i="33"/>
  <c r="D109" i="33"/>
  <c r="E109" i="33"/>
  <c r="F109" i="33"/>
  <c r="D110" i="33"/>
  <c r="E110" i="33"/>
  <c r="F110" i="33"/>
  <c r="D112" i="33"/>
  <c r="E112" i="33"/>
  <c r="D113" i="33"/>
  <c r="E113" i="33"/>
  <c r="F113" i="33"/>
  <c r="D115" i="33"/>
  <c r="E115" i="33"/>
  <c r="F115" i="33"/>
  <c r="D116" i="33"/>
  <c r="E116" i="33"/>
  <c r="F116" i="33"/>
  <c r="D119" i="33"/>
  <c r="E119" i="33"/>
  <c r="F119" i="33"/>
  <c r="D120" i="33"/>
  <c r="E120" i="33"/>
  <c r="F120" i="33"/>
  <c r="D121" i="33"/>
  <c r="E121" i="33"/>
  <c r="F121" i="33"/>
  <c r="D122" i="33"/>
  <c r="E122" i="33"/>
  <c r="F122" i="33"/>
  <c r="D124" i="33"/>
  <c r="E124" i="33"/>
  <c r="D125" i="33"/>
  <c r="E125" i="33"/>
  <c r="F125" i="33"/>
  <c r="D127" i="33"/>
  <c r="E127" i="33"/>
  <c r="F127" i="33"/>
  <c r="D128" i="33"/>
  <c r="E128" i="33"/>
  <c r="F128" i="33"/>
  <c r="D131" i="33"/>
  <c r="E131" i="33"/>
  <c r="F131" i="33"/>
  <c r="D132" i="33"/>
  <c r="E132" i="33"/>
  <c r="F132" i="33"/>
  <c r="D133" i="33"/>
  <c r="E133" i="33"/>
  <c r="F133" i="33"/>
  <c r="D134" i="33"/>
  <c r="E134" i="33"/>
  <c r="F134" i="33"/>
  <c r="D136" i="33"/>
  <c r="E136" i="33"/>
  <c r="D137" i="33"/>
  <c r="E137" i="33"/>
  <c r="F137" i="33"/>
  <c r="D139" i="33"/>
  <c r="E139" i="33"/>
  <c r="F139" i="33"/>
  <c r="D140" i="33"/>
  <c r="E140" i="33"/>
  <c r="F140" i="33"/>
  <c r="D143" i="33"/>
  <c r="E143" i="33"/>
  <c r="F143" i="33"/>
  <c r="D144" i="33"/>
  <c r="E144" i="33"/>
  <c r="F144" i="33"/>
  <c r="D145" i="33"/>
  <c r="E145" i="33"/>
  <c r="F145" i="33"/>
  <c r="D146" i="33"/>
  <c r="E146" i="33"/>
  <c r="F146" i="33"/>
  <c r="D148" i="33"/>
  <c r="E148" i="33"/>
  <c r="D149" i="33"/>
  <c r="E149" i="33"/>
  <c r="F149" i="33"/>
  <c r="D151" i="33"/>
  <c r="E151" i="33"/>
  <c r="F151" i="33"/>
  <c r="D152" i="33"/>
  <c r="E152" i="33"/>
  <c r="F152" i="33"/>
  <c r="D155" i="33"/>
  <c r="E155" i="33"/>
  <c r="F155" i="33"/>
  <c r="D156" i="33"/>
  <c r="E156" i="33"/>
  <c r="F156" i="33"/>
  <c r="D157" i="33"/>
  <c r="E157" i="33"/>
  <c r="F157" i="33"/>
  <c r="D158" i="33"/>
  <c r="E158" i="33"/>
  <c r="F158" i="33"/>
  <c r="D160" i="33"/>
  <c r="E160" i="33"/>
  <c r="D161" i="33"/>
  <c r="E161" i="33"/>
  <c r="F161" i="33"/>
  <c r="D163" i="33"/>
  <c r="E163" i="33"/>
  <c r="F163" i="33"/>
  <c r="D164" i="33"/>
  <c r="E164" i="33"/>
  <c r="F164" i="33"/>
  <c r="D167" i="33"/>
  <c r="E167" i="33"/>
  <c r="F167" i="33"/>
  <c r="D168" i="33"/>
  <c r="E168" i="33"/>
  <c r="F168" i="33"/>
  <c r="D169" i="33"/>
  <c r="E169" i="33"/>
  <c r="F169" i="33"/>
  <c r="D170" i="33"/>
  <c r="E170" i="33"/>
  <c r="F170" i="33"/>
  <c r="D172" i="33"/>
  <c r="E172" i="33"/>
  <c r="D173" i="33"/>
  <c r="E173" i="33"/>
  <c r="F173" i="33"/>
  <c r="D175" i="33"/>
  <c r="E175" i="33"/>
  <c r="F175" i="33"/>
  <c r="D176" i="33"/>
  <c r="E176" i="33"/>
  <c r="F176" i="33"/>
  <c r="D179" i="33"/>
  <c r="E179" i="33"/>
  <c r="F179" i="33"/>
  <c r="D180" i="33"/>
  <c r="E180" i="33"/>
  <c r="F180" i="33"/>
  <c r="D181" i="33"/>
  <c r="E181" i="33"/>
  <c r="F181" i="33"/>
  <c r="D182" i="33"/>
  <c r="E182" i="33"/>
  <c r="F182" i="33"/>
  <c r="D184" i="33"/>
  <c r="E184" i="33"/>
  <c r="D185" i="33"/>
  <c r="E185" i="33"/>
  <c r="F185" i="33"/>
  <c r="D187" i="33"/>
  <c r="E187" i="33"/>
  <c r="F187" i="33"/>
  <c r="D188" i="33"/>
  <c r="E188" i="33"/>
  <c r="F188" i="33"/>
  <c r="D191" i="33"/>
  <c r="E191" i="33"/>
  <c r="F191" i="33"/>
  <c r="D192" i="33"/>
  <c r="E192" i="33"/>
  <c r="F192" i="33"/>
  <c r="D193" i="33"/>
  <c r="E193" i="33"/>
  <c r="F193" i="33"/>
  <c r="D194" i="33"/>
  <c r="E194" i="33"/>
  <c r="F194" i="33"/>
  <c r="D196" i="33"/>
  <c r="E196" i="33"/>
  <c r="D197" i="33"/>
  <c r="E197" i="33"/>
  <c r="F197" i="33"/>
  <c r="D199" i="33"/>
  <c r="E199" i="33"/>
  <c r="F199" i="33"/>
  <c r="D200" i="33"/>
  <c r="E200" i="33"/>
  <c r="F200" i="33"/>
  <c r="D203" i="33"/>
  <c r="E203" i="33"/>
  <c r="F203" i="33"/>
  <c r="D204" i="33"/>
  <c r="E204" i="33"/>
  <c r="F204" i="33"/>
  <c r="D205" i="33"/>
  <c r="E205" i="33"/>
  <c r="F205" i="33"/>
  <c r="D206" i="33"/>
  <c r="E206" i="33"/>
  <c r="F206" i="33"/>
  <c r="D208" i="33"/>
  <c r="E208" i="33"/>
  <c r="D209" i="33"/>
  <c r="E209" i="33"/>
  <c r="D211" i="33"/>
  <c r="E211" i="33"/>
  <c r="D212" i="33"/>
  <c r="E212" i="33"/>
  <c r="D215" i="33"/>
  <c r="E215" i="33"/>
  <c r="F215" i="33"/>
  <c r="D216" i="33"/>
  <c r="E216" i="33"/>
  <c r="F216" i="33"/>
  <c r="D217" i="33"/>
  <c r="E217" i="33"/>
  <c r="F217" i="33"/>
  <c r="D218" i="33"/>
  <c r="E218" i="33"/>
  <c r="F218" i="33"/>
  <c r="D220" i="33"/>
  <c r="E220" i="33"/>
  <c r="D221" i="33"/>
  <c r="E221" i="33"/>
  <c r="F221" i="33"/>
  <c r="D223" i="33"/>
  <c r="E223" i="33"/>
  <c r="F223" i="33"/>
  <c r="D224" i="33"/>
  <c r="E224" i="33"/>
  <c r="F224" i="33"/>
  <c r="D227" i="33"/>
  <c r="E227" i="33"/>
  <c r="F227" i="33"/>
  <c r="D228" i="33"/>
  <c r="E228" i="33"/>
  <c r="F228" i="33"/>
  <c r="D229" i="33"/>
  <c r="E229" i="33"/>
  <c r="F229" i="33"/>
  <c r="D230" i="33"/>
  <c r="E230" i="33"/>
  <c r="F230" i="33"/>
  <c r="D232" i="33"/>
  <c r="E232" i="33"/>
  <c r="D233" i="33"/>
  <c r="E233" i="33"/>
  <c r="D235" i="33"/>
  <c r="E235" i="33"/>
  <c r="F235" i="33"/>
  <c r="D236" i="33"/>
  <c r="E236" i="33"/>
  <c r="F236" i="33"/>
  <c r="D239" i="33"/>
  <c r="E239" i="33"/>
  <c r="F239" i="33"/>
  <c r="D240" i="33"/>
  <c r="E240" i="33"/>
  <c r="F240" i="33"/>
  <c r="D241" i="33"/>
  <c r="E241" i="33"/>
  <c r="F241" i="33"/>
  <c r="D242" i="33"/>
  <c r="E242" i="33"/>
  <c r="F242" i="33"/>
  <c r="D244" i="33"/>
  <c r="E244" i="33"/>
  <c r="D245" i="33"/>
  <c r="E245" i="33"/>
  <c r="F245" i="33"/>
  <c r="D247" i="33"/>
  <c r="E247" i="33"/>
  <c r="F247" i="33"/>
  <c r="D248" i="33"/>
  <c r="E248" i="33"/>
  <c r="F248" i="33"/>
  <c r="D251" i="33"/>
  <c r="E251" i="33"/>
  <c r="F251" i="33"/>
  <c r="D252" i="33"/>
  <c r="E252" i="33"/>
  <c r="F252" i="33"/>
  <c r="D253" i="33"/>
  <c r="E253" i="33"/>
  <c r="F253" i="33"/>
  <c r="D254" i="33"/>
  <c r="E254" i="33"/>
  <c r="F254" i="33"/>
  <c r="D256" i="33"/>
  <c r="E256" i="33"/>
  <c r="D257" i="33"/>
  <c r="E257" i="33"/>
  <c r="F257" i="33"/>
  <c r="D259" i="33"/>
  <c r="E259" i="33"/>
  <c r="F259" i="33"/>
  <c r="D260" i="33"/>
  <c r="E260" i="33"/>
  <c r="F260" i="33"/>
  <c r="D263" i="33"/>
  <c r="E263" i="33"/>
  <c r="F263" i="33"/>
  <c r="D264" i="33"/>
  <c r="E264" i="33"/>
  <c r="F264" i="33"/>
  <c r="D265" i="33"/>
  <c r="E265" i="33"/>
  <c r="F265" i="33"/>
  <c r="D266" i="33"/>
  <c r="E266" i="33"/>
  <c r="F266" i="33"/>
  <c r="D268" i="33"/>
  <c r="E268" i="33"/>
  <c r="D269" i="33"/>
  <c r="E269" i="33"/>
  <c r="F269" i="33"/>
  <c r="D271" i="33"/>
  <c r="E271" i="33"/>
  <c r="F271" i="33"/>
  <c r="D272" i="33"/>
  <c r="E272" i="33"/>
  <c r="F272" i="33"/>
  <c r="D275" i="33"/>
  <c r="E275" i="33"/>
  <c r="F275" i="33"/>
  <c r="D276" i="33"/>
  <c r="E276" i="33"/>
  <c r="F276" i="33"/>
  <c r="D277" i="33"/>
  <c r="E277" i="33"/>
  <c r="F277" i="33"/>
  <c r="D278" i="33"/>
  <c r="E278" i="33"/>
  <c r="F278" i="33"/>
  <c r="D280" i="33"/>
  <c r="E280" i="33"/>
  <c r="D281" i="33"/>
  <c r="E281" i="33"/>
  <c r="D283" i="33"/>
  <c r="E283" i="33"/>
  <c r="D284" i="33"/>
  <c r="E284" i="33"/>
  <c r="D287" i="33"/>
  <c r="E287" i="33"/>
  <c r="F287" i="33"/>
  <c r="D288" i="33"/>
  <c r="E288" i="33"/>
  <c r="F288" i="33"/>
  <c r="D289" i="33"/>
  <c r="E289" i="33"/>
  <c r="F289" i="33"/>
  <c r="D290" i="33"/>
  <c r="E290" i="33"/>
  <c r="F290" i="33"/>
  <c r="D292" i="33"/>
  <c r="E292" i="33"/>
  <c r="D293" i="33"/>
  <c r="E293" i="33"/>
  <c r="D295" i="33"/>
  <c r="E295" i="33"/>
  <c r="F295" i="33"/>
  <c r="D296" i="33"/>
  <c r="E296" i="33"/>
  <c r="F296" i="33"/>
  <c r="D299" i="33"/>
  <c r="E299" i="33"/>
  <c r="F299" i="33"/>
  <c r="D300" i="33"/>
  <c r="E300" i="33"/>
  <c r="F300" i="33"/>
  <c r="D301" i="33"/>
  <c r="E301" i="33"/>
  <c r="F301" i="33"/>
  <c r="D302" i="33"/>
  <c r="E302" i="33"/>
  <c r="F302" i="33"/>
  <c r="D304" i="33"/>
  <c r="E304" i="33"/>
  <c r="D305" i="33"/>
  <c r="E305" i="33"/>
  <c r="F305" i="33"/>
  <c r="D307" i="33"/>
  <c r="E307" i="33"/>
  <c r="F307" i="33"/>
  <c r="D308" i="33"/>
  <c r="E308" i="33"/>
  <c r="F308" i="33"/>
  <c r="D311" i="33"/>
  <c r="E311" i="33"/>
  <c r="F311" i="33"/>
  <c r="D312" i="33"/>
  <c r="E312" i="33"/>
  <c r="F312" i="33"/>
  <c r="D313" i="33"/>
  <c r="E313" i="33"/>
  <c r="F313" i="33"/>
  <c r="D314" i="33"/>
  <c r="E314" i="33"/>
  <c r="F314" i="33"/>
  <c r="D316" i="33"/>
  <c r="E316" i="33"/>
  <c r="D317" i="33"/>
  <c r="E317" i="33"/>
  <c r="D319" i="33"/>
  <c r="E319" i="33"/>
  <c r="F319" i="33"/>
  <c r="D320" i="33"/>
  <c r="E320" i="33"/>
  <c r="F320" i="33"/>
  <c r="D323" i="33"/>
  <c r="E323" i="33"/>
  <c r="F323" i="33"/>
  <c r="D324" i="33"/>
  <c r="E324" i="33"/>
  <c r="F324" i="33"/>
  <c r="D325" i="33"/>
  <c r="E325" i="33"/>
  <c r="F325" i="33"/>
  <c r="D326" i="33"/>
  <c r="E326" i="33"/>
  <c r="F326" i="33"/>
  <c r="D328" i="33"/>
  <c r="E328" i="33"/>
  <c r="D329" i="33"/>
  <c r="E329" i="33"/>
  <c r="D331" i="33"/>
  <c r="E331" i="33"/>
  <c r="F331" i="33"/>
  <c r="D332" i="33"/>
  <c r="E332" i="33"/>
  <c r="F332" i="33"/>
  <c r="D335" i="33"/>
  <c r="E335" i="33"/>
  <c r="F335" i="33"/>
  <c r="D336" i="33"/>
  <c r="E336" i="33"/>
  <c r="F336" i="33"/>
  <c r="D337" i="33"/>
  <c r="E337" i="33"/>
  <c r="F337" i="33"/>
  <c r="D338" i="33"/>
  <c r="E338" i="33"/>
  <c r="F338" i="33"/>
  <c r="D340" i="33"/>
  <c r="E340" i="33"/>
  <c r="D341" i="33"/>
  <c r="E341" i="33"/>
  <c r="D343" i="33"/>
  <c r="E343" i="33"/>
  <c r="F343" i="33"/>
  <c r="D344" i="33"/>
  <c r="E344" i="33"/>
  <c r="F344" i="33"/>
  <c r="D347" i="33"/>
  <c r="E347" i="33"/>
  <c r="F347" i="33"/>
  <c r="D348" i="33"/>
  <c r="E348" i="33"/>
  <c r="F348" i="33"/>
  <c r="D349" i="33"/>
  <c r="E349" i="33"/>
  <c r="F349" i="33"/>
  <c r="D350" i="33"/>
  <c r="E350" i="33"/>
  <c r="F350" i="33"/>
  <c r="D352" i="33"/>
  <c r="E352" i="33"/>
  <c r="D353" i="33"/>
  <c r="E353" i="33"/>
  <c r="D355" i="33"/>
  <c r="E355" i="33"/>
  <c r="F355" i="33"/>
  <c r="D356" i="33"/>
  <c r="E356" i="33"/>
  <c r="F356" i="33"/>
  <c r="D359" i="33"/>
  <c r="E359" i="33"/>
  <c r="F359" i="33"/>
  <c r="D360" i="33"/>
  <c r="E360" i="33"/>
  <c r="F360" i="33"/>
  <c r="D361" i="33"/>
  <c r="E361" i="33"/>
  <c r="F361" i="33"/>
  <c r="D362" i="33"/>
  <c r="E362" i="33"/>
  <c r="F362" i="33"/>
  <c r="D364" i="33"/>
  <c r="E364" i="33"/>
  <c r="D365" i="33"/>
  <c r="E365" i="33"/>
  <c r="D367" i="33"/>
  <c r="E367" i="33"/>
  <c r="F367" i="33"/>
  <c r="D368" i="33"/>
  <c r="E368" i="33"/>
  <c r="F368" i="33"/>
  <c r="D371" i="33"/>
  <c r="E371" i="33"/>
  <c r="F371" i="33"/>
  <c r="D372" i="33"/>
  <c r="E372" i="33"/>
  <c r="F372" i="33"/>
  <c r="D373" i="33"/>
  <c r="E373" i="33"/>
  <c r="F373" i="33"/>
  <c r="D374" i="33"/>
  <c r="E374" i="33"/>
  <c r="F374" i="33"/>
  <c r="D376" i="33"/>
  <c r="E376" i="33"/>
  <c r="D377" i="33"/>
  <c r="E377" i="33"/>
  <c r="D379" i="33"/>
  <c r="E379" i="33"/>
  <c r="F379" i="33"/>
  <c r="D380" i="33"/>
  <c r="E380" i="33"/>
  <c r="F380" i="33"/>
  <c r="D383" i="33"/>
  <c r="E383" i="33"/>
  <c r="F383" i="33"/>
  <c r="D384" i="33"/>
  <c r="E384" i="33"/>
  <c r="F384" i="33"/>
  <c r="D385" i="33"/>
  <c r="E385" i="33"/>
  <c r="F385" i="33"/>
  <c r="D386" i="33"/>
  <c r="E386" i="33"/>
  <c r="F386" i="33"/>
  <c r="D388" i="33"/>
  <c r="E388" i="33"/>
  <c r="D389" i="33"/>
  <c r="E389" i="33"/>
  <c r="F389" i="33"/>
  <c r="D391" i="33"/>
  <c r="E391" i="33"/>
  <c r="F391" i="33"/>
  <c r="D392" i="33"/>
  <c r="E392" i="33"/>
  <c r="F392" i="33"/>
  <c r="D395" i="33"/>
  <c r="E395" i="33"/>
  <c r="F395" i="33"/>
  <c r="D396" i="33"/>
  <c r="E396" i="33"/>
  <c r="F396" i="33"/>
  <c r="D397" i="33"/>
  <c r="E397" i="33"/>
  <c r="F397" i="33"/>
  <c r="D398" i="33"/>
  <c r="E398" i="33"/>
  <c r="F398" i="33"/>
  <c r="D64" i="33"/>
  <c r="D71" i="33"/>
  <c r="E64" i="33"/>
  <c r="E71" i="33"/>
  <c r="F71" i="33"/>
  <c r="D65" i="33"/>
  <c r="D72" i="33"/>
  <c r="E65" i="33"/>
  <c r="E72" i="33"/>
  <c r="F72" i="33"/>
  <c r="D67" i="33"/>
  <c r="D73" i="33"/>
  <c r="E67" i="33"/>
  <c r="E73" i="33"/>
  <c r="F67" i="33"/>
  <c r="F73" i="33"/>
  <c r="D74" i="33"/>
  <c r="E74" i="33"/>
  <c r="F74" i="33"/>
  <c r="D68" i="33"/>
  <c r="E68" i="33"/>
  <c r="F68" i="33"/>
  <c r="D52" i="33"/>
  <c r="D59" i="33"/>
  <c r="E52" i="33"/>
  <c r="E59" i="33"/>
  <c r="F52" i="33"/>
  <c r="F59" i="33"/>
  <c r="D53" i="33"/>
  <c r="D60" i="33"/>
  <c r="E53" i="33"/>
  <c r="E60" i="33"/>
  <c r="F53" i="33"/>
  <c r="F60" i="33"/>
  <c r="D55" i="33"/>
  <c r="D61" i="33"/>
  <c r="E55" i="33"/>
  <c r="E61" i="33"/>
  <c r="F55" i="33"/>
  <c r="F61" i="33"/>
  <c r="D62" i="33"/>
  <c r="E62" i="33"/>
  <c r="F62" i="33"/>
  <c r="D56" i="33"/>
  <c r="E56" i="33"/>
  <c r="F56" i="33"/>
  <c r="D40" i="33"/>
  <c r="D47" i="33"/>
  <c r="E40" i="33"/>
  <c r="E47" i="33"/>
  <c r="F47" i="33"/>
  <c r="D41" i="33"/>
  <c r="D48" i="33"/>
  <c r="E41" i="33"/>
  <c r="E48" i="33"/>
  <c r="F48" i="33"/>
  <c r="D43" i="33"/>
  <c r="D49" i="33"/>
  <c r="E43" i="33"/>
  <c r="E49" i="33"/>
  <c r="F43" i="33"/>
  <c r="F49" i="33"/>
  <c r="D50" i="33"/>
  <c r="E50" i="33"/>
  <c r="F50" i="33"/>
  <c r="D28" i="33"/>
  <c r="D35" i="33"/>
  <c r="E28" i="33"/>
  <c r="E35" i="33"/>
  <c r="F35" i="33"/>
  <c r="D29" i="33"/>
  <c r="D36" i="33"/>
  <c r="E29" i="33"/>
  <c r="E36" i="33"/>
  <c r="F36" i="33"/>
  <c r="D31" i="33"/>
  <c r="D37" i="33"/>
  <c r="E31" i="33"/>
  <c r="E37" i="33"/>
  <c r="F31" i="33"/>
  <c r="F37" i="33"/>
  <c r="D38" i="33"/>
  <c r="E38" i="33"/>
  <c r="F38" i="33"/>
  <c r="D44" i="33"/>
  <c r="E44" i="33"/>
  <c r="F44" i="33"/>
  <c r="D32" i="33"/>
  <c r="E32" i="33"/>
  <c r="F32" i="33"/>
  <c r="D16" i="33"/>
  <c r="D23" i="33"/>
  <c r="E16" i="33"/>
  <c r="E23" i="33"/>
  <c r="F16" i="33"/>
  <c r="F23" i="33"/>
  <c r="D17" i="33"/>
  <c r="D24" i="33"/>
  <c r="E17" i="33"/>
  <c r="E24" i="33"/>
  <c r="F17" i="33"/>
  <c r="F24" i="33"/>
  <c r="D19" i="33"/>
  <c r="D25" i="33"/>
  <c r="E19" i="33"/>
  <c r="E25" i="33"/>
  <c r="F19" i="33"/>
  <c r="F25" i="33"/>
  <c r="D26" i="33"/>
  <c r="E26" i="33"/>
  <c r="F26" i="33"/>
  <c r="D20" i="33"/>
  <c r="E20" i="33"/>
  <c r="F20" i="33"/>
  <c r="D4" i="33"/>
  <c r="D11" i="33"/>
  <c r="E4" i="33"/>
  <c r="E11" i="33"/>
  <c r="F4" i="33"/>
  <c r="F11" i="33"/>
  <c r="D5" i="33"/>
  <c r="D12" i="33"/>
  <c r="E5" i="33"/>
  <c r="E12" i="33"/>
  <c r="F5" i="33"/>
  <c r="F12" i="33"/>
  <c r="D7" i="33"/>
  <c r="D13" i="33"/>
  <c r="E7" i="33"/>
  <c r="E13" i="33"/>
  <c r="F7" i="33"/>
  <c r="F13" i="33"/>
  <c r="D14" i="33"/>
  <c r="E14" i="33"/>
  <c r="F14" i="33"/>
  <c r="D8" i="33"/>
  <c r="E8" i="33"/>
  <c r="F8" i="33"/>
  <c r="D2" i="33"/>
  <c r="E2" i="33"/>
  <c r="F2" i="33"/>
  <c r="F88" i="41"/>
  <c r="F95" i="41"/>
  <c r="G88" i="41"/>
  <c r="G95" i="41"/>
  <c r="H95" i="41"/>
  <c r="I88" i="41"/>
  <c r="I95" i="41"/>
  <c r="J88" i="41"/>
  <c r="J95" i="41"/>
  <c r="K88" i="41"/>
  <c r="K95" i="41"/>
  <c r="L95" i="41"/>
  <c r="M88" i="41"/>
  <c r="M95" i="41"/>
  <c r="N88" i="41"/>
  <c r="N95" i="41"/>
  <c r="O95" i="41"/>
  <c r="P88" i="41"/>
  <c r="P95" i="41"/>
  <c r="Q88" i="41"/>
  <c r="Q95" i="41"/>
  <c r="R88" i="41"/>
  <c r="R95" i="41"/>
  <c r="S88" i="41"/>
  <c r="S95" i="41"/>
  <c r="T88" i="41"/>
  <c r="T95" i="41"/>
  <c r="U88" i="41"/>
  <c r="U95" i="41"/>
  <c r="V95" i="41"/>
  <c r="W88" i="41"/>
  <c r="W95" i="41"/>
  <c r="X88" i="41"/>
  <c r="X95" i="41"/>
  <c r="Y88" i="41"/>
  <c r="Y95" i="41"/>
  <c r="Z95" i="41"/>
  <c r="AA88" i="41"/>
  <c r="AA95" i="41"/>
  <c r="AB88" i="41"/>
  <c r="AB95" i="41"/>
  <c r="AC95" i="41"/>
  <c r="AD88" i="41"/>
  <c r="AD95" i="41"/>
  <c r="AE88" i="41"/>
  <c r="AE95" i="41"/>
  <c r="AF88" i="41"/>
  <c r="AF95" i="41"/>
  <c r="AG88" i="41"/>
  <c r="AG95" i="41"/>
  <c r="AH88" i="41"/>
  <c r="AH95" i="41"/>
  <c r="AI88" i="41"/>
  <c r="AI95" i="41"/>
  <c r="AJ88" i="41"/>
  <c r="AJ95" i="41"/>
  <c r="AK88" i="41"/>
  <c r="AK95" i="41"/>
  <c r="AL88" i="41"/>
  <c r="AL95" i="41"/>
  <c r="AM88" i="41"/>
  <c r="AM95" i="41"/>
  <c r="F89" i="41"/>
  <c r="F96" i="41"/>
  <c r="G89" i="41"/>
  <c r="G96" i="41"/>
  <c r="H96" i="41"/>
  <c r="I89" i="41"/>
  <c r="I96" i="41"/>
  <c r="J89" i="41"/>
  <c r="J96" i="41"/>
  <c r="K89" i="41"/>
  <c r="K96" i="41"/>
  <c r="L96" i="41"/>
  <c r="M89" i="41"/>
  <c r="M96" i="41"/>
  <c r="N89" i="41"/>
  <c r="N96" i="41"/>
  <c r="O89" i="41"/>
  <c r="O96" i="41"/>
  <c r="P89" i="41"/>
  <c r="P96" i="41"/>
  <c r="Q89" i="41"/>
  <c r="Q96" i="41"/>
  <c r="R89" i="41"/>
  <c r="R96" i="41"/>
  <c r="S89" i="41"/>
  <c r="S96" i="41"/>
  <c r="T96" i="41"/>
  <c r="U89" i="41"/>
  <c r="U96" i="41"/>
  <c r="V96" i="41"/>
  <c r="W89" i="41"/>
  <c r="W96" i="41"/>
  <c r="X89" i="41"/>
  <c r="X96" i="41"/>
  <c r="Y89" i="41"/>
  <c r="Y96" i="41"/>
  <c r="Z96" i="41"/>
  <c r="AA89" i="41"/>
  <c r="AA96" i="41"/>
  <c r="AB89" i="41"/>
  <c r="AB96" i="41"/>
  <c r="AC96" i="41"/>
  <c r="AD89" i="41"/>
  <c r="AD96" i="41"/>
  <c r="AE89" i="41"/>
  <c r="AE96" i="41"/>
  <c r="AF89" i="41"/>
  <c r="AF96" i="41"/>
  <c r="AG89" i="41"/>
  <c r="AG96" i="41"/>
  <c r="AH89" i="41"/>
  <c r="AH96" i="41"/>
  <c r="AI89" i="41"/>
  <c r="AI96" i="41"/>
  <c r="AJ89" i="41"/>
  <c r="AJ96" i="41"/>
  <c r="AK89" i="41"/>
  <c r="AK96" i="41"/>
  <c r="AL89" i="41"/>
  <c r="AL96" i="41"/>
  <c r="AM89" i="41"/>
  <c r="AM96" i="41"/>
  <c r="F91" i="41"/>
  <c r="F97" i="41"/>
  <c r="G91" i="41"/>
  <c r="G97" i="41"/>
  <c r="H91" i="41"/>
  <c r="H97" i="41"/>
  <c r="I91" i="41"/>
  <c r="I97" i="41"/>
  <c r="J91" i="41"/>
  <c r="J97" i="41"/>
  <c r="K91" i="41"/>
  <c r="K97" i="41"/>
  <c r="L91" i="41"/>
  <c r="L97" i="41"/>
  <c r="M91" i="41"/>
  <c r="M97" i="41"/>
  <c r="N91" i="41"/>
  <c r="N97" i="41"/>
  <c r="O91" i="41"/>
  <c r="O97" i="41"/>
  <c r="P91" i="41"/>
  <c r="P97" i="41"/>
  <c r="Q91" i="41"/>
  <c r="Q97" i="41"/>
  <c r="R91" i="41"/>
  <c r="R97" i="41"/>
  <c r="S91" i="41"/>
  <c r="S97" i="41"/>
  <c r="T91" i="41"/>
  <c r="T97" i="41"/>
  <c r="U91" i="41"/>
  <c r="U97" i="41"/>
  <c r="V91" i="41"/>
  <c r="V97" i="41"/>
  <c r="W91" i="41"/>
  <c r="W97" i="41"/>
  <c r="X91" i="41"/>
  <c r="X97" i="41"/>
  <c r="Y91" i="41"/>
  <c r="Y97" i="41"/>
  <c r="Z91" i="41"/>
  <c r="Z97" i="41"/>
  <c r="AA91" i="41"/>
  <c r="AA97" i="41"/>
  <c r="AB91" i="41"/>
  <c r="AB97" i="41"/>
  <c r="AC91" i="41"/>
  <c r="AC97" i="41"/>
  <c r="AD97" i="41"/>
  <c r="AE97" i="41"/>
  <c r="AF97" i="41"/>
  <c r="AG97" i="41"/>
  <c r="AH97" i="41"/>
  <c r="AI97" i="41"/>
  <c r="AJ97" i="41"/>
  <c r="AK97" i="41"/>
  <c r="AL97" i="41"/>
  <c r="AM97" i="41"/>
  <c r="F98" i="41"/>
  <c r="G98" i="41"/>
  <c r="H98" i="41"/>
  <c r="I98" i="41"/>
  <c r="J98" i="41"/>
  <c r="K98" i="41"/>
  <c r="L98" i="41"/>
  <c r="M98" i="41"/>
  <c r="N98" i="41"/>
  <c r="O98" i="41"/>
  <c r="P98" i="41"/>
  <c r="Q98" i="41"/>
  <c r="R98" i="41"/>
  <c r="S98" i="41"/>
  <c r="T98" i="41"/>
  <c r="U98" i="41"/>
  <c r="V98" i="41"/>
  <c r="W98" i="41"/>
  <c r="X98" i="41"/>
  <c r="Y98" i="41"/>
  <c r="Z98" i="41"/>
  <c r="AA98" i="41"/>
  <c r="AB98" i="41"/>
  <c r="AC98" i="41"/>
  <c r="AD98" i="41"/>
  <c r="AE98" i="41"/>
  <c r="AF98" i="41"/>
  <c r="AG98" i="41"/>
  <c r="AH98" i="41"/>
  <c r="AI98" i="41"/>
  <c r="AJ98" i="41"/>
  <c r="AK98" i="41"/>
  <c r="AL98" i="41"/>
  <c r="AM98" i="41"/>
  <c r="F76" i="41"/>
  <c r="F83" i="41"/>
  <c r="G76" i="41"/>
  <c r="G83" i="41"/>
  <c r="H83" i="41"/>
  <c r="I76" i="41"/>
  <c r="I83" i="41"/>
  <c r="J76" i="41"/>
  <c r="J83" i="41"/>
  <c r="K76" i="41"/>
  <c r="K83" i="41"/>
  <c r="L83" i="41"/>
  <c r="M76" i="41"/>
  <c r="M83" i="41"/>
  <c r="N76" i="41"/>
  <c r="N83" i="41"/>
  <c r="O76" i="41"/>
  <c r="O83" i="41"/>
  <c r="P76" i="41"/>
  <c r="P83" i="41"/>
  <c r="Q76" i="41"/>
  <c r="Q83" i="41"/>
  <c r="R76" i="41"/>
  <c r="R83" i="41"/>
  <c r="S76" i="41"/>
  <c r="S83" i="41"/>
  <c r="T83" i="41"/>
  <c r="U76" i="41"/>
  <c r="U83" i="41"/>
  <c r="V83" i="41"/>
  <c r="W76" i="41"/>
  <c r="W83" i="41"/>
  <c r="X76" i="41"/>
  <c r="X83" i="41"/>
  <c r="Y76" i="41"/>
  <c r="Y83" i="41"/>
  <c r="Z83" i="41"/>
  <c r="AA76" i="41"/>
  <c r="AA83" i="41"/>
  <c r="AB76" i="41"/>
  <c r="AB83" i="41"/>
  <c r="AC83" i="41"/>
  <c r="AD76" i="41"/>
  <c r="AD83" i="41"/>
  <c r="AE76" i="41"/>
  <c r="AE83" i="41"/>
  <c r="AF76" i="41"/>
  <c r="AF83" i="41"/>
  <c r="AG76" i="41"/>
  <c r="AG83" i="41"/>
  <c r="AH76" i="41"/>
  <c r="AH83" i="41"/>
  <c r="AI76" i="41"/>
  <c r="AI83" i="41"/>
  <c r="AJ76" i="41"/>
  <c r="AJ83" i="41"/>
  <c r="AK76" i="41"/>
  <c r="AK83" i="41"/>
  <c r="AL76" i="41"/>
  <c r="AL83" i="41"/>
  <c r="AM76" i="41"/>
  <c r="AM83" i="41"/>
  <c r="F77" i="41"/>
  <c r="F84" i="41"/>
  <c r="G77" i="41"/>
  <c r="G84" i="41"/>
  <c r="H84" i="41"/>
  <c r="I77" i="41"/>
  <c r="I84" i="41"/>
  <c r="J77" i="41"/>
  <c r="J84" i="41"/>
  <c r="K77" i="41"/>
  <c r="K84" i="41"/>
  <c r="L84" i="41"/>
  <c r="M77" i="41"/>
  <c r="M84" i="41"/>
  <c r="N77" i="41"/>
  <c r="N84" i="41"/>
  <c r="O77" i="41"/>
  <c r="O84" i="41"/>
  <c r="P77" i="41"/>
  <c r="P84" i="41"/>
  <c r="Q77" i="41"/>
  <c r="Q84" i="41"/>
  <c r="R77" i="41"/>
  <c r="R84" i="41"/>
  <c r="S77" i="41"/>
  <c r="S84" i="41"/>
  <c r="T77" i="41"/>
  <c r="T84" i="41"/>
  <c r="U77" i="41"/>
  <c r="U84" i="41"/>
  <c r="V84" i="41"/>
  <c r="W77" i="41"/>
  <c r="W84" i="41"/>
  <c r="X77" i="41"/>
  <c r="X84" i="41"/>
  <c r="Y77" i="41"/>
  <c r="Y84" i="41"/>
  <c r="Z84" i="41"/>
  <c r="AA77" i="41"/>
  <c r="AA84" i="41"/>
  <c r="AB77" i="41"/>
  <c r="AB84" i="41"/>
  <c r="AC84" i="41"/>
  <c r="AD77" i="41"/>
  <c r="AD84" i="41"/>
  <c r="AE77" i="41"/>
  <c r="AE84" i="41"/>
  <c r="AF77" i="41"/>
  <c r="AF84" i="41"/>
  <c r="AG77" i="41"/>
  <c r="AG84" i="41"/>
  <c r="AH77" i="41"/>
  <c r="AH84" i="41"/>
  <c r="AI77" i="41"/>
  <c r="AI84" i="41"/>
  <c r="AJ77" i="41"/>
  <c r="AJ84" i="41"/>
  <c r="AK77" i="41"/>
  <c r="AK84" i="41"/>
  <c r="AL77" i="41"/>
  <c r="AL84" i="41"/>
  <c r="AM77" i="41"/>
  <c r="AM84" i="41"/>
  <c r="F79" i="41"/>
  <c r="F85" i="41"/>
  <c r="G79" i="41"/>
  <c r="G85" i="41"/>
  <c r="H79" i="41"/>
  <c r="H85" i="41"/>
  <c r="I79" i="41"/>
  <c r="I85" i="41"/>
  <c r="J79" i="41"/>
  <c r="J85" i="41"/>
  <c r="K79" i="41"/>
  <c r="K85" i="41"/>
  <c r="L79" i="41"/>
  <c r="L85" i="41"/>
  <c r="M79" i="41"/>
  <c r="M85" i="41"/>
  <c r="N79" i="41"/>
  <c r="N85" i="41"/>
  <c r="O79" i="41"/>
  <c r="O85" i="41"/>
  <c r="P79" i="41"/>
  <c r="P85" i="41"/>
  <c r="Q79" i="41"/>
  <c r="Q85" i="41"/>
  <c r="R79" i="41"/>
  <c r="R85" i="41"/>
  <c r="S79" i="41"/>
  <c r="S85" i="41"/>
  <c r="T79" i="41"/>
  <c r="T85" i="41"/>
  <c r="U79" i="41"/>
  <c r="U85" i="41"/>
  <c r="V79" i="41"/>
  <c r="V85" i="41"/>
  <c r="W79" i="41"/>
  <c r="W85" i="41"/>
  <c r="X79" i="41"/>
  <c r="X85" i="41"/>
  <c r="Y79" i="41"/>
  <c r="Y85" i="41"/>
  <c r="Z79" i="41"/>
  <c r="Z85" i="41"/>
  <c r="AA79" i="41"/>
  <c r="AA85" i="41"/>
  <c r="AB79" i="41"/>
  <c r="AB85" i="41"/>
  <c r="AC79" i="41"/>
  <c r="AC85" i="41"/>
  <c r="AD85" i="41"/>
  <c r="AE85" i="41"/>
  <c r="AF85" i="41"/>
  <c r="AG85" i="41"/>
  <c r="AH85" i="41"/>
  <c r="AI85" i="41"/>
  <c r="AJ85" i="41"/>
  <c r="AK85" i="41"/>
  <c r="AL85" i="41"/>
  <c r="AM85" i="41"/>
  <c r="F86" i="41"/>
  <c r="G86" i="41"/>
  <c r="H86" i="41"/>
  <c r="I86" i="41"/>
  <c r="J86" i="41"/>
  <c r="K86" i="41"/>
  <c r="L86" i="41"/>
  <c r="M86" i="41"/>
  <c r="N86" i="41"/>
  <c r="O86" i="41"/>
  <c r="P86" i="41"/>
  <c r="Q86" i="41"/>
  <c r="R86" i="41"/>
  <c r="S86" i="41"/>
  <c r="T86" i="41"/>
  <c r="U86" i="41"/>
  <c r="V86" i="41"/>
  <c r="W86" i="41"/>
  <c r="X86" i="41"/>
  <c r="Y86" i="41"/>
  <c r="Z86" i="41"/>
  <c r="AA86" i="41"/>
  <c r="AB86" i="41"/>
  <c r="AC86" i="41"/>
  <c r="AD86" i="41"/>
  <c r="AE86" i="41"/>
  <c r="AF86" i="41"/>
  <c r="AG86" i="41"/>
  <c r="AH86" i="41"/>
  <c r="AI86" i="41"/>
  <c r="AJ86" i="41"/>
  <c r="AK86" i="41"/>
  <c r="AL86" i="41"/>
  <c r="AM86" i="41"/>
  <c r="AD91" i="41"/>
  <c r="AE91" i="41"/>
  <c r="AF91" i="41"/>
  <c r="AG91" i="41"/>
  <c r="AH91" i="41"/>
  <c r="AI91" i="41"/>
  <c r="AJ91" i="41"/>
  <c r="AK91" i="41"/>
  <c r="AL91" i="41"/>
  <c r="AM91" i="41"/>
  <c r="F92" i="41"/>
  <c r="G92" i="41"/>
  <c r="H92" i="41"/>
  <c r="I92" i="41"/>
  <c r="J92" i="41"/>
  <c r="K92" i="41"/>
  <c r="L92" i="41"/>
  <c r="M92" i="41"/>
  <c r="N92" i="41"/>
  <c r="O92" i="41"/>
  <c r="P92" i="41"/>
  <c r="Q92" i="41"/>
  <c r="R92" i="41"/>
  <c r="S92" i="41"/>
  <c r="T92" i="41"/>
  <c r="U92" i="41"/>
  <c r="V92" i="41"/>
  <c r="W92" i="41"/>
  <c r="X92" i="41"/>
  <c r="Y92" i="41"/>
  <c r="Z92" i="41"/>
  <c r="AA92" i="41"/>
  <c r="AB92" i="41"/>
  <c r="AC92" i="41"/>
  <c r="AD92" i="41"/>
  <c r="AE92" i="41"/>
  <c r="AF92" i="41"/>
  <c r="AG92" i="41"/>
  <c r="AH92" i="41"/>
  <c r="AI92" i="41"/>
  <c r="AJ92" i="41"/>
  <c r="AK92" i="41"/>
  <c r="AL92" i="41"/>
  <c r="AM92" i="41"/>
  <c r="F64" i="41"/>
  <c r="F71" i="41"/>
  <c r="G64" i="41"/>
  <c r="G71" i="41"/>
  <c r="H64" i="41"/>
  <c r="H71" i="41"/>
  <c r="I64" i="41"/>
  <c r="I71" i="41"/>
  <c r="J64" i="41"/>
  <c r="J71" i="41"/>
  <c r="K64" i="41"/>
  <c r="K71" i="41"/>
  <c r="L64" i="41"/>
  <c r="L71" i="41"/>
  <c r="M64" i="41"/>
  <c r="M71" i="41"/>
  <c r="N64" i="41"/>
  <c r="N71" i="41"/>
  <c r="O64" i="41"/>
  <c r="O71" i="41"/>
  <c r="P64" i="41"/>
  <c r="P71" i="41"/>
  <c r="Q64" i="41"/>
  <c r="Q71" i="41"/>
  <c r="R64" i="41"/>
  <c r="R71" i="41"/>
  <c r="S64" i="41"/>
  <c r="S71" i="41"/>
  <c r="T71" i="41"/>
  <c r="U64" i="41"/>
  <c r="U71" i="41"/>
  <c r="V71" i="41"/>
  <c r="W64" i="41"/>
  <c r="W71" i="41"/>
  <c r="X64" i="41"/>
  <c r="X71" i="41"/>
  <c r="Y64" i="41"/>
  <c r="Y71" i="41"/>
  <c r="Z71" i="41"/>
  <c r="AA64" i="41"/>
  <c r="AA71" i="41"/>
  <c r="AB64" i="41"/>
  <c r="AB71" i="41"/>
  <c r="AC71" i="41"/>
  <c r="AD64" i="41"/>
  <c r="AD71" i="41"/>
  <c r="AE64" i="41"/>
  <c r="AE71" i="41"/>
  <c r="AF64" i="41"/>
  <c r="AF71" i="41"/>
  <c r="AG64" i="41"/>
  <c r="AG71" i="41"/>
  <c r="AH64" i="41"/>
  <c r="AH71" i="41"/>
  <c r="AI64" i="41"/>
  <c r="AI71" i="41"/>
  <c r="AJ64" i="41"/>
  <c r="AJ71" i="41"/>
  <c r="AK64" i="41"/>
  <c r="AK71" i="41"/>
  <c r="AL64" i="41"/>
  <c r="AL71" i="41"/>
  <c r="AM64" i="41"/>
  <c r="AM71" i="41"/>
  <c r="F65" i="41"/>
  <c r="F72" i="41"/>
  <c r="G65" i="41"/>
  <c r="G72" i="41"/>
  <c r="H65" i="41"/>
  <c r="H72" i="41"/>
  <c r="I65" i="41"/>
  <c r="I72" i="41"/>
  <c r="J65" i="41"/>
  <c r="J72" i="41"/>
  <c r="K65" i="41"/>
  <c r="K72" i="41"/>
  <c r="L65" i="41"/>
  <c r="L72" i="41"/>
  <c r="M65" i="41"/>
  <c r="M72" i="41"/>
  <c r="N65" i="41"/>
  <c r="N72" i="41"/>
  <c r="O65" i="41"/>
  <c r="O72" i="41"/>
  <c r="P65" i="41"/>
  <c r="P72" i="41"/>
  <c r="Q65" i="41"/>
  <c r="Q72" i="41"/>
  <c r="R65" i="41"/>
  <c r="R72" i="41"/>
  <c r="S65" i="41"/>
  <c r="S72" i="41"/>
  <c r="T72" i="41"/>
  <c r="U65" i="41"/>
  <c r="U72" i="41"/>
  <c r="V65" i="41"/>
  <c r="V72" i="41"/>
  <c r="W65" i="41"/>
  <c r="W72" i="41"/>
  <c r="X65" i="41"/>
  <c r="X72" i="41"/>
  <c r="Y65" i="41"/>
  <c r="Y72" i="41"/>
  <c r="Z72" i="41"/>
  <c r="AA65" i="41"/>
  <c r="AA72" i="41"/>
  <c r="AB65" i="41"/>
  <c r="AB72" i="41"/>
  <c r="AC65" i="41"/>
  <c r="AC72" i="41"/>
  <c r="AD65" i="41"/>
  <c r="AD72" i="41"/>
  <c r="AE65" i="41"/>
  <c r="AE72" i="41"/>
  <c r="AF65" i="41"/>
  <c r="AF72" i="41"/>
  <c r="AG65" i="41"/>
  <c r="AG72" i="41"/>
  <c r="AH65" i="41"/>
  <c r="AH72" i="41"/>
  <c r="AI65" i="41"/>
  <c r="AI72" i="41"/>
  <c r="AJ65" i="41"/>
  <c r="AJ72" i="41"/>
  <c r="AK65" i="41"/>
  <c r="AK72" i="41"/>
  <c r="AL65" i="41"/>
  <c r="AL72" i="41"/>
  <c r="AM65" i="41"/>
  <c r="AM72" i="41"/>
  <c r="F67" i="41"/>
  <c r="F73" i="41"/>
  <c r="G67" i="41"/>
  <c r="G73" i="41"/>
  <c r="H67" i="41"/>
  <c r="H73" i="41"/>
  <c r="I67" i="41"/>
  <c r="I73" i="41"/>
  <c r="J67" i="41"/>
  <c r="J73" i="41"/>
  <c r="K67" i="41"/>
  <c r="K73" i="41"/>
  <c r="L67" i="41"/>
  <c r="L73" i="41"/>
  <c r="M67" i="41"/>
  <c r="M73" i="41"/>
  <c r="N67" i="41"/>
  <c r="N73" i="41"/>
  <c r="O67" i="41"/>
  <c r="O73" i="41"/>
  <c r="P67" i="41"/>
  <c r="P73" i="41"/>
  <c r="Q67" i="41"/>
  <c r="Q73" i="41"/>
  <c r="R67" i="41"/>
  <c r="R73" i="41"/>
  <c r="S67" i="41"/>
  <c r="S73" i="41"/>
  <c r="T67" i="41"/>
  <c r="T73" i="41"/>
  <c r="U67" i="41"/>
  <c r="U73" i="41"/>
  <c r="V67" i="41"/>
  <c r="V73" i="41"/>
  <c r="W67" i="41"/>
  <c r="W73" i="41"/>
  <c r="X67" i="41"/>
  <c r="X73" i="41"/>
  <c r="Y67" i="41"/>
  <c r="Y73" i="41"/>
  <c r="Z67" i="41"/>
  <c r="Z73" i="41"/>
  <c r="AA67" i="41"/>
  <c r="AA73" i="41"/>
  <c r="AB67" i="41"/>
  <c r="AB73" i="41"/>
  <c r="AC67" i="41"/>
  <c r="AC73" i="41"/>
  <c r="AD73" i="41"/>
  <c r="AE73" i="41"/>
  <c r="AF73" i="41"/>
  <c r="AG73" i="41"/>
  <c r="AH73" i="41"/>
  <c r="AI73" i="41"/>
  <c r="AJ73" i="41"/>
  <c r="AK73" i="41"/>
  <c r="AL73" i="41"/>
  <c r="AM73" i="41"/>
  <c r="F74" i="41"/>
  <c r="G74" i="41"/>
  <c r="H74" i="41"/>
  <c r="I74" i="41"/>
  <c r="J74" i="41"/>
  <c r="K74" i="41"/>
  <c r="L74" i="41"/>
  <c r="M74" i="41"/>
  <c r="N74" i="41"/>
  <c r="O74" i="41"/>
  <c r="P74" i="41"/>
  <c r="Q74" i="41"/>
  <c r="R74" i="41"/>
  <c r="S74" i="41"/>
  <c r="T74" i="41"/>
  <c r="U74" i="41"/>
  <c r="V74" i="41"/>
  <c r="W74" i="41"/>
  <c r="X74" i="41"/>
  <c r="Y74" i="41"/>
  <c r="Z74" i="41"/>
  <c r="AA74" i="41"/>
  <c r="AB74" i="41"/>
  <c r="AC74" i="41"/>
  <c r="AD74" i="41"/>
  <c r="AE74" i="41"/>
  <c r="AF74" i="41"/>
  <c r="AG74" i="41"/>
  <c r="AH74" i="41"/>
  <c r="AI74" i="41"/>
  <c r="AJ74" i="41"/>
  <c r="AK74" i="41"/>
  <c r="AL74" i="41"/>
  <c r="AM74" i="41"/>
  <c r="AD79" i="41"/>
  <c r="AE79" i="41"/>
  <c r="AF79" i="41"/>
  <c r="AG79" i="41"/>
  <c r="AH79" i="41"/>
  <c r="AI79" i="41"/>
  <c r="AJ79" i="41"/>
  <c r="AK79" i="41"/>
  <c r="AL79" i="41"/>
  <c r="AM79" i="41"/>
  <c r="F80" i="41"/>
  <c r="G80" i="41"/>
  <c r="H80" i="41"/>
  <c r="I80" i="41"/>
  <c r="J80" i="41"/>
  <c r="K80" i="41"/>
  <c r="L80" i="41"/>
  <c r="M80" i="41"/>
  <c r="N80" i="41"/>
  <c r="O80" i="41"/>
  <c r="P80" i="41"/>
  <c r="Q80" i="41"/>
  <c r="R80" i="41"/>
  <c r="S80" i="41"/>
  <c r="T80" i="41"/>
  <c r="U80" i="41"/>
  <c r="V80" i="41"/>
  <c r="W80" i="41"/>
  <c r="X80" i="41"/>
  <c r="Y80" i="41"/>
  <c r="Z80" i="41"/>
  <c r="AA80" i="41"/>
  <c r="AB80" i="41"/>
  <c r="AC80" i="41"/>
  <c r="AD80" i="41"/>
  <c r="AE80" i="41"/>
  <c r="AF80" i="41"/>
  <c r="AG80" i="41"/>
  <c r="AH80" i="41"/>
  <c r="AI80" i="41"/>
  <c r="AJ80" i="41"/>
  <c r="AK80" i="41"/>
  <c r="AL80" i="41"/>
  <c r="AM80" i="41"/>
  <c r="F52" i="41"/>
  <c r="F59" i="41"/>
  <c r="G52" i="41"/>
  <c r="G59" i="41"/>
  <c r="H59" i="41"/>
  <c r="I52" i="41"/>
  <c r="I59" i="41"/>
  <c r="J52" i="41"/>
  <c r="J59" i="41"/>
  <c r="K52" i="41"/>
  <c r="K59" i="41"/>
  <c r="L59" i="41"/>
  <c r="M52" i="41"/>
  <c r="M59" i="41"/>
  <c r="N52" i="41"/>
  <c r="N59" i="41"/>
  <c r="O52" i="41"/>
  <c r="O59" i="41"/>
  <c r="P52" i="41"/>
  <c r="P59" i="41"/>
  <c r="Q52" i="41"/>
  <c r="Q59" i="41"/>
  <c r="R52" i="41"/>
  <c r="R59" i="41"/>
  <c r="S52" i="41"/>
  <c r="S59" i="41"/>
  <c r="T59" i="41"/>
  <c r="U52" i="41"/>
  <c r="U59" i="41"/>
  <c r="V59" i="41"/>
  <c r="W52" i="41"/>
  <c r="W59" i="41"/>
  <c r="X52" i="41"/>
  <c r="X59" i="41"/>
  <c r="Y52" i="41"/>
  <c r="Y59" i="41"/>
  <c r="Z52" i="41"/>
  <c r="Z59" i="41"/>
  <c r="AA52" i="41"/>
  <c r="AA59" i="41"/>
  <c r="AB52" i="41"/>
  <c r="AB59" i="41"/>
  <c r="AC59" i="41"/>
  <c r="AD52" i="41"/>
  <c r="AD59" i="41"/>
  <c r="AE52" i="41"/>
  <c r="AE59" i="41"/>
  <c r="AF52" i="41"/>
  <c r="AF59" i="41"/>
  <c r="AG52" i="41"/>
  <c r="AG59" i="41"/>
  <c r="AH52" i="41"/>
  <c r="AH59" i="41"/>
  <c r="AI52" i="41"/>
  <c r="AI59" i="41"/>
  <c r="AJ52" i="41"/>
  <c r="AJ59" i="41"/>
  <c r="AK52" i="41"/>
  <c r="AK59" i="41"/>
  <c r="AL52" i="41"/>
  <c r="AL59" i="41"/>
  <c r="AM52" i="41"/>
  <c r="AM59" i="41"/>
  <c r="F53" i="41"/>
  <c r="F60" i="41"/>
  <c r="G53" i="41"/>
  <c r="G60" i="41"/>
  <c r="H60" i="41"/>
  <c r="I53" i="41"/>
  <c r="I60" i="41"/>
  <c r="J53" i="41"/>
  <c r="J60" i="41"/>
  <c r="K53" i="41"/>
  <c r="K60" i="41"/>
  <c r="L60" i="41"/>
  <c r="M53" i="41"/>
  <c r="M60" i="41"/>
  <c r="N53" i="41"/>
  <c r="N60" i="41"/>
  <c r="O53" i="41"/>
  <c r="O60" i="41"/>
  <c r="P53" i="41"/>
  <c r="P60" i="41"/>
  <c r="Q53" i="41"/>
  <c r="Q60" i="41"/>
  <c r="R53" i="41"/>
  <c r="R60" i="41"/>
  <c r="S53" i="41"/>
  <c r="S60" i="41"/>
  <c r="T60" i="41"/>
  <c r="U53" i="41"/>
  <c r="U60" i="41"/>
  <c r="V60" i="41"/>
  <c r="W53" i="41"/>
  <c r="W60" i="41"/>
  <c r="X53" i="41"/>
  <c r="X60" i="41"/>
  <c r="Y53" i="41"/>
  <c r="Y60" i="41"/>
  <c r="Z53" i="41"/>
  <c r="Z60" i="41"/>
  <c r="AA53" i="41"/>
  <c r="AA60" i="41"/>
  <c r="AB53" i="41"/>
  <c r="AB60" i="41"/>
  <c r="AC60" i="41"/>
  <c r="AD53" i="41"/>
  <c r="AD60" i="41"/>
  <c r="AE53" i="41"/>
  <c r="AE60" i="41"/>
  <c r="AF53" i="41"/>
  <c r="AF60" i="41"/>
  <c r="AG53" i="41"/>
  <c r="AG60" i="41"/>
  <c r="AH53" i="41"/>
  <c r="AH60" i="41"/>
  <c r="AI53" i="41"/>
  <c r="AI60" i="41"/>
  <c r="AJ53" i="41"/>
  <c r="AJ60" i="41"/>
  <c r="AK53" i="41"/>
  <c r="AK60" i="41"/>
  <c r="AL53" i="41"/>
  <c r="AL60" i="41"/>
  <c r="AM53" i="41"/>
  <c r="AM60" i="41"/>
  <c r="F55" i="41"/>
  <c r="F61" i="41"/>
  <c r="G55" i="41"/>
  <c r="G61" i="41"/>
  <c r="H55" i="41"/>
  <c r="H61" i="41"/>
  <c r="I55" i="41"/>
  <c r="I61" i="41"/>
  <c r="J55" i="41"/>
  <c r="J61" i="41"/>
  <c r="K55" i="41"/>
  <c r="K61" i="41"/>
  <c r="L55" i="41"/>
  <c r="L61" i="41"/>
  <c r="M55" i="41"/>
  <c r="M61" i="41"/>
  <c r="N55" i="41"/>
  <c r="N61" i="41"/>
  <c r="O55" i="41"/>
  <c r="O61" i="41"/>
  <c r="P55" i="41"/>
  <c r="P61" i="41"/>
  <c r="Q55" i="41"/>
  <c r="Q61" i="41"/>
  <c r="R55" i="41"/>
  <c r="R61" i="41"/>
  <c r="S55" i="41"/>
  <c r="S61" i="41"/>
  <c r="T55" i="41"/>
  <c r="T61" i="41"/>
  <c r="U55" i="41"/>
  <c r="U61" i="41"/>
  <c r="V55" i="41"/>
  <c r="V61" i="41"/>
  <c r="W55" i="41"/>
  <c r="W61" i="41"/>
  <c r="X55" i="41"/>
  <c r="X61" i="41"/>
  <c r="Y55" i="41"/>
  <c r="Y61" i="41"/>
  <c r="Z55" i="41"/>
  <c r="Z61" i="41"/>
  <c r="AA55" i="41"/>
  <c r="AA61" i="41"/>
  <c r="AB55" i="41"/>
  <c r="AB61" i="41"/>
  <c r="AC55" i="41"/>
  <c r="AC61" i="41"/>
  <c r="AD61" i="41"/>
  <c r="AE61" i="41"/>
  <c r="AF61" i="41"/>
  <c r="AG61" i="41"/>
  <c r="AH61" i="41"/>
  <c r="AI61" i="41"/>
  <c r="AJ61" i="41"/>
  <c r="AK61" i="41"/>
  <c r="AL61" i="41"/>
  <c r="AM61" i="41"/>
  <c r="F62" i="41"/>
  <c r="G62" i="41"/>
  <c r="H62" i="41"/>
  <c r="I62" i="41"/>
  <c r="J62" i="41"/>
  <c r="K62" i="41"/>
  <c r="L62" i="41"/>
  <c r="M62" i="41"/>
  <c r="N62" i="41"/>
  <c r="O62" i="41"/>
  <c r="P62" i="41"/>
  <c r="Q62" i="41"/>
  <c r="R62" i="41"/>
  <c r="S62" i="41"/>
  <c r="T62" i="41"/>
  <c r="U62" i="41"/>
  <c r="V62" i="41"/>
  <c r="W62" i="41"/>
  <c r="X62" i="41"/>
  <c r="Y62" i="41"/>
  <c r="Z62" i="41"/>
  <c r="AA62" i="41"/>
  <c r="AB62" i="41"/>
  <c r="AC62" i="41"/>
  <c r="AD62" i="41"/>
  <c r="AE62" i="41"/>
  <c r="AF62" i="41"/>
  <c r="AG62" i="41"/>
  <c r="AH62" i="41"/>
  <c r="AI62" i="41"/>
  <c r="AJ62" i="41"/>
  <c r="AK62" i="41"/>
  <c r="AL62" i="41"/>
  <c r="AM62" i="41"/>
  <c r="AD67" i="41"/>
  <c r="AE67" i="41"/>
  <c r="AF67" i="41"/>
  <c r="AG67" i="41"/>
  <c r="AH67" i="41"/>
  <c r="AI67" i="41"/>
  <c r="AJ67" i="41"/>
  <c r="AK67" i="41"/>
  <c r="AL67" i="41"/>
  <c r="AM67" i="41"/>
  <c r="F68" i="41"/>
  <c r="G68" i="41"/>
  <c r="H68" i="41"/>
  <c r="I68" i="41"/>
  <c r="J68" i="41"/>
  <c r="K68" i="41"/>
  <c r="L68" i="41"/>
  <c r="M68" i="41"/>
  <c r="N68" i="41"/>
  <c r="O68" i="41"/>
  <c r="P68" i="41"/>
  <c r="Q68" i="41"/>
  <c r="R68" i="41"/>
  <c r="S68" i="41"/>
  <c r="T68" i="41"/>
  <c r="U68" i="41"/>
  <c r="V68" i="41"/>
  <c r="W68" i="41"/>
  <c r="X68" i="41"/>
  <c r="Y68" i="41"/>
  <c r="Z68" i="41"/>
  <c r="AA68" i="41"/>
  <c r="AB68" i="41"/>
  <c r="AC68" i="41"/>
  <c r="AD68" i="41"/>
  <c r="AE68" i="41"/>
  <c r="AF68" i="41"/>
  <c r="AG68" i="41"/>
  <c r="AH68" i="41"/>
  <c r="AI68" i="41"/>
  <c r="AJ68" i="41"/>
  <c r="AK68" i="41"/>
  <c r="AL68" i="41"/>
  <c r="AM68" i="41"/>
  <c r="F40" i="41"/>
  <c r="F47" i="41"/>
  <c r="G40" i="41"/>
  <c r="G47" i="41"/>
  <c r="H47" i="41"/>
  <c r="I40" i="41"/>
  <c r="I47" i="41"/>
  <c r="J40" i="41"/>
  <c r="J47" i="41"/>
  <c r="K40" i="41"/>
  <c r="K47" i="41"/>
  <c r="L40" i="41"/>
  <c r="L47" i="41"/>
  <c r="M40" i="41"/>
  <c r="M47" i="41"/>
  <c r="N40" i="41"/>
  <c r="N47" i="41"/>
  <c r="O40" i="41"/>
  <c r="O47" i="41"/>
  <c r="P40" i="41"/>
  <c r="P47" i="41"/>
  <c r="Q40" i="41"/>
  <c r="Q47" i="41"/>
  <c r="R40" i="41"/>
  <c r="R47" i="41"/>
  <c r="S40" i="41"/>
  <c r="S47" i="41"/>
  <c r="T40" i="41"/>
  <c r="T47" i="41"/>
  <c r="U40" i="41"/>
  <c r="U47" i="41"/>
  <c r="V40" i="41"/>
  <c r="V47" i="41"/>
  <c r="W40" i="41"/>
  <c r="W47" i="41"/>
  <c r="X40" i="41"/>
  <c r="X47" i="41"/>
  <c r="Y40" i="41"/>
  <c r="Y47" i="41"/>
  <c r="Z40" i="41"/>
  <c r="Z47" i="41"/>
  <c r="AA40" i="41"/>
  <c r="AA47" i="41"/>
  <c r="AB40" i="41"/>
  <c r="AB47" i="41"/>
  <c r="AC47" i="41"/>
  <c r="AD40" i="41"/>
  <c r="AD47" i="41"/>
  <c r="AE40" i="41"/>
  <c r="AE47" i="41"/>
  <c r="AF40" i="41"/>
  <c r="AF47" i="41"/>
  <c r="AG40" i="41"/>
  <c r="AG47" i="41"/>
  <c r="AH40" i="41"/>
  <c r="AH47" i="41"/>
  <c r="AI40" i="41"/>
  <c r="AI47" i="41"/>
  <c r="AJ40" i="41"/>
  <c r="AJ47" i="41"/>
  <c r="AK40" i="41"/>
  <c r="AK47" i="41"/>
  <c r="AL40" i="41"/>
  <c r="AL47" i="41"/>
  <c r="AM40" i="41"/>
  <c r="AM47" i="41"/>
  <c r="F41" i="41"/>
  <c r="F48" i="41"/>
  <c r="G41" i="41"/>
  <c r="G48" i="41"/>
  <c r="H48" i="41"/>
  <c r="I41" i="41"/>
  <c r="I48" i="41"/>
  <c r="J41" i="41"/>
  <c r="J48" i="41"/>
  <c r="K41" i="41"/>
  <c r="K48" i="41"/>
  <c r="L41" i="41"/>
  <c r="L48" i="41"/>
  <c r="M41" i="41"/>
  <c r="M48" i="41"/>
  <c r="N41" i="41"/>
  <c r="N48" i="41"/>
  <c r="O41" i="41"/>
  <c r="O48" i="41"/>
  <c r="P41" i="41"/>
  <c r="P48" i="41"/>
  <c r="Q41" i="41"/>
  <c r="Q48" i="41"/>
  <c r="R41" i="41"/>
  <c r="R48" i="41"/>
  <c r="S41" i="41"/>
  <c r="S48" i="41"/>
  <c r="T41" i="41"/>
  <c r="T48" i="41"/>
  <c r="U41" i="41"/>
  <c r="U48" i="41"/>
  <c r="V41" i="41"/>
  <c r="V48" i="41"/>
  <c r="W41" i="41"/>
  <c r="W48" i="41"/>
  <c r="X41" i="41"/>
  <c r="X48" i="41"/>
  <c r="Y41" i="41"/>
  <c r="Y48" i="41"/>
  <c r="Z41" i="41"/>
  <c r="Z48" i="41"/>
  <c r="AA41" i="41"/>
  <c r="AA48" i="41"/>
  <c r="AB41" i="41"/>
  <c r="AB48" i="41"/>
  <c r="AC48" i="41"/>
  <c r="AD41" i="41"/>
  <c r="AD48" i="41"/>
  <c r="AE41" i="41"/>
  <c r="AE48" i="41"/>
  <c r="AF41" i="41"/>
  <c r="AF48" i="41"/>
  <c r="AG41" i="41"/>
  <c r="AG48" i="41"/>
  <c r="AH41" i="41"/>
  <c r="AH48" i="41"/>
  <c r="AI41" i="41"/>
  <c r="AI48" i="41"/>
  <c r="AJ41" i="41"/>
  <c r="AJ48" i="41"/>
  <c r="AK41" i="41"/>
  <c r="AK48" i="41"/>
  <c r="AL41" i="41"/>
  <c r="AL48" i="41"/>
  <c r="AM41" i="41"/>
  <c r="AM48" i="41"/>
  <c r="F43" i="41"/>
  <c r="F49" i="41"/>
  <c r="G43" i="41"/>
  <c r="G49" i="41"/>
  <c r="H43" i="41"/>
  <c r="H49" i="41"/>
  <c r="I43" i="41"/>
  <c r="I49" i="41"/>
  <c r="J43" i="41"/>
  <c r="J49" i="41"/>
  <c r="K43" i="41"/>
  <c r="K49" i="41"/>
  <c r="L43" i="41"/>
  <c r="L49" i="41"/>
  <c r="M43" i="41"/>
  <c r="M49" i="41"/>
  <c r="N43" i="41"/>
  <c r="N49" i="41"/>
  <c r="O43" i="41"/>
  <c r="O49" i="41"/>
  <c r="P43" i="41"/>
  <c r="P49" i="41"/>
  <c r="Q43" i="41"/>
  <c r="Q49" i="41"/>
  <c r="R43" i="41"/>
  <c r="R49" i="41"/>
  <c r="S43" i="41"/>
  <c r="S49" i="41"/>
  <c r="T43" i="41"/>
  <c r="T49" i="41"/>
  <c r="U43" i="41"/>
  <c r="U49" i="41"/>
  <c r="V43" i="41"/>
  <c r="V49" i="41"/>
  <c r="W43" i="41"/>
  <c r="W49" i="41"/>
  <c r="X43" i="41"/>
  <c r="X49" i="41"/>
  <c r="Y43" i="41"/>
  <c r="Y49" i="41"/>
  <c r="Z43" i="41"/>
  <c r="Z49" i="41"/>
  <c r="AA43" i="41"/>
  <c r="AA49" i="41"/>
  <c r="AB43" i="41"/>
  <c r="AB49" i="41"/>
  <c r="AC43" i="41"/>
  <c r="AC49" i="41"/>
  <c r="AD49" i="41"/>
  <c r="AE49" i="41"/>
  <c r="AF49" i="41"/>
  <c r="AG49" i="41"/>
  <c r="AH49" i="41"/>
  <c r="AI49" i="41"/>
  <c r="AJ49" i="41"/>
  <c r="AK49" i="41"/>
  <c r="AL49" i="41"/>
  <c r="AM49" i="41"/>
  <c r="F50" i="41"/>
  <c r="G50" i="41"/>
  <c r="H50" i="41"/>
  <c r="I50" i="41"/>
  <c r="J50" i="41"/>
  <c r="K50" i="41"/>
  <c r="L50" i="41"/>
  <c r="M50" i="41"/>
  <c r="N50" i="41"/>
  <c r="O50" i="41"/>
  <c r="P50" i="41"/>
  <c r="Q50" i="41"/>
  <c r="R50" i="41"/>
  <c r="S50" i="41"/>
  <c r="T50" i="41"/>
  <c r="U50" i="41"/>
  <c r="V50" i="41"/>
  <c r="W50" i="41"/>
  <c r="X50" i="41"/>
  <c r="Y50" i="41"/>
  <c r="Z50" i="41"/>
  <c r="AA50" i="41"/>
  <c r="AB50" i="41"/>
  <c r="AC50" i="41"/>
  <c r="AD50" i="41"/>
  <c r="AE50" i="41"/>
  <c r="AF50" i="41"/>
  <c r="AG50" i="41"/>
  <c r="AH50" i="41"/>
  <c r="AI50" i="41"/>
  <c r="AJ50" i="41"/>
  <c r="AK50" i="41"/>
  <c r="AL50" i="41"/>
  <c r="AM50" i="41"/>
  <c r="AD55" i="41"/>
  <c r="AE55" i="41"/>
  <c r="AF55" i="41"/>
  <c r="AG55" i="41"/>
  <c r="AH55" i="41"/>
  <c r="AI55" i="41"/>
  <c r="AJ55" i="41"/>
  <c r="AK55" i="41"/>
  <c r="AL55" i="41"/>
  <c r="AM55" i="41"/>
  <c r="F56" i="41"/>
  <c r="G56" i="41"/>
  <c r="H56" i="41"/>
  <c r="I56" i="41"/>
  <c r="J56" i="41"/>
  <c r="K56" i="41"/>
  <c r="L56" i="41"/>
  <c r="M56" i="41"/>
  <c r="N56" i="41"/>
  <c r="O56" i="41"/>
  <c r="P56" i="41"/>
  <c r="Q56" i="41"/>
  <c r="R56" i="41"/>
  <c r="S56" i="41"/>
  <c r="T56" i="41"/>
  <c r="U56" i="41"/>
  <c r="V56" i="41"/>
  <c r="W56" i="41"/>
  <c r="X56" i="41"/>
  <c r="Y56" i="41"/>
  <c r="Z56" i="41"/>
  <c r="AA56" i="41"/>
  <c r="AB56" i="41"/>
  <c r="AC56" i="41"/>
  <c r="AD56" i="41"/>
  <c r="AE56" i="41"/>
  <c r="AF56" i="41"/>
  <c r="AG56" i="41"/>
  <c r="AH56" i="41"/>
  <c r="AI56" i="41"/>
  <c r="AJ56" i="41"/>
  <c r="AK56" i="41"/>
  <c r="AL56" i="41"/>
  <c r="AM56" i="41"/>
  <c r="F28" i="41"/>
  <c r="F35" i="41"/>
  <c r="G28" i="41"/>
  <c r="G35" i="41"/>
  <c r="H35" i="41"/>
  <c r="I28" i="41"/>
  <c r="I35" i="41"/>
  <c r="J28" i="41"/>
  <c r="J35" i="41"/>
  <c r="K28" i="41"/>
  <c r="K35" i="41"/>
  <c r="L28" i="41"/>
  <c r="L35" i="41"/>
  <c r="M28" i="41"/>
  <c r="M35" i="41"/>
  <c r="N28" i="41"/>
  <c r="N35" i="41"/>
  <c r="O35" i="41"/>
  <c r="P28" i="41"/>
  <c r="P35" i="41"/>
  <c r="Q28" i="41"/>
  <c r="Q35" i="41"/>
  <c r="R28" i="41"/>
  <c r="R35" i="41"/>
  <c r="S28" i="41"/>
  <c r="S35" i="41"/>
  <c r="T28" i="41"/>
  <c r="T35" i="41"/>
  <c r="U28" i="41"/>
  <c r="U35" i="41"/>
  <c r="V28" i="41"/>
  <c r="V35" i="41"/>
  <c r="W28" i="41"/>
  <c r="W35" i="41"/>
  <c r="X28" i="41"/>
  <c r="X35" i="41"/>
  <c r="Y28" i="41"/>
  <c r="Y35" i="41"/>
  <c r="Z35" i="41"/>
  <c r="AA28" i="41"/>
  <c r="AA35" i="41"/>
  <c r="AB28" i="41"/>
  <c r="AB35" i="41"/>
  <c r="AC35" i="41"/>
  <c r="AD28" i="41"/>
  <c r="AD35" i="41"/>
  <c r="AE28" i="41"/>
  <c r="AE35" i="41"/>
  <c r="AF28" i="41"/>
  <c r="AF35" i="41"/>
  <c r="AG28" i="41"/>
  <c r="AG35" i="41"/>
  <c r="AH28" i="41"/>
  <c r="AH35" i="41"/>
  <c r="AI28" i="41"/>
  <c r="AI35" i="41"/>
  <c r="AJ28" i="41"/>
  <c r="AJ35" i="41"/>
  <c r="AK28" i="41"/>
  <c r="AK35" i="41"/>
  <c r="AL28" i="41"/>
  <c r="AL35" i="41"/>
  <c r="AM28" i="41"/>
  <c r="AM35" i="41"/>
  <c r="F29" i="41"/>
  <c r="F36" i="41"/>
  <c r="G29" i="41"/>
  <c r="G36" i="41"/>
  <c r="I29" i="41"/>
  <c r="I36" i="41"/>
  <c r="J29" i="41"/>
  <c r="J36" i="41"/>
  <c r="K29" i="41"/>
  <c r="K36" i="41"/>
  <c r="L29" i="41"/>
  <c r="L36" i="41"/>
  <c r="M29" i="41"/>
  <c r="M36" i="41"/>
  <c r="N29" i="41"/>
  <c r="N36" i="41"/>
  <c r="O36" i="41"/>
  <c r="P29" i="41"/>
  <c r="P36" i="41"/>
  <c r="Q29" i="41"/>
  <c r="Q36" i="41"/>
  <c r="R29" i="41"/>
  <c r="R36" i="41"/>
  <c r="S29" i="41"/>
  <c r="S36" i="41"/>
  <c r="T29" i="41"/>
  <c r="T36" i="41"/>
  <c r="U29" i="41"/>
  <c r="U36" i="41"/>
  <c r="V29" i="41"/>
  <c r="V36" i="41"/>
  <c r="W29" i="41"/>
  <c r="W36" i="41"/>
  <c r="X29" i="41"/>
  <c r="X36" i="41"/>
  <c r="Y29" i="41"/>
  <c r="Y36" i="41"/>
  <c r="Z36" i="41"/>
  <c r="AA29" i="41"/>
  <c r="AA36" i="41"/>
  <c r="AB29" i="41"/>
  <c r="AB36" i="41"/>
  <c r="AC29" i="41"/>
  <c r="AC36" i="41"/>
  <c r="AD29" i="41"/>
  <c r="AD36" i="41"/>
  <c r="AE29" i="41"/>
  <c r="AE36" i="41"/>
  <c r="AF29" i="41"/>
  <c r="AF36" i="41"/>
  <c r="AG29" i="41"/>
  <c r="AG36" i="41"/>
  <c r="AH29" i="41"/>
  <c r="AH36" i="41"/>
  <c r="AI29" i="41"/>
  <c r="AI36" i="41"/>
  <c r="AJ29" i="41"/>
  <c r="AJ36" i="41"/>
  <c r="AK29" i="41"/>
  <c r="AK36" i="41"/>
  <c r="AL29" i="41"/>
  <c r="AL36" i="41"/>
  <c r="AM29" i="41"/>
  <c r="AM36" i="41"/>
  <c r="F31" i="41"/>
  <c r="F37" i="41"/>
  <c r="G31" i="41"/>
  <c r="G37" i="41"/>
  <c r="I31" i="41"/>
  <c r="I37" i="41"/>
  <c r="J31" i="41"/>
  <c r="J37" i="41"/>
  <c r="K31" i="41"/>
  <c r="K37" i="41"/>
  <c r="L31" i="41"/>
  <c r="L37" i="41"/>
  <c r="M31" i="41"/>
  <c r="M37" i="41"/>
  <c r="N31" i="41"/>
  <c r="N37" i="41"/>
  <c r="O31" i="41"/>
  <c r="O37" i="41"/>
  <c r="P31" i="41"/>
  <c r="P37" i="41"/>
  <c r="Q31" i="41"/>
  <c r="Q37" i="41"/>
  <c r="R31" i="41"/>
  <c r="R37" i="41"/>
  <c r="S31" i="41"/>
  <c r="S37" i="41"/>
  <c r="T31" i="41"/>
  <c r="T37" i="41"/>
  <c r="U31" i="41"/>
  <c r="U37" i="41"/>
  <c r="V31" i="41"/>
  <c r="V37" i="41"/>
  <c r="W31" i="41"/>
  <c r="W37" i="41"/>
  <c r="X31" i="41"/>
  <c r="X37" i="41"/>
  <c r="Y31" i="41"/>
  <c r="Y37" i="41"/>
  <c r="Z31" i="41"/>
  <c r="Z37" i="41"/>
  <c r="AA31" i="41"/>
  <c r="AA37" i="41"/>
  <c r="AB31" i="41"/>
  <c r="AB37" i="41"/>
  <c r="AC31" i="41"/>
  <c r="AC37" i="41"/>
  <c r="AD37" i="41"/>
  <c r="AE37" i="41"/>
  <c r="AF37" i="41"/>
  <c r="AG37" i="41"/>
  <c r="AH37" i="41"/>
  <c r="AI37" i="41"/>
  <c r="AJ37" i="41"/>
  <c r="AK37" i="41"/>
  <c r="AL37" i="41"/>
  <c r="AM37" i="41"/>
  <c r="F38" i="41"/>
  <c r="G38" i="41"/>
  <c r="H38" i="41"/>
  <c r="I38" i="41"/>
  <c r="J38" i="41"/>
  <c r="K38" i="41"/>
  <c r="L38" i="41"/>
  <c r="M38" i="41"/>
  <c r="N38" i="41"/>
  <c r="O38" i="41"/>
  <c r="P38" i="41"/>
  <c r="Q38" i="41"/>
  <c r="R38" i="41"/>
  <c r="S38" i="41"/>
  <c r="T38" i="41"/>
  <c r="U38" i="41"/>
  <c r="V38" i="41"/>
  <c r="W38" i="41"/>
  <c r="X38" i="41"/>
  <c r="Y38" i="41"/>
  <c r="Z38" i="41"/>
  <c r="AA38" i="41"/>
  <c r="AB38" i="41"/>
  <c r="AC38" i="41"/>
  <c r="AD38" i="41"/>
  <c r="AE38" i="41"/>
  <c r="AF38" i="41"/>
  <c r="AG38" i="41"/>
  <c r="AH38" i="41"/>
  <c r="AI38" i="41"/>
  <c r="AJ38" i="41"/>
  <c r="AK38" i="41"/>
  <c r="AL38" i="41"/>
  <c r="AM38" i="41"/>
  <c r="AD43" i="41"/>
  <c r="AE43" i="41"/>
  <c r="AF43" i="41"/>
  <c r="AG43" i="41"/>
  <c r="AH43" i="41"/>
  <c r="AI43" i="41"/>
  <c r="AJ43" i="41"/>
  <c r="AK43" i="41"/>
  <c r="AL43" i="41"/>
  <c r="AM43" i="41"/>
  <c r="F44" i="41"/>
  <c r="G44" i="41"/>
  <c r="I44" i="41"/>
  <c r="J44" i="41"/>
  <c r="K44" i="41"/>
  <c r="L44" i="41"/>
  <c r="M44" i="41"/>
  <c r="N44" i="41"/>
  <c r="O44" i="41"/>
  <c r="P44" i="41"/>
  <c r="Q44" i="41"/>
  <c r="R44" i="41"/>
  <c r="S44" i="41"/>
  <c r="T44" i="41"/>
  <c r="U44" i="41"/>
  <c r="V44" i="41"/>
  <c r="W44" i="41"/>
  <c r="X44" i="41"/>
  <c r="Y44" i="41"/>
  <c r="AA44" i="41"/>
  <c r="AB44" i="41"/>
  <c r="AC44" i="41"/>
  <c r="AD44" i="41"/>
  <c r="AE44" i="41"/>
  <c r="AF44" i="41"/>
  <c r="AG44" i="41"/>
  <c r="AH44" i="41"/>
  <c r="AI44" i="41"/>
  <c r="AJ44" i="41"/>
  <c r="AK44" i="41"/>
  <c r="AL44" i="41"/>
  <c r="AM44" i="41"/>
  <c r="F16" i="41"/>
  <c r="F23" i="41"/>
  <c r="G16" i="41"/>
  <c r="G23" i="41"/>
  <c r="H16" i="41"/>
  <c r="H23" i="41"/>
  <c r="I16" i="41"/>
  <c r="I23" i="41"/>
  <c r="J16" i="41"/>
  <c r="J23" i="41"/>
  <c r="K16" i="41"/>
  <c r="K23" i="41"/>
  <c r="L23" i="41"/>
  <c r="M16" i="41"/>
  <c r="M23" i="41"/>
  <c r="N16" i="41"/>
  <c r="N23" i="41"/>
  <c r="O16" i="41"/>
  <c r="O23" i="41"/>
  <c r="P16" i="41"/>
  <c r="P23" i="41"/>
  <c r="Q16" i="41"/>
  <c r="Q23" i="41"/>
  <c r="R16" i="41"/>
  <c r="R23" i="41"/>
  <c r="S16" i="41"/>
  <c r="S23" i="41"/>
  <c r="T23" i="41"/>
  <c r="U16" i="41"/>
  <c r="U23" i="41"/>
  <c r="V23" i="41"/>
  <c r="W16" i="41"/>
  <c r="W23" i="41"/>
  <c r="X16" i="41"/>
  <c r="X23" i="41"/>
  <c r="Y16" i="41"/>
  <c r="Y23" i="41"/>
  <c r="Z23" i="41"/>
  <c r="AA16" i="41"/>
  <c r="AA23" i="41"/>
  <c r="AB16" i="41"/>
  <c r="AB23" i="41"/>
  <c r="AC23" i="41"/>
  <c r="AD16" i="41"/>
  <c r="AD23" i="41"/>
  <c r="AE16" i="41"/>
  <c r="AE23" i="41"/>
  <c r="AF16" i="41"/>
  <c r="AF23" i="41"/>
  <c r="AG16" i="41"/>
  <c r="AG23" i="41"/>
  <c r="AH16" i="41"/>
  <c r="AH23" i="41"/>
  <c r="AI16" i="41"/>
  <c r="AI23" i="41"/>
  <c r="AJ16" i="41"/>
  <c r="AJ23" i="41"/>
  <c r="AK16" i="41"/>
  <c r="AK23" i="41"/>
  <c r="AL16" i="41"/>
  <c r="AL23" i="41"/>
  <c r="AM16" i="41"/>
  <c r="AM23" i="41"/>
  <c r="F17" i="41"/>
  <c r="F24" i="41"/>
  <c r="G17" i="41"/>
  <c r="G24" i="41"/>
  <c r="H17" i="41"/>
  <c r="H24" i="41"/>
  <c r="I17" i="41"/>
  <c r="I24" i="41"/>
  <c r="J17" i="41"/>
  <c r="J24" i="41"/>
  <c r="K17" i="41"/>
  <c r="K24" i="41"/>
  <c r="L24" i="41"/>
  <c r="M17" i="41"/>
  <c r="M24" i="41"/>
  <c r="N17" i="41"/>
  <c r="N24" i="41"/>
  <c r="O17" i="41"/>
  <c r="O24" i="41"/>
  <c r="P17" i="41"/>
  <c r="P24" i="41"/>
  <c r="Q17" i="41"/>
  <c r="Q24" i="41"/>
  <c r="R17" i="41"/>
  <c r="R24" i="41"/>
  <c r="S17" i="41"/>
  <c r="S24" i="41"/>
  <c r="T24" i="41"/>
  <c r="U17" i="41"/>
  <c r="U24" i="41"/>
  <c r="V17" i="41"/>
  <c r="V24" i="41"/>
  <c r="W17" i="41"/>
  <c r="W24" i="41"/>
  <c r="X17" i="41"/>
  <c r="X24" i="41"/>
  <c r="Y17" i="41"/>
  <c r="Y24" i="41"/>
  <c r="Z24" i="41"/>
  <c r="AA17" i="41"/>
  <c r="AA24" i="41"/>
  <c r="AB17" i="41"/>
  <c r="AB24" i="41"/>
  <c r="AC24" i="41"/>
  <c r="AD17" i="41"/>
  <c r="AD24" i="41"/>
  <c r="AE17" i="41"/>
  <c r="AE24" i="41"/>
  <c r="AF17" i="41"/>
  <c r="AF24" i="41"/>
  <c r="AG17" i="41"/>
  <c r="AG24" i="41"/>
  <c r="AH17" i="41"/>
  <c r="AH24" i="41"/>
  <c r="AI17" i="41"/>
  <c r="AI24" i="41"/>
  <c r="AJ17" i="41"/>
  <c r="AJ24" i="41"/>
  <c r="AK17" i="41"/>
  <c r="AK24" i="41"/>
  <c r="AL17" i="41"/>
  <c r="AL24" i="41"/>
  <c r="AM17" i="41"/>
  <c r="AM24" i="41"/>
  <c r="F19" i="41"/>
  <c r="F25" i="41"/>
  <c r="G19" i="41"/>
  <c r="G25" i="41"/>
  <c r="H19" i="41"/>
  <c r="H25" i="41"/>
  <c r="I19" i="41"/>
  <c r="I25" i="41"/>
  <c r="J19" i="41"/>
  <c r="J25" i="41"/>
  <c r="K19" i="41"/>
  <c r="K25" i="41"/>
  <c r="L19" i="41"/>
  <c r="L25" i="41"/>
  <c r="M19" i="41"/>
  <c r="M25" i="41"/>
  <c r="N19" i="41"/>
  <c r="N25" i="41"/>
  <c r="O19" i="41"/>
  <c r="O25" i="41"/>
  <c r="P19" i="41"/>
  <c r="P25" i="41"/>
  <c r="Q19" i="41"/>
  <c r="Q25" i="41"/>
  <c r="R19" i="41"/>
  <c r="R25" i="41"/>
  <c r="S19" i="41"/>
  <c r="S25" i="41"/>
  <c r="T19" i="41"/>
  <c r="T25" i="41"/>
  <c r="U19" i="41"/>
  <c r="U25" i="41"/>
  <c r="V19" i="41"/>
  <c r="V25" i="41"/>
  <c r="W19" i="41"/>
  <c r="W25" i="41"/>
  <c r="X19" i="41"/>
  <c r="X25" i="41"/>
  <c r="Y19" i="41"/>
  <c r="Y25" i="41"/>
  <c r="Z19" i="41"/>
  <c r="Z25" i="41"/>
  <c r="AA19" i="41"/>
  <c r="AA25" i="41"/>
  <c r="AB19" i="41"/>
  <c r="AB25" i="41"/>
  <c r="AC19" i="41"/>
  <c r="AC25" i="41"/>
  <c r="AD25" i="41"/>
  <c r="AE25" i="41"/>
  <c r="AF25" i="41"/>
  <c r="AG25" i="41"/>
  <c r="AH25" i="41"/>
  <c r="AI25" i="41"/>
  <c r="AJ25" i="41"/>
  <c r="AK25" i="41"/>
  <c r="AL25" i="41"/>
  <c r="AM25" i="41"/>
  <c r="F26" i="41"/>
  <c r="G26" i="41"/>
  <c r="H26" i="41"/>
  <c r="I26" i="41"/>
  <c r="J26" i="41"/>
  <c r="K26" i="41"/>
  <c r="L26" i="41"/>
  <c r="M26" i="41"/>
  <c r="N26" i="41"/>
  <c r="O26" i="41"/>
  <c r="P26" i="41"/>
  <c r="Q26" i="41"/>
  <c r="R26" i="41"/>
  <c r="S26" i="41"/>
  <c r="T26" i="41"/>
  <c r="U26" i="41"/>
  <c r="V26" i="41"/>
  <c r="W26" i="41"/>
  <c r="X26" i="41"/>
  <c r="Y26" i="41"/>
  <c r="Z26" i="41"/>
  <c r="AA26" i="41"/>
  <c r="AB26" i="41"/>
  <c r="AC26" i="41"/>
  <c r="AD26" i="41"/>
  <c r="AE26" i="41"/>
  <c r="AF26" i="41"/>
  <c r="AG26" i="41"/>
  <c r="AH26" i="41"/>
  <c r="AI26" i="41"/>
  <c r="AJ26" i="41"/>
  <c r="AK26" i="41"/>
  <c r="AL26" i="41"/>
  <c r="AM26" i="41"/>
  <c r="AD31" i="41"/>
  <c r="AE31" i="41"/>
  <c r="AF31" i="41"/>
  <c r="AG31" i="41"/>
  <c r="AH31" i="41"/>
  <c r="AI31" i="41"/>
  <c r="AJ31" i="41"/>
  <c r="AK31" i="41"/>
  <c r="AL31" i="41"/>
  <c r="AM31" i="41"/>
  <c r="F32" i="41"/>
  <c r="G32" i="41"/>
  <c r="H32" i="41"/>
  <c r="I32" i="41"/>
  <c r="J32" i="41"/>
  <c r="K32" i="41"/>
  <c r="L32" i="41"/>
  <c r="M32" i="41"/>
  <c r="N32" i="41"/>
  <c r="O32" i="41"/>
  <c r="P32" i="41"/>
  <c r="Q32" i="41"/>
  <c r="R32" i="41"/>
  <c r="S32" i="41"/>
  <c r="T32" i="41"/>
  <c r="U32" i="41"/>
  <c r="V32" i="41"/>
  <c r="W32" i="41"/>
  <c r="X32" i="41"/>
  <c r="Y32" i="41"/>
  <c r="Z32" i="41"/>
  <c r="AA32" i="41"/>
  <c r="AB32" i="41"/>
  <c r="AC32" i="41"/>
  <c r="AD32" i="41"/>
  <c r="AE32" i="41"/>
  <c r="AF32" i="41"/>
  <c r="AG32" i="41"/>
  <c r="AH32" i="41"/>
  <c r="AI32" i="41"/>
  <c r="AJ32" i="41"/>
  <c r="AK32" i="41"/>
  <c r="AL32" i="41"/>
  <c r="AM32" i="41"/>
  <c r="AD19" i="41"/>
  <c r="AE19" i="41"/>
  <c r="AF19" i="41"/>
  <c r="AG19" i="41"/>
  <c r="AH19" i="41"/>
  <c r="AI19" i="41"/>
  <c r="AJ19" i="41"/>
  <c r="AK19" i="41"/>
  <c r="AL19" i="41"/>
  <c r="AM19" i="41"/>
  <c r="F20" i="41"/>
  <c r="G20" i="41"/>
  <c r="H20" i="41"/>
  <c r="I20" i="41"/>
  <c r="J20" i="41"/>
  <c r="K20" i="41"/>
  <c r="L20" i="41"/>
  <c r="M20" i="41"/>
  <c r="N20" i="41"/>
  <c r="O20" i="41"/>
  <c r="P20" i="41"/>
  <c r="Q20" i="41"/>
  <c r="R20" i="41"/>
  <c r="S20" i="41"/>
  <c r="T20" i="41"/>
  <c r="U20" i="41"/>
  <c r="V20" i="41"/>
  <c r="W20" i="41"/>
  <c r="X20" i="41"/>
  <c r="Y20" i="41"/>
  <c r="Z20" i="41"/>
  <c r="AA20" i="41"/>
  <c r="AB20" i="41"/>
  <c r="AC20" i="41"/>
  <c r="AD20" i="41"/>
  <c r="AE20" i="41"/>
  <c r="AF20" i="41"/>
  <c r="AG20" i="41"/>
  <c r="AH20" i="41"/>
  <c r="AI20" i="41"/>
  <c r="AJ20" i="41"/>
  <c r="AK20" i="41"/>
  <c r="AL20" i="41"/>
  <c r="AM20" i="41"/>
  <c r="F4" i="41"/>
  <c r="F11" i="41"/>
  <c r="G4" i="41"/>
  <c r="G11" i="41"/>
  <c r="H4" i="41"/>
  <c r="H11" i="41"/>
  <c r="I4" i="41"/>
  <c r="I11" i="41"/>
  <c r="J4" i="41"/>
  <c r="J11" i="41"/>
  <c r="K4" i="41"/>
  <c r="K11" i="41"/>
  <c r="L4" i="41"/>
  <c r="L11" i="41"/>
  <c r="M4" i="41"/>
  <c r="M11" i="41"/>
  <c r="N4" i="41"/>
  <c r="N11" i="41"/>
  <c r="O11" i="41"/>
  <c r="P4" i="41"/>
  <c r="P11" i="41"/>
  <c r="Q4" i="41"/>
  <c r="Q11" i="41"/>
  <c r="R4" i="41"/>
  <c r="R11" i="41"/>
  <c r="S4" i="41"/>
  <c r="S11" i="41"/>
  <c r="T4" i="41"/>
  <c r="T11" i="41"/>
  <c r="U4" i="41"/>
  <c r="U11" i="41"/>
  <c r="V4" i="41"/>
  <c r="V11" i="41"/>
  <c r="W4" i="41"/>
  <c r="W11" i="41"/>
  <c r="X4" i="41"/>
  <c r="X11" i="41"/>
  <c r="Y4" i="41"/>
  <c r="Y11" i="41"/>
  <c r="Z11" i="41"/>
  <c r="AA4" i="41"/>
  <c r="AA11" i="41"/>
  <c r="AB4" i="41"/>
  <c r="AB11" i="41"/>
  <c r="AC4" i="41"/>
  <c r="AC11" i="41"/>
  <c r="AD4" i="41"/>
  <c r="AD11" i="41"/>
  <c r="AE4" i="41"/>
  <c r="AE11" i="41"/>
  <c r="AF4" i="41"/>
  <c r="AF11" i="41"/>
  <c r="AG4" i="41"/>
  <c r="AG11" i="41"/>
  <c r="AH4" i="41"/>
  <c r="AH11" i="41"/>
  <c r="AI4" i="41"/>
  <c r="AI11" i="41"/>
  <c r="AJ4" i="41"/>
  <c r="AJ11" i="41"/>
  <c r="AK4" i="41"/>
  <c r="AK11" i="41"/>
  <c r="AL4" i="41"/>
  <c r="AL11" i="41"/>
  <c r="AM4" i="41"/>
  <c r="AM11" i="41"/>
  <c r="F5" i="41"/>
  <c r="F12" i="41"/>
  <c r="G5" i="41"/>
  <c r="G12" i="41"/>
  <c r="H5" i="41"/>
  <c r="H12" i="41"/>
  <c r="I5" i="41"/>
  <c r="I12" i="41"/>
  <c r="J5" i="41"/>
  <c r="J12" i="41"/>
  <c r="K5" i="41"/>
  <c r="K12" i="41"/>
  <c r="L5" i="41"/>
  <c r="L12" i="41"/>
  <c r="M5" i="41"/>
  <c r="M12" i="41"/>
  <c r="N5" i="41"/>
  <c r="N12" i="41"/>
  <c r="O12" i="41"/>
  <c r="P5" i="41"/>
  <c r="P12" i="41"/>
  <c r="Q5" i="41"/>
  <c r="Q12" i="41"/>
  <c r="R5" i="41"/>
  <c r="R12" i="41"/>
  <c r="S5" i="41"/>
  <c r="S12" i="41"/>
  <c r="T5" i="41"/>
  <c r="T12" i="41"/>
  <c r="U5" i="41"/>
  <c r="U12" i="41"/>
  <c r="V5" i="41"/>
  <c r="V12" i="41"/>
  <c r="W5" i="41"/>
  <c r="W12" i="41"/>
  <c r="X5" i="41"/>
  <c r="X12" i="41"/>
  <c r="Y5" i="41"/>
  <c r="Y12" i="41"/>
  <c r="Z12" i="41"/>
  <c r="AA5" i="41"/>
  <c r="AA12" i="41"/>
  <c r="AB5" i="41"/>
  <c r="AB12" i="41"/>
  <c r="AC5" i="41"/>
  <c r="AC12" i="41"/>
  <c r="AD5" i="41"/>
  <c r="AD12" i="41"/>
  <c r="AE5" i="41"/>
  <c r="AE12" i="41"/>
  <c r="AF5" i="41"/>
  <c r="AF12" i="41"/>
  <c r="AG5" i="41"/>
  <c r="AG12" i="41"/>
  <c r="AH5" i="41"/>
  <c r="AH12" i="41"/>
  <c r="AI5" i="41"/>
  <c r="AI12" i="41"/>
  <c r="AJ5" i="41"/>
  <c r="AJ12" i="41"/>
  <c r="AK5" i="41"/>
  <c r="AK12" i="41"/>
  <c r="AL5" i="41"/>
  <c r="AL12" i="41"/>
  <c r="AM5" i="41"/>
  <c r="AM12" i="41"/>
  <c r="F7" i="41"/>
  <c r="F13" i="41"/>
  <c r="G7" i="41"/>
  <c r="G13" i="41"/>
  <c r="H7" i="41"/>
  <c r="H13" i="41"/>
  <c r="I7" i="41"/>
  <c r="I13" i="41"/>
  <c r="J7" i="41"/>
  <c r="J13" i="41"/>
  <c r="K7" i="41"/>
  <c r="K13" i="41"/>
  <c r="L7" i="41"/>
  <c r="L13" i="41"/>
  <c r="M7" i="41"/>
  <c r="M13" i="41"/>
  <c r="N7" i="41"/>
  <c r="N13" i="41"/>
  <c r="O7" i="41"/>
  <c r="O13" i="41"/>
  <c r="P7" i="41"/>
  <c r="P13" i="41"/>
  <c r="Q7" i="41"/>
  <c r="Q13" i="41"/>
  <c r="R7" i="41"/>
  <c r="R13" i="41"/>
  <c r="S7" i="41"/>
  <c r="S13" i="41"/>
  <c r="T7" i="41"/>
  <c r="T13" i="41"/>
  <c r="U7" i="41"/>
  <c r="U13" i="41"/>
  <c r="V7" i="41"/>
  <c r="V13" i="41"/>
  <c r="W7" i="41"/>
  <c r="W13" i="41"/>
  <c r="X7" i="41"/>
  <c r="X13" i="41"/>
  <c r="Y7" i="41"/>
  <c r="Y13" i="41"/>
  <c r="Z7" i="41"/>
  <c r="Z13" i="41"/>
  <c r="AA7" i="41"/>
  <c r="AA13" i="41"/>
  <c r="AB7" i="41"/>
  <c r="AB13" i="41"/>
  <c r="AC7" i="41"/>
  <c r="AC13" i="41"/>
  <c r="AD13" i="41"/>
  <c r="AE13" i="41"/>
  <c r="AF13" i="41"/>
  <c r="AG13" i="41"/>
  <c r="AH13" i="41"/>
  <c r="AI13" i="41"/>
  <c r="AJ13" i="41"/>
  <c r="AK13" i="41"/>
  <c r="AL13" i="41"/>
  <c r="AM13" i="41"/>
  <c r="F14" i="41"/>
  <c r="G14" i="41"/>
  <c r="H14" i="41"/>
  <c r="I14" i="41"/>
  <c r="J14" i="41"/>
  <c r="K14" i="41"/>
  <c r="L14" i="41"/>
  <c r="M14" i="41"/>
  <c r="N14" i="41"/>
  <c r="O14" i="41"/>
  <c r="P14" i="41"/>
  <c r="Q14" i="41"/>
  <c r="R14" i="41"/>
  <c r="S14" i="41"/>
  <c r="T14" i="41"/>
  <c r="U14" i="41"/>
  <c r="V14" i="41"/>
  <c r="W14" i="41"/>
  <c r="X14" i="41"/>
  <c r="Y14" i="41"/>
  <c r="Z14" i="41"/>
  <c r="AA14" i="41"/>
  <c r="AB14" i="41"/>
  <c r="AC14" i="41"/>
  <c r="AD14" i="41"/>
  <c r="AE14" i="41"/>
  <c r="AF14" i="41"/>
  <c r="AG14" i="41"/>
  <c r="AH14" i="41"/>
  <c r="AI14" i="41"/>
  <c r="AJ14" i="41"/>
  <c r="AK14" i="41"/>
  <c r="AL14" i="41"/>
  <c r="AM14" i="41"/>
  <c r="D1" i="41"/>
  <c r="E1" i="41"/>
  <c r="F1" i="41"/>
  <c r="G1" i="41"/>
  <c r="H1" i="41"/>
  <c r="I1" i="41"/>
  <c r="J1" i="41"/>
  <c r="K1" i="41"/>
  <c r="L1" i="41"/>
  <c r="M1" i="41"/>
  <c r="N1" i="41"/>
  <c r="O1" i="41"/>
  <c r="P1" i="41"/>
  <c r="Q1" i="41"/>
  <c r="R1" i="41"/>
  <c r="S1" i="41"/>
  <c r="T1" i="41"/>
  <c r="U1" i="41"/>
  <c r="V1" i="41"/>
  <c r="W1" i="41"/>
  <c r="X1" i="41"/>
  <c r="Y1" i="41"/>
  <c r="Z1" i="41"/>
  <c r="AA1" i="41"/>
  <c r="AB1" i="41"/>
  <c r="AC1" i="41"/>
  <c r="AD1" i="41"/>
  <c r="AE1" i="41"/>
  <c r="AF1" i="41"/>
  <c r="AG1" i="41"/>
  <c r="AH1" i="41"/>
  <c r="AI1" i="41"/>
  <c r="AJ1" i="41"/>
  <c r="AK1" i="41"/>
  <c r="AL1" i="41"/>
  <c r="AM1" i="41"/>
  <c r="F2" i="41"/>
  <c r="G2" i="41"/>
  <c r="H2" i="41"/>
  <c r="I2" i="41"/>
  <c r="J2" i="41"/>
  <c r="K2" i="41"/>
  <c r="L2" i="41"/>
  <c r="M2" i="41"/>
  <c r="N2" i="41"/>
  <c r="O2" i="41"/>
  <c r="P2" i="41"/>
  <c r="Q2" i="41"/>
  <c r="R2" i="41"/>
  <c r="S2" i="41"/>
  <c r="T2" i="41"/>
  <c r="U2" i="41"/>
  <c r="V2" i="41"/>
  <c r="W2" i="41"/>
  <c r="X2" i="41"/>
  <c r="Y2" i="41"/>
  <c r="Z2" i="41"/>
  <c r="AA2" i="41"/>
  <c r="AB2" i="41"/>
  <c r="AC2" i="41"/>
  <c r="AD2" i="41"/>
  <c r="AE2" i="41"/>
  <c r="AF2" i="41"/>
  <c r="AG2" i="41"/>
  <c r="AH2" i="41"/>
  <c r="AI2" i="41"/>
  <c r="AJ2" i="41"/>
  <c r="AK2" i="41"/>
  <c r="AL2" i="41"/>
  <c r="AM2" i="41"/>
  <c r="AD7" i="41"/>
  <c r="AE7" i="41"/>
  <c r="AF7" i="41"/>
  <c r="AG7" i="41"/>
  <c r="AH7" i="41"/>
  <c r="AI7" i="41"/>
  <c r="AJ7" i="41"/>
  <c r="AK7" i="41"/>
  <c r="AL7" i="41"/>
  <c r="AM7" i="41"/>
  <c r="F8" i="41"/>
  <c r="G8" i="41"/>
  <c r="H8" i="41"/>
  <c r="I8" i="41"/>
  <c r="J8" i="41"/>
  <c r="K8" i="41"/>
  <c r="L8" i="41"/>
  <c r="M8" i="41"/>
  <c r="N8" i="41"/>
  <c r="O8" i="41"/>
  <c r="P8" i="41"/>
  <c r="Q8" i="41"/>
  <c r="R8" i="41"/>
  <c r="S8" i="41"/>
  <c r="T8" i="41"/>
  <c r="U8" i="41"/>
  <c r="V8" i="41"/>
  <c r="W8" i="41"/>
  <c r="X8" i="41"/>
  <c r="Y8" i="41"/>
  <c r="Z8" i="41"/>
  <c r="AA8" i="41"/>
  <c r="AB8" i="41"/>
  <c r="AC8" i="41"/>
  <c r="AD8" i="41"/>
  <c r="AE8" i="41"/>
  <c r="AF8" i="41"/>
  <c r="AG8" i="41"/>
  <c r="AH8" i="41"/>
  <c r="AI8" i="41"/>
  <c r="AJ8" i="41"/>
  <c r="AK8" i="41"/>
  <c r="AL8" i="41"/>
  <c r="AM8" i="41"/>
  <c r="D64" i="41"/>
  <c r="D71" i="41"/>
  <c r="E64" i="41"/>
  <c r="E71" i="41"/>
  <c r="D65" i="41"/>
  <c r="D72" i="41"/>
  <c r="E65" i="41"/>
  <c r="E72" i="41"/>
  <c r="D67" i="41"/>
  <c r="D73" i="41"/>
  <c r="E67" i="41"/>
  <c r="E73" i="41"/>
  <c r="D74" i="41"/>
  <c r="E74" i="41"/>
  <c r="D76" i="41"/>
  <c r="D77" i="41"/>
  <c r="D79" i="41"/>
  <c r="E79" i="41"/>
  <c r="D80" i="41"/>
  <c r="E80" i="41"/>
  <c r="D83" i="41"/>
  <c r="E83" i="41"/>
  <c r="D84" i="41"/>
  <c r="E84" i="41"/>
  <c r="D85" i="41"/>
  <c r="E85" i="41"/>
  <c r="D86" i="41"/>
  <c r="E86" i="41"/>
  <c r="D88" i="41"/>
  <c r="D89" i="41"/>
  <c r="D91" i="41"/>
  <c r="E91" i="41"/>
  <c r="D92" i="41"/>
  <c r="E92" i="41"/>
  <c r="D95" i="41"/>
  <c r="E95" i="41"/>
  <c r="D96" i="41"/>
  <c r="E96" i="41"/>
  <c r="D97" i="41"/>
  <c r="E97" i="41"/>
  <c r="D98" i="41"/>
  <c r="E98" i="41"/>
  <c r="D68" i="41"/>
  <c r="E68" i="41"/>
  <c r="D52" i="41"/>
  <c r="D59" i="41"/>
  <c r="E52" i="41"/>
  <c r="E59" i="41"/>
  <c r="D53" i="41"/>
  <c r="D60" i="41"/>
  <c r="E53" i="41"/>
  <c r="E60" i="41"/>
  <c r="D55" i="41"/>
  <c r="D61" i="41"/>
  <c r="E55" i="41"/>
  <c r="E61" i="41"/>
  <c r="D62" i="41"/>
  <c r="E62" i="41"/>
  <c r="D56" i="41"/>
  <c r="E56" i="41"/>
  <c r="D40" i="41"/>
  <c r="D47" i="41"/>
  <c r="E40" i="41"/>
  <c r="E47" i="41"/>
  <c r="D41" i="41"/>
  <c r="D48" i="41"/>
  <c r="E41" i="41"/>
  <c r="E48" i="41"/>
  <c r="D43" i="41"/>
  <c r="D49" i="41"/>
  <c r="E43" i="41"/>
  <c r="E49" i="41"/>
  <c r="D50" i="41"/>
  <c r="E50" i="41"/>
  <c r="D44" i="41"/>
  <c r="E44" i="41"/>
  <c r="D28" i="41"/>
  <c r="D35" i="41"/>
  <c r="E28" i="41"/>
  <c r="E35" i="41"/>
  <c r="D29" i="41"/>
  <c r="D36" i="41"/>
  <c r="E29" i="41"/>
  <c r="E36" i="41"/>
  <c r="D31" i="41"/>
  <c r="D37" i="41"/>
  <c r="E31" i="41"/>
  <c r="E37" i="41"/>
  <c r="D38" i="41"/>
  <c r="E38" i="41"/>
  <c r="D32" i="41"/>
  <c r="E32" i="41"/>
  <c r="D16" i="41"/>
  <c r="D23" i="41"/>
  <c r="E23" i="41"/>
  <c r="D17" i="41"/>
  <c r="D24" i="41"/>
  <c r="E24" i="41"/>
  <c r="D19" i="41"/>
  <c r="D25" i="41"/>
  <c r="E19" i="41"/>
  <c r="E25" i="41"/>
  <c r="D26" i="41"/>
  <c r="E26" i="41"/>
  <c r="D20" i="41"/>
  <c r="E20" i="41"/>
  <c r="D4" i="41"/>
  <c r="D11" i="41"/>
  <c r="E4" i="41"/>
  <c r="E11" i="41"/>
  <c r="D5" i="41"/>
  <c r="D12" i="41"/>
  <c r="E5" i="41"/>
  <c r="E12" i="41"/>
  <c r="D7" i="41"/>
  <c r="D13" i="41"/>
  <c r="E7" i="41"/>
  <c r="E13" i="41"/>
  <c r="D14" i="41"/>
  <c r="E14" i="41"/>
  <c r="D8" i="41"/>
  <c r="E8" i="41"/>
  <c r="D2" i="41"/>
  <c r="E2" i="41"/>
  <c r="F67" i="40"/>
  <c r="G67" i="40"/>
  <c r="H67" i="40"/>
  <c r="I67" i="40"/>
  <c r="J67" i="40"/>
  <c r="K67" i="40"/>
  <c r="L67" i="40"/>
  <c r="M67" i="40"/>
  <c r="N67" i="40"/>
  <c r="O67" i="40"/>
  <c r="P67" i="40"/>
  <c r="Q67" i="40"/>
  <c r="R67" i="40"/>
  <c r="S67" i="40"/>
  <c r="T67" i="40"/>
  <c r="U67" i="40"/>
  <c r="V67" i="40"/>
  <c r="W67" i="40"/>
  <c r="X67" i="40"/>
  <c r="Y67" i="40"/>
  <c r="Z67" i="40"/>
  <c r="AA67" i="40"/>
  <c r="AB67" i="40"/>
  <c r="AC67" i="40"/>
  <c r="AD67" i="40"/>
  <c r="AE67" i="40"/>
  <c r="AF67" i="40"/>
  <c r="AG67" i="40"/>
  <c r="AH67" i="40"/>
  <c r="AI67" i="40"/>
  <c r="AJ67" i="40"/>
  <c r="AK67" i="40"/>
  <c r="AL67" i="40"/>
  <c r="AM67" i="40"/>
  <c r="AN67" i="40"/>
  <c r="F68" i="40"/>
  <c r="G68" i="40"/>
  <c r="H68" i="40"/>
  <c r="I68" i="40"/>
  <c r="J68" i="40"/>
  <c r="K68" i="40"/>
  <c r="L68" i="40"/>
  <c r="M68" i="40"/>
  <c r="N68" i="40"/>
  <c r="O68" i="40"/>
  <c r="P68" i="40"/>
  <c r="Q68" i="40"/>
  <c r="R68" i="40"/>
  <c r="S68" i="40"/>
  <c r="T68" i="40"/>
  <c r="U68" i="40"/>
  <c r="V68" i="40"/>
  <c r="W68" i="40"/>
  <c r="X68" i="40"/>
  <c r="Y68" i="40"/>
  <c r="AA68" i="40"/>
  <c r="AB68" i="40"/>
  <c r="AC68" i="40"/>
  <c r="AD68" i="40"/>
  <c r="AE68" i="40"/>
  <c r="AF68" i="40"/>
  <c r="AG68" i="40"/>
  <c r="AH68" i="40"/>
  <c r="AI68" i="40"/>
  <c r="AJ68" i="40"/>
  <c r="AK68" i="40"/>
  <c r="AL68" i="40"/>
  <c r="AM68" i="40"/>
  <c r="AN68" i="40"/>
  <c r="F64" i="40"/>
  <c r="F71" i="40"/>
  <c r="G64" i="40"/>
  <c r="G71" i="40"/>
  <c r="H64" i="40"/>
  <c r="H71" i="40"/>
  <c r="I64" i="40"/>
  <c r="I71" i="40"/>
  <c r="J64" i="40"/>
  <c r="J71" i="40"/>
  <c r="K64" i="40"/>
  <c r="K71" i="40"/>
  <c r="L64" i="40"/>
  <c r="L71" i="40"/>
  <c r="M64" i="40"/>
  <c r="M71" i="40"/>
  <c r="N64" i="40"/>
  <c r="N71" i="40"/>
  <c r="O64" i="40"/>
  <c r="O71" i="40"/>
  <c r="P64" i="40"/>
  <c r="P71" i="40"/>
  <c r="Q64" i="40"/>
  <c r="Q71" i="40"/>
  <c r="R64" i="40"/>
  <c r="R71" i="40"/>
  <c r="S64" i="40"/>
  <c r="S71" i="40"/>
  <c r="T64" i="40"/>
  <c r="T71" i="40"/>
  <c r="U64" i="40"/>
  <c r="U71" i="40"/>
  <c r="V71" i="40"/>
  <c r="W64" i="40"/>
  <c r="W71" i="40"/>
  <c r="X64" i="40"/>
  <c r="X71" i="40"/>
  <c r="Y64" i="40"/>
  <c r="Y71" i="40"/>
  <c r="Z64" i="40"/>
  <c r="Z71" i="40"/>
  <c r="AA64" i="40"/>
  <c r="AA71" i="40"/>
  <c r="AB64" i="40"/>
  <c r="AB71" i="40"/>
  <c r="AC71" i="40"/>
  <c r="AD64" i="40"/>
  <c r="AD71" i="40"/>
  <c r="AE64" i="40"/>
  <c r="AE71" i="40"/>
  <c r="AF64" i="40"/>
  <c r="AF71" i="40"/>
  <c r="AG64" i="40"/>
  <c r="AG71" i="40"/>
  <c r="AH64" i="40"/>
  <c r="AH71" i="40"/>
  <c r="AI64" i="40"/>
  <c r="AI71" i="40"/>
  <c r="AJ64" i="40"/>
  <c r="AJ71" i="40"/>
  <c r="AK64" i="40"/>
  <c r="AK71" i="40"/>
  <c r="AL64" i="40"/>
  <c r="AL71" i="40"/>
  <c r="AM64" i="40"/>
  <c r="AM71" i="40"/>
  <c r="AN64" i="40"/>
  <c r="AN71" i="40"/>
  <c r="F65" i="40"/>
  <c r="F72" i="40"/>
  <c r="G65" i="40"/>
  <c r="G72" i="40"/>
  <c r="H65" i="40"/>
  <c r="H72" i="40"/>
  <c r="I65" i="40"/>
  <c r="I72" i="40"/>
  <c r="J65" i="40"/>
  <c r="J72" i="40"/>
  <c r="K65" i="40"/>
  <c r="K72" i="40"/>
  <c r="L65" i="40"/>
  <c r="L72" i="40"/>
  <c r="M65" i="40"/>
  <c r="M72" i="40"/>
  <c r="N65" i="40"/>
  <c r="N72" i="40"/>
  <c r="O65" i="40"/>
  <c r="O72" i="40"/>
  <c r="P65" i="40"/>
  <c r="P72" i="40"/>
  <c r="Q65" i="40"/>
  <c r="Q72" i="40"/>
  <c r="R65" i="40"/>
  <c r="R72" i="40"/>
  <c r="S65" i="40"/>
  <c r="S72" i="40"/>
  <c r="T65" i="40"/>
  <c r="T72" i="40"/>
  <c r="U65" i="40"/>
  <c r="U72" i="40"/>
  <c r="V72" i="40"/>
  <c r="W65" i="40"/>
  <c r="W72" i="40"/>
  <c r="X65" i="40"/>
  <c r="X72" i="40"/>
  <c r="Y65" i="40"/>
  <c r="Y72" i="40"/>
  <c r="Z65" i="40"/>
  <c r="Z72" i="40"/>
  <c r="AA65" i="40"/>
  <c r="AA72" i="40"/>
  <c r="AB65" i="40"/>
  <c r="AB72" i="40"/>
  <c r="AC72" i="40"/>
  <c r="AD65" i="40"/>
  <c r="AD72" i="40"/>
  <c r="AE65" i="40"/>
  <c r="AE72" i="40"/>
  <c r="AF65" i="40"/>
  <c r="AF72" i="40"/>
  <c r="AG65" i="40"/>
  <c r="AG72" i="40"/>
  <c r="AH65" i="40"/>
  <c r="AH72" i="40"/>
  <c r="AI65" i="40"/>
  <c r="AI72" i="40"/>
  <c r="AJ65" i="40"/>
  <c r="AJ72" i="40"/>
  <c r="AK65" i="40"/>
  <c r="AK72" i="40"/>
  <c r="AL65" i="40"/>
  <c r="AL72" i="40"/>
  <c r="AM65" i="40"/>
  <c r="AM72" i="40"/>
  <c r="AN65" i="40"/>
  <c r="AN72" i="40"/>
  <c r="F73" i="40"/>
  <c r="G73" i="40"/>
  <c r="H73" i="40"/>
  <c r="I73" i="40"/>
  <c r="J73" i="40"/>
  <c r="K73" i="40"/>
  <c r="L73" i="40"/>
  <c r="M73" i="40"/>
  <c r="N73" i="40"/>
  <c r="O73" i="40"/>
  <c r="P73" i="40"/>
  <c r="Q73" i="40"/>
  <c r="R73" i="40"/>
  <c r="S73" i="40"/>
  <c r="T73" i="40"/>
  <c r="U73" i="40"/>
  <c r="V73" i="40"/>
  <c r="W73" i="40"/>
  <c r="X73" i="40"/>
  <c r="Y73" i="40"/>
  <c r="Z73" i="40"/>
  <c r="AA73" i="40"/>
  <c r="AB73" i="40"/>
  <c r="AC73" i="40"/>
  <c r="AD73" i="40"/>
  <c r="AE73" i="40"/>
  <c r="AF73" i="40"/>
  <c r="AG73" i="40"/>
  <c r="AH73" i="40"/>
  <c r="AI73" i="40"/>
  <c r="AJ73" i="40"/>
  <c r="AK73" i="40"/>
  <c r="AL73" i="40"/>
  <c r="AM73" i="40"/>
  <c r="AN73" i="40"/>
  <c r="F74" i="40"/>
  <c r="G74" i="40"/>
  <c r="H74" i="40"/>
  <c r="I74" i="40"/>
  <c r="J74" i="40"/>
  <c r="K74" i="40"/>
  <c r="L74" i="40"/>
  <c r="M74" i="40"/>
  <c r="N74" i="40"/>
  <c r="O74" i="40"/>
  <c r="P74" i="40"/>
  <c r="Q74" i="40"/>
  <c r="R74" i="40"/>
  <c r="S74" i="40"/>
  <c r="T74" i="40"/>
  <c r="U74" i="40"/>
  <c r="V74" i="40"/>
  <c r="W74" i="40"/>
  <c r="X74" i="40"/>
  <c r="Y74" i="40"/>
  <c r="Z74" i="40"/>
  <c r="AA74" i="40"/>
  <c r="AB74" i="40"/>
  <c r="AC74" i="40"/>
  <c r="AD74" i="40"/>
  <c r="AE74" i="40"/>
  <c r="AF74" i="40"/>
  <c r="AG74" i="40"/>
  <c r="AH74" i="40"/>
  <c r="AI74" i="40"/>
  <c r="AJ74" i="40"/>
  <c r="AK74" i="40"/>
  <c r="AL74" i="40"/>
  <c r="AM74" i="40"/>
  <c r="AN74" i="40"/>
  <c r="F76" i="40"/>
  <c r="G76" i="40"/>
  <c r="I76" i="40"/>
  <c r="J76" i="40"/>
  <c r="K76" i="40"/>
  <c r="M76" i="40"/>
  <c r="N76" i="40"/>
  <c r="O76" i="40"/>
  <c r="P76" i="40"/>
  <c r="Q76" i="40"/>
  <c r="R76" i="40"/>
  <c r="S76" i="40"/>
  <c r="U76" i="40"/>
  <c r="W76" i="40"/>
  <c r="X76" i="40"/>
  <c r="Y76" i="40"/>
  <c r="AA76" i="40"/>
  <c r="AB76" i="40"/>
  <c r="AD76" i="40"/>
  <c r="AE76" i="40"/>
  <c r="AF76" i="40"/>
  <c r="AG76" i="40"/>
  <c r="AH76" i="40"/>
  <c r="AI76" i="40"/>
  <c r="AJ76" i="40"/>
  <c r="AK76" i="40"/>
  <c r="AL76" i="40"/>
  <c r="AM76" i="40"/>
  <c r="AN76" i="40"/>
  <c r="F77" i="40"/>
  <c r="G77" i="40"/>
  <c r="I77" i="40"/>
  <c r="J77" i="40"/>
  <c r="K77" i="40"/>
  <c r="L77" i="40"/>
  <c r="M77" i="40"/>
  <c r="N77" i="40"/>
  <c r="P77" i="40"/>
  <c r="Q77" i="40"/>
  <c r="R77" i="40"/>
  <c r="S77" i="40"/>
  <c r="U77" i="40"/>
  <c r="W77" i="40"/>
  <c r="X77" i="40"/>
  <c r="Y77" i="40"/>
  <c r="AA77" i="40"/>
  <c r="AB77" i="40"/>
  <c r="AD77" i="40"/>
  <c r="AE77" i="40"/>
  <c r="AF77" i="40"/>
  <c r="AG77" i="40"/>
  <c r="AH77" i="40"/>
  <c r="AI77" i="40"/>
  <c r="AJ77" i="40"/>
  <c r="AK77" i="40"/>
  <c r="AL77" i="40"/>
  <c r="AM77" i="40"/>
  <c r="AN77" i="40"/>
  <c r="F79" i="40"/>
  <c r="G79" i="40"/>
  <c r="H79" i="40"/>
  <c r="I79" i="40"/>
  <c r="J79" i="40"/>
  <c r="K79" i="40"/>
  <c r="L79" i="40"/>
  <c r="M79" i="40"/>
  <c r="N79" i="40"/>
  <c r="O79" i="40"/>
  <c r="P79" i="40"/>
  <c r="Q79" i="40"/>
  <c r="R79" i="40"/>
  <c r="S79" i="40"/>
  <c r="T79" i="40"/>
  <c r="U79" i="40"/>
  <c r="V79" i="40"/>
  <c r="W79" i="40"/>
  <c r="X79" i="40"/>
  <c r="Y79" i="40"/>
  <c r="Z79" i="40"/>
  <c r="AA79" i="40"/>
  <c r="AB79" i="40"/>
  <c r="AC79" i="40"/>
  <c r="AD79" i="40"/>
  <c r="AE79" i="40"/>
  <c r="AF79" i="40"/>
  <c r="AG79" i="40"/>
  <c r="AH79" i="40"/>
  <c r="AI79" i="40"/>
  <c r="AJ79" i="40"/>
  <c r="AK79" i="40"/>
  <c r="AL79" i="40"/>
  <c r="AM79" i="40"/>
  <c r="AN79" i="40"/>
  <c r="F80" i="40"/>
  <c r="G80" i="40"/>
  <c r="I80" i="40"/>
  <c r="J80" i="40"/>
  <c r="K80" i="40"/>
  <c r="L80" i="40"/>
  <c r="M80" i="40"/>
  <c r="N80" i="40"/>
  <c r="O80" i="40"/>
  <c r="P80" i="40"/>
  <c r="Q80" i="40"/>
  <c r="R80" i="40"/>
  <c r="S80" i="40"/>
  <c r="T80" i="40"/>
  <c r="U80" i="40"/>
  <c r="V80" i="40"/>
  <c r="W80" i="40"/>
  <c r="X80" i="40"/>
  <c r="Y80" i="40"/>
  <c r="Z80" i="40"/>
  <c r="AA80" i="40"/>
  <c r="AB80" i="40"/>
  <c r="AC80" i="40"/>
  <c r="AD80" i="40"/>
  <c r="AE80" i="40"/>
  <c r="AF80" i="40"/>
  <c r="AG80" i="40"/>
  <c r="AH80" i="40"/>
  <c r="AI80" i="40"/>
  <c r="AJ80" i="40"/>
  <c r="AK80" i="40"/>
  <c r="AL80" i="40"/>
  <c r="AM80" i="40"/>
  <c r="AN80" i="40"/>
  <c r="F83" i="40"/>
  <c r="G83" i="40"/>
  <c r="H83" i="40"/>
  <c r="I83" i="40"/>
  <c r="J83" i="40"/>
  <c r="K83" i="40"/>
  <c r="L83" i="40"/>
  <c r="M83" i="40"/>
  <c r="N83" i="40"/>
  <c r="O83" i="40"/>
  <c r="P83" i="40"/>
  <c r="Q83" i="40"/>
  <c r="R83" i="40"/>
  <c r="S83" i="40"/>
  <c r="T83" i="40"/>
  <c r="U83" i="40"/>
  <c r="V83" i="40"/>
  <c r="W83" i="40"/>
  <c r="X83" i="40"/>
  <c r="Y83" i="40"/>
  <c r="Z83" i="40"/>
  <c r="AA83" i="40"/>
  <c r="AB83" i="40"/>
  <c r="AC83" i="40"/>
  <c r="AD83" i="40"/>
  <c r="AE83" i="40"/>
  <c r="AF83" i="40"/>
  <c r="AG83" i="40"/>
  <c r="AH83" i="40"/>
  <c r="AI83" i="40"/>
  <c r="AJ83" i="40"/>
  <c r="AK83" i="40"/>
  <c r="AL83" i="40"/>
  <c r="AM83" i="40"/>
  <c r="AN83" i="40"/>
  <c r="F84" i="40"/>
  <c r="G84" i="40"/>
  <c r="H84" i="40"/>
  <c r="I84" i="40"/>
  <c r="J84" i="40"/>
  <c r="K84" i="40"/>
  <c r="L84" i="40"/>
  <c r="M84" i="40"/>
  <c r="N84" i="40"/>
  <c r="O84" i="40"/>
  <c r="P84" i="40"/>
  <c r="Q84" i="40"/>
  <c r="R84" i="40"/>
  <c r="S84" i="40"/>
  <c r="T84" i="40"/>
  <c r="U84" i="40"/>
  <c r="V84" i="40"/>
  <c r="W84" i="40"/>
  <c r="X84" i="40"/>
  <c r="Y84" i="40"/>
  <c r="Z84" i="40"/>
  <c r="AA84" i="40"/>
  <c r="AB84" i="40"/>
  <c r="AC84" i="40"/>
  <c r="AD84" i="40"/>
  <c r="AE84" i="40"/>
  <c r="AF84" i="40"/>
  <c r="AG84" i="40"/>
  <c r="AH84" i="40"/>
  <c r="AI84" i="40"/>
  <c r="AJ84" i="40"/>
  <c r="AK84" i="40"/>
  <c r="AL84" i="40"/>
  <c r="AM84" i="40"/>
  <c r="AN84" i="40"/>
  <c r="F85" i="40"/>
  <c r="G85" i="40"/>
  <c r="H85" i="40"/>
  <c r="I85" i="40"/>
  <c r="J85" i="40"/>
  <c r="K85" i="40"/>
  <c r="L85" i="40"/>
  <c r="M85" i="40"/>
  <c r="N85" i="40"/>
  <c r="O85" i="40"/>
  <c r="P85" i="40"/>
  <c r="Q85" i="40"/>
  <c r="R85" i="40"/>
  <c r="S85" i="40"/>
  <c r="T85" i="40"/>
  <c r="U85" i="40"/>
  <c r="V85" i="40"/>
  <c r="W85" i="40"/>
  <c r="X85" i="40"/>
  <c r="Y85" i="40"/>
  <c r="Z85" i="40"/>
  <c r="AA85" i="40"/>
  <c r="AB85" i="40"/>
  <c r="AC85" i="40"/>
  <c r="AD85" i="40"/>
  <c r="AE85" i="40"/>
  <c r="AF85" i="40"/>
  <c r="AG85" i="40"/>
  <c r="AH85" i="40"/>
  <c r="AI85" i="40"/>
  <c r="AJ85" i="40"/>
  <c r="AK85" i="40"/>
  <c r="AL85" i="40"/>
  <c r="AM85" i="40"/>
  <c r="AN85" i="40"/>
  <c r="F86" i="40"/>
  <c r="G86" i="40"/>
  <c r="H86" i="40"/>
  <c r="I86" i="40"/>
  <c r="J86" i="40"/>
  <c r="K86" i="40"/>
  <c r="L86" i="40"/>
  <c r="M86" i="40"/>
  <c r="N86" i="40"/>
  <c r="O86" i="40"/>
  <c r="P86" i="40"/>
  <c r="Q86" i="40"/>
  <c r="R86" i="40"/>
  <c r="S86" i="40"/>
  <c r="T86" i="40"/>
  <c r="U86" i="40"/>
  <c r="V86" i="40"/>
  <c r="W86" i="40"/>
  <c r="X86" i="40"/>
  <c r="Y86" i="40"/>
  <c r="Z86" i="40"/>
  <c r="AA86" i="40"/>
  <c r="AB86" i="40"/>
  <c r="AC86" i="40"/>
  <c r="AD86" i="40"/>
  <c r="AE86" i="40"/>
  <c r="AF86" i="40"/>
  <c r="AG86" i="40"/>
  <c r="AH86" i="40"/>
  <c r="AI86" i="40"/>
  <c r="AJ86" i="40"/>
  <c r="AK86" i="40"/>
  <c r="AL86" i="40"/>
  <c r="AM86" i="40"/>
  <c r="AN86" i="40"/>
  <c r="F88" i="40"/>
  <c r="G88" i="40"/>
  <c r="I88" i="40"/>
  <c r="J88" i="40"/>
  <c r="K88" i="40"/>
  <c r="L88" i="40"/>
  <c r="M88" i="40"/>
  <c r="N88" i="40"/>
  <c r="P88" i="40"/>
  <c r="Q88" i="40"/>
  <c r="R88" i="40"/>
  <c r="S88" i="40"/>
  <c r="T88" i="40"/>
  <c r="U88" i="40"/>
  <c r="W88" i="40"/>
  <c r="X88" i="40"/>
  <c r="Y88" i="40"/>
  <c r="AA88" i="40"/>
  <c r="AB88" i="40"/>
  <c r="AC88" i="40"/>
  <c r="AD88" i="40"/>
  <c r="AE88" i="40"/>
  <c r="AF88" i="40"/>
  <c r="AG88" i="40"/>
  <c r="AH88" i="40"/>
  <c r="AI88" i="40"/>
  <c r="AJ88" i="40"/>
  <c r="AK88" i="40"/>
  <c r="AL88" i="40"/>
  <c r="AM88" i="40"/>
  <c r="AN88" i="40"/>
  <c r="F89" i="40"/>
  <c r="G89" i="40"/>
  <c r="H89" i="40"/>
  <c r="I89" i="40"/>
  <c r="J89" i="40"/>
  <c r="K89" i="40"/>
  <c r="L89" i="40"/>
  <c r="M89" i="40"/>
  <c r="N89" i="40"/>
  <c r="P89" i="40"/>
  <c r="Q89" i="40"/>
  <c r="R89" i="40"/>
  <c r="S89" i="40"/>
  <c r="T89" i="40"/>
  <c r="U89" i="40"/>
  <c r="W89" i="40"/>
  <c r="X89" i="40"/>
  <c r="Y89" i="40"/>
  <c r="AA89" i="40"/>
  <c r="AB89" i="40"/>
  <c r="AC89" i="40"/>
  <c r="AD89" i="40"/>
  <c r="AE89" i="40"/>
  <c r="AF89" i="40"/>
  <c r="AG89" i="40"/>
  <c r="AH89" i="40"/>
  <c r="AI89" i="40"/>
  <c r="AJ89" i="40"/>
  <c r="AK89" i="40"/>
  <c r="AL89" i="40"/>
  <c r="AM89" i="40"/>
  <c r="AN89" i="40"/>
  <c r="F91" i="40"/>
  <c r="G91" i="40"/>
  <c r="H91" i="40"/>
  <c r="I91" i="40"/>
  <c r="J91" i="40"/>
  <c r="K91" i="40"/>
  <c r="L91" i="40"/>
  <c r="M91" i="40"/>
  <c r="N91" i="40"/>
  <c r="O91" i="40"/>
  <c r="P91" i="40"/>
  <c r="Q91" i="40"/>
  <c r="R91" i="40"/>
  <c r="S91" i="40"/>
  <c r="T91" i="40"/>
  <c r="U91" i="40"/>
  <c r="V91" i="40"/>
  <c r="W91" i="40"/>
  <c r="X91" i="40"/>
  <c r="Y91" i="40"/>
  <c r="Z91" i="40"/>
  <c r="AA91" i="40"/>
  <c r="AB91" i="40"/>
  <c r="AC91" i="40"/>
  <c r="AD91" i="40"/>
  <c r="AE91" i="40"/>
  <c r="AF91" i="40"/>
  <c r="AG91" i="40"/>
  <c r="AH91" i="40"/>
  <c r="AI91" i="40"/>
  <c r="AJ91" i="40"/>
  <c r="AK91" i="40"/>
  <c r="AL91" i="40"/>
  <c r="AM91" i="40"/>
  <c r="AN91" i="40"/>
  <c r="F92" i="40"/>
  <c r="G92" i="40"/>
  <c r="H92" i="40"/>
  <c r="I92" i="40"/>
  <c r="J92" i="40"/>
  <c r="K92" i="40"/>
  <c r="L92" i="40"/>
  <c r="M92" i="40"/>
  <c r="N92" i="40"/>
  <c r="O92" i="40"/>
  <c r="P92" i="40"/>
  <c r="Q92" i="40"/>
  <c r="R92" i="40"/>
  <c r="S92" i="40"/>
  <c r="T92" i="40"/>
  <c r="U92" i="40"/>
  <c r="V92" i="40"/>
  <c r="W92" i="40"/>
  <c r="X92" i="40"/>
  <c r="Y92" i="40"/>
  <c r="Z92" i="40"/>
  <c r="AA92" i="40"/>
  <c r="AB92" i="40"/>
  <c r="AC92" i="40"/>
  <c r="AD92" i="40"/>
  <c r="AE92" i="40"/>
  <c r="AF92" i="40"/>
  <c r="AG92" i="40"/>
  <c r="AH92" i="40"/>
  <c r="AI92" i="40"/>
  <c r="AJ92" i="40"/>
  <c r="AK92" i="40"/>
  <c r="AL92" i="40"/>
  <c r="AM92" i="40"/>
  <c r="AN92" i="40"/>
  <c r="F95" i="40"/>
  <c r="G95" i="40"/>
  <c r="H95" i="40"/>
  <c r="I95" i="40"/>
  <c r="J95" i="40"/>
  <c r="K95" i="40"/>
  <c r="L95" i="40"/>
  <c r="M95" i="40"/>
  <c r="N95" i="40"/>
  <c r="O95" i="40"/>
  <c r="P95" i="40"/>
  <c r="Q95" i="40"/>
  <c r="R95" i="40"/>
  <c r="S95" i="40"/>
  <c r="T95" i="40"/>
  <c r="U95" i="40"/>
  <c r="V95" i="40"/>
  <c r="W95" i="40"/>
  <c r="X95" i="40"/>
  <c r="Y95" i="40"/>
  <c r="Z95" i="40"/>
  <c r="AA95" i="40"/>
  <c r="AB95" i="40"/>
  <c r="AC95" i="40"/>
  <c r="AD95" i="40"/>
  <c r="AE95" i="40"/>
  <c r="AF95" i="40"/>
  <c r="AG95" i="40"/>
  <c r="AH95" i="40"/>
  <c r="AI95" i="40"/>
  <c r="AJ95" i="40"/>
  <c r="AK95" i="40"/>
  <c r="AL95" i="40"/>
  <c r="AM95" i="40"/>
  <c r="AN95" i="40"/>
  <c r="F96" i="40"/>
  <c r="G96" i="40"/>
  <c r="H96" i="40"/>
  <c r="I96" i="40"/>
  <c r="J96" i="40"/>
  <c r="K96" i="40"/>
  <c r="L96" i="40"/>
  <c r="M96" i="40"/>
  <c r="N96" i="40"/>
  <c r="O96" i="40"/>
  <c r="P96" i="40"/>
  <c r="Q96" i="40"/>
  <c r="R96" i="40"/>
  <c r="S96" i="40"/>
  <c r="T96" i="40"/>
  <c r="U96" i="40"/>
  <c r="V96" i="40"/>
  <c r="W96" i="40"/>
  <c r="X96" i="40"/>
  <c r="Y96" i="40"/>
  <c r="Z96" i="40"/>
  <c r="AA96" i="40"/>
  <c r="AB96" i="40"/>
  <c r="AC96" i="40"/>
  <c r="AD96" i="40"/>
  <c r="AE96" i="40"/>
  <c r="AF96" i="40"/>
  <c r="AG96" i="40"/>
  <c r="AH96" i="40"/>
  <c r="AI96" i="40"/>
  <c r="AJ96" i="40"/>
  <c r="AK96" i="40"/>
  <c r="AL96" i="40"/>
  <c r="AM96" i="40"/>
  <c r="AN96" i="40"/>
  <c r="F97" i="40"/>
  <c r="G97" i="40"/>
  <c r="H97" i="40"/>
  <c r="I97" i="40"/>
  <c r="J97" i="40"/>
  <c r="K97" i="40"/>
  <c r="L97" i="40"/>
  <c r="M97" i="40"/>
  <c r="N97" i="40"/>
  <c r="O97" i="40"/>
  <c r="P97" i="40"/>
  <c r="Q97" i="40"/>
  <c r="R97" i="40"/>
  <c r="S97" i="40"/>
  <c r="T97" i="40"/>
  <c r="U97" i="40"/>
  <c r="V97" i="40"/>
  <c r="W97" i="40"/>
  <c r="X97" i="40"/>
  <c r="Y97" i="40"/>
  <c r="Z97" i="40"/>
  <c r="AA97" i="40"/>
  <c r="AB97" i="40"/>
  <c r="AC97" i="40"/>
  <c r="AD97" i="40"/>
  <c r="AE97" i="40"/>
  <c r="AF97" i="40"/>
  <c r="AG97" i="40"/>
  <c r="AH97" i="40"/>
  <c r="AI97" i="40"/>
  <c r="AJ97" i="40"/>
  <c r="AK97" i="40"/>
  <c r="AL97" i="40"/>
  <c r="AM97" i="40"/>
  <c r="AN97" i="40"/>
  <c r="F98" i="40"/>
  <c r="G98" i="40"/>
  <c r="H98" i="40"/>
  <c r="I98" i="40"/>
  <c r="J98" i="40"/>
  <c r="K98" i="40"/>
  <c r="L98" i="40"/>
  <c r="M98" i="40"/>
  <c r="N98" i="40"/>
  <c r="O98" i="40"/>
  <c r="P98" i="40"/>
  <c r="Q98" i="40"/>
  <c r="R98" i="40"/>
  <c r="S98" i="40"/>
  <c r="T98" i="40"/>
  <c r="U98" i="40"/>
  <c r="V98" i="40"/>
  <c r="W98" i="40"/>
  <c r="X98" i="40"/>
  <c r="Y98" i="40"/>
  <c r="Z98" i="40"/>
  <c r="AA98" i="40"/>
  <c r="AB98" i="40"/>
  <c r="AC98" i="40"/>
  <c r="AD98" i="40"/>
  <c r="AE98" i="40"/>
  <c r="AF98" i="40"/>
  <c r="AG98" i="40"/>
  <c r="AH98" i="40"/>
  <c r="AI98" i="40"/>
  <c r="AJ98" i="40"/>
  <c r="AK98" i="40"/>
  <c r="AL98" i="40"/>
  <c r="AM98" i="40"/>
  <c r="AN98" i="40"/>
  <c r="F100" i="40"/>
  <c r="G100" i="40"/>
  <c r="I100" i="40"/>
  <c r="J100" i="40"/>
  <c r="K100" i="40"/>
  <c r="M100" i="40"/>
  <c r="N100" i="40"/>
  <c r="P100" i="40"/>
  <c r="Q100" i="40"/>
  <c r="R100" i="40"/>
  <c r="S100" i="40"/>
  <c r="U100" i="40"/>
  <c r="W100" i="40"/>
  <c r="X100" i="40"/>
  <c r="Y100" i="40"/>
  <c r="AA100" i="40"/>
  <c r="AB100" i="40"/>
  <c r="AC100" i="40"/>
  <c r="AD100" i="40"/>
  <c r="AE100" i="40"/>
  <c r="AF100" i="40"/>
  <c r="AG100" i="40"/>
  <c r="AH100" i="40"/>
  <c r="AI100" i="40"/>
  <c r="AJ100" i="40"/>
  <c r="AK100" i="40"/>
  <c r="AL100" i="40"/>
  <c r="AM100" i="40"/>
  <c r="AN100" i="40"/>
  <c r="F101" i="40"/>
  <c r="G101" i="40"/>
  <c r="I101" i="40"/>
  <c r="J101" i="40"/>
  <c r="K101" i="40"/>
  <c r="M101" i="40"/>
  <c r="N101" i="40"/>
  <c r="P101" i="40"/>
  <c r="Q101" i="40"/>
  <c r="R101" i="40"/>
  <c r="S101" i="40"/>
  <c r="U101" i="40"/>
  <c r="W101" i="40"/>
  <c r="X101" i="40"/>
  <c r="Y101" i="40"/>
  <c r="AA101" i="40"/>
  <c r="AB101" i="40"/>
  <c r="AD101" i="40"/>
  <c r="AE101" i="40"/>
  <c r="AF101" i="40"/>
  <c r="AG101" i="40"/>
  <c r="AH101" i="40"/>
  <c r="AI101" i="40"/>
  <c r="AJ101" i="40"/>
  <c r="AK101" i="40"/>
  <c r="AL101" i="40"/>
  <c r="AM101" i="40"/>
  <c r="AN101" i="40"/>
  <c r="F103" i="40"/>
  <c r="G103" i="40"/>
  <c r="H103" i="40"/>
  <c r="I103" i="40"/>
  <c r="J103" i="40"/>
  <c r="K103" i="40"/>
  <c r="L103" i="40"/>
  <c r="M103" i="40"/>
  <c r="N103" i="40"/>
  <c r="O103" i="40"/>
  <c r="P103" i="40"/>
  <c r="Q103" i="40"/>
  <c r="R103" i="40"/>
  <c r="S103" i="40"/>
  <c r="T103" i="40"/>
  <c r="U103" i="40"/>
  <c r="V103" i="40"/>
  <c r="W103" i="40"/>
  <c r="X103" i="40"/>
  <c r="Y103" i="40"/>
  <c r="Z103" i="40"/>
  <c r="AA103" i="40"/>
  <c r="AB103" i="40"/>
  <c r="AC103" i="40"/>
  <c r="AD103" i="40"/>
  <c r="AE103" i="40"/>
  <c r="AF103" i="40"/>
  <c r="AG103" i="40"/>
  <c r="AH103" i="40"/>
  <c r="AI103" i="40"/>
  <c r="AJ103" i="40"/>
  <c r="AK103" i="40"/>
  <c r="AL103" i="40"/>
  <c r="AM103" i="40"/>
  <c r="AN103" i="40"/>
  <c r="F104" i="40"/>
  <c r="G104" i="40"/>
  <c r="H104" i="40"/>
  <c r="I104" i="40"/>
  <c r="J104" i="40"/>
  <c r="K104" i="40"/>
  <c r="L104" i="40"/>
  <c r="M104" i="40"/>
  <c r="N104" i="40"/>
  <c r="O104" i="40"/>
  <c r="P104" i="40"/>
  <c r="Q104" i="40"/>
  <c r="R104" i="40"/>
  <c r="S104" i="40"/>
  <c r="T104" i="40"/>
  <c r="U104" i="40"/>
  <c r="V104" i="40"/>
  <c r="W104" i="40"/>
  <c r="X104" i="40"/>
  <c r="Y104" i="40"/>
  <c r="Z104" i="40"/>
  <c r="AA104" i="40"/>
  <c r="AC104" i="40"/>
  <c r="AD104" i="40"/>
  <c r="AE104" i="40"/>
  <c r="AF104" i="40"/>
  <c r="AG104" i="40"/>
  <c r="AH104" i="40"/>
  <c r="AI104" i="40"/>
  <c r="AJ104" i="40"/>
  <c r="AK104" i="40"/>
  <c r="AL104" i="40"/>
  <c r="AM104" i="40"/>
  <c r="AN104" i="40"/>
  <c r="F107" i="40"/>
  <c r="G107" i="40"/>
  <c r="H107" i="40"/>
  <c r="I107" i="40"/>
  <c r="J107" i="40"/>
  <c r="K107" i="40"/>
  <c r="L107" i="40"/>
  <c r="M107" i="40"/>
  <c r="N107" i="40"/>
  <c r="O107" i="40"/>
  <c r="P107" i="40"/>
  <c r="Q107" i="40"/>
  <c r="R107" i="40"/>
  <c r="S107" i="40"/>
  <c r="T107" i="40"/>
  <c r="U107" i="40"/>
  <c r="V107" i="40"/>
  <c r="W107" i="40"/>
  <c r="X107" i="40"/>
  <c r="Y107" i="40"/>
  <c r="Z107" i="40"/>
  <c r="AA107" i="40"/>
  <c r="AB107" i="40"/>
  <c r="AC107" i="40"/>
  <c r="AD107" i="40"/>
  <c r="AE107" i="40"/>
  <c r="AF107" i="40"/>
  <c r="AG107" i="40"/>
  <c r="AH107" i="40"/>
  <c r="AI107" i="40"/>
  <c r="AJ107" i="40"/>
  <c r="AK107" i="40"/>
  <c r="AL107" i="40"/>
  <c r="AM107" i="40"/>
  <c r="AN107" i="40"/>
  <c r="F108" i="40"/>
  <c r="G108" i="40"/>
  <c r="H108" i="40"/>
  <c r="I108" i="40"/>
  <c r="J108" i="40"/>
  <c r="K108" i="40"/>
  <c r="L108" i="40"/>
  <c r="M108" i="40"/>
  <c r="N108" i="40"/>
  <c r="O108" i="40"/>
  <c r="P108" i="40"/>
  <c r="Q108" i="40"/>
  <c r="R108" i="40"/>
  <c r="S108" i="40"/>
  <c r="T108" i="40"/>
  <c r="U108" i="40"/>
  <c r="V108" i="40"/>
  <c r="W108" i="40"/>
  <c r="X108" i="40"/>
  <c r="Y108" i="40"/>
  <c r="Z108" i="40"/>
  <c r="AA108" i="40"/>
  <c r="AB108" i="40"/>
  <c r="AC108" i="40"/>
  <c r="AD108" i="40"/>
  <c r="AE108" i="40"/>
  <c r="AF108" i="40"/>
  <c r="AG108" i="40"/>
  <c r="AH108" i="40"/>
  <c r="AI108" i="40"/>
  <c r="AJ108" i="40"/>
  <c r="AK108" i="40"/>
  <c r="AL108" i="40"/>
  <c r="AM108" i="40"/>
  <c r="AN108" i="40"/>
  <c r="F109" i="40"/>
  <c r="G109" i="40"/>
  <c r="H109" i="40"/>
  <c r="I109" i="40"/>
  <c r="J109" i="40"/>
  <c r="K109" i="40"/>
  <c r="L109" i="40"/>
  <c r="M109" i="40"/>
  <c r="N109" i="40"/>
  <c r="O109" i="40"/>
  <c r="P109" i="40"/>
  <c r="Q109" i="40"/>
  <c r="R109" i="40"/>
  <c r="S109" i="40"/>
  <c r="T109" i="40"/>
  <c r="U109" i="40"/>
  <c r="V109" i="40"/>
  <c r="W109" i="40"/>
  <c r="X109" i="40"/>
  <c r="Y109" i="40"/>
  <c r="Z109" i="40"/>
  <c r="AA109" i="40"/>
  <c r="AB109" i="40"/>
  <c r="AC109" i="40"/>
  <c r="AD109" i="40"/>
  <c r="AE109" i="40"/>
  <c r="AF109" i="40"/>
  <c r="AG109" i="40"/>
  <c r="AH109" i="40"/>
  <c r="AI109" i="40"/>
  <c r="AJ109" i="40"/>
  <c r="AK109" i="40"/>
  <c r="AL109" i="40"/>
  <c r="AM109" i="40"/>
  <c r="AN109" i="40"/>
  <c r="F110" i="40"/>
  <c r="G110" i="40"/>
  <c r="H110" i="40"/>
  <c r="I110" i="40"/>
  <c r="J110" i="40"/>
  <c r="K110" i="40"/>
  <c r="L110" i="40"/>
  <c r="M110" i="40"/>
  <c r="N110" i="40"/>
  <c r="O110" i="40"/>
  <c r="P110" i="40"/>
  <c r="Q110" i="40"/>
  <c r="R110" i="40"/>
  <c r="S110" i="40"/>
  <c r="T110" i="40"/>
  <c r="U110" i="40"/>
  <c r="V110" i="40"/>
  <c r="W110" i="40"/>
  <c r="X110" i="40"/>
  <c r="Y110" i="40"/>
  <c r="Z110" i="40"/>
  <c r="AA110" i="40"/>
  <c r="AB110" i="40"/>
  <c r="AC110" i="40"/>
  <c r="AD110" i="40"/>
  <c r="AE110" i="40"/>
  <c r="AF110" i="40"/>
  <c r="AG110" i="40"/>
  <c r="AH110" i="40"/>
  <c r="AI110" i="40"/>
  <c r="AJ110" i="40"/>
  <c r="AK110" i="40"/>
  <c r="AL110" i="40"/>
  <c r="AM110" i="40"/>
  <c r="AN110" i="40"/>
  <c r="F52" i="40"/>
  <c r="F59" i="40"/>
  <c r="G52" i="40"/>
  <c r="G59" i="40"/>
  <c r="H52" i="40"/>
  <c r="H59" i="40"/>
  <c r="I52" i="40"/>
  <c r="I59" i="40"/>
  <c r="J52" i="40"/>
  <c r="J59" i="40"/>
  <c r="K52" i="40"/>
  <c r="K59" i="40"/>
  <c r="L52" i="40"/>
  <c r="L59" i="40"/>
  <c r="M52" i="40"/>
  <c r="M59" i="40"/>
  <c r="N52" i="40"/>
  <c r="N59" i="40"/>
  <c r="O52" i="40"/>
  <c r="O59" i="40"/>
  <c r="P52" i="40"/>
  <c r="P59" i="40"/>
  <c r="Q52" i="40"/>
  <c r="Q59" i="40"/>
  <c r="R52" i="40"/>
  <c r="R59" i="40"/>
  <c r="S52" i="40"/>
  <c r="S59" i="40"/>
  <c r="T52" i="40"/>
  <c r="T59" i="40"/>
  <c r="U52" i="40"/>
  <c r="U59" i="40"/>
  <c r="V52" i="40"/>
  <c r="V59" i="40"/>
  <c r="W52" i="40"/>
  <c r="W59" i="40"/>
  <c r="X52" i="40"/>
  <c r="X59" i="40"/>
  <c r="Y52" i="40"/>
  <c r="Y59" i="40"/>
  <c r="Z52" i="40"/>
  <c r="Z59" i="40"/>
  <c r="AA52" i="40"/>
  <c r="AA59" i="40"/>
  <c r="AB52" i="40"/>
  <c r="AB59" i="40"/>
  <c r="AC59" i="40"/>
  <c r="AD52" i="40"/>
  <c r="AD59" i="40"/>
  <c r="AE52" i="40"/>
  <c r="AE59" i="40"/>
  <c r="AF52" i="40"/>
  <c r="AF59" i="40"/>
  <c r="AG52" i="40"/>
  <c r="AG59" i="40"/>
  <c r="AH52" i="40"/>
  <c r="AH59" i="40"/>
  <c r="AI52" i="40"/>
  <c r="AI59" i="40"/>
  <c r="AJ52" i="40"/>
  <c r="AJ59" i="40"/>
  <c r="AK52" i="40"/>
  <c r="AK59" i="40"/>
  <c r="AL52" i="40"/>
  <c r="AL59" i="40"/>
  <c r="AM52" i="40"/>
  <c r="AM59" i="40"/>
  <c r="AN52" i="40"/>
  <c r="AN59" i="40"/>
  <c r="F53" i="40"/>
  <c r="F60" i="40"/>
  <c r="G53" i="40"/>
  <c r="G60" i="40"/>
  <c r="H53" i="40"/>
  <c r="H60" i="40"/>
  <c r="I53" i="40"/>
  <c r="I60" i="40"/>
  <c r="J53" i="40"/>
  <c r="J60" i="40"/>
  <c r="K53" i="40"/>
  <c r="K60" i="40"/>
  <c r="L53" i="40"/>
  <c r="L60" i="40"/>
  <c r="M53" i="40"/>
  <c r="M60" i="40"/>
  <c r="N53" i="40"/>
  <c r="N60" i="40"/>
  <c r="O53" i="40"/>
  <c r="O60" i="40"/>
  <c r="P53" i="40"/>
  <c r="P60" i="40"/>
  <c r="Q53" i="40"/>
  <c r="Q60" i="40"/>
  <c r="R53" i="40"/>
  <c r="R60" i="40"/>
  <c r="S53" i="40"/>
  <c r="S60" i="40"/>
  <c r="T53" i="40"/>
  <c r="T60" i="40"/>
  <c r="U53" i="40"/>
  <c r="U60" i="40"/>
  <c r="V53" i="40"/>
  <c r="V60" i="40"/>
  <c r="W53" i="40"/>
  <c r="W60" i="40"/>
  <c r="X53" i="40"/>
  <c r="X60" i="40"/>
  <c r="Y53" i="40"/>
  <c r="Y60" i="40"/>
  <c r="Z53" i="40"/>
  <c r="Z60" i="40"/>
  <c r="AA53" i="40"/>
  <c r="AA60" i="40"/>
  <c r="AB53" i="40"/>
  <c r="AB60" i="40"/>
  <c r="AC60" i="40"/>
  <c r="AD53" i="40"/>
  <c r="AD60" i="40"/>
  <c r="AE53" i="40"/>
  <c r="AE60" i="40"/>
  <c r="AF53" i="40"/>
  <c r="AF60" i="40"/>
  <c r="AG53" i="40"/>
  <c r="AG60" i="40"/>
  <c r="AH53" i="40"/>
  <c r="AH60" i="40"/>
  <c r="AI53" i="40"/>
  <c r="AI60" i="40"/>
  <c r="AJ53" i="40"/>
  <c r="AJ60" i="40"/>
  <c r="AK53" i="40"/>
  <c r="AK60" i="40"/>
  <c r="AL53" i="40"/>
  <c r="AL60" i="40"/>
  <c r="AM53" i="40"/>
  <c r="AM60" i="40"/>
  <c r="AN53" i="40"/>
  <c r="AN60" i="40"/>
  <c r="F55" i="40"/>
  <c r="F61" i="40"/>
  <c r="G55" i="40"/>
  <c r="G61" i="40"/>
  <c r="H55" i="40"/>
  <c r="H61" i="40"/>
  <c r="I55" i="40"/>
  <c r="I61" i="40"/>
  <c r="J55" i="40"/>
  <c r="J61" i="40"/>
  <c r="K55" i="40"/>
  <c r="K61" i="40"/>
  <c r="L55" i="40"/>
  <c r="L61" i="40"/>
  <c r="M55" i="40"/>
  <c r="M61" i="40"/>
  <c r="N55" i="40"/>
  <c r="N61" i="40"/>
  <c r="O55" i="40"/>
  <c r="O61" i="40"/>
  <c r="P55" i="40"/>
  <c r="P61" i="40"/>
  <c r="Q55" i="40"/>
  <c r="Q61" i="40"/>
  <c r="R55" i="40"/>
  <c r="R61" i="40"/>
  <c r="S55" i="40"/>
  <c r="S61" i="40"/>
  <c r="T55" i="40"/>
  <c r="T61" i="40"/>
  <c r="U55" i="40"/>
  <c r="U61" i="40"/>
  <c r="V55" i="40"/>
  <c r="V61" i="40"/>
  <c r="W55" i="40"/>
  <c r="W61" i="40"/>
  <c r="X55" i="40"/>
  <c r="X61" i="40"/>
  <c r="Y55" i="40"/>
  <c r="Y61" i="40"/>
  <c r="Z55" i="40"/>
  <c r="Z61" i="40"/>
  <c r="AA55" i="40"/>
  <c r="AA61" i="40"/>
  <c r="AB55" i="40"/>
  <c r="AB61" i="40"/>
  <c r="AC55" i="40"/>
  <c r="AC61" i="40"/>
  <c r="AD61" i="40"/>
  <c r="AE61" i="40"/>
  <c r="AF61" i="40"/>
  <c r="AG61" i="40"/>
  <c r="AH61" i="40"/>
  <c r="AI61" i="40"/>
  <c r="AJ61" i="40"/>
  <c r="AK61" i="40"/>
  <c r="AL61" i="40"/>
  <c r="AM61" i="40"/>
  <c r="AN61" i="40"/>
  <c r="F62" i="40"/>
  <c r="G62" i="40"/>
  <c r="H62" i="40"/>
  <c r="I62" i="40"/>
  <c r="J62" i="40"/>
  <c r="K62" i="40"/>
  <c r="L62" i="40"/>
  <c r="M62" i="40"/>
  <c r="N62" i="40"/>
  <c r="O62" i="40"/>
  <c r="P62" i="40"/>
  <c r="Q62" i="40"/>
  <c r="R62" i="40"/>
  <c r="S62" i="40"/>
  <c r="T62" i="40"/>
  <c r="U62" i="40"/>
  <c r="V62" i="40"/>
  <c r="W62" i="40"/>
  <c r="X62" i="40"/>
  <c r="Y62" i="40"/>
  <c r="Z62" i="40"/>
  <c r="AA62" i="40"/>
  <c r="AB62" i="40"/>
  <c r="AC62" i="40"/>
  <c r="AD62" i="40"/>
  <c r="AE62" i="40"/>
  <c r="AF62" i="40"/>
  <c r="AG62" i="40"/>
  <c r="AH62" i="40"/>
  <c r="AI62" i="40"/>
  <c r="AJ62" i="40"/>
  <c r="AK62" i="40"/>
  <c r="AL62" i="40"/>
  <c r="AM62" i="40"/>
  <c r="AN62" i="40"/>
  <c r="AD55" i="40"/>
  <c r="AE55" i="40"/>
  <c r="AF55" i="40"/>
  <c r="AG55" i="40"/>
  <c r="AH55" i="40"/>
  <c r="AI55" i="40"/>
  <c r="AJ55" i="40"/>
  <c r="AK55" i="40"/>
  <c r="AL55" i="40"/>
  <c r="AM55" i="40"/>
  <c r="AN55" i="40"/>
  <c r="F56" i="40"/>
  <c r="G56" i="40"/>
  <c r="H56" i="40"/>
  <c r="I56" i="40"/>
  <c r="J56" i="40"/>
  <c r="K56" i="40"/>
  <c r="L56" i="40"/>
  <c r="M56" i="40"/>
  <c r="N56" i="40"/>
  <c r="O56" i="40"/>
  <c r="P56" i="40"/>
  <c r="Q56" i="40"/>
  <c r="R56" i="40"/>
  <c r="S56" i="40"/>
  <c r="T56" i="40"/>
  <c r="U56" i="40"/>
  <c r="V56" i="40"/>
  <c r="W56" i="40"/>
  <c r="X56" i="40"/>
  <c r="Y56" i="40"/>
  <c r="Z56" i="40"/>
  <c r="AA56" i="40"/>
  <c r="AB56" i="40"/>
  <c r="AC56" i="40"/>
  <c r="AD56" i="40"/>
  <c r="AE56" i="40"/>
  <c r="AF56" i="40"/>
  <c r="AG56" i="40"/>
  <c r="AH56" i="40"/>
  <c r="AI56" i="40"/>
  <c r="AJ56" i="40"/>
  <c r="AK56" i="40"/>
  <c r="AL56" i="40"/>
  <c r="AM56" i="40"/>
  <c r="AN56" i="40"/>
  <c r="F40" i="40"/>
  <c r="F47" i="40"/>
  <c r="G40" i="40"/>
  <c r="G47" i="40"/>
  <c r="H47" i="40"/>
  <c r="I40" i="40"/>
  <c r="I47" i="40"/>
  <c r="J40" i="40"/>
  <c r="J47" i="40"/>
  <c r="K40" i="40"/>
  <c r="K47" i="40"/>
  <c r="L47" i="40"/>
  <c r="M40" i="40"/>
  <c r="M47" i="40"/>
  <c r="N40" i="40"/>
  <c r="N47" i="40"/>
  <c r="O47" i="40"/>
  <c r="P40" i="40"/>
  <c r="P47" i="40"/>
  <c r="Q40" i="40"/>
  <c r="Q47" i="40"/>
  <c r="R40" i="40"/>
  <c r="R47" i="40"/>
  <c r="S40" i="40"/>
  <c r="S47" i="40"/>
  <c r="T47" i="40"/>
  <c r="U40" i="40"/>
  <c r="U47" i="40"/>
  <c r="V40" i="40"/>
  <c r="V47" i="40"/>
  <c r="W40" i="40"/>
  <c r="W47" i="40"/>
  <c r="X40" i="40"/>
  <c r="X47" i="40"/>
  <c r="Y40" i="40"/>
  <c r="Y47" i="40"/>
  <c r="Z47" i="40"/>
  <c r="AA40" i="40"/>
  <c r="AA47" i="40"/>
  <c r="AB40" i="40"/>
  <c r="AB47" i="40"/>
  <c r="AC40" i="40"/>
  <c r="AC47" i="40"/>
  <c r="AD40" i="40"/>
  <c r="AD47" i="40"/>
  <c r="AE40" i="40"/>
  <c r="AE47" i="40"/>
  <c r="AF40" i="40"/>
  <c r="AF47" i="40"/>
  <c r="AG40" i="40"/>
  <c r="AG47" i="40"/>
  <c r="AH40" i="40"/>
  <c r="AH47" i="40"/>
  <c r="AI40" i="40"/>
  <c r="AI47" i="40"/>
  <c r="AJ40" i="40"/>
  <c r="AJ47" i="40"/>
  <c r="AK40" i="40"/>
  <c r="AK47" i="40"/>
  <c r="AL40" i="40"/>
  <c r="AL47" i="40"/>
  <c r="AM40" i="40"/>
  <c r="AM47" i="40"/>
  <c r="AN40" i="40"/>
  <c r="AN47" i="40"/>
  <c r="F41" i="40"/>
  <c r="F48" i="40"/>
  <c r="G41" i="40"/>
  <c r="G48" i="40"/>
  <c r="H48" i="40"/>
  <c r="I41" i="40"/>
  <c r="I48" i="40"/>
  <c r="J41" i="40"/>
  <c r="J48" i="40"/>
  <c r="K41" i="40"/>
  <c r="K48" i="40"/>
  <c r="L48" i="40"/>
  <c r="M41" i="40"/>
  <c r="M48" i="40"/>
  <c r="N41" i="40"/>
  <c r="N48" i="40"/>
  <c r="O48" i="40"/>
  <c r="P41" i="40"/>
  <c r="P48" i="40"/>
  <c r="Q41" i="40"/>
  <c r="Q48" i="40"/>
  <c r="R41" i="40"/>
  <c r="R48" i="40"/>
  <c r="S41" i="40"/>
  <c r="S48" i="40"/>
  <c r="T48" i="40"/>
  <c r="U41" i="40"/>
  <c r="U48" i="40"/>
  <c r="V41" i="40"/>
  <c r="V48" i="40"/>
  <c r="W41" i="40"/>
  <c r="W48" i="40"/>
  <c r="X41" i="40"/>
  <c r="X48" i="40"/>
  <c r="Y41" i="40"/>
  <c r="Y48" i="40"/>
  <c r="Z48" i="40"/>
  <c r="AA41" i="40"/>
  <c r="AA48" i="40"/>
  <c r="AB41" i="40"/>
  <c r="AB48" i="40"/>
  <c r="AC41" i="40"/>
  <c r="AC48" i="40"/>
  <c r="AD41" i="40"/>
  <c r="AD48" i="40"/>
  <c r="AE41" i="40"/>
  <c r="AE48" i="40"/>
  <c r="AF41" i="40"/>
  <c r="AF48" i="40"/>
  <c r="AG41" i="40"/>
  <c r="AG48" i="40"/>
  <c r="AH41" i="40"/>
  <c r="AH48" i="40"/>
  <c r="AI41" i="40"/>
  <c r="AI48" i="40"/>
  <c r="AJ41" i="40"/>
  <c r="AJ48" i="40"/>
  <c r="AK41" i="40"/>
  <c r="AK48" i="40"/>
  <c r="AL41" i="40"/>
  <c r="AL48" i="40"/>
  <c r="AM41" i="40"/>
  <c r="AM48" i="40"/>
  <c r="AN41" i="40"/>
  <c r="AN48" i="40"/>
  <c r="F43" i="40"/>
  <c r="F49" i="40"/>
  <c r="G43" i="40"/>
  <c r="G49" i="40"/>
  <c r="H43" i="40"/>
  <c r="H49" i="40"/>
  <c r="I43" i="40"/>
  <c r="I49" i="40"/>
  <c r="J43" i="40"/>
  <c r="J49" i="40"/>
  <c r="K43" i="40"/>
  <c r="K49" i="40"/>
  <c r="L43" i="40"/>
  <c r="L49" i="40"/>
  <c r="M43" i="40"/>
  <c r="M49" i="40"/>
  <c r="N43" i="40"/>
  <c r="N49" i="40"/>
  <c r="O43" i="40"/>
  <c r="O49" i="40"/>
  <c r="P43" i="40"/>
  <c r="P49" i="40"/>
  <c r="Q43" i="40"/>
  <c r="Q49" i="40"/>
  <c r="R43" i="40"/>
  <c r="R49" i="40"/>
  <c r="S43" i="40"/>
  <c r="S49" i="40"/>
  <c r="T43" i="40"/>
  <c r="T49" i="40"/>
  <c r="U43" i="40"/>
  <c r="U49" i="40"/>
  <c r="V43" i="40"/>
  <c r="V49" i="40"/>
  <c r="W43" i="40"/>
  <c r="W49" i="40"/>
  <c r="X43" i="40"/>
  <c r="X49" i="40"/>
  <c r="Y43" i="40"/>
  <c r="Y49" i="40"/>
  <c r="Z43" i="40"/>
  <c r="Z49" i="40"/>
  <c r="AA43" i="40"/>
  <c r="AA49" i="40"/>
  <c r="AB43" i="40"/>
  <c r="AB49" i="40"/>
  <c r="AC43" i="40"/>
  <c r="AC49" i="40"/>
  <c r="AD49" i="40"/>
  <c r="AE49" i="40"/>
  <c r="AF49" i="40"/>
  <c r="AG49" i="40"/>
  <c r="AH49" i="40"/>
  <c r="AI49" i="40"/>
  <c r="AJ49" i="40"/>
  <c r="AK49" i="40"/>
  <c r="AL49" i="40"/>
  <c r="AM49" i="40"/>
  <c r="AN49" i="40"/>
  <c r="F50" i="40"/>
  <c r="G50" i="40"/>
  <c r="H50" i="40"/>
  <c r="I50" i="40"/>
  <c r="J50" i="40"/>
  <c r="K50" i="40"/>
  <c r="L50" i="40"/>
  <c r="M50" i="40"/>
  <c r="N50" i="40"/>
  <c r="O50" i="40"/>
  <c r="P50" i="40"/>
  <c r="Q50" i="40"/>
  <c r="R50" i="40"/>
  <c r="S50" i="40"/>
  <c r="T50" i="40"/>
  <c r="U50" i="40"/>
  <c r="V50" i="40"/>
  <c r="W50" i="40"/>
  <c r="X50" i="40"/>
  <c r="Y50" i="40"/>
  <c r="Z50" i="40"/>
  <c r="AA50" i="40"/>
  <c r="AB50" i="40"/>
  <c r="AC50" i="40"/>
  <c r="AD50" i="40"/>
  <c r="AE50" i="40"/>
  <c r="AF50" i="40"/>
  <c r="AG50" i="40"/>
  <c r="AH50" i="40"/>
  <c r="AI50" i="40"/>
  <c r="AJ50" i="40"/>
  <c r="AK50" i="40"/>
  <c r="AL50" i="40"/>
  <c r="AM50" i="40"/>
  <c r="AN50" i="40"/>
  <c r="AD43" i="40"/>
  <c r="AE43" i="40"/>
  <c r="AF43" i="40"/>
  <c r="AG43" i="40"/>
  <c r="AH43" i="40"/>
  <c r="AI43" i="40"/>
  <c r="AJ43" i="40"/>
  <c r="AK43" i="40"/>
  <c r="AL43" i="40"/>
  <c r="AM43" i="40"/>
  <c r="AN43" i="40"/>
  <c r="F44" i="40"/>
  <c r="G44" i="40"/>
  <c r="I44" i="40"/>
  <c r="J44" i="40"/>
  <c r="K44" i="40"/>
  <c r="M44" i="40"/>
  <c r="N44" i="40"/>
  <c r="O44" i="40"/>
  <c r="P44" i="40"/>
  <c r="Q44" i="40"/>
  <c r="R44" i="40"/>
  <c r="S44" i="40"/>
  <c r="T44" i="40"/>
  <c r="U44" i="40"/>
  <c r="W44" i="40"/>
  <c r="X44" i="40"/>
  <c r="Y44" i="40"/>
  <c r="Z44" i="40"/>
  <c r="AA44" i="40"/>
  <c r="AB44" i="40"/>
  <c r="AC44" i="40"/>
  <c r="AD44" i="40"/>
  <c r="AE44" i="40"/>
  <c r="AF44" i="40"/>
  <c r="AG44" i="40"/>
  <c r="AH44" i="40"/>
  <c r="AI44" i="40"/>
  <c r="AJ44" i="40"/>
  <c r="AK44" i="40"/>
  <c r="AL44" i="40"/>
  <c r="AM44" i="40"/>
  <c r="AN44" i="40"/>
  <c r="F28" i="40"/>
  <c r="F35" i="40"/>
  <c r="G28" i="40"/>
  <c r="G35" i="40"/>
  <c r="H28" i="40"/>
  <c r="H35" i="40"/>
  <c r="I28" i="40"/>
  <c r="I35" i="40"/>
  <c r="J28" i="40"/>
  <c r="J35" i="40"/>
  <c r="K28" i="40"/>
  <c r="K35" i="40"/>
  <c r="L28" i="40"/>
  <c r="L35" i="40"/>
  <c r="M28" i="40"/>
  <c r="M35" i="40"/>
  <c r="N28" i="40"/>
  <c r="N35" i="40"/>
  <c r="O28" i="40"/>
  <c r="O35" i="40"/>
  <c r="P28" i="40"/>
  <c r="P35" i="40"/>
  <c r="Q28" i="40"/>
  <c r="Q35" i="40"/>
  <c r="R28" i="40"/>
  <c r="R35" i="40"/>
  <c r="S28" i="40"/>
  <c r="S35" i="40"/>
  <c r="T28" i="40"/>
  <c r="T35" i="40"/>
  <c r="U28" i="40"/>
  <c r="U35" i="40"/>
  <c r="V35" i="40"/>
  <c r="W28" i="40"/>
  <c r="W35" i="40"/>
  <c r="X28" i="40"/>
  <c r="X35" i="40"/>
  <c r="Y28" i="40"/>
  <c r="Y35" i="40"/>
  <c r="Z28" i="40"/>
  <c r="Z35" i="40"/>
  <c r="AA28" i="40"/>
  <c r="AA35" i="40"/>
  <c r="AB28" i="40"/>
  <c r="AB35" i="40"/>
  <c r="AC35" i="40"/>
  <c r="AD28" i="40"/>
  <c r="AD35" i="40"/>
  <c r="AE28" i="40"/>
  <c r="AE35" i="40"/>
  <c r="AF28" i="40"/>
  <c r="AF35" i="40"/>
  <c r="AG28" i="40"/>
  <c r="AG35" i="40"/>
  <c r="AH28" i="40"/>
  <c r="AH35" i="40"/>
  <c r="AI28" i="40"/>
  <c r="AI35" i="40"/>
  <c r="AJ28" i="40"/>
  <c r="AJ35" i="40"/>
  <c r="AK28" i="40"/>
  <c r="AK35" i="40"/>
  <c r="AL28" i="40"/>
  <c r="AL35" i="40"/>
  <c r="AM28" i="40"/>
  <c r="AM35" i="40"/>
  <c r="AN28" i="40"/>
  <c r="AN35" i="40"/>
  <c r="F29" i="40"/>
  <c r="F36" i="40"/>
  <c r="G29" i="40"/>
  <c r="G36" i="40"/>
  <c r="H29" i="40"/>
  <c r="H36" i="40"/>
  <c r="I29" i="40"/>
  <c r="I36" i="40"/>
  <c r="J29" i="40"/>
  <c r="J36" i="40"/>
  <c r="K29" i="40"/>
  <c r="K36" i="40"/>
  <c r="L29" i="40"/>
  <c r="L36" i="40"/>
  <c r="M29" i="40"/>
  <c r="M36" i="40"/>
  <c r="N29" i="40"/>
  <c r="N36" i="40"/>
  <c r="O29" i="40"/>
  <c r="O36" i="40"/>
  <c r="P29" i="40"/>
  <c r="P36" i="40"/>
  <c r="Q29" i="40"/>
  <c r="Q36" i="40"/>
  <c r="R29" i="40"/>
  <c r="R36" i="40"/>
  <c r="S29" i="40"/>
  <c r="S36" i="40"/>
  <c r="T29" i="40"/>
  <c r="T36" i="40"/>
  <c r="U29" i="40"/>
  <c r="U36" i="40"/>
  <c r="V36" i="40"/>
  <c r="W29" i="40"/>
  <c r="W36" i="40"/>
  <c r="X29" i="40"/>
  <c r="X36" i="40"/>
  <c r="Y29" i="40"/>
  <c r="Y36" i="40"/>
  <c r="Z29" i="40"/>
  <c r="Z36" i="40"/>
  <c r="AA29" i="40"/>
  <c r="AA36" i="40"/>
  <c r="AB29" i="40"/>
  <c r="AB36" i="40"/>
  <c r="AC36" i="40"/>
  <c r="AD29" i="40"/>
  <c r="AD36" i="40"/>
  <c r="AE29" i="40"/>
  <c r="AE36" i="40"/>
  <c r="AF29" i="40"/>
  <c r="AF36" i="40"/>
  <c r="AG29" i="40"/>
  <c r="AG36" i="40"/>
  <c r="AH29" i="40"/>
  <c r="AH36" i="40"/>
  <c r="AI29" i="40"/>
  <c r="AI36" i="40"/>
  <c r="AJ29" i="40"/>
  <c r="AJ36" i="40"/>
  <c r="AK29" i="40"/>
  <c r="AK36" i="40"/>
  <c r="AL29" i="40"/>
  <c r="AL36" i="40"/>
  <c r="AM29" i="40"/>
  <c r="AM36" i="40"/>
  <c r="AN29" i="40"/>
  <c r="AN36" i="40"/>
  <c r="F31" i="40"/>
  <c r="F37" i="40"/>
  <c r="G31" i="40"/>
  <c r="G37" i="40"/>
  <c r="H31" i="40"/>
  <c r="H37" i="40"/>
  <c r="I31" i="40"/>
  <c r="I37" i="40"/>
  <c r="J31" i="40"/>
  <c r="J37" i="40"/>
  <c r="K31" i="40"/>
  <c r="K37" i="40"/>
  <c r="L31" i="40"/>
  <c r="L37" i="40"/>
  <c r="M31" i="40"/>
  <c r="M37" i="40"/>
  <c r="N31" i="40"/>
  <c r="N37" i="40"/>
  <c r="O31" i="40"/>
  <c r="O37" i="40"/>
  <c r="P31" i="40"/>
  <c r="P37" i="40"/>
  <c r="Q31" i="40"/>
  <c r="Q37" i="40"/>
  <c r="R31" i="40"/>
  <c r="R37" i="40"/>
  <c r="S31" i="40"/>
  <c r="S37" i="40"/>
  <c r="T31" i="40"/>
  <c r="T37" i="40"/>
  <c r="U31" i="40"/>
  <c r="U37" i="40"/>
  <c r="V31" i="40"/>
  <c r="V37" i="40"/>
  <c r="W31" i="40"/>
  <c r="W37" i="40"/>
  <c r="X31" i="40"/>
  <c r="X37" i="40"/>
  <c r="Y31" i="40"/>
  <c r="Y37" i="40"/>
  <c r="Z31" i="40"/>
  <c r="Z37" i="40"/>
  <c r="AA31" i="40"/>
  <c r="AA37" i="40"/>
  <c r="AB31" i="40"/>
  <c r="AB37" i="40"/>
  <c r="AC31" i="40"/>
  <c r="AC37" i="40"/>
  <c r="AD37" i="40"/>
  <c r="AE37" i="40"/>
  <c r="AF37" i="40"/>
  <c r="AG37" i="40"/>
  <c r="AH37" i="40"/>
  <c r="AI37" i="40"/>
  <c r="AJ37" i="40"/>
  <c r="AK37" i="40"/>
  <c r="AL37" i="40"/>
  <c r="AM37" i="40"/>
  <c r="AN37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Z38" i="40"/>
  <c r="AA38" i="40"/>
  <c r="AB38" i="40"/>
  <c r="AC38" i="40"/>
  <c r="AD38" i="40"/>
  <c r="AE38" i="40"/>
  <c r="AF38" i="40"/>
  <c r="AG38" i="40"/>
  <c r="AH38" i="40"/>
  <c r="AI38" i="40"/>
  <c r="AJ38" i="40"/>
  <c r="AK38" i="40"/>
  <c r="AL38" i="40"/>
  <c r="AM38" i="40"/>
  <c r="AN38" i="40"/>
  <c r="AD31" i="40"/>
  <c r="AE31" i="40"/>
  <c r="AF31" i="40"/>
  <c r="AG31" i="40"/>
  <c r="AH31" i="40"/>
  <c r="AI31" i="40"/>
  <c r="AJ31" i="40"/>
  <c r="AK31" i="40"/>
  <c r="AL31" i="40"/>
  <c r="AM31" i="40"/>
  <c r="AN31" i="40"/>
  <c r="F32" i="40"/>
  <c r="G32" i="40"/>
  <c r="I32" i="40"/>
  <c r="J32" i="40"/>
  <c r="K32" i="40"/>
  <c r="L32" i="40"/>
  <c r="M32" i="40"/>
  <c r="N32" i="40"/>
  <c r="O32" i="40"/>
  <c r="P32" i="40"/>
  <c r="Q32" i="40"/>
  <c r="R32" i="40"/>
  <c r="S32" i="40"/>
  <c r="T32" i="40"/>
  <c r="U32" i="40"/>
  <c r="V32" i="40"/>
  <c r="W32" i="40"/>
  <c r="X32" i="40"/>
  <c r="Y32" i="40"/>
  <c r="Z32" i="40"/>
  <c r="AA32" i="40"/>
  <c r="AB32" i="40"/>
  <c r="AC32" i="40"/>
  <c r="AD32" i="40"/>
  <c r="AE32" i="40"/>
  <c r="AF32" i="40"/>
  <c r="AG32" i="40"/>
  <c r="AH32" i="40"/>
  <c r="AI32" i="40"/>
  <c r="AJ32" i="40"/>
  <c r="AK32" i="40"/>
  <c r="AL32" i="40"/>
  <c r="AM32" i="40"/>
  <c r="AN32" i="40"/>
  <c r="F16" i="40"/>
  <c r="F23" i="40"/>
  <c r="G16" i="40"/>
  <c r="G23" i="40"/>
  <c r="H16" i="40"/>
  <c r="H23" i="40"/>
  <c r="I16" i="40"/>
  <c r="I23" i="40"/>
  <c r="J16" i="40"/>
  <c r="J23" i="40"/>
  <c r="K16" i="40"/>
  <c r="K23" i="40"/>
  <c r="L16" i="40"/>
  <c r="L23" i="40"/>
  <c r="M16" i="40"/>
  <c r="M23" i="40"/>
  <c r="N16" i="40"/>
  <c r="N23" i="40"/>
  <c r="O16" i="40"/>
  <c r="O23" i="40"/>
  <c r="P16" i="40"/>
  <c r="P23" i="40"/>
  <c r="Q16" i="40"/>
  <c r="Q23" i="40"/>
  <c r="R16" i="40"/>
  <c r="R23" i="40"/>
  <c r="S16" i="40"/>
  <c r="S23" i="40"/>
  <c r="T23" i="40"/>
  <c r="U16" i="40"/>
  <c r="U23" i="40"/>
  <c r="V23" i="40"/>
  <c r="W16" i="40"/>
  <c r="W23" i="40"/>
  <c r="X16" i="40"/>
  <c r="X23" i="40"/>
  <c r="Y16" i="40"/>
  <c r="Y23" i="40"/>
  <c r="Z23" i="40"/>
  <c r="AA16" i="40"/>
  <c r="AA23" i="40"/>
  <c r="AB16" i="40"/>
  <c r="AB23" i="40"/>
  <c r="AC23" i="40"/>
  <c r="AD16" i="40"/>
  <c r="AD23" i="40"/>
  <c r="AE16" i="40"/>
  <c r="AE23" i="40"/>
  <c r="AF16" i="40"/>
  <c r="AF23" i="40"/>
  <c r="AG16" i="40"/>
  <c r="AG23" i="40"/>
  <c r="AH16" i="40"/>
  <c r="AH23" i="40"/>
  <c r="AI16" i="40"/>
  <c r="AI23" i="40"/>
  <c r="AJ16" i="40"/>
  <c r="AJ23" i="40"/>
  <c r="AK16" i="40"/>
  <c r="AK23" i="40"/>
  <c r="AL16" i="40"/>
  <c r="AL23" i="40"/>
  <c r="AM16" i="40"/>
  <c r="AM23" i="40"/>
  <c r="AN16" i="40"/>
  <c r="AN23" i="40"/>
  <c r="F17" i="40"/>
  <c r="F24" i="40"/>
  <c r="G17" i="40"/>
  <c r="G24" i="40"/>
  <c r="H17" i="40"/>
  <c r="H24" i="40"/>
  <c r="I17" i="40"/>
  <c r="I24" i="40"/>
  <c r="J17" i="40"/>
  <c r="J24" i="40"/>
  <c r="K17" i="40"/>
  <c r="K24" i="40"/>
  <c r="L17" i="40"/>
  <c r="L24" i="40"/>
  <c r="M17" i="40"/>
  <c r="M24" i="40"/>
  <c r="N17" i="40"/>
  <c r="N24" i="40"/>
  <c r="O17" i="40"/>
  <c r="O24" i="40"/>
  <c r="P17" i="40"/>
  <c r="P24" i="40"/>
  <c r="Q17" i="40"/>
  <c r="Q24" i="40"/>
  <c r="R17" i="40"/>
  <c r="R24" i="40"/>
  <c r="S17" i="40"/>
  <c r="S24" i="40"/>
  <c r="T24" i="40"/>
  <c r="U17" i="40"/>
  <c r="U24" i="40"/>
  <c r="V24" i="40"/>
  <c r="W17" i="40"/>
  <c r="W24" i="40"/>
  <c r="X17" i="40"/>
  <c r="X24" i="40"/>
  <c r="Y17" i="40"/>
  <c r="Y24" i="40"/>
  <c r="Z24" i="40"/>
  <c r="AA17" i="40"/>
  <c r="AA24" i="40"/>
  <c r="AB17" i="40"/>
  <c r="AB24" i="40"/>
  <c r="AC24" i="40"/>
  <c r="AD17" i="40"/>
  <c r="AD24" i="40"/>
  <c r="AE17" i="40"/>
  <c r="AE24" i="40"/>
  <c r="AF17" i="40"/>
  <c r="AF24" i="40"/>
  <c r="AG17" i="40"/>
  <c r="AG24" i="40"/>
  <c r="AH17" i="40"/>
  <c r="AH24" i="40"/>
  <c r="AI17" i="40"/>
  <c r="AI24" i="40"/>
  <c r="AJ17" i="40"/>
  <c r="AJ24" i="40"/>
  <c r="AK17" i="40"/>
  <c r="AK24" i="40"/>
  <c r="AL17" i="40"/>
  <c r="AL24" i="40"/>
  <c r="AM17" i="40"/>
  <c r="AM24" i="40"/>
  <c r="AN17" i="40"/>
  <c r="AN24" i="40"/>
  <c r="F19" i="40"/>
  <c r="F25" i="40"/>
  <c r="G19" i="40"/>
  <c r="G25" i="40"/>
  <c r="H19" i="40"/>
  <c r="H25" i="40"/>
  <c r="I19" i="40"/>
  <c r="I25" i="40"/>
  <c r="J19" i="40"/>
  <c r="J25" i="40"/>
  <c r="K19" i="40"/>
  <c r="K25" i="40"/>
  <c r="L19" i="40"/>
  <c r="L25" i="40"/>
  <c r="M19" i="40"/>
  <c r="M25" i="40"/>
  <c r="N19" i="40"/>
  <c r="N25" i="40"/>
  <c r="O19" i="40"/>
  <c r="O25" i="40"/>
  <c r="P19" i="40"/>
  <c r="P25" i="40"/>
  <c r="Q19" i="40"/>
  <c r="Q25" i="40"/>
  <c r="R19" i="40"/>
  <c r="R25" i="40"/>
  <c r="S19" i="40"/>
  <c r="S25" i="40"/>
  <c r="T19" i="40"/>
  <c r="T25" i="40"/>
  <c r="U19" i="40"/>
  <c r="U25" i="40"/>
  <c r="V19" i="40"/>
  <c r="V25" i="40"/>
  <c r="W19" i="40"/>
  <c r="W25" i="40"/>
  <c r="X19" i="40"/>
  <c r="X25" i="40"/>
  <c r="Y19" i="40"/>
  <c r="Y25" i="40"/>
  <c r="Z19" i="40"/>
  <c r="Z25" i="40"/>
  <c r="AA19" i="40"/>
  <c r="AA25" i="40"/>
  <c r="AB19" i="40"/>
  <c r="AB25" i="40"/>
  <c r="AC19" i="40"/>
  <c r="AC25" i="40"/>
  <c r="AD25" i="40"/>
  <c r="AE25" i="40"/>
  <c r="AF25" i="40"/>
  <c r="AG25" i="40"/>
  <c r="AH25" i="40"/>
  <c r="AI25" i="40"/>
  <c r="AJ25" i="40"/>
  <c r="AK25" i="40"/>
  <c r="AL25" i="40"/>
  <c r="AM25" i="40"/>
  <c r="AN25" i="40"/>
  <c r="F26" i="40"/>
  <c r="G26" i="40"/>
  <c r="H26" i="40"/>
  <c r="I26" i="40"/>
  <c r="J26" i="40"/>
  <c r="K26" i="40"/>
  <c r="L26" i="40"/>
  <c r="M26" i="40"/>
  <c r="N26" i="40"/>
  <c r="O26" i="40"/>
  <c r="P26" i="40"/>
  <c r="Q26" i="40"/>
  <c r="R26" i="40"/>
  <c r="S26" i="40"/>
  <c r="T26" i="40"/>
  <c r="U26" i="40"/>
  <c r="V26" i="40"/>
  <c r="W26" i="40"/>
  <c r="X26" i="40"/>
  <c r="Y26" i="40"/>
  <c r="Z26" i="40"/>
  <c r="AA26" i="40"/>
  <c r="AB26" i="40"/>
  <c r="AC26" i="40"/>
  <c r="AD26" i="40"/>
  <c r="AE26" i="40"/>
  <c r="AF26" i="40"/>
  <c r="AG26" i="40"/>
  <c r="AH26" i="40"/>
  <c r="AI26" i="40"/>
  <c r="AJ26" i="40"/>
  <c r="AK26" i="40"/>
  <c r="AL26" i="40"/>
  <c r="AM26" i="40"/>
  <c r="AN26" i="40"/>
  <c r="AD19" i="40"/>
  <c r="AE19" i="40"/>
  <c r="AF19" i="40"/>
  <c r="AG19" i="40"/>
  <c r="AH19" i="40"/>
  <c r="AI19" i="40"/>
  <c r="AJ19" i="40"/>
  <c r="AK19" i="40"/>
  <c r="AL19" i="40"/>
  <c r="AM19" i="40"/>
  <c r="AN19" i="40"/>
  <c r="F20" i="40"/>
  <c r="G20" i="40"/>
  <c r="I20" i="40"/>
  <c r="J20" i="40"/>
  <c r="K20" i="40"/>
  <c r="L20" i="40"/>
  <c r="M20" i="40"/>
  <c r="N20" i="40"/>
  <c r="P20" i="40"/>
  <c r="Q20" i="40"/>
  <c r="R20" i="40"/>
  <c r="S20" i="40"/>
  <c r="T20" i="40"/>
  <c r="U20" i="40"/>
  <c r="V20" i="40"/>
  <c r="W20" i="40"/>
  <c r="X20" i="40"/>
  <c r="Y20" i="40"/>
  <c r="Z20" i="40"/>
  <c r="AA20" i="40"/>
  <c r="AB20" i="40"/>
  <c r="AC20" i="40"/>
  <c r="AD20" i="40"/>
  <c r="AE20" i="40"/>
  <c r="AF20" i="40"/>
  <c r="AG20" i="40"/>
  <c r="AH20" i="40"/>
  <c r="AI20" i="40"/>
  <c r="AJ20" i="40"/>
  <c r="AK20" i="40"/>
  <c r="AL20" i="40"/>
  <c r="AM20" i="40"/>
  <c r="AN20" i="40"/>
  <c r="F4" i="40"/>
  <c r="F11" i="40"/>
  <c r="G4" i="40"/>
  <c r="G11" i="40"/>
  <c r="H4" i="40"/>
  <c r="H11" i="40"/>
  <c r="I4" i="40"/>
  <c r="I11" i="40"/>
  <c r="J4" i="40"/>
  <c r="J11" i="40"/>
  <c r="K4" i="40"/>
  <c r="K11" i="40"/>
  <c r="L4" i="40"/>
  <c r="L11" i="40"/>
  <c r="M4" i="40"/>
  <c r="M11" i="40"/>
  <c r="N4" i="40"/>
  <c r="N11" i="40"/>
  <c r="O4" i="40"/>
  <c r="O11" i="40"/>
  <c r="P4" i="40"/>
  <c r="P11" i="40"/>
  <c r="Q4" i="40"/>
  <c r="Q11" i="40"/>
  <c r="R4" i="40"/>
  <c r="R11" i="40"/>
  <c r="S4" i="40"/>
  <c r="S11" i="40"/>
  <c r="T11" i="40"/>
  <c r="U4" i="40"/>
  <c r="U11" i="40"/>
  <c r="V11" i="40"/>
  <c r="W4" i="40"/>
  <c r="W11" i="40"/>
  <c r="X4" i="40"/>
  <c r="X11" i="40"/>
  <c r="Y4" i="40"/>
  <c r="Y11" i="40"/>
  <c r="Z4" i="40"/>
  <c r="Z11" i="40"/>
  <c r="AA4" i="40"/>
  <c r="AA11" i="40"/>
  <c r="AB4" i="40"/>
  <c r="AB11" i="40"/>
  <c r="AC4" i="40"/>
  <c r="AC11" i="40"/>
  <c r="AD4" i="40"/>
  <c r="AD11" i="40"/>
  <c r="AE4" i="40"/>
  <c r="AE11" i="40"/>
  <c r="AF4" i="40"/>
  <c r="AF11" i="40"/>
  <c r="AG4" i="40"/>
  <c r="AG11" i="40"/>
  <c r="AH4" i="40"/>
  <c r="AH11" i="40"/>
  <c r="AI4" i="40"/>
  <c r="AI11" i="40"/>
  <c r="AJ4" i="40"/>
  <c r="AJ11" i="40"/>
  <c r="AK4" i="40"/>
  <c r="AK11" i="40"/>
  <c r="AL4" i="40"/>
  <c r="AL11" i="40"/>
  <c r="AM4" i="40"/>
  <c r="AM11" i="40"/>
  <c r="AN4" i="40"/>
  <c r="AN11" i="40"/>
  <c r="F5" i="40"/>
  <c r="F12" i="40"/>
  <c r="G5" i="40"/>
  <c r="G12" i="40"/>
  <c r="H5" i="40"/>
  <c r="H12" i="40"/>
  <c r="I5" i="40"/>
  <c r="I12" i="40"/>
  <c r="J5" i="40"/>
  <c r="J12" i="40"/>
  <c r="K5" i="40"/>
  <c r="K12" i="40"/>
  <c r="L5" i="40"/>
  <c r="L12" i="40"/>
  <c r="M5" i="40"/>
  <c r="M12" i="40"/>
  <c r="N5" i="40"/>
  <c r="N12" i="40"/>
  <c r="O5" i="40"/>
  <c r="O12" i="40"/>
  <c r="P5" i="40"/>
  <c r="P12" i="40"/>
  <c r="Q5" i="40"/>
  <c r="Q12" i="40"/>
  <c r="R5" i="40"/>
  <c r="R12" i="40"/>
  <c r="S5" i="40"/>
  <c r="S12" i="40"/>
  <c r="T12" i="40"/>
  <c r="U5" i="40"/>
  <c r="U12" i="40"/>
  <c r="V5" i="40"/>
  <c r="V12" i="40"/>
  <c r="W5" i="40"/>
  <c r="W12" i="40"/>
  <c r="X5" i="40"/>
  <c r="X12" i="40"/>
  <c r="Y5" i="40"/>
  <c r="Y12" i="40"/>
  <c r="Z5" i="40"/>
  <c r="Z12" i="40"/>
  <c r="AA5" i="40"/>
  <c r="AA12" i="40"/>
  <c r="AB5" i="40"/>
  <c r="AB12" i="40"/>
  <c r="AC5" i="40"/>
  <c r="AC12" i="40"/>
  <c r="AD5" i="40"/>
  <c r="AD12" i="40"/>
  <c r="AE5" i="40"/>
  <c r="AE12" i="40"/>
  <c r="AF5" i="40"/>
  <c r="AF12" i="40"/>
  <c r="AG5" i="40"/>
  <c r="AG12" i="40"/>
  <c r="AH5" i="40"/>
  <c r="AH12" i="40"/>
  <c r="AI5" i="40"/>
  <c r="AI12" i="40"/>
  <c r="AJ5" i="40"/>
  <c r="AJ12" i="40"/>
  <c r="AK5" i="40"/>
  <c r="AK12" i="40"/>
  <c r="AL5" i="40"/>
  <c r="AL12" i="40"/>
  <c r="AM5" i="40"/>
  <c r="AM12" i="40"/>
  <c r="AN5" i="40"/>
  <c r="AN12" i="40"/>
  <c r="E7" i="40"/>
  <c r="F7" i="40"/>
  <c r="F13" i="40"/>
  <c r="G7" i="40"/>
  <c r="G13" i="40"/>
  <c r="H7" i="40"/>
  <c r="H13" i="40"/>
  <c r="I7" i="40"/>
  <c r="I13" i="40"/>
  <c r="J7" i="40"/>
  <c r="J13" i="40"/>
  <c r="K7" i="40"/>
  <c r="K13" i="40"/>
  <c r="L7" i="40"/>
  <c r="L13" i="40"/>
  <c r="M7" i="40"/>
  <c r="M13" i="40"/>
  <c r="N7" i="40"/>
  <c r="N13" i="40"/>
  <c r="O7" i="40"/>
  <c r="O13" i="40"/>
  <c r="P7" i="40"/>
  <c r="P13" i="40"/>
  <c r="Q7" i="40"/>
  <c r="Q13" i="40"/>
  <c r="R7" i="40"/>
  <c r="R13" i="40"/>
  <c r="S7" i="40"/>
  <c r="S13" i="40"/>
  <c r="T7" i="40"/>
  <c r="T13" i="40"/>
  <c r="U7" i="40"/>
  <c r="U13" i="40"/>
  <c r="V7" i="40"/>
  <c r="V13" i="40"/>
  <c r="W7" i="40"/>
  <c r="W13" i="40"/>
  <c r="X7" i="40"/>
  <c r="X13" i="40"/>
  <c r="Y7" i="40"/>
  <c r="Y13" i="40"/>
  <c r="Z7" i="40"/>
  <c r="Z13" i="40"/>
  <c r="AA7" i="40"/>
  <c r="AA13" i="40"/>
  <c r="AB7" i="40"/>
  <c r="AB13" i="40"/>
  <c r="AC7" i="40"/>
  <c r="AC13" i="40"/>
  <c r="AD13" i="40"/>
  <c r="AE13" i="40"/>
  <c r="AF13" i="40"/>
  <c r="AG13" i="40"/>
  <c r="AH13" i="40"/>
  <c r="AI13" i="40"/>
  <c r="AJ13" i="40"/>
  <c r="AK13" i="40"/>
  <c r="AL13" i="40"/>
  <c r="AM13" i="40"/>
  <c r="AN13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Z14" i="40"/>
  <c r="AA14" i="40"/>
  <c r="AB14" i="40"/>
  <c r="AC14" i="40"/>
  <c r="AD14" i="40"/>
  <c r="AE14" i="40"/>
  <c r="AF14" i="40"/>
  <c r="AG14" i="40"/>
  <c r="AH14" i="40"/>
  <c r="AI14" i="40"/>
  <c r="AJ14" i="40"/>
  <c r="AK14" i="40"/>
  <c r="AL14" i="40"/>
  <c r="AM14" i="40"/>
  <c r="AN14" i="40"/>
  <c r="AD7" i="40"/>
  <c r="AE7" i="40"/>
  <c r="AF7" i="40"/>
  <c r="AG7" i="40"/>
  <c r="AH7" i="40"/>
  <c r="AI7" i="40"/>
  <c r="AJ7" i="40"/>
  <c r="AK7" i="40"/>
  <c r="AL7" i="40"/>
  <c r="AM7" i="40"/>
  <c r="AN7" i="40"/>
  <c r="E8" i="40"/>
  <c r="F8" i="40"/>
  <c r="G8" i="40"/>
  <c r="H8" i="40"/>
  <c r="I8" i="40"/>
  <c r="J8" i="40"/>
  <c r="K8" i="40"/>
  <c r="L8" i="40"/>
  <c r="M8" i="40"/>
  <c r="N8" i="40"/>
  <c r="O8" i="40"/>
  <c r="P8" i="40"/>
  <c r="Q8" i="40"/>
  <c r="R8" i="40"/>
  <c r="S8" i="40"/>
  <c r="T8" i="40"/>
  <c r="U8" i="40"/>
  <c r="V8" i="40"/>
  <c r="W8" i="40"/>
  <c r="X8" i="40"/>
  <c r="Y8" i="40"/>
  <c r="Z8" i="40"/>
  <c r="AA8" i="40"/>
  <c r="AB8" i="40"/>
  <c r="AC8" i="40"/>
  <c r="AD8" i="40"/>
  <c r="AE8" i="40"/>
  <c r="AF8" i="40"/>
  <c r="AG8" i="40"/>
  <c r="AH8" i="40"/>
  <c r="AI8" i="40"/>
  <c r="AJ8" i="40"/>
  <c r="AK8" i="40"/>
  <c r="AL8" i="40"/>
  <c r="AM8" i="40"/>
  <c r="AN8" i="40"/>
  <c r="D1" i="40"/>
  <c r="E1" i="40"/>
  <c r="F1" i="40"/>
  <c r="G1" i="40"/>
  <c r="H1" i="40"/>
  <c r="I1" i="40"/>
  <c r="J1" i="40"/>
  <c r="K1" i="40"/>
  <c r="L1" i="40"/>
  <c r="M1" i="40"/>
  <c r="N1" i="40"/>
  <c r="O1" i="40"/>
  <c r="P1" i="40"/>
  <c r="Q1" i="40"/>
  <c r="R1" i="40"/>
  <c r="S1" i="40"/>
  <c r="T1" i="40"/>
  <c r="U1" i="40"/>
  <c r="V1" i="40"/>
  <c r="W1" i="40"/>
  <c r="X1" i="40"/>
  <c r="Y1" i="40"/>
  <c r="Z1" i="40"/>
  <c r="AA1" i="40"/>
  <c r="AB1" i="40"/>
  <c r="AC1" i="40"/>
  <c r="AD1" i="40"/>
  <c r="AE1" i="40"/>
  <c r="AF1" i="40"/>
  <c r="AG1" i="40"/>
  <c r="AH1" i="40"/>
  <c r="AI1" i="40"/>
  <c r="AJ1" i="40"/>
  <c r="AK1" i="40"/>
  <c r="AL1" i="40"/>
  <c r="AM1" i="40"/>
  <c r="AN1" i="40"/>
  <c r="F2" i="40"/>
  <c r="G2" i="40"/>
  <c r="H2" i="40"/>
  <c r="I2" i="40"/>
  <c r="J2" i="40"/>
  <c r="K2" i="40"/>
  <c r="L2" i="40"/>
  <c r="M2" i="40"/>
  <c r="N2" i="40"/>
  <c r="O2" i="40"/>
  <c r="P2" i="40"/>
  <c r="Q2" i="40"/>
  <c r="R2" i="40"/>
  <c r="S2" i="40"/>
  <c r="T2" i="40"/>
  <c r="U2" i="40"/>
  <c r="V2" i="40"/>
  <c r="W2" i="40"/>
  <c r="X2" i="40"/>
  <c r="Y2" i="40"/>
  <c r="Z2" i="40"/>
  <c r="AA2" i="40"/>
  <c r="AB2" i="40"/>
  <c r="AC2" i="40"/>
  <c r="AD2" i="40"/>
  <c r="AE2" i="40"/>
  <c r="AF2" i="40"/>
  <c r="AG2" i="40"/>
  <c r="AH2" i="40"/>
  <c r="AI2" i="40"/>
  <c r="AJ2" i="40"/>
  <c r="AK2" i="40"/>
  <c r="AL2" i="40"/>
  <c r="AM2" i="40"/>
  <c r="AN2" i="40"/>
  <c r="AO100" i="40"/>
  <c r="AO88" i="40"/>
  <c r="AO76" i="40"/>
  <c r="AO64" i="40"/>
  <c r="AO52" i="40"/>
  <c r="AO40" i="40"/>
  <c r="AO28" i="40"/>
  <c r="AO16" i="40"/>
  <c r="AO4" i="40"/>
  <c r="D64" i="40"/>
  <c r="D71" i="40"/>
  <c r="E64" i="40"/>
  <c r="E71" i="40"/>
  <c r="D65" i="40"/>
  <c r="D72" i="40"/>
  <c r="E65" i="40"/>
  <c r="E72" i="40"/>
  <c r="D67" i="40"/>
  <c r="D73" i="40"/>
  <c r="E67" i="40"/>
  <c r="E73" i="40"/>
  <c r="D74" i="40"/>
  <c r="E74" i="40"/>
  <c r="D76" i="40"/>
  <c r="E76" i="40"/>
  <c r="D77" i="40"/>
  <c r="E77" i="40"/>
  <c r="D79" i="40"/>
  <c r="E79" i="40"/>
  <c r="D80" i="40"/>
  <c r="E80" i="40"/>
  <c r="D83" i="40"/>
  <c r="E83" i="40"/>
  <c r="D84" i="40"/>
  <c r="E84" i="40"/>
  <c r="D85" i="40"/>
  <c r="E85" i="40"/>
  <c r="D86" i="40"/>
  <c r="E86" i="40"/>
  <c r="D88" i="40"/>
  <c r="D89" i="40"/>
  <c r="D91" i="40"/>
  <c r="E91" i="40"/>
  <c r="D92" i="40"/>
  <c r="E92" i="40"/>
  <c r="D95" i="40"/>
  <c r="E95" i="40"/>
  <c r="D96" i="40"/>
  <c r="E96" i="40"/>
  <c r="D97" i="40"/>
  <c r="E97" i="40"/>
  <c r="D98" i="40"/>
  <c r="E98" i="40"/>
  <c r="D101" i="40"/>
  <c r="D103" i="40"/>
  <c r="E103" i="40"/>
  <c r="D104" i="40"/>
  <c r="E104" i="40"/>
  <c r="D107" i="40"/>
  <c r="E107" i="40"/>
  <c r="D108" i="40"/>
  <c r="E108" i="40"/>
  <c r="D109" i="40"/>
  <c r="E109" i="40"/>
  <c r="D110" i="40"/>
  <c r="E110" i="40"/>
  <c r="D68" i="40"/>
  <c r="E68" i="40"/>
  <c r="D52" i="40"/>
  <c r="D59" i="40"/>
  <c r="E52" i="40"/>
  <c r="E59" i="40"/>
  <c r="D53" i="40"/>
  <c r="D60" i="40"/>
  <c r="E53" i="40"/>
  <c r="E60" i="40"/>
  <c r="D55" i="40"/>
  <c r="D61" i="40"/>
  <c r="E55" i="40"/>
  <c r="E61" i="40"/>
  <c r="D62" i="40"/>
  <c r="E62" i="40"/>
  <c r="D56" i="40"/>
  <c r="E56" i="40"/>
  <c r="D40" i="40"/>
  <c r="D47" i="40"/>
  <c r="E47" i="40"/>
  <c r="D41" i="40"/>
  <c r="D48" i="40"/>
  <c r="E48" i="40"/>
  <c r="D43" i="40"/>
  <c r="D49" i="40"/>
  <c r="E43" i="40"/>
  <c r="E49" i="40"/>
  <c r="D50" i="40"/>
  <c r="E50" i="40"/>
  <c r="D44" i="40"/>
  <c r="E44" i="40"/>
  <c r="D28" i="40"/>
  <c r="D35" i="40"/>
  <c r="E35" i="40"/>
  <c r="D29" i="40"/>
  <c r="D36" i="40"/>
  <c r="E36" i="40"/>
  <c r="D31" i="40"/>
  <c r="D37" i="40"/>
  <c r="E31" i="40"/>
  <c r="E37" i="40"/>
  <c r="D38" i="40"/>
  <c r="E38" i="40"/>
  <c r="D32" i="40"/>
  <c r="E32" i="40"/>
  <c r="D16" i="40"/>
  <c r="D23" i="40"/>
  <c r="E23" i="40"/>
  <c r="D17" i="40"/>
  <c r="D24" i="40"/>
  <c r="E24" i="40"/>
  <c r="D19" i="40"/>
  <c r="D25" i="40"/>
  <c r="E19" i="40"/>
  <c r="E25" i="40"/>
  <c r="D26" i="40"/>
  <c r="E26" i="40"/>
  <c r="D20" i="40"/>
  <c r="E20" i="40"/>
  <c r="D4" i="40"/>
  <c r="D11" i="40"/>
  <c r="E11" i="40"/>
  <c r="D5" i="40"/>
  <c r="D12" i="40"/>
  <c r="E12" i="40"/>
  <c r="D7" i="40"/>
  <c r="D13" i="40"/>
  <c r="E13" i="40"/>
  <c r="D14" i="40"/>
  <c r="E14" i="40"/>
  <c r="D8" i="40"/>
  <c r="D2" i="40"/>
  <c r="E2" i="40"/>
  <c r="F136" i="39"/>
  <c r="F143" i="39"/>
  <c r="G136" i="39"/>
  <c r="G143" i="39"/>
  <c r="H143" i="39"/>
  <c r="I136" i="39"/>
  <c r="I143" i="39"/>
  <c r="J136" i="39"/>
  <c r="J143" i="39"/>
  <c r="K136" i="39"/>
  <c r="K143" i="39"/>
  <c r="L143" i="39"/>
  <c r="M136" i="39"/>
  <c r="M143" i="39"/>
  <c r="N136" i="39"/>
  <c r="N143" i="39"/>
  <c r="O143" i="39"/>
  <c r="P136" i="39"/>
  <c r="P143" i="39"/>
  <c r="Q136" i="39"/>
  <c r="Q143" i="39"/>
  <c r="R136" i="39"/>
  <c r="R143" i="39"/>
  <c r="S136" i="39"/>
  <c r="S143" i="39"/>
  <c r="T136" i="39"/>
  <c r="T143" i="39"/>
  <c r="U136" i="39"/>
  <c r="U143" i="39"/>
  <c r="V143" i="39"/>
  <c r="Y136" i="39"/>
  <c r="Y143" i="39"/>
  <c r="Z136" i="39"/>
  <c r="Z143" i="39"/>
  <c r="AA136" i="39"/>
  <c r="AA143" i="39"/>
  <c r="AB136" i="39"/>
  <c r="AB143" i="39"/>
  <c r="AC136" i="39"/>
  <c r="AC143" i="39"/>
  <c r="AD143" i="39"/>
  <c r="AE143" i="39"/>
  <c r="AF143" i="39"/>
  <c r="AG143" i="39"/>
  <c r="AH143" i="39"/>
  <c r="AI143" i="39"/>
  <c r="AJ143" i="39"/>
  <c r="AK143" i="39"/>
  <c r="AL143" i="39"/>
  <c r="AM143" i="39"/>
  <c r="F137" i="39"/>
  <c r="F144" i="39"/>
  <c r="G137" i="39"/>
  <c r="G144" i="39"/>
  <c r="H137" i="39"/>
  <c r="H144" i="39"/>
  <c r="I137" i="39"/>
  <c r="I144" i="39"/>
  <c r="J137" i="39"/>
  <c r="J144" i="39"/>
  <c r="K137" i="39"/>
  <c r="K144" i="39"/>
  <c r="L144" i="39"/>
  <c r="M137" i="39"/>
  <c r="M144" i="39"/>
  <c r="N137" i="39"/>
  <c r="N144" i="39"/>
  <c r="O144" i="39"/>
  <c r="P137" i="39"/>
  <c r="P144" i="39"/>
  <c r="Q137" i="39"/>
  <c r="Q144" i="39"/>
  <c r="R137" i="39"/>
  <c r="R144" i="39"/>
  <c r="S137" i="39"/>
  <c r="S144" i="39"/>
  <c r="T137" i="39"/>
  <c r="T144" i="39"/>
  <c r="U137" i="39"/>
  <c r="U144" i="39"/>
  <c r="V144" i="39"/>
  <c r="W137" i="39"/>
  <c r="X137" i="39"/>
  <c r="Y137" i="39"/>
  <c r="Y144" i="39"/>
  <c r="Z137" i="39"/>
  <c r="Z144" i="39"/>
  <c r="AA137" i="39"/>
  <c r="AA144" i="39"/>
  <c r="AB137" i="39"/>
  <c r="AB144" i="39"/>
  <c r="AC137" i="39"/>
  <c r="AC144" i="39"/>
  <c r="AD137" i="39"/>
  <c r="AD144" i="39"/>
  <c r="AE144" i="39"/>
  <c r="AF144" i="39"/>
  <c r="AG144" i="39"/>
  <c r="AH144" i="39"/>
  <c r="AI144" i="39"/>
  <c r="AJ144" i="39"/>
  <c r="AK144" i="39"/>
  <c r="AL144" i="39"/>
  <c r="AM144" i="39"/>
  <c r="E139" i="39"/>
  <c r="F139" i="39"/>
  <c r="F145" i="39"/>
  <c r="G139" i="39"/>
  <c r="G145" i="39"/>
  <c r="H139" i="39"/>
  <c r="H145" i="39"/>
  <c r="I139" i="39"/>
  <c r="I145" i="39"/>
  <c r="J139" i="39"/>
  <c r="J145" i="39"/>
  <c r="K139" i="39"/>
  <c r="K145" i="39"/>
  <c r="L139" i="39"/>
  <c r="L145" i="39"/>
  <c r="M139" i="39"/>
  <c r="M145" i="39"/>
  <c r="N139" i="39"/>
  <c r="N145" i="39"/>
  <c r="O139" i="39"/>
  <c r="O145" i="39"/>
  <c r="P139" i="39"/>
  <c r="P145" i="39"/>
  <c r="Q139" i="39"/>
  <c r="Q145" i="39"/>
  <c r="R139" i="39"/>
  <c r="R145" i="39"/>
  <c r="S139" i="39"/>
  <c r="S145" i="39"/>
  <c r="T139" i="39"/>
  <c r="T145" i="39"/>
  <c r="U139" i="39"/>
  <c r="U145" i="39"/>
  <c r="V139" i="39"/>
  <c r="V145" i="39"/>
  <c r="Y139" i="39"/>
  <c r="Y145" i="39"/>
  <c r="Z139" i="39"/>
  <c r="Z145" i="39"/>
  <c r="AA139" i="39"/>
  <c r="AA145" i="39"/>
  <c r="AB139" i="39"/>
  <c r="AB145" i="39"/>
  <c r="AC139" i="39"/>
  <c r="AC145" i="39"/>
  <c r="AD139" i="39"/>
  <c r="AD145" i="39"/>
  <c r="AE145" i="39"/>
  <c r="AF145" i="39"/>
  <c r="AG145" i="39"/>
  <c r="AH145" i="39"/>
  <c r="AI145" i="39"/>
  <c r="AJ145" i="39"/>
  <c r="AK145" i="39"/>
  <c r="AL145" i="39"/>
  <c r="AM145" i="39"/>
  <c r="F146" i="39"/>
  <c r="G146" i="39"/>
  <c r="H146" i="39"/>
  <c r="I146" i="39"/>
  <c r="J146" i="39"/>
  <c r="K146" i="39"/>
  <c r="L146" i="39"/>
  <c r="M146" i="39"/>
  <c r="N146" i="39"/>
  <c r="O146" i="39"/>
  <c r="P146" i="39"/>
  <c r="Q146" i="39"/>
  <c r="R146" i="39"/>
  <c r="S146" i="39"/>
  <c r="T146" i="39"/>
  <c r="U146" i="39"/>
  <c r="V146" i="39"/>
  <c r="Y146" i="39"/>
  <c r="Z146" i="39"/>
  <c r="AA146" i="39"/>
  <c r="AB146" i="39"/>
  <c r="AC146" i="39"/>
  <c r="AD146" i="39"/>
  <c r="AE146" i="39"/>
  <c r="AF146" i="39"/>
  <c r="AG146" i="39"/>
  <c r="AH146" i="39"/>
  <c r="AI146" i="39"/>
  <c r="AJ146" i="39"/>
  <c r="AK146" i="39"/>
  <c r="AL146" i="39"/>
  <c r="AM146" i="39"/>
  <c r="F148" i="39"/>
  <c r="G148" i="39"/>
  <c r="I148" i="39"/>
  <c r="J148" i="39"/>
  <c r="K148" i="39"/>
  <c r="M148" i="39"/>
  <c r="N148" i="39"/>
  <c r="O148" i="39"/>
  <c r="P148" i="39"/>
  <c r="Q148" i="39"/>
  <c r="R148" i="39"/>
  <c r="T148" i="39"/>
  <c r="U148" i="39"/>
  <c r="W148" i="39"/>
  <c r="X148" i="39"/>
  <c r="Y148" i="39"/>
  <c r="Z148" i="39"/>
  <c r="AA148" i="39"/>
  <c r="AB148" i="39"/>
  <c r="AC148" i="39"/>
  <c r="AE148" i="39"/>
  <c r="AF148" i="39"/>
  <c r="AG148" i="39"/>
  <c r="AH148" i="39"/>
  <c r="AI148" i="39"/>
  <c r="AJ148" i="39"/>
  <c r="AK148" i="39"/>
  <c r="AL148" i="39"/>
  <c r="AM148" i="39"/>
  <c r="F149" i="39"/>
  <c r="G149" i="39"/>
  <c r="I149" i="39"/>
  <c r="J149" i="39"/>
  <c r="K149" i="39"/>
  <c r="M149" i="39"/>
  <c r="N149" i="39"/>
  <c r="O149" i="39"/>
  <c r="P149" i="39"/>
  <c r="Q149" i="39"/>
  <c r="R149" i="39"/>
  <c r="T149" i="39"/>
  <c r="U149" i="39"/>
  <c r="V149" i="39"/>
  <c r="W149" i="39"/>
  <c r="X149" i="39"/>
  <c r="Y149" i="39"/>
  <c r="Z149" i="39"/>
  <c r="AA149" i="39"/>
  <c r="AB149" i="39"/>
  <c r="AC149" i="39"/>
  <c r="AD149" i="39"/>
  <c r="AE149" i="39"/>
  <c r="AF149" i="39"/>
  <c r="AG149" i="39"/>
  <c r="AH149" i="39"/>
  <c r="AI149" i="39"/>
  <c r="AJ149" i="39"/>
  <c r="AK149" i="39"/>
  <c r="AL149" i="39"/>
  <c r="AM149" i="39"/>
  <c r="E151" i="39"/>
  <c r="F151" i="39"/>
  <c r="G151" i="39"/>
  <c r="H151" i="39"/>
  <c r="I151" i="39"/>
  <c r="J151" i="39"/>
  <c r="K151" i="39"/>
  <c r="L151" i="39"/>
  <c r="M151" i="39"/>
  <c r="N151" i="39"/>
  <c r="O151" i="39"/>
  <c r="P151" i="39"/>
  <c r="Q151" i="39"/>
  <c r="R151" i="39"/>
  <c r="S151" i="39"/>
  <c r="T151" i="39"/>
  <c r="U151" i="39"/>
  <c r="V151" i="39"/>
  <c r="W151" i="39"/>
  <c r="X151" i="39"/>
  <c r="Y151" i="39"/>
  <c r="Z151" i="39"/>
  <c r="AA151" i="39"/>
  <c r="AB151" i="39"/>
  <c r="AC151" i="39"/>
  <c r="AD151" i="39"/>
  <c r="AE151" i="39"/>
  <c r="AF151" i="39"/>
  <c r="AG151" i="39"/>
  <c r="AH151" i="39"/>
  <c r="AI151" i="39"/>
  <c r="AJ151" i="39"/>
  <c r="AK151" i="39"/>
  <c r="AL151" i="39"/>
  <c r="AM151" i="39"/>
  <c r="E152" i="39"/>
  <c r="F152" i="39"/>
  <c r="G152" i="39"/>
  <c r="H152" i="39"/>
  <c r="I152" i="39"/>
  <c r="J152" i="39"/>
  <c r="K152" i="39"/>
  <c r="L152" i="39"/>
  <c r="M152" i="39"/>
  <c r="N152" i="39"/>
  <c r="O152" i="39"/>
  <c r="P152" i="39"/>
  <c r="Q152" i="39"/>
  <c r="R152" i="39"/>
  <c r="S152" i="39"/>
  <c r="T152" i="39"/>
  <c r="U152" i="39"/>
  <c r="W152" i="39"/>
  <c r="X152" i="39"/>
  <c r="Y152" i="39"/>
  <c r="Z152" i="39"/>
  <c r="AA152" i="39"/>
  <c r="AB152" i="39"/>
  <c r="AC152" i="39"/>
  <c r="AD152" i="39"/>
  <c r="AE152" i="39"/>
  <c r="AF152" i="39"/>
  <c r="AG152" i="39"/>
  <c r="AH152" i="39"/>
  <c r="AI152" i="39"/>
  <c r="AJ152" i="39"/>
  <c r="AK152" i="39"/>
  <c r="AL152" i="39"/>
  <c r="AM152" i="39"/>
  <c r="F155" i="39"/>
  <c r="G155" i="39"/>
  <c r="H155" i="39"/>
  <c r="I155" i="39"/>
  <c r="J155" i="39"/>
  <c r="K155" i="39"/>
  <c r="L155" i="39"/>
  <c r="M155" i="39"/>
  <c r="N155" i="39"/>
  <c r="O155" i="39"/>
  <c r="P155" i="39"/>
  <c r="Q155" i="39"/>
  <c r="R155" i="39"/>
  <c r="S155" i="39"/>
  <c r="T155" i="39"/>
  <c r="U155" i="39"/>
  <c r="V155" i="39"/>
  <c r="W155" i="39"/>
  <c r="X155" i="39"/>
  <c r="Y155" i="39"/>
  <c r="Z155" i="39"/>
  <c r="AA155" i="39"/>
  <c r="AB155" i="39"/>
  <c r="AC155" i="39"/>
  <c r="AD155" i="39"/>
  <c r="AE155" i="39"/>
  <c r="AF155" i="39"/>
  <c r="AG155" i="39"/>
  <c r="AH155" i="39"/>
  <c r="AI155" i="39"/>
  <c r="AJ155" i="39"/>
  <c r="AK155" i="39"/>
  <c r="AL155" i="39"/>
  <c r="AM155" i="39"/>
  <c r="F156" i="39"/>
  <c r="G156" i="39"/>
  <c r="H156" i="39"/>
  <c r="I156" i="39"/>
  <c r="J156" i="39"/>
  <c r="K156" i="39"/>
  <c r="L156" i="39"/>
  <c r="M156" i="39"/>
  <c r="N156" i="39"/>
  <c r="O156" i="39"/>
  <c r="P156" i="39"/>
  <c r="Q156" i="39"/>
  <c r="R156" i="39"/>
  <c r="S156" i="39"/>
  <c r="T156" i="39"/>
  <c r="U156" i="39"/>
  <c r="V156" i="39"/>
  <c r="W156" i="39"/>
  <c r="X156" i="39"/>
  <c r="Y156" i="39"/>
  <c r="Z156" i="39"/>
  <c r="AA156" i="39"/>
  <c r="AB156" i="39"/>
  <c r="AC156" i="39"/>
  <c r="AD156" i="39"/>
  <c r="AE156" i="39"/>
  <c r="AF156" i="39"/>
  <c r="AG156" i="39"/>
  <c r="AH156" i="39"/>
  <c r="AI156" i="39"/>
  <c r="AJ156" i="39"/>
  <c r="AK156" i="39"/>
  <c r="AL156" i="39"/>
  <c r="AM156" i="39"/>
  <c r="F157" i="39"/>
  <c r="G157" i="39"/>
  <c r="H157" i="39"/>
  <c r="I157" i="39"/>
  <c r="J157" i="39"/>
  <c r="K157" i="39"/>
  <c r="L157" i="39"/>
  <c r="M157" i="39"/>
  <c r="N157" i="39"/>
  <c r="O157" i="39"/>
  <c r="P157" i="39"/>
  <c r="Q157" i="39"/>
  <c r="R157" i="39"/>
  <c r="S157" i="39"/>
  <c r="T157" i="39"/>
  <c r="U157" i="39"/>
  <c r="V157" i="39"/>
  <c r="W157" i="39"/>
  <c r="X157" i="39"/>
  <c r="Y157" i="39"/>
  <c r="Z157" i="39"/>
  <c r="AA157" i="39"/>
  <c r="AB157" i="39"/>
  <c r="AC157" i="39"/>
  <c r="AD157" i="39"/>
  <c r="AE157" i="39"/>
  <c r="AF157" i="39"/>
  <c r="AG157" i="39"/>
  <c r="AH157" i="39"/>
  <c r="AI157" i="39"/>
  <c r="AJ157" i="39"/>
  <c r="AK157" i="39"/>
  <c r="AL157" i="39"/>
  <c r="AM157" i="39"/>
  <c r="F158" i="39"/>
  <c r="G158" i="39"/>
  <c r="H158" i="39"/>
  <c r="I158" i="39"/>
  <c r="J158" i="39"/>
  <c r="K158" i="39"/>
  <c r="L158" i="39"/>
  <c r="M158" i="39"/>
  <c r="N158" i="39"/>
  <c r="O158" i="39"/>
  <c r="P158" i="39"/>
  <c r="Q158" i="39"/>
  <c r="R158" i="39"/>
  <c r="S158" i="39"/>
  <c r="T158" i="39"/>
  <c r="U158" i="39"/>
  <c r="V158" i="39"/>
  <c r="W158" i="39"/>
  <c r="X158" i="39"/>
  <c r="Y158" i="39"/>
  <c r="Z158" i="39"/>
  <c r="AA158" i="39"/>
  <c r="AB158" i="39"/>
  <c r="AC158" i="39"/>
  <c r="AD158" i="39"/>
  <c r="AE158" i="39"/>
  <c r="AF158" i="39"/>
  <c r="AG158" i="39"/>
  <c r="AH158" i="39"/>
  <c r="AI158" i="39"/>
  <c r="AJ158" i="39"/>
  <c r="AK158" i="39"/>
  <c r="AL158" i="39"/>
  <c r="AM158" i="39"/>
  <c r="E160" i="39"/>
  <c r="F160" i="39"/>
  <c r="G160" i="39"/>
  <c r="H160" i="39"/>
  <c r="I160" i="39"/>
  <c r="J160" i="39"/>
  <c r="K160" i="39"/>
  <c r="L160" i="39"/>
  <c r="M160" i="39"/>
  <c r="N160" i="39"/>
  <c r="O160" i="39"/>
  <c r="P160" i="39"/>
  <c r="Q160" i="39"/>
  <c r="R160" i="39"/>
  <c r="S160" i="39"/>
  <c r="T160" i="39"/>
  <c r="U160" i="39"/>
  <c r="V160" i="39"/>
  <c r="W160" i="39"/>
  <c r="X160" i="39"/>
  <c r="Y160" i="39"/>
  <c r="Z160" i="39"/>
  <c r="AA160" i="39"/>
  <c r="AB160" i="39"/>
  <c r="AC160" i="39"/>
  <c r="AD160" i="39"/>
  <c r="AE160" i="39"/>
  <c r="AF160" i="39"/>
  <c r="AG160" i="39"/>
  <c r="AH160" i="39"/>
  <c r="AI160" i="39"/>
  <c r="AJ160" i="39"/>
  <c r="AK160" i="39"/>
  <c r="AL160" i="39"/>
  <c r="AM160" i="39"/>
  <c r="F161" i="39"/>
  <c r="G161" i="39"/>
  <c r="H161" i="39"/>
  <c r="I161" i="39"/>
  <c r="J161" i="39"/>
  <c r="K161" i="39"/>
  <c r="L161" i="39"/>
  <c r="M161" i="39"/>
  <c r="N161" i="39"/>
  <c r="O161" i="39"/>
  <c r="P161" i="39"/>
  <c r="Q161" i="39"/>
  <c r="R161" i="39"/>
  <c r="T161" i="39"/>
  <c r="U161" i="39"/>
  <c r="V161" i="39"/>
  <c r="W161" i="39"/>
  <c r="X161" i="39"/>
  <c r="Y161" i="39"/>
  <c r="Z161" i="39"/>
  <c r="AA161" i="39"/>
  <c r="AB161" i="39"/>
  <c r="AC161" i="39"/>
  <c r="AD161" i="39"/>
  <c r="AE161" i="39"/>
  <c r="AF161" i="39"/>
  <c r="AG161" i="39"/>
  <c r="AH161" i="39"/>
  <c r="AI161" i="39"/>
  <c r="AJ161" i="39"/>
  <c r="AK161" i="39"/>
  <c r="AL161" i="39"/>
  <c r="AM161" i="39"/>
  <c r="E163" i="39"/>
  <c r="F163" i="39"/>
  <c r="G163" i="39"/>
  <c r="H163" i="39"/>
  <c r="I163" i="39"/>
  <c r="J163" i="39"/>
  <c r="K163" i="39"/>
  <c r="L163" i="39"/>
  <c r="M163" i="39"/>
  <c r="N163" i="39"/>
  <c r="O163" i="39"/>
  <c r="P163" i="39"/>
  <c r="Q163" i="39"/>
  <c r="R163" i="39"/>
  <c r="S163" i="39"/>
  <c r="T163" i="39"/>
  <c r="U163" i="39"/>
  <c r="V163" i="39"/>
  <c r="W163" i="39"/>
  <c r="X163" i="39"/>
  <c r="Y163" i="39"/>
  <c r="Z163" i="39"/>
  <c r="AA163" i="39"/>
  <c r="AB163" i="39"/>
  <c r="AC163" i="39"/>
  <c r="AD163" i="39"/>
  <c r="AE163" i="39"/>
  <c r="AF163" i="39"/>
  <c r="AG163" i="39"/>
  <c r="AH163" i="39"/>
  <c r="AI163" i="39"/>
  <c r="AJ163" i="39"/>
  <c r="AK163" i="39"/>
  <c r="AL163" i="39"/>
  <c r="AM163" i="39"/>
  <c r="E164" i="39"/>
  <c r="F164" i="39"/>
  <c r="G164" i="39"/>
  <c r="H164" i="39"/>
  <c r="I164" i="39"/>
  <c r="J164" i="39"/>
  <c r="K164" i="39"/>
  <c r="L164" i="39"/>
  <c r="M164" i="39"/>
  <c r="N164" i="39"/>
  <c r="O164" i="39"/>
  <c r="P164" i="39"/>
  <c r="Q164" i="39"/>
  <c r="R164" i="39"/>
  <c r="S164" i="39"/>
  <c r="T164" i="39"/>
  <c r="U164" i="39"/>
  <c r="V164" i="39"/>
  <c r="W164" i="39"/>
  <c r="X164" i="39"/>
  <c r="Y164" i="39"/>
  <c r="Z164" i="39"/>
  <c r="AA164" i="39"/>
  <c r="AB164" i="39"/>
  <c r="AC164" i="39"/>
  <c r="AD164" i="39"/>
  <c r="AE164" i="39"/>
  <c r="AF164" i="39"/>
  <c r="AG164" i="39"/>
  <c r="AH164" i="39"/>
  <c r="AI164" i="39"/>
  <c r="AJ164" i="39"/>
  <c r="AK164" i="39"/>
  <c r="AL164" i="39"/>
  <c r="AM164" i="39"/>
  <c r="F167" i="39"/>
  <c r="G167" i="39"/>
  <c r="H167" i="39"/>
  <c r="I167" i="39"/>
  <c r="J167" i="39"/>
  <c r="K167" i="39"/>
  <c r="L167" i="39"/>
  <c r="M167" i="39"/>
  <c r="N167" i="39"/>
  <c r="O167" i="39"/>
  <c r="P167" i="39"/>
  <c r="Q167" i="39"/>
  <c r="R167" i="39"/>
  <c r="S167" i="39"/>
  <c r="T167" i="39"/>
  <c r="U167" i="39"/>
  <c r="V167" i="39"/>
  <c r="W167" i="39"/>
  <c r="X167" i="39"/>
  <c r="Y167" i="39"/>
  <c r="Z167" i="39"/>
  <c r="AA167" i="39"/>
  <c r="AB167" i="39"/>
  <c r="AC167" i="39"/>
  <c r="AD167" i="39"/>
  <c r="AE167" i="39"/>
  <c r="AF167" i="39"/>
  <c r="AG167" i="39"/>
  <c r="AH167" i="39"/>
  <c r="AI167" i="39"/>
  <c r="AJ167" i="39"/>
  <c r="AK167" i="39"/>
  <c r="AL167" i="39"/>
  <c r="AM167" i="39"/>
  <c r="F168" i="39"/>
  <c r="G168" i="39"/>
  <c r="H168" i="39"/>
  <c r="I168" i="39"/>
  <c r="J168" i="39"/>
  <c r="K168" i="39"/>
  <c r="L168" i="39"/>
  <c r="M168" i="39"/>
  <c r="N168" i="39"/>
  <c r="O168" i="39"/>
  <c r="P168" i="39"/>
  <c r="Q168" i="39"/>
  <c r="R168" i="39"/>
  <c r="S168" i="39"/>
  <c r="T168" i="39"/>
  <c r="U168" i="39"/>
  <c r="V168" i="39"/>
  <c r="W168" i="39"/>
  <c r="X168" i="39"/>
  <c r="Y168" i="39"/>
  <c r="Z168" i="39"/>
  <c r="AA168" i="39"/>
  <c r="AB168" i="39"/>
  <c r="AC168" i="39"/>
  <c r="AD168" i="39"/>
  <c r="AE168" i="39"/>
  <c r="AF168" i="39"/>
  <c r="AG168" i="39"/>
  <c r="AH168" i="39"/>
  <c r="AI168" i="39"/>
  <c r="AJ168" i="39"/>
  <c r="AK168" i="39"/>
  <c r="AL168" i="39"/>
  <c r="AM168" i="39"/>
  <c r="F169" i="39"/>
  <c r="G169" i="39"/>
  <c r="H169" i="39"/>
  <c r="I169" i="39"/>
  <c r="J169" i="39"/>
  <c r="K169" i="39"/>
  <c r="L169" i="39"/>
  <c r="M169" i="39"/>
  <c r="N169" i="39"/>
  <c r="O169" i="39"/>
  <c r="P169" i="39"/>
  <c r="Q169" i="39"/>
  <c r="R169" i="39"/>
  <c r="S169" i="39"/>
  <c r="T169" i="39"/>
  <c r="U169" i="39"/>
  <c r="V169" i="39"/>
  <c r="W169" i="39"/>
  <c r="X169" i="39"/>
  <c r="Y169" i="39"/>
  <c r="Z169" i="39"/>
  <c r="AA169" i="39"/>
  <c r="AB169" i="39"/>
  <c r="AC169" i="39"/>
  <c r="AD169" i="39"/>
  <c r="AE169" i="39"/>
  <c r="AF169" i="39"/>
  <c r="AG169" i="39"/>
  <c r="AH169" i="39"/>
  <c r="AI169" i="39"/>
  <c r="AJ169" i="39"/>
  <c r="AK169" i="39"/>
  <c r="AL169" i="39"/>
  <c r="AM169" i="39"/>
  <c r="F170" i="39"/>
  <c r="G170" i="39"/>
  <c r="H170" i="39"/>
  <c r="I170" i="39"/>
  <c r="J170" i="39"/>
  <c r="K170" i="39"/>
  <c r="L170" i="39"/>
  <c r="M170" i="39"/>
  <c r="N170" i="39"/>
  <c r="O170" i="39"/>
  <c r="P170" i="39"/>
  <c r="Q170" i="39"/>
  <c r="R170" i="39"/>
  <c r="S170" i="39"/>
  <c r="T170" i="39"/>
  <c r="U170" i="39"/>
  <c r="V170" i="39"/>
  <c r="W170" i="39"/>
  <c r="X170" i="39"/>
  <c r="Y170" i="39"/>
  <c r="Z170" i="39"/>
  <c r="AA170" i="39"/>
  <c r="AB170" i="39"/>
  <c r="AC170" i="39"/>
  <c r="AD170" i="39"/>
  <c r="AE170" i="39"/>
  <c r="AF170" i="39"/>
  <c r="AG170" i="39"/>
  <c r="AH170" i="39"/>
  <c r="AI170" i="39"/>
  <c r="AJ170" i="39"/>
  <c r="AK170" i="39"/>
  <c r="AL170" i="39"/>
  <c r="AM170" i="39"/>
  <c r="F172" i="39"/>
  <c r="G172" i="39"/>
  <c r="I172" i="39"/>
  <c r="J172" i="39"/>
  <c r="K172" i="39"/>
  <c r="M172" i="39"/>
  <c r="N172" i="39"/>
  <c r="P172" i="39"/>
  <c r="Q172" i="39"/>
  <c r="R172" i="39"/>
  <c r="S172" i="39"/>
  <c r="T172" i="39"/>
  <c r="U172" i="39"/>
  <c r="W172" i="39"/>
  <c r="X172" i="39"/>
  <c r="Y172" i="39"/>
  <c r="Z172" i="39"/>
  <c r="AA172" i="39"/>
  <c r="AB172" i="39"/>
  <c r="AC172" i="39"/>
  <c r="AE172" i="39"/>
  <c r="AF172" i="39"/>
  <c r="AG172" i="39"/>
  <c r="AH172" i="39"/>
  <c r="AI172" i="39"/>
  <c r="AJ172" i="39"/>
  <c r="AK172" i="39"/>
  <c r="AL172" i="39"/>
  <c r="AM172" i="39"/>
  <c r="F173" i="39"/>
  <c r="G173" i="39"/>
  <c r="I173" i="39"/>
  <c r="J173" i="39"/>
  <c r="K173" i="39"/>
  <c r="M173" i="39"/>
  <c r="N173" i="39"/>
  <c r="P173" i="39"/>
  <c r="Q173" i="39"/>
  <c r="R173" i="39"/>
  <c r="T173" i="39"/>
  <c r="U173" i="39"/>
  <c r="W173" i="39"/>
  <c r="X173" i="39"/>
  <c r="Y173" i="39"/>
  <c r="Z173" i="39"/>
  <c r="AA173" i="39"/>
  <c r="AB173" i="39"/>
  <c r="AC173" i="39"/>
  <c r="AE173" i="39"/>
  <c r="AF173" i="39"/>
  <c r="AG173" i="39"/>
  <c r="AH173" i="39"/>
  <c r="AI173" i="39"/>
  <c r="AJ173" i="39"/>
  <c r="AK173" i="39"/>
  <c r="AL173" i="39"/>
  <c r="AM173" i="39"/>
  <c r="E175" i="39"/>
  <c r="F175" i="39"/>
  <c r="G175" i="39"/>
  <c r="H175" i="39"/>
  <c r="I175" i="39"/>
  <c r="J175" i="39"/>
  <c r="K175" i="39"/>
  <c r="L175" i="39"/>
  <c r="M175" i="39"/>
  <c r="N175" i="39"/>
  <c r="O175" i="39"/>
  <c r="P175" i="39"/>
  <c r="Q175" i="39"/>
  <c r="R175" i="39"/>
  <c r="S175" i="39"/>
  <c r="T175" i="39"/>
  <c r="U175" i="39"/>
  <c r="V175" i="39"/>
  <c r="W175" i="39"/>
  <c r="X175" i="39"/>
  <c r="Y175" i="39"/>
  <c r="Z175" i="39"/>
  <c r="AA175" i="39"/>
  <c r="AB175" i="39"/>
  <c r="AC175" i="39"/>
  <c r="AD175" i="39"/>
  <c r="AE175" i="39"/>
  <c r="AF175" i="39"/>
  <c r="AG175" i="39"/>
  <c r="AH175" i="39"/>
  <c r="AI175" i="39"/>
  <c r="AJ175" i="39"/>
  <c r="AK175" i="39"/>
  <c r="AL175" i="39"/>
  <c r="AM175" i="39"/>
  <c r="E176" i="39"/>
  <c r="F176" i="39"/>
  <c r="G176" i="39"/>
  <c r="H176" i="39"/>
  <c r="I176" i="39"/>
  <c r="J176" i="39"/>
  <c r="K176" i="39"/>
  <c r="L176" i="39"/>
  <c r="M176" i="39"/>
  <c r="N176" i="39"/>
  <c r="O176" i="39"/>
  <c r="P176" i="39"/>
  <c r="Q176" i="39"/>
  <c r="R176" i="39"/>
  <c r="S176" i="39"/>
  <c r="T176" i="39"/>
  <c r="U176" i="39"/>
  <c r="V176" i="39"/>
  <c r="W176" i="39"/>
  <c r="X176" i="39"/>
  <c r="Y176" i="39"/>
  <c r="Z176" i="39"/>
  <c r="AA176" i="39"/>
  <c r="AB176" i="39"/>
  <c r="AC176" i="39"/>
  <c r="AD176" i="39"/>
  <c r="AE176" i="39"/>
  <c r="AF176" i="39"/>
  <c r="AG176" i="39"/>
  <c r="AH176" i="39"/>
  <c r="AI176" i="39"/>
  <c r="AJ176" i="39"/>
  <c r="AK176" i="39"/>
  <c r="AL176" i="39"/>
  <c r="AM176" i="39"/>
  <c r="F179" i="39"/>
  <c r="G179" i="39"/>
  <c r="H179" i="39"/>
  <c r="I179" i="39"/>
  <c r="J179" i="39"/>
  <c r="K179" i="39"/>
  <c r="L179" i="39"/>
  <c r="M179" i="39"/>
  <c r="N179" i="39"/>
  <c r="O179" i="39"/>
  <c r="P179" i="39"/>
  <c r="Q179" i="39"/>
  <c r="R179" i="39"/>
  <c r="S179" i="39"/>
  <c r="T179" i="39"/>
  <c r="U179" i="39"/>
  <c r="V179" i="39"/>
  <c r="W179" i="39"/>
  <c r="X179" i="39"/>
  <c r="Y179" i="39"/>
  <c r="Z179" i="39"/>
  <c r="AA179" i="39"/>
  <c r="AB179" i="39"/>
  <c r="AC179" i="39"/>
  <c r="AD179" i="39"/>
  <c r="AE179" i="39"/>
  <c r="AF179" i="39"/>
  <c r="AG179" i="39"/>
  <c r="AH179" i="39"/>
  <c r="AI179" i="39"/>
  <c r="AJ179" i="39"/>
  <c r="AK179" i="39"/>
  <c r="AL179" i="39"/>
  <c r="AM179" i="39"/>
  <c r="F180" i="39"/>
  <c r="G180" i="39"/>
  <c r="H180" i="39"/>
  <c r="I180" i="39"/>
  <c r="J180" i="39"/>
  <c r="K180" i="39"/>
  <c r="L180" i="39"/>
  <c r="M180" i="39"/>
  <c r="N180" i="39"/>
  <c r="O180" i="39"/>
  <c r="P180" i="39"/>
  <c r="Q180" i="39"/>
  <c r="R180" i="39"/>
  <c r="S180" i="39"/>
  <c r="T180" i="39"/>
  <c r="U180" i="39"/>
  <c r="V180" i="39"/>
  <c r="W180" i="39"/>
  <c r="X180" i="39"/>
  <c r="Y180" i="39"/>
  <c r="Z180" i="39"/>
  <c r="AA180" i="39"/>
  <c r="AB180" i="39"/>
  <c r="AC180" i="39"/>
  <c r="AD180" i="39"/>
  <c r="AE180" i="39"/>
  <c r="AF180" i="39"/>
  <c r="AG180" i="39"/>
  <c r="AH180" i="39"/>
  <c r="AI180" i="39"/>
  <c r="AJ180" i="39"/>
  <c r="AK180" i="39"/>
  <c r="AL180" i="39"/>
  <c r="AM180" i="39"/>
  <c r="F181" i="39"/>
  <c r="G181" i="39"/>
  <c r="H181" i="39"/>
  <c r="I181" i="39"/>
  <c r="J181" i="39"/>
  <c r="K181" i="39"/>
  <c r="L181" i="39"/>
  <c r="M181" i="39"/>
  <c r="N181" i="39"/>
  <c r="O181" i="39"/>
  <c r="P181" i="39"/>
  <c r="Q181" i="39"/>
  <c r="R181" i="39"/>
  <c r="S181" i="39"/>
  <c r="T181" i="39"/>
  <c r="U181" i="39"/>
  <c r="V181" i="39"/>
  <c r="W181" i="39"/>
  <c r="X181" i="39"/>
  <c r="Y181" i="39"/>
  <c r="Z181" i="39"/>
  <c r="AA181" i="39"/>
  <c r="AB181" i="39"/>
  <c r="AC181" i="39"/>
  <c r="AD181" i="39"/>
  <c r="AE181" i="39"/>
  <c r="AF181" i="39"/>
  <c r="AG181" i="39"/>
  <c r="AH181" i="39"/>
  <c r="AI181" i="39"/>
  <c r="AJ181" i="39"/>
  <c r="AK181" i="39"/>
  <c r="AL181" i="39"/>
  <c r="AM181" i="39"/>
  <c r="F182" i="39"/>
  <c r="G182" i="39"/>
  <c r="H182" i="39"/>
  <c r="I182" i="39"/>
  <c r="J182" i="39"/>
  <c r="K182" i="39"/>
  <c r="L182" i="39"/>
  <c r="M182" i="39"/>
  <c r="N182" i="39"/>
  <c r="O182" i="39"/>
  <c r="P182" i="39"/>
  <c r="Q182" i="39"/>
  <c r="R182" i="39"/>
  <c r="S182" i="39"/>
  <c r="T182" i="39"/>
  <c r="U182" i="39"/>
  <c r="V182" i="39"/>
  <c r="W182" i="39"/>
  <c r="X182" i="39"/>
  <c r="Y182" i="39"/>
  <c r="Z182" i="39"/>
  <c r="AA182" i="39"/>
  <c r="AB182" i="39"/>
  <c r="AC182" i="39"/>
  <c r="AD182" i="39"/>
  <c r="AE182" i="39"/>
  <c r="AF182" i="39"/>
  <c r="AG182" i="39"/>
  <c r="AH182" i="39"/>
  <c r="AI182" i="39"/>
  <c r="AJ182" i="39"/>
  <c r="AK182" i="39"/>
  <c r="AL182" i="39"/>
  <c r="AM182" i="39"/>
  <c r="E184" i="39"/>
  <c r="F184" i="39"/>
  <c r="G184" i="39"/>
  <c r="I184" i="39"/>
  <c r="J184" i="39"/>
  <c r="K184" i="39"/>
  <c r="L184" i="39"/>
  <c r="M184" i="39"/>
  <c r="N184" i="39"/>
  <c r="O184" i="39"/>
  <c r="P184" i="39"/>
  <c r="Q184" i="39"/>
  <c r="R184" i="39"/>
  <c r="S184" i="39"/>
  <c r="T184" i="39"/>
  <c r="U184" i="39"/>
  <c r="W184" i="39"/>
  <c r="X184" i="39"/>
  <c r="Y184" i="39"/>
  <c r="Z184" i="39"/>
  <c r="AA184" i="39"/>
  <c r="AB184" i="39"/>
  <c r="AC184" i="39"/>
  <c r="AE184" i="39"/>
  <c r="AF184" i="39"/>
  <c r="AG184" i="39"/>
  <c r="AH184" i="39"/>
  <c r="AI184" i="39"/>
  <c r="AJ184" i="39"/>
  <c r="AK184" i="39"/>
  <c r="AL184" i="39"/>
  <c r="AM184" i="39"/>
  <c r="E185" i="39"/>
  <c r="F185" i="39"/>
  <c r="G185" i="39"/>
  <c r="I185" i="39"/>
  <c r="J185" i="39"/>
  <c r="K185" i="39"/>
  <c r="L185" i="39"/>
  <c r="M185" i="39"/>
  <c r="N185" i="39"/>
  <c r="O185" i="39"/>
  <c r="P185" i="39"/>
  <c r="Q185" i="39"/>
  <c r="R185" i="39"/>
  <c r="S185" i="39"/>
  <c r="T185" i="39"/>
  <c r="U185" i="39"/>
  <c r="W185" i="39"/>
  <c r="X185" i="39"/>
  <c r="Y185" i="39"/>
  <c r="Z185" i="39"/>
  <c r="AA185" i="39"/>
  <c r="AB185" i="39"/>
  <c r="AC185" i="39"/>
  <c r="AD185" i="39"/>
  <c r="AE185" i="39"/>
  <c r="AF185" i="39"/>
  <c r="AG185" i="39"/>
  <c r="AH185" i="39"/>
  <c r="AI185" i="39"/>
  <c r="AJ185" i="39"/>
  <c r="AK185" i="39"/>
  <c r="AL185" i="39"/>
  <c r="AM185" i="39"/>
  <c r="E187" i="39"/>
  <c r="F187" i="39"/>
  <c r="G187" i="39"/>
  <c r="H187" i="39"/>
  <c r="I187" i="39"/>
  <c r="J187" i="39"/>
  <c r="K187" i="39"/>
  <c r="L187" i="39"/>
  <c r="M187" i="39"/>
  <c r="N187" i="39"/>
  <c r="O187" i="39"/>
  <c r="P187" i="39"/>
  <c r="Q187" i="39"/>
  <c r="R187" i="39"/>
  <c r="S187" i="39"/>
  <c r="T187" i="39"/>
  <c r="U187" i="39"/>
  <c r="V187" i="39"/>
  <c r="W187" i="39"/>
  <c r="X187" i="39"/>
  <c r="Y187" i="39"/>
  <c r="Z187" i="39"/>
  <c r="AA187" i="39"/>
  <c r="AB187" i="39"/>
  <c r="AC187" i="39"/>
  <c r="AD187" i="39"/>
  <c r="AE187" i="39"/>
  <c r="AF187" i="39"/>
  <c r="AG187" i="39"/>
  <c r="AH187" i="39"/>
  <c r="AI187" i="39"/>
  <c r="AJ187" i="39"/>
  <c r="AK187" i="39"/>
  <c r="AL187" i="39"/>
  <c r="AM187" i="39"/>
  <c r="E188" i="39"/>
  <c r="F188" i="39"/>
  <c r="G188" i="39"/>
  <c r="H188" i="39"/>
  <c r="I188" i="39"/>
  <c r="J188" i="39"/>
  <c r="K188" i="39"/>
  <c r="L188" i="39"/>
  <c r="M188" i="39"/>
  <c r="N188" i="39"/>
  <c r="O188" i="39"/>
  <c r="P188" i="39"/>
  <c r="Q188" i="39"/>
  <c r="R188" i="39"/>
  <c r="S188" i="39"/>
  <c r="T188" i="39"/>
  <c r="U188" i="39"/>
  <c r="V188" i="39"/>
  <c r="W188" i="39"/>
  <c r="X188" i="39"/>
  <c r="Y188" i="39"/>
  <c r="Z188" i="39"/>
  <c r="AA188" i="39"/>
  <c r="AB188" i="39"/>
  <c r="AC188" i="39"/>
  <c r="AD188" i="39"/>
  <c r="AE188" i="39"/>
  <c r="AF188" i="39"/>
  <c r="AG188" i="39"/>
  <c r="AH188" i="39"/>
  <c r="AI188" i="39"/>
  <c r="AJ188" i="39"/>
  <c r="AK188" i="39"/>
  <c r="AL188" i="39"/>
  <c r="AM188" i="39"/>
  <c r="F191" i="39"/>
  <c r="G191" i="39"/>
  <c r="H191" i="39"/>
  <c r="I191" i="39"/>
  <c r="J191" i="39"/>
  <c r="K191" i="39"/>
  <c r="L191" i="39"/>
  <c r="M191" i="39"/>
  <c r="N191" i="39"/>
  <c r="O191" i="39"/>
  <c r="P191" i="39"/>
  <c r="Q191" i="39"/>
  <c r="R191" i="39"/>
  <c r="S191" i="39"/>
  <c r="T191" i="39"/>
  <c r="U191" i="39"/>
  <c r="V191" i="39"/>
  <c r="W191" i="39"/>
  <c r="X191" i="39"/>
  <c r="Y191" i="39"/>
  <c r="Z191" i="39"/>
  <c r="AA191" i="39"/>
  <c r="AB191" i="39"/>
  <c r="AC191" i="39"/>
  <c r="AD191" i="39"/>
  <c r="AE191" i="39"/>
  <c r="AF191" i="39"/>
  <c r="AG191" i="39"/>
  <c r="AH191" i="39"/>
  <c r="AI191" i="39"/>
  <c r="AJ191" i="39"/>
  <c r="AK191" i="39"/>
  <c r="AL191" i="39"/>
  <c r="AM191" i="39"/>
  <c r="F192" i="39"/>
  <c r="G192" i="39"/>
  <c r="H192" i="39"/>
  <c r="I192" i="39"/>
  <c r="J192" i="39"/>
  <c r="K192" i="39"/>
  <c r="L192" i="39"/>
  <c r="M192" i="39"/>
  <c r="N192" i="39"/>
  <c r="O192" i="39"/>
  <c r="P192" i="39"/>
  <c r="Q192" i="39"/>
  <c r="R192" i="39"/>
  <c r="S192" i="39"/>
  <c r="T192" i="39"/>
  <c r="U192" i="39"/>
  <c r="V192" i="39"/>
  <c r="W192" i="39"/>
  <c r="X192" i="39"/>
  <c r="Y192" i="39"/>
  <c r="Z192" i="39"/>
  <c r="AA192" i="39"/>
  <c r="AB192" i="39"/>
  <c r="AC192" i="39"/>
  <c r="AD192" i="39"/>
  <c r="AE192" i="39"/>
  <c r="AF192" i="39"/>
  <c r="AG192" i="39"/>
  <c r="AH192" i="39"/>
  <c r="AI192" i="39"/>
  <c r="AJ192" i="39"/>
  <c r="AK192" i="39"/>
  <c r="AL192" i="39"/>
  <c r="AM192" i="39"/>
  <c r="F193" i="39"/>
  <c r="G193" i="39"/>
  <c r="H193" i="39"/>
  <c r="I193" i="39"/>
  <c r="J193" i="39"/>
  <c r="K193" i="39"/>
  <c r="L193" i="39"/>
  <c r="M193" i="39"/>
  <c r="N193" i="39"/>
  <c r="O193" i="39"/>
  <c r="P193" i="39"/>
  <c r="Q193" i="39"/>
  <c r="R193" i="39"/>
  <c r="S193" i="39"/>
  <c r="T193" i="39"/>
  <c r="U193" i="39"/>
  <c r="V193" i="39"/>
  <c r="W193" i="39"/>
  <c r="X193" i="39"/>
  <c r="Y193" i="39"/>
  <c r="Z193" i="39"/>
  <c r="AA193" i="39"/>
  <c r="AB193" i="39"/>
  <c r="AC193" i="39"/>
  <c r="AD193" i="39"/>
  <c r="AE193" i="39"/>
  <c r="AF193" i="39"/>
  <c r="AG193" i="39"/>
  <c r="AH193" i="39"/>
  <c r="AI193" i="39"/>
  <c r="AJ193" i="39"/>
  <c r="AK193" i="39"/>
  <c r="AL193" i="39"/>
  <c r="AM193" i="39"/>
  <c r="F194" i="39"/>
  <c r="G194" i="39"/>
  <c r="H194" i="39"/>
  <c r="I194" i="39"/>
  <c r="J194" i="39"/>
  <c r="K194" i="39"/>
  <c r="L194" i="39"/>
  <c r="M194" i="39"/>
  <c r="N194" i="39"/>
  <c r="O194" i="39"/>
  <c r="P194" i="39"/>
  <c r="Q194" i="39"/>
  <c r="R194" i="39"/>
  <c r="S194" i="39"/>
  <c r="T194" i="39"/>
  <c r="U194" i="39"/>
  <c r="V194" i="39"/>
  <c r="W194" i="39"/>
  <c r="X194" i="39"/>
  <c r="Y194" i="39"/>
  <c r="Z194" i="39"/>
  <c r="AA194" i="39"/>
  <c r="AB194" i="39"/>
  <c r="AC194" i="39"/>
  <c r="AD194" i="39"/>
  <c r="AE194" i="39"/>
  <c r="AF194" i="39"/>
  <c r="AG194" i="39"/>
  <c r="AH194" i="39"/>
  <c r="AI194" i="39"/>
  <c r="AJ194" i="39"/>
  <c r="AK194" i="39"/>
  <c r="AL194" i="39"/>
  <c r="AM194" i="39"/>
  <c r="E196" i="39"/>
  <c r="F196" i="39"/>
  <c r="G196" i="39"/>
  <c r="H196" i="39"/>
  <c r="I196" i="39"/>
  <c r="J196" i="39"/>
  <c r="K196" i="39"/>
  <c r="M196" i="39"/>
  <c r="N196" i="39"/>
  <c r="P196" i="39"/>
  <c r="Q196" i="39"/>
  <c r="R196" i="39"/>
  <c r="S196" i="39"/>
  <c r="T196" i="39"/>
  <c r="U196" i="39"/>
  <c r="W196" i="39"/>
  <c r="X196" i="39"/>
  <c r="Y196" i="39"/>
  <c r="Z196" i="39"/>
  <c r="AA196" i="39"/>
  <c r="AB196" i="39"/>
  <c r="AC196" i="39"/>
  <c r="AE196" i="39"/>
  <c r="AF196" i="39"/>
  <c r="AG196" i="39"/>
  <c r="AH196" i="39"/>
  <c r="AI196" i="39"/>
  <c r="AJ196" i="39"/>
  <c r="AK196" i="39"/>
  <c r="AL196" i="39"/>
  <c r="AM196" i="39"/>
  <c r="E197" i="39"/>
  <c r="F197" i="39"/>
  <c r="G197" i="39"/>
  <c r="H197" i="39"/>
  <c r="I197" i="39"/>
  <c r="J197" i="39"/>
  <c r="K197" i="39"/>
  <c r="M197" i="39"/>
  <c r="N197" i="39"/>
  <c r="P197" i="39"/>
  <c r="Q197" i="39"/>
  <c r="R197" i="39"/>
  <c r="S197" i="39"/>
  <c r="T197" i="39"/>
  <c r="U197" i="39"/>
  <c r="W197" i="39"/>
  <c r="X197" i="39"/>
  <c r="Y197" i="39"/>
  <c r="Z197" i="39"/>
  <c r="AA197" i="39"/>
  <c r="AB197" i="39"/>
  <c r="AC197" i="39"/>
  <c r="AD197" i="39"/>
  <c r="AE197" i="39"/>
  <c r="AF197" i="39"/>
  <c r="AG197" i="39"/>
  <c r="AH197" i="39"/>
  <c r="AI197" i="39"/>
  <c r="AJ197" i="39"/>
  <c r="AK197" i="39"/>
  <c r="AL197" i="39"/>
  <c r="AM197" i="39"/>
  <c r="E199" i="39"/>
  <c r="F199" i="39"/>
  <c r="G199" i="39"/>
  <c r="H199" i="39"/>
  <c r="I199" i="39"/>
  <c r="J199" i="39"/>
  <c r="K199" i="39"/>
  <c r="L199" i="39"/>
  <c r="M199" i="39"/>
  <c r="N199" i="39"/>
  <c r="O199" i="39"/>
  <c r="P199" i="39"/>
  <c r="Q199" i="39"/>
  <c r="R199" i="39"/>
  <c r="S199" i="39"/>
  <c r="T199" i="39"/>
  <c r="U199" i="39"/>
  <c r="V199" i="39"/>
  <c r="W199" i="39"/>
  <c r="X199" i="39"/>
  <c r="Y199" i="39"/>
  <c r="Z199" i="39"/>
  <c r="AA199" i="39"/>
  <c r="AB199" i="39"/>
  <c r="AC199" i="39"/>
  <c r="AD199" i="39"/>
  <c r="AE199" i="39"/>
  <c r="AF199" i="39"/>
  <c r="AG199" i="39"/>
  <c r="AH199" i="39"/>
  <c r="AI199" i="39"/>
  <c r="AJ199" i="39"/>
  <c r="AK199" i="39"/>
  <c r="AL199" i="39"/>
  <c r="AM199" i="39"/>
  <c r="F200" i="39"/>
  <c r="G200" i="39"/>
  <c r="I200" i="39"/>
  <c r="J200" i="39"/>
  <c r="K200" i="39"/>
  <c r="L200" i="39"/>
  <c r="M200" i="39"/>
  <c r="N200" i="39"/>
  <c r="O200" i="39"/>
  <c r="P200" i="39"/>
  <c r="Q200" i="39"/>
  <c r="R200" i="39"/>
  <c r="S200" i="39"/>
  <c r="T200" i="39"/>
  <c r="U200" i="39"/>
  <c r="V200" i="39"/>
  <c r="W200" i="39"/>
  <c r="X200" i="39"/>
  <c r="Y200" i="39"/>
  <c r="Z200" i="39"/>
  <c r="AA200" i="39"/>
  <c r="AB200" i="39"/>
  <c r="AC200" i="39"/>
  <c r="AD200" i="39"/>
  <c r="AE200" i="39"/>
  <c r="AF200" i="39"/>
  <c r="AG200" i="39"/>
  <c r="AH200" i="39"/>
  <c r="AI200" i="39"/>
  <c r="AJ200" i="39"/>
  <c r="AK200" i="39"/>
  <c r="AL200" i="39"/>
  <c r="AM200" i="39"/>
  <c r="F203" i="39"/>
  <c r="G203" i="39"/>
  <c r="H203" i="39"/>
  <c r="I203" i="39"/>
  <c r="J203" i="39"/>
  <c r="K203" i="39"/>
  <c r="L203" i="39"/>
  <c r="M203" i="39"/>
  <c r="N203" i="39"/>
  <c r="O203" i="39"/>
  <c r="P203" i="39"/>
  <c r="Q203" i="39"/>
  <c r="R203" i="39"/>
  <c r="S203" i="39"/>
  <c r="T203" i="39"/>
  <c r="U203" i="39"/>
  <c r="V203" i="39"/>
  <c r="W203" i="39"/>
  <c r="X203" i="39"/>
  <c r="Y203" i="39"/>
  <c r="Z203" i="39"/>
  <c r="AA203" i="39"/>
  <c r="AB203" i="39"/>
  <c r="AC203" i="39"/>
  <c r="AD203" i="39"/>
  <c r="AE203" i="39"/>
  <c r="AF203" i="39"/>
  <c r="AG203" i="39"/>
  <c r="AH203" i="39"/>
  <c r="AI203" i="39"/>
  <c r="AJ203" i="39"/>
  <c r="AK203" i="39"/>
  <c r="AL203" i="39"/>
  <c r="AM203" i="39"/>
  <c r="F204" i="39"/>
  <c r="G204" i="39"/>
  <c r="H204" i="39"/>
  <c r="I204" i="39"/>
  <c r="J204" i="39"/>
  <c r="K204" i="39"/>
  <c r="L204" i="39"/>
  <c r="M204" i="39"/>
  <c r="N204" i="39"/>
  <c r="O204" i="39"/>
  <c r="P204" i="39"/>
  <c r="Q204" i="39"/>
  <c r="R204" i="39"/>
  <c r="S204" i="39"/>
  <c r="T204" i="39"/>
  <c r="U204" i="39"/>
  <c r="V204" i="39"/>
  <c r="W204" i="39"/>
  <c r="X204" i="39"/>
  <c r="Y204" i="39"/>
  <c r="Z204" i="39"/>
  <c r="AA204" i="39"/>
  <c r="AB204" i="39"/>
  <c r="AC204" i="39"/>
  <c r="AD204" i="39"/>
  <c r="AE204" i="39"/>
  <c r="AF204" i="39"/>
  <c r="AG204" i="39"/>
  <c r="AH204" i="39"/>
  <c r="AI204" i="39"/>
  <c r="AJ204" i="39"/>
  <c r="AK204" i="39"/>
  <c r="AL204" i="39"/>
  <c r="AM204" i="39"/>
  <c r="F205" i="39"/>
  <c r="G205" i="39"/>
  <c r="H205" i="39"/>
  <c r="I205" i="39"/>
  <c r="J205" i="39"/>
  <c r="K205" i="39"/>
  <c r="L205" i="39"/>
  <c r="M205" i="39"/>
  <c r="N205" i="39"/>
  <c r="O205" i="39"/>
  <c r="P205" i="39"/>
  <c r="Q205" i="39"/>
  <c r="R205" i="39"/>
  <c r="S205" i="39"/>
  <c r="T205" i="39"/>
  <c r="U205" i="39"/>
  <c r="V205" i="39"/>
  <c r="W205" i="39"/>
  <c r="X205" i="39"/>
  <c r="Y205" i="39"/>
  <c r="Z205" i="39"/>
  <c r="AA205" i="39"/>
  <c r="AB205" i="39"/>
  <c r="AC205" i="39"/>
  <c r="AD205" i="39"/>
  <c r="AE205" i="39"/>
  <c r="AF205" i="39"/>
  <c r="AG205" i="39"/>
  <c r="AH205" i="39"/>
  <c r="AI205" i="39"/>
  <c r="AJ205" i="39"/>
  <c r="AK205" i="39"/>
  <c r="AL205" i="39"/>
  <c r="AM205" i="39"/>
  <c r="F206" i="39"/>
  <c r="G206" i="39"/>
  <c r="H206" i="39"/>
  <c r="I206" i="39"/>
  <c r="J206" i="39"/>
  <c r="K206" i="39"/>
  <c r="L206" i="39"/>
  <c r="M206" i="39"/>
  <c r="N206" i="39"/>
  <c r="O206" i="39"/>
  <c r="P206" i="39"/>
  <c r="Q206" i="39"/>
  <c r="R206" i="39"/>
  <c r="S206" i="39"/>
  <c r="T206" i="39"/>
  <c r="U206" i="39"/>
  <c r="V206" i="39"/>
  <c r="W206" i="39"/>
  <c r="X206" i="39"/>
  <c r="Y206" i="39"/>
  <c r="Z206" i="39"/>
  <c r="AA206" i="39"/>
  <c r="AB206" i="39"/>
  <c r="AC206" i="39"/>
  <c r="AD206" i="39"/>
  <c r="AE206" i="39"/>
  <c r="AF206" i="39"/>
  <c r="AG206" i="39"/>
  <c r="AH206" i="39"/>
  <c r="AI206" i="39"/>
  <c r="AJ206" i="39"/>
  <c r="AK206" i="39"/>
  <c r="AL206" i="39"/>
  <c r="AM206" i="39"/>
  <c r="E208" i="39"/>
  <c r="F208" i="39"/>
  <c r="G208" i="39"/>
  <c r="I208" i="39"/>
  <c r="J208" i="39"/>
  <c r="K208" i="39"/>
  <c r="M208" i="39"/>
  <c r="N208" i="39"/>
  <c r="P208" i="39"/>
  <c r="Q208" i="39"/>
  <c r="R208" i="39"/>
  <c r="S208" i="39"/>
  <c r="T208" i="39"/>
  <c r="U208" i="39"/>
  <c r="V208" i="39"/>
  <c r="W208" i="39"/>
  <c r="X208" i="39"/>
  <c r="Y208" i="39"/>
  <c r="Z208" i="39"/>
  <c r="AA208" i="39"/>
  <c r="AB208" i="39"/>
  <c r="AC208" i="39"/>
  <c r="AE208" i="39"/>
  <c r="AF208" i="39"/>
  <c r="AG208" i="39"/>
  <c r="AH208" i="39"/>
  <c r="AI208" i="39"/>
  <c r="AJ208" i="39"/>
  <c r="AK208" i="39"/>
  <c r="AL208" i="39"/>
  <c r="AM208" i="39"/>
  <c r="F209" i="39"/>
  <c r="G209" i="39"/>
  <c r="I209" i="39"/>
  <c r="J209" i="39"/>
  <c r="K209" i="39"/>
  <c r="M209" i="39"/>
  <c r="N209" i="39"/>
  <c r="P209" i="39"/>
  <c r="Q209" i="39"/>
  <c r="R209" i="39"/>
  <c r="S209" i="39"/>
  <c r="T209" i="39"/>
  <c r="U209" i="39"/>
  <c r="W209" i="39"/>
  <c r="X209" i="39"/>
  <c r="Y209" i="39"/>
  <c r="Z209" i="39"/>
  <c r="AA209" i="39"/>
  <c r="AB209" i="39"/>
  <c r="AC209" i="39"/>
  <c r="AE209" i="39"/>
  <c r="AF209" i="39"/>
  <c r="AG209" i="39"/>
  <c r="AH209" i="39"/>
  <c r="AI209" i="39"/>
  <c r="AJ209" i="39"/>
  <c r="AK209" i="39"/>
  <c r="AL209" i="39"/>
  <c r="AM209" i="39"/>
  <c r="E211" i="39"/>
  <c r="F211" i="39"/>
  <c r="G211" i="39"/>
  <c r="H211" i="39"/>
  <c r="I211" i="39"/>
  <c r="J211" i="39"/>
  <c r="K211" i="39"/>
  <c r="L211" i="39"/>
  <c r="M211" i="39"/>
  <c r="N211" i="39"/>
  <c r="O211" i="39"/>
  <c r="P211" i="39"/>
  <c r="Q211" i="39"/>
  <c r="R211" i="39"/>
  <c r="S211" i="39"/>
  <c r="T211" i="39"/>
  <c r="U211" i="39"/>
  <c r="V211" i="39"/>
  <c r="W211" i="39"/>
  <c r="X211" i="39"/>
  <c r="Y211" i="39"/>
  <c r="Z211" i="39"/>
  <c r="AA211" i="39"/>
  <c r="AB211" i="39"/>
  <c r="AC211" i="39"/>
  <c r="AD211" i="39"/>
  <c r="AE211" i="39"/>
  <c r="AF211" i="39"/>
  <c r="AG211" i="39"/>
  <c r="AH211" i="39"/>
  <c r="AI211" i="39"/>
  <c r="AJ211" i="39"/>
  <c r="AK211" i="39"/>
  <c r="AL211" i="39"/>
  <c r="AM211" i="39"/>
  <c r="E212" i="39"/>
  <c r="F212" i="39"/>
  <c r="G212" i="39"/>
  <c r="H212" i="39"/>
  <c r="I212" i="39"/>
  <c r="J212" i="39"/>
  <c r="K212" i="39"/>
  <c r="L212" i="39"/>
  <c r="M212" i="39"/>
  <c r="N212" i="39"/>
  <c r="O212" i="39"/>
  <c r="P212" i="39"/>
  <c r="Q212" i="39"/>
  <c r="R212" i="39"/>
  <c r="S212" i="39"/>
  <c r="T212" i="39"/>
  <c r="U212" i="39"/>
  <c r="V212" i="39"/>
  <c r="W212" i="39"/>
  <c r="X212" i="39"/>
  <c r="Y212" i="39"/>
  <c r="Z212" i="39"/>
  <c r="AA212" i="39"/>
  <c r="AB212" i="39"/>
  <c r="AC212" i="39"/>
  <c r="AD212" i="39"/>
  <c r="AE212" i="39"/>
  <c r="AF212" i="39"/>
  <c r="AG212" i="39"/>
  <c r="AH212" i="39"/>
  <c r="AI212" i="39"/>
  <c r="AJ212" i="39"/>
  <c r="AK212" i="39"/>
  <c r="AL212" i="39"/>
  <c r="AM212" i="39"/>
  <c r="F215" i="39"/>
  <c r="G215" i="39"/>
  <c r="H215" i="39"/>
  <c r="I215" i="39"/>
  <c r="J215" i="39"/>
  <c r="K215" i="39"/>
  <c r="L215" i="39"/>
  <c r="M215" i="39"/>
  <c r="N215" i="39"/>
  <c r="O215" i="39"/>
  <c r="P215" i="39"/>
  <c r="Q215" i="39"/>
  <c r="R215" i="39"/>
  <c r="S215" i="39"/>
  <c r="T215" i="39"/>
  <c r="U215" i="39"/>
  <c r="V215" i="39"/>
  <c r="W215" i="39"/>
  <c r="X215" i="39"/>
  <c r="Y215" i="39"/>
  <c r="Z215" i="39"/>
  <c r="AA215" i="39"/>
  <c r="AB215" i="39"/>
  <c r="AC215" i="39"/>
  <c r="AD215" i="39"/>
  <c r="AE215" i="39"/>
  <c r="AF215" i="39"/>
  <c r="AG215" i="39"/>
  <c r="AH215" i="39"/>
  <c r="AI215" i="39"/>
  <c r="AJ215" i="39"/>
  <c r="AK215" i="39"/>
  <c r="AL215" i="39"/>
  <c r="AM215" i="39"/>
  <c r="F216" i="39"/>
  <c r="G216" i="39"/>
  <c r="H216" i="39"/>
  <c r="I216" i="39"/>
  <c r="J216" i="39"/>
  <c r="K216" i="39"/>
  <c r="L216" i="39"/>
  <c r="M216" i="39"/>
  <c r="N216" i="39"/>
  <c r="O216" i="39"/>
  <c r="P216" i="39"/>
  <c r="Q216" i="39"/>
  <c r="R216" i="39"/>
  <c r="S216" i="39"/>
  <c r="T216" i="39"/>
  <c r="U216" i="39"/>
  <c r="V216" i="39"/>
  <c r="W216" i="39"/>
  <c r="X216" i="39"/>
  <c r="Y216" i="39"/>
  <c r="Z216" i="39"/>
  <c r="AA216" i="39"/>
  <c r="AB216" i="39"/>
  <c r="AC216" i="39"/>
  <c r="AD216" i="39"/>
  <c r="AE216" i="39"/>
  <c r="AF216" i="39"/>
  <c r="AG216" i="39"/>
  <c r="AH216" i="39"/>
  <c r="AI216" i="39"/>
  <c r="AJ216" i="39"/>
  <c r="AK216" i="39"/>
  <c r="AL216" i="39"/>
  <c r="AM216" i="39"/>
  <c r="F217" i="39"/>
  <c r="G217" i="39"/>
  <c r="H217" i="39"/>
  <c r="I217" i="39"/>
  <c r="J217" i="39"/>
  <c r="K217" i="39"/>
  <c r="L217" i="39"/>
  <c r="M217" i="39"/>
  <c r="N217" i="39"/>
  <c r="O217" i="39"/>
  <c r="P217" i="39"/>
  <c r="Q217" i="39"/>
  <c r="R217" i="39"/>
  <c r="S217" i="39"/>
  <c r="T217" i="39"/>
  <c r="U217" i="39"/>
  <c r="V217" i="39"/>
  <c r="W217" i="39"/>
  <c r="X217" i="39"/>
  <c r="Y217" i="39"/>
  <c r="Z217" i="39"/>
  <c r="AA217" i="39"/>
  <c r="AB217" i="39"/>
  <c r="AC217" i="39"/>
  <c r="AD217" i="39"/>
  <c r="AE217" i="39"/>
  <c r="AF217" i="39"/>
  <c r="AG217" i="39"/>
  <c r="AH217" i="39"/>
  <c r="AI217" i="39"/>
  <c r="AJ217" i="39"/>
  <c r="AK217" i="39"/>
  <c r="AL217" i="39"/>
  <c r="AM217" i="39"/>
  <c r="F218" i="39"/>
  <c r="G218" i="39"/>
  <c r="H218" i="39"/>
  <c r="I218" i="39"/>
  <c r="J218" i="39"/>
  <c r="K218" i="39"/>
  <c r="L218" i="39"/>
  <c r="M218" i="39"/>
  <c r="N218" i="39"/>
  <c r="O218" i="39"/>
  <c r="P218" i="39"/>
  <c r="Q218" i="39"/>
  <c r="R218" i="39"/>
  <c r="S218" i="39"/>
  <c r="T218" i="39"/>
  <c r="U218" i="39"/>
  <c r="V218" i="39"/>
  <c r="W218" i="39"/>
  <c r="X218" i="39"/>
  <c r="Y218" i="39"/>
  <c r="Z218" i="39"/>
  <c r="AA218" i="39"/>
  <c r="AB218" i="39"/>
  <c r="AC218" i="39"/>
  <c r="AD218" i="39"/>
  <c r="AE218" i="39"/>
  <c r="AF218" i="39"/>
  <c r="AG218" i="39"/>
  <c r="AH218" i="39"/>
  <c r="AI218" i="39"/>
  <c r="AJ218" i="39"/>
  <c r="AK218" i="39"/>
  <c r="AL218" i="39"/>
  <c r="AM218" i="39"/>
  <c r="F220" i="39"/>
  <c r="G220" i="39"/>
  <c r="I220" i="39"/>
  <c r="J220" i="39"/>
  <c r="K220" i="39"/>
  <c r="M220" i="39"/>
  <c r="N220" i="39"/>
  <c r="P220" i="39"/>
  <c r="Q220" i="39"/>
  <c r="R220" i="39"/>
  <c r="T220" i="39"/>
  <c r="U220" i="39"/>
  <c r="W220" i="39"/>
  <c r="X220" i="39"/>
  <c r="Y220" i="39"/>
  <c r="Z220" i="39"/>
  <c r="AA220" i="39"/>
  <c r="AB220" i="39"/>
  <c r="AC220" i="39"/>
  <c r="AE220" i="39"/>
  <c r="AF220" i="39"/>
  <c r="AG220" i="39"/>
  <c r="AH220" i="39"/>
  <c r="AI220" i="39"/>
  <c r="AJ220" i="39"/>
  <c r="AK220" i="39"/>
  <c r="AL220" i="39"/>
  <c r="AM220" i="39"/>
  <c r="F221" i="39"/>
  <c r="G221" i="39"/>
  <c r="I221" i="39"/>
  <c r="J221" i="39"/>
  <c r="K221" i="39"/>
  <c r="M221" i="39"/>
  <c r="N221" i="39"/>
  <c r="P221" i="39"/>
  <c r="Q221" i="39"/>
  <c r="R221" i="39"/>
  <c r="T221" i="39"/>
  <c r="U221" i="39"/>
  <c r="W221" i="39"/>
  <c r="X221" i="39"/>
  <c r="Y221" i="39"/>
  <c r="Z221" i="39"/>
  <c r="AA221" i="39"/>
  <c r="AB221" i="39"/>
  <c r="AC221" i="39"/>
  <c r="AE221" i="39"/>
  <c r="AF221" i="39"/>
  <c r="AG221" i="39"/>
  <c r="AH221" i="39"/>
  <c r="AI221" i="39"/>
  <c r="AJ221" i="39"/>
  <c r="AK221" i="39"/>
  <c r="AL221" i="39"/>
  <c r="AM221" i="39"/>
  <c r="E223" i="39"/>
  <c r="F223" i="39"/>
  <c r="G223" i="39"/>
  <c r="H223" i="39"/>
  <c r="I223" i="39"/>
  <c r="J223" i="39"/>
  <c r="K223" i="39"/>
  <c r="L223" i="39"/>
  <c r="M223" i="39"/>
  <c r="N223" i="39"/>
  <c r="O223" i="39"/>
  <c r="P223" i="39"/>
  <c r="Q223" i="39"/>
  <c r="R223" i="39"/>
  <c r="S223" i="39"/>
  <c r="T223" i="39"/>
  <c r="U223" i="39"/>
  <c r="V223" i="39"/>
  <c r="W223" i="39"/>
  <c r="X223" i="39"/>
  <c r="Y223" i="39"/>
  <c r="Z223" i="39"/>
  <c r="AA223" i="39"/>
  <c r="AB223" i="39"/>
  <c r="AC223" i="39"/>
  <c r="AD223" i="39"/>
  <c r="AE223" i="39"/>
  <c r="AF223" i="39"/>
  <c r="AG223" i="39"/>
  <c r="AH223" i="39"/>
  <c r="AI223" i="39"/>
  <c r="AJ223" i="39"/>
  <c r="AK223" i="39"/>
  <c r="AL223" i="39"/>
  <c r="AM223" i="39"/>
  <c r="E224" i="39"/>
  <c r="F224" i="39"/>
  <c r="G224" i="39"/>
  <c r="H224" i="39"/>
  <c r="I224" i="39"/>
  <c r="J224" i="39"/>
  <c r="K224" i="39"/>
  <c r="L224" i="39"/>
  <c r="M224" i="39"/>
  <c r="N224" i="39"/>
  <c r="O224" i="39"/>
  <c r="P224" i="39"/>
  <c r="Q224" i="39"/>
  <c r="R224" i="39"/>
  <c r="S224" i="39"/>
  <c r="T224" i="39"/>
  <c r="U224" i="39"/>
  <c r="V224" i="39"/>
  <c r="W224" i="39"/>
  <c r="X224" i="39"/>
  <c r="Y224" i="39"/>
  <c r="Z224" i="39"/>
  <c r="AA224" i="39"/>
  <c r="AB224" i="39"/>
  <c r="AC224" i="39"/>
  <c r="AD224" i="39"/>
  <c r="AE224" i="39"/>
  <c r="AF224" i="39"/>
  <c r="AG224" i="39"/>
  <c r="AH224" i="39"/>
  <c r="AI224" i="39"/>
  <c r="AJ224" i="39"/>
  <c r="AK224" i="39"/>
  <c r="AL224" i="39"/>
  <c r="AM224" i="39"/>
  <c r="F227" i="39"/>
  <c r="G227" i="39"/>
  <c r="H227" i="39"/>
  <c r="I227" i="39"/>
  <c r="J227" i="39"/>
  <c r="K227" i="39"/>
  <c r="L227" i="39"/>
  <c r="M227" i="39"/>
  <c r="N227" i="39"/>
  <c r="O227" i="39"/>
  <c r="P227" i="39"/>
  <c r="Q227" i="39"/>
  <c r="R227" i="39"/>
  <c r="S227" i="39"/>
  <c r="T227" i="39"/>
  <c r="U227" i="39"/>
  <c r="V227" i="39"/>
  <c r="W227" i="39"/>
  <c r="X227" i="39"/>
  <c r="Y227" i="39"/>
  <c r="Z227" i="39"/>
  <c r="AA227" i="39"/>
  <c r="AB227" i="39"/>
  <c r="AC227" i="39"/>
  <c r="AD227" i="39"/>
  <c r="AE227" i="39"/>
  <c r="AF227" i="39"/>
  <c r="AG227" i="39"/>
  <c r="AH227" i="39"/>
  <c r="AI227" i="39"/>
  <c r="AJ227" i="39"/>
  <c r="AK227" i="39"/>
  <c r="AL227" i="39"/>
  <c r="AM227" i="39"/>
  <c r="F228" i="39"/>
  <c r="G228" i="39"/>
  <c r="H228" i="39"/>
  <c r="I228" i="39"/>
  <c r="J228" i="39"/>
  <c r="K228" i="39"/>
  <c r="L228" i="39"/>
  <c r="M228" i="39"/>
  <c r="N228" i="39"/>
  <c r="O228" i="39"/>
  <c r="P228" i="39"/>
  <c r="Q228" i="39"/>
  <c r="R228" i="39"/>
  <c r="S228" i="39"/>
  <c r="T228" i="39"/>
  <c r="U228" i="39"/>
  <c r="V228" i="39"/>
  <c r="W228" i="39"/>
  <c r="X228" i="39"/>
  <c r="Y228" i="39"/>
  <c r="Z228" i="39"/>
  <c r="AA228" i="39"/>
  <c r="AB228" i="39"/>
  <c r="AC228" i="39"/>
  <c r="AD228" i="39"/>
  <c r="AE228" i="39"/>
  <c r="AF228" i="39"/>
  <c r="AG228" i="39"/>
  <c r="AH228" i="39"/>
  <c r="AI228" i="39"/>
  <c r="AJ228" i="39"/>
  <c r="AK228" i="39"/>
  <c r="AL228" i="39"/>
  <c r="AM228" i="39"/>
  <c r="F229" i="39"/>
  <c r="G229" i="39"/>
  <c r="H229" i="39"/>
  <c r="I229" i="39"/>
  <c r="J229" i="39"/>
  <c r="K229" i="39"/>
  <c r="L229" i="39"/>
  <c r="M229" i="39"/>
  <c r="N229" i="39"/>
  <c r="O229" i="39"/>
  <c r="P229" i="39"/>
  <c r="Q229" i="39"/>
  <c r="R229" i="39"/>
  <c r="S229" i="39"/>
  <c r="T229" i="39"/>
  <c r="U229" i="39"/>
  <c r="V229" i="39"/>
  <c r="W229" i="39"/>
  <c r="X229" i="39"/>
  <c r="Y229" i="39"/>
  <c r="Z229" i="39"/>
  <c r="AA229" i="39"/>
  <c r="AB229" i="39"/>
  <c r="AC229" i="39"/>
  <c r="AD229" i="39"/>
  <c r="AE229" i="39"/>
  <c r="AF229" i="39"/>
  <c r="AG229" i="39"/>
  <c r="AH229" i="39"/>
  <c r="AI229" i="39"/>
  <c r="AJ229" i="39"/>
  <c r="AK229" i="39"/>
  <c r="AL229" i="39"/>
  <c r="AM229" i="39"/>
  <c r="F230" i="39"/>
  <c r="G230" i="39"/>
  <c r="H230" i="39"/>
  <c r="I230" i="39"/>
  <c r="J230" i="39"/>
  <c r="K230" i="39"/>
  <c r="M230" i="39"/>
  <c r="N230" i="39"/>
  <c r="O230" i="39"/>
  <c r="P230" i="39"/>
  <c r="Q230" i="39"/>
  <c r="R230" i="39"/>
  <c r="S230" i="39"/>
  <c r="T230" i="39"/>
  <c r="U230" i="39"/>
  <c r="V230" i="39"/>
  <c r="W230" i="39"/>
  <c r="X230" i="39"/>
  <c r="Y230" i="39"/>
  <c r="Z230" i="39"/>
  <c r="AA230" i="39"/>
  <c r="AB230" i="39"/>
  <c r="AC230" i="39"/>
  <c r="AD230" i="39"/>
  <c r="AE230" i="39"/>
  <c r="AF230" i="39"/>
  <c r="AG230" i="39"/>
  <c r="AH230" i="39"/>
  <c r="AI230" i="39"/>
  <c r="AJ230" i="39"/>
  <c r="AK230" i="39"/>
  <c r="AL230" i="39"/>
  <c r="AM230" i="39"/>
  <c r="F235" i="39"/>
  <c r="G235" i="39"/>
  <c r="I235" i="39"/>
  <c r="J235" i="39"/>
  <c r="K235" i="39"/>
  <c r="M235" i="39"/>
  <c r="N235" i="39"/>
  <c r="P235" i="39"/>
  <c r="Q235" i="39"/>
  <c r="R235" i="39"/>
  <c r="T235" i="39"/>
  <c r="U235" i="39"/>
  <c r="W235" i="39"/>
  <c r="X235" i="39"/>
  <c r="Y235" i="39"/>
  <c r="AA235" i="39"/>
  <c r="AB235" i="39"/>
  <c r="AC235" i="39"/>
  <c r="AD235" i="39"/>
  <c r="AE235" i="39"/>
  <c r="AF235" i="39"/>
  <c r="AG235" i="39"/>
  <c r="AH235" i="39"/>
  <c r="AI235" i="39"/>
  <c r="AJ235" i="39"/>
  <c r="AK235" i="39"/>
  <c r="AL235" i="39"/>
  <c r="AM235" i="39"/>
  <c r="E237" i="39"/>
  <c r="F237" i="39"/>
  <c r="G237" i="39"/>
  <c r="H237" i="39"/>
  <c r="I237" i="39"/>
  <c r="J237" i="39"/>
  <c r="K237" i="39"/>
  <c r="L237" i="39"/>
  <c r="M237" i="39"/>
  <c r="N237" i="39"/>
  <c r="O237" i="39"/>
  <c r="P237" i="39"/>
  <c r="Q237" i="39"/>
  <c r="R237" i="39"/>
  <c r="S237" i="39"/>
  <c r="T237" i="39"/>
  <c r="U237" i="39"/>
  <c r="V237" i="39"/>
  <c r="W237" i="39"/>
  <c r="X237" i="39"/>
  <c r="Y237" i="39"/>
  <c r="Z237" i="39"/>
  <c r="AA237" i="39"/>
  <c r="AB237" i="39"/>
  <c r="AC237" i="39"/>
  <c r="AD237" i="39"/>
  <c r="AE237" i="39"/>
  <c r="AF237" i="39"/>
  <c r="AG237" i="39"/>
  <c r="AH237" i="39"/>
  <c r="AI237" i="39"/>
  <c r="AJ237" i="39"/>
  <c r="AK237" i="39"/>
  <c r="AL237" i="39"/>
  <c r="AM237" i="39"/>
  <c r="E238" i="39"/>
  <c r="F238" i="39"/>
  <c r="G238" i="39"/>
  <c r="H238" i="39"/>
  <c r="I238" i="39"/>
  <c r="J238" i="39"/>
  <c r="K238" i="39"/>
  <c r="L238" i="39"/>
  <c r="M238" i="39"/>
  <c r="N238" i="39"/>
  <c r="O238" i="39"/>
  <c r="P238" i="39"/>
  <c r="Q238" i="39"/>
  <c r="R238" i="39"/>
  <c r="S238" i="39"/>
  <c r="T238" i="39"/>
  <c r="U238" i="39"/>
  <c r="V238" i="39"/>
  <c r="W238" i="39"/>
  <c r="X238" i="39"/>
  <c r="Y238" i="39"/>
  <c r="Z238" i="39"/>
  <c r="AA238" i="39"/>
  <c r="AB238" i="39"/>
  <c r="AC238" i="39"/>
  <c r="AD238" i="39"/>
  <c r="AE238" i="39"/>
  <c r="AF238" i="39"/>
  <c r="AG238" i="39"/>
  <c r="AH238" i="39"/>
  <c r="AI238" i="39"/>
  <c r="AJ238" i="39"/>
  <c r="AK238" i="39"/>
  <c r="AL238" i="39"/>
  <c r="AM238" i="39"/>
  <c r="F241" i="39"/>
  <c r="G241" i="39"/>
  <c r="H241" i="39"/>
  <c r="I241" i="39"/>
  <c r="J241" i="39"/>
  <c r="K241" i="39"/>
  <c r="L241" i="39"/>
  <c r="M241" i="39"/>
  <c r="N241" i="39"/>
  <c r="O241" i="39"/>
  <c r="P241" i="39"/>
  <c r="Q241" i="39"/>
  <c r="R241" i="39"/>
  <c r="S241" i="39"/>
  <c r="T241" i="39"/>
  <c r="U241" i="39"/>
  <c r="V241" i="39"/>
  <c r="W241" i="39"/>
  <c r="X241" i="39"/>
  <c r="Y241" i="39"/>
  <c r="Z241" i="39"/>
  <c r="AA241" i="39"/>
  <c r="AB241" i="39"/>
  <c r="AC241" i="39"/>
  <c r="AD241" i="39"/>
  <c r="AE241" i="39"/>
  <c r="AF241" i="39"/>
  <c r="AG241" i="39"/>
  <c r="AH241" i="39"/>
  <c r="AI241" i="39"/>
  <c r="AJ241" i="39"/>
  <c r="AK241" i="39"/>
  <c r="AL241" i="39"/>
  <c r="AM241" i="39"/>
  <c r="F242" i="39"/>
  <c r="G242" i="39"/>
  <c r="H242" i="39"/>
  <c r="I242" i="39"/>
  <c r="J242" i="39"/>
  <c r="K242" i="39"/>
  <c r="L242" i="39"/>
  <c r="M242" i="39"/>
  <c r="N242" i="39"/>
  <c r="O242" i="39"/>
  <c r="P242" i="39"/>
  <c r="Q242" i="39"/>
  <c r="R242" i="39"/>
  <c r="S242" i="39"/>
  <c r="T242" i="39"/>
  <c r="U242" i="39"/>
  <c r="V242" i="39"/>
  <c r="W242" i="39"/>
  <c r="X242" i="39"/>
  <c r="Y242" i="39"/>
  <c r="Z242" i="39"/>
  <c r="AA242" i="39"/>
  <c r="AB242" i="39"/>
  <c r="AC242" i="39"/>
  <c r="AD242" i="39"/>
  <c r="AE242" i="39"/>
  <c r="AF242" i="39"/>
  <c r="AG242" i="39"/>
  <c r="AH242" i="39"/>
  <c r="AI242" i="39"/>
  <c r="AJ242" i="39"/>
  <c r="AK242" i="39"/>
  <c r="AL242" i="39"/>
  <c r="AM242" i="39"/>
  <c r="F243" i="39"/>
  <c r="G243" i="39"/>
  <c r="H243" i="39"/>
  <c r="I243" i="39"/>
  <c r="J243" i="39"/>
  <c r="K243" i="39"/>
  <c r="L243" i="39"/>
  <c r="M243" i="39"/>
  <c r="N243" i="39"/>
  <c r="O243" i="39"/>
  <c r="P243" i="39"/>
  <c r="Q243" i="39"/>
  <c r="R243" i="39"/>
  <c r="S243" i="39"/>
  <c r="T243" i="39"/>
  <c r="U243" i="39"/>
  <c r="V243" i="39"/>
  <c r="W243" i="39"/>
  <c r="X243" i="39"/>
  <c r="Y243" i="39"/>
  <c r="Z243" i="39"/>
  <c r="AA243" i="39"/>
  <c r="AB243" i="39"/>
  <c r="AC243" i="39"/>
  <c r="AD243" i="39"/>
  <c r="AE243" i="39"/>
  <c r="AF243" i="39"/>
  <c r="AG243" i="39"/>
  <c r="AH243" i="39"/>
  <c r="AI243" i="39"/>
  <c r="AJ243" i="39"/>
  <c r="AK243" i="39"/>
  <c r="AL243" i="39"/>
  <c r="AM243" i="39"/>
  <c r="F244" i="39"/>
  <c r="G244" i="39"/>
  <c r="H244" i="39"/>
  <c r="I244" i="39"/>
  <c r="J244" i="39"/>
  <c r="K244" i="39"/>
  <c r="L244" i="39"/>
  <c r="M244" i="39"/>
  <c r="N244" i="39"/>
  <c r="O244" i="39"/>
  <c r="P244" i="39"/>
  <c r="Q244" i="39"/>
  <c r="R244" i="39"/>
  <c r="S244" i="39"/>
  <c r="T244" i="39"/>
  <c r="U244" i="39"/>
  <c r="V244" i="39"/>
  <c r="W244" i="39"/>
  <c r="X244" i="39"/>
  <c r="Y244" i="39"/>
  <c r="Z244" i="39"/>
  <c r="AA244" i="39"/>
  <c r="AB244" i="39"/>
  <c r="AC244" i="39"/>
  <c r="AD244" i="39"/>
  <c r="AE244" i="39"/>
  <c r="AF244" i="39"/>
  <c r="AG244" i="39"/>
  <c r="AH244" i="39"/>
  <c r="AI244" i="39"/>
  <c r="AJ244" i="39"/>
  <c r="AK244" i="39"/>
  <c r="AL244" i="39"/>
  <c r="AM244" i="39"/>
  <c r="F124" i="39"/>
  <c r="F131" i="39"/>
  <c r="G124" i="39"/>
  <c r="G131" i="39"/>
  <c r="H131" i="39"/>
  <c r="I124" i="39"/>
  <c r="I131" i="39"/>
  <c r="J124" i="39"/>
  <c r="J131" i="39"/>
  <c r="K124" i="39"/>
  <c r="K131" i="39"/>
  <c r="L131" i="39"/>
  <c r="M124" i="39"/>
  <c r="M131" i="39"/>
  <c r="N124" i="39"/>
  <c r="N131" i="39"/>
  <c r="O131" i="39"/>
  <c r="P124" i="39"/>
  <c r="P131" i="39"/>
  <c r="Q124" i="39"/>
  <c r="Q131" i="39"/>
  <c r="R124" i="39"/>
  <c r="R131" i="39"/>
  <c r="S131" i="39"/>
  <c r="T124" i="39"/>
  <c r="T131" i="39"/>
  <c r="U124" i="39"/>
  <c r="U131" i="39"/>
  <c r="V131" i="39"/>
  <c r="W124" i="39"/>
  <c r="W131" i="39"/>
  <c r="X124" i="39"/>
  <c r="X131" i="39"/>
  <c r="Y124" i="39"/>
  <c r="Y131" i="39"/>
  <c r="Z131" i="39"/>
  <c r="AA124" i="39"/>
  <c r="AA131" i="39"/>
  <c r="AB124" i="39"/>
  <c r="AB131" i="39"/>
  <c r="AC124" i="39"/>
  <c r="AC131" i="39"/>
  <c r="AD131" i="39"/>
  <c r="AE124" i="39"/>
  <c r="AE131" i="39"/>
  <c r="AF124" i="39"/>
  <c r="AF131" i="39"/>
  <c r="AG124" i="39"/>
  <c r="AG131" i="39"/>
  <c r="AH124" i="39"/>
  <c r="AH131" i="39"/>
  <c r="AI124" i="39"/>
  <c r="AI131" i="39"/>
  <c r="AJ124" i="39"/>
  <c r="AJ131" i="39"/>
  <c r="AK124" i="39"/>
  <c r="AK131" i="39"/>
  <c r="AL124" i="39"/>
  <c r="AL131" i="39"/>
  <c r="AM124" i="39"/>
  <c r="AM131" i="39"/>
  <c r="F125" i="39"/>
  <c r="F132" i="39"/>
  <c r="G125" i="39"/>
  <c r="G132" i="39"/>
  <c r="H132" i="39"/>
  <c r="I125" i="39"/>
  <c r="I132" i="39"/>
  <c r="J125" i="39"/>
  <c r="J132" i="39"/>
  <c r="K125" i="39"/>
  <c r="K132" i="39"/>
  <c r="L132" i="39"/>
  <c r="M125" i="39"/>
  <c r="M132" i="39"/>
  <c r="N125" i="39"/>
  <c r="N132" i="39"/>
  <c r="O132" i="39"/>
  <c r="P125" i="39"/>
  <c r="P132" i="39"/>
  <c r="Q125" i="39"/>
  <c r="Q132" i="39"/>
  <c r="R125" i="39"/>
  <c r="R132" i="39"/>
  <c r="S132" i="39"/>
  <c r="T125" i="39"/>
  <c r="T132" i="39"/>
  <c r="U125" i="39"/>
  <c r="U132" i="39"/>
  <c r="V132" i="39"/>
  <c r="W125" i="39"/>
  <c r="W132" i="39"/>
  <c r="X125" i="39"/>
  <c r="X132" i="39"/>
  <c r="Y125" i="39"/>
  <c r="Y132" i="39"/>
  <c r="Z125" i="39"/>
  <c r="Z132" i="39"/>
  <c r="AA125" i="39"/>
  <c r="AA132" i="39"/>
  <c r="AB125" i="39"/>
  <c r="AB132" i="39"/>
  <c r="AC125" i="39"/>
  <c r="AC132" i="39"/>
  <c r="AD132" i="39"/>
  <c r="AE125" i="39"/>
  <c r="AE132" i="39"/>
  <c r="AF125" i="39"/>
  <c r="AF132" i="39"/>
  <c r="AG125" i="39"/>
  <c r="AG132" i="39"/>
  <c r="AH125" i="39"/>
  <c r="AH132" i="39"/>
  <c r="AI125" i="39"/>
  <c r="AI132" i="39"/>
  <c r="AJ125" i="39"/>
  <c r="AJ132" i="39"/>
  <c r="AK125" i="39"/>
  <c r="AK132" i="39"/>
  <c r="AL125" i="39"/>
  <c r="AL132" i="39"/>
  <c r="AM125" i="39"/>
  <c r="AM132" i="39"/>
  <c r="F127" i="39"/>
  <c r="F133" i="39"/>
  <c r="G127" i="39"/>
  <c r="G133" i="39"/>
  <c r="H127" i="39"/>
  <c r="H133" i="39"/>
  <c r="I127" i="39"/>
  <c r="I133" i="39"/>
  <c r="J127" i="39"/>
  <c r="J133" i="39"/>
  <c r="K127" i="39"/>
  <c r="K133" i="39"/>
  <c r="L127" i="39"/>
  <c r="L133" i="39"/>
  <c r="M127" i="39"/>
  <c r="M133" i="39"/>
  <c r="N127" i="39"/>
  <c r="N133" i="39"/>
  <c r="O127" i="39"/>
  <c r="O133" i="39"/>
  <c r="P127" i="39"/>
  <c r="P133" i="39"/>
  <c r="Q127" i="39"/>
  <c r="Q133" i="39"/>
  <c r="R127" i="39"/>
  <c r="R133" i="39"/>
  <c r="S127" i="39"/>
  <c r="S133" i="39"/>
  <c r="T127" i="39"/>
  <c r="T133" i="39"/>
  <c r="U127" i="39"/>
  <c r="U133" i="39"/>
  <c r="V127" i="39"/>
  <c r="V133" i="39"/>
  <c r="Y127" i="39"/>
  <c r="Y133" i="39"/>
  <c r="Z127" i="39"/>
  <c r="Z133" i="39"/>
  <c r="AA127" i="39"/>
  <c r="AA133" i="39"/>
  <c r="AB127" i="39"/>
  <c r="AB133" i="39"/>
  <c r="AC127" i="39"/>
  <c r="AC133" i="39"/>
  <c r="AD127" i="39"/>
  <c r="AD133" i="39"/>
  <c r="AE133" i="39"/>
  <c r="AF133" i="39"/>
  <c r="AG133" i="39"/>
  <c r="AH133" i="39"/>
  <c r="AI133" i="39"/>
  <c r="AJ133" i="39"/>
  <c r="AK133" i="39"/>
  <c r="AL133" i="39"/>
  <c r="AM133" i="39"/>
  <c r="F134" i="39"/>
  <c r="G134" i="39"/>
  <c r="H134" i="39"/>
  <c r="I134" i="39"/>
  <c r="J134" i="39"/>
  <c r="K134" i="39"/>
  <c r="L134" i="39"/>
  <c r="M134" i="39"/>
  <c r="N134" i="39"/>
  <c r="O134" i="39"/>
  <c r="P134" i="39"/>
  <c r="Q134" i="39"/>
  <c r="R134" i="39"/>
  <c r="S134" i="39"/>
  <c r="T134" i="39"/>
  <c r="U134" i="39"/>
  <c r="V134" i="39"/>
  <c r="Y134" i="39"/>
  <c r="Z134" i="39"/>
  <c r="AA134" i="39"/>
  <c r="AB134" i="39"/>
  <c r="AC134" i="39"/>
  <c r="AD134" i="39"/>
  <c r="AE134" i="39"/>
  <c r="AF134" i="39"/>
  <c r="AG134" i="39"/>
  <c r="AH134" i="39"/>
  <c r="AI134" i="39"/>
  <c r="AJ134" i="39"/>
  <c r="AK134" i="39"/>
  <c r="AL134" i="39"/>
  <c r="AM134" i="39"/>
  <c r="W136" i="39"/>
  <c r="W143" i="39"/>
  <c r="X136" i="39"/>
  <c r="X143" i="39"/>
  <c r="AE136" i="39"/>
  <c r="AF136" i="39"/>
  <c r="AG136" i="39"/>
  <c r="AH136" i="39"/>
  <c r="AI136" i="39"/>
  <c r="AJ136" i="39"/>
  <c r="AK136" i="39"/>
  <c r="AL136" i="39"/>
  <c r="AM136" i="39"/>
  <c r="W144" i="39"/>
  <c r="X144" i="39"/>
  <c r="AE137" i="39"/>
  <c r="AF137" i="39"/>
  <c r="AG137" i="39"/>
  <c r="AH137" i="39"/>
  <c r="AI137" i="39"/>
  <c r="AJ137" i="39"/>
  <c r="AK137" i="39"/>
  <c r="AL137" i="39"/>
  <c r="AM137" i="39"/>
  <c r="W139" i="39"/>
  <c r="X139" i="39"/>
  <c r="AE139" i="39"/>
  <c r="AF139" i="39"/>
  <c r="AG139" i="39"/>
  <c r="AH139" i="39"/>
  <c r="AI139" i="39"/>
  <c r="AJ139" i="39"/>
  <c r="AK139" i="39"/>
  <c r="AL139" i="39"/>
  <c r="AM139" i="39"/>
  <c r="E140" i="39"/>
  <c r="F140" i="39"/>
  <c r="G140" i="39"/>
  <c r="H140" i="39"/>
  <c r="I140" i="39"/>
  <c r="J140" i="39"/>
  <c r="K140" i="39"/>
  <c r="L140" i="39"/>
  <c r="M140" i="39"/>
  <c r="N140" i="39"/>
  <c r="O140" i="39"/>
  <c r="P140" i="39"/>
  <c r="Q140" i="39"/>
  <c r="R140" i="39"/>
  <c r="S140" i="39"/>
  <c r="T140" i="39"/>
  <c r="U140" i="39"/>
  <c r="V140" i="39"/>
  <c r="W140" i="39"/>
  <c r="X140" i="39"/>
  <c r="Y140" i="39"/>
  <c r="Z140" i="39"/>
  <c r="AA140" i="39"/>
  <c r="AB140" i="39"/>
  <c r="AC140" i="39"/>
  <c r="AD140" i="39"/>
  <c r="AE140" i="39"/>
  <c r="AF140" i="39"/>
  <c r="AG140" i="39"/>
  <c r="AH140" i="39"/>
  <c r="AI140" i="39"/>
  <c r="AJ140" i="39"/>
  <c r="AK140" i="39"/>
  <c r="AL140" i="39"/>
  <c r="AM140" i="39"/>
  <c r="E112" i="39"/>
  <c r="F112" i="39"/>
  <c r="F119" i="39"/>
  <c r="G112" i="39"/>
  <c r="G119" i="39"/>
  <c r="H119" i="39"/>
  <c r="I112" i="39"/>
  <c r="I119" i="39"/>
  <c r="J112" i="39"/>
  <c r="J119" i="39"/>
  <c r="K112" i="39"/>
  <c r="K119" i="39"/>
  <c r="L119" i="39"/>
  <c r="M112" i="39"/>
  <c r="M119" i="39"/>
  <c r="N112" i="39"/>
  <c r="N119" i="39"/>
  <c r="O119" i="39"/>
  <c r="P112" i="39"/>
  <c r="P119" i="39"/>
  <c r="Q112" i="39"/>
  <c r="Q119" i="39"/>
  <c r="R112" i="39"/>
  <c r="R119" i="39"/>
  <c r="S119" i="39"/>
  <c r="T112" i="39"/>
  <c r="T119" i="39"/>
  <c r="U112" i="39"/>
  <c r="U119" i="39"/>
  <c r="V119" i="39"/>
  <c r="W112" i="39"/>
  <c r="W119" i="39"/>
  <c r="X112" i="39"/>
  <c r="X119" i="39"/>
  <c r="Y112" i="39"/>
  <c r="Y119" i="39"/>
  <c r="Z119" i="39"/>
  <c r="AA112" i="39"/>
  <c r="AA119" i="39"/>
  <c r="AB112" i="39"/>
  <c r="AB119" i="39"/>
  <c r="AC112" i="39"/>
  <c r="AC119" i="39"/>
  <c r="AD119" i="39"/>
  <c r="AE112" i="39"/>
  <c r="AE119" i="39"/>
  <c r="AF112" i="39"/>
  <c r="AF119" i="39"/>
  <c r="AG112" i="39"/>
  <c r="AG119" i="39"/>
  <c r="AH112" i="39"/>
  <c r="AH119" i="39"/>
  <c r="AI112" i="39"/>
  <c r="AI119" i="39"/>
  <c r="AJ112" i="39"/>
  <c r="AJ119" i="39"/>
  <c r="AK112" i="39"/>
  <c r="AK119" i="39"/>
  <c r="AL112" i="39"/>
  <c r="AL119" i="39"/>
  <c r="AM112" i="39"/>
  <c r="AM119" i="39"/>
  <c r="F113" i="39"/>
  <c r="F120" i="39"/>
  <c r="G113" i="39"/>
  <c r="G120" i="39"/>
  <c r="H120" i="39"/>
  <c r="I113" i="39"/>
  <c r="I120" i="39"/>
  <c r="J113" i="39"/>
  <c r="J120" i="39"/>
  <c r="K113" i="39"/>
  <c r="K120" i="39"/>
  <c r="L113" i="39"/>
  <c r="L120" i="39"/>
  <c r="M113" i="39"/>
  <c r="M120" i="39"/>
  <c r="N113" i="39"/>
  <c r="N120" i="39"/>
  <c r="O120" i="39"/>
  <c r="P113" i="39"/>
  <c r="P120" i="39"/>
  <c r="Q113" i="39"/>
  <c r="Q120" i="39"/>
  <c r="R113" i="39"/>
  <c r="R120" i="39"/>
  <c r="S120" i="39"/>
  <c r="T113" i="39"/>
  <c r="T120" i="39"/>
  <c r="U113" i="39"/>
  <c r="U120" i="39"/>
  <c r="V120" i="39"/>
  <c r="W113" i="39"/>
  <c r="W120" i="39"/>
  <c r="X113" i="39"/>
  <c r="X120" i="39"/>
  <c r="Y113" i="39"/>
  <c r="Y120" i="39"/>
  <c r="Z120" i="39"/>
  <c r="AA113" i="39"/>
  <c r="AA120" i="39"/>
  <c r="AB113" i="39"/>
  <c r="AB120" i="39"/>
  <c r="AC113" i="39"/>
  <c r="AC120" i="39"/>
  <c r="AD120" i="39"/>
  <c r="AE113" i="39"/>
  <c r="AE120" i="39"/>
  <c r="AF113" i="39"/>
  <c r="AF120" i="39"/>
  <c r="AG113" i="39"/>
  <c r="AG120" i="39"/>
  <c r="AH113" i="39"/>
  <c r="AH120" i="39"/>
  <c r="AI113" i="39"/>
  <c r="AI120" i="39"/>
  <c r="AJ113" i="39"/>
  <c r="AJ120" i="39"/>
  <c r="AK113" i="39"/>
  <c r="AK120" i="39"/>
  <c r="AL113" i="39"/>
  <c r="AL120" i="39"/>
  <c r="AM113" i="39"/>
  <c r="AM120" i="39"/>
  <c r="F115" i="39"/>
  <c r="F121" i="39"/>
  <c r="G115" i="39"/>
  <c r="G121" i="39"/>
  <c r="H115" i="39"/>
  <c r="H121" i="39"/>
  <c r="I115" i="39"/>
  <c r="I121" i="39"/>
  <c r="J115" i="39"/>
  <c r="J121" i="39"/>
  <c r="K115" i="39"/>
  <c r="K121" i="39"/>
  <c r="L115" i="39"/>
  <c r="L121" i="39"/>
  <c r="M115" i="39"/>
  <c r="M121" i="39"/>
  <c r="N115" i="39"/>
  <c r="N121" i="39"/>
  <c r="O115" i="39"/>
  <c r="O121" i="39"/>
  <c r="P115" i="39"/>
  <c r="P121" i="39"/>
  <c r="Q115" i="39"/>
  <c r="Q121" i="39"/>
  <c r="R115" i="39"/>
  <c r="R121" i="39"/>
  <c r="S115" i="39"/>
  <c r="S121" i="39"/>
  <c r="T115" i="39"/>
  <c r="T121" i="39"/>
  <c r="U115" i="39"/>
  <c r="U121" i="39"/>
  <c r="V115" i="39"/>
  <c r="V121" i="39"/>
  <c r="Y115" i="39"/>
  <c r="Y121" i="39"/>
  <c r="Z115" i="39"/>
  <c r="Z121" i="39"/>
  <c r="AA115" i="39"/>
  <c r="AA121" i="39"/>
  <c r="AB115" i="39"/>
  <c r="AB121" i="39"/>
  <c r="AC115" i="39"/>
  <c r="AC121" i="39"/>
  <c r="AD115" i="39"/>
  <c r="AD121" i="39"/>
  <c r="AE121" i="39"/>
  <c r="AF121" i="39"/>
  <c r="AG121" i="39"/>
  <c r="AH121" i="39"/>
  <c r="AI121" i="39"/>
  <c r="AJ121" i="39"/>
  <c r="AK121" i="39"/>
  <c r="AL121" i="39"/>
  <c r="AM121" i="39"/>
  <c r="F122" i="39"/>
  <c r="G122" i="39"/>
  <c r="H122" i="39"/>
  <c r="I122" i="39"/>
  <c r="J122" i="39"/>
  <c r="K122" i="39"/>
  <c r="L122" i="39"/>
  <c r="M122" i="39"/>
  <c r="N122" i="39"/>
  <c r="O122" i="39"/>
  <c r="P122" i="39"/>
  <c r="Q122" i="39"/>
  <c r="R122" i="39"/>
  <c r="S122" i="39"/>
  <c r="T122" i="39"/>
  <c r="U122" i="39"/>
  <c r="V122" i="39"/>
  <c r="Y122" i="39"/>
  <c r="Z122" i="39"/>
  <c r="AA122" i="39"/>
  <c r="AB122" i="39"/>
  <c r="AC122" i="39"/>
  <c r="AD122" i="39"/>
  <c r="AE122" i="39"/>
  <c r="AF122" i="39"/>
  <c r="AG122" i="39"/>
  <c r="AH122" i="39"/>
  <c r="AI122" i="39"/>
  <c r="AJ122" i="39"/>
  <c r="AK122" i="39"/>
  <c r="AL122" i="39"/>
  <c r="AM122" i="39"/>
  <c r="W127" i="39"/>
  <c r="W133" i="39"/>
  <c r="W134" i="39"/>
  <c r="X127" i="39"/>
  <c r="X133" i="39"/>
  <c r="X134" i="39"/>
  <c r="AE127" i="39"/>
  <c r="AF127" i="39"/>
  <c r="AG127" i="39"/>
  <c r="AH127" i="39"/>
  <c r="AI127" i="39"/>
  <c r="AJ127" i="39"/>
  <c r="AK127" i="39"/>
  <c r="AL127" i="39"/>
  <c r="AM127" i="39"/>
  <c r="F128" i="39"/>
  <c r="G128" i="39"/>
  <c r="H128" i="39"/>
  <c r="I128" i="39"/>
  <c r="J128" i="39"/>
  <c r="K128" i="39"/>
  <c r="L128" i="39"/>
  <c r="M128" i="39"/>
  <c r="N128" i="39"/>
  <c r="O128" i="39"/>
  <c r="P128" i="39"/>
  <c r="Q128" i="39"/>
  <c r="R128" i="39"/>
  <c r="S128" i="39"/>
  <c r="T128" i="39"/>
  <c r="U128" i="39"/>
  <c r="V128" i="39"/>
  <c r="W128" i="39"/>
  <c r="X128" i="39"/>
  <c r="Y128" i="39"/>
  <c r="Z128" i="39"/>
  <c r="AA128" i="39"/>
  <c r="AB128" i="39"/>
  <c r="AC128" i="39"/>
  <c r="AD128" i="39"/>
  <c r="AE128" i="39"/>
  <c r="AF128" i="39"/>
  <c r="AG128" i="39"/>
  <c r="AH128" i="39"/>
  <c r="AI128" i="39"/>
  <c r="AJ128" i="39"/>
  <c r="AK128" i="39"/>
  <c r="AL128" i="39"/>
  <c r="AM128" i="39"/>
  <c r="E100" i="39"/>
  <c r="F100" i="39"/>
  <c r="F107" i="39"/>
  <c r="G100" i="39"/>
  <c r="G107" i="39"/>
  <c r="H107" i="39"/>
  <c r="I100" i="39"/>
  <c r="I107" i="39"/>
  <c r="J100" i="39"/>
  <c r="J107" i="39"/>
  <c r="K100" i="39"/>
  <c r="K107" i="39"/>
  <c r="L107" i="39"/>
  <c r="M100" i="39"/>
  <c r="M107" i="39"/>
  <c r="N100" i="39"/>
  <c r="N107" i="39"/>
  <c r="O107" i="39"/>
  <c r="P100" i="39"/>
  <c r="P107" i="39"/>
  <c r="Q100" i="39"/>
  <c r="Q107" i="39"/>
  <c r="R100" i="39"/>
  <c r="R107" i="39"/>
  <c r="S107" i="39"/>
  <c r="T100" i="39"/>
  <c r="T107" i="39"/>
  <c r="U100" i="39"/>
  <c r="U107" i="39"/>
  <c r="V100" i="39"/>
  <c r="V107" i="39"/>
  <c r="W100" i="39"/>
  <c r="W107" i="39"/>
  <c r="X100" i="39"/>
  <c r="X107" i="39"/>
  <c r="Y100" i="39"/>
  <c r="Y107" i="39"/>
  <c r="Z107" i="39"/>
  <c r="AA100" i="39"/>
  <c r="AA107" i="39"/>
  <c r="AB100" i="39"/>
  <c r="AB107" i="39"/>
  <c r="AC100" i="39"/>
  <c r="AC107" i="39"/>
  <c r="AD107" i="39"/>
  <c r="AE100" i="39"/>
  <c r="AE107" i="39"/>
  <c r="AF100" i="39"/>
  <c r="AF107" i="39"/>
  <c r="AG100" i="39"/>
  <c r="AG107" i="39"/>
  <c r="AH100" i="39"/>
  <c r="AH107" i="39"/>
  <c r="AI100" i="39"/>
  <c r="AI107" i="39"/>
  <c r="AJ100" i="39"/>
  <c r="AJ107" i="39"/>
  <c r="AK100" i="39"/>
  <c r="AK107" i="39"/>
  <c r="AL100" i="39"/>
  <c r="AL107" i="39"/>
  <c r="AM100" i="39"/>
  <c r="AM107" i="39"/>
  <c r="F101" i="39"/>
  <c r="F108" i="39"/>
  <c r="G101" i="39"/>
  <c r="G108" i="39"/>
  <c r="H108" i="39"/>
  <c r="I101" i="39"/>
  <c r="I108" i="39"/>
  <c r="J101" i="39"/>
  <c r="J108" i="39"/>
  <c r="K101" i="39"/>
  <c r="K108" i="39"/>
  <c r="L108" i="39"/>
  <c r="M101" i="39"/>
  <c r="M108" i="39"/>
  <c r="N101" i="39"/>
  <c r="N108" i="39"/>
  <c r="O108" i="39"/>
  <c r="P101" i="39"/>
  <c r="P108" i="39"/>
  <c r="Q101" i="39"/>
  <c r="Q108" i="39"/>
  <c r="R101" i="39"/>
  <c r="R108" i="39"/>
  <c r="S108" i="39"/>
  <c r="T101" i="39"/>
  <c r="T108" i="39"/>
  <c r="U101" i="39"/>
  <c r="U108" i="39"/>
  <c r="V101" i="39"/>
  <c r="V108" i="39"/>
  <c r="W101" i="39"/>
  <c r="W108" i="39"/>
  <c r="X101" i="39"/>
  <c r="X108" i="39"/>
  <c r="Y101" i="39"/>
  <c r="Y108" i="39"/>
  <c r="Z108" i="39"/>
  <c r="AA101" i="39"/>
  <c r="AA108" i="39"/>
  <c r="AB101" i="39"/>
  <c r="AB108" i="39"/>
  <c r="AC101" i="39"/>
  <c r="AC108" i="39"/>
  <c r="AD101" i="39"/>
  <c r="AD108" i="39"/>
  <c r="AE101" i="39"/>
  <c r="AE108" i="39"/>
  <c r="AF101" i="39"/>
  <c r="AF108" i="39"/>
  <c r="AG101" i="39"/>
  <c r="AG108" i="39"/>
  <c r="AH101" i="39"/>
  <c r="AH108" i="39"/>
  <c r="AI101" i="39"/>
  <c r="AI108" i="39"/>
  <c r="AJ101" i="39"/>
  <c r="AJ108" i="39"/>
  <c r="AK101" i="39"/>
  <c r="AK108" i="39"/>
  <c r="AL101" i="39"/>
  <c r="AL108" i="39"/>
  <c r="AM101" i="39"/>
  <c r="AM108" i="39"/>
  <c r="F103" i="39"/>
  <c r="F109" i="39"/>
  <c r="G103" i="39"/>
  <c r="G109" i="39"/>
  <c r="H103" i="39"/>
  <c r="H109" i="39"/>
  <c r="I103" i="39"/>
  <c r="I109" i="39"/>
  <c r="J103" i="39"/>
  <c r="J109" i="39"/>
  <c r="K103" i="39"/>
  <c r="K109" i="39"/>
  <c r="L103" i="39"/>
  <c r="L109" i="39"/>
  <c r="M103" i="39"/>
  <c r="M109" i="39"/>
  <c r="N103" i="39"/>
  <c r="N109" i="39"/>
  <c r="O103" i="39"/>
  <c r="O109" i="39"/>
  <c r="P103" i="39"/>
  <c r="P109" i="39"/>
  <c r="Q103" i="39"/>
  <c r="Q109" i="39"/>
  <c r="R103" i="39"/>
  <c r="R109" i="39"/>
  <c r="S103" i="39"/>
  <c r="S109" i="39"/>
  <c r="T103" i="39"/>
  <c r="T109" i="39"/>
  <c r="U103" i="39"/>
  <c r="U109" i="39"/>
  <c r="V103" i="39"/>
  <c r="V109" i="39"/>
  <c r="Y103" i="39"/>
  <c r="Y109" i="39"/>
  <c r="Z103" i="39"/>
  <c r="Z109" i="39"/>
  <c r="AA103" i="39"/>
  <c r="AA109" i="39"/>
  <c r="AB103" i="39"/>
  <c r="AB109" i="39"/>
  <c r="AC103" i="39"/>
  <c r="AC109" i="39"/>
  <c r="AD103" i="39"/>
  <c r="AD109" i="39"/>
  <c r="AE109" i="39"/>
  <c r="AF109" i="39"/>
  <c r="AG109" i="39"/>
  <c r="AH109" i="39"/>
  <c r="AI109" i="39"/>
  <c r="AJ109" i="39"/>
  <c r="AK109" i="39"/>
  <c r="AL109" i="39"/>
  <c r="AM109" i="39"/>
  <c r="F110" i="39"/>
  <c r="G110" i="39"/>
  <c r="H110" i="39"/>
  <c r="I110" i="39"/>
  <c r="J110" i="39"/>
  <c r="K110" i="39"/>
  <c r="L110" i="39"/>
  <c r="M110" i="39"/>
  <c r="N110" i="39"/>
  <c r="O110" i="39"/>
  <c r="P110" i="39"/>
  <c r="Q110" i="39"/>
  <c r="R110" i="39"/>
  <c r="S110" i="39"/>
  <c r="T110" i="39"/>
  <c r="U110" i="39"/>
  <c r="V110" i="39"/>
  <c r="Y110" i="39"/>
  <c r="Z110" i="39"/>
  <c r="AA110" i="39"/>
  <c r="AB110" i="39"/>
  <c r="AC110" i="39"/>
  <c r="AD110" i="39"/>
  <c r="AE110" i="39"/>
  <c r="AF110" i="39"/>
  <c r="AG110" i="39"/>
  <c r="AH110" i="39"/>
  <c r="AI110" i="39"/>
  <c r="AJ110" i="39"/>
  <c r="AK110" i="39"/>
  <c r="AL110" i="39"/>
  <c r="AM110" i="39"/>
  <c r="W115" i="39"/>
  <c r="W121" i="39"/>
  <c r="W122" i="39"/>
  <c r="X115" i="39"/>
  <c r="X121" i="39"/>
  <c r="X122" i="39"/>
  <c r="AE115" i="39"/>
  <c r="AF115" i="39"/>
  <c r="AG115" i="39"/>
  <c r="AH115" i="39"/>
  <c r="AI115" i="39"/>
  <c r="AJ115" i="39"/>
  <c r="AK115" i="39"/>
  <c r="AL115" i="39"/>
  <c r="AM115" i="39"/>
  <c r="F116" i="39"/>
  <c r="G116" i="39"/>
  <c r="H116" i="39"/>
  <c r="I116" i="39"/>
  <c r="J116" i="39"/>
  <c r="K116" i="39"/>
  <c r="L116" i="39"/>
  <c r="M116" i="39"/>
  <c r="N116" i="39"/>
  <c r="O116" i="39"/>
  <c r="P116" i="39"/>
  <c r="Q116" i="39"/>
  <c r="R116" i="39"/>
  <c r="S116" i="39"/>
  <c r="T116" i="39"/>
  <c r="U116" i="39"/>
  <c r="V116" i="39"/>
  <c r="W116" i="39"/>
  <c r="X116" i="39"/>
  <c r="Y116" i="39"/>
  <c r="Z116" i="39"/>
  <c r="AA116" i="39"/>
  <c r="AB116" i="39"/>
  <c r="AC116" i="39"/>
  <c r="AD116" i="39"/>
  <c r="AE116" i="39"/>
  <c r="AF116" i="39"/>
  <c r="AG116" i="39"/>
  <c r="AH116" i="39"/>
  <c r="AI116" i="39"/>
  <c r="AJ116" i="39"/>
  <c r="AK116" i="39"/>
  <c r="AL116" i="39"/>
  <c r="AM116" i="39"/>
  <c r="F88" i="39"/>
  <c r="F95" i="39"/>
  <c r="G88" i="39"/>
  <c r="G95" i="39"/>
  <c r="H95" i="39"/>
  <c r="I88" i="39"/>
  <c r="I95" i="39"/>
  <c r="J88" i="39"/>
  <c r="J95" i="39"/>
  <c r="K88" i="39"/>
  <c r="K95" i="39"/>
  <c r="L95" i="39"/>
  <c r="M88" i="39"/>
  <c r="M95" i="39"/>
  <c r="N88" i="39"/>
  <c r="N95" i="39"/>
  <c r="O95" i="39"/>
  <c r="P88" i="39"/>
  <c r="P95" i="39"/>
  <c r="Q88" i="39"/>
  <c r="Q95" i="39"/>
  <c r="R88" i="39"/>
  <c r="R95" i="39"/>
  <c r="S95" i="39"/>
  <c r="T88" i="39"/>
  <c r="T95" i="39"/>
  <c r="U88" i="39"/>
  <c r="U95" i="39"/>
  <c r="V95" i="39"/>
  <c r="W88" i="39"/>
  <c r="W95" i="39"/>
  <c r="X88" i="39"/>
  <c r="X95" i="39"/>
  <c r="Y88" i="39"/>
  <c r="Y95" i="39"/>
  <c r="Z95" i="39"/>
  <c r="AA88" i="39"/>
  <c r="AA95" i="39"/>
  <c r="AB88" i="39"/>
  <c r="AB95" i="39"/>
  <c r="AC88" i="39"/>
  <c r="AC95" i="39"/>
  <c r="AD95" i="39"/>
  <c r="AE88" i="39"/>
  <c r="AE95" i="39"/>
  <c r="AF88" i="39"/>
  <c r="AF95" i="39"/>
  <c r="AG88" i="39"/>
  <c r="AG95" i="39"/>
  <c r="AH88" i="39"/>
  <c r="AH95" i="39"/>
  <c r="AI88" i="39"/>
  <c r="AI95" i="39"/>
  <c r="AJ88" i="39"/>
  <c r="AJ95" i="39"/>
  <c r="AK88" i="39"/>
  <c r="AK95" i="39"/>
  <c r="AL88" i="39"/>
  <c r="AL95" i="39"/>
  <c r="AM88" i="39"/>
  <c r="AM95" i="39"/>
  <c r="F89" i="39"/>
  <c r="F96" i="39"/>
  <c r="G89" i="39"/>
  <c r="G96" i="39"/>
  <c r="H96" i="39"/>
  <c r="I89" i="39"/>
  <c r="I96" i="39"/>
  <c r="J89" i="39"/>
  <c r="J96" i="39"/>
  <c r="K89" i="39"/>
  <c r="K96" i="39"/>
  <c r="L96" i="39"/>
  <c r="M89" i="39"/>
  <c r="M96" i="39"/>
  <c r="N89" i="39"/>
  <c r="N96" i="39"/>
  <c r="O96" i="39"/>
  <c r="P89" i="39"/>
  <c r="P96" i="39"/>
  <c r="Q89" i="39"/>
  <c r="Q96" i="39"/>
  <c r="R89" i="39"/>
  <c r="R96" i="39"/>
  <c r="S96" i="39"/>
  <c r="T89" i="39"/>
  <c r="T96" i="39"/>
  <c r="U89" i="39"/>
  <c r="U96" i="39"/>
  <c r="V96" i="39"/>
  <c r="W89" i="39"/>
  <c r="W96" i="39"/>
  <c r="X89" i="39"/>
  <c r="X96" i="39"/>
  <c r="Y89" i="39"/>
  <c r="Y96" i="39"/>
  <c r="Z89" i="39"/>
  <c r="Z96" i="39"/>
  <c r="AA89" i="39"/>
  <c r="AA96" i="39"/>
  <c r="AB89" i="39"/>
  <c r="AB96" i="39"/>
  <c r="AC89" i="39"/>
  <c r="AC96" i="39"/>
  <c r="AD89" i="39"/>
  <c r="AD96" i="39"/>
  <c r="AE89" i="39"/>
  <c r="AE96" i="39"/>
  <c r="AF89" i="39"/>
  <c r="AF96" i="39"/>
  <c r="AG89" i="39"/>
  <c r="AG96" i="39"/>
  <c r="AH89" i="39"/>
  <c r="AH96" i="39"/>
  <c r="AI89" i="39"/>
  <c r="AI96" i="39"/>
  <c r="AJ89" i="39"/>
  <c r="AJ96" i="39"/>
  <c r="AK89" i="39"/>
  <c r="AK96" i="39"/>
  <c r="AL89" i="39"/>
  <c r="AL96" i="39"/>
  <c r="AM89" i="39"/>
  <c r="AM96" i="39"/>
  <c r="F91" i="39"/>
  <c r="F97" i="39"/>
  <c r="G91" i="39"/>
  <c r="G97" i="39"/>
  <c r="H91" i="39"/>
  <c r="H97" i="39"/>
  <c r="I91" i="39"/>
  <c r="I97" i="39"/>
  <c r="J91" i="39"/>
  <c r="J97" i="39"/>
  <c r="K91" i="39"/>
  <c r="K97" i="39"/>
  <c r="L91" i="39"/>
  <c r="L97" i="39"/>
  <c r="M91" i="39"/>
  <c r="M97" i="39"/>
  <c r="N91" i="39"/>
  <c r="N97" i="39"/>
  <c r="O91" i="39"/>
  <c r="O97" i="39"/>
  <c r="P91" i="39"/>
  <c r="P97" i="39"/>
  <c r="Q91" i="39"/>
  <c r="Q97" i="39"/>
  <c r="R91" i="39"/>
  <c r="R97" i="39"/>
  <c r="S91" i="39"/>
  <c r="S97" i="39"/>
  <c r="T91" i="39"/>
  <c r="T97" i="39"/>
  <c r="U91" i="39"/>
  <c r="U97" i="39"/>
  <c r="V91" i="39"/>
  <c r="V97" i="39"/>
  <c r="Y91" i="39"/>
  <c r="Y97" i="39"/>
  <c r="Z91" i="39"/>
  <c r="Z97" i="39"/>
  <c r="AA91" i="39"/>
  <c r="AA97" i="39"/>
  <c r="AB91" i="39"/>
  <c r="AB97" i="39"/>
  <c r="AC91" i="39"/>
  <c r="AC97" i="39"/>
  <c r="AD91" i="39"/>
  <c r="AD97" i="39"/>
  <c r="AE97" i="39"/>
  <c r="AF97" i="39"/>
  <c r="AG97" i="39"/>
  <c r="AH97" i="39"/>
  <c r="AI97" i="39"/>
  <c r="AJ97" i="39"/>
  <c r="AK97" i="39"/>
  <c r="AL97" i="39"/>
  <c r="AM97" i="39"/>
  <c r="F98" i="39"/>
  <c r="G98" i="39"/>
  <c r="H98" i="39"/>
  <c r="I98" i="39"/>
  <c r="J98" i="39"/>
  <c r="K98" i="39"/>
  <c r="L98" i="39"/>
  <c r="M98" i="39"/>
  <c r="N98" i="39"/>
  <c r="O98" i="39"/>
  <c r="P98" i="39"/>
  <c r="Q98" i="39"/>
  <c r="R98" i="39"/>
  <c r="S98" i="39"/>
  <c r="T98" i="39"/>
  <c r="U98" i="39"/>
  <c r="V98" i="39"/>
  <c r="Y98" i="39"/>
  <c r="Z98" i="39"/>
  <c r="AA98" i="39"/>
  <c r="AB98" i="39"/>
  <c r="AC98" i="39"/>
  <c r="AD98" i="39"/>
  <c r="AE98" i="39"/>
  <c r="AF98" i="39"/>
  <c r="AG98" i="39"/>
  <c r="AH98" i="39"/>
  <c r="AI98" i="39"/>
  <c r="AJ98" i="39"/>
  <c r="AK98" i="39"/>
  <c r="AL98" i="39"/>
  <c r="AM98" i="39"/>
  <c r="W103" i="39"/>
  <c r="W109" i="39"/>
  <c r="W110" i="39"/>
  <c r="X103" i="39"/>
  <c r="X109" i="39"/>
  <c r="X110" i="39"/>
  <c r="AE103" i="39"/>
  <c r="AF103" i="39"/>
  <c r="AG103" i="39"/>
  <c r="AH103" i="39"/>
  <c r="AI103" i="39"/>
  <c r="AJ103" i="39"/>
  <c r="AK103" i="39"/>
  <c r="AL103" i="39"/>
  <c r="AM103" i="39"/>
  <c r="F104" i="39"/>
  <c r="G104" i="39"/>
  <c r="H104" i="39"/>
  <c r="I104" i="39"/>
  <c r="J104" i="39"/>
  <c r="K104" i="39"/>
  <c r="M104" i="39"/>
  <c r="N104" i="39"/>
  <c r="O104" i="39"/>
  <c r="P104" i="39"/>
  <c r="Q104" i="39"/>
  <c r="R104" i="39"/>
  <c r="S104" i="39"/>
  <c r="T104" i="39"/>
  <c r="U104" i="39"/>
  <c r="V104" i="39"/>
  <c r="W104" i="39"/>
  <c r="X104" i="39"/>
  <c r="Y104" i="39"/>
  <c r="Z104" i="39"/>
  <c r="AA104" i="39"/>
  <c r="AB104" i="39"/>
  <c r="AC104" i="39"/>
  <c r="AD104" i="39"/>
  <c r="AE104" i="39"/>
  <c r="AF104" i="39"/>
  <c r="AG104" i="39"/>
  <c r="AH104" i="39"/>
  <c r="AI104" i="39"/>
  <c r="AJ104" i="39"/>
  <c r="AK104" i="39"/>
  <c r="AL104" i="39"/>
  <c r="AM104" i="39"/>
  <c r="E76" i="39"/>
  <c r="F76" i="39"/>
  <c r="F83" i="39"/>
  <c r="G76" i="39"/>
  <c r="G83" i="39"/>
  <c r="H83" i="39"/>
  <c r="I76" i="39"/>
  <c r="I83" i="39"/>
  <c r="J76" i="39"/>
  <c r="J83" i="39"/>
  <c r="K76" i="39"/>
  <c r="K83" i="39"/>
  <c r="L83" i="39"/>
  <c r="M76" i="39"/>
  <c r="M83" i="39"/>
  <c r="N76" i="39"/>
  <c r="N83" i="39"/>
  <c r="O83" i="39"/>
  <c r="P76" i="39"/>
  <c r="P83" i="39"/>
  <c r="Q76" i="39"/>
  <c r="Q83" i="39"/>
  <c r="R76" i="39"/>
  <c r="R83" i="39"/>
  <c r="S76" i="39"/>
  <c r="S83" i="39"/>
  <c r="T76" i="39"/>
  <c r="T83" i="39"/>
  <c r="U76" i="39"/>
  <c r="U83" i="39"/>
  <c r="V76" i="39"/>
  <c r="V83" i="39"/>
  <c r="W76" i="39"/>
  <c r="W83" i="39"/>
  <c r="X76" i="39"/>
  <c r="X83" i="39"/>
  <c r="Y76" i="39"/>
  <c r="Y83" i="39"/>
  <c r="Z76" i="39"/>
  <c r="Z83" i="39"/>
  <c r="AA76" i="39"/>
  <c r="AA83" i="39"/>
  <c r="AB76" i="39"/>
  <c r="AB83" i="39"/>
  <c r="AC76" i="39"/>
  <c r="AC83" i="39"/>
  <c r="AD83" i="39"/>
  <c r="AE76" i="39"/>
  <c r="AE83" i="39"/>
  <c r="AF76" i="39"/>
  <c r="AF83" i="39"/>
  <c r="AG76" i="39"/>
  <c r="AG83" i="39"/>
  <c r="AH76" i="39"/>
  <c r="AH83" i="39"/>
  <c r="AI76" i="39"/>
  <c r="AI83" i="39"/>
  <c r="AJ76" i="39"/>
  <c r="AJ83" i="39"/>
  <c r="AK76" i="39"/>
  <c r="AK83" i="39"/>
  <c r="AL76" i="39"/>
  <c r="AL83" i="39"/>
  <c r="AM76" i="39"/>
  <c r="AM83" i="39"/>
  <c r="F77" i="39"/>
  <c r="F84" i="39"/>
  <c r="G77" i="39"/>
  <c r="G84" i="39"/>
  <c r="H84" i="39"/>
  <c r="I77" i="39"/>
  <c r="I84" i="39"/>
  <c r="J77" i="39"/>
  <c r="J84" i="39"/>
  <c r="K77" i="39"/>
  <c r="K84" i="39"/>
  <c r="L84" i="39"/>
  <c r="M77" i="39"/>
  <c r="M84" i="39"/>
  <c r="N77" i="39"/>
  <c r="N84" i="39"/>
  <c r="O77" i="39"/>
  <c r="O84" i="39"/>
  <c r="P77" i="39"/>
  <c r="P84" i="39"/>
  <c r="Q77" i="39"/>
  <c r="Q84" i="39"/>
  <c r="R77" i="39"/>
  <c r="R84" i="39"/>
  <c r="S77" i="39"/>
  <c r="S84" i="39"/>
  <c r="T77" i="39"/>
  <c r="T84" i="39"/>
  <c r="U77" i="39"/>
  <c r="U84" i="39"/>
  <c r="V77" i="39"/>
  <c r="V84" i="39"/>
  <c r="W77" i="39"/>
  <c r="W84" i="39"/>
  <c r="X77" i="39"/>
  <c r="X84" i="39"/>
  <c r="Y77" i="39"/>
  <c r="Y84" i="39"/>
  <c r="Z77" i="39"/>
  <c r="Z84" i="39"/>
  <c r="AA77" i="39"/>
  <c r="AA84" i="39"/>
  <c r="AB77" i="39"/>
  <c r="AB84" i="39"/>
  <c r="AC77" i="39"/>
  <c r="AC84" i="39"/>
  <c r="AD84" i="39"/>
  <c r="AE77" i="39"/>
  <c r="AE84" i="39"/>
  <c r="AF77" i="39"/>
  <c r="AF84" i="39"/>
  <c r="AG77" i="39"/>
  <c r="AG84" i="39"/>
  <c r="AH77" i="39"/>
  <c r="AH84" i="39"/>
  <c r="AI77" i="39"/>
  <c r="AI84" i="39"/>
  <c r="AJ77" i="39"/>
  <c r="AJ84" i="39"/>
  <c r="AK77" i="39"/>
  <c r="AK84" i="39"/>
  <c r="AL77" i="39"/>
  <c r="AL84" i="39"/>
  <c r="AM77" i="39"/>
  <c r="AM84" i="39"/>
  <c r="F79" i="39"/>
  <c r="F85" i="39"/>
  <c r="G79" i="39"/>
  <c r="G85" i="39"/>
  <c r="H79" i="39"/>
  <c r="H85" i="39"/>
  <c r="I79" i="39"/>
  <c r="I85" i="39"/>
  <c r="J79" i="39"/>
  <c r="J85" i="39"/>
  <c r="K79" i="39"/>
  <c r="K85" i="39"/>
  <c r="L79" i="39"/>
  <c r="L85" i="39"/>
  <c r="M79" i="39"/>
  <c r="M85" i="39"/>
  <c r="N79" i="39"/>
  <c r="N85" i="39"/>
  <c r="O79" i="39"/>
  <c r="O85" i="39"/>
  <c r="P79" i="39"/>
  <c r="P85" i="39"/>
  <c r="Q79" i="39"/>
  <c r="Q85" i="39"/>
  <c r="R79" i="39"/>
  <c r="R85" i="39"/>
  <c r="S79" i="39"/>
  <c r="S85" i="39"/>
  <c r="T79" i="39"/>
  <c r="T85" i="39"/>
  <c r="U79" i="39"/>
  <c r="U85" i="39"/>
  <c r="V79" i="39"/>
  <c r="V85" i="39"/>
  <c r="Y79" i="39"/>
  <c r="Y85" i="39"/>
  <c r="Z79" i="39"/>
  <c r="Z85" i="39"/>
  <c r="AA79" i="39"/>
  <c r="AA85" i="39"/>
  <c r="AB79" i="39"/>
  <c r="AB85" i="39"/>
  <c r="AC79" i="39"/>
  <c r="AC85" i="39"/>
  <c r="AD79" i="39"/>
  <c r="AD85" i="39"/>
  <c r="AE85" i="39"/>
  <c r="AF85" i="39"/>
  <c r="AG85" i="39"/>
  <c r="AH85" i="39"/>
  <c r="AI85" i="39"/>
  <c r="AJ85" i="39"/>
  <c r="AK85" i="39"/>
  <c r="AL85" i="39"/>
  <c r="AM85" i="39"/>
  <c r="F86" i="39"/>
  <c r="G86" i="39"/>
  <c r="H86" i="39"/>
  <c r="I86" i="39"/>
  <c r="J86" i="39"/>
  <c r="K86" i="39"/>
  <c r="L86" i="39"/>
  <c r="M86" i="39"/>
  <c r="N86" i="39"/>
  <c r="O86" i="39"/>
  <c r="P86" i="39"/>
  <c r="Q86" i="39"/>
  <c r="R86" i="39"/>
  <c r="S86" i="39"/>
  <c r="T86" i="39"/>
  <c r="U86" i="39"/>
  <c r="V86" i="39"/>
  <c r="Y86" i="39"/>
  <c r="Z86" i="39"/>
  <c r="AA86" i="39"/>
  <c r="AB86" i="39"/>
  <c r="AC86" i="39"/>
  <c r="AD86" i="39"/>
  <c r="AE86" i="39"/>
  <c r="AF86" i="39"/>
  <c r="AG86" i="39"/>
  <c r="AH86" i="39"/>
  <c r="AI86" i="39"/>
  <c r="AJ86" i="39"/>
  <c r="AK86" i="39"/>
  <c r="AL86" i="39"/>
  <c r="AM86" i="39"/>
  <c r="W91" i="39"/>
  <c r="W97" i="39"/>
  <c r="W98" i="39"/>
  <c r="X91" i="39"/>
  <c r="X97" i="39"/>
  <c r="X98" i="39"/>
  <c r="AE91" i="39"/>
  <c r="AF91" i="39"/>
  <c r="AG91" i="39"/>
  <c r="AH91" i="39"/>
  <c r="AI91" i="39"/>
  <c r="AJ91" i="39"/>
  <c r="AK91" i="39"/>
  <c r="AL91" i="39"/>
  <c r="AM91" i="39"/>
  <c r="F92" i="39"/>
  <c r="G92" i="39"/>
  <c r="H92" i="39"/>
  <c r="I92" i="39"/>
  <c r="J92" i="39"/>
  <c r="K92" i="39"/>
  <c r="L92" i="39"/>
  <c r="M92" i="39"/>
  <c r="N92" i="39"/>
  <c r="O92" i="39"/>
  <c r="P92" i="39"/>
  <c r="Q92" i="39"/>
  <c r="R92" i="39"/>
  <c r="S92" i="39"/>
  <c r="T92" i="39"/>
  <c r="U92" i="39"/>
  <c r="V92" i="39"/>
  <c r="W92" i="39"/>
  <c r="X92" i="39"/>
  <c r="Y92" i="39"/>
  <c r="Z92" i="39"/>
  <c r="AA92" i="39"/>
  <c r="AB92" i="39"/>
  <c r="AC92" i="39"/>
  <c r="AD92" i="39"/>
  <c r="AE92" i="39"/>
  <c r="AF92" i="39"/>
  <c r="AG92" i="39"/>
  <c r="AH92" i="39"/>
  <c r="AI92" i="39"/>
  <c r="AJ92" i="39"/>
  <c r="AK92" i="39"/>
  <c r="AL92" i="39"/>
  <c r="AM92" i="39"/>
  <c r="F64" i="39"/>
  <c r="F71" i="39"/>
  <c r="G64" i="39"/>
  <c r="G71" i="39"/>
  <c r="H71" i="39"/>
  <c r="I64" i="39"/>
  <c r="I71" i="39"/>
  <c r="J64" i="39"/>
  <c r="J71" i="39"/>
  <c r="K64" i="39"/>
  <c r="K71" i="39"/>
  <c r="L71" i="39"/>
  <c r="M64" i="39"/>
  <c r="M71" i="39"/>
  <c r="N64" i="39"/>
  <c r="N71" i="39"/>
  <c r="O71" i="39"/>
  <c r="P64" i="39"/>
  <c r="P71" i="39"/>
  <c r="Q64" i="39"/>
  <c r="Q71" i="39"/>
  <c r="R64" i="39"/>
  <c r="R71" i="39"/>
  <c r="S71" i="39"/>
  <c r="T64" i="39"/>
  <c r="T71" i="39"/>
  <c r="U64" i="39"/>
  <c r="U71" i="39"/>
  <c r="V71" i="39"/>
  <c r="W64" i="39"/>
  <c r="W71" i="39"/>
  <c r="X64" i="39"/>
  <c r="X71" i="39"/>
  <c r="Y64" i="39"/>
  <c r="Y71" i="39"/>
  <c r="Z71" i="39"/>
  <c r="AA64" i="39"/>
  <c r="AA71" i="39"/>
  <c r="AB64" i="39"/>
  <c r="AB71" i="39"/>
  <c r="AC64" i="39"/>
  <c r="AC71" i="39"/>
  <c r="AD64" i="39"/>
  <c r="AD71" i="39"/>
  <c r="AE64" i="39"/>
  <c r="AE71" i="39"/>
  <c r="AF64" i="39"/>
  <c r="AF71" i="39"/>
  <c r="AG64" i="39"/>
  <c r="AG71" i="39"/>
  <c r="AH64" i="39"/>
  <c r="AH71" i="39"/>
  <c r="AI64" i="39"/>
  <c r="AI71" i="39"/>
  <c r="AJ64" i="39"/>
  <c r="AJ71" i="39"/>
  <c r="AK64" i="39"/>
  <c r="AK71" i="39"/>
  <c r="AL64" i="39"/>
  <c r="AL71" i="39"/>
  <c r="AM64" i="39"/>
  <c r="AM71" i="39"/>
  <c r="F65" i="39"/>
  <c r="F72" i="39"/>
  <c r="G65" i="39"/>
  <c r="G72" i="39"/>
  <c r="H72" i="39"/>
  <c r="I65" i="39"/>
  <c r="I72" i="39"/>
  <c r="J65" i="39"/>
  <c r="J72" i="39"/>
  <c r="K65" i="39"/>
  <c r="K72" i="39"/>
  <c r="L65" i="39"/>
  <c r="L72" i="39"/>
  <c r="M65" i="39"/>
  <c r="M72" i="39"/>
  <c r="N65" i="39"/>
  <c r="N72" i="39"/>
  <c r="O72" i="39"/>
  <c r="P65" i="39"/>
  <c r="P72" i="39"/>
  <c r="Q65" i="39"/>
  <c r="Q72" i="39"/>
  <c r="R65" i="39"/>
  <c r="R72" i="39"/>
  <c r="S65" i="39"/>
  <c r="S72" i="39"/>
  <c r="T65" i="39"/>
  <c r="T72" i="39"/>
  <c r="U65" i="39"/>
  <c r="U72" i="39"/>
  <c r="V65" i="39"/>
  <c r="V72" i="39"/>
  <c r="W65" i="39"/>
  <c r="W72" i="39"/>
  <c r="X65" i="39"/>
  <c r="X72" i="39"/>
  <c r="Y65" i="39"/>
  <c r="Y72" i="39"/>
  <c r="Z65" i="39"/>
  <c r="Z72" i="39"/>
  <c r="AA65" i="39"/>
  <c r="AA72" i="39"/>
  <c r="AB65" i="39"/>
  <c r="AB72" i="39"/>
  <c r="AC65" i="39"/>
  <c r="AC72" i="39"/>
  <c r="AD65" i="39"/>
  <c r="AD72" i="39"/>
  <c r="AE65" i="39"/>
  <c r="AE72" i="39"/>
  <c r="AF65" i="39"/>
  <c r="AF72" i="39"/>
  <c r="AG65" i="39"/>
  <c r="AG72" i="39"/>
  <c r="AH65" i="39"/>
  <c r="AH72" i="39"/>
  <c r="AI65" i="39"/>
  <c r="AI72" i="39"/>
  <c r="AJ65" i="39"/>
  <c r="AJ72" i="39"/>
  <c r="AK65" i="39"/>
  <c r="AK72" i="39"/>
  <c r="AL65" i="39"/>
  <c r="AL72" i="39"/>
  <c r="AM65" i="39"/>
  <c r="AM72" i="39"/>
  <c r="F67" i="39"/>
  <c r="F73" i="39"/>
  <c r="G67" i="39"/>
  <c r="G73" i="39"/>
  <c r="H67" i="39"/>
  <c r="H73" i="39"/>
  <c r="I67" i="39"/>
  <c r="I73" i="39"/>
  <c r="J67" i="39"/>
  <c r="J73" i="39"/>
  <c r="K67" i="39"/>
  <c r="K73" i="39"/>
  <c r="L67" i="39"/>
  <c r="L73" i="39"/>
  <c r="M67" i="39"/>
  <c r="M73" i="39"/>
  <c r="N67" i="39"/>
  <c r="N73" i="39"/>
  <c r="O67" i="39"/>
  <c r="O73" i="39"/>
  <c r="P67" i="39"/>
  <c r="P73" i="39"/>
  <c r="Q67" i="39"/>
  <c r="Q73" i="39"/>
  <c r="R67" i="39"/>
  <c r="R73" i="39"/>
  <c r="S67" i="39"/>
  <c r="S73" i="39"/>
  <c r="T67" i="39"/>
  <c r="T73" i="39"/>
  <c r="U67" i="39"/>
  <c r="U73" i="39"/>
  <c r="V67" i="39"/>
  <c r="V73" i="39"/>
  <c r="Y67" i="39"/>
  <c r="Y73" i="39"/>
  <c r="Z67" i="39"/>
  <c r="Z73" i="39"/>
  <c r="AA67" i="39"/>
  <c r="AA73" i="39"/>
  <c r="AB67" i="39"/>
  <c r="AB73" i="39"/>
  <c r="AC67" i="39"/>
  <c r="AC73" i="39"/>
  <c r="AD67" i="39"/>
  <c r="AD73" i="39"/>
  <c r="AE73" i="39"/>
  <c r="AF73" i="39"/>
  <c r="AG73" i="39"/>
  <c r="AH73" i="39"/>
  <c r="AI73" i="39"/>
  <c r="AJ73" i="39"/>
  <c r="AK73" i="39"/>
  <c r="AL73" i="39"/>
  <c r="AM73" i="39"/>
  <c r="F74" i="39"/>
  <c r="G74" i="39"/>
  <c r="H74" i="39"/>
  <c r="I74" i="39"/>
  <c r="J74" i="39"/>
  <c r="K74" i="39"/>
  <c r="L74" i="39"/>
  <c r="M74" i="39"/>
  <c r="N74" i="39"/>
  <c r="O74" i="39"/>
  <c r="P74" i="39"/>
  <c r="Q74" i="39"/>
  <c r="R74" i="39"/>
  <c r="S74" i="39"/>
  <c r="T74" i="39"/>
  <c r="U74" i="39"/>
  <c r="V74" i="39"/>
  <c r="Y74" i="39"/>
  <c r="Z74" i="39"/>
  <c r="AA74" i="39"/>
  <c r="AB74" i="39"/>
  <c r="AC74" i="39"/>
  <c r="AD74" i="39"/>
  <c r="AE74" i="39"/>
  <c r="AF74" i="39"/>
  <c r="AG74" i="39"/>
  <c r="AH74" i="39"/>
  <c r="AI74" i="39"/>
  <c r="AJ74" i="39"/>
  <c r="AK74" i="39"/>
  <c r="AL74" i="39"/>
  <c r="AM74" i="39"/>
  <c r="W79" i="39"/>
  <c r="W85" i="39"/>
  <c r="W86" i="39"/>
  <c r="X79" i="39"/>
  <c r="X85" i="39"/>
  <c r="X86" i="39"/>
  <c r="AE79" i="39"/>
  <c r="AF79" i="39"/>
  <c r="AG79" i="39"/>
  <c r="AH79" i="39"/>
  <c r="AI79" i="39"/>
  <c r="AJ79" i="39"/>
  <c r="AK79" i="39"/>
  <c r="AL79" i="39"/>
  <c r="AM79" i="39"/>
  <c r="F80" i="39"/>
  <c r="G80" i="39"/>
  <c r="H80" i="39"/>
  <c r="I80" i="39"/>
  <c r="J80" i="39"/>
  <c r="K80" i="39"/>
  <c r="L80" i="39"/>
  <c r="M80" i="39"/>
  <c r="N80" i="39"/>
  <c r="O80" i="39"/>
  <c r="P80" i="39"/>
  <c r="Q80" i="39"/>
  <c r="R80" i="39"/>
  <c r="S80" i="39"/>
  <c r="T80" i="39"/>
  <c r="U80" i="39"/>
  <c r="V80" i="39"/>
  <c r="W80" i="39"/>
  <c r="X80" i="39"/>
  <c r="Y80" i="39"/>
  <c r="AA80" i="39"/>
  <c r="AB80" i="39"/>
  <c r="AC80" i="39"/>
  <c r="AD80" i="39"/>
  <c r="AE80" i="39"/>
  <c r="AF80" i="39"/>
  <c r="AG80" i="39"/>
  <c r="AH80" i="39"/>
  <c r="AI80" i="39"/>
  <c r="AJ80" i="39"/>
  <c r="AK80" i="39"/>
  <c r="AL80" i="39"/>
  <c r="AM80" i="39"/>
  <c r="E52" i="39"/>
  <c r="F52" i="39"/>
  <c r="F59" i="39"/>
  <c r="G52" i="39"/>
  <c r="G59" i="39"/>
  <c r="H59" i="39"/>
  <c r="I52" i="39"/>
  <c r="I59" i="39"/>
  <c r="J52" i="39"/>
  <c r="J59" i="39"/>
  <c r="K52" i="39"/>
  <c r="K59" i="39"/>
  <c r="L52" i="39"/>
  <c r="L59" i="39"/>
  <c r="M52" i="39"/>
  <c r="M59" i="39"/>
  <c r="N52" i="39"/>
  <c r="N59" i="39"/>
  <c r="O59" i="39"/>
  <c r="P52" i="39"/>
  <c r="P59" i="39"/>
  <c r="Q52" i="39"/>
  <c r="Q59" i="39"/>
  <c r="R52" i="39"/>
  <c r="R59" i="39"/>
  <c r="S59" i="39"/>
  <c r="T52" i="39"/>
  <c r="T59" i="39"/>
  <c r="U52" i="39"/>
  <c r="U59" i="39"/>
  <c r="V59" i="39"/>
  <c r="W52" i="39"/>
  <c r="W59" i="39"/>
  <c r="X52" i="39"/>
  <c r="X59" i="39"/>
  <c r="Y52" i="39"/>
  <c r="Y59" i="39"/>
  <c r="Z59" i="39"/>
  <c r="AA52" i="39"/>
  <c r="AA59" i="39"/>
  <c r="AB52" i="39"/>
  <c r="AB59" i="39"/>
  <c r="AC52" i="39"/>
  <c r="AC59" i="39"/>
  <c r="AD59" i="39"/>
  <c r="AE52" i="39"/>
  <c r="AE59" i="39"/>
  <c r="AF52" i="39"/>
  <c r="AF59" i="39"/>
  <c r="AG52" i="39"/>
  <c r="AG59" i="39"/>
  <c r="AH52" i="39"/>
  <c r="AH59" i="39"/>
  <c r="AI52" i="39"/>
  <c r="AI59" i="39"/>
  <c r="AJ52" i="39"/>
  <c r="AJ59" i="39"/>
  <c r="AK52" i="39"/>
  <c r="AK59" i="39"/>
  <c r="AL52" i="39"/>
  <c r="AL59" i="39"/>
  <c r="AM52" i="39"/>
  <c r="AM59" i="39"/>
  <c r="F53" i="39"/>
  <c r="F60" i="39"/>
  <c r="G53" i="39"/>
  <c r="G60" i="39"/>
  <c r="H60" i="39"/>
  <c r="I53" i="39"/>
  <c r="I60" i="39"/>
  <c r="J53" i="39"/>
  <c r="J60" i="39"/>
  <c r="K53" i="39"/>
  <c r="K60" i="39"/>
  <c r="L53" i="39"/>
  <c r="L60" i="39"/>
  <c r="M53" i="39"/>
  <c r="M60" i="39"/>
  <c r="N53" i="39"/>
  <c r="N60" i="39"/>
  <c r="O60" i="39"/>
  <c r="P53" i="39"/>
  <c r="P60" i="39"/>
  <c r="Q53" i="39"/>
  <c r="Q60" i="39"/>
  <c r="R53" i="39"/>
  <c r="R60" i="39"/>
  <c r="S53" i="39"/>
  <c r="S60" i="39"/>
  <c r="T53" i="39"/>
  <c r="T60" i="39"/>
  <c r="U53" i="39"/>
  <c r="U60" i="39"/>
  <c r="V60" i="39"/>
  <c r="W53" i="39"/>
  <c r="W60" i="39"/>
  <c r="X53" i="39"/>
  <c r="X60" i="39"/>
  <c r="Y53" i="39"/>
  <c r="Y60" i="39"/>
  <c r="Z60" i="39"/>
  <c r="AA53" i="39"/>
  <c r="AA60" i="39"/>
  <c r="AB53" i="39"/>
  <c r="AB60" i="39"/>
  <c r="AC53" i="39"/>
  <c r="AC60" i="39"/>
  <c r="AD53" i="39"/>
  <c r="AD60" i="39"/>
  <c r="AE53" i="39"/>
  <c r="AE60" i="39"/>
  <c r="AF53" i="39"/>
  <c r="AF60" i="39"/>
  <c r="AG53" i="39"/>
  <c r="AG60" i="39"/>
  <c r="AH53" i="39"/>
  <c r="AH60" i="39"/>
  <c r="AI53" i="39"/>
  <c r="AI60" i="39"/>
  <c r="AJ53" i="39"/>
  <c r="AJ60" i="39"/>
  <c r="AK53" i="39"/>
  <c r="AK60" i="39"/>
  <c r="AL53" i="39"/>
  <c r="AL60" i="39"/>
  <c r="AM53" i="39"/>
  <c r="AM60" i="39"/>
  <c r="F55" i="39"/>
  <c r="F61" i="39"/>
  <c r="G55" i="39"/>
  <c r="G61" i="39"/>
  <c r="H55" i="39"/>
  <c r="H61" i="39"/>
  <c r="I55" i="39"/>
  <c r="I61" i="39"/>
  <c r="J55" i="39"/>
  <c r="J61" i="39"/>
  <c r="K55" i="39"/>
  <c r="K61" i="39"/>
  <c r="L55" i="39"/>
  <c r="L61" i="39"/>
  <c r="M55" i="39"/>
  <c r="M61" i="39"/>
  <c r="N55" i="39"/>
  <c r="N61" i="39"/>
  <c r="O55" i="39"/>
  <c r="O61" i="39"/>
  <c r="P55" i="39"/>
  <c r="P61" i="39"/>
  <c r="Q55" i="39"/>
  <c r="Q61" i="39"/>
  <c r="R55" i="39"/>
  <c r="R61" i="39"/>
  <c r="S55" i="39"/>
  <c r="S61" i="39"/>
  <c r="T55" i="39"/>
  <c r="T61" i="39"/>
  <c r="U55" i="39"/>
  <c r="U61" i="39"/>
  <c r="V55" i="39"/>
  <c r="V61" i="39"/>
  <c r="Y55" i="39"/>
  <c r="Y61" i="39"/>
  <c r="Z55" i="39"/>
  <c r="Z61" i="39"/>
  <c r="AA55" i="39"/>
  <c r="AA61" i="39"/>
  <c r="AB55" i="39"/>
  <c r="AB61" i="39"/>
  <c r="AC55" i="39"/>
  <c r="AC61" i="39"/>
  <c r="AD55" i="39"/>
  <c r="AD61" i="39"/>
  <c r="AE61" i="39"/>
  <c r="AF61" i="39"/>
  <c r="AG61" i="39"/>
  <c r="AH61" i="39"/>
  <c r="AI61" i="39"/>
  <c r="AJ61" i="39"/>
  <c r="AK61" i="39"/>
  <c r="AL61" i="39"/>
  <c r="AM61" i="39"/>
  <c r="F62" i="39"/>
  <c r="G62" i="39"/>
  <c r="H62" i="39"/>
  <c r="I62" i="39"/>
  <c r="J62" i="39"/>
  <c r="K62" i="39"/>
  <c r="L62" i="39"/>
  <c r="M62" i="39"/>
  <c r="N62" i="39"/>
  <c r="O62" i="39"/>
  <c r="P62" i="39"/>
  <c r="Q62" i="39"/>
  <c r="R62" i="39"/>
  <c r="S62" i="39"/>
  <c r="T62" i="39"/>
  <c r="U62" i="39"/>
  <c r="V62" i="39"/>
  <c r="Y62" i="39"/>
  <c r="Z62" i="39"/>
  <c r="AA62" i="39"/>
  <c r="AB62" i="39"/>
  <c r="AC62" i="39"/>
  <c r="AD62" i="39"/>
  <c r="AE62" i="39"/>
  <c r="AF62" i="39"/>
  <c r="AG62" i="39"/>
  <c r="AH62" i="39"/>
  <c r="AI62" i="39"/>
  <c r="AJ62" i="39"/>
  <c r="AK62" i="39"/>
  <c r="AL62" i="39"/>
  <c r="AM62" i="39"/>
  <c r="W67" i="39"/>
  <c r="W73" i="39"/>
  <c r="W74" i="39"/>
  <c r="X67" i="39"/>
  <c r="X73" i="39"/>
  <c r="X74" i="39"/>
  <c r="AE67" i="39"/>
  <c r="AF67" i="39"/>
  <c r="AG67" i="39"/>
  <c r="AH67" i="39"/>
  <c r="AI67" i="39"/>
  <c r="AJ67" i="39"/>
  <c r="AK67" i="39"/>
  <c r="AL67" i="39"/>
  <c r="AM67" i="39"/>
  <c r="F68" i="39"/>
  <c r="G68" i="39"/>
  <c r="H68" i="39"/>
  <c r="I68" i="39"/>
  <c r="J68" i="39"/>
  <c r="K68" i="39"/>
  <c r="L68" i="39"/>
  <c r="M68" i="39"/>
  <c r="N68" i="39"/>
  <c r="O68" i="39"/>
  <c r="P68" i="39"/>
  <c r="Q68" i="39"/>
  <c r="R68" i="39"/>
  <c r="S68" i="39"/>
  <c r="T68" i="39"/>
  <c r="U68" i="39"/>
  <c r="V68" i="39"/>
  <c r="W68" i="39"/>
  <c r="X68" i="39"/>
  <c r="Y68" i="39"/>
  <c r="Z68" i="39"/>
  <c r="AA68" i="39"/>
  <c r="AB68" i="39"/>
  <c r="AC68" i="39"/>
  <c r="AD68" i="39"/>
  <c r="AE68" i="39"/>
  <c r="AF68" i="39"/>
  <c r="AG68" i="39"/>
  <c r="AH68" i="39"/>
  <c r="AI68" i="39"/>
  <c r="AJ68" i="39"/>
  <c r="AK68" i="39"/>
  <c r="AL68" i="39"/>
  <c r="AM68" i="39"/>
  <c r="F40" i="39"/>
  <c r="F47" i="39"/>
  <c r="G40" i="39"/>
  <c r="G47" i="39"/>
  <c r="H47" i="39"/>
  <c r="I40" i="39"/>
  <c r="I47" i="39"/>
  <c r="J40" i="39"/>
  <c r="J47" i="39"/>
  <c r="K40" i="39"/>
  <c r="K47" i="39"/>
  <c r="L47" i="39"/>
  <c r="M40" i="39"/>
  <c r="M47" i="39"/>
  <c r="N40" i="39"/>
  <c r="N47" i="39"/>
  <c r="O40" i="39"/>
  <c r="O47" i="39"/>
  <c r="P40" i="39"/>
  <c r="P47" i="39"/>
  <c r="Q40" i="39"/>
  <c r="Q47" i="39"/>
  <c r="R40" i="39"/>
  <c r="R47" i="39"/>
  <c r="S40" i="39"/>
  <c r="S47" i="39"/>
  <c r="T40" i="39"/>
  <c r="T47" i="39"/>
  <c r="U40" i="39"/>
  <c r="U47" i="39"/>
  <c r="V40" i="39"/>
  <c r="V47" i="39"/>
  <c r="W40" i="39"/>
  <c r="W47" i="39"/>
  <c r="X40" i="39"/>
  <c r="X47" i="39"/>
  <c r="Y40" i="39"/>
  <c r="Y47" i="39"/>
  <c r="Z47" i="39"/>
  <c r="AA40" i="39"/>
  <c r="AA47" i="39"/>
  <c r="AB40" i="39"/>
  <c r="AB47" i="39"/>
  <c r="AC40" i="39"/>
  <c r="AC47" i="39"/>
  <c r="AD47" i="39"/>
  <c r="AE40" i="39"/>
  <c r="AE47" i="39"/>
  <c r="AF40" i="39"/>
  <c r="AF47" i="39"/>
  <c r="AG40" i="39"/>
  <c r="AG47" i="39"/>
  <c r="AH40" i="39"/>
  <c r="AH47" i="39"/>
  <c r="AI40" i="39"/>
  <c r="AI47" i="39"/>
  <c r="AJ40" i="39"/>
  <c r="AJ47" i="39"/>
  <c r="AK40" i="39"/>
  <c r="AK47" i="39"/>
  <c r="AL40" i="39"/>
  <c r="AL47" i="39"/>
  <c r="AM40" i="39"/>
  <c r="AM47" i="39"/>
  <c r="F41" i="39"/>
  <c r="F48" i="39"/>
  <c r="G41" i="39"/>
  <c r="G48" i="39"/>
  <c r="H48" i="39"/>
  <c r="I41" i="39"/>
  <c r="I48" i="39"/>
  <c r="J41" i="39"/>
  <c r="J48" i="39"/>
  <c r="K41" i="39"/>
  <c r="K48" i="39"/>
  <c r="L48" i="39"/>
  <c r="M41" i="39"/>
  <c r="M48" i="39"/>
  <c r="N41" i="39"/>
  <c r="N48" i="39"/>
  <c r="O41" i="39"/>
  <c r="O48" i="39"/>
  <c r="P41" i="39"/>
  <c r="P48" i="39"/>
  <c r="Q41" i="39"/>
  <c r="Q48" i="39"/>
  <c r="R41" i="39"/>
  <c r="R48" i="39"/>
  <c r="S41" i="39"/>
  <c r="S48" i="39"/>
  <c r="T41" i="39"/>
  <c r="T48" i="39"/>
  <c r="U41" i="39"/>
  <c r="U48" i="39"/>
  <c r="V41" i="39"/>
  <c r="V48" i="39"/>
  <c r="W41" i="39"/>
  <c r="W48" i="39"/>
  <c r="X41" i="39"/>
  <c r="X48" i="39"/>
  <c r="Y41" i="39"/>
  <c r="Y48" i="39"/>
  <c r="Z41" i="39"/>
  <c r="Z48" i="39"/>
  <c r="AA41" i="39"/>
  <c r="AA48" i="39"/>
  <c r="AB41" i="39"/>
  <c r="AB48" i="39"/>
  <c r="AC41" i="39"/>
  <c r="AC48" i="39"/>
  <c r="AD48" i="39"/>
  <c r="AE41" i="39"/>
  <c r="AE48" i="39"/>
  <c r="AF41" i="39"/>
  <c r="AF48" i="39"/>
  <c r="AG41" i="39"/>
  <c r="AG48" i="39"/>
  <c r="AH41" i="39"/>
  <c r="AH48" i="39"/>
  <c r="AI41" i="39"/>
  <c r="AI48" i="39"/>
  <c r="AJ41" i="39"/>
  <c r="AJ48" i="39"/>
  <c r="AK41" i="39"/>
  <c r="AK48" i="39"/>
  <c r="AL41" i="39"/>
  <c r="AL48" i="39"/>
  <c r="AM41" i="39"/>
  <c r="AM48" i="39"/>
  <c r="F43" i="39"/>
  <c r="F49" i="39"/>
  <c r="G43" i="39"/>
  <c r="G49" i="39"/>
  <c r="H43" i="39"/>
  <c r="H49" i="39"/>
  <c r="I43" i="39"/>
  <c r="I49" i="39"/>
  <c r="J43" i="39"/>
  <c r="J49" i="39"/>
  <c r="K43" i="39"/>
  <c r="K49" i="39"/>
  <c r="L43" i="39"/>
  <c r="L49" i="39"/>
  <c r="M43" i="39"/>
  <c r="M49" i="39"/>
  <c r="N43" i="39"/>
  <c r="N49" i="39"/>
  <c r="O43" i="39"/>
  <c r="O49" i="39"/>
  <c r="P43" i="39"/>
  <c r="P49" i="39"/>
  <c r="Q43" i="39"/>
  <c r="Q49" i="39"/>
  <c r="R43" i="39"/>
  <c r="R49" i="39"/>
  <c r="S43" i="39"/>
  <c r="S49" i="39"/>
  <c r="T43" i="39"/>
  <c r="T49" i="39"/>
  <c r="U43" i="39"/>
  <c r="U49" i="39"/>
  <c r="V43" i="39"/>
  <c r="V49" i="39"/>
  <c r="Y43" i="39"/>
  <c r="Y49" i="39"/>
  <c r="Z43" i="39"/>
  <c r="Z49" i="39"/>
  <c r="AA43" i="39"/>
  <c r="AA49" i="39"/>
  <c r="AB43" i="39"/>
  <c r="AB49" i="39"/>
  <c r="AC43" i="39"/>
  <c r="AC49" i="39"/>
  <c r="AD43" i="39"/>
  <c r="AD49" i="39"/>
  <c r="AE49" i="39"/>
  <c r="AF49" i="39"/>
  <c r="AG49" i="39"/>
  <c r="AH49" i="39"/>
  <c r="AI49" i="39"/>
  <c r="AJ49" i="39"/>
  <c r="AK49" i="39"/>
  <c r="AL49" i="39"/>
  <c r="AM49" i="39"/>
  <c r="F50" i="39"/>
  <c r="G50" i="39"/>
  <c r="H50" i="39"/>
  <c r="I50" i="39"/>
  <c r="J50" i="39"/>
  <c r="K50" i="39"/>
  <c r="L50" i="39"/>
  <c r="M50" i="39"/>
  <c r="N50" i="39"/>
  <c r="O50" i="39"/>
  <c r="P50" i="39"/>
  <c r="Q50" i="39"/>
  <c r="R50" i="39"/>
  <c r="S50" i="39"/>
  <c r="T50" i="39"/>
  <c r="U50" i="39"/>
  <c r="V50" i="39"/>
  <c r="Y50" i="39"/>
  <c r="Z50" i="39"/>
  <c r="AA50" i="39"/>
  <c r="AB50" i="39"/>
  <c r="AC50" i="39"/>
  <c r="AD50" i="39"/>
  <c r="AE50" i="39"/>
  <c r="AF50" i="39"/>
  <c r="AG50" i="39"/>
  <c r="AH50" i="39"/>
  <c r="AI50" i="39"/>
  <c r="AJ50" i="39"/>
  <c r="AK50" i="39"/>
  <c r="AL50" i="39"/>
  <c r="AM50" i="39"/>
  <c r="W55" i="39"/>
  <c r="W61" i="39"/>
  <c r="W62" i="39"/>
  <c r="X55" i="39"/>
  <c r="X61" i="39"/>
  <c r="X62" i="39"/>
  <c r="AE55" i="39"/>
  <c r="AF55" i="39"/>
  <c r="AG55" i="39"/>
  <c r="AH55" i="39"/>
  <c r="AI55" i="39"/>
  <c r="AJ55" i="39"/>
  <c r="AK55" i="39"/>
  <c r="AL55" i="39"/>
  <c r="AM55" i="39"/>
  <c r="F56" i="39"/>
  <c r="G56" i="39"/>
  <c r="H56" i="39"/>
  <c r="I56" i="39"/>
  <c r="J56" i="39"/>
  <c r="K56" i="39"/>
  <c r="L56" i="39"/>
  <c r="M56" i="39"/>
  <c r="N56" i="39"/>
  <c r="O56" i="39"/>
  <c r="P56" i="39"/>
  <c r="Q56" i="39"/>
  <c r="R56" i="39"/>
  <c r="S56" i="39"/>
  <c r="T56" i="39"/>
  <c r="U56" i="39"/>
  <c r="V56" i="39"/>
  <c r="W56" i="39"/>
  <c r="X56" i="39"/>
  <c r="Y56" i="39"/>
  <c r="Z56" i="39"/>
  <c r="AA56" i="39"/>
  <c r="AB56" i="39"/>
  <c r="AC56" i="39"/>
  <c r="AD56" i="39"/>
  <c r="AE56" i="39"/>
  <c r="AF56" i="39"/>
  <c r="AG56" i="39"/>
  <c r="AH56" i="39"/>
  <c r="AI56" i="39"/>
  <c r="AJ56" i="39"/>
  <c r="AK56" i="39"/>
  <c r="AL56" i="39"/>
  <c r="AM56" i="39"/>
  <c r="F28" i="39"/>
  <c r="F35" i="39"/>
  <c r="G28" i="39"/>
  <c r="G35" i="39"/>
  <c r="H35" i="39"/>
  <c r="J28" i="39"/>
  <c r="J35" i="39"/>
  <c r="K28" i="39"/>
  <c r="K35" i="39"/>
  <c r="L35" i="39"/>
  <c r="M28" i="39"/>
  <c r="M35" i="39"/>
  <c r="N28" i="39"/>
  <c r="N35" i="39"/>
  <c r="O35" i="39"/>
  <c r="P28" i="39"/>
  <c r="P35" i="39"/>
  <c r="Q28" i="39"/>
  <c r="Q35" i="39"/>
  <c r="R28" i="39"/>
  <c r="R35" i="39"/>
  <c r="S35" i="39"/>
  <c r="T28" i="39"/>
  <c r="T35" i="39"/>
  <c r="U28" i="39"/>
  <c r="U35" i="39"/>
  <c r="V35" i="39"/>
  <c r="W28" i="39"/>
  <c r="W35" i="39"/>
  <c r="X28" i="39"/>
  <c r="X35" i="39"/>
  <c r="Y28" i="39"/>
  <c r="Y35" i="39"/>
  <c r="Z35" i="39"/>
  <c r="AA28" i="39"/>
  <c r="AA35" i="39"/>
  <c r="AB28" i="39"/>
  <c r="AB35" i="39"/>
  <c r="AC28" i="39"/>
  <c r="AC35" i="39"/>
  <c r="AD35" i="39"/>
  <c r="AE28" i="39"/>
  <c r="AE35" i="39"/>
  <c r="AF28" i="39"/>
  <c r="AF35" i="39"/>
  <c r="AG28" i="39"/>
  <c r="AG35" i="39"/>
  <c r="AH28" i="39"/>
  <c r="AH35" i="39"/>
  <c r="AI28" i="39"/>
  <c r="AI35" i="39"/>
  <c r="AJ28" i="39"/>
  <c r="AJ35" i="39"/>
  <c r="AK28" i="39"/>
  <c r="AK35" i="39"/>
  <c r="AL28" i="39"/>
  <c r="AL35" i="39"/>
  <c r="AM28" i="39"/>
  <c r="AM35" i="39"/>
  <c r="F29" i="39"/>
  <c r="F36" i="39"/>
  <c r="G29" i="39"/>
  <c r="G36" i="39"/>
  <c r="H36" i="39"/>
  <c r="I29" i="39"/>
  <c r="I36" i="39"/>
  <c r="J29" i="39"/>
  <c r="J36" i="39"/>
  <c r="K29" i="39"/>
  <c r="K36" i="39"/>
  <c r="L36" i="39"/>
  <c r="M29" i="39"/>
  <c r="M36" i="39"/>
  <c r="N29" i="39"/>
  <c r="N36" i="39"/>
  <c r="O36" i="39"/>
  <c r="P29" i="39"/>
  <c r="P36" i="39"/>
  <c r="Q29" i="39"/>
  <c r="Q36" i="39"/>
  <c r="R29" i="39"/>
  <c r="R36" i="39"/>
  <c r="S36" i="39"/>
  <c r="T29" i="39"/>
  <c r="T36" i="39"/>
  <c r="U29" i="39"/>
  <c r="U36" i="39"/>
  <c r="V36" i="39"/>
  <c r="W29" i="39"/>
  <c r="W36" i="39"/>
  <c r="X29" i="39"/>
  <c r="X36" i="39"/>
  <c r="Y29" i="39"/>
  <c r="Y36" i="39"/>
  <c r="Z36" i="39"/>
  <c r="AA29" i="39"/>
  <c r="AA36" i="39"/>
  <c r="AB29" i="39"/>
  <c r="AB36" i="39"/>
  <c r="AC29" i="39"/>
  <c r="AC36" i="39"/>
  <c r="AD36" i="39"/>
  <c r="AE29" i="39"/>
  <c r="AE36" i="39"/>
  <c r="AF29" i="39"/>
  <c r="AF36" i="39"/>
  <c r="AG29" i="39"/>
  <c r="AG36" i="39"/>
  <c r="AH29" i="39"/>
  <c r="AH36" i="39"/>
  <c r="AI29" i="39"/>
  <c r="AI36" i="39"/>
  <c r="AJ29" i="39"/>
  <c r="AJ36" i="39"/>
  <c r="AK29" i="39"/>
  <c r="AK36" i="39"/>
  <c r="AL29" i="39"/>
  <c r="AL36" i="39"/>
  <c r="AM29" i="39"/>
  <c r="AM36" i="39"/>
  <c r="F31" i="39"/>
  <c r="F37" i="39"/>
  <c r="G31" i="39"/>
  <c r="G37" i="39"/>
  <c r="H31" i="39"/>
  <c r="H37" i="39"/>
  <c r="I31" i="39"/>
  <c r="I37" i="39"/>
  <c r="J31" i="39"/>
  <c r="J37" i="39"/>
  <c r="K31" i="39"/>
  <c r="K37" i="39"/>
  <c r="L31" i="39"/>
  <c r="L37" i="39"/>
  <c r="M31" i="39"/>
  <c r="M37" i="39"/>
  <c r="N31" i="39"/>
  <c r="N37" i="39"/>
  <c r="O31" i="39"/>
  <c r="O37" i="39"/>
  <c r="P31" i="39"/>
  <c r="P37" i="39"/>
  <c r="Q31" i="39"/>
  <c r="Q37" i="39"/>
  <c r="R31" i="39"/>
  <c r="R37" i="39"/>
  <c r="S31" i="39"/>
  <c r="S37" i="39"/>
  <c r="T31" i="39"/>
  <c r="T37" i="39"/>
  <c r="U31" i="39"/>
  <c r="U37" i="39"/>
  <c r="V31" i="39"/>
  <c r="V37" i="39"/>
  <c r="Y31" i="39"/>
  <c r="Y37" i="39"/>
  <c r="Z31" i="39"/>
  <c r="Z37" i="39"/>
  <c r="AA31" i="39"/>
  <c r="AA37" i="39"/>
  <c r="AB31" i="39"/>
  <c r="AB37" i="39"/>
  <c r="AC31" i="39"/>
  <c r="AC37" i="39"/>
  <c r="AD31" i="39"/>
  <c r="AD37" i="39"/>
  <c r="AE37" i="39"/>
  <c r="AF37" i="39"/>
  <c r="AG37" i="39"/>
  <c r="AH37" i="39"/>
  <c r="AI37" i="39"/>
  <c r="AJ37" i="39"/>
  <c r="AK37" i="39"/>
  <c r="AL37" i="39"/>
  <c r="AM37" i="39"/>
  <c r="F38" i="39"/>
  <c r="G38" i="39"/>
  <c r="H38" i="39"/>
  <c r="I38" i="39"/>
  <c r="J38" i="39"/>
  <c r="K38" i="39"/>
  <c r="L38" i="39"/>
  <c r="M38" i="39"/>
  <c r="N38" i="39"/>
  <c r="O38" i="39"/>
  <c r="P38" i="39"/>
  <c r="Q38" i="39"/>
  <c r="R38" i="39"/>
  <c r="S38" i="39"/>
  <c r="T38" i="39"/>
  <c r="U38" i="39"/>
  <c r="V38" i="39"/>
  <c r="Y38" i="39"/>
  <c r="Z38" i="39"/>
  <c r="AA38" i="39"/>
  <c r="AB38" i="39"/>
  <c r="AC38" i="39"/>
  <c r="AD38" i="39"/>
  <c r="AE38" i="39"/>
  <c r="AF38" i="39"/>
  <c r="AG38" i="39"/>
  <c r="AH38" i="39"/>
  <c r="AI38" i="39"/>
  <c r="AJ38" i="39"/>
  <c r="AK38" i="39"/>
  <c r="AL38" i="39"/>
  <c r="AM38" i="39"/>
  <c r="W43" i="39"/>
  <c r="W49" i="39"/>
  <c r="W50" i="39"/>
  <c r="X43" i="39"/>
  <c r="X49" i="39"/>
  <c r="X50" i="39"/>
  <c r="AE43" i="39"/>
  <c r="AF43" i="39"/>
  <c r="AG43" i="39"/>
  <c r="AH43" i="39"/>
  <c r="AI43" i="39"/>
  <c r="AJ43" i="39"/>
  <c r="AK43" i="39"/>
  <c r="AL43" i="39"/>
  <c r="AM43" i="39"/>
  <c r="F44" i="39"/>
  <c r="G44" i="39"/>
  <c r="H44" i="39"/>
  <c r="I44" i="39"/>
  <c r="J44" i="39"/>
  <c r="K44" i="39"/>
  <c r="L44" i="39"/>
  <c r="M44" i="39"/>
  <c r="N44" i="39"/>
  <c r="O44" i="39"/>
  <c r="P44" i="39"/>
  <c r="Q44" i="39"/>
  <c r="R44" i="39"/>
  <c r="S44" i="39"/>
  <c r="T44" i="39"/>
  <c r="U44" i="39"/>
  <c r="V44" i="39"/>
  <c r="W44" i="39"/>
  <c r="X44" i="39"/>
  <c r="Y44" i="39"/>
  <c r="Z44" i="39"/>
  <c r="AA44" i="39"/>
  <c r="AB44" i="39"/>
  <c r="AC44" i="39"/>
  <c r="AD44" i="39"/>
  <c r="AE44" i="39"/>
  <c r="AF44" i="39"/>
  <c r="AG44" i="39"/>
  <c r="AH44" i="39"/>
  <c r="AI44" i="39"/>
  <c r="AJ44" i="39"/>
  <c r="AK44" i="39"/>
  <c r="AL44" i="39"/>
  <c r="AM44" i="39"/>
  <c r="E16" i="39"/>
  <c r="F16" i="39"/>
  <c r="F23" i="39"/>
  <c r="G16" i="39"/>
  <c r="G23" i="39"/>
  <c r="H16" i="39"/>
  <c r="H23" i="39"/>
  <c r="I16" i="39"/>
  <c r="I23" i="39"/>
  <c r="J16" i="39"/>
  <c r="J23" i="39"/>
  <c r="K16" i="39"/>
  <c r="K23" i="39"/>
  <c r="L23" i="39"/>
  <c r="M16" i="39"/>
  <c r="M23" i="39"/>
  <c r="N16" i="39"/>
  <c r="N23" i="39"/>
  <c r="O23" i="39"/>
  <c r="P16" i="39"/>
  <c r="P23" i="39"/>
  <c r="Q16" i="39"/>
  <c r="Q23" i="39"/>
  <c r="R16" i="39"/>
  <c r="R23" i="39"/>
  <c r="S23" i="39"/>
  <c r="T16" i="39"/>
  <c r="T23" i="39"/>
  <c r="U16" i="39"/>
  <c r="U23" i="39"/>
  <c r="V16" i="39"/>
  <c r="V23" i="39"/>
  <c r="W16" i="39"/>
  <c r="W23" i="39"/>
  <c r="X16" i="39"/>
  <c r="X23" i="39"/>
  <c r="Y16" i="39"/>
  <c r="Y23" i="39"/>
  <c r="Z16" i="39"/>
  <c r="Z23" i="39"/>
  <c r="AA16" i="39"/>
  <c r="AA23" i="39"/>
  <c r="AB16" i="39"/>
  <c r="AB23" i="39"/>
  <c r="AC16" i="39"/>
  <c r="AC23" i="39"/>
  <c r="AD23" i="39"/>
  <c r="AE16" i="39"/>
  <c r="AE23" i="39"/>
  <c r="AF16" i="39"/>
  <c r="AF23" i="39"/>
  <c r="AG16" i="39"/>
  <c r="AG23" i="39"/>
  <c r="AH16" i="39"/>
  <c r="AH23" i="39"/>
  <c r="AI16" i="39"/>
  <c r="AI23" i="39"/>
  <c r="AJ16" i="39"/>
  <c r="AJ23" i="39"/>
  <c r="AK16" i="39"/>
  <c r="AK23" i="39"/>
  <c r="AL16" i="39"/>
  <c r="AL23" i="39"/>
  <c r="AM16" i="39"/>
  <c r="AM23" i="39"/>
  <c r="F24" i="39"/>
  <c r="G24" i="39"/>
  <c r="I17" i="39"/>
  <c r="I24" i="39"/>
  <c r="J17" i="39"/>
  <c r="J24" i="39"/>
  <c r="K17" i="39"/>
  <c r="K24" i="39"/>
  <c r="L24" i="39"/>
  <c r="M17" i="39"/>
  <c r="M24" i="39"/>
  <c r="N17" i="39"/>
  <c r="N24" i="39"/>
  <c r="O24" i="39"/>
  <c r="P17" i="39"/>
  <c r="P24" i="39"/>
  <c r="Q17" i="39"/>
  <c r="Q24" i="39"/>
  <c r="R17" i="39"/>
  <c r="R24" i="39"/>
  <c r="S24" i="39"/>
  <c r="T17" i="39"/>
  <c r="T24" i="39"/>
  <c r="U17" i="39"/>
  <c r="U24" i="39"/>
  <c r="V17" i="39"/>
  <c r="V24" i="39"/>
  <c r="W17" i="39"/>
  <c r="W24" i="39"/>
  <c r="X17" i="39"/>
  <c r="X24" i="39"/>
  <c r="Y17" i="39"/>
  <c r="Y24" i="39"/>
  <c r="Z17" i="39"/>
  <c r="Z24" i="39"/>
  <c r="AA17" i="39"/>
  <c r="AA24" i="39"/>
  <c r="AB17" i="39"/>
  <c r="AB24" i="39"/>
  <c r="AC17" i="39"/>
  <c r="AC24" i="39"/>
  <c r="AD24" i="39"/>
  <c r="AE17" i="39"/>
  <c r="AE24" i="39"/>
  <c r="AF17" i="39"/>
  <c r="AF24" i="39"/>
  <c r="AG17" i="39"/>
  <c r="AG24" i="39"/>
  <c r="AH17" i="39"/>
  <c r="AH24" i="39"/>
  <c r="AI17" i="39"/>
  <c r="AI24" i="39"/>
  <c r="AJ17" i="39"/>
  <c r="AJ24" i="39"/>
  <c r="AK17" i="39"/>
  <c r="AK24" i="39"/>
  <c r="AL17" i="39"/>
  <c r="AL24" i="39"/>
  <c r="AM17" i="39"/>
  <c r="AM24" i="39"/>
  <c r="F25" i="39"/>
  <c r="G25" i="39"/>
  <c r="I19" i="39"/>
  <c r="I25" i="39"/>
  <c r="J19" i="39"/>
  <c r="J25" i="39"/>
  <c r="K19" i="39"/>
  <c r="K25" i="39"/>
  <c r="L19" i="39"/>
  <c r="L25" i="39"/>
  <c r="M19" i="39"/>
  <c r="M25" i="39"/>
  <c r="N19" i="39"/>
  <c r="N25" i="39"/>
  <c r="O19" i="39"/>
  <c r="O25" i="39"/>
  <c r="P19" i="39"/>
  <c r="P25" i="39"/>
  <c r="Q19" i="39"/>
  <c r="Q25" i="39"/>
  <c r="R19" i="39"/>
  <c r="R25" i="39"/>
  <c r="S19" i="39"/>
  <c r="S25" i="39"/>
  <c r="T19" i="39"/>
  <c r="T25" i="39"/>
  <c r="U19" i="39"/>
  <c r="U25" i="39"/>
  <c r="V19" i="39"/>
  <c r="V25" i="39"/>
  <c r="Y19" i="39"/>
  <c r="Y25" i="39"/>
  <c r="Z19" i="39"/>
  <c r="Z25" i="39"/>
  <c r="AA19" i="39"/>
  <c r="AA25" i="39"/>
  <c r="AB19" i="39"/>
  <c r="AB25" i="39"/>
  <c r="AC19" i="39"/>
  <c r="AC25" i="39"/>
  <c r="AD19" i="39"/>
  <c r="AD25" i="39"/>
  <c r="AE25" i="39"/>
  <c r="AF25" i="39"/>
  <c r="AG25" i="39"/>
  <c r="AH25" i="39"/>
  <c r="AI25" i="39"/>
  <c r="AJ25" i="39"/>
  <c r="AK25" i="39"/>
  <c r="AL25" i="39"/>
  <c r="AM25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AM26" i="39"/>
  <c r="W31" i="39"/>
  <c r="W37" i="39"/>
  <c r="W38" i="39"/>
  <c r="X31" i="39"/>
  <c r="X37" i="39"/>
  <c r="X38" i="39"/>
  <c r="AE31" i="39"/>
  <c r="AF31" i="39"/>
  <c r="AG31" i="39"/>
  <c r="AH31" i="39"/>
  <c r="AI31" i="39"/>
  <c r="AJ31" i="39"/>
  <c r="AK31" i="39"/>
  <c r="AL31" i="39"/>
  <c r="AM31" i="39"/>
  <c r="F32" i="39"/>
  <c r="G32" i="39"/>
  <c r="H32" i="39"/>
  <c r="I32" i="39"/>
  <c r="J32" i="39"/>
  <c r="K32" i="39"/>
  <c r="L32" i="39"/>
  <c r="M32" i="39"/>
  <c r="N32" i="39"/>
  <c r="P32" i="39"/>
  <c r="Q32" i="39"/>
  <c r="R32" i="39"/>
  <c r="S32" i="39"/>
  <c r="T32" i="39"/>
  <c r="U32" i="39"/>
  <c r="V32" i="39"/>
  <c r="W32" i="39"/>
  <c r="X32" i="39"/>
  <c r="Y32" i="39"/>
  <c r="Z32" i="39"/>
  <c r="AA32" i="39"/>
  <c r="AB32" i="39"/>
  <c r="AC32" i="39"/>
  <c r="AD32" i="39"/>
  <c r="AE32" i="39"/>
  <c r="AF32" i="39"/>
  <c r="AG32" i="39"/>
  <c r="AH32" i="39"/>
  <c r="AI32" i="39"/>
  <c r="AJ32" i="39"/>
  <c r="AK32" i="39"/>
  <c r="AL32" i="39"/>
  <c r="AM32" i="39"/>
  <c r="E4" i="39"/>
  <c r="F4" i="39"/>
  <c r="F11" i="39"/>
  <c r="G4" i="39"/>
  <c r="G11" i="39"/>
  <c r="H4" i="39"/>
  <c r="H11" i="39"/>
  <c r="I4" i="39"/>
  <c r="I11" i="39"/>
  <c r="J4" i="39"/>
  <c r="J11" i="39"/>
  <c r="K4" i="39"/>
  <c r="K11" i="39"/>
  <c r="L4" i="39"/>
  <c r="L11" i="39"/>
  <c r="M4" i="39"/>
  <c r="M11" i="39"/>
  <c r="N4" i="39"/>
  <c r="N11" i="39"/>
  <c r="O4" i="39"/>
  <c r="O11" i="39"/>
  <c r="P4" i="39"/>
  <c r="P11" i="39"/>
  <c r="Q4" i="39"/>
  <c r="Q11" i="39"/>
  <c r="R4" i="39"/>
  <c r="R11" i="39"/>
  <c r="S4" i="39"/>
  <c r="S11" i="39"/>
  <c r="T4" i="39"/>
  <c r="T11" i="39"/>
  <c r="U4" i="39"/>
  <c r="U11" i="39"/>
  <c r="V11" i="39"/>
  <c r="W4" i="39"/>
  <c r="W11" i="39"/>
  <c r="X4" i="39"/>
  <c r="X11" i="39"/>
  <c r="Y4" i="39"/>
  <c r="Y11" i="39"/>
  <c r="Z4" i="39"/>
  <c r="Z11" i="39"/>
  <c r="AA4" i="39"/>
  <c r="AA11" i="39"/>
  <c r="AB4" i="39"/>
  <c r="AB11" i="39"/>
  <c r="AC4" i="39"/>
  <c r="AC11" i="39"/>
  <c r="AD4" i="39"/>
  <c r="AD11" i="39"/>
  <c r="AE4" i="39"/>
  <c r="AE11" i="39"/>
  <c r="AF4" i="39"/>
  <c r="AF11" i="39"/>
  <c r="AG4" i="39"/>
  <c r="AG11" i="39"/>
  <c r="AH4" i="39"/>
  <c r="AH11" i="39"/>
  <c r="AI4" i="39"/>
  <c r="AI11" i="39"/>
  <c r="AJ4" i="39"/>
  <c r="AJ11" i="39"/>
  <c r="AK4" i="39"/>
  <c r="AK11" i="39"/>
  <c r="AL4" i="39"/>
  <c r="AL11" i="39"/>
  <c r="AM4" i="39"/>
  <c r="AM11" i="39"/>
  <c r="F5" i="39"/>
  <c r="F12" i="39"/>
  <c r="G5" i="39"/>
  <c r="G12" i="39"/>
  <c r="H5" i="39"/>
  <c r="H12" i="39"/>
  <c r="I5" i="39"/>
  <c r="I12" i="39"/>
  <c r="J5" i="39"/>
  <c r="J12" i="39"/>
  <c r="K5" i="39"/>
  <c r="K12" i="39"/>
  <c r="L5" i="39"/>
  <c r="L12" i="39"/>
  <c r="M5" i="39"/>
  <c r="M12" i="39"/>
  <c r="N5" i="39"/>
  <c r="N12" i="39"/>
  <c r="O5" i="39"/>
  <c r="O12" i="39"/>
  <c r="P5" i="39"/>
  <c r="P12" i="39"/>
  <c r="Q5" i="39"/>
  <c r="Q12" i="39"/>
  <c r="R5" i="39"/>
  <c r="R12" i="39"/>
  <c r="S5" i="39"/>
  <c r="S12" i="39"/>
  <c r="T5" i="39"/>
  <c r="T12" i="39"/>
  <c r="U5" i="39"/>
  <c r="U12" i="39"/>
  <c r="V12" i="39"/>
  <c r="W5" i="39"/>
  <c r="W12" i="39"/>
  <c r="X5" i="39"/>
  <c r="X12" i="39"/>
  <c r="Y5" i="39"/>
  <c r="Y12" i="39"/>
  <c r="Z5" i="39"/>
  <c r="Z12" i="39"/>
  <c r="AA5" i="39"/>
  <c r="AA12" i="39"/>
  <c r="AB5" i="39"/>
  <c r="AB12" i="39"/>
  <c r="AC5" i="39"/>
  <c r="AC12" i="39"/>
  <c r="AD5" i="39"/>
  <c r="AD12" i="39"/>
  <c r="AE5" i="39"/>
  <c r="AE12" i="39"/>
  <c r="AF5" i="39"/>
  <c r="AF12" i="39"/>
  <c r="AG5" i="39"/>
  <c r="AG12" i="39"/>
  <c r="AH5" i="39"/>
  <c r="AH12" i="39"/>
  <c r="AI5" i="39"/>
  <c r="AI12" i="39"/>
  <c r="AJ5" i="39"/>
  <c r="AJ12" i="39"/>
  <c r="AK5" i="39"/>
  <c r="AK12" i="39"/>
  <c r="AL5" i="39"/>
  <c r="AL12" i="39"/>
  <c r="AM5" i="39"/>
  <c r="AM12" i="39"/>
  <c r="E7" i="39"/>
  <c r="F7" i="39"/>
  <c r="F13" i="39"/>
  <c r="G7" i="39"/>
  <c r="G13" i="39"/>
  <c r="H7" i="39"/>
  <c r="H13" i="39"/>
  <c r="I7" i="39"/>
  <c r="I13" i="39"/>
  <c r="J7" i="39"/>
  <c r="J13" i="39"/>
  <c r="K7" i="39"/>
  <c r="K13" i="39"/>
  <c r="L7" i="39"/>
  <c r="L13" i="39"/>
  <c r="M7" i="39"/>
  <c r="M13" i="39"/>
  <c r="N7" i="39"/>
  <c r="N13" i="39"/>
  <c r="O7" i="39"/>
  <c r="O13" i="39"/>
  <c r="P7" i="39"/>
  <c r="P13" i="39"/>
  <c r="Q7" i="39"/>
  <c r="Q13" i="39"/>
  <c r="R7" i="39"/>
  <c r="R13" i="39"/>
  <c r="S7" i="39"/>
  <c r="S13" i="39"/>
  <c r="T7" i="39"/>
  <c r="T13" i="39"/>
  <c r="U7" i="39"/>
  <c r="U13" i="39"/>
  <c r="V7" i="39"/>
  <c r="V13" i="39"/>
  <c r="Y7" i="39"/>
  <c r="Y13" i="39"/>
  <c r="Z7" i="39"/>
  <c r="Z13" i="39"/>
  <c r="AA7" i="39"/>
  <c r="AA13" i="39"/>
  <c r="AB7" i="39"/>
  <c r="AB13" i="39"/>
  <c r="AC7" i="39"/>
  <c r="AC13" i="39"/>
  <c r="AD7" i="39"/>
  <c r="AD13" i="39"/>
  <c r="AE13" i="39"/>
  <c r="AF13" i="39"/>
  <c r="AG13" i="39"/>
  <c r="AH13" i="39"/>
  <c r="AI13" i="39"/>
  <c r="AJ13" i="39"/>
  <c r="AK13" i="39"/>
  <c r="AL13" i="39"/>
  <c r="AM13" i="39"/>
  <c r="F14" i="39"/>
  <c r="G14" i="39"/>
  <c r="H14" i="39"/>
  <c r="I14" i="39"/>
  <c r="J14" i="39"/>
  <c r="K14" i="39"/>
  <c r="L14" i="39"/>
  <c r="M14" i="39"/>
  <c r="N14" i="39"/>
  <c r="O14" i="39"/>
  <c r="P14" i="39"/>
  <c r="Q14" i="39"/>
  <c r="R14" i="39"/>
  <c r="S14" i="39"/>
  <c r="T14" i="39"/>
  <c r="U14" i="39"/>
  <c r="V14" i="39"/>
  <c r="Y14" i="39"/>
  <c r="Z14" i="39"/>
  <c r="AA14" i="39"/>
  <c r="AB14" i="39"/>
  <c r="AC14" i="39"/>
  <c r="AD14" i="39"/>
  <c r="AE14" i="39"/>
  <c r="AF14" i="39"/>
  <c r="AG14" i="39"/>
  <c r="AH14" i="39"/>
  <c r="AI14" i="39"/>
  <c r="AJ14" i="39"/>
  <c r="AK14" i="39"/>
  <c r="AL14" i="39"/>
  <c r="AM14" i="39"/>
  <c r="W19" i="39"/>
  <c r="W25" i="39"/>
  <c r="W26" i="39"/>
  <c r="X19" i="39"/>
  <c r="X25" i="39"/>
  <c r="X26" i="39"/>
  <c r="AE19" i="39"/>
  <c r="AF19" i="39"/>
  <c r="AG19" i="39"/>
  <c r="AH19" i="39"/>
  <c r="AI19" i="39"/>
  <c r="AJ19" i="39"/>
  <c r="AK19" i="39"/>
  <c r="AL19" i="39"/>
  <c r="AM19" i="39"/>
  <c r="F20" i="39"/>
  <c r="G20" i="39"/>
  <c r="H20" i="39"/>
  <c r="I20" i="39"/>
  <c r="J20" i="39"/>
  <c r="K20" i="39"/>
  <c r="L20" i="39"/>
  <c r="M20" i="39"/>
  <c r="N20" i="39"/>
  <c r="O20" i="39"/>
  <c r="P20" i="39"/>
  <c r="Q20" i="39"/>
  <c r="R20" i="39"/>
  <c r="S20" i="39"/>
  <c r="T20" i="39"/>
  <c r="U20" i="39"/>
  <c r="V20" i="39"/>
  <c r="W20" i="39"/>
  <c r="X20" i="39"/>
  <c r="Y20" i="39"/>
  <c r="Z20" i="39"/>
  <c r="AA20" i="39"/>
  <c r="AB20" i="39"/>
  <c r="AC20" i="39"/>
  <c r="AD20" i="39"/>
  <c r="AE20" i="39"/>
  <c r="AF20" i="39"/>
  <c r="AG20" i="39"/>
  <c r="AH20" i="39"/>
  <c r="AI20" i="39"/>
  <c r="AJ20" i="39"/>
  <c r="AK20" i="39"/>
  <c r="AL20" i="39"/>
  <c r="AM20" i="39"/>
  <c r="D1" i="39"/>
  <c r="E1" i="39"/>
  <c r="F1" i="39"/>
  <c r="G1" i="39"/>
  <c r="H1" i="39"/>
  <c r="I1" i="39"/>
  <c r="J1" i="39"/>
  <c r="K1" i="39"/>
  <c r="L1" i="39"/>
  <c r="M1" i="39"/>
  <c r="N1" i="39"/>
  <c r="O1" i="39"/>
  <c r="P1" i="39"/>
  <c r="Q1" i="39"/>
  <c r="R1" i="39"/>
  <c r="S1" i="39"/>
  <c r="T1" i="39"/>
  <c r="U1" i="39"/>
  <c r="V1" i="39"/>
  <c r="W1" i="39"/>
  <c r="X1" i="39"/>
  <c r="Y1" i="39"/>
  <c r="Z1" i="39"/>
  <c r="AA1" i="39"/>
  <c r="AB1" i="39"/>
  <c r="AC1" i="39"/>
  <c r="AD1" i="39"/>
  <c r="AE1" i="39"/>
  <c r="AF1" i="39"/>
  <c r="AG1" i="39"/>
  <c r="AH1" i="39"/>
  <c r="AI1" i="39"/>
  <c r="AJ1" i="39"/>
  <c r="AK1" i="39"/>
  <c r="AL1" i="39"/>
  <c r="AM1" i="39"/>
  <c r="F2" i="39"/>
  <c r="G2" i="39"/>
  <c r="H2" i="39"/>
  <c r="I2" i="39"/>
  <c r="J2" i="39"/>
  <c r="K2" i="39"/>
  <c r="L2" i="39"/>
  <c r="M2" i="39"/>
  <c r="N2" i="39"/>
  <c r="O2" i="39"/>
  <c r="P2" i="39"/>
  <c r="Q2" i="39"/>
  <c r="R2" i="39"/>
  <c r="S2" i="39"/>
  <c r="T2" i="39"/>
  <c r="U2" i="39"/>
  <c r="V2" i="39"/>
  <c r="W2" i="39"/>
  <c r="X2" i="39"/>
  <c r="Y2" i="39"/>
  <c r="Z2" i="39"/>
  <c r="AA2" i="39"/>
  <c r="AB2" i="39"/>
  <c r="AC2" i="39"/>
  <c r="AD2" i="39"/>
  <c r="AE2" i="39"/>
  <c r="AF2" i="39"/>
  <c r="AG2" i="39"/>
  <c r="AH2" i="39"/>
  <c r="AI2" i="39"/>
  <c r="AJ2" i="39"/>
  <c r="AK2" i="39"/>
  <c r="AL2" i="39"/>
  <c r="AM2" i="39"/>
  <c r="W7" i="39"/>
  <c r="W13" i="39"/>
  <c r="W14" i="39"/>
  <c r="X7" i="39"/>
  <c r="X13" i="39"/>
  <c r="X14" i="39"/>
  <c r="AE7" i="39"/>
  <c r="AF7" i="39"/>
  <c r="AG7" i="39"/>
  <c r="AH7" i="39"/>
  <c r="AI7" i="39"/>
  <c r="AJ7" i="39"/>
  <c r="AK7" i="39"/>
  <c r="AL7" i="39"/>
  <c r="AM7" i="39"/>
  <c r="E8" i="39"/>
  <c r="F8" i="39"/>
  <c r="G8" i="39"/>
  <c r="H8" i="39"/>
  <c r="I8" i="39"/>
  <c r="J8" i="39"/>
  <c r="K8" i="39"/>
  <c r="L8" i="39"/>
  <c r="M8" i="39"/>
  <c r="N8" i="39"/>
  <c r="O8" i="39"/>
  <c r="P8" i="39"/>
  <c r="Q8" i="39"/>
  <c r="R8" i="39"/>
  <c r="S8" i="39"/>
  <c r="T8" i="39"/>
  <c r="U8" i="39"/>
  <c r="V8" i="39"/>
  <c r="W8" i="39"/>
  <c r="X8" i="39"/>
  <c r="Y8" i="39"/>
  <c r="Z8" i="39"/>
  <c r="AA8" i="39"/>
  <c r="AB8" i="39"/>
  <c r="AC8" i="39"/>
  <c r="AD8" i="39"/>
  <c r="AE8" i="39"/>
  <c r="AF8" i="39"/>
  <c r="AG8" i="39"/>
  <c r="AH8" i="39"/>
  <c r="AI8" i="39"/>
  <c r="AJ8" i="39"/>
  <c r="AK8" i="39"/>
  <c r="AL8" i="39"/>
  <c r="AM8" i="39"/>
  <c r="D112" i="39"/>
  <c r="D119" i="39"/>
  <c r="E119" i="39"/>
  <c r="D113" i="39"/>
  <c r="D120" i="39"/>
  <c r="E113" i="39"/>
  <c r="E120" i="39"/>
  <c r="D115" i="39"/>
  <c r="D121" i="39"/>
  <c r="E115" i="39"/>
  <c r="E121" i="39"/>
  <c r="D122" i="39"/>
  <c r="E122" i="39"/>
  <c r="D124" i="39"/>
  <c r="D125" i="39"/>
  <c r="D127" i="39"/>
  <c r="E127" i="39"/>
  <c r="D128" i="39"/>
  <c r="E128" i="39"/>
  <c r="D131" i="39"/>
  <c r="E131" i="39"/>
  <c r="D132" i="39"/>
  <c r="E132" i="39"/>
  <c r="D133" i="39"/>
  <c r="E133" i="39"/>
  <c r="D134" i="39"/>
  <c r="E134" i="39"/>
  <c r="D136" i="39"/>
  <c r="D137" i="39"/>
  <c r="D139" i="39"/>
  <c r="D140" i="39"/>
  <c r="D143" i="39"/>
  <c r="E143" i="39"/>
  <c r="D144" i="39"/>
  <c r="E144" i="39"/>
  <c r="D145" i="39"/>
  <c r="E145" i="39"/>
  <c r="D146" i="39"/>
  <c r="E146" i="39"/>
  <c r="D148" i="39"/>
  <c r="D149" i="39"/>
  <c r="D151" i="39"/>
  <c r="D152" i="39"/>
  <c r="D155" i="39"/>
  <c r="E155" i="39"/>
  <c r="D156" i="39"/>
  <c r="E156" i="39"/>
  <c r="D157" i="39"/>
  <c r="E157" i="39"/>
  <c r="D158" i="39"/>
  <c r="E158" i="39"/>
  <c r="D160" i="39"/>
  <c r="D161" i="39"/>
  <c r="D163" i="39"/>
  <c r="D164" i="39"/>
  <c r="D167" i="39"/>
  <c r="E167" i="39"/>
  <c r="D168" i="39"/>
  <c r="E168" i="39"/>
  <c r="D169" i="39"/>
  <c r="E169" i="39"/>
  <c r="D170" i="39"/>
  <c r="E170" i="39"/>
  <c r="D172" i="39"/>
  <c r="D173" i="39"/>
  <c r="D175" i="39"/>
  <c r="D176" i="39"/>
  <c r="D179" i="39"/>
  <c r="E179" i="39"/>
  <c r="D180" i="39"/>
  <c r="E180" i="39"/>
  <c r="D181" i="39"/>
  <c r="E181" i="39"/>
  <c r="D182" i="39"/>
  <c r="E182" i="39"/>
  <c r="D184" i="39"/>
  <c r="D185" i="39"/>
  <c r="D187" i="39"/>
  <c r="D188" i="39"/>
  <c r="D191" i="39"/>
  <c r="E191" i="39"/>
  <c r="D192" i="39"/>
  <c r="E192" i="39"/>
  <c r="D193" i="39"/>
  <c r="E193" i="39"/>
  <c r="D194" i="39"/>
  <c r="E194" i="39"/>
  <c r="D196" i="39"/>
  <c r="D197" i="39"/>
  <c r="D199" i="39"/>
  <c r="D200" i="39"/>
  <c r="D203" i="39"/>
  <c r="E203" i="39"/>
  <c r="D204" i="39"/>
  <c r="E204" i="39"/>
  <c r="D205" i="39"/>
  <c r="E205" i="39"/>
  <c r="D206" i="39"/>
  <c r="E206" i="39"/>
  <c r="D208" i="39"/>
  <c r="D209" i="39"/>
  <c r="D211" i="39"/>
  <c r="D212" i="39"/>
  <c r="D215" i="39"/>
  <c r="E215" i="39"/>
  <c r="D216" i="39"/>
  <c r="E216" i="39"/>
  <c r="D217" i="39"/>
  <c r="E217" i="39"/>
  <c r="D218" i="39"/>
  <c r="E218" i="39"/>
  <c r="D220" i="39"/>
  <c r="D221" i="39"/>
  <c r="D223" i="39"/>
  <c r="D224" i="39"/>
  <c r="D227" i="39"/>
  <c r="E227" i="39"/>
  <c r="D228" i="39"/>
  <c r="E228" i="39"/>
  <c r="D229" i="39"/>
  <c r="E229" i="39"/>
  <c r="D230" i="39"/>
  <c r="E230" i="39"/>
  <c r="D235" i="39"/>
  <c r="D237" i="39"/>
  <c r="D238" i="39"/>
  <c r="D241" i="39"/>
  <c r="E241" i="39"/>
  <c r="D242" i="39"/>
  <c r="E242" i="39"/>
  <c r="D243" i="39"/>
  <c r="E243" i="39"/>
  <c r="D244" i="39"/>
  <c r="E244" i="39"/>
  <c r="D100" i="39"/>
  <c r="D107" i="39"/>
  <c r="E107" i="39"/>
  <c r="D101" i="39"/>
  <c r="D108" i="39"/>
  <c r="E101" i="39"/>
  <c r="E108" i="39"/>
  <c r="D103" i="39"/>
  <c r="D109" i="39"/>
  <c r="E103" i="39"/>
  <c r="E109" i="39"/>
  <c r="D110" i="39"/>
  <c r="E110" i="39"/>
  <c r="D116" i="39"/>
  <c r="E116" i="39"/>
  <c r="D88" i="39"/>
  <c r="D95" i="39"/>
  <c r="E95" i="39"/>
  <c r="D89" i="39"/>
  <c r="D96" i="39"/>
  <c r="E96" i="39"/>
  <c r="D91" i="39"/>
  <c r="D97" i="39"/>
  <c r="E91" i="39"/>
  <c r="E97" i="39"/>
  <c r="D98" i="39"/>
  <c r="E98" i="39"/>
  <c r="D104" i="39"/>
  <c r="D76" i="39"/>
  <c r="D83" i="39"/>
  <c r="E83" i="39"/>
  <c r="D77" i="39"/>
  <c r="D84" i="39"/>
  <c r="E77" i="39"/>
  <c r="E84" i="39"/>
  <c r="D79" i="39"/>
  <c r="D85" i="39"/>
  <c r="E79" i="39"/>
  <c r="E85" i="39"/>
  <c r="D86" i="39"/>
  <c r="E86" i="39"/>
  <c r="D92" i="39"/>
  <c r="E92" i="39"/>
  <c r="D80" i="39"/>
  <c r="E80" i="39"/>
  <c r="D64" i="39"/>
  <c r="D71" i="39"/>
  <c r="E71" i="39"/>
  <c r="D65" i="39"/>
  <c r="D72" i="39"/>
  <c r="E72" i="39"/>
  <c r="D67" i="39"/>
  <c r="D73" i="39"/>
  <c r="E67" i="39"/>
  <c r="E73" i="39"/>
  <c r="D74" i="39"/>
  <c r="E74" i="39"/>
  <c r="D52" i="39"/>
  <c r="D59" i="39"/>
  <c r="E59" i="39"/>
  <c r="D53" i="39"/>
  <c r="D60" i="39"/>
  <c r="E53" i="39"/>
  <c r="E60" i="39"/>
  <c r="D55" i="39"/>
  <c r="D61" i="39"/>
  <c r="E55" i="39"/>
  <c r="E61" i="39"/>
  <c r="D62" i="39"/>
  <c r="E62" i="39"/>
  <c r="D68" i="39"/>
  <c r="E68" i="39"/>
  <c r="D56" i="39"/>
  <c r="E56" i="39"/>
  <c r="D40" i="39"/>
  <c r="D47" i="39"/>
  <c r="E47" i="39"/>
  <c r="D41" i="39"/>
  <c r="D48" i="39"/>
  <c r="E48" i="39"/>
  <c r="D43" i="39"/>
  <c r="D49" i="39"/>
  <c r="E43" i="39"/>
  <c r="E49" i="39"/>
  <c r="D50" i="39"/>
  <c r="E50" i="39"/>
  <c r="D28" i="39"/>
  <c r="D35" i="39"/>
  <c r="E35" i="39"/>
  <c r="D29" i="39"/>
  <c r="D36" i="39"/>
  <c r="E36" i="39"/>
  <c r="D31" i="39"/>
  <c r="D37" i="39"/>
  <c r="E31" i="39"/>
  <c r="E37" i="39"/>
  <c r="D38" i="39"/>
  <c r="E38" i="39"/>
  <c r="D44" i="39"/>
  <c r="E44" i="39"/>
  <c r="D16" i="39"/>
  <c r="D23" i="39"/>
  <c r="E23" i="39"/>
  <c r="D17" i="39"/>
  <c r="D24" i="39"/>
  <c r="E24" i="39"/>
  <c r="D19" i="39"/>
  <c r="D25" i="39"/>
  <c r="E19" i="39"/>
  <c r="E25" i="39"/>
  <c r="D26" i="39"/>
  <c r="E26" i="39"/>
  <c r="D32" i="39"/>
  <c r="D4" i="39"/>
  <c r="D11" i="39"/>
  <c r="E11" i="39"/>
  <c r="D5" i="39"/>
  <c r="D12" i="39"/>
  <c r="E12" i="39"/>
  <c r="D7" i="39"/>
  <c r="D13" i="39"/>
  <c r="E13" i="39"/>
  <c r="D14" i="39"/>
  <c r="E14" i="39"/>
  <c r="D20" i="39"/>
  <c r="E20" i="39"/>
  <c r="D2" i="39"/>
  <c r="E2" i="39"/>
  <c r="D8" i="39"/>
  <c r="G124" i="38"/>
  <c r="G131" i="38"/>
  <c r="H131" i="38"/>
  <c r="I124" i="38"/>
  <c r="I131" i="38"/>
  <c r="J124" i="38"/>
  <c r="J131" i="38"/>
  <c r="K124" i="38"/>
  <c r="K131" i="38"/>
  <c r="L124" i="38"/>
  <c r="L131" i="38"/>
  <c r="M124" i="38"/>
  <c r="M131" i="38"/>
  <c r="N124" i="38"/>
  <c r="N131" i="38"/>
  <c r="O131" i="38"/>
  <c r="P124" i="38"/>
  <c r="P131" i="38"/>
  <c r="Q124" i="38"/>
  <c r="Q131" i="38"/>
  <c r="R124" i="38"/>
  <c r="R131" i="38"/>
  <c r="S124" i="38"/>
  <c r="S131" i="38"/>
  <c r="T124" i="38"/>
  <c r="T131" i="38"/>
  <c r="U124" i="38"/>
  <c r="U131" i="38"/>
  <c r="V131" i="38"/>
  <c r="W124" i="38"/>
  <c r="W131" i="38"/>
  <c r="X124" i="38"/>
  <c r="X131" i="38"/>
  <c r="Y124" i="38"/>
  <c r="Y131" i="38"/>
  <c r="Z124" i="38"/>
  <c r="Z131" i="38"/>
  <c r="AA124" i="38"/>
  <c r="AA131" i="38"/>
  <c r="AB124" i="38"/>
  <c r="AB131" i="38"/>
  <c r="AC131" i="38"/>
  <c r="AD124" i="38"/>
  <c r="AD131" i="38"/>
  <c r="AE124" i="38"/>
  <c r="AE131" i="38"/>
  <c r="AF124" i="38"/>
  <c r="AF131" i="38"/>
  <c r="AG124" i="38"/>
  <c r="AG131" i="38"/>
  <c r="AH124" i="38"/>
  <c r="AH131" i="38"/>
  <c r="AI124" i="38"/>
  <c r="AI131" i="38"/>
  <c r="AJ124" i="38"/>
  <c r="AJ131" i="38"/>
  <c r="AK124" i="38"/>
  <c r="AK131" i="38"/>
  <c r="AL124" i="38"/>
  <c r="AL131" i="38"/>
  <c r="AM124" i="38"/>
  <c r="AM131" i="38"/>
  <c r="AN124" i="38"/>
  <c r="AN131" i="38"/>
  <c r="G125" i="38"/>
  <c r="G132" i="38"/>
  <c r="H132" i="38"/>
  <c r="I125" i="38"/>
  <c r="I132" i="38"/>
  <c r="J125" i="38"/>
  <c r="J132" i="38"/>
  <c r="K125" i="38"/>
  <c r="K132" i="38"/>
  <c r="L132" i="38"/>
  <c r="M125" i="38"/>
  <c r="M132" i="38"/>
  <c r="N125" i="38"/>
  <c r="N132" i="38"/>
  <c r="O132" i="38"/>
  <c r="P125" i="38"/>
  <c r="P132" i="38"/>
  <c r="Q125" i="38"/>
  <c r="Q132" i="38"/>
  <c r="R125" i="38"/>
  <c r="R132" i="38"/>
  <c r="S125" i="38"/>
  <c r="S132" i="38"/>
  <c r="T125" i="38"/>
  <c r="T132" i="38"/>
  <c r="U125" i="38"/>
  <c r="U132" i="38"/>
  <c r="V132" i="38"/>
  <c r="W125" i="38"/>
  <c r="W132" i="38"/>
  <c r="X125" i="38"/>
  <c r="X132" i="38"/>
  <c r="Y125" i="38"/>
  <c r="Y132" i="38"/>
  <c r="Z125" i="38"/>
  <c r="Z132" i="38"/>
  <c r="AA125" i="38"/>
  <c r="AA132" i="38"/>
  <c r="AB125" i="38"/>
  <c r="AB132" i="38"/>
  <c r="AC132" i="38"/>
  <c r="AD125" i="38"/>
  <c r="AD132" i="38"/>
  <c r="AE125" i="38"/>
  <c r="AE132" i="38"/>
  <c r="AF125" i="38"/>
  <c r="AF132" i="38"/>
  <c r="AG125" i="38"/>
  <c r="AG132" i="38"/>
  <c r="AH125" i="38"/>
  <c r="AH132" i="38"/>
  <c r="AI125" i="38"/>
  <c r="AI132" i="38"/>
  <c r="AJ125" i="38"/>
  <c r="AJ132" i="38"/>
  <c r="AK125" i="38"/>
  <c r="AK132" i="38"/>
  <c r="AL125" i="38"/>
  <c r="AL132" i="38"/>
  <c r="AM125" i="38"/>
  <c r="AM132" i="38"/>
  <c r="AN125" i="38"/>
  <c r="AN132" i="38"/>
  <c r="G127" i="38"/>
  <c r="G133" i="38"/>
  <c r="H127" i="38"/>
  <c r="H133" i="38"/>
  <c r="I127" i="38"/>
  <c r="I133" i="38"/>
  <c r="J127" i="38"/>
  <c r="J133" i="38"/>
  <c r="K127" i="38"/>
  <c r="K133" i="38"/>
  <c r="L127" i="38"/>
  <c r="L133" i="38"/>
  <c r="M127" i="38"/>
  <c r="M133" i="38"/>
  <c r="N127" i="38"/>
  <c r="N133" i="38"/>
  <c r="O127" i="38"/>
  <c r="O133" i="38"/>
  <c r="P127" i="38"/>
  <c r="P133" i="38"/>
  <c r="Q127" i="38"/>
  <c r="Q133" i="38"/>
  <c r="R127" i="38"/>
  <c r="R133" i="38"/>
  <c r="S127" i="38"/>
  <c r="S133" i="38"/>
  <c r="T127" i="38"/>
  <c r="T133" i="38"/>
  <c r="U127" i="38"/>
  <c r="U133" i="38"/>
  <c r="V127" i="38"/>
  <c r="V133" i="38"/>
  <c r="Y127" i="38"/>
  <c r="Y133" i="38"/>
  <c r="Z127" i="38"/>
  <c r="Z133" i="38"/>
  <c r="AA127" i="38"/>
  <c r="AA133" i="38"/>
  <c r="AB127" i="38"/>
  <c r="AB133" i="38"/>
  <c r="AC127" i="38"/>
  <c r="AC133" i="38"/>
  <c r="AD133" i="38"/>
  <c r="AE133" i="38"/>
  <c r="AF133" i="38"/>
  <c r="AG133" i="38"/>
  <c r="AH133" i="38"/>
  <c r="AI133" i="38"/>
  <c r="AJ133" i="38"/>
  <c r="AK133" i="38"/>
  <c r="AL133" i="38"/>
  <c r="AM133" i="38"/>
  <c r="AN133" i="38"/>
  <c r="G134" i="38"/>
  <c r="H134" i="38"/>
  <c r="I134" i="38"/>
  <c r="J134" i="38"/>
  <c r="K134" i="38"/>
  <c r="L134" i="38"/>
  <c r="M134" i="38"/>
  <c r="N134" i="38"/>
  <c r="O134" i="38"/>
  <c r="P134" i="38"/>
  <c r="Q134" i="38"/>
  <c r="R134" i="38"/>
  <c r="S134" i="38"/>
  <c r="T134" i="38"/>
  <c r="U134" i="38"/>
  <c r="V134" i="38"/>
  <c r="Y134" i="38"/>
  <c r="Z134" i="38"/>
  <c r="AA134" i="38"/>
  <c r="AB134" i="38"/>
  <c r="AC134" i="38"/>
  <c r="AD134" i="38"/>
  <c r="AE134" i="38"/>
  <c r="AF134" i="38"/>
  <c r="AG134" i="38"/>
  <c r="AH134" i="38"/>
  <c r="AI134" i="38"/>
  <c r="AJ134" i="38"/>
  <c r="AK134" i="38"/>
  <c r="AL134" i="38"/>
  <c r="AM134" i="38"/>
  <c r="AN134" i="38"/>
  <c r="G136" i="38"/>
  <c r="I136" i="38"/>
  <c r="J136" i="38"/>
  <c r="K136" i="38"/>
  <c r="L136" i="38"/>
  <c r="M136" i="38"/>
  <c r="N136" i="38"/>
  <c r="P136" i="38"/>
  <c r="Q136" i="38"/>
  <c r="R136" i="38"/>
  <c r="S136" i="38"/>
  <c r="T136" i="38"/>
  <c r="U136" i="38"/>
  <c r="V136" i="38"/>
  <c r="W136" i="38"/>
  <c r="X136" i="38"/>
  <c r="Y136" i="38"/>
  <c r="Z136" i="38"/>
  <c r="AA136" i="38"/>
  <c r="AB136" i="38"/>
  <c r="AD136" i="38"/>
  <c r="AE136" i="38"/>
  <c r="AF136" i="38"/>
  <c r="AG136" i="38"/>
  <c r="AH136" i="38"/>
  <c r="AI136" i="38"/>
  <c r="AJ136" i="38"/>
  <c r="AK136" i="38"/>
  <c r="AL136" i="38"/>
  <c r="AM136" i="38"/>
  <c r="AN136" i="38"/>
  <c r="G137" i="38"/>
  <c r="I137" i="38"/>
  <c r="J137" i="38"/>
  <c r="K137" i="38"/>
  <c r="L137" i="38"/>
  <c r="M137" i="38"/>
  <c r="N137" i="38"/>
  <c r="P137" i="38"/>
  <c r="Q137" i="38"/>
  <c r="R137" i="38"/>
  <c r="S137" i="38"/>
  <c r="T137" i="38"/>
  <c r="U137" i="38"/>
  <c r="V137" i="38"/>
  <c r="W137" i="38"/>
  <c r="X137" i="38"/>
  <c r="Y137" i="38"/>
  <c r="Z137" i="38"/>
  <c r="AA137" i="38"/>
  <c r="AB137" i="38"/>
  <c r="AD137" i="38"/>
  <c r="AE137" i="38"/>
  <c r="AF137" i="38"/>
  <c r="AG137" i="38"/>
  <c r="AH137" i="38"/>
  <c r="AI137" i="38"/>
  <c r="AJ137" i="38"/>
  <c r="AK137" i="38"/>
  <c r="AL137" i="38"/>
  <c r="AM137" i="38"/>
  <c r="AN137" i="38"/>
  <c r="G139" i="38"/>
  <c r="H139" i="38"/>
  <c r="I139" i="38"/>
  <c r="J139" i="38"/>
  <c r="K139" i="38"/>
  <c r="L139" i="38"/>
  <c r="M139" i="38"/>
  <c r="N139" i="38"/>
  <c r="O139" i="38"/>
  <c r="P139" i="38"/>
  <c r="Q139" i="38"/>
  <c r="R139" i="38"/>
  <c r="S139" i="38"/>
  <c r="T139" i="38"/>
  <c r="U139" i="38"/>
  <c r="V139" i="38"/>
  <c r="W139" i="38"/>
  <c r="X139" i="38"/>
  <c r="Y139" i="38"/>
  <c r="Z139" i="38"/>
  <c r="AA139" i="38"/>
  <c r="AB139" i="38"/>
  <c r="AC139" i="38"/>
  <c r="AD139" i="38"/>
  <c r="AE139" i="38"/>
  <c r="AF139" i="38"/>
  <c r="AG139" i="38"/>
  <c r="AH139" i="38"/>
  <c r="AI139" i="38"/>
  <c r="AJ139" i="38"/>
  <c r="AK139" i="38"/>
  <c r="AL139" i="38"/>
  <c r="AM139" i="38"/>
  <c r="AN139" i="38"/>
  <c r="G140" i="38"/>
  <c r="H140" i="38"/>
  <c r="I140" i="38"/>
  <c r="J140" i="38"/>
  <c r="K140" i="38"/>
  <c r="L140" i="38"/>
  <c r="M140" i="38"/>
  <c r="N140" i="38"/>
  <c r="O140" i="38"/>
  <c r="P140" i="38"/>
  <c r="Q140" i="38"/>
  <c r="R140" i="38"/>
  <c r="S140" i="38"/>
  <c r="T140" i="38"/>
  <c r="U140" i="38"/>
  <c r="W140" i="38"/>
  <c r="X140" i="38"/>
  <c r="Y140" i="38"/>
  <c r="Z140" i="38"/>
  <c r="AA140" i="38"/>
  <c r="AB140" i="38"/>
  <c r="AC140" i="38"/>
  <c r="AD140" i="38"/>
  <c r="AE140" i="38"/>
  <c r="AF140" i="38"/>
  <c r="AG140" i="38"/>
  <c r="AH140" i="38"/>
  <c r="AI140" i="38"/>
  <c r="AJ140" i="38"/>
  <c r="AK140" i="38"/>
  <c r="AL140" i="38"/>
  <c r="AM140" i="38"/>
  <c r="AN140" i="38"/>
  <c r="G143" i="38"/>
  <c r="H143" i="38"/>
  <c r="I143" i="38"/>
  <c r="J143" i="38"/>
  <c r="K143" i="38"/>
  <c r="L143" i="38"/>
  <c r="M143" i="38"/>
  <c r="N143" i="38"/>
  <c r="O143" i="38"/>
  <c r="P143" i="38"/>
  <c r="Q143" i="38"/>
  <c r="R143" i="38"/>
  <c r="S143" i="38"/>
  <c r="T143" i="38"/>
  <c r="U143" i="38"/>
  <c r="V143" i="38"/>
  <c r="W143" i="38"/>
  <c r="X143" i="38"/>
  <c r="Y143" i="38"/>
  <c r="Z143" i="38"/>
  <c r="AA143" i="38"/>
  <c r="AB143" i="38"/>
  <c r="AC143" i="38"/>
  <c r="AD143" i="38"/>
  <c r="AE143" i="38"/>
  <c r="AF143" i="38"/>
  <c r="AG143" i="38"/>
  <c r="AH143" i="38"/>
  <c r="AI143" i="38"/>
  <c r="AJ143" i="38"/>
  <c r="AK143" i="38"/>
  <c r="AL143" i="38"/>
  <c r="AM143" i="38"/>
  <c r="AN143" i="38"/>
  <c r="G144" i="38"/>
  <c r="H144" i="38"/>
  <c r="I144" i="38"/>
  <c r="J144" i="38"/>
  <c r="K144" i="38"/>
  <c r="L144" i="38"/>
  <c r="M144" i="38"/>
  <c r="N144" i="38"/>
  <c r="O144" i="38"/>
  <c r="P144" i="38"/>
  <c r="Q144" i="38"/>
  <c r="R144" i="38"/>
  <c r="S144" i="38"/>
  <c r="T144" i="38"/>
  <c r="U144" i="38"/>
  <c r="V144" i="38"/>
  <c r="W144" i="38"/>
  <c r="X144" i="38"/>
  <c r="Y144" i="38"/>
  <c r="Z144" i="38"/>
  <c r="AA144" i="38"/>
  <c r="AB144" i="38"/>
  <c r="AC144" i="38"/>
  <c r="AD144" i="38"/>
  <c r="AE144" i="38"/>
  <c r="AF144" i="38"/>
  <c r="AG144" i="38"/>
  <c r="AH144" i="38"/>
  <c r="AI144" i="38"/>
  <c r="AJ144" i="38"/>
  <c r="AK144" i="38"/>
  <c r="AL144" i="38"/>
  <c r="AM144" i="38"/>
  <c r="AN144" i="38"/>
  <c r="G145" i="38"/>
  <c r="H145" i="38"/>
  <c r="I145" i="38"/>
  <c r="J145" i="38"/>
  <c r="K145" i="38"/>
  <c r="L145" i="38"/>
  <c r="M145" i="38"/>
  <c r="N145" i="38"/>
  <c r="O145" i="38"/>
  <c r="P145" i="38"/>
  <c r="Q145" i="38"/>
  <c r="R145" i="38"/>
  <c r="S145" i="38"/>
  <c r="T145" i="38"/>
  <c r="U145" i="38"/>
  <c r="V145" i="38"/>
  <c r="W145" i="38"/>
  <c r="X145" i="38"/>
  <c r="Y145" i="38"/>
  <c r="Z145" i="38"/>
  <c r="AA145" i="38"/>
  <c r="AB145" i="38"/>
  <c r="AC145" i="38"/>
  <c r="AD145" i="38"/>
  <c r="AE145" i="38"/>
  <c r="AF145" i="38"/>
  <c r="AG145" i="38"/>
  <c r="AH145" i="38"/>
  <c r="AI145" i="38"/>
  <c r="AJ145" i="38"/>
  <c r="AK145" i="38"/>
  <c r="AL145" i="38"/>
  <c r="AM145" i="38"/>
  <c r="AN145" i="38"/>
  <c r="G146" i="38"/>
  <c r="H146" i="38"/>
  <c r="I146" i="38"/>
  <c r="J146" i="38"/>
  <c r="K146" i="38"/>
  <c r="L146" i="38"/>
  <c r="M146" i="38"/>
  <c r="N146" i="38"/>
  <c r="O146" i="38"/>
  <c r="P146" i="38"/>
  <c r="Q146" i="38"/>
  <c r="R146" i="38"/>
  <c r="S146" i="38"/>
  <c r="T146" i="38"/>
  <c r="U146" i="38"/>
  <c r="V146" i="38"/>
  <c r="W146" i="38"/>
  <c r="X146" i="38"/>
  <c r="Y146" i="38"/>
  <c r="Z146" i="38"/>
  <c r="AA146" i="38"/>
  <c r="AB146" i="38"/>
  <c r="AC146" i="38"/>
  <c r="AD146" i="38"/>
  <c r="AE146" i="38"/>
  <c r="AF146" i="38"/>
  <c r="AG146" i="38"/>
  <c r="AH146" i="38"/>
  <c r="AI146" i="38"/>
  <c r="AJ146" i="38"/>
  <c r="AK146" i="38"/>
  <c r="AL146" i="38"/>
  <c r="AM146" i="38"/>
  <c r="AN146" i="38"/>
  <c r="G148" i="38"/>
  <c r="I148" i="38"/>
  <c r="G149" i="38"/>
  <c r="I149" i="38"/>
  <c r="G151" i="38"/>
  <c r="H151" i="38"/>
  <c r="I151" i="38"/>
  <c r="G152" i="38"/>
  <c r="H152" i="38"/>
  <c r="I152" i="38"/>
  <c r="G155" i="38"/>
  <c r="H155" i="38"/>
  <c r="I155" i="38"/>
  <c r="G156" i="38"/>
  <c r="H156" i="38"/>
  <c r="I156" i="38"/>
  <c r="G157" i="38"/>
  <c r="H157" i="38"/>
  <c r="I157" i="38"/>
  <c r="G158" i="38"/>
  <c r="H158" i="38"/>
  <c r="I158" i="38"/>
  <c r="G160" i="38"/>
  <c r="I160" i="38"/>
  <c r="J160" i="38"/>
  <c r="K160" i="38"/>
  <c r="M160" i="38"/>
  <c r="N160" i="38"/>
  <c r="P160" i="38"/>
  <c r="Q160" i="38"/>
  <c r="R160" i="38"/>
  <c r="S160" i="38"/>
  <c r="U160" i="38"/>
  <c r="W160" i="38"/>
  <c r="X160" i="38"/>
  <c r="AA160" i="38"/>
  <c r="AB160" i="38"/>
  <c r="AD160" i="38"/>
  <c r="AE160" i="38"/>
  <c r="AF160" i="38"/>
  <c r="AG160" i="38"/>
  <c r="AH160" i="38"/>
  <c r="AI160" i="38"/>
  <c r="AJ160" i="38"/>
  <c r="AK160" i="38"/>
  <c r="AL160" i="38"/>
  <c r="AM160" i="38"/>
  <c r="AN160" i="38"/>
  <c r="G161" i="38"/>
  <c r="I161" i="38"/>
  <c r="J161" i="38"/>
  <c r="K161" i="38"/>
  <c r="M161" i="38"/>
  <c r="N161" i="38"/>
  <c r="P161" i="38"/>
  <c r="Q161" i="38"/>
  <c r="R161" i="38"/>
  <c r="S161" i="38"/>
  <c r="U161" i="38"/>
  <c r="W161" i="38"/>
  <c r="X161" i="38"/>
  <c r="Y161" i="38"/>
  <c r="AA161" i="38"/>
  <c r="AB161" i="38"/>
  <c r="AD161" i="38"/>
  <c r="AE161" i="38"/>
  <c r="AF161" i="38"/>
  <c r="AG161" i="38"/>
  <c r="AH161" i="38"/>
  <c r="AI161" i="38"/>
  <c r="AJ161" i="38"/>
  <c r="AK161" i="38"/>
  <c r="AL161" i="38"/>
  <c r="AM161" i="38"/>
  <c r="AN161" i="38"/>
  <c r="G163" i="38"/>
  <c r="H163" i="38"/>
  <c r="I163" i="38"/>
  <c r="J163" i="38"/>
  <c r="K163" i="38"/>
  <c r="L163" i="38"/>
  <c r="M163" i="38"/>
  <c r="N163" i="38"/>
  <c r="O163" i="38"/>
  <c r="P163" i="38"/>
  <c r="Q163" i="38"/>
  <c r="R163" i="38"/>
  <c r="S163" i="38"/>
  <c r="T163" i="38"/>
  <c r="U163" i="38"/>
  <c r="V163" i="38"/>
  <c r="W163" i="38"/>
  <c r="X163" i="38"/>
  <c r="Y163" i="38"/>
  <c r="Z163" i="38"/>
  <c r="AA163" i="38"/>
  <c r="AB163" i="38"/>
  <c r="AC163" i="38"/>
  <c r="AD163" i="38"/>
  <c r="AE163" i="38"/>
  <c r="AF163" i="38"/>
  <c r="AG163" i="38"/>
  <c r="AH163" i="38"/>
  <c r="AI163" i="38"/>
  <c r="AJ163" i="38"/>
  <c r="AK163" i="38"/>
  <c r="AL163" i="38"/>
  <c r="AM163" i="38"/>
  <c r="AN163" i="38"/>
  <c r="G164" i="38"/>
  <c r="H164" i="38"/>
  <c r="I164" i="38"/>
  <c r="J164" i="38"/>
  <c r="K164" i="38"/>
  <c r="L164" i="38"/>
  <c r="M164" i="38"/>
  <c r="N164" i="38"/>
  <c r="O164" i="38"/>
  <c r="P164" i="38"/>
  <c r="Q164" i="38"/>
  <c r="R164" i="38"/>
  <c r="S164" i="38"/>
  <c r="T164" i="38"/>
  <c r="U164" i="38"/>
  <c r="V164" i="38"/>
  <c r="W164" i="38"/>
  <c r="X164" i="38"/>
  <c r="Y164" i="38"/>
  <c r="Z164" i="38"/>
  <c r="AA164" i="38"/>
  <c r="AB164" i="38"/>
  <c r="AC164" i="38"/>
  <c r="AD164" i="38"/>
  <c r="AE164" i="38"/>
  <c r="AF164" i="38"/>
  <c r="AG164" i="38"/>
  <c r="AH164" i="38"/>
  <c r="AI164" i="38"/>
  <c r="AJ164" i="38"/>
  <c r="AK164" i="38"/>
  <c r="AL164" i="38"/>
  <c r="AM164" i="38"/>
  <c r="AN164" i="38"/>
  <c r="G167" i="38"/>
  <c r="H167" i="38"/>
  <c r="I167" i="38"/>
  <c r="J167" i="38"/>
  <c r="K167" i="38"/>
  <c r="L167" i="38"/>
  <c r="M167" i="38"/>
  <c r="N167" i="38"/>
  <c r="O167" i="38"/>
  <c r="P167" i="38"/>
  <c r="Q167" i="38"/>
  <c r="R167" i="38"/>
  <c r="S167" i="38"/>
  <c r="T167" i="38"/>
  <c r="U167" i="38"/>
  <c r="V167" i="38"/>
  <c r="W167" i="38"/>
  <c r="X167" i="38"/>
  <c r="Y167" i="38"/>
  <c r="AA167" i="38"/>
  <c r="AB167" i="38"/>
  <c r="AC167" i="38"/>
  <c r="AD167" i="38"/>
  <c r="AE167" i="38"/>
  <c r="AF167" i="38"/>
  <c r="AG167" i="38"/>
  <c r="AH167" i="38"/>
  <c r="AI167" i="38"/>
  <c r="AJ167" i="38"/>
  <c r="AK167" i="38"/>
  <c r="AL167" i="38"/>
  <c r="AM167" i="38"/>
  <c r="AN167" i="38"/>
  <c r="G168" i="38"/>
  <c r="H168" i="38"/>
  <c r="I168" i="38"/>
  <c r="J168" i="38"/>
  <c r="K168" i="38"/>
  <c r="L168" i="38"/>
  <c r="M168" i="38"/>
  <c r="N168" i="38"/>
  <c r="O168" i="38"/>
  <c r="P168" i="38"/>
  <c r="Q168" i="38"/>
  <c r="R168" i="38"/>
  <c r="S168" i="38"/>
  <c r="T168" i="38"/>
  <c r="U168" i="38"/>
  <c r="V168" i="38"/>
  <c r="W168" i="38"/>
  <c r="X168" i="38"/>
  <c r="Y168" i="38"/>
  <c r="Z168" i="38"/>
  <c r="AA168" i="38"/>
  <c r="AB168" i="38"/>
  <c r="AC168" i="38"/>
  <c r="AD168" i="38"/>
  <c r="AE168" i="38"/>
  <c r="AF168" i="38"/>
  <c r="AG168" i="38"/>
  <c r="AH168" i="38"/>
  <c r="AI168" i="38"/>
  <c r="AJ168" i="38"/>
  <c r="AK168" i="38"/>
  <c r="AL168" i="38"/>
  <c r="AM168" i="38"/>
  <c r="AN168" i="38"/>
  <c r="G169" i="38"/>
  <c r="H169" i="38"/>
  <c r="I169" i="38"/>
  <c r="J169" i="38"/>
  <c r="K169" i="38"/>
  <c r="L169" i="38"/>
  <c r="M169" i="38"/>
  <c r="N169" i="38"/>
  <c r="O169" i="38"/>
  <c r="P169" i="38"/>
  <c r="Q169" i="38"/>
  <c r="R169" i="38"/>
  <c r="S169" i="38"/>
  <c r="T169" i="38"/>
  <c r="U169" i="38"/>
  <c r="V169" i="38"/>
  <c r="W169" i="38"/>
  <c r="X169" i="38"/>
  <c r="Y169" i="38"/>
  <c r="Z169" i="38"/>
  <c r="AA169" i="38"/>
  <c r="AB169" i="38"/>
  <c r="AC169" i="38"/>
  <c r="AD169" i="38"/>
  <c r="AE169" i="38"/>
  <c r="AF169" i="38"/>
  <c r="AG169" i="38"/>
  <c r="AH169" i="38"/>
  <c r="AI169" i="38"/>
  <c r="AJ169" i="38"/>
  <c r="AK169" i="38"/>
  <c r="AL169" i="38"/>
  <c r="AM169" i="38"/>
  <c r="AN169" i="38"/>
  <c r="G170" i="38"/>
  <c r="H170" i="38"/>
  <c r="I170" i="38"/>
  <c r="J170" i="38"/>
  <c r="K170" i="38"/>
  <c r="L170" i="38"/>
  <c r="M170" i="38"/>
  <c r="N170" i="38"/>
  <c r="O170" i="38"/>
  <c r="P170" i="38"/>
  <c r="Q170" i="38"/>
  <c r="R170" i="38"/>
  <c r="S170" i="38"/>
  <c r="T170" i="38"/>
  <c r="U170" i="38"/>
  <c r="V170" i="38"/>
  <c r="W170" i="38"/>
  <c r="X170" i="38"/>
  <c r="Y170" i="38"/>
  <c r="Z170" i="38"/>
  <c r="AA170" i="38"/>
  <c r="AB170" i="38"/>
  <c r="AC170" i="38"/>
  <c r="AD170" i="38"/>
  <c r="AE170" i="38"/>
  <c r="AF170" i="38"/>
  <c r="AG170" i="38"/>
  <c r="AH170" i="38"/>
  <c r="AI170" i="38"/>
  <c r="AJ170" i="38"/>
  <c r="AK170" i="38"/>
  <c r="AL170" i="38"/>
  <c r="AM170" i="38"/>
  <c r="AN170" i="38"/>
  <c r="G172" i="38"/>
  <c r="H172" i="38"/>
  <c r="I172" i="38"/>
  <c r="J172" i="38"/>
  <c r="K172" i="38"/>
  <c r="M172" i="38"/>
  <c r="N172" i="38"/>
  <c r="O172" i="38"/>
  <c r="P172" i="38"/>
  <c r="Q172" i="38"/>
  <c r="R172" i="38"/>
  <c r="S172" i="38"/>
  <c r="T172" i="38"/>
  <c r="U172" i="38"/>
  <c r="W172" i="38"/>
  <c r="X172" i="38"/>
  <c r="Y172" i="38"/>
  <c r="Z172" i="38"/>
  <c r="AA172" i="38"/>
  <c r="AB172" i="38"/>
  <c r="AC172" i="38"/>
  <c r="AD172" i="38"/>
  <c r="AE172" i="38"/>
  <c r="AF172" i="38"/>
  <c r="AG172" i="38"/>
  <c r="AH172" i="38"/>
  <c r="AI172" i="38"/>
  <c r="AJ172" i="38"/>
  <c r="AK172" i="38"/>
  <c r="AL172" i="38"/>
  <c r="AM172" i="38"/>
  <c r="AN172" i="38"/>
  <c r="G173" i="38"/>
  <c r="H173" i="38"/>
  <c r="I173" i="38"/>
  <c r="J173" i="38"/>
  <c r="K173" i="38"/>
  <c r="M173" i="38"/>
  <c r="N173" i="38"/>
  <c r="O173" i="38"/>
  <c r="P173" i="38"/>
  <c r="Q173" i="38"/>
  <c r="R173" i="38"/>
  <c r="S173" i="38"/>
  <c r="T173" i="38"/>
  <c r="U173" i="38"/>
  <c r="W173" i="38"/>
  <c r="X173" i="38"/>
  <c r="Y173" i="38"/>
  <c r="Z173" i="38"/>
  <c r="AA173" i="38"/>
  <c r="AB173" i="38"/>
  <c r="AC173" i="38"/>
  <c r="AD173" i="38"/>
  <c r="AE173" i="38"/>
  <c r="AF173" i="38"/>
  <c r="AG173" i="38"/>
  <c r="AH173" i="38"/>
  <c r="AI173" i="38"/>
  <c r="AJ173" i="38"/>
  <c r="AK173" i="38"/>
  <c r="AL173" i="38"/>
  <c r="AM173" i="38"/>
  <c r="AN173" i="38"/>
  <c r="G175" i="38"/>
  <c r="H175" i="38"/>
  <c r="I175" i="38"/>
  <c r="J175" i="38"/>
  <c r="K175" i="38"/>
  <c r="L175" i="38"/>
  <c r="M175" i="38"/>
  <c r="N175" i="38"/>
  <c r="O175" i="38"/>
  <c r="P175" i="38"/>
  <c r="Q175" i="38"/>
  <c r="R175" i="38"/>
  <c r="S175" i="38"/>
  <c r="T175" i="38"/>
  <c r="U175" i="38"/>
  <c r="V175" i="38"/>
  <c r="W175" i="38"/>
  <c r="X175" i="38"/>
  <c r="Y175" i="38"/>
  <c r="Z175" i="38"/>
  <c r="AA175" i="38"/>
  <c r="AB175" i="38"/>
  <c r="AC175" i="38"/>
  <c r="AD175" i="38"/>
  <c r="AE175" i="38"/>
  <c r="AF175" i="38"/>
  <c r="AG175" i="38"/>
  <c r="AH175" i="38"/>
  <c r="AI175" i="38"/>
  <c r="AJ175" i="38"/>
  <c r="AK175" i="38"/>
  <c r="AL175" i="38"/>
  <c r="AM175" i="38"/>
  <c r="AN175" i="38"/>
  <c r="G176" i="38"/>
  <c r="H176" i="38"/>
  <c r="I176" i="38"/>
  <c r="J176" i="38"/>
  <c r="K176" i="38"/>
  <c r="L176" i="38"/>
  <c r="M176" i="38"/>
  <c r="N176" i="38"/>
  <c r="O176" i="38"/>
  <c r="P176" i="38"/>
  <c r="Q176" i="38"/>
  <c r="R176" i="38"/>
  <c r="S176" i="38"/>
  <c r="T176" i="38"/>
  <c r="U176" i="38"/>
  <c r="V176" i="38"/>
  <c r="W176" i="38"/>
  <c r="X176" i="38"/>
  <c r="Y176" i="38"/>
  <c r="Z176" i="38"/>
  <c r="AA176" i="38"/>
  <c r="AB176" i="38"/>
  <c r="AC176" i="38"/>
  <c r="AD176" i="38"/>
  <c r="AE176" i="38"/>
  <c r="AF176" i="38"/>
  <c r="AG176" i="38"/>
  <c r="AH176" i="38"/>
  <c r="AI176" i="38"/>
  <c r="AJ176" i="38"/>
  <c r="AK176" i="38"/>
  <c r="AL176" i="38"/>
  <c r="AM176" i="38"/>
  <c r="AN176" i="38"/>
  <c r="G179" i="38"/>
  <c r="H179" i="38"/>
  <c r="I179" i="38"/>
  <c r="J179" i="38"/>
  <c r="K179" i="38"/>
  <c r="L179" i="38"/>
  <c r="M179" i="38"/>
  <c r="N179" i="38"/>
  <c r="O179" i="38"/>
  <c r="P179" i="38"/>
  <c r="Q179" i="38"/>
  <c r="R179" i="38"/>
  <c r="S179" i="38"/>
  <c r="T179" i="38"/>
  <c r="U179" i="38"/>
  <c r="V179" i="38"/>
  <c r="W179" i="38"/>
  <c r="X179" i="38"/>
  <c r="Y179" i="38"/>
  <c r="Z179" i="38"/>
  <c r="AA179" i="38"/>
  <c r="AB179" i="38"/>
  <c r="AC179" i="38"/>
  <c r="AD179" i="38"/>
  <c r="AE179" i="38"/>
  <c r="AF179" i="38"/>
  <c r="AG179" i="38"/>
  <c r="AH179" i="38"/>
  <c r="AI179" i="38"/>
  <c r="AJ179" i="38"/>
  <c r="AK179" i="38"/>
  <c r="AL179" i="38"/>
  <c r="AM179" i="38"/>
  <c r="AN179" i="38"/>
  <c r="G180" i="38"/>
  <c r="H180" i="38"/>
  <c r="I180" i="38"/>
  <c r="J180" i="38"/>
  <c r="K180" i="38"/>
  <c r="L180" i="38"/>
  <c r="M180" i="38"/>
  <c r="N180" i="38"/>
  <c r="O180" i="38"/>
  <c r="P180" i="38"/>
  <c r="Q180" i="38"/>
  <c r="R180" i="38"/>
  <c r="S180" i="38"/>
  <c r="T180" i="38"/>
  <c r="U180" i="38"/>
  <c r="V180" i="38"/>
  <c r="W180" i="38"/>
  <c r="X180" i="38"/>
  <c r="Y180" i="38"/>
  <c r="Z180" i="38"/>
  <c r="AA180" i="38"/>
  <c r="AB180" i="38"/>
  <c r="AC180" i="38"/>
  <c r="AD180" i="38"/>
  <c r="AE180" i="38"/>
  <c r="AF180" i="38"/>
  <c r="AG180" i="38"/>
  <c r="AH180" i="38"/>
  <c r="AI180" i="38"/>
  <c r="AJ180" i="38"/>
  <c r="AK180" i="38"/>
  <c r="AL180" i="38"/>
  <c r="AM180" i="38"/>
  <c r="AN180" i="38"/>
  <c r="G181" i="38"/>
  <c r="H181" i="38"/>
  <c r="I181" i="38"/>
  <c r="J181" i="38"/>
  <c r="K181" i="38"/>
  <c r="L181" i="38"/>
  <c r="M181" i="38"/>
  <c r="N181" i="38"/>
  <c r="O181" i="38"/>
  <c r="P181" i="38"/>
  <c r="Q181" i="38"/>
  <c r="R181" i="38"/>
  <c r="S181" i="38"/>
  <c r="T181" i="38"/>
  <c r="U181" i="38"/>
  <c r="V181" i="38"/>
  <c r="W181" i="38"/>
  <c r="X181" i="38"/>
  <c r="Y181" i="38"/>
  <c r="Z181" i="38"/>
  <c r="AA181" i="38"/>
  <c r="AB181" i="38"/>
  <c r="AC181" i="38"/>
  <c r="AD181" i="38"/>
  <c r="AE181" i="38"/>
  <c r="AF181" i="38"/>
  <c r="AG181" i="38"/>
  <c r="AH181" i="38"/>
  <c r="AI181" i="38"/>
  <c r="AJ181" i="38"/>
  <c r="AK181" i="38"/>
  <c r="AL181" i="38"/>
  <c r="AM181" i="38"/>
  <c r="AN181" i="38"/>
  <c r="G182" i="38"/>
  <c r="H182" i="38"/>
  <c r="I182" i="38"/>
  <c r="J182" i="38"/>
  <c r="K182" i="38"/>
  <c r="L182" i="38"/>
  <c r="M182" i="38"/>
  <c r="N182" i="38"/>
  <c r="O182" i="38"/>
  <c r="P182" i="38"/>
  <c r="Q182" i="38"/>
  <c r="R182" i="38"/>
  <c r="S182" i="38"/>
  <c r="T182" i="38"/>
  <c r="U182" i="38"/>
  <c r="V182" i="38"/>
  <c r="W182" i="38"/>
  <c r="X182" i="38"/>
  <c r="Y182" i="38"/>
  <c r="Z182" i="38"/>
  <c r="AA182" i="38"/>
  <c r="AB182" i="38"/>
  <c r="AC182" i="38"/>
  <c r="AD182" i="38"/>
  <c r="AE182" i="38"/>
  <c r="AF182" i="38"/>
  <c r="AG182" i="38"/>
  <c r="AH182" i="38"/>
  <c r="AI182" i="38"/>
  <c r="AJ182" i="38"/>
  <c r="AK182" i="38"/>
  <c r="AL182" i="38"/>
  <c r="AM182" i="38"/>
  <c r="AN182" i="38"/>
  <c r="G184" i="38"/>
  <c r="H184" i="38"/>
  <c r="I184" i="38"/>
  <c r="J184" i="38"/>
  <c r="K184" i="38"/>
  <c r="L184" i="38"/>
  <c r="M184" i="38"/>
  <c r="N184" i="38"/>
  <c r="O184" i="38"/>
  <c r="P184" i="38"/>
  <c r="Q184" i="38"/>
  <c r="R184" i="38"/>
  <c r="S184" i="38"/>
  <c r="T184" i="38"/>
  <c r="U184" i="38"/>
  <c r="V184" i="38"/>
  <c r="W184" i="38"/>
  <c r="X184" i="38"/>
  <c r="Y184" i="38"/>
  <c r="Z184" i="38"/>
  <c r="AA184" i="38"/>
  <c r="AB184" i="38"/>
  <c r="AD184" i="38"/>
  <c r="AE184" i="38"/>
  <c r="AF184" i="38"/>
  <c r="AG184" i="38"/>
  <c r="AH184" i="38"/>
  <c r="AI184" i="38"/>
  <c r="AJ184" i="38"/>
  <c r="AK184" i="38"/>
  <c r="AL184" i="38"/>
  <c r="AM184" i="38"/>
  <c r="AN184" i="38"/>
  <c r="G185" i="38"/>
  <c r="H185" i="38"/>
  <c r="I185" i="38"/>
  <c r="J185" i="38"/>
  <c r="K185" i="38"/>
  <c r="L185" i="38"/>
  <c r="M185" i="38"/>
  <c r="N185" i="38"/>
  <c r="O185" i="38"/>
  <c r="P185" i="38"/>
  <c r="Q185" i="38"/>
  <c r="R185" i="38"/>
  <c r="S185" i="38"/>
  <c r="T185" i="38"/>
  <c r="U185" i="38"/>
  <c r="V185" i="38"/>
  <c r="W185" i="38"/>
  <c r="X185" i="38"/>
  <c r="Y185" i="38"/>
  <c r="Z185" i="38"/>
  <c r="AA185" i="38"/>
  <c r="AB185" i="38"/>
  <c r="AD185" i="38"/>
  <c r="AE185" i="38"/>
  <c r="AF185" i="38"/>
  <c r="AG185" i="38"/>
  <c r="AH185" i="38"/>
  <c r="AI185" i="38"/>
  <c r="AJ185" i="38"/>
  <c r="AK185" i="38"/>
  <c r="AL185" i="38"/>
  <c r="AM185" i="38"/>
  <c r="AN185" i="38"/>
  <c r="G187" i="38"/>
  <c r="H187" i="38"/>
  <c r="I187" i="38"/>
  <c r="J187" i="38"/>
  <c r="K187" i="38"/>
  <c r="L187" i="38"/>
  <c r="M187" i="38"/>
  <c r="N187" i="38"/>
  <c r="O187" i="38"/>
  <c r="P187" i="38"/>
  <c r="Q187" i="38"/>
  <c r="R187" i="38"/>
  <c r="S187" i="38"/>
  <c r="T187" i="38"/>
  <c r="U187" i="38"/>
  <c r="V187" i="38"/>
  <c r="W187" i="38"/>
  <c r="X187" i="38"/>
  <c r="Y187" i="38"/>
  <c r="Z187" i="38"/>
  <c r="AA187" i="38"/>
  <c r="AB187" i="38"/>
  <c r="AC187" i="38"/>
  <c r="AD187" i="38"/>
  <c r="AE187" i="38"/>
  <c r="AF187" i="38"/>
  <c r="AG187" i="38"/>
  <c r="AH187" i="38"/>
  <c r="AI187" i="38"/>
  <c r="AJ187" i="38"/>
  <c r="AK187" i="38"/>
  <c r="AL187" i="38"/>
  <c r="AM187" i="38"/>
  <c r="AN187" i="38"/>
  <c r="G188" i="38"/>
  <c r="H188" i="38"/>
  <c r="I188" i="38"/>
  <c r="J188" i="38"/>
  <c r="K188" i="38"/>
  <c r="L188" i="38"/>
  <c r="M188" i="38"/>
  <c r="N188" i="38"/>
  <c r="O188" i="38"/>
  <c r="P188" i="38"/>
  <c r="Q188" i="38"/>
  <c r="R188" i="38"/>
  <c r="S188" i="38"/>
  <c r="T188" i="38"/>
  <c r="U188" i="38"/>
  <c r="V188" i="38"/>
  <c r="W188" i="38"/>
  <c r="X188" i="38"/>
  <c r="Y188" i="38"/>
  <c r="AA188" i="38"/>
  <c r="AB188" i="38"/>
  <c r="AC188" i="38"/>
  <c r="AD188" i="38"/>
  <c r="AE188" i="38"/>
  <c r="AF188" i="38"/>
  <c r="AG188" i="38"/>
  <c r="AH188" i="38"/>
  <c r="AI188" i="38"/>
  <c r="AJ188" i="38"/>
  <c r="AK188" i="38"/>
  <c r="AL188" i="38"/>
  <c r="AM188" i="38"/>
  <c r="AN188" i="38"/>
  <c r="G191" i="38"/>
  <c r="H191" i="38"/>
  <c r="I191" i="38"/>
  <c r="J191" i="38"/>
  <c r="K191" i="38"/>
  <c r="L191" i="38"/>
  <c r="M191" i="38"/>
  <c r="N191" i="38"/>
  <c r="O191" i="38"/>
  <c r="P191" i="38"/>
  <c r="Q191" i="38"/>
  <c r="R191" i="38"/>
  <c r="S191" i="38"/>
  <c r="T191" i="38"/>
  <c r="U191" i="38"/>
  <c r="V191" i="38"/>
  <c r="W191" i="38"/>
  <c r="X191" i="38"/>
  <c r="Y191" i="38"/>
  <c r="Z191" i="38"/>
  <c r="AA191" i="38"/>
  <c r="AB191" i="38"/>
  <c r="AC191" i="38"/>
  <c r="AD191" i="38"/>
  <c r="AE191" i="38"/>
  <c r="AF191" i="38"/>
  <c r="AG191" i="38"/>
  <c r="AH191" i="38"/>
  <c r="AI191" i="38"/>
  <c r="AJ191" i="38"/>
  <c r="AK191" i="38"/>
  <c r="AL191" i="38"/>
  <c r="AM191" i="38"/>
  <c r="AN191" i="38"/>
  <c r="G192" i="38"/>
  <c r="H192" i="38"/>
  <c r="I192" i="38"/>
  <c r="J192" i="38"/>
  <c r="K192" i="38"/>
  <c r="L192" i="38"/>
  <c r="M192" i="38"/>
  <c r="N192" i="38"/>
  <c r="O192" i="38"/>
  <c r="P192" i="38"/>
  <c r="Q192" i="38"/>
  <c r="R192" i="38"/>
  <c r="S192" i="38"/>
  <c r="T192" i="38"/>
  <c r="U192" i="38"/>
  <c r="V192" i="38"/>
  <c r="W192" i="38"/>
  <c r="X192" i="38"/>
  <c r="Y192" i="38"/>
  <c r="Z192" i="38"/>
  <c r="AA192" i="38"/>
  <c r="AB192" i="38"/>
  <c r="AC192" i="38"/>
  <c r="AD192" i="38"/>
  <c r="AE192" i="38"/>
  <c r="AF192" i="38"/>
  <c r="AG192" i="38"/>
  <c r="AH192" i="38"/>
  <c r="AI192" i="38"/>
  <c r="AJ192" i="38"/>
  <c r="AK192" i="38"/>
  <c r="AL192" i="38"/>
  <c r="AM192" i="38"/>
  <c r="AN192" i="38"/>
  <c r="G193" i="38"/>
  <c r="H193" i="38"/>
  <c r="I193" i="38"/>
  <c r="J193" i="38"/>
  <c r="K193" i="38"/>
  <c r="L193" i="38"/>
  <c r="M193" i="38"/>
  <c r="N193" i="38"/>
  <c r="O193" i="38"/>
  <c r="P193" i="38"/>
  <c r="Q193" i="38"/>
  <c r="R193" i="38"/>
  <c r="S193" i="38"/>
  <c r="T193" i="38"/>
  <c r="U193" i="38"/>
  <c r="V193" i="38"/>
  <c r="W193" i="38"/>
  <c r="X193" i="38"/>
  <c r="Y193" i="38"/>
  <c r="Z193" i="38"/>
  <c r="AA193" i="38"/>
  <c r="AB193" i="38"/>
  <c r="AC193" i="38"/>
  <c r="AD193" i="38"/>
  <c r="AE193" i="38"/>
  <c r="AF193" i="38"/>
  <c r="AG193" i="38"/>
  <c r="AH193" i="38"/>
  <c r="AI193" i="38"/>
  <c r="AJ193" i="38"/>
  <c r="AK193" i="38"/>
  <c r="AL193" i="38"/>
  <c r="AM193" i="38"/>
  <c r="AN193" i="38"/>
  <c r="G194" i="38"/>
  <c r="H194" i="38"/>
  <c r="I194" i="38"/>
  <c r="J194" i="38"/>
  <c r="K194" i="38"/>
  <c r="L194" i="38"/>
  <c r="M194" i="38"/>
  <c r="N194" i="38"/>
  <c r="O194" i="38"/>
  <c r="P194" i="38"/>
  <c r="Q194" i="38"/>
  <c r="R194" i="38"/>
  <c r="S194" i="38"/>
  <c r="T194" i="38"/>
  <c r="U194" i="38"/>
  <c r="V194" i="38"/>
  <c r="W194" i="38"/>
  <c r="X194" i="38"/>
  <c r="Y194" i="38"/>
  <c r="Z194" i="38"/>
  <c r="AA194" i="38"/>
  <c r="AB194" i="38"/>
  <c r="AC194" i="38"/>
  <c r="AD194" i="38"/>
  <c r="AE194" i="38"/>
  <c r="AF194" i="38"/>
  <c r="AG194" i="38"/>
  <c r="AH194" i="38"/>
  <c r="AI194" i="38"/>
  <c r="AJ194" i="38"/>
  <c r="AK194" i="38"/>
  <c r="AL194" i="38"/>
  <c r="AM194" i="38"/>
  <c r="AN194" i="38"/>
  <c r="G196" i="38"/>
  <c r="H196" i="38"/>
  <c r="I196" i="38"/>
  <c r="J196" i="38"/>
  <c r="K196" i="38"/>
  <c r="M196" i="38"/>
  <c r="N196" i="38"/>
  <c r="P196" i="38"/>
  <c r="Q196" i="38"/>
  <c r="R196" i="38"/>
  <c r="S196" i="38"/>
  <c r="U196" i="38"/>
  <c r="W196" i="38"/>
  <c r="X196" i="38"/>
  <c r="Y196" i="38"/>
  <c r="Z196" i="38"/>
  <c r="AA196" i="38"/>
  <c r="AB196" i="38"/>
  <c r="AD196" i="38"/>
  <c r="AE196" i="38"/>
  <c r="AF196" i="38"/>
  <c r="AG196" i="38"/>
  <c r="AH196" i="38"/>
  <c r="AI196" i="38"/>
  <c r="AJ196" i="38"/>
  <c r="AK196" i="38"/>
  <c r="AL196" i="38"/>
  <c r="AM196" i="38"/>
  <c r="AN196" i="38"/>
  <c r="G197" i="38"/>
  <c r="H197" i="38"/>
  <c r="I197" i="38"/>
  <c r="J197" i="38"/>
  <c r="K197" i="38"/>
  <c r="M197" i="38"/>
  <c r="N197" i="38"/>
  <c r="O197" i="38"/>
  <c r="P197" i="38"/>
  <c r="Q197" i="38"/>
  <c r="R197" i="38"/>
  <c r="S197" i="38"/>
  <c r="U197" i="38"/>
  <c r="W197" i="38"/>
  <c r="X197" i="38"/>
  <c r="Y197" i="38"/>
  <c r="Z197" i="38"/>
  <c r="AA197" i="38"/>
  <c r="AB197" i="38"/>
  <c r="AD197" i="38"/>
  <c r="AE197" i="38"/>
  <c r="AF197" i="38"/>
  <c r="AG197" i="38"/>
  <c r="AH197" i="38"/>
  <c r="AI197" i="38"/>
  <c r="AJ197" i="38"/>
  <c r="AK197" i="38"/>
  <c r="AL197" i="38"/>
  <c r="AM197" i="38"/>
  <c r="AN197" i="38"/>
  <c r="G199" i="38"/>
  <c r="H199" i="38"/>
  <c r="I199" i="38"/>
  <c r="J199" i="38"/>
  <c r="K199" i="38"/>
  <c r="L199" i="38"/>
  <c r="M199" i="38"/>
  <c r="N199" i="38"/>
  <c r="O199" i="38"/>
  <c r="P199" i="38"/>
  <c r="Q199" i="38"/>
  <c r="R199" i="38"/>
  <c r="S199" i="38"/>
  <c r="T199" i="38"/>
  <c r="U199" i="38"/>
  <c r="V199" i="38"/>
  <c r="W199" i="38"/>
  <c r="X199" i="38"/>
  <c r="Y199" i="38"/>
  <c r="Z199" i="38"/>
  <c r="AA199" i="38"/>
  <c r="AB199" i="38"/>
  <c r="AC199" i="38"/>
  <c r="AD199" i="38"/>
  <c r="AE199" i="38"/>
  <c r="AF199" i="38"/>
  <c r="AG199" i="38"/>
  <c r="AH199" i="38"/>
  <c r="AI199" i="38"/>
  <c r="AJ199" i="38"/>
  <c r="AK199" i="38"/>
  <c r="AL199" i="38"/>
  <c r="AM199" i="38"/>
  <c r="AN199" i="38"/>
  <c r="G200" i="38"/>
  <c r="H200" i="38"/>
  <c r="I200" i="38"/>
  <c r="J200" i="38"/>
  <c r="K200" i="38"/>
  <c r="L200" i="38"/>
  <c r="M200" i="38"/>
  <c r="N200" i="38"/>
  <c r="O200" i="38"/>
  <c r="P200" i="38"/>
  <c r="Q200" i="38"/>
  <c r="R200" i="38"/>
  <c r="S200" i="38"/>
  <c r="T200" i="38"/>
  <c r="U200" i="38"/>
  <c r="V200" i="38"/>
  <c r="W200" i="38"/>
  <c r="X200" i="38"/>
  <c r="Y200" i="38"/>
  <c r="Z200" i="38"/>
  <c r="AA200" i="38"/>
  <c r="AB200" i="38"/>
  <c r="AC200" i="38"/>
  <c r="AD200" i="38"/>
  <c r="AE200" i="38"/>
  <c r="AF200" i="38"/>
  <c r="AG200" i="38"/>
  <c r="AH200" i="38"/>
  <c r="AI200" i="38"/>
  <c r="AJ200" i="38"/>
  <c r="AK200" i="38"/>
  <c r="AL200" i="38"/>
  <c r="AM200" i="38"/>
  <c r="AN200" i="38"/>
  <c r="G203" i="38"/>
  <c r="H203" i="38"/>
  <c r="I203" i="38"/>
  <c r="J203" i="38"/>
  <c r="K203" i="38"/>
  <c r="L203" i="38"/>
  <c r="M203" i="38"/>
  <c r="N203" i="38"/>
  <c r="O203" i="38"/>
  <c r="P203" i="38"/>
  <c r="Q203" i="38"/>
  <c r="R203" i="38"/>
  <c r="S203" i="38"/>
  <c r="T203" i="38"/>
  <c r="U203" i="38"/>
  <c r="V203" i="38"/>
  <c r="W203" i="38"/>
  <c r="X203" i="38"/>
  <c r="Y203" i="38"/>
  <c r="Z203" i="38"/>
  <c r="AA203" i="38"/>
  <c r="AB203" i="38"/>
  <c r="AC203" i="38"/>
  <c r="AD203" i="38"/>
  <c r="AE203" i="38"/>
  <c r="AF203" i="38"/>
  <c r="AG203" i="38"/>
  <c r="AH203" i="38"/>
  <c r="AI203" i="38"/>
  <c r="AJ203" i="38"/>
  <c r="AK203" i="38"/>
  <c r="AL203" i="38"/>
  <c r="AM203" i="38"/>
  <c r="AN203" i="38"/>
  <c r="G204" i="38"/>
  <c r="H204" i="38"/>
  <c r="I204" i="38"/>
  <c r="J204" i="38"/>
  <c r="K204" i="38"/>
  <c r="L204" i="38"/>
  <c r="M204" i="38"/>
  <c r="N204" i="38"/>
  <c r="O204" i="38"/>
  <c r="P204" i="38"/>
  <c r="Q204" i="38"/>
  <c r="R204" i="38"/>
  <c r="S204" i="38"/>
  <c r="T204" i="38"/>
  <c r="U204" i="38"/>
  <c r="V204" i="38"/>
  <c r="W204" i="38"/>
  <c r="X204" i="38"/>
  <c r="Y204" i="38"/>
  <c r="Z204" i="38"/>
  <c r="AA204" i="38"/>
  <c r="AB204" i="38"/>
  <c r="AC204" i="38"/>
  <c r="AD204" i="38"/>
  <c r="AE204" i="38"/>
  <c r="AF204" i="38"/>
  <c r="AG204" i="38"/>
  <c r="AH204" i="38"/>
  <c r="AI204" i="38"/>
  <c r="AJ204" i="38"/>
  <c r="AK204" i="38"/>
  <c r="AL204" i="38"/>
  <c r="AM204" i="38"/>
  <c r="AN204" i="38"/>
  <c r="G205" i="38"/>
  <c r="H205" i="38"/>
  <c r="I205" i="38"/>
  <c r="J205" i="38"/>
  <c r="K205" i="38"/>
  <c r="L205" i="38"/>
  <c r="M205" i="38"/>
  <c r="N205" i="38"/>
  <c r="O205" i="38"/>
  <c r="P205" i="38"/>
  <c r="Q205" i="38"/>
  <c r="R205" i="38"/>
  <c r="S205" i="38"/>
  <c r="T205" i="38"/>
  <c r="U205" i="38"/>
  <c r="V205" i="38"/>
  <c r="W205" i="38"/>
  <c r="X205" i="38"/>
  <c r="Y205" i="38"/>
  <c r="Z205" i="38"/>
  <c r="AA205" i="38"/>
  <c r="AB205" i="38"/>
  <c r="AC205" i="38"/>
  <c r="AD205" i="38"/>
  <c r="AE205" i="38"/>
  <c r="AF205" i="38"/>
  <c r="AG205" i="38"/>
  <c r="AH205" i="38"/>
  <c r="AI205" i="38"/>
  <c r="AJ205" i="38"/>
  <c r="AK205" i="38"/>
  <c r="AL205" i="38"/>
  <c r="AM205" i="38"/>
  <c r="AN205" i="38"/>
  <c r="G206" i="38"/>
  <c r="H206" i="38"/>
  <c r="I206" i="38"/>
  <c r="J206" i="38"/>
  <c r="K206" i="38"/>
  <c r="L206" i="38"/>
  <c r="M206" i="38"/>
  <c r="N206" i="38"/>
  <c r="O206" i="38"/>
  <c r="P206" i="38"/>
  <c r="Q206" i="38"/>
  <c r="R206" i="38"/>
  <c r="S206" i="38"/>
  <c r="T206" i="38"/>
  <c r="U206" i="38"/>
  <c r="V206" i="38"/>
  <c r="W206" i="38"/>
  <c r="X206" i="38"/>
  <c r="Y206" i="38"/>
  <c r="Z206" i="38"/>
  <c r="AA206" i="38"/>
  <c r="AB206" i="38"/>
  <c r="AC206" i="38"/>
  <c r="AD206" i="38"/>
  <c r="AE206" i="38"/>
  <c r="AF206" i="38"/>
  <c r="AG206" i="38"/>
  <c r="AH206" i="38"/>
  <c r="AI206" i="38"/>
  <c r="AJ206" i="38"/>
  <c r="AK206" i="38"/>
  <c r="AL206" i="38"/>
  <c r="AM206" i="38"/>
  <c r="AN206" i="38"/>
  <c r="G208" i="38"/>
  <c r="H208" i="38"/>
  <c r="I208" i="38"/>
  <c r="J208" i="38"/>
  <c r="K208" i="38"/>
  <c r="L208" i="38"/>
  <c r="M208" i="38"/>
  <c r="N208" i="38"/>
  <c r="O208" i="38"/>
  <c r="P208" i="38"/>
  <c r="Q208" i="38"/>
  <c r="R208" i="38"/>
  <c r="S208" i="38"/>
  <c r="T208" i="38"/>
  <c r="U208" i="38"/>
  <c r="V208" i="38"/>
  <c r="W208" i="38"/>
  <c r="X208" i="38"/>
  <c r="Y208" i="38"/>
  <c r="AA208" i="38"/>
  <c r="AB208" i="38"/>
  <c r="AC208" i="38"/>
  <c r="AD208" i="38"/>
  <c r="AE208" i="38"/>
  <c r="AF208" i="38"/>
  <c r="AG208" i="38"/>
  <c r="AH208" i="38"/>
  <c r="AI208" i="38"/>
  <c r="AJ208" i="38"/>
  <c r="AK208" i="38"/>
  <c r="AL208" i="38"/>
  <c r="AM208" i="38"/>
  <c r="AN208" i="38"/>
  <c r="G209" i="38"/>
  <c r="H209" i="38"/>
  <c r="I209" i="38"/>
  <c r="J209" i="38"/>
  <c r="K209" i="38"/>
  <c r="L209" i="38"/>
  <c r="M209" i="38"/>
  <c r="N209" i="38"/>
  <c r="O209" i="38"/>
  <c r="P209" i="38"/>
  <c r="Q209" i="38"/>
  <c r="R209" i="38"/>
  <c r="S209" i="38"/>
  <c r="T209" i="38"/>
  <c r="U209" i="38"/>
  <c r="V209" i="38"/>
  <c r="W209" i="38"/>
  <c r="X209" i="38"/>
  <c r="Y209" i="38"/>
  <c r="AA209" i="38"/>
  <c r="AB209" i="38"/>
  <c r="AC209" i="38"/>
  <c r="AD209" i="38"/>
  <c r="AE209" i="38"/>
  <c r="AF209" i="38"/>
  <c r="AG209" i="38"/>
  <c r="AH209" i="38"/>
  <c r="AI209" i="38"/>
  <c r="AJ209" i="38"/>
  <c r="AK209" i="38"/>
  <c r="AL209" i="38"/>
  <c r="AM209" i="38"/>
  <c r="AN209" i="38"/>
  <c r="G211" i="38"/>
  <c r="H211" i="38"/>
  <c r="I211" i="38"/>
  <c r="J211" i="38"/>
  <c r="K211" i="38"/>
  <c r="L211" i="38"/>
  <c r="M211" i="38"/>
  <c r="N211" i="38"/>
  <c r="O211" i="38"/>
  <c r="P211" i="38"/>
  <c r="Q211" i="38"/>
  <c r="R211" i="38"/>
  <c r="S211" i="38"/>
  <c r="T211" i="38"/>
  <c r="U211" i="38"/>
  <c r="V211" i="38"/>
  <c r="W211" i="38"/>
  <c r="X211" i="38"/>
  <c r="Y211" i="38"/>
  <c r="Z211" i="38"/>
  <c r="AA211" i="38"/>
  <c r="AB211" i="38"/>
  <c r="AC211" i="38"/>
  <c r="AD211" i="38"/>
  <c r="AE211" i="38"/>
  <c r="AF211" i="38"/>
  <c r="AG211" i="38"/>
  <c r="AH211" i="38"/>
  <c r="AI211" i="38"/>
  <c r="AJ211" i="38"/>
  <c r="AK211" i="38"/>
  <c r="AL211" i="38"/>
  <c r="AM211" i="38"/>
  <c r="AN211" i="38"/>
  <c r="G212" i="38"/>
  <c r="H212" i="38"/>
  <c r="I212" i="38"/>
  <c r="J212" i="38"/>
  <c r="K212" i="38"/>
  <c r="L212" i="38"/>
  <c r="M212" i="38"/>
  <c r="N212" i="38"/>
  <c r="O212" i="38"/>
  <c r="P212" i="38"/>
  <c r="Q212" i="38"/>
  <c r="R212" i="38"/>
  <c r="S212" i="38"/>
  <c r="T212" i="38"/>
  <c r="U212" i="38"/>
  <c r="V212" i="38"/>
  <c r="W212" i="38"/>
  <c r="X212" i="38"/>
  <c r="Y212" i="38"/>
  <c r="Z212" i="38"/>
  <c r="AA212" i="38"/>
  <c r="AB212" i="38"/>
  <c r="AC212" i="38"/>
  <c r="AD212" i="38"/>
  <c r="AE212" i="38"/>
  <c r="AF212" i="38"/>
  <c r="AG212" i="38"/>
  <c r="AH212" i="38"/>
  <c r="AI212" i="38"/>
  <c r="AJ212" i="38"/>
  <c r="AK212" i="38"/>
  <c r="AL212" i="38"/>
  <c r="AM212" i="38"/>
  <c r="AN212" i="38"/>
  <c r="G215" i="38"/>
  <c r="H215" i="38"/>
  <c r="I215" i="38"/>
  <c r="J215" i="38"/>
  <c r="K215" i="38"/>
  <c r="L215" i="38"/>
  <c r="M215" i="38"/>
  <c r="N215" i="38"/>
  <c r="O215" i="38"/>
  <c r="P215" i="38"/>
  <c r="Q215" i="38"/>
  <c r="R215" i="38"/>
  <c r="S215" i="38"/>
  <c r="T215" i="38"/>
  <c r="U215" i="38"/>
  <c r="V215" i="38"/>
  <c r="W215" i="38"/>
  <c r="X215" i="38"/>
  <c r="Y215" i="38"/>
  <c r="Z215" i="38"/>
  <c r="AA215" i="38"/>
  <c r="AB215" i="38"/>
  <c r="AC215" i="38"/>
  <c r="AD215" i="38"/>
  <c r="AE215" i="38"/>
  <c r="AF215" i="38"/>
  <c r="AG215" i="38"/>
  <c r="AH215" i="38"/>
  <c r="AI215" i="38"/>
  <c r="AJ215" i="38"/>
  <c r="AK215" i="38"/>
  <c r="AL215" i="38"/>
  <c r="AM215" i="38"/>
  <c r="AN215" i="38"/>
  <c r="G216" i="38"/>
  <c r="H216" i="38"/>
  <c r="I216" i="38"/>
  <c r="J216" i="38"/>
  <c r="K216" i="38"/>
  <c r="L216" i="38"/>
  <c r="M216" i="38"/>
  <c r="N216" i="38"/>
  <c r="O216" i="38"/>
  <c r="P216" i="38"/>
  <c r="Q216" i="38"/>
  <c r="R216" i="38"/>
  <c r="S216" i="38"/>
  <c r="T216" i="38"/>
  <c r="U216" i="38"/>
  <c r="V216" i="38"/>
  <c r="W216" i="38"/>
  <c r="X216" i="38"/>
  <c r="Y216" i="38"/>
  <c r="Z216" i="38"/>
  <c r="AA216" i="38"/>
  <c r="AB216" i="38"/>
  <c r="AC216" i="38"/>
  <c r="AD216" i="38"/>
  <c r="AE216" i="38"/>
  <c r="AF216" i="38"/>
  <c r="AG216" i="38"/>
  <c r="AH216" i="38"/>
  <c r="AI216" i="38"/>
  <c r="AJ216" i="38"/>
  <c r="AK216" i="38"/>
  <c r="AL216" i="38"/>
  <c r="AM216" i="38"/>
  <c r="AN216" i="38"/>
  <c r="G217" i="38"/>
  <c r="H217" i="38"/>
  <c r="I217" i="38"/>
  <c r="J217" i="38"/>
  <c r="K217" i="38"/>
  <c r="L217" i="38"/>
  <c r="M217" i="38"/>
  <c r="N217" i="38"/>
  <c r="O217" i="38"/>
  <c r="P217" i="38"/>
  <c r="Q217" i="38"/>
  <c r="R217" i="38"/>
  <c r="S217" i="38"/>
  <c r="T217" i="38"/>
  <c r="U217" i="38"/>
  <c r="V217" i="38"/>
  <c r="W217" i="38"/>
  <c r="X217" i="38"/>
  <c r="Y217" i="38"/>
  <c r="Z217" i="38"/>
  <c r="AA217" i="38"/>
  <c r="AB217" i="38"/>
  <c r="AC217" i="38"/>
  <c r="AD217" i="38"/>
  <c r="AE217" i="38"/>
  <c r="AF217" i="38"/>
  <c r="AG217" i="38"/>
  <c r="AH217" i="38"/>
  <c r="AI217" i="38"/>
  <c r="AJ217" i="38"/>
  <c r="AK217" i="38"/>
  <c r="AL217" i="38"/>
  <c r="AM217" i="38"/>
  <c r="AN217" i="38"/>
  <c r="G218" i="38"/>
  <c r="H218" i="38"/>
  <c r="I218" i="38"/>
  <c r="J218" i="38"/>
  <c r="K218" i="38"/>
  <c r="L218" i="38"/>
  <c r="M218" i="38"/>
  <c r="N218" i="38"/>
  <c r="O218" i="38"/>
  <c r="P218" i="38"/>
  <c r="Q218" i="38"/>
  <c r="R218" i="38"/>
  <c r="S218" i="38"/>
  <c r="T218" i="38"/>
  <c r="U218" i="38"/>
  <c r="V218" i="38"/>
  <c r="W218" i="38"/>
  <c r="X218" i="38"/>
  <c r="Y218" i="38"/>
  <c r="Z218" i="38"/>
  <c r="AA218" i="38"/>
  <c r="AB218" i="38"/>
  <c r="AC218" i="38"/>
  <c r="AD218" i="38"/>
  <c r="AE218" i="38"/>
  <c r="AF218" i="38"/>
  <c r="AG218" i="38"/>
  <c r="AH218" i="38"/>
  <c r="AI218" i="38"/>
  <c r="AJ218" i="38"/>
  <c r="AK218" i="38"/>
  <c r="AL218" i="38"/>
  <c r="AM218" i="38"/>
  <c r="AN218" i="38"/>
  <c r="G220" i="38"/>
  <c r="I220" i="38"/>
  <c r="J220" i="38"/>
  <c r="K220" i="38"/>
  <c r="M220" i="38"/>
  <c r="N220" i="38"/>
  <c r="O220" i="38"/>
  <c r="P220" i="38"/>
  <c r="Q220" i="38"/>
  <c r="R220" i="38"/>
  <c r="S220" i="38"/>
  <c r="U220" i="38"/>
  <c r="W220" i="38"/>
  <c r="X220" i="38"/>
  <c r="Y220" i="38"/>
  <c r="AA220" i="38"/>
  <c r="AB220" i="38"/>
  <c r="AD220" i="38"/>
  <c r="AE220" i="38"/>
  <c r="AF220" i="38"/>
  <c r="AG220" i="38"/>
  <c r="AH220" i="38"/>
  <c r="AI220" i="38"/>
  <c r="AJ220" i="38"/>
  <c r="AK220" i="38"/>
  <c r="AL220" i="38"/>
  <c r="AM220" i="38"/>
  <c r="AN220" i="38"/>
  <c r="G221" i="38"/>
  <c r="I221" i="38"/>
  <c r="J221" i="38"/>
  <c r="K221" i="38"/>
  <c r="M221" i="38"/>
  <c r="N221" i="38"/>
  <c r="O221" i="38"/>
  <c r="P221" i="38"/>
  <c r="Q221" i="38"/>
  <c r="R221" i="38"/>
  <c r="S221" i="38"/>
  <c r="U221" i="38"/>
  <c r="W221" i="38"/>
  <c r="X221" i="38"/>
  <c r="Y221" i="38"/>
  <c r="AA221" i="38"/>
  <c r="AB221" i="38"/>
  <c r="AD221" i="38"/>
  <c r="AE221" i="38"/>
  <c r="AF221" i="38"/>
  <c r="AG221" i="38"/>
  <c r="AH221" i="38"/>
  <c r="AI221" i="38"/>
  <c r="AJ221" i="38"/>
  <c r="AK221" i="38"/>
  <c r="AL221" i="38"/>
  <c r="AM221" i="38"/>
  <c r="AN221" i="38"/>
  <c r="G223" i="38"/>
  <c r="H223" i="38"/>
  <c r="I223" i="38"/>
  <c r="J223" i="38"/>
  <c r="K223" i="38"/>
  <c r="L223" i="38"/>
  <c r="M223" i="38"/>
  <c r="N223" i="38"/>
  <c r="O223" i="38"/>
  <c r="P223" i="38"/>
  <c r="Q223" i="38"/>
  <c r="R223" i="38"/>
  <c r="S223" i="38"/>
  <c r="T223" i="38"/>
  <c r="U223" i="38"/>
  <c r="V223" i="38"/>
  <c r="W223" i="38"/>
  <c r="X223" i="38"/>
  <c r="Y223" i="38"/>
  <c r="Z223" i="38"/>
  <c r="AA223" i="38"/>
  <c r="AB223" i="38"/>
  <c r="AC223" i="38"/>
  <c r="AD223" i="38"/>
  <c r="AE223" i="38"/>
  <c r="AF223" i="38"/>
  <c r="AG223" i="38"/>
  <c r="AH223" i="38"/>
  <c r="AI223" i="38"/>
  <c r="AJ223" i="38"/>
  <c r="AK223" i="38"/>
  <c r="AL223" i="38"/>
  <c r="AM223" i="38"/>
  <c r="AN223" i="38"/>
  <c r="G224" i="38"/>
  <c r="I224" i="38"/>
  <c r="J224" i="38"/>
  <c r="K224" i="38"/>
  <c r="L224" i="38"/>
  <c r="M224" i="38"/>
  <c r="N224" i="38"/>
  <c r="P224" i="38"/>
  <c r="Q224" i="38"/>
  <c r="R224" i="38"/>
  <c r="S224" i="38"/>
  <c r="T224" i="38"/>
  <c r="U224" i="38"/>
  <c r="V224" i="38"/>
  <c r="W224" i="38"/>
  <c r="X224" i="38"/>
  <c r="Y224" i="38"/>
  <c r="Z224" i="38"/>
  <c r="AA224" i="38"/>
  <c r="AB224" i="38"/>
  <c r="AC224" i="38"/>
  <c r="AD224" i="38"/>
  <c r="AE224" i="38"/>
  <c r="AF224" i="38"/>
  <c r="AG224" i="38"/>
  <c r="AH224" i="38"/>
  <c r="AI224" i="38"/>
  <c r="AJ224" i="38"/>
  <c r="AK224" i="38"/>
  <c r="AL224" i="38"/>
  <c r="AM224" i="38"/>
  <c r="AN224" i="38"/>
  <c r="G227" i="38"/>
  <c r="H227" i="38"/>
  <c r="I227" i="38"/>
  <c r="J227" i="38"/>
  <c r="K227" i="38"/>
  <c r="L227" i="38"/>
  <c r="M227" i="38"/>
  <c r="N227" i="38"/>
  <c r="O227" i="38"/>
  <c r="P227" i="38"/>
  <c r="Q227" i="38"/>
  <c r="R227" i="38"/>
  <c r="S227" i="38"/>
  <c r="T227" i="38"/>
  <c r="U227" i="38"/>
  <c r="V227" i="38"/>
  <c r="W227" i="38"/>
  <c r="X227" i="38"/>
  <c r="Y227" i="38"/>
  <c r="Z227" i="38"/>
  <c r="AA227" i="38"/>
  <c r="AB227" i="38"/>
  <c r="AC227" i="38"/>
  <c r="AD227" i="38"/>
  <c r="AE227" i="38"/>
  <c r="AF227" i="38"/>
  <c r="AG227" i="38"/>
  <c r="AH227" i="38"/>
  <c r="AI227" i="38"/>
  <c r="AJ227" i="38"/>
  <c r="AK227" i="38"/>
  <c r="AL227" i="38"/>
  <c r="AM227" i="38"/>
  <c r="AN227" i="38"/>
  <c r="G228" i="38"/>
  <c r="H228" i="38"/>
  <c r="I228" i="38"/>
  <c r="J228" i="38"/>
  <c r="K228" i="38"/>
  <c r="L228" i="38"/>
  <c r="M228" i="38"/>
  <c r="N228" i="38"/>
  <c r="O228" i="38"/>
  <c r="P228" i="38"/>
  <c r="Q228" i="38"/>
  <c r="R228" i="38"/>
  <c r="S228" i="38"/>
  <c r="T228" i="38"/>
  <c r="U228" i="38"/>
  <c r="V228" i="38"/>
  <c r="W228" i="38"/>
  <c r="X228" i="38"/>
  <c r="Y228" i="38"/>
  <c r="Z228" i="38"/>
  <c r="AA228" i="38"/>
  <c r="AB228" i="38"/>
  <c r="AC228" i="38"/>
  <c r="AD228" i="38"/>
  <c r="AE228" i="38"/>
  <c r="AF228" i="38"/>
  <c r="AG228" i="38"/>
  <c r="AH228" i="38"/>
  <c r="AI228" i="38"/>
  <c r="AJ228" i="38"/>
  <c r="AK228" i="38"/>
  <c r="AL228" i="38"/>
  <c r="AM228" i="38"/>
  <c r="AN228" i="38"/>
  <c r="G229" i="38"/>
  <c r="H229" i="38"/>
  <c r="I229" i="38"/>
  <c r="J229" i="38"/>
  <c r="K229" i="38"/>
  <c r="L229" i="38"/>
  <c r="M229" i="38"/>
  <c r="N229" i="38"/>
  <c r="O229" i="38"/>
  <c r="P229" i="38"/>
  <c r="Q229" i="38"/>
  <c r="R229" i="38"/>
  <c r="S229" i="38"/>
  <c r="T229" i="38"/>
  <c r="U229" i="38"/>
  <c r="V229" i="38"/>
  <c r="W229" i="38"/>
  <c r="X229" i="38"/>
  <c r="Y229" i="38"/>
  <c r="Z229" i="38"/>
  <c r="AA229" i="38"/>
  <c r="AB229" i="38"/>
  <c r="AC229" i="38"/>
  <c r="AD229" i="38"/>
  <c r="AE229" i="38"/>
  <c r="AF229" i="38"/>
  <c r="AG229" i="38"/>
  <c r="AH229" i="38"/>
  <c r="AI229" i="38"/>
  <c r="AJ229" i="38"/>
  <c r="AK229" i="38"/>
  <c r="AL229" i="38"/>
  <c r="AM229" i="38"/>
  <c r="AN229" i="38"/>
  <c r="G230" i="38"/>
  <c r="H230" i="38"/>
  <c r="I230" i="38"/>
  <c r="J230" i="38"/>
  <c r="K230" i="38"/>
  <c r="L230" i="38"/>
  <c r="M230" i="38"/>
  <c r="N230" i="38"/>
  <c r="O230" i="38"/>
  <c r="P230" i="38"/>
  <c r="Q230" i="38"/>
  <c r="R230" i="38"/>
  <c r="S230" i="38"/>
  <c r="T230" i="38"/>
  <c r="U230" i="38"/>
  <c r="V230" i="38"/>
  <c r="W230" i="38"/>
  <c r="X230" i="38"/>
  <c r="Y230" i="38"/>
  <c r="Z230" i="38"/>
  <c r="AA230" i="38"/>
  <c r="AB230" i="38"/>
  <c r="AC230" i="38"/>
  <c r="AD230" i="38"/>
  <c r="AE230" i="38"/>
  <c r="AF230" i="38"/>
  <c r="AG230" i="38"/>
  <c r="AH230" i="38"/>
  <c r="AI230" i="38"/>
  <c r="AJ230" i="38"/>
  <c r="AK230" i="38"/>
  <c r="AL230" i="38"/>
  <c r="AM230" i="38"/>
  <c r="AN230" i="38"/>
  <c r="G232" i="38"/>
  <c r="H232" i="38"/>
  <c r="I232" i="38"/>
  <c r="J232" i="38"/>
  <c r="K232" i="38"/>
  <c r="L232" i="38"/>
  <c r="M232" i="38"/>
  <c r="N232" i="38"/>
  <c r="P232" i="38"/>
  <c r="Q232" i="38"/>
  <c r="R232" i="38"/>
  <c r="S232" i="38"/>
  <c r="U232" i="38"/>
  <c r="V232" i="38"/>
  <c r="W232" i="38"/>
  <c r="X232" i="38"/>
  <c r="Y232" i="38"/>
  <c r="AA232" i="38"/>
  <c r="AB232" i="38"/>
  <c r="AD232" i="38"/>
  <c r="AE232" i="38"/>
  <c r="AF232" i="38"/>
  <c r="AG232" i="38"/>
  <c r="AH232" i="38"/>
  <c r="AI232" i="38"/>
  <c r="AJ232" i="38"/>
  <c r="AK232" i="38"/>
  <c r="AL232" i="38"/>
  <c r="AM232" i="38"/>
  <c r="AN232" i="38"/>
  <c r="G233" i="38"/>
  <c r="H233" i="38"/>
  <c r="I233" i="38"/>
  <c r="J233" i="38"/>
  <c r="K233" i="38"/>
  <c r="L233" i="38"/>
  <c r="M233" i="38"/>
  <c r="N233" i="38"/>
  <c r="P233" i="38"/>
  <c r="Q233" i="38"/>
  <c r="R233" i="38"/>
  <c r="S233" i="38"/>
  <c r="U233" i="38"/>
  <c r="V233" i="38"/>
  <c r="W233" i="38"/>
  <c r="X233" i="38"/>
  <c r="Y233" i="38"/>
  <c r="AA233" i="38"/>
  <c r="AB233" i="38"/>
  <c r="AD233" i="38"/>
  <c r="AE233" i="38"/>
  <c r="AF233" i="38"/>
  <c r="AG233" i="38"/>
  <c r="AH233" i="38"/>
  <c r="AI233" i="38"/>
  <c r="AJ233" i="38"/>
  <c r="AK233" i="38"/>
  <c r="AL233" i="38"/>
  <c r="AM233" i="38"/>
  <c r="AN233" i="38"/>
  <c r="G235" i="38"/>
  <c r="H235" i="38"/>
  <c r="I235" i="38"/>
  <c r="J235" i="38"/>
  <c r="K235" i="38"/>
  <c r="L235" i="38"/>
  <c r="M235" i="38"/>
  <c r="N235" i="38"/>
  <c r="O235" i="38"/>
  <c r="P235" i="38"/>
  <c r="Q235" i="38"/>
  <c r="R235" i="38"/>
  <c r="S235" i="38"/>
  <c r="T235" i="38"/>
  <c r="U235" i="38"/>
  <c r="V235" i="38"/>
  <c r="W235" i="38"/>
  <c r="X235" i="38"/>
  <c r="Y235" i="38"/>
  <c r="Z235" i="38"/>
  <c r="AA235" i="38"/>
  <c r="AB235" i="38"/>
  <c r="AC235" i="38"/>
  <c r="AD235" i="38"/>
  <c r="AE235" i="38"/>
  <c r="AF235" i="38"/>
  <c r="AG235" i="38"/>
  <c r="AH235" i="38"/>
  <c r="AI235" i="38"/>
  <c r="AJ235" i="38"/>
  <c r="AK235" i="38"/>
  <c r="AL235" i="38"/>
  <c r="AM235" i="38"/>
  <c r="AN235" i="38"/>
  <c r="G236" i="38"/>
  <c r="I236" i="38"/>
  <c r="J236" i="38"/>
  <c r="K236" i="38"/>
  <c r="L236" i="38"/>
  <c r="M236" i="38"/>
  <c r="N236" i="38"/>
  <c r="O236" i="38"/>
  <c r="P236" i="38"/>
  <c r="Q236" i="38"/>
  <c r="R236" i="38"/>
  <c r="S236" i="38"/>
  <c r="T236" i="38"/>
  <c r="U236" i="38"/>
  <c r="V236" i="38"/>
  <c r="W236" i="38"/>
  <c r="X236" i="38"/>
  <c r="Y236" i="38"/>
  <c r="Z236" i="38"/>
  <c r="AA236" i="38"/>
  <c r="AB236" i="38"/>
  <c r="AC236" i="38"/>
  <c r="AD236" i="38"/>
  <c r="AE236" i="38"/>
  <c r="AF236" i="38"/>
  <c r="AG236" i="38"/>
  <c r="AH236" i="38"/>
  <c r="AI236" i="38"/>
  <c r="AJ236" i="38"/>
  <c r="AK236" i="38"/>
  <c r="AL236" i="38"/>
  <c r="AM236" i="38"/>
  <c r="AN236" i="38"/>
  <c r="G239" i="38"/>
  <c r="H239" i="38"/>
  <c r="I239" i="38"/>
  <c r="J239" i="38"/>
  <c r="K239" i="38"/>
  <c r="L239" i="38"/>
  <c r="M239" i="38"/>
  <c r="N239" i="38"/>
  <c r="O239" i="38"/>
  <c r="P239" i="38"/>
  <c r="Q239" i="38"/>
  <c r="R239" i="38"/>
  <c r="S239" i="38"/>
  <c r="T239" i="38"/>
  <c r="U239" i="38"/>
  <c r="V239" i="38"/>
  <c r="W239" i="38"/>
  <c r="X239" i="38"/>
  <c r="Y239" i="38"/>
  <c r="Z239" i="38"/>
  <c r="AA239" i="38"/>
  <c r="AB239" i="38"/>
  <c r="AC239" i="38"/>
  <c r="AD239" i="38"/>
  <c r="AE239" i="38"/>
  <c r="AF239" i="38"/>
  <c r="AG239" i="38"/>
  <c r="AH239" i="38"/>
  <c r="AI239" i="38"/>
  <c r="AJ239" i="38"/>
  <c r="AK239" i="38"/>
  <c r="AL239" i="38"/>
  <c r="AM239" i="38"/>
  <c r="AN239" i="38"/>
  <c r="G240" i="38"/>
  <c r="H240" i="38"/>
  <c r="I240" i="38"/>
  <c r="J240" i="38"/>
  <c r="K240" i="38"/>
  <c r="L240" i="38"/>
  <c r="M240" i="38"/>
  <c r="N240" i="38"/>
  <c r="O240" i="38"/>
  <c r="P240" i="38"/>
  <c r="Q240" i="38"/>
  <c r="R240" i="38"/>
  <c r="S240" i="38"/>
  <c r="T240" i="38"/>
  <c r="U240" i="38"/>
  <c r="V240" i="38"/>
  <c r="W240" i="38"/>
  <c r="X240" i="38"/>
  <c r="Y240" i="38"/>
  <c r="Z240" i="38"/>
  <c r="AA240" i="38"/>
  <c r="AB240" i="38"/>
  <c r="AC240" i="38"/>
  <c r="AD240" i="38"/>
  <c r="AE240" i="38"/>
  <c r="AF240" i="38"/>
  <c r="AG240" i="38"/>
  <c r="AH240" i="38"/>
  <c r="AI240" i="38"/>
  <c r="AJ240" i="38"/>
  <c r="AK240" i="38"/>
  <c r="AL240" i="38"/>
  <c r="AM240" i="38"/>
  <c r="AN240" i="38"/>
  <c r="G241" i="38"/>
  <c r="H241" i="38"/>
  <c r="I241" i="38"/>
  <c r="J241" i="38"/>
  <c r="K241" i="38"/>
  <c r="L241" i="38"/>
  <c r="M241" i="38"/>
  <c r="N241" i="38"/>
  <c r="O241" i="38"/>
  <c r="P241" i="38"/>
  <c r="Q241" i="38"/>
  <c r="R241" i="38"/>
  <c r="S241" i="38"/>
  <c r="T241" i="38"/>
  <c r="U241" i="38"/>
  <c r="V241" i="38"/>
  <c r="W241" i="38"/>
  <c r="X241" i="38"/>
  <c r="Y241" i="38"/>
  <c r="Z241" i="38"/>
  <c r="AA241" i="38"/>
  <c r="AB241" i="38"/>
  <c r="AC241" i="38"/>
  <c r="AD241" i="38"/>
  <c r="AE241" i="38"/>
  <c r="AF241" i="38"/>
  <c r="AG241" i="38"/>
  <c r="AH241" i="38"/>
  <c r="AI241" i="38"/>
  <c r="AJ241" i="38"/>
  <c r="AK241" i="38"/>
  <c r="AL241" i="38"/>
  <c r="AM241" i="38"/>
  <c r="AN241" i="38"/>
  <c r="G242" i="38"/>
  <c r="H242" i="38"/>
  <c r="I242" i="38"/>
  <c r="J242" i="38"/>
  <c r="K242" i="38"/>
  <c r="L242" i="38"/>
  <c r="M242" i="38"/>
  <c r="N242" i="38"/>
  <c r="O242" i="38"/>
  <c r="P242" i="38"/>
  <c r="Q242" i="38"/>
  <c r="R242" i="38"/>
  <c r="S242" i="38"/>
  <c r="T242" i="38"/>
  <c r="U242" i="38"/>
  <c r="V242" i="38"/>
  <c r="W242" i="38"/>
  <c r="X242" i="38"/>
  <c r="Y242" i="38"/>
  <c r="Z242" i="38"/>
  <c r="AA242" i="38"/>
  <c r="AB242" i="38"/>
  <c r="AC242" i="38"/>
  <c r="AD242" i="38"/>
  <c r="AE242" i="38"/>
  <c r="AF242" i="38"/>
  <c r="AG242" i="38"/>
  <c r="AH242" i="38"/>
  <c r="AI242" i="38"/>
  <c r="AJ242" i="38"/>
  <c r="AK242" i="38"/>
  <c r="AL242" i="38"/>
  <c r="AM242" i="38"/>
  <c r="AN242" i="38"/>
  <c r="G244" i="38"/>
  <c r="I244" i="38"/>
  <c r="J244" i="38"/>
  <c r="K244" i="38"/>
  <c r="M244" i="38"/>
  <c r="N244" i="38"/>
  <c r="P244" i="38"/>
  <c r="Q244" i="38"/>
  <c r="R244" i="38"/>
  <c r="S244" i="38"/>
  <c r="U244" i="38"/>
  <c r="W244" i="38"/>
  <c r="X244" i="38"/>
  <c r="Y244" i="38"/>
  <c r="AA244" i="38"/>
  <c r="AB244" i="38"/>
  <c r="AD244" i="38"/>
  <c r="AE244" i="38"/>
  <c r="AF244" i="38"/>
  <c r="AG244" i="38"/>
  <c r="AH244" i="38"/>
  <c r="AI244" i="38"/>
  <c r="AJ244" i="38"/>
  <c r="AK244" i="38"/>
  <c r="AL244" i="38"/>
  <c r="AM244" i="38"/>
  <c r="AN244" i="38"/>
  <c r="G245" i="38"/>
  <c r="I245" i="38"/>
  <c r="J245" i="38"/>
  <c r="K245" i="38"/>
  <c r="M245" i="38"/>
  <c r="N245" i="38"/>
  <c r="P245" i="38"/>
  <c r="Q245" i="38"/>
  <c r="R245" i="38"/>
  <c r="S245" i="38"/>
  <c r="U245" i="38"/>
  <c r="V245" i="38"/>
  <c r="W245" i="38"/>
  <c r="X245" i="38"/>
  <c r="Y245" i="38"/>
  <c r="AA245" i="38"/>
  <c r="AB245" i="38"/>
  <c r="AC245" i="38"/>
  <c r="AD245" i="38"/>
  <c r="AE245" i="38"/>
  <c r="AF245" i="38"/>
  <c r="AG245" i="38"/>
  <c r="AH245" i="38"/>
  <c r="AI245" i="38"/>
  <c r="AJ245" i="38"/>
  <c r="AK245" i="38"/>
  <c r="AL245" i="38"/>
  <c r="AM245" i="38"/>
  <c r="AN245" i="38"/>
  <c r="G247" i="38"/>
  <c r="H247" i="38"/>
  <c r="I247" i="38"/>
  <c r="J247" i="38"/>
  <c r="K247" i="38"/>
  <c r="L247" i="38"/>
  <c r="M247" i="38"/>
  <c r="N247" i="38"/>
  <c r="O247" i="38"/>
  <c r="P247" i="38"/>
  <c r="Q247" i="38"/>
  <c r="R247" i="38"/>
  <c r="S247" i="38"/>
  <c r="T247" i="38"/>
  <c r="U247" i="38"/>
  <c r="V247" i="38"/>
  <c r="W247" i="38"/>
  <c r="X247" i="38"/>
  <c r="Y247" i="38"/>
  <c r="Z247" i="38"/>
  <c r="AA247" i="38"/>
  <c r="AB247" i="38"/>
  <c r="AC247" i="38"/>
  <c r="AD247" i="38"/>
  <c r="AE247" i="38"/>
  <c r="AF247" i="38"/>
  <c r="AG247" i="38"/>
  <c r="AH247" i="38"/>
  <c r="AI247" i="38"/>
  <c r="AJ247" i="38"/>
  <c r="AK247" i="38"/>
  <c r="AL247" i="38"/>
  <c r="AM247" i="38"/>
  <c r="AN247" i="38"/>
  <c r="G248" i="38"/>
  <c r="H248" i="38"/>
  <c r="I248" i="38"/>
  <c r="J248" i="38"/>
  <c r="K248" i="38"/>
  <c r="L248" i="38"/>
  <c r="M248" i="38"/>
  <c r="N248" i="38"/>
  <c r="O248" i="38"/>
  <c r="P248" i="38"/>
  <c r="Q248" i="38"/>
  <c r="R248" i="38"/>
  <c r="S248" i="38"/>
  <c r="T248" i="38"/>
  <c r="U248" i="38"/>
  <c r="V248" i="38"/>
  <c r="W248" i="38"/>
  <c r="X248" i="38"/>
  <c r="Y248" i="38"/>
  <c r="Z248" i="38"/>
  <c r="AA248" i="38"/>
  <c r="AB248" i="38"/>
  <c r="AC248" i="38"/>
  <c r="AD248" i="38"/>
  <c r="AE248" i="38"/>
  <c r="AF248" i="38"/>
  <c r="AG248" i="38"/>
  <c r="AH248" i="38"/>
  <c r="AI248" i="38"/>
  <c r="AJ248" i="38"/>
  <c r="AK248" i="38"/>
  <c r="AL248" i="38"/>
  <c r="AM248" i="38"/>
  <c r="AN248" i="38"/>
  <c r="G251" i="38"/>
  <c r="H251" i="38"/>
  <c r="I251" i="38"/>
  <c r="J251" i="38"/>
  <c r="K251" i="38"/>
  <c r="L251" i="38"/>
  <c r="M251" i="38"/>
  <c r="N251" i="38"/>
  <c r="O251" i="38"/>
  <c r="P251" i="38"/>
  <c r="Q251" i="38"/>
  <c r="R251" i="38"/>
  <c r="S251" i="38"/>
  <c r="T251" i="38"/>
  <c r="U251" i="38"/>
  <c r="V251" i="38"/>
  <c r="W251" i="38"/>
  <c r="X251" i="38"/>
  <c r="Y251" i="38"/>
  <c r="Z251" i="38"/>
  <c r="AA251" i="38"/>
  <c r="AB251" i="38"/>
  <c r="AC251" i="38"/>
  <c r="AD251" i="38"/>
  <c r="AE251" i="38"/>
  <c r="AF251" i="38"/>
  <c r="AG251" i="38"/>
  <c r="AH251" i="38"/>
  <c r="AI251" i="38"/>
  <c r="AJ251" i="38"/>
  <c r="AK251" i="38"/>
  <c r="AL251" i="38"/>
  <c r="AM251" i="38"/>
  <c r="AN251" i="38"/>
  <c r="G252" i="38"/>
  <c r="H252" i="38"/>
  <c r="I252" i="38"/>
  <c r="J252" i="38"/>
  <c r="K252" i="38"/>
  <c r="L252" i="38"/>
  <c r="M252" i="38"/>
  <c r="N252" i="38"/>
  <c r="O252" i="38"/>
  <c r="P252" i="38"/>
  <c r="Q252" i="38"/>
  <c r="R252" i="38"/>
  <c r="S252" i="38"/>
  <c r="T252" i="38"/>
  <c r="U252" i="38"/>
  <c r="V252" i="38"/>
  <c r="W252" i="38"/>
  <c r="X252" i="38"/>
  <c r="Y252" i="38"/>
  <c r="Z252" i="38"/>
  <c r="AA252" i="38"/>
  <c r="AB252" i="38"/>
  <c r="AC252" i="38"/>
  <c r="AD252" i="38"/>
  <c r="AE252" i="38"/>
  <c r="AF252" i="38"/>
  <c r="AG252" i="38"/>
  <c r="AH252" i="38"/>
  <c r="AI252" i="38"/>
  <c r="AJ252" i="38"/>
  <c r="AK252" i="38"/>
  <c r="AL252" i="38"/>
  <c r="AM252" i="38"/>
  <c r="AN252" i="38"/>
  <c r="G253" i="38"/>
  <c r="H253" i="38"/>
  <c r="I253" i="38"/>
  <c r="J253" i="38"/>
  <c r="K253" i="38"/>
  <c r="L253" i="38"/>
  <c r="M253" i="38"/>
  <c r="N253" i="38"/>
  <c r="O253" i="38"/>
  <c r="P253" i="38"/>
  <c r="Q253" i="38"/>
  <c r="R253" i="38"/>
  <c r="S253" i="38"/>
  <c r="T253" i="38"/>
  <c r="U253" i="38"/>
  <c r="V253" i="38"/>
  <c r="W253" i="38"/>
  <c r="X253" i="38"/>
  <c r="Y253" i="38"/>
  <c r="Z253" i="38"/>
  <c r="AA253" i="38"/>
  <c r="AB253" i="38"/>
  <c r="AC253" i="38"/>
  <c r="AD253" i="38"/>
  <c r="AE253" i="38"/>
  <c r="AF253" i="38"/>
  <c r="AG253" i="38"/>
  <c r="AH253" i="38"/>
  <c r="AI253" i="38"/>
  <c r="AJ253" i="38"/>
  <c r="AK253" i="38"/>
  <c r="AL253" i="38"/>
  <c r="AM253" i="38"/>
  <c r="AN253" i="38"/>
  <c r="G254" i="38"/>
  <c r="H254" i="38"/>
  <c r="I254" i="38"/>
  <c r="J254" i="38"/>
  <c r="K254" i="38"/>
  <c r="L254" i="38"/>
  <c r="M254" i="38"/>
  <c r="N254" i="38"/>
  <c r="O254" i="38"/>
  <c r="P254" i="38"/>
  <c r="Q254" i="38"/>
  <c r="R254" i="38"/>
  <c r="S254" i="38"/>
  <c r="T254" i="38"/>
  <c r="U254" i="38"/>
  <c r="V254" i="38"/>
  <c r="W254" i="38"/>
  <c r="X254" i="38"/>
  <c r="Y254" i="38"/>
  <c r="Z254" i="38"/>
  <c r="AA254" i="38"/>
  <c r="AB254" i="38"/>
  <c r="AC254" i="38"/>
  <c r="AD254" i="38"/>
  <c r="AE254" i="38"/>
  <c r="AF254" i="38"/>
  <c r="AG254" i="38"/>
  <c r="AH254" i="38"/>
  <c r="AI254" i="38"/>
  <c r="AJ254" i="38"/>
  <c r="AK254" i="38"/>
  <c r="AL254" i="38"/>
  <c r="AM254" i="38"/>
  <c r="AN254" i="38"/>
  <c r="G256" i="38"/>
  <c r="I256" i="38"/>
  <c r="J256" i="38"/>
  <c r="K256" i="38"/>
  <c r="L256" i="38"/>
  <c r="M256" i="38"/>
  <c r="N256" i="38"/>
  <c r="P256" i="38"/>
  <c r="Q256" i="38"/>
  <c r="R256" i="38"/>
  <c r="S256" i="38"/>
  <c r="U256" i="38"/>
  <c r="W256" i="38"/>
  <c r="X256" i="38"/>
  <c r="Y256" i="38"/>
  <c r="AA256" i="38"/>
  <c r="AB256" i="38"/>
  <c r="AC256" i="38"/>
  <c r="AD256" i="38"/>
  <c r="AE256" i="38"/>
  <c r="AF256" i="38"/>
  <c r="AG256" i="38"/>
  <c r="AH256" i="38"/>
  <c r="AI256" i="38"/>
  <c r="AJ256" i="38"/>
  <c r="AK256" i="38"/>
  <c r="AL256" i="38"/>
  <c r="AM256" i="38"/>
  <c r="AN256" i="38"/>
  <c r="G257" i="38"/>
  <c r="H257" i="38"/>
  <c r="I257" i="38"/>
  <c r="J257" i="38"/>
  <c r="K257" i="38"/>
  <c r="M257" i="38"/>
  <c r="N257" i="38"/>
  <c r="O257" i="38"/>
  <c r="P257" i="38"/>
  <c r="Q257" i="38"/>
  <c r="R257" i="38"/>
  <c r="S257" i="38"/>
  <c r="T257" i="38"/>
  <c r="U257" i="38"/>
  <c r="W257" i="38"/>
  <c r="X257" i="38"/>
  <c r="Y257" i="38"/>
  <c r="AA257" i="38"/>
  <c r="AB257" i="38"/>
  <c r="AC257" i="38"/>
  <c r="AD257" i="38"/>
  <c r="AE257" i="38"/>
  <c r="AF257" i="38"/>
  <c r="AG257" i="38"/>
  <c r="AH257" i="38"/>
  <c r="AI257" i="38"/>
  <c r="AJ257" i="38"/>
  <c r="AK257" i="38"/>
  <c r="AL257" i="38"/>
  <c r="AM257" i="38"/>
  <c r="AN257" i="38"/>
  <c r="G259" i="38"/>
  <c r="H259" i="38"/>
  <c r="I259" i="38"/>
  <c r="J259" i="38"/>
  <c r="K259" i="38"/>
  <c r="L259" i="38"/>
  <c r="M259" i="38"/>
  <c r="N259" i="38"/>
  <c r="O259" i="38"/>
  <c r="P259" i="38"/>
  <c r="Q259" i="38"/>
  <c r="R259" i="38"/>
  <c r="S259" i="38"/>
  <c r="T259" i="38"/>
  <c r="U259" i="38"/>
  <c r="V259" i="38"/>
  <c r="W259" i="38"/>
  <c r="X259" i="38"/>
  <c r="Y259" i="38"/>
  <c r="Z259" i="38"/>
  <c r="AA259" i="38"/>
  <c r="AB259" i="38"/>
  <c r="AC259" i="38"/>
  <c r="AD259" i="38"/>
  <c r="AE259" i="38"/>
  <c r="AF259" i="38"/>
  <c r="AG259" i="38"/>
  <c r="AH259" i="38"/>
  <c r="AI259" i="38"/>
  <c r="AJ259" i="38"/>
  <c r="AK259" i="38"/>
  <c r="AL259" i="38"/>
  <c r="AM259" i="38"/>
  <c r="AN259" i="38"/>
  <c r="G260" i="38"/>
  <c r="H260" i="38"/>
  <c r="I260" i="38"/>
  <c r="J260" i="38"/>
  <c r="K260" i="38"/>
  <c r="L260" i="38"/>
  <c r="M260" i="38"/>
  <c r="N260" i="38"/>
  <c r="O260" i="38"/>
  <c r="P260" i="38"/>
  <c r="Q260" i="38"/>
  <c r="R260" i="38"/>
  <c r="S260" i="38"/>
  <c r="T260" i="38"/>
  <c r="U260" i="38"/>
  <c r="V260" i="38"/>
  <c r="W260" i="38"/>
  <c r="X260" i="38"/>
  <c r="Y260" i="38"/>
  <c r="Z260" i="38"/>
  <c r="AA260" i="38"/>
  <c r="AB260" i="38"/>
  <c r="AC260" i="38"/>
  <c r="AD260" i="38"/>
  <c r="AE260" i="38"/>
  <c r="AF260" i="38"/>
  <c r="AG260" i="38"/>
  <c r="AH260" i="38"/>
  <c r="AI260" i="38"/>
  <c r="AJ260" i="38"/>
  <c r="AK260" i="38"/>
  <c r="AL260" i="38"/>
  <c r="AM260" i="38"/>
  <c r="AN260" i="38"/>
  <c r="G262" i="38"/>
  <c r="H262" i="38"/>
  <c r="I262" i="38"/>
  <c r="J262" i="38"/>
  <c r="K262" i="38"/>
  <c r="L262" i="38"/>
  <c r="M262" i="38"/>
  <c r="N262" i="38"/>
  <c r="O262" i="38"/>
  <c r="P262" i="38"/>
  <c r="Q262" i="38"/>
  <c r="R262" i="38"/>
  <c r="S262" i="38"/>
  <c r="T262" i="38"/>
  <c r="U262" i="38"/>
  <c r="V262" i="38"/>
  <c r="W262" i="38"/>
  <c r="X262" i="38"/>
  <c r="Y262" i="38"/>
  <c r="Z262" i="38"/>
  <c r="AA262" i="38"/>
  <c r="AB262" i="38"/>
  <c r="AC262" i="38"/>
  <c r="AD262" i="38"/>
  <c r="AE262" i="38"/>
  <c r="AF262" i="38"/>
  <c r="AG262" i="38"/>
  <c r="AH262" i="38"/>
  <c r="AI262" i="38"/>
  <c r="AJ262" i="38"/>
  <c r="AK262" i="38"/>
  <c r="AL262" i="38"/>
  <c r="AM262" i="38"/>
  <c r="AN262" i="38"/>
  <c r="G263" i="38"/>
  <c r="H263" i="38"/>
  <c r="I263" i="38"/>
  <c r="J263" i="38"/>
  <c r="K263" i="38"/>
  <c r="L263" i="38"/>
  <c r="M263" i="38"/>
  <c r="N263" i="38"/>
  <c r="O263" i="38"/>
  <c r="P263" i="38"/>
  <c r="Q263" i="38"/>
  <c r="R263" i="38"/>
  <c r="S263" i="38"/>
  <c r="T263" i="38"/>
  <c r="U263" i="38"/>
  <c r="V263" i="38"/>
  <c r="W263" i="38"/>
  <c r="X263" i="38"/>
  <c r="Y263" i="38"/>
  <c r="Z263" i="38"/>
  <c r="AA263" i="38"/>
  <c r="AB263" i="38"/>
  <c r="AC263" i="38"/>
  <c r="AD263" i="38"/>
  <c r="AE263" i="38"/>
  <c r="AF263" i="38"/>
  <c r="AG263" i="38"/>
  <c r="AH263" i="38"/>
  <c r="AI263" i="38"/>
  <c r="AJ263" i="38"/>
  <c r="AK263" i="38"/>
  <c r="AL263" i="38"/>
  <c r="AM263" i="38"/>
  <c r="AN263" i="38"/>
  <c r="G264" i="38"/>
  <c r="H264" i="38"/>
  <c r="I264" i="38"/>
  <c r="J264" i="38"/>
  <c r="K264" i="38"/>
  <c r="L264" i="38"/>
  <c r="M264" i="38"/>
  <c r="N264" i="38"/>
  <c r="O264" i="38"/>
  <c r="P264" i="38"/>
  <c r="Q264" i="38"/>
  <c r="R264" i="38"/>
  <c r="S264" i="38"/>
  <c r="T264" i="38"/>
  <c r="U264" i="38"/>
  <c r="V264" i="38"/>
  <c r="W264" i="38"/>
  <c r="X264" i="38"/>
  <c r="Y264" i="38"/>
  <c r="Z264" i="38"/>
  <c r="AA264" i="38"/>
  <c r="AB264" i="38"/>
  <c r="AC264" i="38"/>
  <c r="AD264" i="38"/>
  <c r="AE264" i="38"/>
  <c r="AF264" i="38"/>
  <c r="AG264" i="38"/>
  <c r="AH264" i="38"/>
  <c r="AI264" i="38"/>
  <c r="AJ264" i="38"/>
  <c r="AK264" i="38"/>
  <c r="AL264" i="38"/>
  <c r="AM264" i="38"/>
  <c r="AN264" i="38"/>
  <c r="G265" i="38"/>
  <c r="H265" i="38"/>
  <c r="I265" i="38"/>
  <c r="J265" i="38"/>
  <c r="K265" i="38"/>
  <c r="L265" i="38"/>
  <c r="M265" i="38"/>
  <c r="N265" i="38"/>
  <c r="O265" i="38"/>
  <c r="P265" i="38"/>
  <c r="Q265" i="38"/>
  <c r="R265" i="38"/>
  <c r="S265" i="38"/>
  <c r="T265" i="38"/>
  <c r="U265" i="38"/>
  <c r="V265" i="38"/>
  <c r="W265" i="38"/>
  <c r="X265" i="38"/>
  <c r="Y265" i="38"/>
  <c r="Z265" i="38"/>
  <c r="AA265" i="38"/>
  <c r="AB265" i="38"/>
  <c r="AC265" i="38"/>
  <c r="AD265" i="38"/>
  <c r="AE265" i="38"/>
  <c r="AF265" i="38"/>
  <c r="AG265" i="38"/>
  <c r="AH265" i="38"/>
  <c r="AI265" i="38"/>
  <c r="AJ265" i="38"/>
  <c r="AK265" i="38"/>
  <c r="AL265" i="38"/>
  <c r="AM265" i="38"/>
  <c r="AN265" i="38"/>
  <c r="G266" i="38"/>
  <c r="H266" i="38"/>
  <c r="I266" i="38"/>
  <c r="J266" i="38"/>
  <c r="K266" i="38"/>
  <c r="L266" i="38"/>
  <c r="M266" i="38"/>
  <c r="N266" i="38"/>
  <c r="O266" i="38"/>
  <c r="P266" i="38"/>
  <c r="Q266" i="38"/>
  <c r="R266" i="38"/>
  <c r="S266" i="38"/>
  <c r="T266" i="38"/>
  <c r="U266" i="38"/>
  <c r="V266" i="38"/>
  <c r="W266" i="38"/>
  <c r="X266" i="38"/>
  <c r="Y266" i="38"/>
  <c r="Z266" i="38"/>
  <c r="AA266" i="38"/>
  <c r="AB266" i="38"/>
  <c r="AC266" i="38"/>
  <c r="AD266" i="38"/>
  <c r="AE266" i="38"/>
  <c r="AF266" i="38"/>
  <c r="AG266" i="38"/>
  <c r="AH266" i="38"/>
  <c r="AI266" i="38"/>
  <c r="AJ266" i="38"/>
  <c r="AK266" i="38"/>
  <c r="AL266" i="38"/>
  <c r="AM266" i="38"/>
  <c r="AN266" i="38"/>
  <c r="G112" i="38"/>
  <c r="G119" i="38"/>
  <c r="H112" i="38"/>
  <c r="H119" i="38"/>
  <c r="I112" i="38"/>
  <c r="I119" i="38"/>
  <c r="J112" i="38"/>
  <c r="J119" i="38"/>
  <c r="K112" i="38"/>
  <c r="K119" i="38"/>
  <c r="L112" i="38"/>
  <c r="L119" i="38"/>
  <c r="M112" i="38"/>
  <c r="M119" i="38"/>
  <c r="N112" i="38"/>
  <c r="N119" i="38"/>
  <c r="O112" i="38"/>
  <c r="O119" i="38"/>
  <c r="P112" i="38"/>
  <c r="P119" i="38"/>
  <c r="Q112" i="38"/>
  <c r="Q119" i="38"/>
  <c r="R112" i="38"/>
  <c r="R119" i="38"/>
  <c r="S112" i="38"/>
  <c r="S119" i="38"/>
  <c r="T112" i="38"/>
  <c r="T119" i="38"/>
  <c r="U112" i="38"/>
  <c r="U119" i="38"/>
  <c r="V112" i="38"/>
  <c r="V119" i="38"/>
  <c r="W112" i="38"/>
  <c r="W119" i="38"/>
  <c r="X112" i="38"/>
  <c r="X119" i="38"/>
  <c r="Y112" i="38"/>
  <c r="Y119" i="38"/>
  <c r="Z119" i="38"/>
  <c r="AA112" i="38"/>
  <c r="AA119" i="38"/>
  <c r="AB112" i="38"/>
  <c r="AB119" i="38"/>
  <c r="AC112" i="38"/>
  <c r="AC119" i="38"/>
  <c r="AD112" i="38"/>
  <c r="AD119" i="38"/>
  <c r="AE112" i="38"/>
  <c r="AE119" i="38"/>
  <c r="AF112" i="38"/>
  <c r="AF119" i="38"/>
  <c r="AG112" i="38"/>
  <c r="AG119" i="38"/>
  <c r="AH112" i="38"/>
  <c r="AH119" i="38"/>
  <c r="AI112" i="38"/>
  <c r="AI119" i="38"/>
  <c r="AJ112" i="38"/>
  <c r="AJ119" i="38"/>
  <c r="AK112" i="38"/>
  <c r="AK119" i="38"/>
  <c r="AL112" i="38"/>
  <c r="AL119" i="38"/>
  <c r="AM112" i="38"/>
  <c r="AM119" i="38"/>
  <c r="AN112" i="38"/>
  <c r="AN119" i="38"/>
  <c r="G113" i="38"/>
  <c r="G120" i="38"/>
  <c r="H113" i="38"/>
  <c r="H120" i="38"/>
  <c r="I113" i="38"/>
  <c r="I120" i="38"/>
  <c r="J113" i="38"/>
  <c r="J120" i="38"/>
  <c r="K113" i="38"/>
  <c r="K120" i="38"/>
  <c r="L113" i="38"/>
  <c r="L120" i="38"/>
  <c r="M113" i="38"/>
  <c r="M120" i="38"/>
  <c r="N113" i="38"/>
  <c r="N120" i="38"/>
  <c r="O113" i="38"/>
  <c r="O120" i="38"/>
  <c r="P113" i="38"/>
  <c r="P120" i="38"/>
  <c r="Q113" i="38"/>
  <c r="Q120" i="38"/>
  <c r="R113" i="38"/>
  <c r="R120" i="38"/>
  <c r="S113" i="38"/>
  <c r="S120" i="38"/>
  <c r="T113" i="38"/>
  <c r="T120" i="38"/>
  <c r="U113" i="38"/>
  <c r="U120" i="38"/>
  <c r="V113" i="38"/>
  <c r="V120" i="38"/>
  <c r="W113" i="38"/>
  <c r="W120" i="38"/>
  <c r="X113" i="38"/>
  <c r="X120" i="38"/>
  <c r="Y113" i="38"/>
  <c r="Y120" i="38"/>
  <c r="Z120" i="38"/>
  <c r="AA113" i="38"/>
  <c r="AA120" i="38"/>
  <c r="AB113" i="38"/>
  <c r="AB120" i="38"/>
  <c r="AC113" i="38"/>
  <c r="AC120" i="38"/>
  <c r="AD113" i="38"/>
  <c r="AD120" i="38"/>
  <c r="AE113" i="38"/>
  <c r="AE120" i="38"/>
  <c r="AF113" i="38"/>
  <c r="AF120" i="38"/>
  <c r="AG113" i="38"/>
  <c r="AG120" i="38"/>
  <c r="AH113" i="38"/>
  <c r="AH120" i="38"/>
  <c r="AI113" i="38"/>
  <c r="AI120" i="38"/>
  <c r="AJ113" i="38"/>
  <c r="AJ120" i="38"/>
  <c r="AK113" i="38"/>
  <c r="AK120" i="38"/>
  <c r="AL113" i="38"/>
  <c r="AL120" i="38"/>
  <c r="AM113" i="38"/>
  <c r="AM120" i="38"/>
  <c r="AN113" i="38"/>
  <c r="AN120" i="38"/>
  <c r="G115" i="38"/>
  <c r="G121" i="38"/>
  <c r="H115" i="38"/>
  <c r="H121" i="38"/>
  <c r="I115" i="38"/>
  <c r="I121" i="38"/>
  <c r="J115" i="38"/>
  <c r="J121" i="38"/>
  <c r="K115" i="38"/>
  <c r="K121" i="38"/>
  <c r="L115" i="38"/>
  <c r="L121" i="38"/>
  <c r="M115" i="38"/>
  <c r="M121" i="38"/>
  <c r="N115" i="38"/>
  <c r="N121" i="38"/>
  <c r="O115" i="38"/>
  <c r="O121" i="38"/>
  <c r="P115" i="38"/>
  <c r="P121" i="38"/>
  <c r="Q115" i="38"/>
  <c r="Q121" i="38"/>
  <c r="R115" i="38"/>
  <c r="R121" i="38"/>
  <c r="S115" i="38"/>
  <c r="S121" i="38"/>
  <c r="T115" i="38"/>
  <c r="T121" i="38"/>
  <c r="U115" i="38"/>
  <c r="U121" i="38"/>
  <c r="V115" i="38"/>
  <c r="V121" i="38"/>
  <c r="Y115" i="38"/>
  <c r="Y121" i="38"/>
  <c r="Z115" i="38"/>
  <c r="Z121" i="38"/>
  <c r="AA115" i="38"/>
  <c r="AA121" i="38"/>
  <c r="AB115" i="38"/>
  <c r="AB121" i="38"/>
  <c r="AC115" i="38"/>
  <c r="AC121" i="38"/>
  <c r="AD121" i="38"/>
  <c r="AE121" i="38"/>
  <c r="AF121" i="38"/>
  <c r="AG121" i="38"/>
  <c r="AH121" i="38"/>
  <c r="AI121" i="38"/>
  <c r="AJ121" i="38"/>
  <c r="AK121" i="38"/>
  <c r="AL121" i="38"/>
  <c r="AM121" i="38"/>
  <c r="AN121" i="38"/>
  <c r="G122" i="38"/>
  <c r="H122" i="38"/>
  <c r="I122" i="38"/>
  <c r="J122" i="38"/>
  <c r="K122" i="38"/>
  <c r="L122" i="38"/>
  <c r="M122" i="38"/>
  <c r="N122" i="38"/>
  <c r="O122" i="38"/>
  <c r="P122" i="38"/>
  <c r="Q122" i="38"/>
  <c r="R122" i="38"/>
  <c r="S122" i="38"/>
  <c r="T122" i="38"/>
  <c r="U122" i="38"/>
  <c r="V122" i="38"/>
  <c r="Y122" i="38"/>
  <c r="Z122" i="38"/>
  <c r="AA122" i="38"/>
  <c r="AB122" i="38"/>
  <c r="AC122" i="38"/>
  <c r="AD122" i="38"/>
  <c r="AE122" i="38"/>
  <c r="AF122" i="38"/>
  <c r="AG122" i="38"/>
  <c r="AH122" i="38"/>
  <c r="AI122" i="38"/>
  <c r="AJ122" i="38"/>
  <c r="AK122" i="38"/>
  <c r="AL122" i="38"/>
  <c r="AM122" i="38"/>
  <c r="AN122" i="38"/>
  <c r="W127" i="38"/>
  <c r="W133" i="38"/>
  <c r="W134" i="38"/>
  <c r="X127" i="38"/>
  <c r="X133" i="38"/>
  <c r="X134" i="38"/>
  <c r="AD127" i="38"/>
  <c r="AE127" i="38"/>
  <c r="AF127" i="38"/>
  <c r="AG127" i="38"/>
  <c r="AH127" i="38"/>
  <c r="AI127" i="38"/>
  <c r="AJ127" i="38"/>
  <c r="AK127" i="38"/>
  <c r="AL127" i="38"/>
  <c r="AM127" i="38"/>
  <c r="AN127" i="38"/>
  <c r="G128" i="38"/>
  <c r="H128" i="38"/>
  <c r="I128" i="38"/>
  <c r="J128" i="38"/>
  <c r="K128" i="38"/>
  <c r="L128" i="38"/>
  <c r="M128" i="38"/>
  <c r="N128" i="38"/>
  <c r="O128" i="38"/>
  <c r="P128" i="38"/>
  <c r="Q128" i="38"/>
  <c r="R128" i="38"/>
  <c r="S128" i="38"/>
  <c r="T128" i="38"/>
  <c r="U128" i="38"/>
  <c r="V128" i="38"/>
  <c r="W128" i="38"/>
  <c r="X128" i="38"/>
  <c r="Y128" i="38"/>
  <c r="Z128" i="38"/>
  <c r="AA128" i="38"/>
  <c r="AB128" i="38"/>
  <c r="AC128" i="38"/>
  <c r="AD128" i="38"/>
  <c r="AE128" i="38"/>
  <c r="AF128" i="38"/>
  <c r="AG128" i="38"/>
  <c r="AH128" i="38"/>
  <c r="AI128" i="38"/>
  <c r="AJ128" i="38"/>
  <c r="AK128" i="38"/>
  <c r="AL128" i="38"/>
  <c r="AM128" i="38"/>
  <c r="AN128" i="38"/>
  <c r="G100" i="38"/>
  <c r="G107" i="38"/>
  <c r="H100" i="38"/>
  <c r="H107" i="38"/>
  <c r="I100" i="38"/>
  <c r="I107" i="38"/>
  <c r="J100" i="38"/>
  <c r="J107" i="38"/>
  <c r="K100" i="38"/>
  <c r="K107" i="38"/>
  <c r="L100" i="38"/>
  <c r="L107" i="38"/>
  <c r="M100" i="38"/>
  <c r="M107" i="38"/>
  <c r="N100" i="38"/>
  <c r="N107" i="38"/>
  <c r="O107" i="38"/>
  <c r="P100" i="38"/>
  <c r="P107" i="38"/>
  <c r="Q100" i="38"/>
  <c r="Q107" i="38"/>
  <c r="R100" i="38"/>
  <c r="R107" i="38"/>
  <c r="S100" i="38"/>
  <c r="S107" i="38"/>
  <c r="T100" i="38"/>
  <c r="T107" i="38"/>
  <c r="U100" i="38"/>
  <c r="U107" i="38"/>
  <c r="V100" i="38"/>
  <c r="V107" i="38"/>
  <c r="W100" i="38"/>
  <c r="W107" i="38"/>
  <c r="X100" i="38"/>
  <c r="X107" i="38"/>
  <c r="Y100" i="38"/>
  <c r="Y107" i="38"/>
  <c r="Z107" i="38"/>
  <c r="AA100" i="38"/>
  <c r="AA107" i="38"/>
  <c r="AB100" i="38"/>
  <c r="AB107" i="38"/>
  <c r="AC100" i="38"/>
  <c r="AC107" i="38"/>
  <c r="AD100" i="38"/>
  <c r="AD107" i="38"/>
  <c r="AE100" i="38"/>
  <c r="AE107" i="38"/>
  <c r="AF100" i="38"/>
  <c r="AF107" i="38"/>
  <c r="AG100" i="38"/>
  <c r="AG107" i="38"/>
  <c r="AH100" i="38"/>
  <c r="AH107" i="38"/>
  <c r="AI100" i="38"/>
  <c r="AI107" i="38"/>
  <c r="AJ100" i="38"/>
  <c r="AJ107" i="38"/>
  <c r="AK100" i="38"/>
  <c r="AK107" i="38"/>
  <c r="AL100" i="38"/>
  <c r="AL107" i="38"/>
  <c r="AM100" i="38"/>
  <c r="AM107" i="38"/>
  <c r="AN100" i="38"/>
  <c r="AN107" i="38"/>
  <c r="G101" i="38"/>
  <c r="G108" i="38"/>
  <c r="H101" i="38"/>
  <c r="H108" i="38"/>
  <c r="I101" i="38"/>
  <c r="I108" i="38"/>
  <c r="J101" i="38"/>
  <c r="J108" i="38"/>
  <c r="K101" i="38"/>
  <c r="K108" i="38"/>
  <c r="L101" i="38"/>
  <c r="L108" i="38"/>
  <c r="M101" i="38"/>
  <c r="M108" i="38"/>
  <c r="N101" i="38"/>
  <c r="N108" i="38"/>
  <c r="O108" i="38"/>
  <c r="P101" i="38"/>
  <c r="P108" i="38"/>
  <c r="Q101" i="38"/>
  <c r="Q108" i="38"/>
  <c r="R101" i="38"/>
  <c r="R108" i="38"/>
  <c r="S101" i="38"/>
  <c r="S108" i="38"/>
  <c r="T101" i="38"/>
  <c r="T108" i="38"/>
  <c r="U101" i="38"/>
  <c r="U108" i="38"/>
  <c r="V108" i="38"/>
  <c r="W101" i="38"/>
  <c r="W108" i="38"/>
  <c r="X101" i="38"/>
  <c r="X108" i="38"/>
  <c r="Y101" i="38"/>
  <c r="Y108" i="38"/>
  <c r="Z108" i="38"/>
  <c r="AA101" i="38"/>
  <c r="AA108" i="38"/>
  <c r="AB101" i="38"/>
  <c r="AB108" i="38"/>
  <c r="AC101" i="38"/>
  <c r="AC108" i="38"/>
  <c r="AD101" i="38"/>
  <c r="AD108" i="38"/>
  <c r="AE101" i="38"/>
  <c r="AE108" i="38"/>
  <c r="AF101" i="38"/>
  <c r="AF108" i="38"/>
  <c r="AG101" i="38"/>
  <c r="AG108" i="38"/>
  <c r="AH101" i="38"/>
  <c r="AH108" i="38"/>
  <c r="AI101" i="38"/>
  <c r="AI108" i="38"/>
  <c r="AJ101" i="38"/>
  <c r="AJ108" i="38"/>
  <c r="AK101" i="38"/>
  <c r="AK108" i="38"/>
  <c r="AL101" i="38"/>
  <c r="AL108" i="38"/>
  <c r="AM101" i="38"/>
  <c r="AM108" i="38"/>
  <c r="AN101" i="38"/>
  <c r="AN108" i="38"/>
  <c r="G103" i="38"/>
  <c r="G109" i="38"/>
  <c r="H103" i="38"/>
  <c r="H109" i="38"/>
  <c r="I103" i="38"/>
  <c r="I109" i="38"/>
  <c r="J103" i="38"/>
  <c r="J109" i="38"/>
  <c r="K103" i="38"/>
  <c r="K109" i="38"/>
  <c r="L103" i="38"/>
  <c r="L109" i="38"/>
  <c r="M103" i="38"/>
  <c r="M109" i="38"/>
  <c r="N103" i="38"/>
  <c r="N109" i="38"/>
  <c r="O103" i="38"/>
  <c r="O109" i="38"/>
  <c r="P103" i="38"/>
  <c r="P109" i="38"/>
  <c r="Q103" i="38"/>
  <c r="Q109" i="38"/>
  <c r="R103" i="38"/>
  <c r="R109" i="38"/>
  <c r="S103" i="38"/>
  <c r="S109" i="38"/>
  <c r="T103" i="38"/>
  <c r="T109" i="38"/>
  <c r="U103" i="38"/>
  <c r="U109" i="38"/>
  <c r="V103" i="38"/>
  <c r="V109" i="38"/>
  <c r="Y103" i="38"/>
  <c r="Y109" i="38"/>
  <c r="Z103" i="38"/>
  <c r="Z109" i="38"/>
  <c r="AA103" i="38"/>
  <c r="AA109" i="38"/>
  <c r="AB103" i="38"/>
  <c r="AB109" i="38"/>
  <c r="AC103" i="38"/>
  <c r="AC109" i="38"/>
  <c r="AD109" i="38"/>
  <c r="AE109" i="38"/>
  <c r="AF109" i="38"/>
  <c r="AG109" i="38"/>
  <c r="AH109" i="38"/>
  <c r="AI109" i="38"/>
  <c r="AJ109" i="38"/>
  <c r="AK109" i="38"/>
  <c r="AL109" i="38"/>
  <c r="AM109" i="38"/>
  <c r="AN109" i="38"/>
  <c r="G110" i="38"/>
  <c r="H110" i="38"/>
  <c r="I110" i="38"/>
  <c r="J110" i="38"/>
  <c r="K110" i="38"/>
  <c r="L110" i="38"/>
  <c r="M110" i="38"/>
  <c r="N110" i="38"/>
  <c r="O110" i="38"/>
  <c r="P110" i="38"/>
  <c r="Q110" i="38"/>
  <c r="R110" i="38"/>
  <c r="S110" i="38"/>
  <c r="T110" i="38"/>
  <c r="U110" i="38"/>
  <c r="V110" i="38"/>
  <c r="Y110" i="38"/>
  <c r="Z110" i="38"/>
  <c r="AA110" i="38"/>
  <c r="AB110" i="38"/>
  <c r="AC110" i="38"/>
  <c r="AD110" i="38"/>
  <c r="AE110" i="38"/>
  <c r="AF110" i="38"/>
  <c r="AG110" i="38"/>
  <c r="AH110" i="38"/>
  <c r="AI110" i="38"/>
  <c r="AJ110" i="38"/>
  <c r="AK110" i="38"/>
  <c r="AL110" i="38"/>
  <c r="AM110" i="38"/>
  <c r="AN110" i="38"/>
  <c r="W115" i="38"/>
  <c r="W121" i="38"/>
  <c r="W122" i="38"/>
  <c r="X115" i="38"/>
  <c r="X121" i="38"/>
  <c r="X122" i="38"/>
  <c r="AD115" i="38"/>
  <c r="AE115" i="38"/>
  <c r="AF115" i="38"/>
  <c r="AG115" i="38"/>
  <c r="AH115" i="38"/>
  <c r="AI115" i="38"/>
  <c r="AJ115" i="38"/>
  <c r="AK115" i="38"/>
  <c r="AL115" i="38"/>
  <c r="AM115" i="38"/>
  <c r="AN115" i="38"/>
  <c r="G116" i="38"/>
  <c r="H116" i="38"/>
  <c r="I116" i="38"/>
  <c r="J116" i="38"/>
  <c r="K116" i="38"/>
  <c r="L116" i="38"/>
  <c r="M116" i="38"/>
  <c r="N116" i="38"/>
  <c r="O116" i="38"/>
  <c r="P116" i="38"/>
  <c r="Q116" i="38"/>
  <c r="R116" i="38"/>
  <c r="S116" i="38"/>
  <c r="T116" i="38"/>
  <c r="U116" i="38"/>
  <c r="W116" i="38"/>
  <c r="X116" i="38"/>
  <c r="Y116" i="38"/>
  <c r="Z116" i="38"/>
  <c r="AA116" i="38"/>
  <c r="AB116" i="38"/>
  <c r="AC116" i="38"/>
  <c r="AD116" i="38"/>
  <c r="AE116" i="38"/>
  <c r="AF116" i="38"/>
  <c r="AG116" i="38"/>
  <c r="AH116" i="38"/>
  <c r="AI116" i="38"/>
  <c r="AJ116" i="38"/>
  <c r="AK116" i="38"/>
  <c r="AL116" i="38"/>
  <c r="AM116" i="38"/>
  <c r="AN116" i="38"/>
  <c r="G88" i="38"/>
  <c r="G95" i="38"/>
  <c r="H88" i="38"/>
  <c r="H95" i="38"/>
  <c r="I88" i="38"/>
  <c r="I95" i="38"/>
  <c r="J88" i="38"/>
  <c r="J95" i="38"/>
  <c r="K88" i="38"/>
  <c r="K95" i="38"/>
  <c r="L95" i="38"/>
  <c r="M88" i="38"/>
  <c r="M95" i="38"/>
  <c r="N88" i="38"/>
  <c r="N95" i="38"/>
  <c r="O88" i="38"/>
  <c r="O95" i="38"/>
  <c r="P88" i="38"/>
  <c r="P95" i="38"/>
  <c r="Q88" i="38"/>
  <c r="Q95" i="38"/>
  <c r="R88" i="38"/>
  <c r="R95" i="38"/>
  <c r="S88" i="38"/>
  <c r="S95" i="38"/>
  <c r="T95" i="38"/>
  <c r="U88" i="38"/>
  <c r="U95" i="38"/>
  <c r="V88" i="38"/>
  <c r="V95" i="38"/>
  <c r="W88" i="38"/>
  <c r="W95" i="38"/>
  <c r="X88" i="38"/>
  <c r="X95" i="38"/>
  <c r="Y88" i="38"/>
  <c r="Y95" i="38"/>
  <c r="Z95" i="38"/>
  <c r="AA88" i="38"/>
  <c r="AA95" i="38"/>
  <c r="AB88" i="38"/>
  <c r="AB95" i="38"/>
  <c r="AC88" i="38"/>
  <c r="AC95" i="38"/>
  <c r="AD88" i="38"/>
  <c r="AD95" i="38"/>
  <c r="AE88" i="38"/>
  <c r="AE95" i="38"/>
  <c r="AF88" i="38"/>
  <c r="AF95" i="38"/>
  <c r="AG88" i="38"/>
  <c r="AG95" i="38"/>
  <c r="AH88" i="38"/>
  <c r="AH95" i="38"/>
  <c r="AI88" i="38"/>
  <c r="AI95" i="38"/>
  <c r="AJ88" i="38"/>
  <c r="AJ95" i="38"/>
  <c r="AK88" i="38"/>
  <c r="AK95" i="38"/>
  <c r="AL88" i="38"/>
  <c r="AL95" i="38"/>
  <c r="AM88" i="38"/>
  <c r="AM95" i="38"/>
  <c r="AN88" i="38"/>
  <c r="AN95" i="38"/>
  <c r="G89" i="38"/>
  <c r="G96" i="38"/>
  <c r="H89" i="38"/>
  <c r="H96" i="38"/>
  <c r="I89" i="38"/>
  <c r="I96" i="38"/>
  <c r="J89" i="38"/>
  <c r="J96" i="38"/>
  <c r="K89" i="38"/>
  <c r="K96" i="38"/>
  <c r="L96" i="38"/>
  <c r="M89" i="38"/>
  <c r="M96" i="38"/>
  <c r="N89" i="38"/>
  <c r="N96" i="38"/>
  <c r="O89" i="38"/>
  <c r="O96" i="38"/>
  <c r="P89" i="38"/>
  <c r="P96" i="38"/>
  <c r="Q89" i="38"/>
  <c r="Q96" i="38"/>
  <c r="R89" i="38"/>
  <c r="R96" i="38"/>
  <c r="S89" i="38"/>
  <c r="S96" i="38"/>
  <c r="T96" i="38"/>
  <c r="U89" i="38"/>
  <c r="U96" i="38"/>
  <c r="V89" i="38"/>
  <c r="V96" i="38"/>
  <c r="W89" i="38"/>
  <c r="W96" i="38"/>
  <c r="X89" i="38"/>
  <c r="X96" i="38"/>
  <c r="Y96" i="38"/>
  <c r="AA89" i="38"/>
  <c r="AA96" i="38"/>
  <c r="AB89" i="38"/>
  <c r="AB96" i="38"/>
  <c r="AC89" i="38"/>
  <c r="AC96" i="38"/>
  <c r="AD89" i="38"/>
  <c r="AD96" i="38"/>
  <c r="AE89" i="38"/>
  <c r="AE96" i="38"/>
  <c r="AF89" i="38"/>
  <c r="AF96" i="38"/>
  <c r="AG89" i="38"/>
  <c r="AG96" i="38"/>
  <c r="AH89" i="38"/>
  <c r="AH96" i="38"/>
  <c r="AI89" i="38"/>
  <c r="AI96" i="38"/>
  <c r="AJ89" i="38"/>
  <c r="AJ96" i="38"/>
  <c r="AK89" i="38"/>
  <c r="AK96" i="38"/>
  <c r="AL89" i="38"/>
  <c r="AL96" i="38"/>
  <c r="AM89" i="38"/>
  <c r="AM96" i="38"/>
  <c r="AN89" i="38"/>
  <c r="AN96" i="38"/>
  <c r="G91" i="38"/>
  <c r="G97" i="38"/>
  <c r="H91" i="38"/>
  <c r="H97" i="38"/>
  <c r="I91" i="38"/>
  <c r="I97" i="38"/>
  <c r="J91" i="38"/>
  <c r="J97" i="38"/>
  <c r="K91" i="38"/>
  <c r="K97" i="38"/>
  <c r="L91" i="38"/>
  <c r="L97" i="38"/>
  <c r="M91" i="38"/>
  <c r="M97" i="38"/>
  <c r="N91" i="38"/>
  <c r="N97" i="38"/>
  <c r="O91" i="38"/>
  <c r="O97" i="38"/>
  <c r="P91" i="38"/>
  <c r="P97" i="38"/>
  <c r="Q91" i="38"/>
  <c r="Q97" i="38"/>
  <c r="R91" i="38"/>
  <c r="R97" i="38"/>
  <c r="S91" i="38"/>
  <c r="S97" i="38"/>
  <c r="T91" i="38"/>
  <c r="T97" i="38"/>
  <c r="U91" i="38"/>
  <c r="U97" i="38"/>
  <c r="V91" i="38"/>
  <c r="V97" i="38"/>
  <c r="Y97" i="38"/>
  <c r="AA91" i="38"/>
  <c r="AA97" i="38"/>
  <c r="AB91" i="38"/>
  <c r="AB97" i="38"/>
  <c r="AC91" i="38"/>
  <c r="AC97" i="38"/>
  <c r="AD97" i="38"/>
  <c r="AE97" i="38"/>
  <c r="AF97" i="38"/>
  <c r="AG97" i="38"/>
  <c r="AH97" i="38"/>
  <c r="AI97" i="38"/>
  <c r="AJ97" i="38"/>
  <c r="AK97" i="38"/>
  <c r="AL97" i="38"/>
  <c r="AM97" i="38"/>
  <c r="AN97" i="38"/>
  <c r="G98" i="38"/>
  <c r="H98" i="38"/>
  <c r="I98" i="38"/>
  <c r="J98" i="38"/>
  <c r="K98" i="38"/>
  <c r="L98" i="38"/>
  <c r="M98" i="38"/>
  <c r="N98" i="38"/>
  <c r="O98" i="38"/>
  <c r="P98" i="38"/>
  <c r="Q98" i="38"/>
  <c r="R98" i="38"/>
  <c r="S98" i="38"/>
  <c r="T98" i="38"/>
  <c r="U98" i="38"/>
  <c r="V98" i="38"/>
  <c r="Y98" i="38"/>
  <c r="AA98" i="38"/>
  <c r="AB98" i="38"/>
  <c r="AC98" i="38"/>
  <c r="AD98" i="38"/>
  <c r="AE98" i="38"/>
  <c r="AF98" i="38"/>
  <c r="AG98" i="38"/>
  <c r="AH98" i="38"/>
  <c r="AI98" i="38"/>
  <c r="AJ98" i="38"/>
  <c r="AK98" i="38"/>
  <c r="AL98" i="38"/>
  <c r="AM98" i="38"/>
  <c r="AN98" i="38"/>
  <c r="W103" i="38"/>
  <c r="W109" i="38"/>
  <c r="W110" i="38"/>
  <c r="X103" i="38"/>
  <c r="X109" i="38"/>
  <c r="X110" i="38"/>
  <c r="AD103" i="38"/>
  <c r="AE103" i="38"/>
  <c r="AF103" i="38"/>
  <c r="AG103" i="38"/>
  <c r="AH103" i="38"/>
  <c r="AI103" i="38"/>
  <c r="AJ103" i="38"/>
  <c r="AK103" i="38"/>
  <c r="AL103" i="38"/>
  <c r="AM103" i="38"/>
  <c r="AN103" i="38"/>
  <c r="G104" i="38"/>
  <c r="H104" i="38"/>
  <c r="I104" i="38"/>
  <c r="J104" i="38"/>
  <c r="K104" i="38"/>
  <c r="L104" i="38"/>
  <c r="M104" i="38"/>
  <c r="N104" i="38"/>
  <c r="O104" i="38"/>
  <c r="P104" i="38"/>
  <c r="Q104" i="38"/>
  <c r="R104" i="38"/>
  <c r="S104" i="38"/>
  <c r="T104" i="38"/>
  <c r="U104" i="38"/>
  <c r="V104" i="38"/>
  <c r="W104" i="38"/>
  <c r="X104" i="38"/>
  <c r="Y104" i="38"/>
  <c r="Z104" i="38"/>
  <c r="AA104" i="38"/>
  <c r="AB104" i="38"/>
  <c r="AC104" i="38"/>
  <c r="AD104" i="38"/>
  <c r="AE104" i="38"/>
  <c r="AF104" i="38"/>
  <c r="AG104" i="38"/>
  <c r="AH104" i="38"/>
  <c r="AI104" i="38"/>
  <c r="AJ104" i="38"/>
  <c r="AK104" i="38"/>
  <c r="AL104" i="38"/>
  <c r="AM104" i="38"/>
  <c r="AN104" i="38"/>
  <c r="G76" i="38"/>
  <c r="G83" i="38"/>
  <c r="H83" i="38"/>
  <c r="I76" i="38"/>
  <c r="I83" i="38"/>
  <c r="J76" i="38"/>
  <c r="J83" i="38"/>
  <c r="K76" i="38"/>
  <c r="K83" i="38"/>
  <c r="L76" i="38"/>
  <c r="L83" i="38"/>
  <c r="M76" i="38"/>
  <c r="M83" i="38"/>
  <c r="N76" i="38"/>
  <c r="N83" i="38"/>
  <c r="O83" i="38"/>
  <c r="P76" i="38"/>
  <c r="P83" i="38"/>
  <c r="Q76" i="38"/>
  <c r="Q83" i="38"/>
  <c r="R76" i="38"/>
  <c r="R83" i="38"/>
  <c r="S76" i="38"/>
  <c r="S83" i="38"/>
  <c r="T83" i="38"/>
  <c r="U76" i="38"/>
  <c r="U83" i="38"/>
  <c r="V83" i="38"/>
  <c r="W76" i="38"/>
  <c r="W83" i="38"/>
  <c r="X76" i="38"/>
  <c r="X83" i="38"/>
  <c r="Y76" i="38"/>
  <c r="Y83" i="38"/>
  <c r="Z76" i="38"/>
  <c r="Z83" i="38"/>
  <c r="AA76" i="38"/>
  <c r="AA83" i="38"/>
  <c r="AB76" i="38"/>
  <c r="AB83" i="38"/>
  <c r="AC83" i="38"/>
  <c r="AD76" i="38"/>
  <c r="AD83" i="38"/>
  <c r="AE76" i="38"/>
  <c r="AE83" i="38"/>
  <c r="AF76" i="38"/>
  <c r="AF83" i="38"/>
  <c r="AG76" i="38"/>
  <c r="AG83" i="38"/>
  <c r="AH76" i="38"/>
  <c r="AH83" i="38"/>
  <c r="AI76" i="38"/>
  <c r="AI83" i="38"/>
  <c r="AJ76" i="38"/>
  <c r="AJ83" i="38"/>
  <c r="AK76" i="38"/>
  <c r="AK83" i="38"/>
  <c r="AL76" i="38"/>
  <c r="AL83" i="38"/>
  <c r="AM76" i="38"/>
  <c r="AM83" i="38"/>
  <c r="AN76" i="38"/>
  <c r="AN83" i="38"/>
  <c r="G77" i="38"/>
  <c r="G84" i="38"/>
  <c r="H84" i="38"/>
  <c r="I77" i="38"/>
  <c r="I84" i="38"/>
  <c r="J77" i="38"/>
  <c r="J84" i="38"/>
  <c r="K77" i="38"/>
  <c r="K84" i="38"/>
  <c r="L77" i="38"/>
  <c r="L84" i="38"/>
  <c r="M77" i="38"/>
  <c r="M84" i="38"/>
  <c r="N77" i="38"/>
  <c r="N84" i="38"/>
  <c r="O84" i="38"/>
  <c r="P77" i="38"/>
  <c r="P84" i="38"/>
  <c r="Q77" i="38"/>
  <c r="Q84" i="38"/>
  <c r="R77" i="38"/>
  <c r="R84" i="38"/>
  <c r="S77" i="38"/>
  <c r="S84" i="38"/>
  <c r="T84" i="38"/>
  <c r="U77" i="38"/>
  <c r="U84" i="38"/>
  <c r="V84" i="38"/>
  <c r="W77" i="38"/>
  <c r="W84" i="38"/>
  <c r="X77" i="38"/>
  <c r="X84" i="38"/>
  <c r="Y77" i="38"/>
  <c r="Y84" i="38"/>
  <c r="Z77" i="38"/>
  <c r="Z84" i="38"/>
  <c r="AA77" i="38"/>
  <c r="AA84" i="38"/>
  <c r="AB77" i="38"/>
  <c r="AB84" i="38"/>
  <c r="AC84" i="38"/>
  <c r="AD77" i="38"/>
  <c r="AD84" i="38"/>
  <c r="AE77" i="38"/>
  <c r="AE84" i="38"/>
  <c r="AF77" i="38"/>
  <c r="AF84" i="38"/>
  <c r="AG77" i="38"/>
  <c r="AG84" i="38"/>
  <c r="AH77" i="38"/>
  <c r="AH84" i="38"/>
  <c r="AI77" i="38"/>
  <c r="AI84" i="38"/>
  <c r="AJ77" i="38"/>
  <c r="AJ84" i="38"/>
  <c r="AK77" i="38"/>
  <c r="AK84" i="38"/>
  <c r="AL77" i="38"/>
  <c r="AL84" i="38"/>
  <c r="AM77" i="38"/>
  <c r="AM84" i="38"/>
  <c r="AN77" i="38"/>
  <c r="AN84" i="38"/>
  <c r="G79" i="38"/>
  <c r="G85" i="38"/>
  <c r="H79" i="38"/>
  <c r="H85" i="38"/>
  <c r="I79" i="38"/>
  <c r="I85" i="38"/>
  <c r="J79" i="38"/>
  <c r="J85" i="38"/>
  <c r="K79" i="38"/>
  <c r="K85" i="38"/>
  <c r="L79" i="38"/>
  <c r="L85" i="38"/>
  <c r="M79" i="38"/>
  <c r="M85" i="38"/>
  <c r="N79" i="38"/>
  <c r="N85" i="38"/>
  <c r="O79" i="38"/>
  <c r="O85" i="38"/>
  <c r="P79" i="38"/>
  <c r="P85" i="38"/>
  <c r="Q79" i="38"/>
  <c r="Q85" i="38"/>
  <c r="R79" i="38"/>
  <c r="R85" i="38"/>
  <c r="S79" i="38"/>
  <c r="S85" i="38"/>
  <c r="T79" i="38"/>
  <c r="T85" i="38"/>
  <c r="U79" i="38"/>
  <c r="U85" i="38"/>
  <c r="V79" i="38"/>
  <c r="V85" i="38"/>
  <c r="Y79" i="38"/>
  <c r="Y85" i="38"/>
  <c r="Z79" i="38"/>
  <c r="Z85" i="38"/>
  <c r="AA79" i="38"/>
  <c r="AA85" i="38"/>
  <c r="AB79" i="38"/>
  <c r="AB85" i="38"/>
  <c r="AC79" i="38"/>
  <c r="AC85" i="38"/>
  <c r="AD85" i="38"/>
  <c r="AE85" i="38"/>
  <c r="AF85" i="38"/>
  <c r="AG85" i="38"/>
  <c r="AH85" i="38"/>
  <c r="AI85" i="38"/>
  <c r="AJ85" i="38"/>
  <c r="AK85" i="38"/>
  <c r="AL85" i="38"/>
  <c r="AM85" i="38"/>
  <c r="AN85" i="38"/>
  <c r="G86" i="38"/>
  <c r="H86" i="38"/>
  <c r="I86" i="38"/>
  <c r="J86" i="38"/>
  <c r="K86" i="38"/>
  <c r="L86" i="38"/>
  <c r="M86" i="38"/>
  <c r="N86" i="38"/>
  <c r="O86" i="38"/>
  <c r="P86" i="38"/>
  <c r="Q86" i="38"/>
  <c r="R86" i="38"/>
  <c r="S86" i="38"/>
  <c r="T86" i="38"/>
  <c r="U86" i="38"/>
  <c r="V86" i="38"/>
  <c r="Y86" i="38"/>
  <c r="Z86" i="38"/>
  <c r="AA86" i="38"/>
  <c r="AB86" i="38"/>
  <c r="AC86" i="38"/>
  <c r="AD86" i="38"/>
  <c r="AE86" i="38"/>
  <c r="AF86" i="38"/>
  <c r="AG86" i="38"/>
  <c r="AH86" i="38"/>
  <c r="AI86" i="38"/>
  <c r="AJ86" i="38"/>
  <c r="AK86" i="38"/>
  <c r="AL86" i="38"/>
  <c r="AM86" i="38"/>
  <c r="AN86" i="38"/>
  <c r="W91" i="38"/>
  <c r="W97" i="38"/>
  <c r="W98" i="38"/>
  <c r="X91" i="38"/>
  <c r="X97" i="38"/>
  <c r="X98" i="38"/>
  <c r="AD91" i="38"/>
  <c r="AE91" i="38"/>
  <c r="AF91" i="38"/>
  <c r="AG91" i="38"/>
  <c r="AH91" i="38"/>
  <c r="AI91" i="38"/>
  <c r="AJ91" i="38"/>
  <c r="AK91" i="38"/>
  <c r="AL91" i="38"/>
  <c r="AM91" i="38"/>
  <c r="AN91" i="38"/>
  <c r="G92" i="38"/>
  <c r="H92" i="38"/>
  <c r="I92" i="38"/>
  <c r="J92" i="38"/>
  <c r="K92" i="38"/>
  <c r="L92" i="38"/>
  <c r="M92" i="38"/>
  <c r="N92" i="38"/>
  <c r="O92" i="38"/>
  <c r="P92" i="38"/>
  <c r="Q92" i="38"/>
  <c r="R92" i="38"/>
  <c r="S92" i="38"/>
  <c r="T92" i="38"/>
  <c r="U92" i="38"/>
  <c r="V92" i="38"/>
  <c r="W92" i="38"/>
  <c r="X92" i="38"/>
  <c r="Y92" i="38"/>
  <c r="Z92" i="38"/>
  <c r="AA92" i="38"/>
  <c r="AB92" i="38"/>
  <c r="AC92" i="38"/>
  <c r="AD92" i="38"/>
  <c r="AE92" i="38"/>
  <c r="AF92" i="38"/>
  <c r="AG92" i="38"/>
  <c r="AH92" i="38"/>
  <c r="AI92" i="38"/>
  <c r="AJ92" i="38"/>
  <c r="AK92" i="38"/>
  <c r="AL92" i="38"/>
  <c r="AM92" i="38"/>
  <c r="AN92" i="38"/>
  <c r="W79" i="38"/>
  <c r="W85" i="38"/>
  <c r="W86" i="38"/>
  <c r="X79" i="38"/>
  <c r="X85" i="38"/>
  <c r="X86" i="38"/>
  <c r="AD79" i="38"/>
  <c r="AE79" i="38"/>
  <c r="AF79" i="38"/>
  <c r="AG79" i="38"/>
  <c r="AH79" i="38"/>
  <c r="AI79" i="38"/>
  <c r="AJ79" i="38"/>
  <c r="AK79" i="38"/>
  <c r="AL79" i="38"/>
  <c r="AM79" i="38"/>
  <c r="AN79" i="38"/>
  <c r="G80" i="38"/>
  <c r="H80" i="38"/>
  <c r="I80" i="38"/>
  <c r="J80" i="38"/>
  <c r="K80" i="38"/>
  <c r="L80" i="38"/>
  <c r="M80" i="38"/>
  <c r="N80" i="38"/>
  <c r="O80" i="38"/>
  <c r="P80" i="38"/>
  <c r="Q80" i="38"/>
  <c r="R80" i="38"/>
  <c r="S80" i="38"/>
  <c r="T80" i="38"/>
  <c r="U80" i="38"/>
  <c r="V80" i="38"/>
  <c r="W80" i="38"/>
  <c r="X80" i="38"/>
  <c r="Y80" i="38"/>
  <c r="Z80" i="38"/>
  <c r="AA80" i="38"/>
  <c r="AB80" i="38"/>
  <c r="AC80" i="38"/>
  <c r="AD80" i="38"/>
  <c r="AE80" i="38"/>
  <c r="AF80" i="38"/>
  <c r="AG80" i="38"/>
  <c r="AH80" i="38"/>
  <c r="AI80" i="38"/>
  <c r="AJ80" i="38"/>
  <c r="AK80" i="38"/>
  <c r="AL80" i="38"/>
  <c r="AM80" i="38"/>
  <c r="AN80" i="38"/>
  <c r="G64" i="38"/>
  <c r="G71" i="38"/>
  <c r="H64" i="38"/>
  <c r="H71" i="38"/>
  <c r="I64" i="38"/>
  <c r="I71" i="38"/>
  <c r="J64" i="38"/>
  <c r="J71" i="38"/>
  <c r="K64" i="38"/>
  <c r="K71" i="38"/>
  <c r="L64" i="38"/>
  <c r="L71" i="38"/>
  <c r="M64" i="38"/>
  <c r="M71" i="38"/>
  <c r="N64" i="38"/>
  <c r="N71" i="38"/>
  <c r="O71" i="38"/>
  <c r="P64" i="38"/>
  <c r="P71" i="38"/>
  <c r="Q64" i="38"/>
  <c r="Q71" i="38"/>
  <c r="R64" i="38"/>
  <c r="R71" i="38"/>
  <c r="S64" i="38"/>
  <c r="S71" i="38"/>
  <c r="T64" i="38"/>
  <c r="T71" i="38"/>
  <c r="U64" i="38"/>
  <c r="U71" i="38"/>
  <c r="V64" i="38"/>
  <c r="V71" i="38"/>
  <c r="W64" i="38"/>
  <c r="W71" i="38"/>
  <c r="X64" i="38"/>
  <c r="X71" i="38"/>
  <c r="Y64" i="38"/>
  <c r="Y71" i="38"/>
  <c r="Z64" i="38"/>
  <c r="Z71" i="38"/>
  <c r="AA64" i="38"/>
  <c r="AA71" i="38"/>
  <c r="AB64" i="38"/>
  <c r="AB71" i="38"/>
  <c r="AC71" i="38"/>
  <c r="AD64" i="38"/>
  <c r="AD71" i="38"/>
  <c r="AE64" i="38"/>
  <c r="AE71" i="38"/>
  <c r="AF64" i="38"/>
  <c r="AF71" i="38"/>
  <c r="AG64" i="38"/>
  <c r="AG71" i="38"/>
  <c r="AH64" i="38"/>
  <c r="AH71" i="38"/>
  <c r="AI64" i="38"/>
  <c r="AI71" i="38"/>
  <c r="AJ64" i="38"/>
  <c r="AJ71" i="38"/>
  <c r="AK64" i="38"/>
  <c r="AK71" i="38"/>
  <c r="AL64" i="38"/>
  <c r="AL71" i="38"/>
  <c r="AM64" i="38"/>
  <c r="AM71" i="38"/>
  <c r="AN64" i="38"/>
  <c r="AN71" i="38"/>
  <c r="G65" i="38"/>
  <c r="G72" i="38"/>
  <c r="H65" i="38"/>
  <c r="H72" i="38"/>
  <c r="I65" i="38"/>
  <c r="I72" i="38"/>
  <c r="J65" i="38"/>
  <c r="J72" i="38"/>
  <c r="K65" i="38"/>
  <c r="K72" i="38"/>
  <c r="L65" i="38"/>
  <c r="L72" i="38"/>
  <c r="M65" i="38"/>
  <c r="M72" i="38"/>
  <c r="N65" i="38"/>
  <c r="N72" i="38"/>
  <c r="O72" i="38"/>
  <c r="P65" i="38"/>
  <c r="P72" i="38"/>
  <c r="Q65" i="38"/>
  <c r="Q72" i="38"/>
  <c r="R65" i="38"/>
  <c r="R72" i="38"/>
  <c r="S65" i="38"/>
  <c r="S72" i="38"/>
  <c r="T65" i="38"/>
  <c r="T72" i="38"/>
  <c r="U65" i="38"/>
  <c r="U72" i="38"/>
  <c r="V65" i="38"/>
  <c r="V72" i="38"/>
  <c r="W65" i="38"/>
  <c r="W72" i="38"/>
  <c r="X65" i="38"/>
  <c r="X72" i="38"/>
  <c r="Y65" i="38"/>
  <c r="Y72" i="38"/>
  <c r="Z65" i="38"/>
  <c r="Z72" i="38"/>
  <c r="AA65" i="38"/>
  <c r="AA72" i="38"/>
  <c r="AB65" i="38"/>
  <c r="AB72" i="38"/>
  <c r="AC72" i="38"/>
  <c r="AD65" i="38"/>
  <c r="AD72" i="38"/>
  <c r="AE65" i="38"/>
  <c r="AE72" i="38"/>
  <c r="AF65" i="38"/>
  <c r="AF72" i="38"/>
  <c r="AG65" i="38"/>
  <c r="AG72" i="38"/>
  <c r="AH65" i="38"/>
  <c r="AH72" i="38"/>
  <c r="AI65" i="38"/>
  <c r="AI72" i="38"/>
  <c r="AJ65" i="38"/>
  <c r="AJ72" i="38"/>
  <c r="AK65" i="38"/>
  <c r="AK72" i="38"/>
  <c r="AL65" i="38"/>
  <c r="AL72" i="38"/>
  <c r="AM65" i="38"/>
  <c r="AM72" i="38"/>
  <c r="AN65" i="38"/>
  <c r="AN72" i="38"/>
  <c r="G67" i="38"/>
  <c r="G73" i="38"/>
  <c r="H67" i="38"/>
  <c r="H73" i="38"/>
  <c r="I67" i="38"/>
  <c r="I73" i="38"/>
  <c r="J67" i="38"/>
  <c r="J73" i="38"/>
  <c r="K67" i="38"/>
  <c r="K73" i="38"/>
  <c r="L67" i="38"/>
  <c r="L73" i="38"/>
  <c r="M67" i="38"/>
  <c r="M73" i="38"/>
  <c r="N67" i="38"/>
  <c r="N73" i="38"/>
  <c r="O67" i="38"/>
  <c r="O73" i="38"/>
  <c r="P67" i="38"/>
  <c r="P73" i="38"/>
  <c r="Q67" i="38"/>
  <c r="Q73" i="38"/>
  <c r="R67" i="38"/>
  <c r="R73" i="38"/>
  <c r="S67" i="38"/>
  <c r="S73" i="38"/>
  <c r="T67" i="38"/>
  <c r="T73" i="38"/>
  <c r="U67" i="38"/>
  <c r="U73" i="38"/>
  <c r="V67" i="38"/>
  <c r="V73" i="38"/>
  <c r="Y67" i="38"/>
  <c r="Y73" i="38"/>
  <c r="Z67" i="38"/>
  <c r="Z73" i="38"/>
  <c r="AA67" i="38"/>
  <c r="AA73" i="38"/>
  <c r="AB67" i="38"/>
  <c r="AB73" i="38"/>
  <c r="AC67" i="38"/>
  <c r="AC73" i="38"/>
  <c r="AD73" i="38"/>
  <c r="AE73" i="38"/>
  <c r="AF73" i="38"/>
  <c r="AG73" i="38"/>
  <c r="AH73" i="38"/>
  <c r="AI73" i="38"/>
  <c r="AJ73" i="38"/>
  <c r="AK73" i="38"/>
  <c r="AL73" i="38"/>
  <c r="AM73" i="38"/>
  <c r="AN73" i="38"/>
  <c r="G74" i="38"/>
  <c r="H74" i="38"/>
  <c r="I74" i="38"/>
  <c r="J74" i="38"/>
  <c r="K74" i="38"/>
  <c r="L74" i="38"/>
  <c r="M74" i="38"/>
  <c r="N74" i="38"/>
  <c r="O74" i="38"/>
  <c r="P74" i="38"/>
  <c r="Q74" i="38"/>
  <c r="R74" i="38"/>
  <c r="S74" i="38"/>
  <c r="T74" i="38"/>
  <c r="U74" i="38"/>
  <c r="V74" i="38"/>
  <c r="Y74" i="38"/>
  <c r="Z74" i="38"/>
  <c r="AA74" i="38"/>
  <c r="AB74" i="38"/>
  <c r="AC74" i="38"/>
  <c r="AD74" i="38"/>
  <c r="AE74" i="38"/>
  <c r="AF74" i="38"/>
  <c r="AG74" i="38"/>
  <c r="AH74" i="38"/>
  <c r="AI74" i="38"/>
  <c r="AJ74" i="38"/>
  <c r="AK74" i="38"/>
  <c r="AL74" i="38"/>
  <c r="AM74" i="38"/>
  <c r="AN74" i="38"/>
  <c r="G52" i="38"/>
  <c r="G59" i="38"/>
  <c r="H59" i="38"/>
  <c r="I52" i="38"/>
  <c r="I59" i="38"/>
  <c r="J52" i="38"/>
  <c r="J59" i="38"/>
  <c r="K52" i="38"/>
  <c r="K59" i="38"/>
  <c r="L52" i="38"/>
  <c r="L59" i="38"/>
  <c r="M52" i="38"/>
  <c r="M59" i="38"/>
  <c r="N52" i="38"/>
  <c r="N59" i="38"/>
  <c r="O59" i="38"/>
  <c r="P52" i="38"/>
  <c r="P59" i="38"/>
  <c r="Q52" i="38"/>
  <c r="Q59" i="38"/>
  <c r="R52" i="38"/>
  <c r="R59" i="38"/>
  <c r="S52" i="38"/>
  <c r="S59" i="38"/>
  <c r="T52" i="38"/>
  <c r="T59" i="38"/>
  <c r="U52" i="38"/>
  <c r="U59" i="38"/>
  <c r="V52" i="38"/>
  <c r="V59" i="38"/>
  <c r="W52" i="38"/>
  <c r="W59" i="38"/>
  <c r="X52" i="38"/>
  <c r="X59" i="38"/>
  <c r="Y52" i="38"/>
  <c r="Y59" i="38"/>
  <c r="Z59" i="38"/>
  <c r="AA52" i="38"/>
  <c r="AA59" i="38"/>
  <c r="AB52" i="38"/>
  <c r="AB59" i="38"/>
  <c r="AC59" i="38"/>
  <c r="AD52" i="38"/>
  <c r="AD59" i="38"/>
  <c r="AE52" i="38"/>
  <c r="AE59" i="38"/>
  <c r="AF52" i="38"/>
  <c r="AF59" i="38"/>
  <c r="AG52" i="38"/>
  <c r="AG59" i="38"/>
  <c r="AH52" i="38"/>
  <c r="AH59" i="38"/>
  <c r="AI52" i="38"/>
  <c r="AI59" i="38"/>
  <c r="AJ52" i="38"/>
  <c r="AJ59" i="38"/>
  <c r="AK52" i="38"/>
  <c r="AK59" i="38"/>
  <c r="AL52" i="38"/>
  <c r="AL59" i="38"/>
  <c r="AM52" i="38"/>
  <c r="AM59" i="38"/>
  <c r="AN52" i="38"/>
  <c r="AN59" i="38"/>
  <c r="G53" i="38"/>
  <c r="G60" i="38"/>
  <c r="H60" i="38"/>
  <c r="I53" i="38"/>
  <c r="I60" i="38"/>
  <c r="J53" i="38"/>
  <c r="J60" i="38"/>
  <c r="K53" i="38"/>
  <c r="K60" i="38"/>
  <c r="L53" i="38"/>
  <c r="L60" i="38"/>
  <c r="M53" i="38"/>
  <c r="M60" i="38"/>
  <c r="N53" i="38"/>
  <c r="N60" i="38"/>
  <c r="O60" i="38"/>
  <c r="P53" i="38"/>
  <c r="P60" i="38"/>
  <c r="Q53" i="38"/>
  <c r="Q60" i="38"/>
  <c r="R53" i="38"/>
  <c r="R60" i="38"/>
  <c r="S53" i="38"/>
  <c r="S60" i="38"/>
  <c r="T53" i="38"/>
  <c r="T60" i="38"/>
  <c r="U53" i="38"/>
  <c r="U60" i="38"/>
  <c r="V53" i="38"/>
  <c r="V60" i="38"/>
  <c r="W53" i="38"/>
  <c r="W60" i="38"/>
  <c r="X53" i="38"/>
  <c r="X60" i="38"/>
  <c r="Y53" i="38"/>
  <c r="Y60" i="38"/>
  <c r="Z60" i="38"/>
  <c r="AA53" i="38"/>
  <c r="AA60" i="38"/>
  <c r="AB53" i="38"/>
  <c r="AB60" i="38"/>
  <c r="AC53" i="38"/>
  <c r="AC60" i="38"/>
  <c r="AD53" i="38"/>
  <c r="AD60" i="38"/>
  <c r="AE53" i="38"/>
  <c r="AE60" i="38"/>
  <c r="AF53" i="38"/>
  <c r="AF60" i="38"/>
  <c r="AG53" i="38"/>
  <c r="AG60" i="38"/>
  <c r="AH53" i="38"/>
  <c r="AH60" i="38"/>
  <c r="AI53" i="38"/>
  <c r="AI60" i="38"/>
  <c r="AJ53" i="38"/>
  <c r="AJ60" i="38"/>
  <c r="AK53" i="38"/>
  <c r="AK60" i="38"/>
  <c r="AL53" i="38"/>
  <c r="AL60" i="38"/>
  <c r="AM53" i="38"/>
  <c r="AM60" i="38"/>
  <c r="AN53" i="38"/>
  <c r="AN60" i="38"/>
  <c r="G55" i="38"/>
  <c r="G61" i="38"/>
  <c r="H55" i="38"/>
  <c r="H61" i="38"/>
  <c r="I55" i="38"/>
  <c r="I61" i="38"/>
  <c r="J55" i="38"/>
  <c r="J61" i="38"/>
  <c r="K55" i="38"/>
  <c r="K61" i="38"/>
  <c r="L55" i="38"/>
  <c r="L61" i="38"/>
  <c r="M55" i="38"/>
  <c r="M61" i="38"/>
  <c r="N55" i="38"/>
  <c r="N61" i="38"/>
  <c r="O55" i="38"/>
  <c r="O61" i="38"/>
  <c r="P55" i="38"/>
  <c r="P61" i="38"/>
  <c r="Q55" i="38"/>
  <c r="Q61" i="38"/>
  <c r="R55" i="38"/>
  <c r="R61" i="38"/>
  <c r="S55" i="38"/>
  <c r="S61" i="38"/>
  <c r="T55" i="38"/>
  <c r="T61" i="38"/>
  <c r="U55" i="38"/>
  <c r="U61" i="38"/>
  <c r="V55" i="38"/>
  <c r="V61" i="38"/>
  <c r="Y55" i="38"/>
  <c r="Y61" i="38"/>
  <c r="Z55" i="38"/>
  <c r="Z61" i="38"/>
  <c r="AA55" i="38"/>
  <c r="AA61" i="38"/>
  <c r="AB55" i="38"/>
  <c r="AB61" i="38"/>
  <c r="AC55" i="38"/>
  <c r="AC61" i="38"/>
  <c r="AD61" i="38"/>
  <c r="AE61" i="38"/>
  <c r="AF61" i="38"/>
  <c r="AG61" i="38"/>
  <c r="AH61" i="38"/>
  <c r="AI61" i="38"/>
  <c r="AJ61" i="38"/>
  <c r="AK61" i="38"/>
  <c r="AL61" i="38"/>
  <c r="AM61" i="38"/>
  <c r="AN61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Y62" i="38"/>
  <c r="Z62" i="38"/>
  <c r="AA62" i="38"/>
  <c r="AB62" i="38"/>
  <c r="AC62" i="38"/>
  <c r="AD62" i="38"/>
  <c r="AE62" i="38"/>
  <c r="AF62" i="38"/>
  <c r="AG62" i="38"/>
  <c r="AH62" i="38"/>
  <c r="AI62" i="38"/>
  <c r="AJ62" i="38"/>
  <c r="AK62" i="38"/>
  <c r="AL62" i="38"/>
  <c r="AM62" i="38"/>
  <c r="AN62" i="38"/>
  <c r="W67" i="38"/>
  <c r="W73" i="38"/>
  <c r="W74" i="38"/>
  <c r="X67" i="38"/>
  <c r="X73" i="38"/>
  <c r="X74" i="38"/>
  <c r="AD67" i="38"/>
  <c r="AE67" i="38"/>
  <c r="AF67" i="38"/>
  <c r="AG67" i="38"/>
  <c r="AH67" i="38"/>
  <c r="AI67" i="38"/>
  <c r="AJ67" i="38"/>
  <c r="AK67" i="38"/>
  <c r="AL67" i="38"/>
  <c r="AM67" i="38"/>
  <c r="AN67" i="38"/>
  <c r="G68" i="38"/>
  <c r="H68" i="38"/>
  <c r="I68" i="38"/>
  <c r="J68" i="38"/>
  <c r="K68" i="38"/>
  <c r="L68" i="38"/>
  <c r="M68" i="38"/>
  <c r="N68" i="38"/>
  <c r="O68" i="38"/>
  <c r="P68" i="38"/>
  <c r="Q68" i="38"/>
  <c r="R68" i="38"/>
  <c r="S68" i="38"/>
  <c r="T68" i="38"/>
  <c r="U68" i="38"/>
  <c r="V68" i="38"/>
  <c r="W68" i="38"/>
  <c r="X68" i="38"/>
  <c r="Y68" i="38"/>
  <c r="Z68" i="38"/>
  <c r="AA68" i="38"/>
  <c r="AB68" i="38"/>
  <c r="AC68" i="38"/>
  <c r="AD68" i="38"/>
  <c r="AE68" i="38"/>
  <c r="AF68" i="38"/>
  <c r="AG68" i="38"/>
  <c r="AH68" i="38"/>
  <c r="AI68" i="38"/>
  <c r="AJ68" i="38"/>
  <c r="AK68" i="38"/>
  <c r="AL68" i="38"/>
  <c r="AM68" i="38"/>
  <c r="AN68" i="38"/>
  <c r="G40" i="38"/>
  <c r="G47" i="38"/>
  <c r="H47" i="38"/>
  <c r="I40" i="38"/>
  <c r="I47" i="38"/>
  <c r="J40" i="38"/>
  <c r="J47" i="38"/>
  <c r="K40" i="38"/>
  <c r="K47" i="38"/>
  <c r="L40" i="38"/>
  <c r="L47" i="38"/>
  <c r="M40" i="38"/>
  <c r="M47" i="38"/>
  <c r="N40" i="38"/>
  <c r="N47" i="38"/>
  <c r="O47" i="38"/>
  <c r="P40" i="38"/>
  <c r="P47" i="38"/>
  <c r="Q40" i="38"/>
  <c r="Q47" i="38"/>
  <c r="R40" i="38"/>
  <c r="R47" i="38"/>
  <c r="S40" i="38"/>
  <c r="S47" i="38"/>
  <c r="T47" i="38"/>
  <c r="U40" i="38"/>
  <c r="U47" i="38"/>
  <c r="V47" i="38"/>
  <c r="W40" i="38"/>
  <c r="W47" i="38"/>
  <c r="X40" i="38"/>
  <c r="X47" i="38"/>
  <c r="Y40" i="38"/>
  <c r="Y47" i="38"/>
  <c r="Z47" i="38"/>
  <c r="AA40" i="38"/>
  <c r="AA47" i="38"/>
  <c r="AB40" i="38"/>
  <c r="AB47" i="38"/>
  <c r="AC40" i="38"/>
  <c r="AC47" i="38"/>
  <c r="AD40" i="38"/>
  <c r="AD47" i="38"/>
  <c r="AE40" i="38"/>
  <c r="AE47" i="38"/>
  <c r="AF40" i="38"/>
  <c r="AF47" i="38"/>
  <c r="AG40" i="38"/>
  <c r="AG47" i="38"/>
  <c r="AH40" i="38"/>
  <c r="AH47" i="38"/>
  <c r="AI40" i="38"/>
  <c r="AI47" i="38"/>
  <c r="AJ40" i="38"/>
  <c r="AJ47" i="38"/>
  <c r="AK40" i="38"/>
  <c r="AK47" i="38"/>
  <c r="AL40" i="38"/>
  <c r="AL47" i="38"/>
  <c r="AM40" i="38"/>
  <c r="AM47" i="38"/>
  <c r="AN40" i="38"/>
  <c r="AN47" i="38"/>
  <c r="G41" i="38"/>
  <c r="G48" i="38"/>
  <c r="H48" i="38"/>
  <c r="I41" i="38"/>
  <c r="I48" i="38"/>
  <c r="J41" i="38"/>
  <c r="J48" i="38"/>
  <c r="K41" i="38"/>
  <c r="K48" i="38"/>
  <c r="L41" i="38"/>
  <c r="L48" i="38"/>
  <c r="M41" i="38"/>
  <c r="M48" i="38"/>
  <c r="N41" i="38"/>
  <c r="N48" i="38"/>
  <c r="O48" i="38"/>
  <c r="P41" i="38"/>
  <c r="P48" i="38"/>
  <c r="Q41" i="38"/>
  <c r="Q48" i="38"/>
  <c r="R41" i="38"/>
  <c r="R48" i="38"/>
  <c r="S41" i="38"/>
  <c r="S48" i="38"/>
  <c r="T48" i="38"/>
  <c r="U41" i="38"/>
  <c r="U48" i="38"/>
  <c r="V48" i="38"/>
  <c r="W41" i="38"/>
  <c r="W48" i="38"/>
  <c r="X41" i="38"/>
  <c r="X48" i="38"/>
  <c r="Y41" i="38"/>
  <c r="Y48" i="38"/>
  <c r="Z48" i="38"/>
  <c r="AA41" i="38"/>
  <c r="AA48" i="38"/>
  <c r="AB41" i="38"/>
  <c r="AB48" i="38"/>
  <c r="AC41" i="38"/>
  <c r="AC48" i="38"/>
  <c r="AD41" i="38"/>
  <c r="AD48" i="38"/>
  <c r="AE41" i="38"/>
  <c r="AE48" i="38"/>
  <c r="AF41" i="38"/>
  <c r="AF48" i="38"/>
  <c r="AG41" i="38"/>
  <c r="AG48" i="38"/>
  <c r="AH41" i="38"/>
  <c r="AH48" i="38"/>
  <c r="AI41" i="38"/>
  <c r="AI48" i="38"/>
  <c r="AJ41" i="38"/>
  <c r="AJ48" i="38"/>
  <c r="AK41" i="38"/>
  <c r="AK48" i="38"/>
  <c r="AL41" i="38"/>
  <c r="AL48" i="38"/>
  <c r="AM41" i="38"/>
  <c r="AM48" i="38"/>
  <c r="AN41" i="38"/>
  <c r="AN48" i="38"/>
  <c r="G43" i="38"/>
  <c r="G49" i="38"/>
  <c r="H43" i="38"/>
  <c r="H49" i="38"/>
  <c r="I43" i="38"/>
  <c r="I49" i="38"/>
  <c r="J43" i="38"/>
  <c r="J49" i="38"/>
  <c r="K43" i="38"/>
  <c r="K49" i="38"/>
  <c r="L43" i="38"/>
  <c r="L49" i="38"/>
  <c r="M43" i="38"/>
  <c r="M49" i="38"/>
  <c r="N43" i="38"/>
  <c r="N49" i="38"/>
  <c r="O43" i="38"/>
  <c r="O49" i="38"/>
  <c r="P43" i="38"/>
  <c r="P49" i="38"/>
  <c r="Q43" i="38"/>
  <c r="Q49" i="38"/>
  <c r="R43" i="38"/>
  <c r="R49" i="38"/>
  <c r="S43" i="38"/>
  <c r="S49" i="38"/>
  <c r="T43" i="38"/>
  <c r="T49" i="38"/>
  <c r="U43" i="38"/>
  <c r="U49" i="38"/>
  <c r="V43" i="38"/>
  <c r="V49" i="38"/>
  <c r="Y43" i="38"/>
  <c r="Y49" i="38"/>
  <c r="Z43" i="38"/>
  <c r="Z49" i="38"/>
  <c r="AA43" i="38"/>
  <c r="AA49" i="38"/>
  <c r="AB43" i="38"/>
  <c r="AB49" i="38"/>
  <c r="AC43" i="38"/>
  <c r="AC49" i="38"/>
  <c r="AD49" i="38"/>
  <c r="AE49" i="38"/>
  <c r="AF49" i="38"/>
  <c r="AG49" i="38"/>
  <c r="AH49" i="38"/>
  <c r="AI49" i="38"/>
  <c r="AJ49" i="38"/>
  <c r="AK49" i="38"/>
  <c r="AL49" i="38"/>
  <c r="AM49" i="38"/>
  <c r="AN49" i="38"/>
  <c r="G50" i="38"/>
  <c r="H50" i="38"/>
  <c r="I50" i="38"/>
  <c r="J50" i="38"/>
  <c r="K50" i="38"/>
  <c r="L50" i="38"/>
  <c r="M50" i="38"/>
  <c r="N50" i="38"/>
  <c r="O50" i="38"/>
  <c r="P50" i="38"/>
  <c r="Q50" i="38"/>
  <c r="R50" i="38"/>
  <c r="S50" i="38"/>
  <c r="T50" i="38"/>
  <c r="U50" i="38"/>
  <c r="V50" i="38"/>
  <c r="Y50" i="38"/>
  <c r="Z50" i="38"/>
  <c r="AA50" i="38"/>
  <c r="AB50" i="38"/>
  <c r="AC50" i="38"/>
  <c r="AD50" i="38"/>
  <c r="AE50" i="38"/>
  <c r="AF50" i="38"/>
  <c r="AG50" i="38"/>
  <c r="AH50" i="38"/>
  <c r="AI50" i="38"/>
  <c r="AJ50" i="38"/>
  <c r="AK50" i="38"/>
  <c r="AL50" i="38"/>
  <c r="AM50" i="38"/>
  <c r="AN50" i="38"/>
  <c r="W55" i="38"/>
  <c r="W61" i="38"/>
  <c r="W62" i="38"/>
  <c r="X55" i="38"/>
  <c r="X61" i="38"/>
  <c r="X62" i="38"/>
  <c r="AD55" i="38"/>
  <c r="AE55" i="38"/>
  <c r="AF55" i="38"/>
  <c r="AG55" i="38"/>
  <c r="AH55" i="38"/>
  <c r="AI55" i="38"/>
  <c r="AJ55" i="38"/>
  <c r="AK55" i="38"/>
  <c r="AL55" i="38"/>
  <c r="AM55" i="38"/>
  <c r="AN55" i="38"/>
  <c r="G56" i="38"/>
  <c r="H56" i="38"/>
  <c r="I56" i="38"/>
  <c r="J56" i="38"/>
  <c r="K56" i="38"/>
  <c r="L56" i="38"/>
  <c r="M56" i="38"/>
  <c r="N56" i="38"/>
  <c r="O56" i="38"/>
  <c r="P56" i="38"/>
  <c r="Q56" i="38"/>
  <c r="R56" i="38"/>
  <c r="S56" i="38"/>
  <c r="T56" i="38"/>
  <c r="U56" i="38"/>
  <c r="V56" i="38"/>
  <c r="W56" i="38"/>
  <c r="X56" i="38"/>
  <c r="Y56" i="38"/>
  <c r="AA56" i="38"/>
  <c r="AB56" i="38"/>
  <c r="AC56" i="38"/>
  <c r="AD56" i="38"/>
  <c r="AE56" i="38"/>
  <c r="AF56" i="38"/>
  <c r="AG56" i="38"/>
  <c r="AH56" i="38"/>
  <c r="AI56" i="38"/>
  <c r="AJ56" i="38"/>
  <c r="AK56" i="38"/>
  <c r="AL56" i="38"/>
  <c r="AM56" i="38"/>
  <c r="AN56" i="38"/>
  <c r="G28" i="38"/>
  <c r="G35" i="38"/>
  <c r="H28" i="38"/>
  <c r="H35" i="38"/>
  <c r="I28" i="38"/>
  <c r="I35" i="38"/>
  <c r="J28" i="38"/>
  <c r="J35" i="38"/>
  <c r="K28" i="38"/>
  <c r="K35" i="38"/>
  <c r="L35" i="38"/>
  <c r="M28" i="38"/>
  <c r="M35" i="38"/>
  <c r="N28" i="38"/>
  <c r="N35" i="38"/>
  <c r="O35" i="38"/>
  <c r="P28" i="38"/>
  <c r="P35" i="38"/>
  <c r="Q28" i="38"/>
  <c r="Q35" i="38"/>
  <c r="R28" i="38"/>
  <c r="R35" i="38"/>
  <c r="S28" i="38"/>
  <c r="S35" i="38"/>
  <c r="T28" i="38"/>
  <c r="T35" i="38"/>
  <c r="U28" i="38"/>
  <c r="U35" i="38"/>
  <c r="V28" i="38"/>
  <c r="V35" i="38"/>
  <c r="W28" i="38"/>
  <c r="W35" i="38"/>
  <c r="X28" i="38"/>
  <c r="X35" i="38"/>
  <c r="Y28" i="38"/>
  <c r="Y35" i="38"/>
  <c r="Z35" i="38"/>
  <c r="AA28" i="38"/>
  <c r="AA35" i="38"/>
  <c r="AB28" i="38"/>
  <c r="AB35" i="38"/>
  <c r="AC28" i="38"/>
  <c r="AC35" i="38"/>
  <c r="AD28" i="38"/>
  <c r="AD35" i="38"/>
  <c r="AE28" i="38"/>
  <c r="AE35" i="38"/>
  <c r="AF28" i="38"/>
  <c r="AF35" i="38"/>
  <c r="AG28" i="38"/>
  <c r="AG35" i="38"/>
  <c r="AH28" i="38"/>
  <c r="AH35" i="38"/>
  <c r="AI28" i="38"/>
  <c r="AI35" i="38"/>
  <c r="AJ28" i="38"/>
  <c r="AJ35" i="38"/>
  <c r="AK28" i="38"/>
  <c r="AK35" i="38"/>
  <c r="AL28" i="38"/>
  <c r="AL35" i="38"/>
  <c r="AM28" i="38"/>
  <c r="AM35" i="38"/>
  <c r="AN28" i="38"/>
  <c r="AN35" i="38"/>
  <c r="G29" i="38"/>
  <c r="G36" i="38"/>
  <c r="H29" i="38"/>
  <c r="H36" i="38"/>
  <c r="I29" i="38"/>
  <c r="I36" i="38"/>
  <c r="J29" i="38"/>
  <c r="J36" i="38"/>
  <c r="K29" i="38"/>
  <c r="K36" i="38"/>
  <c r="L29" i="38"/>
  <c r="L36" i="38"/>
  <c r="M29" i="38"/>
  <c r="M36" i="38"/>
  <c r="N29" i="38"/>
  <c r="N36" i="38"/>
  <c r="O29" i="38"/>
  <c r="O36" i="38"/>
  <c r="P29" i="38"/>
  <c r="P36" i="38"/>
  <c r="Q29" i="38"/>
  <c r="Q36" i="38"/>
  <c r="R29" i="38"/>
  <c r="R36" i="38"/>
  <c r="S29" i="38"/>
  <c r="S36" i="38"/>
  <c r="T29" i="38"/>
  <c r="T36" i="38"/>
  <c r="U29" i="38"/>
  <c r="U36" i="38"/>
  <c r="V29" i="38"/>
  <c r="V36" i="38"/>
  <c r="W29" i="38"/>
  <c r="W36" i="38"/>
  <c r="X29" i="38"/>
  <c r="X36" i="38"/>
  <c r="Y29" i="38"/>
  <c r="Y36" i="38"/>
  <c r="Z36" i="38"/>
  <c r="AA29" i="38"/>
  <c r="AA36" i="38"/>
  <c r="AB29" i="38"/>
  <c r="AB36" i="38"/>
  <c r="AC29" i="38"/>
  <c r="AC36" i="38"/>
  <c r="AD29" i="38"/>
  <c r="AD36" i="38"/>
  <c r="AE29" i="38"/>
  <c r="AE36" i="38"/>
  <c r="AF29" i="38"/>
  <c r="AF36" i="38"/>
  <c r="AG29" i="38"/>
  <c r="AG36" i="38"/>
  <c r="AH29" i="38"/>
  <c r="AH36" i="38"/>
  <c r="AI29" i="38"/>
  <c r="AI36" i="38"/>
  <c r="AJ29" i="38"/>
  <c r="AJ36" i="38"/>
  <c r="AK29" i="38"/>
  <c r="AK36" i="38"/>
  <c r="AL29" i="38"/>
  <c r="AL36" i="38"/>
  <c r="AM29" i="38"/>
  <c r="AM36" i="38"/>
  <c r="AN29" i="38"/>
  <c r="AN36" i="38"/>
  <c r="G31" i="38"/>
  <c r="G37" i="38"/>
  <c r="H31" i="38"/>
  <c r="H37" i="38"/>
  <c r="I31" i="38"/>
  <c r="I37" i="38"/>
  <c r="J31" i="38"/>
  <c r="J37" i="38"/>
  <c r="K31" i="38"/>
  <c r="K37" i="38"/>
  <c r="L31" i="38"/>
  <c r="L37" i="38"/>
  <c r="M31" i="38"/>
  <c r="M37" i="38"/>
  <c r="N31" i="38"/>
  <c r="N37" i="38"/>
  <c r="O31" i="38"/>
  <c r="O37" i="38"/>
  <c r="P31" i="38"/>
  <c r="P37" i="38"/>
  <c r="Q31" i="38"/>
  <c r="Q37" i="38"/>
  <c r="R31" i="38"/>
  <c r="R37" i="38"/>
  <c r="S31" i="38"/>
  <c r="S37" i="38"/>
  <c r="T31" i="38"/>
  <c r="T37" i="38"/>
  <c r="U31" i="38"/>
  <c r="U37" i="38"/>
  <c r="V31" i="38"/>
  <c r="V37" i="38"/>
  <c r="Y31" i="38"/>
  <c r="Y37" i="38"/>
  <c r="Z31" i="38"/>
  <c r="Z37" i="38"/>
  <c r="AA31" i="38"/>
  <c r="AA37" i="38"/>
  <c r="AB31" i="38"/>
  <c r="AB37" i="38"/>
  <c r="AC31" i="38"/>
  <c r="AC37" i="38"/>
  <c r="AD37" i="38"/>
  <c r="AE37" i="38"/>
  <c r="AF37" i="38"/>
  <c r="AG37" i="38"/>
  <c r="AH37" i="38"/>
  <c r="AI37" i="38"/>
  <c r="AJ37" i="38"/>
  <c r="AK37" i="38"/>
  <c r="AL37" i="38"/>
  <c r="AM37" i="38"/>
  <c r="AN37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Y38" i="38"/>
  <c r="Z38" i="38"/>
  <c r="AA38" i="38"/>
  <c r="AB38" i="38"/>
  <c r="AC38" i="38"/>
  <c r="AD38" i="38"/>
  <c r="AE38" i="38"/>
  <c r="AF38" i="38"/>
  <c r="AG38" i="38"/>
  <c r="AH38" i="38"/>
  <c r="AI38" i="38"/>
  <c r="AJ38" i="38"/>
  <c r="AK38" i="38"/>
  <c r="AL38" i="38"/>
  <c r="AM38" i="38"/>
  <c r="AN38" i="38"/>
  <c r="W43" i="38"/>
  <c r="W49" i="38"/>
  <c r="W50" i="38"/>
  <c r="X43" i="38"/>
  <c r="X49" i="38"/>
  <c r="X50" i="38"/>
  <c r="AD43" i="38"/>
  <c r="AE43" i="38"/>
  <c r="AF43" i="38"/>
  <c r="AG43" i="38"/>
  <c r="AH43" i="38"/>
  <c r="AI43" i="38"/>
  <c r="AJ43" i="38"/>
  <c r="AK43" i="38"/>
  <c r="AL43" i="38"/>
  <c r="AM43" i="38"/>
  <c r="AN43" i="38"/>
  <c r="G44" i="38"/>
  <c r="H44" i="38"/>
  <c r="I44" i="38"/>
  <c r="J44" i="38"/>
  <c r="K44" i="38"/>
  <c r="L44" i="38"/>
  <c r="M44" i="38"/>
  <c r="N44" i="38"/>
  <c r="O44" i="38"/>
  <c r="P44" i="38"/>
  <c r="Q44" i="38"/>
  <c r="R44" i="38"/>
  <c r="S44" i="38"/>
  <c r="T44" i="38"/>
  <c r="U44" i="38"/>
  <c r="V44" i="38"/>
  <c r="W44" i="38"/>
  <c r="X44" i="38"/>
  <c r="Y44" i="38"/>
  <c r="Z44" i="38"/>
  <c r="AA44" i="38"/>
  <c r="AB44" i="38"/>
  <c r="AC44" i="38"/>
  <c r="AD44" i="38"/>
  <c r="AE44" i="38"/>
  <c r="AF44" i="38"/>
  <c r="AG44" i="38"/>
  <c r="AH44" i="38"/>
  <c r="AI44" i="38"/>
  <c r="AJ44" i="38"/>
  <c r="AK44" i="38"/>
  <c r="AL44" i="38"/>
  <c r="AM44" i="38"/>
  <c r="AN44" i="38"/>
  <c r="G16" i="38"/>
  <c r="G23" i="38"/>
  <c r="H16" i="38"/>
  <c r="H23" i="38"/>
  <c r="I16" i="38"/>
  <c r="I23" i="38"/>
  <c r="J16" i="38"/>
  <c r="J23" i="38"/>
  <c r="K16" i="38"/>
  <c r="K23" i="38"/>
  <c r="L16" i="38"/>
  <c r="L23" i="38"/>
  <c r="M16" i="38"/>
  <c r="M23" i="38"/>
  <c r="N16" i="38"/>
  <c r="N23" i="38"/>
  <c r="O16" i="38"/>
  <c r="O23" i="38"/>
  <c r="P16" i="38"/>
  <c r="P23" i="38"/>
  <c r="Q16" i="38"/>
  <c r="Q23" i="38"/>
  <c r="R16" i="38"/>
  <c r="R23" i="38"/>
  <c r="S16" i="38"/>
  <c r="S23" i="38"/>
  <c r="T16" i="38"/>
  <c r="T23" i="38"/>
  <c r="U16" i="38"/>
  <c r="U23" i="38"/>
  <c r="V16" i="38"/>
  <c r="V23" i="38"/>
  <c r="W16" i="38"/>
  <c r="W23" i="38"/>
  <c r="X16" i="38"/>
  <c r="X23" i="38"/>
  <c r="Y16" i="38"/>
  <c r="Y23" i="38"/>
  <c r="Z23" i="38"/>
  <c r="AA16" i="38"/>
  <c r="AA23" i="38"/>
  <c r="AB16" i="38"/>
  <c r="AB23" i="38"/>
  <c r="AC23" i="38"/>
  <c r="AD16" i="38"/>
  <c r="AD23" i="38"/>
  <c r="AE16" i="38"/>
  <c r="AE23" i="38"/>
  <c r="AF16" i="38"/>
  <c r="AF23" i="38"/>
  <c r="AG16" i="38"/>
  <c r="AG23" i="38"/>
  <c r="AH16" i="38"/>
  <c r="AH23" i="38"/>
  <c r="AI16" i="38"/>
  <c r="AI23" i="38"/>
  <c r="AJ16" i="38"/>
  <c r="AJ23" i="38"/>
  <c r="AK16" i="38"/>
  <c r="AK23" i="38"/>
  <c r="AL16" i="38"/>
  <c r="AL23" i="38"/>
  <c r="AM16" i="38"/>
  <c r="AM23" i="38"/>
  <c r="AN16" i="38"/>
  <c r="AN23" i="38"/>
  <c r="G17" i="38"/>
  <c r="G24" i="38"/>
  <c r="H24" i="38"/>
  <c r="I17" i="38"/>
  <c r="I24" i="38"/>
  <c r="J17" i="38"/>
  <c r="J24" i="38"/>
  <c r="K17" i="38"/>
  <c r="K24" i="38"/>
  <c r="L17" i="38"/>
  <c r="L24" i="38"/>
  <c r="M17" i="38"/>
  <c r="M24" i="38"/>
  <c r="N17" i="38"/>
  <c r="N24" i="38"/>
  <c r="O17" i="38"/>
  <c r="O24" i="38"/>
  <c r="P17" i="38"/>
  <c r="P24" i="38"/>
  <c r="Q17" i="38"/>
  <c r="Q24" i="38"/>
  <c r="R17" i="38"/>
  <c r="R24" i="38"/>
  <c r="S17" i="38"/>
  <c r="S24" i="38"/>
  <c r="T17" i="38"/>
  <c r="T24" i="38"/>
  <c r="U17" i="38"/>
  <c r="U24" i="38"/>
  <c r="V17" i="38"/>
  <c r="V24" i="38"/>
  <c r="W17" i="38"/>
  <c r="W24" i="38"/>
  <c r="X17" i="38"/>
  <c r="X24" i="38"/>
  <c r="Y17" i="38"/>
  <c r="Y24" i="38"/>
  <c r="Z24" i="38"/>
  <c r="AA17" i="38"/>
  <c r="AA24" i="38"/>
  <c r="AB17" i="38"/>
  <c r="AB24" i="38"/>
  <c r="AC24" i="38"/>
  <c r="AD17" i="38"/>
  <c r="AD24" i="38"/>
  <c r="AE17" i="38"/>
  <c r="AE24" i="38"/>
  <c r="AF17" i="38"/>
  <c r="AF24" i="38"/>
  <c r="AG17" i="38"/>
  <c r="AG24" i="38"/>
  <c r="AH17" i="38"/>
  <c r="AH24" i="38"/>
  <c r="AI17" i="38"/>
  <c r="AI24" i="38"/>
  <c r="AJ17" i="38"/>
  <c r="AJ24" i="38"/>
  <c r="AK17" i="38"/>
  <c r="AK24" i="38"/>
  <c r="AL17" i="38"/>
  <c r="AL24" i="38"/>
  <c r="AM17" i="38"/>
  <c r="AM24" i="38"/>
  <c r="AN17" i="38"/>
  <c r="AN24" i="38"/>
  <c r="G19" i="38"/>
  <c r="G25" i="38"/>
  <c r="H25" i="38"/>
  <c r="I19" i="38"/>
  <c r="I25" i="38"/>
  <c r="J19" i="38"/>
  <c r="J25" i="38"/>
  <c r="K19" i="38"/>
  <c r="K25" i="38"/>
  <c r="L19" i="38"/>
  <c r="L25" i="38"/>
  <c r="M19" i="38"/>
  <c r="M25" i="38"/>
  <c r="N19" i="38"/>
  <c r="N25" i="38"/>
  <c r="O19" i="38"/>
  <c r="O25" i="38"/>
  <c r="P19" i="38"/>
  <c r="P25" i="38"/>
  <c r="Q19" i="38"/>
  <c r="Q25" i="38"/>
  <c r="R19" i="38"/>
  <c r="R25" i="38"/>
  <c r="S19" i="38"/>
  <c r="S25" i="38"/>
  <c r="T19" i="38"/>
  <c r="T25" i="38"/>
  <c r="U19" i="38"/>
  <c r="U25" i="38"/>
  <c r="V19" i="38"/>
  <c r="V25" i="38"/>
  <c r="Y19" i="38"/>
  <c r="Y25" i="38"/>
  <c r="Z19" i="38"/>
  <c r="Z25" i="38"/>
  <c r="AA19" i="38"/>
  <c r="AA25" i="38"/>
  <c r="AB19" i="38"/>
  <c r="AB25" i="38"/>
  <c r="AC19" i="38"/>
  <c r="AC25" i="38"/>
  <c r="AD25" i="38"/>
  <c r="AE25" i="38"/>
  <c r="AF25" i="38"/>
  <c r="AG25" i="38"/>
  <c r="AH25" i="38"/>
  <c r="AI25" i="38"/>
  <c r="AJ25" i="38"/>
  <c r="AK25" i="38"/>
  <c r="AL25" i="38"/>
  <c r="AM25" i="38"/>
  <c r="AN25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Y26" i="38"/>
  <c r="Z26" i="38"/>
  <c r="AA26" i="38"/>
  <c r="AB26" i="38"/>
  <c r="AC26" i="38"/>
  <c r="AD26" i="38"/>
  <c r="AE26" i="38"/>
  <c r="AF26" i="38"/>
  <c r="AG26" i="38"/>
  <c r="AH26" i="38"/>
  <c r="AI26" i="38"/>
  <c r="AJ26" i="38"/>
  <c r="AK26" i="38"/>
  <c r="AL26" i="38"/>
  <c r="AM26" i="38"/>
  <c r="AN26" i="38"/>
  <c r="W31" i="38"/>
  <c r="W37" i="38"/>
  <c r="W38" i="38"/>
  <c r="X31" i="38"/>
  <c r="X37" i="38"/>
  <c r="X38" i="38"/>
  <c r="AD31" i="38"/>
  <c r="AE31" i="38"/>
  <c r="AF31" i="38"/>
  <c r="AG31" i="38"/>
  <c r="AH31" i="38"/>
  <c r="AI31" i="38"/>
  <c r="AJ31" i="38"/>
  <c r="AK31" i="38"/>
  <c r="AL31" i="38"/>
  <c r="AM31" i="38"/>
  <c r="AN31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AJ32" i="38"/>
  <c r="AK32" i="38"/>
  <c r="AL32" i="38"/>
  <c r="AM32" i="38"/>
  <c r="AN32" i="38"/>
  <c r="G4" i="38"/>
  <c r="G11" i="38"/>
  <c r="H11" i="38"/>
  <c r="I4" i="38"/>
  <c r="I11" i="38"/>
  <c r="J4" i="38"/>
  <c r="J11" i="38"/>
  <c r="K4" i="38"/>
  <c r="K11" i="38"/>
  <c r="L11" i="38"/>
  <c r="M4" i="38"/>
  <c r="M11" i="38"/>
  <c r="N4" i="38"/>
  <c r="N11" i="38"/>
  <c r="O4" i="38"/>
  <c r="O11" i="38"/>
  <c r="P4" i="38"/>
  <c r="P11" i="38"/>
  <c r="Q4" i="38"/>
  <c r="Q11" i="38"/>
  <c r="R4" i="38"/>
  <c r="R11" i="38"/>
  <c r="S4" i="38"/>
  <c r="S11" i="38"/>
  <c r="T4" i="38"/>
  <c r="T11" i="38"/>
  <c r="U4" i="38"/>
  <c r="U11" i="38"/>
  <c r="V11" i="38"/>
  <c r="W4" i="38"/>
  <c r="W11" i="38"/>
  <c r="X4" i="38"/>
  <c r="X11" i="38"/>
  <c r="Y4" i="38"/>
  <c r="Y11" i="38"/>
  <c r="Z11" i="38"/>
  <c r="AA4" i="38"/>
  <c r="AA11" i="38"/>
  <c r="AB4" i="38"/>
  <c r="AB11" i="38"/>
  <c r="AC4" i="38"/>
  <c r="AC11" i="38"/>
  <c r="AD4" i="38"/>
  <c r="AD11" i="38"/>
  <c r="AE4" i="38"/>
  <c r="AE11" i="38"/>
  <c r="AF4" i="38"/>
  <c r="AF11" i="38"/>
  <c r="AG4" i="38"/>
  <c r="AG11" i="38"/>
  <c r="AH4" i="38"/>
  <c r="AH11" i="38"/>
  <c r="AI4" i="38"/>
  <c r="AI11" i="38"/>
  <c r="AJ4" i="38"/>
  <c r="AJ11" i="38"/>
  <c r="AK4" i="38"/>
  <c r="AK11" i="38"/>
  <c r="AL4" i="38"/>
  <c r="AL11" i="38"/>
  <c r="AM4" i="38"/>
  <c r="AM11" i="38"/>
  <c r="AN4" i="38"/>
  <c r="AN11" i="38"/>
  <c r="G5" i="38"/>
  <c r="G12" i="38"/>
  <c r="H12" i="38"/>
  <c r="I5" i="38"/>
  <c r="I12" i="38"/>
  <c r="J5" i="38"/>
  <c r="J12" i="38"/>
  <c r="K5" i="38"/>
  <c r="K12" i="38"/>
  <c r="L12" i="38"/>
  <c r="M5" i="38"/>
  <c r="M12" i="38"/>
  <c r="N5" i="38"/>
  <c r="N12" i="38"/>
  <c r="O5" i="38"/>
  <c r="O12" i="38"/>
  <c r="P5" i="38"/>
  <c r="P12" i="38"/>
  <c r="Q5" i="38"/>
  <c r="Q12" i="38"/>
  <c r="R5" i="38"/>
  <c r="R12" i="38"/>
  <c r="S5" i="38"/>
  <c r="S12" i="38"/>
  <c r="T12" i="38"/>
  <c r="U5" i="38"/>
  <c r="U12" i="38"/>
  <c r="V12" i="38"/>
  <c r="W5" i="38"/>
  <c r="W12" i="38"/>
  <c r="X5" i="38"/>
  <c r="X12" i="38"/>
  <c r="Y5" i="38"/>
  <c r="Y12" i="38"/>
  <c r="Z12" i="38"/>
  <c r="AA5" i="38"/>
  <c r="AA12" i="38"/>
  <c r="AB5" i="38"/>
  <c r="AB12" i="38"/>
  <c r="AC5" i="38"/>
  <c r="AC12" i="38"/>
  <c r="AD5" i="38"/>
  <c r="AD12" i="38"/>
  <c r="AE5" i="38"/>
  <c r="AE12" i="38"/>
  <c r="AF5" i="38"/>
  <c r="AF12" i="38"/>
  <c r="AG5" i="38"/>
  <c r="AG12" i="38"/>
  <c r="AH5" i="38"/>
  <c r="AH12" i="38"/>
  <c r="AI5" i="38"/>
  <c r="AI12" i="38"/>
  <c r="AJ5" i="38"/>
  <c r="AJ12" i="38"/>
  <c r="AK5" i="38"/>
  <c r="AK12" i="38"/>
  <c r="AL5" i="38"/>
  <c r="AL12" i="38"/>
  <c r="AM5" i="38"/>
  <c r="AM12" i="38"/>
  <c r="AN5" i="38"/>
  <c r="AN12" i="38"/>
  <c r="G7" i="38"/>
  <c r="G13" i="38"/>
  <c r="H7" i="38"/>
  <c r="H13" i="38"/>
  <c r="I7" i="38"/>
  <c r="I13" i="38"/>
  <c r="J7" i="38"/>
  <c r="J13" i="38"/>
  <c r="K7" i="38"/>
  <c r="K13" i="38"/>
  <c r="L7" i="38"/>
  <c r="L13" i="38"/>
  <c r="M7" i="38"/>
  <c r="M13" i="38"/>
  <c r="N7" i="38"/>
  <c r="N13" i="38"/>
  <c r="O7" i="38"/>
  <c r="O13" i="38"/>
  <c r="P7" i="38"/>
  <c r="P13" i="38"/>
  <c r="Q7" i="38"/>
  <c r="Q13" i="38"/>
  <c r="R7" i="38"/>
  <c r="R13" i="38"/>
  <c r="S7" i="38"/>
  <c r="S13" i="38"/>
  <c r="T7" i="38"/>
  <c r="T13" i="38"/>
  <c r="U7" i="38"/>
  <c r="U13" i="38"/>
  <c r="V7" i="38"/>
  <c r="V13" i="38"/>
  <c r="Y7" i="38"/>
  <c r="Y13" i="38"/>
  <c r="Z7" i="38"/>
  <c r="Z13" i="38"/>
  <c r="AA7" i="38"/>
  <c r="AA13" i="38"/>
  <c r="AB7" i="38"/>
  <c r="AB13" i="38"/>
  <c r="AC7" i="38"/>
  <c r="AC13" i="38"/>
  <c r="AD13" i="38"/>
  <c r="AE13" i="38"/>
  <c r="AF13" i="38"/>
  <c r="AG13" i="38"/>
  <c r="AH13" i="38"/>
  <c r="AI13" i="38"/>
  <c r="AJ13" i="38"/>
  <c r="AK13" i="38"/>
  <c r="AL13" i="38"/>
  <c r="AM13" i="38"/>
  <c r="AN13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Y14" i="38"/>
  <c r="Z14" i="38"/>
  <c r="AA14" i="38"/>
  <c r="AB14" i="38"/>
  <c r="AC14" i="38"/>
  <c r="AD14" i="38"/>
  <c r="AE14" i="38"/>
  <c r="AF14" i="38"/>
  <c r="AG14" i="38"/>
  <c r="AH14" i="38"/>
  <c r="AI14" i="38"/>
  <c r="AJ14" i="38"/>
  <c r="AK14" i="38"/>
  <c r="AL14" i="38"/>
  <c r="AM14" i="38"/>
  <c r="AN14" i="38"/>
  <c r="W19" i="38"/>
  <c r="W25" i="38"/>
  <c r="W26" i="38"/>
  <c r="X19" i="38"/>
  <c r="X25" i="38"/>
  <c r="X26" i="38"/>
  <c r="AD19" i="38"/>
  <c r="AE19" i="38"/>
  <c r="AF19" i="38"/>
  <c r="AG19" i="38"/>
  <c r="AH19" i="38"/>
  <c r="AI19" i="38"/>
  <c r="AJ19" i="38"/>
  <c r="AK19" i="38"/>
  <c r="AL19" i="38"/>
  <c r="AM19" i="38"/>
  <c r="AN19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Y20" i="38"/>
  <c r="AA20" i="38"/>
  <c r="AB20" i="38"/>
  <c r="AC20" i="38"/>
  <c r="AD20" i="38"/>
  <c r="AE20" i="38"/>
  <c r="AF20" i="38"/>
  <c r="AG20" i="38"/>
  <c r="AH20" i="38"/>
  <c r="AI20" i="38"/>
  <c r="AJ20" i="38"/>
  <c r="AK20" i="38"/>
  <c r="AL20" i="38"/>
  <c r="AM20" i="38"/>
  <c r="AN20" i="38"/>
  <c r="D1" i="38"/>
  <c r="E1" i="38"/>
  <c r="F1" i="38"/>
  <c r="G1" i="38"/>
  <c r="M1" i="38"/>
  <c r="N1" i="38"/>
  <c r="O1" i="38"/>
  <c r="P1" i="38"/>
  <c r="Q1" i="38"/>
  <c r="R1" i="38"/>
  <c r="S1" i="38"/>
  <c r="T1" i="38"/>
  <c r="U1" i="38"/>
  <c r="V1" i="38"/>
  <c r="W1" i="38"/>
  <c r="X1" i="38"/>
  <c r="Y1" i="38"/>
  <c r="Z1" i="38"/>
  <c r="AA1" i="38"/>
  <c r="AB1" i="38"/>
  <c r="AC1" i="38"/>
  <c r="AD1" i="38"/>
  <c r="AE1" i="38"/>
  <c r="AF1" i="38"/>
  <c r="AG1" i="38"/>
  <c r="AH1" i="38"/>
  <c r="AI1" i="38"/>
  <c r="AJ1" i="38"/>
  <c r="AK1" i="38"/>
  <c r="AL1" i="38"/>
  <c r="AM1" i="38"/>
  <c r="AN1" i="38"/>
  <c r="G2" i="38"/>
  <c r="M2" i="38"/>
  <c r="N2" i="38"/>
  <c r="O2" i="38"/>
  <c r="P2" i="38"/>
  <c r="Q2" i="38"/>
  <c r="R2" i="38"/>
  <c r="S2" i="38"/>
  <c r="T2" i="38"/>
  <c r="U2" i="38"/>
  <c r="V2" i="38"/>
  <c r="W2" i="38"/>
  <c r="X2" i="38"/>
  <c r="Y2" i="38"/>
  <c r="Z2" i="38"/>
  <c r="AA2" i="38"/>
  <c r="AB2" i="38"/>
  <c r="AC2" i="38"/>
  <c r="AD2" i="38"/>
  <c r="AE2" i="38"/>
  <c r="AF2" i="38"/>
  <c r="AG2" i="38"/>
  <c r="AH2" i="38"/>
  <c r="AI2" i="38"/>
  <c r="AJ2" i="38"/>
  <c r="AK2" i="38"/>
  <c r="AL2" i="38"/>
  <c r="AM2" i="38"/>
  <c r="AN2" i="38"/>
  <c r="W7" i="38"/>
  <c r="W13" i="38"/>
  <c r="W14" i="38"/>
  <c r="X7" i="38"/>
  <c r="X13" i="38"/>
  <c r="X14" i="38"/>
  <c r="AD7" i="38"/>
  <c r="AE7" i="38"/>
  <c r="AF7" i="38"/>
  <c r="AG7" i="38"/>
  <c r="AH7" i="38"/>
  <c r="AI7" i="38"/>
  <c r="AJ7" i="38"/>
  <c r="AK7" i="38"/>
  <c r="AL7" i="38"/>
  <c r="AM7" i="38"/>
  <c r="AN7" i="38"/>
  <c r="G8" i="38"/>
  <c r="H8" i="38"/>
  <c r="I8" i="38"/>
  <c r="J8" i="38"/>
  <c r="K8" i="38"/>
  <c r="L8" i="38"/>
  <c r="M8" i="38"/>
  <c r="N8" i="38"/>
  <c r="P8" i="38"/>
  <c r="Q8" i="38"/>
  <c r="R8" i="38"/>
  <c r="S8" i="38"/>
  <c r="T8" i="38"/>
  <c r="U8" i="38"/>
  <c r="V8" i="38"/>
  <c r="W8" i="38"/>
  <c r="X8" i="38"/>
  <c r="Y8" i="38"/>
  <c r="Z8" i="38"/>
  <c r="AA8" i="38"/>
  <c r="AB8" i="38"/>
  <c r="AC8" i="38"/>
  <c r="AD8" i="38"/>
  <c r="AE8" i="38"/>
  <c r="AF8" i="38"/>
  <c r="AG8" i="38"/>
  <c r="AH8" i="38"/>
  <c r="AI8" i="38"/>
  <c r="AJ8" i="38"/>
  <c r="AK8" i="38"/>
  <c r="AL8" i="38"/>
  <c r="AM8" i="38"/>
  <c r="AN8" i="38"/>
  <c r="D88" i="38"/>
  <c r="D95" i="38"/>
  <c r="E88" i="38"/>
  <c r="E95" i="38"/>
  <c r="F88" i="38"/>
  <c r="F95" i="38"/>
  <c r="D89" i="38"/>
  <c r="D96" i="38"/>
  <c r="E89" i="38"/>
  <c r="E96" i="38"/>
  <c r="F89" i="38"/>
  <c r="F96" i="38"/>
  <c r="D91" i="38"/>
  <c r="D97" i="38"/>
  <c r="E91" i="38"/>
  <c r="E97" i="38"/>
  <c r="F91" i="38"/>
  <c r="F97" i="38"/>
  <c r="D98" i="38"/>
  <c r="E98" i="38"/>
  <c r="F98" i="38"/>
  <c r="D100" i="38"/>
  <c r="F100" i="38"/>
  <c r="D101" i="38"/>
  <c r="E101" i="38"/>
  <c r="F101" i="38"/>
  <c r="D103" i="38"/>
  <c r="E103" i="38"/>
  <c r="F103" i="38"/>
  <c r="D104" i="38"/>
  <c r="F104" i="38"/>
  <c r="D107" i="38"/>
  <c r="E107" i="38"/>
  <c r="F107" i="38"/>
  <c r="D108" i="38"/>
  <c r="E108" i="38"/>
  <c r="F108" i="38"/>
  <c r="D109" i="38"/>
  <c r="E109" i="38"/>
  <c r="F109" i="38"/>
  <c r="D110" i="38"/>
  <c r="E110" i="38"/>
  <c r="F110" i="38"/>
  <c r="D112" i="38"/>
  <c r="E112" i="38"/>
  <c r="F112" i="38"/>
  <c r="D113" i="38"/>
  <c r="E113" i="38"/>
  <c r="F113" i="38"/>
  <c r="D115" i="38"/>
  <c r="E115" i="38"/>
  <c r="F115" i="38"/>
  <c r="D116" i="38"/>
  <c r="E116" i="38"/>
  <c r="F116" i="38"/>
  <c r="D119" i="38"/>
  <c r="E119" i="38"/>
  <c r="F119" i="38"/>
  <c r="D120" i="38"/>
  <c r="E120" i="38"/>
  <c r="F120" i="38"/>
  <c r="D121" i="38"/>
  <c r="E121" i="38"/>
  <c r="F121" i="38"/>
  <c r="D122" i="38"/>
  <c r="E122" i="38"/>
  <c r="F122" i="38"/>
  <c r="D124" i="38"/>
  <c r="E124" i="38"/>
  <c r="F124" i="38"/>
  <c r="D125" i="38"/>
  <c r="E125" i="38"/>
  <c r="F125" i="38"/>
  <c r="D127" i="38"/>
  <c r="E127" i="38"/>
  <c r="F127" i="38"/>
  <c r="D128" i="38"/>
  <c r="E128" i="38"/>
  <c r="F128" i="38"/>
  <c r="D131" i="38"/>
  <c r="E131" i="38"/>
  <c r="F131" i="38"/>
  <c r="D132" i="38"/>
  <c r="E132" i="38"/>
  <c r="F132" i="38"/>
  <c r="D133" i="38"/>
  <c r="E133" i="38"/>
  <c r="F133" i="38"/>
  <c r="D134" i="38"/>
  <c r="E134" i="38"/>
  <c r="F134" i="38"/>
  <c r="D136" i="38"/>
  <c r="E136" i="38"/>
  <c r="F136" i="38"/>
  <c r="D137" i="38"/>
  <c r="E137" i="38"/>
  <c r="F137" i="38"/>
  <c r="D139" i="38"/>
  <c r="E139" i="38"/>
  <c r="F139" i="38"/>
  <c r="D140" i="38"/>
  <c r="E140" i="38"/>
  <c r="F140" i="38"/>
  <c r="D143" i="38"/>
  <c r="E143" i="38"/>
  <c r="F143" i="38"/>
  <c r="D144" i="38"/>
  <c r="E144" i="38"/>
  <c r="F144" i="38"/>
  <c r="D145" i="38"/>
  <c r="E145" i="38"/>
  <c r="F145" i="38"/>
  <c r="D146" i="38"/>
  <c r="E146" i="38"/>
  <c r="F146" i="38"/>
  <c r="D148" i="38"/>
  <c r="F148" i="38"/>
  <c r="D149" i="38"/>
  <c r="F149" i="38"/>
  <c r="D151" i="38"/>
  <c r="E151" i="38"/>
  <c r="F151" i="38"/>
  <c r="D152" i="38"/>
  <c r="E152" i="38"/>
  <c r="F152" i="38"/>
  <c r="D155" i="38"/>
  <c r="E155" i="38"/>
  <c r="F155" i="38"/>
  <c r="D156" i="38"/>
  <c r="E156" i="38"/>
  <c r="F156" i="38"/>
  <c r="D157" i="38"/>
  <c r="E157" i="38"/>
  <c r="F157" i="38"/>
  <c r="D158" i="38"/>
  <c r="E158" i="38"/>
  <c r="F158" i="38"/>
  <c r="D160" i="38"/>
  <c r="E160" i="38"/>
  <c r="F160" i="38"/>
  <c r="D161" i="38"/>
  <c r="F161" i="38"/>
  <c r="D163" i="38"/>
  <c r="E163" i="38"/>
  <c r="F163" i="38"/>
  <c r="D164" i="38"/>
  <c r="E164" i="38"/>
  <c r="F164" i="38"/>
  <c r="D167" i="38"/>
  <c r="E167" i="38"/>
  <c r="F167" i="38"/>
  <c r="D168" i="38"/>
  <c r="E168" i="38"/>
  <c r="F168" i="38"/>
  <c r="D169" i="38"/>
  <c r="E169" i="38"/>
  <c r="F169" i="38"/>
  <c r="D170" i="38"/>
  <c r="E170" i="38"/>
  <c r="F170" i="38"/>
  <c r="D172" i="38"/>
  <c r="F172" i="38"/>
  <c r="D173" i="38"/>
  <c r="F173" i="38"/>
  <c r="D175" i="38"/>
  <c r="E175" i="38"/>
  <c r="F175" i="38"/>
  <c r="D176" i="38"/>
  <c r="E176" i="38"/>
  <c r="F176" i="38"/>
  <c r="D179" i="38"/>
  <c r="E179" i="38"/>
  <c r="F179" i="38"/>
  <c r="D180" i="38"/>
  <c r="E180" i="38"/>
  <c r="F180" i="38"/>
  <c r="D181" i="38"/>
  <c r="E181" i="38"/>
  <c r="F181" i="38"/>
  <c r="D182" i="38"/>
  <c r="E182" i="38"/>
  <c r="F182" i="38"/>
  <c r="D184" i="38"/>
  <c r="E184" i="38"/>
  <c r="F184" i="38"/>
  <c r="D185" i="38"/>
  <c r="E185" i="38"/>
  <c r="F185" i="38"/>
  <c r="D187" i="38"/>
  <c r="E187" i="38"/>
  <c r="F187" i="38"/>
  <c r="D188" i="38"/>
  <c r="E188" i="38"/>
  <c r="F188" i="38"/>
  <c r="D191" i="38"/>
  <c r="E191" i="38"/>
  <c r="F191" i="38"/>
  <c r="D192" i="38"/>
  <c r="E192" i="38"/>
  <c r="F192" i="38"/>
  <c r="D193" i="38"/>
  <c r="E193" i="38"/>
  <c r="F193" i="38"/>
  <c r="D194" i="38"/>
  <c r="E194" i="38"/>
  <c r="F194" i="38"/>
  <c r="D196" i="38"/>
  <c r="E196" i="38"/>
  <c r="F196" i="38"/>
  <c r="D197" i="38"/>
  <c r="E197" i="38"/>
  <c r="F197" i="38"/>
  <c r="D199" i="38"/>
  <c r="E199" i="38"/>
  <c r="F199" i="38"/>
  <c r="D200" i="38"/>
  <c r="E200" i="38"/>
  <c r="F200" i="38"/>
  <c r="D203" i="38"/>
  <c r="E203" i="38"/>
  <c r="F203" i="38"/>
  <c r="D204" i="38"/>
  <c r="E204" i="38"/>
  <c r="F204" i="38"/>
  <c r="D205" i="38"/>
  <c r="E205" i="38"/>
  <c r="F205" i="38"/>
  <c r="D206" i="38"/>
  <c r="E206" i="38"/>
  <c r="F206" i="38"/>
  <c r="D208" i="38"/>
  <c r="F208" i="38"/>
  <c r="D209" i="38"/>
  <c r="F209" i="38"/>
  <c r="D211" i="38"/>
  <c r="E211" i="38"/>
  <c r="F211" i="38"/>
  <c r="D212" i="38"/>
  <c r="E212" i="38"/>
  <c r="F212" i="38"/>
  <c r="D215" i="38"/>
  <c r="E215" i="38"/>
  <c r="F215" i="38"/>
  <c r="D216" i="38"/>
  <c r="E216" i="38"/>
  <c r="F216" i="38"/>
  <c r="D217" i="38"/>
  <c r="E217" i="38"/>
  <c r="F217" i="38"/>
  <c r="D218" i="38"/>
  <c r="E218" i="38"/>
  <c r="F218" i="38"/>
  <c r="D220" i="38"/>
  <c r="E220" i="38"/>
  <c r="F220" i="38"/>
  <c r="D221" i="38"/>
  <c r="E221" i="38"/>
  <c r="F221" i="38"/>
  <c r="D223" i="38"/>
  <c r="E223" i="38"/>
  <c r="F223" i="38"/>
  <c r="D224" i="38"/>
  <c r="E224" i="38"/>
  <c r="F224" i="38"/>
  <c r="D227" i="38"/>
  <c r="E227" i="38"/>
  <c r="F227" i="38"/>
  <c r="D228" i="38"/>
  <c r="E228" i="38"/>
  <c r="F228" i="38"/>
  <c r="D229" i="38"/>
  <c r="E229" i="38"/>
  <c r="F229" i="38"/>
  <c r="D230" i="38"/>
  <c r="E230" i="38"/>
  <c r="F230" i="38"/>
  <c r="D232" i="38"/>
  <c r="F232" i="38"/>
  <c r="D233" i="38"/>
  <c r="F233" i="38"/>
  <c r="D235" i="38"/>
  <c r="E235" i="38"/>
  <c r="F235" i="38"/>
  <c r="D236" i="38"/>
  <c r="F236" i="38"/>
  <c r="D239" i="38"/>
  <c r="E239" i="38"/>
  <c r="F239" i="38"/>
  <c r="D240" i="38"/>
  <c r="E240" i="38"/>
  <c r="F240" i="38"/>
  <c r="D241" i="38"/>
  <c r="E241" i="38"/>
  <c r="F241" i="38"/>
  <c r="D242" i="38"/>
  <c r="E242" i="38"/>
  <c r="F242" i="38"/>
  <c r="D244" i="38"/>
  <c r="F244" i="38"/>
  <c r="D245" i="38"/>
  <c r="F245" i="38"/>
  <c r="D247" i="38"/>
  <c r="E247" i="38"/>
  <c r="F247" i="38"/>
  <c r="D248" i="38"/>
  <c r="E248" i="38"/>
  <c r="F248" i="38"/>
  <c r="D251" i="38"/>
  <c r="E251" i="38"/>
  <c r="F251" i="38"/>
  <c r="D252" i="38"/>
  <c r="E252" i="38"/>
  <c r="F252" i="38"/>
  <c r="D253" i="38"/>
  <c r="E253" i="38"/>
  <c r="F253" i="38"/>
  <c r="D254" i="38"/>
  <c r="E254" i="38"/>
  <c r="F254" i="38"/>
  <c r="D256" i="38"/>
  <c r="F256" i="38"/>
  <c r="D257" i="38"/>
  <c r="F257" i="38"/>
  <c r="D259" i="38"/>
  <c r="E259" i="38"/>
  <c r="F259" i="38"/>
  <c r="D260" i="38"/>
  <c r="E260" i="38"/>
  <c r="F260" i="38"/>
  <c r="D262" i="38"/>
  <c r="E262" i="38"/>
  <c r="F262" i="38"/>
  <c r="D263" i="38"/>
  <c r="E263" i="38"/>
  <c r="F263" i="38"/>
  <c r="D264" i="38"/>
  <c r="E264" i="38"/>
  <c r="F264" i="38"/>
  <c r="D265" i="38"/>
  <c r="E265" i="38"/>
  <c r="F265" i="38"/>
  <c r="D266" i="38"/>
  <c r="E266" i="38"/>
  <c r="F266" i="38"/>
  <c r="D92" i="38"/>
  <c r="E92" i="38"/>
  <c r="F92" i="38"/>
  <c r="D76" i="38"/>
  <c r="D83" i="38"/>
  <c r="E76" i="38"/>
  <c r="E83" i="38"/>
  <c r="F76" i="38"/>
  <c r="F83" i="38"/>
  <c r="D77" i="38"/>
  <c r="D84" i="38"/>
  <c r="E77" i="38"/>
  <c r="E84" i="38"/>
  <c r="F77" i="38"/>
  <c r="F84" i="38"/>
  <c r="D79" i="38"/>
  <c r="D85" i="38"/>
  <c r="E79" i="38"/>
  <c r="E85" i="38"/>
  <c r="F79" i="38"/>
  <c r="F85" i="38"/>
  <c r="D86" i="38"/>
  <c r="E86" i="38"/>
  <c r="F86" i="38"/>
  <c r="D80" i="38"/>
  <c r="E80" i="38"/>
  <c r="F80" i="38"/>
  <c r="D64" i="38"/>
  <c r="D71" i="38"/>
  <c r="E64" i="38"/>
  <c r="E71" i="38"/>
  <c r="F64" i="38"/>
  <c r="F71" i="38"/>
  <c r="D65" i="38"/>
  <c r="D72" i="38"/>
  <c r="E65" i="38"/>
  <c r="E72" i="38"/>
  <c r="F65" i="38"/>
  <c r="F72" i="38"/>
  <c r="D67" i="38"/>
  <c r="D73" i="38"/>
  <c r="E67" i="38"/>
  <c r="E73" i="38"/>
  <c r="F67" i="38"/>
  <c r="F73" i="38"/>
  <c r="D74" i="38"/>
  <c r="E74" i="38"/>
  <c r="F74" i="38"/>
  <c r="D68" i="38"/>
  <c r="E68" i="38"/>
  <c r="F68" i="38"/>
  <c r="D52" i="38"/>
  <c r="D59" i="38"/>
  <c r="E52" i="38"/>
  <c r="E59" i="38"/>
  <c r="F52" i="38"/>
  <c r="F59" i="38"/>
  <c r="D53" i="38"/>
  <c r="D60" i="38"/>
  <c r="E53" i="38"/>
  <c r="E60" i="38"/>
  <c r="F53" i="38"/>
  <c r="F60" i="38"/>
  <c r="D55" i="38"/>
  <c r="D61" i="38"/>
  <c r="E55" i="38"/>
  <c r="E61" i="38"/>
  <c r="F55" i="38"/>
  <c r="F61" i="38"/>
  <c r="D62" i="38"/>
  <c r="E62" i="38"/>
  <c r="F62" i="38"/>
  <c r="D56" i="38"/>
  <c r="E56" i="38"/>
  <c r="F56" i="38"/>
  <c r="D40" i="38"/>
  <c r="D47" i="38"/>
  <c r="E40" i="38"/>
  <c r="E47" i="38"/>
  <c r="F40" i="38"/>
  <c r="F47" i="38"/>
  <c r="D41" i="38"/>
  <c r="D48" i="38"/>
  <c r="E48" i="38"/>
  <c r="F41" i="38"/>
  <c r="F48" i="38"/>
  <c r="D43" i="38"/>
  <c r="D49" i="38"/>
  <c r="E43" i="38"/>
  <c r="E49" i="38"/>
  <c r="F43" i="38"/>
  <c r="F49" i="38"/>
  <c r="D50" i="38"/>
  <c r="E50" i="38"/>
  <c r="F50" i="38"/>
  <c r="D28" i="38"/>
  <c r="D35" i="38"/>
  <c r="E35" i="38"/>
  <c r="F28" i="38"/>
  <c r="F35" i="38"/>
  <c r="D29" i="38"/>
  <c r="D36" i="38"/>
  <c r="E36" i="38"/>
  <c r="F29" i="38"/>
  <c r="F36" i="38"/>
  <c r="D31" i="38"/>
  <c r="D37" i="38"/>
  <c r="E31" i="38"/>
  <c r="E37" i="38"/>
  <c r="F31" i="38"/>
  <c r="F37" i="38"/>
  <c r="D38" i="38"/>
  <c r="E38" i="38"/>
  <c r="F38" i="38"/>
  <c r="D44" i="38"/>
  <c r="E44" i="38"/>
  <c r="F44" i="38"/>
  <c r="D16" i="38"/>
  <c r="D23" i="38"/>
  <c r="E16" i="38"/>
  <c r="E23" i="38"/>
  <c r="F16" i="38"/>
  <c r="F23" i="38"/>
  <c r="D17" i="38"/>
  <c r="D24" i="38"/>
  <c r="E17" i="38"/>
  <c r="E24" i="38"/>
  <c r="F17" i="38"/>
  <c r="F24" i="38"/>
  <c r="D19" i="38"/>
  <c r="D25" i="38"/>
  <c r="E19" i="38"/>
  <c r="E25" i="38"/>
  <c r="F19" i="38"/>
  <c r="F25" i="38"/>
  <c r="D26" i="38"/>
  <c r="E26" i="38"/>
  <c r="F26" i="38"/>
  <c r="D32" i="38"/>
  <c r="E32" i="38"/>
  <c r="F32" i="38"/>
  <c r="D4" i="38"/>
  <c r="D11" i="38"/>
  <c r="E11" i="38"/>
  <c r="F4" i="38"/>
  <c r="F11" i="38"/>
  <c r="D5" i="38"/>
  <c r="D12" i="38"/>
  <c r="E12" i="38"/>
  <c r="F5" i="38"/>
  <c r="F12" i="38"/>
  <c r="D7" i="38"/>
  <c r="D13" i="38"/>
  <c r="E7" i="38"/>
  <c r="E13" i="38"/>
  <c r="F7" i="38"/>
  <c r="F13" i="38"/>
  <c r="D14" i="38"/>
  <c r="E14" i="38"/>
  <c r="F14" i="38"/>
  <c r="D20" i="38"/>
  <c r="E20" i="38"/>
  <c r="F20" i="38"/>
  <c r="D2" i="38"/>
  <c r="E2" i="38"/>
  <c r="F2" i="38"/>
  <c r="D8" i="38"/>
  <c r="E8" i="38"/>
  <c r="F8" i="38"/>
  <c r="I136" i="36"/>
  <c r="J136" i="36"/>
  <c r="J143" i="36"/>
  <c r="K136" i="36"/>
  <c r="K143" i="36"/>
  <c r="L143" i="36"/>
  <c r="M136" i="36"/>
  <c r="M143" i="36"/>
  <c r="N136" i="36"/>
  <c r="N143" i="36"/>
  <c r="O136" i="36"/>
  <c r="O143" i="36"/>
  <c r="P136" i="36"/>
  <c r="P143" i="36"/>
  <c r="Q136" i="36"/>
  <c r="Q143" i="36"/>
  <c r="R136" i="36"/>
  <c r="R143" i="36"/>
  <c r="S143" i="36"/>
  <c r="T136" i="36"/>
  <c r="T143" i="36"/>
  <c r="U136" i="36"/>
  <c r="U143" i="36"/>
  <c r="V136" i="36"/>
  <c r="V143" i="36"/>
  <c r="W143" i="36"/>
  <c r="X136" i="36"/>
  <c r="X143" i="36"/>
  <c r="Y136" i="36"/>
  <c r="Y143" i="36"/>
  <c r="Z136" i="36"/>
  <c r="Z143" i="36"/>
  <c r="AA136" i="36"/>
  <c r="AA143" i="36"/>
  <c r="AB136" i="36"/>
  <c r="AB143" i="36"/>
  <c r="AC136" i="36"/>
  <c r="AC143" i="36"/>
  <c r="AD143" i="36"/>
  <c r="AE136" i="36"/>
  <c r="AE143" i="36"/>
  <c r="AF136" i="36"/>
  <c r="AF143" i="36"/>
  <c r="AG136" i="36"/>
  <c r="AG143" i="36"/>
  <c r="AH136" i="36"/>
  <c r="AH143" i="36"/>
  <c r="AI136" i="36"/>
  <c r="AI143" i="36"/>
  <c r="AJ136" i="36"/>
  <c r="AJ143" i="36"/>
  <c r="AK136" i="36"/>
  <c r="AK143" i="36"/>
  <c r="AL136" i="36"/>
  <c r="AL143" i="36"/>
  <c r="AM136" i="36"/>
  <c r="AM143" i="36"/>
  <c r="AN136" i="36"/>
  <c r="AN143" i="36"/>
  <c r="J137" i="36"/>
  <c r="J144" i="36"/>
  <c r="K137" i="36"/>
  <c r="K144" i="36"/>
  <c r="L144" i="36"/>
  <c r="M137" i="36"/>
  <c r="M144" i="36"/>
  <c r="N137" i="36"/>
  <c r="N144" i="36"/>
  <c r="O137" i="36"/>
  <c r="O144" i="36"/>
  <c r="P137" i="36"/>
  <c r="P144" i="36"/>
  <c r="Q137" i="36"/>
  <c r="Q144" i="36"/>
  <c r="R137" i="36"/>
  <c r="R144" i="36"/>
  <c r="S144" i="36"/>
  <c r="T137" i="36"/>
  <c r="T144" i="36"/>
  <c r="U137" i="36"/>
  <c r="U144" i="36"/>
  <c r="V137" i="36"/>
  <c r="V144" i="36"/>
  <c r="W144" i="36"/>
  <c r="X137" i="36"/>
  <c r="X144" i="36"/>
  <c r="Y137" i="36"/>
  <c r="Y144" i="36"/>
  <c r="Z137" i="36"/>
  <c r="Z144" i="36"/>
  <c r="AA137" i="36"/>
  <c r="AA144" i="36"/>
  <c r="AB137" i="36"/>
  <c r="AB144" i="36"/>
  <c r="AC137" i="36"/>
  <c r="AC144" i="36"/>
  <c r="AD144" i="36"/>
  <c r="AE137" i="36"/>
  <c r="AE144" i="36"/>
  <c r="AF137" i="36"/>
  <c r="AF144" i="36"/>
  <c r="AG137" i="36"/>
  <c r="AG144" i="36"/>
  <c r="AH137" i="36"/>
  <c r="AH144" i="36"/>
  <c r="AI137" i="36"/>
  <c r="AI144" i="36"/>
  <c r="AJ137" i="36"/>
  <c r="AJ144" i="36"/>
  <c r="AK137" i="36"/>
  <c r="AK144" i="36"/>
  <c r="AL137" i="36"/>
  <c r="AL144" i="36"/>
  <c r="AM137" i="36"/>
  <c r="AM144" i="36"/>
  <c r="AN137" i="36"/>
  <c r="AN144" i="36"/>
  <c r="J139" i="36"/>
  <c r="J145" i="36"/>
  <c r="K139" i="36"/>
  <c r="K145" i="36"/>
  <c r="L139" i="36"/>
  <c r="L145" i="36"/>
  <c r="M139" i="36"/>
  <c r="M145" i="36"/>
  <c r="N139" i="36"/>
  <c r="N145" i="36"/>
  <c r="O139" i="36"/>
  <c r="O145" i="36"/>
  <c r="P139" i="36"/>
  <c r="P145" i="36"/>
  <c r="Q139" i="36"/>
  <c r="Q145" i="36"/>
  <c r="R139" i="36"/>
  <c r="R145" i="36"/>
  <c r="S139" i="36"/>
  <c r="S145" i="36"/>
  <c r="T139" i="36"/>
  <c r="T145" i="36"/>
  <c r="U139" i="36"/>
  <c r="U145" i="36"/>
  <c r="V139" i="36"/>
  <c r="V145" i="36"/>
  <c r="W139" i="36"/>
  <c r="W145" i="36"/>
  <c r="X139" i="36"/>
  <c r="X145" i="36"/>
  <c r="Y139" i="36"/>
  <c r="Y145" i="36"/>
  <c r="Z139" i="36"/>
  <c r="Z145" i="36"/>
  <c r="AD139" i="36"/>
  <c r="AD145" i="36"/>
  <c r="AE139" i="36"/>
  <c r="AE145" i="36"/>
  <c r="AF139" i="36"/>
  <c r="AF145" i="36"/>
  <c r="AG139" i="36"/>
  <c r="AG145" i="36"/>
  <c r="AH145" i="36"/>
  <c r="AI145" i="36"/>
  <c r="AJ145" i="36"/>
  <c r="AK145" i="36"/>
  <c r="AL145" i="36"/>
  <c r="AM145" i="36"/>
  <c r="AN145" i="36"/>
  <c r="J146" i="36"/>
  <c r="K146" i="36"/>
  <c r="L146" i="36"/>
  <c r="M146" i="36"/>
  <c r="N146" i="36"/>
  <c r="O146" i="36"/>
  <c r="P146" i="36"/>
  <c r="Q146" i="36"/>
  <c r="R146" i="36"/>
  <c r="S146" i="36"/>
  <c r="T146" i="36"/>
  <c r="U146" i="36"/>
  <c r="V146" i="36"/>
  <c r="W146" i="36"/>
  <c r="X146" i="36"/>
  <c r="Y146" i="36"/>
  <c r="Z146" i="36"/>
  <c r="AD146" i="36"/>
  <c r="AE146" i="36"/>
  <c r="AF146" i="36"/>
  <c r="AG146" i="36"/>
  <c r="AH146" i="36"/>
  <c r="AI146" i="36"/>
  <c r="AJ146" i="36"/>
  <c r="AK146" i="36"/>
  <c r="AL146" i="36"/>
  <c r="AM146" i="36"/>
  <c r="AN146" i="36"/>
  <c r="I148" i="36"/>
  <c r="J148" i="36"/>
  <c r="K148" i="36"/>
  <c r="M148" i="36"/>
  <c r="N148" i="36"/>
  <c r="O148" i="36"/>
  <c r="Q148" i="36"/>
  <c r="R148" i="36"/>
  <c r="S148" i="36"/>
  <c r="T148" i="36"/>
  <c r="U148" i="36"/>
  <c r="V148" i="36"/>
  <c r="W148" i="36"/>
  <c r="X148" i="36"/>
  <c r="Y148" i="36"/>
  <c r="Z148" i="36"/>
  <c r="AA148" i="36"/>
  <c r="AB148" i="36"/>
  <c r="AC148" i="36"/>
  <c r="AE148" i="36"/>
  <c r="AF148" i="36"/>
  <c r="AG148" i="36"/>
  <c r="AH148" i="36"/>
  <c r="AI148" i="36"/>
  <c r="AJ148" i="36"/>
  <c r="AK148" i="36"/>
  <c r="AL148" i="36"/>
  <c r="AM148" i="36"/>
  <c r="AN148" i="36"/>
  <c r="J149" i="36"/>
  <c r="K149" i="36"/>
  <c r="M149" i="36"/>
  <c r="N149" i="36"/>
  <c r="O149" i="36"/>
  <c r="Q149" i="36"/>
  <c r="R149" i="36"/>
  <c r="S149" i="36"/>
  <c r="T149" i="36"/>
  <c r="U149" i="36"/>
  <c r="V149" i="36"/>
  <c r="W149" i="36"/>
  <c r="X149" i="36"/>
  <c r="Y149" i="36"/>
  <c r="Z149" i="36"/>
  <c r="AA149" i="36"/>
  <c r="AB149" i="36"/>
  <c r="AC149" i="36"/>
  <c r="AE149" i="36"/>
  <c r="AF149" i="36"/>
  <c r="AG149" i="36"/>
  <c r="AH149" i="36"/>
  <c r="AI149" i="36"/>
  <c r="AJ149" i="36"/>
  <c r="AK149" i="36"/>
  <c r="AL149" i="36"/>
  <c r="AM149" i="36"/>
  <c r="AN149" i="36"/>
  <c r="J151" i="36"/>
  <c r="K151" i="36"/>
  <c r="L151" i="36"/>
  <c r="M151" i="36"/>
  <c r="N151" i="36"/>
  <c r="O151" i="36"/>
  <c r="P151" i="36"/>
  <c r="Q151" i="36"/>
  <c r="R151" i="36"/>
  <c r="S151" i="36"/>
  <c r="T151" i="36"/>
  <c r="U151" i="36"/>
  <c r="V151" i="36"/>
  <c r="W151" i="36"/>
  <c r="X151" i="36"/>
  <c r="Y151" i="36"/>
  <c r="Z151" i="36"/>
  <c r="AA151" i="36"/>
  <c r="AB151" i="36"/>
  <c r="AC151" i="36"/>
  <c r="AD151" i="36"/>
  <c r="AE151" i="36"/>
  <c r="AF151" i="36"/>
  <c r="AG151" i="36"/>
  <c r="AH151" i="36"/>
  <c r="AI151" i="36"/>
  <c r="AJ151" i="36"/>
  <c r="AK151" i="36"/>
  <c r="AL151" i="36"/>
  <c r="AM151" i="36"/>
  <c r="AN151" i="36"/>
  <c r="J152" i="36"/>
  <c r="K152" i="36"/>
  <c r="L152" i="36"/>
  <c r="M152" i="36"/>
  <c r="N152" i="36"/>
  <c r="O152" i="36"/>
  <c r="P152" i="36"/>
  <c r="Q152" i="36"/>
  <c r="R152" i="36"/>
  <c r="S152" i="36"/>
  <c r="T152" i="36"/>
  <c r="U152" i="36"/>
  <c r="V152" i="36"/>
  <c r="W152" i="36"/>
  <c r="X152" i="36"/>
  <c r="Y152" i="36"/>
  <c r="Z152" i="36"/>
  <c r="AA152" i="36"/>
  <c r="AB152" i="36"/>
  <c r="AC152" i="36"/>
  <c r="AD152" i="36"/>
  <c r="AE152" i="36"/>
  <c r="AF152" i="36"/>
  <c r="AG152" i="36"/>
  <c r="AH152" i="36"/>
  <c r="AI152" i="36"/>
  <c r="AJ152" i="36"/>
  <c r="AK152" i="36"/>
  <c r="AL152" i="36"/>
  <c r="AM152" i="36"/>
  <c r="AN152" i="36"/>
  <c r="J155" i="36"/>
  <c r="K155" i="36"/>
  <c r="L155" i="36"/>
  <c r="M155" i="36"/>
  <c r="N155" i="36"/>
  <c r="O155" i="36"/>
  <c r="P155" i="36"/>
  <c r="Q155" i="36"/>
  <c r="R155" i="36"/>
  <c r="S155" i="36"/>
  <c r="T155" i="36"/>
  <c r="U155" i="36"/>
  <c r="V155" i="36"/>
  <c r="W155" i="36"/>
  <c r="X155" i="36"/>
  <c r="Y155" i="36"/>
  <c r="Z155" i="36"/>
  <c r="AA155" i="36"/>
  <c r="AB155" i="36"/>
  <c r="AC155" i="36"/>
  <c r="AD155" i="36"/>
  <c r="AE155" i="36"/>
  <c r="AF155" i="36"/>
  <c r="AG155" i="36"/>
  <c r="AH155" i="36"/>
  <c r="AI155" i="36"/>
  <c r="AJ155" i="36"/>
  <c r="AK155" i="36"/>
  <c r="AL155" i="36"/>
  <c r="AM155" i="36"/>
  <c r="AN155" i="36"/>
  <c r="J156" i="36"/>
  <c r="K156" i="36"/>
  <c r="L156" i="36"/>
  <c r="M156" i="36"/>
  <c r="N156" i="36"/>
  <c r="O156" i="36"/>
  <c r="P156" i="36"/>
  <c r="Q156" i="36"/>
  <c r="R156" i="36"/>
  <c r="S156" i="36"/>
  <c r="T156" i="36"/>
  <c r="U156" i="36"/>
  <c r="V156" i="36"/>
  <c r="W156" i="36"/>
  <c r="X156" i="36"/>
  <c r="Y156" i="36"/>
  <c r="Z156" i="36"/>
  <c r="AA156" i="36"/>
  <c r="AB156" i="36"/>
  <c r="AC156" i="36"/>
  <c r="AD156" i="36"/>
  <c r="AE156" i="36"/>
  <c r="AF156" i="36"/>
  <c r="AG156" i="36"/>
  <c r="AH156" i="36"/>
  <c r="AI156" i="36"/>
  <c r="AJ156" i="36"/>
  <c r="AK156" i="36"/>
  <c r="AL156" i="36"/>
  <c r="AM156" i="36"/>
  <c r="AN156" i="36"/>
  <c r="J157" i="36"/>
  <c r="K157" i="36"/>
  <c r="L157" i="36"/>
  <c r="M157" i="36"/>
  <c r="N157" i="36"/>
  <c r="O157" i="36"/>
  <c r="P157" i="36"/>
  <c r="Q157" i="36"/>
  <c r="R157" i="36"/>
  <c r="S157" i="36"/>
  <c r="T157" i="36"/>
  <c r="U157" i="36"/>
  <c r="V157" i="36"/>
  <c r="W157" i="36"/>
  <c r="X157" i="36"/>
  <c r="Y157" i="36"/>
  <c r="Z157" i="36"/>
  <c r="AA157" i="36"/>
  <c r="AB157" i="36"/>
  <c r="AC157" i="36"/>
  <c r="AD157" i="36"/>
  <c r="AE157" i="36"/>
  <c r="AF157" i="36"/>
  <c r="AG157" i="36"/>
  <c r="AH157" i="36"/>
  <c r="AI157" i="36"/>
  <c r="AJ157" i="36"/>
  <c r="AK157" i="36"/>
  <c r="AL157" i="36"/>
  <c r="AM157" i="36"/>
  <c r="AN157" i="36"/>
  <c r="J158" i="36"/>
  <c r="K158" i="36"/>
  <c r="L158" i="36"/>
  <c r="M158" i="36"/>
  <c r="N158" i="36"/>
  <c r="O158" i="36"/>
  <c r="P158" i="36"/>
  <c r="Q158" i="36"/>
  <c r="R158" i="36"/>
  <c r="S158" i="36"/>
  <c r="T158" i="36"/>
  <c r="U158" i="36"/>
  <c r="V158" i="36"/>
  <c r="W158" i="36"/>
  <c r="X158" i="36"/>
  <c r="Y158" i="36"/>
  <c r="Z158" i="36"/>
  <c r="AA158" i="36"/>
  <c r="AB158" i="36"/>
  <c r="AC158" i="36"/>
  <c r="AD158" i="36"/>
  <c r="AE158" i="36"/>
  <c r="AF158" i="36"/>
  <c r="AG158" i="36"/>
  <c r="AH158" i="36"/>
  <c r="AI158" i="36"/>
  <c r="AJ158" i="36"/>
  <c r="AK158" i="36"/>
  <c r="AL158" i="36"/>
  <c r="AM158" i="36"/>
  <c r="AN158" i="36"/>
  <c r="I160" i="36"/>
  <c r="J160" i="36"/>
  <c r="K160" i="36"/>
  <c r="M160" i="36"/>
  <c r="N160" i="36"/>
  <c r="O160" i="36"/>
  <c r="Q160" i="36"/>
  <c r="R160" i="36"/>
  <c r="T160" i="36"/>
  <c r="U160" i="36"/>
  <c r="V160" i="36"/>
  <c r="W160" i="36"/>
  <c r="X160" i="36"/>
  <c r="Y160" i="36"/>
  <c r="AA160" i="36"/>
  <c r="AB160" i="36"/>
  <c r="AC160" i="36"/>
  <c r="AE160" i="36"/>
  <c r="AF160" i="36"/>
  <c r="AG160" i="36"/>
  <c r="AH160" i="36"/>
  <c r="AI160" i="36"/>
  <c r="AJ160" i="36"/>
  <c r="AK160" i="36"/>
  <c r="AL160" i="36"/>
  <c r="AM160" i="36"/>
  <c r="AN160" i="36"/>
  <c r="J161" i="36"/>
  <c r="K161" i="36"/>
  <c r="M161" i="36"/>
  <c r="N161" i="36"/>
  <c r="O161" i="36"/>
  <c r="Q161" i="36"/>
  <c r="R161" i="36"/>
  <c r="T161" i="36"/>
  <c r="U161" i="36"/>
  <c r="V161" i="36"/>
  <c r="W161" i="36"/>
  <c r="X161" i="36"/>
  <c r="Y161" i="36"/>
  <c r="AA161" i="36"/>
  <c r="AB161" i="36"/>
  <c r="AC161" i="36"/>
  <c r="AE161" i="36"/>
  <c r="AF161" i="36"/>
  <c r="AG161" i="36"/>
  <c r="AH161" i="36"/>
  <c r="AI161" i="36"/>
  <c r="AJ161" i="36"/>
  <c r="AK161" i="36"/>
  <c r="AL161" i="36"/>
  <c r="AM161" i="36"/>
  <c r="AN161" i="36"/>
  <c r="J163" i="36"/>
  <c r="K163" i="36"/>
  <c r="L163" i="36"/>
  <c r="M163" i="36"/>
  <c r="N163" i="36"/>
  <c r="O163" i="36"/>
  <c r="P163" i="36"/>
  <c r="Q163" i="36"/>
  <c r="R163" i="36"/>
  <c r="S163" i="36"/>
  <c r="T163" i="36"/>
  <c r="U163" i="36"/>
  <c r="V163" i="36"/>
  <c r="W163" i="36"/>
  <c r="X163" i="36"/>
  <c r="Y163" i="36"/>
  <c r="Z163" i="36"/>
  <c r="AA163" i="36"/>
  <c r="AB163" i="36"/>
  <c r="AC163" i="36"/>
  <c r="AD163" i="36"/>
  <c r="AE163" i="36"/>
  <c r="AF163" i="36"/>
  <c r="AG163" i="36"/>
  <c r="AH163" i="36"/>
  <c r="AI163" i="36"/>
  <c r="AJ163" i="36"/>
  <c r="AK163" i="36"/>
  <c r="AL163" i="36"/>
  <c r="AM163" i="36"/>
  <c r="AN163" i="36"/>
  <c r="J164" i="36"/>
  <c r="K164" i="36"/>
  <c r="L164" i="36"/>
  <c r="M164" i="36"/>
  <c r="N164" i="36"/>
  <c r="O164" i="36"/>
  <c r="P164" i="36"/>
  <c r="Q164" i="36"/>
  <c r="R164" i="36"/>
  <c r="S164" i="36"/>
  <c r="T164" i="36"/>
  <c r="U164" i="36"/>
  <c r="V164" i="36"/>
  <c r="W164" i="36"/>
  <c r="X164" i="36"/>
  <c r="Y164" i="36"/>
  <c r="Z164" i="36"/>
  <c r="AA164" i="36"/>
  <c r="AB164" i="36"/>
  <c r="AC164" i="36"/>
  <c r="AD164" i="36"/>
  <c r="AE164" i="36"/>
  <c r="AF164" i="36"/>
  <c r="AG164" i="36"/>
  <c r="AH164" i="36"/>
  <c r="AI164" i="36"/>
  <c r="AJ164" i="36"/>
  <c r="AK164" i="36"/>
  <c r="AL164" i="36"/>
  <c r="AM164" i="36"/>
  <c r="AN164" i="36"/>
  <c r="J167" i="36"/>
  <c r="K167" i="36"/>
  <c r="L167" i="36"/>
  <c r="M167" i="36"/>
  <c r="N167" i="36"/>
  <c r="O167" i="36"/>
  <c r="P167" i="36"/>
  <c r="Q167" i="36"/>
  <c r="R167" i="36"/>
  <c r="S167" i="36"/>
  <c r="T167" i="36"/>
  <c r="U167" i="36"/>
  <c r="V167" i="36"/>
  <c r="W167" i="36"/>
  <c r="X167" i="36"/>
  <c r="Y167" i="36"/>
  <c r="Z167" i="36"/>
  <c r="AA167" i="36"/>
  <c r="AB167" i="36"/>
  <c r="AC167" i="36"/>
  <c r="AD167" i="36"/>
  <c r="AE167" i="36"/>
  <c r="AF167" i="36"/>
  <c r="AG167" i="36"/>
  <c r="AH167" i="36"/>
  <c r="AI167" i="36"/>
  <c r="AJ167" i="36"/>
  <c r="AK167" i="36"/>
  <c r="AL167" i="36"/>
  <c r="AM167" i="36"/>
  <c r="AN167" i="36"/>
  <c r="J168" i="36"/>
  <c r="K168" i="36"/>
  <c r="L168" i="36"/>
  <c r="M168" i="36"/>
  <c r="N168" i="36"/>
  <c r="O168" i="36"/>
  <c r="P168" i="36"/>
  <c r="Q168" i="36"/>
  <c r="R168" i="36"/>
  <c r="S168" i="36"/>
  <c r="T168" i="36"/>
  <c r="U168" i="36"/>
  <c r="V168" i="36"/>
  <c r="W168" i="36"/>
  <c r="X168" i="36"/>
  <c r="Y168" i="36"/>
  <c r="Z168" i="36"/>
  <c r="AA168" i="36"/>
  <c r="AB168" i="36"/>
  <c r="AC168" i="36"/>
  <c r="AD168" i="36"/>
  <c r="AE168" i="36"/>
  <c r="AF168" i="36"/>
  <c r="AG168" i="36"/>
  <c r="AH168" i="36"/>
  <c r="AI168" i="36"/>
  <c r="AJ168" i="36"/>
  <c r="AK168" i="36"/>
  <c r="AL168" i="36"/>
  <c r="AM168" i="36"/>
  <c r="AN168" i="36"/>
  <c r="J169" i="36"/>
  <c r="K169" i="36"/>
  <c r="L169" i="36"/>
  <c r="M169" i="36"/>
  <c r="N169" i="36"/>
  <c r="O169" i="36"/>
  <c r="P169" i="36"/>
  <c r="Q169" i="36"/>
  <c r="R169" i="36"/>
  <c r="S169" i="36"/>
  <c r="T169" i="36"/>
  <c r="U169" i="36"/>
  <c r="V169" i="36"/>
  <c r="W169" i="36"/>
  <c r="X169" i="36"/>
  <c r="Y169" i="36"/>
  <c r="Z169" i="36"/>
  <c r="AA169" i="36"/>
  <c r="AB169" i="36"/>
  <c r="AC169" i="36"/>
  <c r="AD169" i="36"/>
  <c r="AE169" i="36"/>
  <c r="AF169" i="36"/>
  <c r="AG169" i="36"/>
  <c r="AH169" i="36"/>
  <c r="AI169" i="36"/>
  <c r="AJ169" i="36"/>
  <c r="AK169" i="36"/>
  <c r="AL169" i="36"/>
  <c r="AM169" i="36"/>
  <c r="AN169" i="36"/>
  <c r="J170" i="36"/>
  <c r="K170" i="36"/>
  <c r="L170" i="36"/>
  <c r="M170" i="36"/>
  <c r="N170" i="36"/>
  <c r="O170" i="36"/>
  <c r="P170" i="36"/>
  <c r="Q170" i="36"/>
  <c r="R170" i="36"/>
  <c r="S170" i="36"/>
  <c r="T170" i="36"/>
  <c r="U170" i="36"/>
  <c r="V170" i="36"/>
  <c r="W170" i="36"/>
  <c r="X170" i="36"/>
  <c r="Y170" i="36"/>
  <c r="Z170" i="36"/>
  <c r="AA170" i="36"/>
  <c r="AB170" i="36"/>
  <c r="AC170" i="36"/>
  <c r="AD170" i="36"/>
  <c r="AE170" i="36"/>
  <c r="AF170" i="36"/>
  <c r="AG170" i="36"/>
  <c r="AH170" i="36"/>
  <c r="AI170" i="36"/>
  <c r="AJ170" i="36"/>
  <c r="AK170" i="36"/>
  <c r="AL170" i="36"/>
  <c r="AM170" i="36"/>
  <c r="AN170" i="36"/>
  <c r="J172" i="36"/>
  <c r="K172" i="36"/>
  <c r="M172" i="36"/>
  <c r="N172" i="36"/>
  <c r="O172" i="36"/>
  <c r="Q172" i="36"/>
  <c r="R172" i="36"/>
  <c r="T172" i="36"/>
  <c r="U172" i="36"/>
  <c r="V172" i="36"/>
  <c r="X172" i="36"/>
  <c r="Y172" i="36"/>
  <c r="Z172" i="36"/>
  <c r="AA172" i="36"/>
  <c r="AB172" i="36"/>
  <c r="AC172" i="36"/>
  <c r="AE172" i="36"/>
  <c r="AF172" i="36"/>
  <c r="AH172" i="36"/>
  <c r="AI172" i="36"/>
  <c r="AJ172" i="36"/>
  <c r="AK172" i="36"/>
  <c r="AL172" i="36"/>
  <c r="AM172" i="36"/>
  <c r="AN172" i="36"/>
  <c r="J173" i="36"/>
  <c r="K173" i="36"/>
  <c r="M173" i="36"/>
  <c r="N173" i="36"/>
  <c r="O173" i="36"/>
  <c r="Q173" i="36"/>
  <c r="R173" i="36"/>
  <c r="T173" i="36"/>
  <c r="U173" i="36"/>
  <c r="V173" i="36"/>
  <c r="X173" i="36"/>
  <c r="Y173" i="36"/>
  <c r="Z173" i="36"/>
  <c r="AA173" i="36"/>
  <c r="AB173" i="36"/>
  <c r="AC173" i="36"/>
  <c r="AE173" i="36"/>
  <c r="AF173" i="36"/>
  <c r="AH173" i="36"/>
  <c r="AI173" i="36"/>
  <c r="AJ173" i="36"/>
  <c r="AK173" i="36"/>
  <c r="AL173" i="36"/>
  <c r="AM173" i="36"/>
  <c r="AN173" i="36"/>
  <c r="J175" i="36"/>
  <c r="K175" i="36"/>
  <c r="L175" i="36"/>
  <c r="M175" i="36"/>
  <c r="N175" i="36"/>
  <c r="O175" i="36"/>
  <c r="P175" i="36"/>
  <c r="Q175" i="36"/>
  <c r="R175" i="36"/>
  <c r="S175" i="36"/>
  <c r="T175" i="36"/>
  <c r="U175" i="36"/>
  <c r="V175" i="36"/>
  <c r="W175" i="36"/>
  <c r="X175" i="36"/>
  <c r="Y175" i="36"/>
  <c r="Z175" i="36"/>
  <c r="AA175" i="36"/>
  <c r="AB175" i="36"/>
  <c r="AC175" i="36"/>
  <c r="AD175" i="36"/>
  <c r="AE175" i="36"/>
  <c r="AF175" i="36"/>
  <c r="AG175" i="36"/>
  <c r="AH175" i="36"/>
  <c r="AI175" i="36"/>
  <c r="AJ175" i="36"/>
  <c r="AK175" i="36"/>
  <c r="AL175" i="36"/>
  <c r="AM175" i="36"/>
  <c r="AN175" i="36"/>
  <c r="J176" i="36"/>
  <c r="K176" i="36"/>
  <c r="L176" i="36"/>
  <c r="M176" i="36"/>
  <c r="N176" i="36"/>
  <c r="O176" i="36"/>
  <c r="P176" i="36"/>
  <c r="Q176" i="36"/>
  <c r="R176" i="36"/>
  <c r="S176" i="36"/>
  <c r="T176" i="36"/>
  <c r="U176" i="36"/>
  <c r="V176" i="36"/>
  <c r="W176" i="36"/>
  <c r="X176" i="36"/>
  <c r="Y176" i="36"/>
  <c r="Z176" i="36"/>
  <c r="AA176" i="36"/>
  <c r="AB176" i="36"/>
  <c r="AC176" i="36"/>
  <c r="AD176" i="36"/>
  <c r="AE176" i="36"/>
  <c r="AF176" i="36"/>
  <c r="AG176" i="36"/>
  <c r="AH176" i="36"/>
  <c r="AI176" i="36"/>
  <c r="AJ176" i="36"/>
  <c r="AK176" i="36"/>
  <c r="AL176" i="36"/>
  <c r="AM176" i="36"/>
  <c r="AN176" i="36"/>
  <c r="J179" i="36"/>
  <c r="K179" i="36"/>
  <c r="L179" i="36"/>
  <c r="M179" i="36"/>
  <c r="N179" i="36"/>
  <c r="O179" i="36"/>
  <c r="P179" i="36"/>
  <c r="Q179" i="36"/>
  <c r="R179" i="36"/>
  <c r="S179" i="36"/>
  <c r="T179" i="36"/>
  <c r="U179" i="36"/>
  <c r="V179" i="36"/>
  <c r="W179" i="36"/>
  <c r="X179" i="36"/>
  <c r="Y179" i="36"/>
  <c r="Z179" i="36"/>
  <c r="AA179" i="36"/>
  <c r="AB179" i="36"/>
  <c r="AC179" i="36"/>
  <c r="AD179" i="36"/>
  <c r="AE179" i="36"/>
  <c r="AF179" i="36"/>
  <c r="AG179" i="36"/>
  <c r="AH179" i="36"/>
  <c r="AI179" i="36"/>
  <c r="AJ179" i="36"/>
  <c r="AK179" i="36"/>
  <c r="AL179" i="36"/>
  <c r="AM179" i="36"/>
  <c r="AN179" i="36"/>
  <c r="J180" i="36"/>
  <c r="K180" i="36"/>
  <c r="L180" i="36"/>
  <c r="M180" i="36"/>
  <c r="N180" i="36"/>
  <c r="O180" i="36"/>
  <c r="P180" i="36"/>
  <c r="Q180" i="36"/>
  <c r="R180" i="36"/>
  <c r="S180" i="36"/>
  <c r="T180" i="36"/>
  <c r="U180" i="36"/>
  <c r="V180" i="36"/>
  <c r="W180" i="36"/>
  <c r="X180" i="36"/>
  <c r="Y180" i="36"/>
  <c r="Z180" i="36"/>
  <c r="AA180" i="36"/>
  <c r="AB180" i="36"/>
  <c r="AC180" i="36"/>
  <c r="AD180" i="36"/>
  <c r="AE180" i="36"/>
  <c r="AF180" i="36"/>
  <c r="AG180" i="36"/>
  <c r="AH180" i="36"/>
  <c r="AI180" i="36"/>
  <c r="AJ180" i="36"/>
  <c r="AK180" i="36"/>
  <c r="AL180" i="36"/>
  <c r="AM180" i="36"/>
  <c r="AN180" i="36"/>
  <c r="J181" i="36"/>
  <c r="K181" i="36"/>
  <c r="L181" i="36"/>
  <c r="M181" i="36"/>
  <c r="N181" i="36"/>
  <c r="O181" i="36"/>
  <c r="P181" i="36"/>
  <c r="Q181" i="36"/>
  <c r="R181" i="36"/>
  <c r="S181" i="36"/>
  <c r="T181" i="36"/>
  <c r="U181" i="36"/>
  <c r="V181" i="36"/>
  <c r="W181" i="36"/>
  <c r="X181" i="36"/>
  <c r="Y181" i="36"/>
  <c r="Z181" i="36"/>
  <c r="AA181" i="36"/>
  <c r="AB181" i="36"/>
  <c r="AC181" i="36"/>
  <c r="AD181" i="36"/>
  <c r="AE181" i="36"/>
  <c r="AF181" i="36"/>
  <c r="AG181" i="36"/>
  <c r="AH181" i="36"/>
  <c r="AI181" i="36"/>
  <c r="AJ181" i="36"/>
  <c r="AK181" i="36"/>
  <c r="AL181" i="36"/>
  <c r="AM181" i="36"/>
  <c r="AN181" i="36"/>
  <c r="J182" i="36"/>
  <c r="K182" i="36"/>
  <c r="L182" i="36"/>
  <c r="M182" i="36"/>
  <c r="N182" i="36"/>
  <c r="O182" i="36"/>
  <c r="P182" i="36"/>
  <c r="Q182" i="36"/>
  <c r="R182" i="36"/>
  <c r="S182" i="36"/>
  <c r="T182" i="36"/>
  <c r="U182" i="36"/>
  <c r="V182" i="36"/>
  <c r="W182" i="36"/>
  <c r="X182" i="36"/>
  <c r="Y182" i="36"/>
  <c r="Z182" i="36"/>
  <c r="AA182" i="36"/>
  <c r="AB182" i="36"/>
  <c r="AC182" i="36"/>
  <c r="AD182" i="36"/>
  <c r="AE182" i="36"/>
  <c r="AF182" i="36"/>
  <c r="AG182" i="36"/>
  <c r="AH182" i="36"/>
  <c r="AI182" i="36"/>
  <c r="AJ182" i="36"/>
  <c r="AK182" i="36"/>
  <c r="AL182" i="36"/>
  <c r="AM182" i="36"/>
  <c r="AN182" i="36"/>
  <c r="J184" i="36"/>
  <c r="K184" i="36"/>
  <c r="M184" i="36"/>
  <c r="N184" i="36"/>
  <c r="O184" i="36"/>
  <c r="Q184" i="36"/>
  <c r="R184" i="36"/>
  <c r="T184" i="36"/>
  <c r="U184" i="36"/>
  <c r="V184" i="36"/>
  <c r="X184" i="36"/>
  <c r="Y184" i="36"/>
  <c r="AA184" i="36"/>
  <c r="AB184" i="36"/>
  <c r="AC184" i="36"/>
  <c r="AD184" i="36"/>
  <c r="AE184" i="36"/>
  <c r="AF184" i="36"/>
  <c r="AG184" i="36"/>
  <c r="AH184" i="36"/>
  <c r="AI184" i="36"/>
  <c r="AJ184" i="36"/>
  <c r="AK184" i="36"/>
  <c r="AL184" i="36"/>
  <c r="AM184" i="36"/>
  <c r="AN184" i="36"/>
  <c r="J185" i="36"/>
  <c r="K185" i="36"/>
  <c r="L185" i="36"/>
  <c r="M185" i="36"/>
  <c r="N185" i="36"/>
  <c r="O185" i="36"/>
  <c r="Q185" i="36"/>
  <c r="R185" i="36"/>
  <c r="T185" i="36"/>
  <c r="U185" i="36"/>
  <c r="V185" i="36"/>
  <c r="X185" i="36"/>
  <c r="Y185" i="36"/>
  <c r="AA185" i="36"/>
  <c r="AB185" i="36"/>
  <c r="AC185" i="36"/>
  <c r="AD185" i="36"/>
  <c r="AE185" i="36"/>
  <c r="AF185" i="36"/>
  <c r="AG185" i="36"/>
  <c r="AH185" i="36"/>
  <c r="AI185" i="36"/>
  <c r="AJ185" i="36"/>
  <c r="AK185" i="36"/>
  <c r="AL185" i="36"/>
  <c r="AM185" i="36"/>
  <c r="AN185" i="36"/>
  <c r="J187" i="36"/>
  <c r="K187" i="36"/>
  <c r="L187" i="36"/>
  <c r="M187" i="36"/>
  <c r="N187" i="36"/>
  <c r="O187" i="36"/>
  <c r="P187" i="36"/>
  <c r="Q187" i="36"/>
  <c r="R187" i="36"/>
  <c r="S187" i="36"/>
  <c r="T187" i="36"/>
  <c r="U187" i="36"/>
  <c r="V187" i="36"/>
  <c r="W187" i="36"/>
  <c r="X187" i="36"/>
  <c r="Y187" i="36"/>
  <c r="Z187" i="36"/>
  <c r="AA187" i="36"/>
  <c r="AB187" i="36"/>
  <c r="AC187" i="36"/>
  <c r="AD187" i="36"/>
  <c r="AE187" i="36"/>
  <c r="AF187" i="36"/>
  <c r="AG187" i="36"/>
  <c r="AH187" i="36"/>
  <c r="AI187" i="36"/>
  <c r="AJ187" i="36"/>
  <c r="AK187" i="36"/>
  <c r="AL187" i="36"/>
  <c r="AM187" i="36"/>
  <c r="AN187" i="36"/>
  <c r="J188" i="36"/>
  <c r="K188" i="36"/>
  <c r="L188" i="36"/>
  <c r="M188" i="36"/>
  <c r="N188" i="36"/>
  <c r="O188" i="36"/>
  <c r="P188" i="36"/>
  <c r="Q188" i="36"/>
  <c r="R188" i="36"/>
  <c r="S188" i="36"/>
  <c r="T188" i="36"/>
  <c r="U188" i="36"/>
  <c r="V188" i="36"/>
  <c r="W188" i="36"/>
  <c r="X188" i="36"/>
  <c r="Y188" i="36"/>
  <c r="Z188" i="36"/>
  <c r="AA188" i="36"/>
  <c r="AB188" i="36"/>
  <c r="AC188" i="36"/>
  <c r="AD188" i="36"/>
  <c r="AE188" i="36"/>
  <c r="AF188" i="36"/>
  <c r="AG188" i="36"/>
  <c r="AH188" i="36"/>
  <c r="AI188" i="36"/>
  <c r="AJ188" i="36"/>
  <c r="AK188" i="36"/>
  <c r="AL188" i="36"/>
  <c r="AM188" i="36"/>
  <c r="AN188" i="36"/>
  <c r="J191" i="36"/>
  <c r="K191" i="36"/>
  <c r="L191" i="36"/>
  <c r="M191" i="36"/>
  <c r="N191" i="36"/>
  <c r="O191" i="36"/>
  <c r="P191" i="36"/>
  <c r="Q191" i="36"/>
  <c r="R191" i="36"/>
  <c r="S191" i="36"/>
  <c r="T191" i="36"/>
  <c r="U191" i="36"/>
  <c r="V191" i="36"/>
  <c r="W191" i="36"/>
  <c r="X191" i="36"/>
  <c r="Y191" i="36"/>
  <c r="Z191" i="36"/>
  <c r="AA191" i="36"/>
  <c r="AB191" i="36"/>
  <c r="AC191" i="36"/>
  <c r="AD191" i="36"/>
  <c r="AE191" i="36"/>
  <c r="AF191" i="36"/>
  <c r="AG191" i="36"/>
  <c r="AH191" i="36"/>
  <c r="AI191" i="36"/>
  <c r="AJ191" i="36"/>
  <c r="AK191" i="36"/>
  <c r="AL191" i="36"/>
  <c r="AM191" i="36"/>
  <c r="AN191" i="36"/>
  <c r="J192" i="36"/>
  <c r="K192" i="36"/>
  <c r="L192" i="36"/>
  <c r="M192" i="36"/>
  <c r="N192" i="36"/>
  <c r="O192" i="36"/>
  <c r="P192" i="36"/>
  <c r="Q192" i="36"/>
  <c r="R192" i="36"/>
  <c r="S192" i="36"/>
  <c r="T192" i="36"/>
  <c r="U192" i="36"/>
  <c r="V192" i="36"/>
  <c r="W192" i="36"/>
  <c r="X192" i="36"/>
  <c r="Y192" i="36"/>
  <c r="Z192" i="36"/>
  <c r="AA192" i="36"/>
  <c r="AB192" i="36"/>
  <c r="AC192" i="36"/>
  <c r="AD192" i="36"/>
  <c r="AE192" i="36"/>
  <c r="AF192" i="36"/>
  <c r="AG192" i="36"/>
  <c r="AH192" i="36"/>
  <c r="AI192" i="36"/>
  <c r="AJ192" i="36"/>
  <c r="AK192" i="36"/>
  <c r="AL192" i="36"/>
  <c r="AM192" i="36"/>
  <c r="AN192" i="36"/>
  <c r="J193" i="36"/>
  <c r="K193" i="36"/>
  <c r="L193" i="36"/>
  <c r="M193" i="36"/>
  <c r="N193" i="36"/>
  <c r="O193" i="36"/>
  <c r="P193" i="36"/>
  <c r="Q193" i="36"/>
  <c r="R193" i="36"/>
  <c r="S193" i="36"/>
  <c r="T193" i="36"/>
  <c r="U193" i="36"/>
  <c r="V193" i="36"/>
  <c r="W193" i="36"/>
  <c r="X193" i="36"/>
  <c r="Y193" i="36"/>
  <c r="Z193" i="36"/>
  <c r="AA193" i="36"/>
  <c r="AB193" i="36"/>
  <c r="AC193" i="36"/>
  <c r="AD193" i="36"/>
  <c r="AE193" i="36"/>
  <c r="AF193" i="36"/>
  <c r="AG193" i="36"/>
  <c r="AH193" i="36"/>
  <c r="AI193" i="36"/>
  <c r="AJ193" i="36"/>
  <c r="AK193" i="36"/>
  <c r="AL193" i="36"/>
  <c r="AM193" i="36"/>
  <c r="AN193" i="36"/>
  <c r="J194" i="36"/>
  <c r="K194" i="36"/>
  <c r="L194" i="36"/>
  <c r="M194" i="36"/>
  <c r="N194" i="36"/>
  <c r="O194" i="36"/>
  <c r="P194" i="36"/>
  <c r="Q194" i="36"/>
  <c r="R194" i="36"/>
  <c r="S194" i="36"/>
  <c r="T194" i="36"/>
  <c r="U194" i="36"/>
  <c r="V194" i="36"/>
  <c r="W194" i="36"/>
  <c r="X194" i="36"/>
  <c r="Y194" i="36"/>
  <c r="Z194" i="36"/>
  <c r="AA194" i="36"/>
  <c r="AB194" i="36"/>
  <c r="AC194" i="36"/>
  <c r="AD194" i="36"/>
  <c r="AE194" i="36"/>
  <c r="AF194" i="36"/>
  <c r="AG194" i="36"/>
  <c r="AH194" i="36"/>
  <c r="AI194" i="36"/>
  <c r="AJ194" i="36"/>
  <c r="AK194" i="36"/>
  <c r="AL194" i="36"/>
  <c r="AM194" i="36"/>
  <c r="AN194" i="36"/>
  <c r="J196" i="36"/>
  <c r="K196" i="36"/>
  <c r="M196" i="36"/>
  <c r="N196" i="36"/>
  <c r="O196" i="36"/>
  <c r="P196" i="36"/>
  <c r="Q196" i="36"/>
  <c r="R196" i="36"/>
  <c r="S196" i="36"/>
  <c r="T196" i="36"/>
  <c r="U196" i="36"/>
  <c r="V196" i="36"/>
  <c r="W196" i="36"/>
  <c r="X196" i="36"/>
  <c r="Y196" i="36"/>
  <c r="AA196" i="36"/>
  <c r="AB196" i="36"/>
  <c r="AC196" i="36"/>
  <c r="AD196" i="36"/>
  <c r="AE196" i="36"/>
  <c r="AF196" i="36"/>
  <c r="AH196" i="36"/>
  <c r="AI196" i="36"/>
  <c r="AJ196" i="36"/>
  <c r="AK196" i="36"/>
  <c r="AL196" i="36"/>
  <c r="AM196" i="36"/>
  <c r="AN196" i="36"/>
  <c r="J197" i="36"/>
  <c r="K197" i="36"/>
  <c r="M197" i="36"/>
  <c r="N197" i="36"/>
  <c r="O197" i="36"/>
  <c r="P197" i="36"/>
  <c r="Q197" i="36"/>
  <c r="R197" i="36"/>
  <c r="S197" i="36"/>
  <c r="T197" i="36"/>
  <c r="U197" i="36"/>
  <c r="V197" i="36"/>
  <c r="W197" i="36"/>
  <c r="X197" i="36"/>
  <c r="Y197" i="36"/>
  <c r="AA197" i="36"/>
  <c r="AB197" i="36"/>
  <c r="AC197" i="36"/>
  <c r="AD197" i="36"/>
  <c r="AE197" i="36"/>
  <c r="AF197" i="36"/>
  <c r="AG197" i="36"/>
  <c r="AH197" i="36"/>
  <c r="AI197" i="36"/>
  <c r="AJ197" i="36"/>
  <c r="AK197" i="36"/>
  <c r="AL197" i="36"/>
  <c r="AM197" i="36"/>
  <c r="AN197" i="36"/>
  <c r="J199" i="36"/>
  <c r="K199" i="36"/>
  <c r="L199" i="36"/>
  <c r="M199" i="36"/>
  <c r="N199" i="36"/>
  <c r="O199" i="36"/>
  <c r="P199" i="36"/>
  <c r="Q199" i="36"/>
  <c r="R199" i="36"/>
  <c r="S199" i="36"/>
  <c r="T199" i="36"/>
  <c r="U199" i="36"/>
  <c r="V199" i="36"/>
  <c r="W199" i="36"/>
  <c r="X199" i="36"/>
  <c r="Y199" i="36"/>
  <c r="Z199" i="36"/>
  <c r="AA199" i="36"/>
  <c r="AB199" i="36"/>
  <c r="AC199" i="36"/>
  <c r="AD199" i="36"/>
  <c r="AE199" i="36"/>
  <c r="AF199" i="36"/>
  <c r="AG199" i="36"/>
  <c r="AH199" i="36"/>
  <c r="AI199" i="36"/>
  <c r="AJ199" i="36"/>
  <c r="AK199" i="36"/>
  <c r="AL199" i="36"/>
  <c r="AM199" i="36"/>
  <c r="AN199" i="36"/>
  <c r="J200" i="36"/>
  <c r="K200" i="36"/>
  <c r="L200" i="36"/>
  <c r="M200" i="36"/>
  <c r="N200" i="36"/>
  <c r="O200" i="36"/>
  <c r="P200" i="36"/>
  <c r="Q200" i="36"/>
  <c r="R200" i="36"/>
  <c r="S200" i="36"/>
  <c r="T200" i="36"/>
  <c r="U200" i="36"/>
  <c r="V200" i="36"/>
  <c r="W200" i="36"/>
  <c r="X200" i="36"/>
  <c r="Y200" i="36"/>
  <c r="Z200" i="36"/>
  <c r="AA200" i="36"/>
  <c r="AB200" i="36"/>
  <c r="AC200" i="36"/>
  <c r="AE200" i="36"/>
  <c r="AF200" i="36"/>
  <c r="AG200" i="36"/>
  <c r="AH200" i="36"/>
  <c r="AI200" i="36"/>
  <c r="AJ200" i="36"/>
  <c r="AK200" i="36"/>
  <c r="AL200" i="36"/>
  <c r="AM200" i="36"/>
  <c r="AN200" i="36"/>
  <c r="J203" i="36"/>
  <c r="K203" i="36"/>
  <c r="L203" i="36"/>
  <c r="M203" i="36"/>
  <c r="N203" i="36"/>
  <c r="O203" i="36"/>
  <c r="P203" i="36"/>
  <c r="Q203" i="36"/>
  <c r="R203" i="36"/>
  <c r="S203" i="36"/>
  <c r="T203" i="36"/>
  <c r="U203" i="36"/>
  <c r="V203" i="36"/>
  <c r="W203" i="36"/>
  <c r="X203" i="36"/>
  <c r="Y203" i="36"/>
  <c r="Z203" i="36"/>
  <c r="AA203" i="36"/>
  <c r="AB203" i="36"/>
  <c r="AC203" i="36"/>
  <c r="AD203" i="36"/>
  <c r="AE203" i="36"/>
  <c r="AF203" i="36"/>
  <c r="AG203" i="36"/>
  <c r="AH203" i="36"/>
  <c r="AI203" i="36"/>
  <c r="AJ203" i="36"/>
  <c r="AK203" i="36"/>
  <c r="AL203" i="36"/>
  <c r="AM203" i="36"/>
  <c r="AN203" i="36"/>
  <c r="J204" i="36"/>
  <c r="K204" i="36"/>
  <c r="L204" i="36"/>
  <c r="M204" i="36"/>
  <c r="N204" i="36"/>
  <c r="O204" i="36"/>
  <c r="P204" i="36"/>
  <c r="Q204" i="36"/>
  <c r="R204" i="36"/>
  <c r="S204" i="36"/>
  <c r="T204" i="36"/>
  <c r="U204" i="36"/>
  <c r="V204" i="36"/>
  <c r="W204" i="36"/>
  <c r="X204" i="36"/>
  <c r="Y204" i="36"/>
  <c r="Z204" i="36"/>
  <c r="AA204" i="36"/>
  <c r="AB204" i="36"/>
  <c r="AC204" i="36"/>
  <c r="AD204" i="36"/>
  <c r="AE204" i="36"/>
  <c r="AF204" i="36"/>
  <c r="AG204" i="36"/>
  <c r="AH204" i="36"/>
  <c r="AI204" i="36"/>
  <c r="AJ204" i="36"/>
  <c r="AK204" i="36"/>
  <c r="AL204" i="36"/>
  <c r="AM204" i="36"/>
  <c r="AN204" i="36"/>
  <c r="J205" i="36"/>
  <c r="K205" i="36"/>
  <c r="L205" i="36"/>
  <c r="M205" i="36"/>
  <c r="N205" i="36"/>
  <c r="O205" i="36"/>
  <c r="P205" i="36"/>
  <c r="Q205" i="36"/>
  <c r="R205" i="36"/>
  <c r="S205" i="36"/>
  <c r="T205" i="36"/>
  <c r="U205" i="36"/>
  <c r="V205" i="36"/>
  <c r="W205" i="36"/>
  <c r="X205" i="36"/>
  <c r="Y205" i="36"/>
  <c r="Z205" i="36"/>
  <c r="AA205" i="36"/>
  <c r="AB205" i="36"/>
  <c r="AC205" i="36"/>
  <c r="AD205" i="36"/>
  <c r="AE205" i="36"/>
  <c r="AF205" i="36"/>
  <c r="AG205" i="36"/>
  <c r="AH205" i="36"/>
  <c r="AI205" i="36"/>
  <c r="AJ205" i="36"/>
  <c r="AK205" i="36"/>
  <c r="AL205" i="36"/>
  <c r="AM205" i="36"/>
  <c r="AN205" i="36"/>
  <c r="J206" i="36"/>
  <c r="K206" i="36"/>
  <c r="L206" i="36"/>
  <c r="M206" i="36"/>
  <c r="N206" i="36"/>
  <c r="O206" i="36"/>
  <c r="P206" i="36"/>
  <c r="Q206" i="36"/>
  <c r="R206" i="36"/>
  <c r="S206" i="36"/>
  <c r="T206" i="36"/>
  <c r="U206" i="36"/>
  <c r="V206" i="36"/>
  <c r="W206" i="36"/>
  <c r="X206" i="36"/>
  <c r="Y206" i="36"/>
  <c r="Z206" i="36"/>
  <c r="AA206" i="36"/>
  <c r="AB206" i="36"/>
  <c r="AC206" i="36"/>
  <c r="AD206" i="36"/>
  <c r="AE206" i="36"/>
  <c r="AF206" i="36"/>
  <c r="AG206" i="36"/>
  <c r="AH206" i="36"/>
  <c r="AI206" i="36"/>
  <c r="AJ206" i="36"/>
  <c r="AK206" i="36"/>
  <c r="AL206" i="36"/>
  <c r="AM206" i="36"/>
  <c r="AN206" i="36"/>
  <c r="I208" i="36"/>
  <c r="J208" i="36"/>
  <c r="K208" i="36"/>
  <c r="M208" i="36"/>
  <c r="N208" i="36"/>
  <c r="O208" i="36"/>
  <c r="Q208" i="36"/>
  <c r="R208" i="36"/>
  <c r="S208" i="36"/>
  <c r="T208" i="36"/>
  <c r="U208" i="36"/>
  <c r="V208" i="36"/>
  <c r="X208" i="36"/>
  <c r="Y208" i="36"/>
  <c r="AA208" i="36"/>
  <c r="AB208" i="36"/>
  <c r="AC208" i="36"/>
  <c r="AD208" i="36"/>
  <c r="AE208" i="36"/>
  <c r="AF208" i="36"/>
  <c r="AH208" i="36"/>
  <c r="AI208" i="36"/>
  <c r="AJ208" i="36"/>
  <c r="AK208" i="36"/>
  <c r="AL208" i="36"/>
  <c r="AM208" i="36"/>
  <c r="AN208" i="36"/>
  <c r="J209" i="36"/>
  <c r="K209" i="36"/>
  <c r="M209" i="36"/>
  <c r="N209" i="36"/>
  <c r="O209" i="36"/>
  <c r="Q209" i="36"/>
  <c r="R209" i="36"/>
  <c r="S209" i="36"/>
  <c r="T209" i="36"/>
  <c r="U209" i="36"/>
  <c r="V209" i="36"/>
  <c r="X209" i="36"/>
  <c r="Y209" i="36"/>
  <c r="AA209" i="36"/>
  <c r="AB209" i="36"/>
  <c r="AC209" i="36"/>
  <c r="AD209" i="36"/>
  <c r="AE209" i="36"/>
  <c r="AF209" i="36"/>
  <c r="AH209" i="36"/>
  <c r="AI209" i="36"/>
  <c r="AJ209" i="36"/>
  <c r="AK209" i="36"/>
  <c r="AL209" i="36"/>
  <c r="AM209" i="36"/>
  <c r="AN209" i="36"/>
  <c r="J211" i="36"/>
  <c r="K211" i="36"/>
  <c r="L211" i="36"/>
  <c r="M211" i="36"/>
  <c r="N211" i="36"/>
  <c r="O211" i="36"/>
  <c r="P211" i="36"/>
  <c r="Q211" i="36"/>
  <c r="R211" i="36"/>
  <c r="S211" i="36"/>
  <c r="T211" i="36"/>
  <c r="U211" i="36"/>
  <c r="V211" i="36"/>
  <c r="W211" i="36"/>
  <c r="X211" i="36"/>
  <c r="Y211" i="36"/>
  <c r="Z211" i="36"/>
  <c r="AA211" i="36"/>
  <c r="AB211" i="36"/>
  <c r="AC211" i="36"/>
  <c r="AD211" i="36"/>
  <c r="AE211" i="36"/>
  <c r="AF211" i="36"/>
  <c r="AG211" i="36"/>
  <c r="AH211" i="36"/>
  <c r="AI211" i="36"/>
  <c r="AJ211" i="36"/>
  <c r="AK211" i="36"/>
  <c r="AL211" i="36"/>
  <c r="AM211" i="36"/>
  <c r="AN211" i="36"/>
  <c r="J212" i="36"/>
  <c r="K212" i="36"/>
  <c r="L212" i="36"/>
  <c r="M212" i="36"/>
  <c r="N212" i="36"/>
  <c r="O212" i="36"/>
  <c r="P212" i="36"/>
  <c r="Q212" i="36"/>
  <c r="R212" i="36"/>
  <c r="S212" i="36"/>
  <c r="T212" i="36"/>
  <c r="U212" i="36"/>
  <c r="V212" i="36"/>
  <c r="W212" i="36"/>
  <c r="X212" i="36"/>
  <c r="Y212" i="36"/>
  <c r="Z212" i="36"/>
  <c r="AA212" i="36"/>
  <c r="AB212" i="36"/>
  <c r="AC212" i="36"/>
  <c r="AD212" i="36"/>
  <c r="AE212" i="36"/>
  <c r="AF212" i="36"/>
  <c r="AG212" i="36"/>
  <c r="AH212" i="36"/>
  <c r="AI212" i="36"/>
  <c r="AJ212" i="36"/>
  <c r="AK212" i="36"/>
  <c r="AL212" i="36"/>
  <c r="AM212" i="36"/>
  <c r="AN212" i="36"/>
  <c r="J215" i="36"/>
  <c r="K215" i="36"/>
  <c r="L215" i="36"/>
  <c r="M215" i="36"/>
  <c r="N215" i="36"/>
  <c r="O215" i="36"/>
  <c r="P215" i="36"/>
  <c r="Q215" i="36"/>
  <c r="R215" i="36"/>
  <c r="S215" i="36"/>
  <c r="T215" i="36"/>
  <c r="U215" i="36"/>
  <c r="V215" i="36"/>
  <c r="W215" i="36"/>
  <c r="X215" i="36"/>
  <c r="Y215" i="36"/>
  <c r="Z215" i="36"/>
  <c r="AA215" i="36"/>
  <c r="AB215" i="36"/>
  <c r="AC215" i="36"/>
  <c r="AD215" i="36"/>
  <c r="AE215" i="36"/>
  <c r="AF215" i="36"/>
  <c r="AG215" i="36"/>
  <c r="AH215" i="36"/>
  <c r="AI215" i="36"/>
  <c r="AJ215" i="36"/>
  <c r="AK215" i="36"/>
  <c r="AL215" i="36"/>
  <c r="AM215" i="36"/>
  <c r="AN215" i="36"/>
  <c r="J216" i="36"/>
  <c r="K216" i="36"/>
  <c r="L216" i="36"/>
  <c r="M216" i="36"/>
  <c r="N216" i="36"/>
  <c r="O216" i="36"/>
  <c r="P216" i="36"/>
  <c r="Q216" i="36"/>
  <c r="R216" i="36"/>
  <c r="S216" i="36"/>
  <c r="T216" i="36"/>
  <c r="U216" i="36"/>
  <c r="V216" i="36"/>
  <c r="W216" i="36"/>
  <c r="X216" i="36"/>
  <c r="Y216" i="36"/>
  <c r="Z216" i="36"/>
  <c r="AA216" i="36"/>
  <c r="AB216" i="36"/>
  <c r="AC216" i="36"/>
  <c r="AD216" i="36"/>
  <c r="AE216" i="36"/>
  <c r="AF216" i="36"/>
  <c r="AG216" i="36"/>
  <c r="AH216" i="36"/>
  <c r="AI216" i="36"/>
  <c r="AJ216" i="36"/>
  <c r="AK216" i="36"/>
  <c r="AL216" i="36"/>
  <c r="AM216" i="36"/>
  <c r="AN216" i="36"/>
  <c r="J217" i="36"/>
  <c r="K217" i="36"/>
  <c r="L217" i="36"/>
  <c r="M217" i="36"/>
  <c r="N217" i="36"/>
  <c r="O217" i="36"/>
  <c r="P217" i="36"/>
  <c r="Q217" i="36"/>
  <c r="R217" i="36"/>
  <c r="S217" i="36"/>
  <c r="T217" i="36"/>
  <c r="U217" i="36"/>
  <c r="V217" i="36"/>
  <c r="W217" i="36"/>
  <c r="X217" i="36"/>
  <c r="Y217" i="36"/>
  <c r="Z217" i="36"/>
  <c r="AA217" i="36"/>
  <c r="AB217" i="36"/>
  <c r="AC217" i="36"/>
  <c r="AD217" i="36"/>
  <c r="AE217" i="36"/>
  <c r="AF217" i="36"/>
  <c r="AG217" i="36"/>
  <c r="AH217" i="36"/>
  <c r="AI217" i="36"/>
  <c r="AJ217" i="36"/>
  <c r="AK217" i="36"/>
  <c r="AL217" i="36"/>
  <c r="AM217" i="36"/>
  <c r="AN217" i="36"/>
  <c r="J218" i="36"/>
  <c r="K218" i="36"/>
  <c r="L218" i="36"/>
  <c r="M218" i="36"/>
  <c r="N218" i="36"/>
  <c r="O218" i="36"/>
  <c r="P218" i="36"/>
  <c r="Q218" i="36"/>
  <c r="R218" i="36"/>
  <c r="S218" i="36"/>
  <c r="T218" i="36"/>
  <c r="U218" i="36"/>
  <c r="V218" i="36"/>
  <c r="W218" i="36"/>
  <c r="X218" i="36"/>
  <c r="Y218" i="36"/>
  <c r="Z218" i="36"/>
  <c r="AA218" i="36"/>
  <c r="AB218" i="36"/>
  <c r="AC218" i="36"/>
  <c r="AD218" i="36"/>
  <c r="AE218" i="36"/>
  <c r="AF218" i="36"/>
  <c r="AG218" i="36"/>
  <c r="AH218" i="36"/>
  <c r="AI218" i="36"/>
  <c r="AJ218" i="36"/>
  <c r="AK218" i="36"/>
  <c r="AL218" i="36"/>
  <c r="AM218" i="36"/>
  <c r="AN218" i="36"/>
  <c r="I220" i="36"/>
  <c r="J220" i="36"/>
  <c r="K220" i="36"/>
  <c r="L220" i="36"/>
  <c r="M220" i="36"/>
  <c r="N220" i="36"/>
  <c r="O220" i="36"/>
  <c r="Q220" i="36"/>
  <c r="R220" i="36"/>
  <c r="T220" i="36"/>
  <c r="U220" i="36"/>
  <c r="V220" i="36"/>
  <c r="W220" i="36"/>
  <c r="X220" i="36"/>
  <c r="Y220" i="36"/>
  <c r="AA220" i="36"/>
  <c r="AB220" i="36"/>
  <c r="AC220" i="36"/>
  <c r="AD220" i="36"/>
  <c r="AE220" i="36"/>
  <c r="AF220" i="36"/>
  <c r="AH220" i="36"/>
  <c r="AI220" i="36"/>
  <c r="AJ220" i="36"/>
  <c r="AK220" i="36"/>
  <c r="AL220" i="36"/>
  <c r="AM220" i="36"/>
  <c r="AN220" i="36"/>
  <c r="J221" i="36"/>
  <c r="K221" i="36"/>
  <c r="L221" i="36"/>
  <c r="M221" i="36"/>
  <c r="N221" i="36"/>
  <c r="O221" i="36"/>
  <c r="Q221" i="36"/>
  <c r="R221" i="36"/>
  <c r="T221" i="36"/>
  <c r="U221" i="36"/>
  <c r="V221" i="36"/>
  <c r="W221" i="36"/>
  <c r="X221" i="36"/>
  <c r="Y221" i="36"/>
  <c r="AA221" i="36"/>
  <c r="AB221" i="36"/>
  <c r="AC221" i="36"/>
  <c r="AD221" i="36"/>
  <c r="AE221" i="36"/>
  <c r="AF221" i="36"/>
  <c r="AH221" i="36"/>
  <c r="AI221" i="36"/>
  <c r="AJ221" i="36"/>
  <c r="AK221" i="36"/>
  <c r="AL221" i="36"/>
  <c r="AM221" i="36"/>
  <c r="AN221" i="36"/>
  <c r="J223" i="36"/>
  <c r="K223" i="36"/>
  <c r="L223" i="36"/>
  <c r="M223" i="36"/>
  <c r="N223" i="36"/>
  <c r="O223" i="36"/>
  <c r="P223" i="36"/>
  <c r="Q223" i="36"/>
  <c r="R223" i="36"/>
  <c r="S223" i="36"/>
  <c r="T223" i="36"/>
  <c r="U223" i="36"/>
  <c r="V223" i="36"/>
  <c r="W223" i="36"/>
  <c r="X223" i="36"/>
  <c r="Y223" i="36"/>
  <c r="Z223" i="36"/>
  <c r="AA223" i="36"/>
  <c r="AB223" i="36"/>
  <c r="AC223" i="36"/>
  <c r="AD223" i="36"/>
  <c r="AE223" i="36"/>
  <c r="AF223" i="36"/>
  <c r="AG223" i="36"/>
  <c r="AH223" i="36"/>
  <c r="AI223" i="36"/>
  <c r="AJ223" i="36"/>
  <c r="AK223" i="36"/>
  <c r="AL223" i="36"/>
  <c r="AM223" i="36"/>
  <c r="AN223" i="36"/>
  <c r="J224" i="36"/>
  <c r="K224" i="36"/>
  <c r="L224" i="36"/>
  <c r="M224" i="36"/>
  <c r="N224" i="36"/>
  <c r="O224" i="36"/>
  <c r="P224" i="36"/>
  <c r="Q224" i="36"/>
  <c r="R224" i="36"/>
  <c r="S224" i="36"/>
  <c r="T224" i="36"/>
  <c r="U224" i="36"/>
  <c r="V224" i="36"/>
  <c r="W224" i="36"/>
  <c r="X224" i="36"/>
  <c r="Y224" i="36"/>
  <c r="Z224" i="36"/>
  <c r="AA224" i="36"/>
  <c r="AB224" i="36"/>
  <c r="AC224" i="36"/>
  <c r="AD224" i="36"/>
  <c r="AE224" i="36"/>
  <c r="AF224" i="36"/>
  <c r="AG224" i="36"/>
  <c r="AH224" i="36"/>
  <c r="AI224" i="36"/>
  <c r="AJ224" i="36"/>
  <c r="AK224" i="36"/>
  <c r="AL224" i="36"/>
  <c r="AM224" i="36"/>
  <c r="AN224" i="36"/>
  <c r="J227" i="36"/>
  <c r="K227" i="36"/>
  <c r="L227" i="36"/>
  <c r="M227" i="36"/>
  <c r="N227" i="36"/>
  <c r="O227" i="36"/>
  <c r="P227" i="36"/>
  <c r="Q227" i="36"/>
  <c r="R227" i="36"/>
  <c r="S227" i="36"/>
  <c r="T227" i="36"/>
  <c r="U227" i="36"/>
  <c r="V227" i="36"/>
  <c r="W227" i="36"/>
  <c r="X227" i="36"/>
  <c r="Y227" i="36"/>
  <c r="Z227" i="36"/>
  <c r="AA227" i="36"/>
  <c r="AB227" i="36"/>
  <c r="AC227" i="36"/>
  <c r="AD227" i="36"/>
  <c r="AE227" i="36"/>
  <c r="AF227" i="36"/>
  <c r="AG227" i="36"/>
  <c r="AH227" i="36"/>
  <c r="AI227" i="36"/>
  <c r="AJ227" i="36"/>
  <c r="AK227" i="36"/>
  <c r="AL227" i="36"/>
  <c r="AM227" i="36"/>
  <c r="AN227" i="36"/>
  <c r="J228" i="36"/>
  <c r="K228" i="36"/>
  <c r="L228" i="36"/>
  <c r="M228" i="36"/>
  <c r="N228" i="36"/>
  <c r="O228" i="36"/>
  <c r="P228" i="36"/>
  <c r="Q228" i="36"/>
  <c r="R228" i="36"/>
  <c r="S228" i="36"/>
  <c r="T228" i="36"/>
  <c r="U228" i="36"/>
  <c r="V228" i="36"/>
  <c r="W228" i="36"/>
  <c r="X228" i="36"/>
  <c r="Y228" i="36"/>
  <c r="Z228" i="36"/>
  <c r="AA228" i="36"/>
  <c r="AB228" i="36"/>
  <c r="AC228" i="36"/>
  <c r="AD228" i="36"/>
  <c r="AE228" i="36"/>
  <c r="AF228" i="36"/>
  <c r="AG228" i="36"/>
  <c r="AH228" i="36"/>
  <c r="AI228" i="36"/>
  <c r="AJ228" i="36"/>
  <c r="AK228" i="36"/>
  <c r="AL228" i="36"/>
  <c r="AM228" i="36"/>
  <c r="AN228" i="36"/>
  <c r="J229" i="36"/>
  <c r="K229" i="36"/>
  <c r="L229" i="36"/>
  <c r="M229" i="36"/>
  <c r="N229" i="36"/>
  <c r="O229" i="36"/>
  <c r="P229" i="36"/>
  <c r="Q229" i="36"/>
  <c r="R229" i="36"/>
  <c r="S229" i="36"/>
  <c r="T229" i="36"/>
  <c r="U229" i="36"/>
  <c r="V229" i="36"/>
  <c r="W229" i="36"/>
  <c r="X229" i="36"/>
  <c r="Y229" i="36"/>
  <c r="Z229" i="36"/>
  <c r="AA229" i="36"/>
  <c r="AB229" i="36"/>
  <c r="AC229" i="36"/>
  <c r="AD229" i="36"/>
  <c r="AE229" i="36"/>
  <c r="AF229" i="36"/>
  <c r="AG229" i="36"/>
  <c r="AH229" i="36"/>
  <c r="AI229" i="36"/>
  <c r="AJ229" i="36"/>
  <c r="AK229" i="36"/>
  <c r="AL229" i="36"/>
  <c r="AM229" i="36"/>
  <c r="AN229" i="36"/>
  <c r="J230" i="36"/>
  <c r="K230" i="36"/>
  <c r="L230" i="36"/>
  <c r="M230" i="36"/>
  <c r="N230" i="36"/>
  <c r="O230" i="36"/>
  <c r="P230" i="36"/>
  <c r="Q230" i="36"/>
  <c r="R230" i="36"/>
  <c r="S230" i="36"/>
  <c r="T230" i="36"/>
  <c r="U230" i="36"/>
  <c r="V230" i="36"/>
  <c r="W230" i="36"/>
  <c r="X230" i="36"/>
  <c r="Y230" i="36"/>
  <c r="Z230" i="36"/>
  <c r="AA230" i="36"/>
  <c r="AB230" i="36"/>
  <c r="AC230" i="36"/>
  <c r="AD230" i="36"/>
  <c r="AE230" i="36"/>
  <c r="AF230" i="36"/>
  <c r="AG230" i="36"/>
  <c r="AH230" i="36"/>
  <c r="AI230" i="36"/>
  <c r="AJ230" i="36"/>
  <c r="AK230" i="36"/>
  <c r="AL230" i="36"/>
  <c r="AM230" i="36"/>
  <c r="AN230" i="36"/>
  <c r="I232" i="36"/>
  <c r="J232" i="36"/>
  <c r="K232" i="36"/>
  <c r="L232" i="36"/>
  <c r="M232" i="36"/>
  <c r="N232" i="36"/>
  <c r="O232" i="36"/>
  <c r="P232" i="36"/>
  <c r="Q232" i="36"/>
  <c r="R232" i="36"/>
  <c r="S232" i="36"/>
  <c r="T232" i="36"/>
  <c r="U232" i="36"/>
  <c r="V232" i="36"/>
  <c r="W232" i="36"/>
  <c r="X232" i="36"/>
  <c r="Y232" i="36"/>
  <c r="Z232" i="36"/>
  <c r="AA232" i="36"/>
  <c r="AB232" i="36"/>
  <c r="AC232" i="36"/>
  <c r="AE232" i="36"/>
  <c r="AF232" i="36"/>
  <c r="AG232" i="36"/>
  <c r="AH232" i="36"/>
  <c r="AI232" i="36"/>
  <c r="AJ232" i="36"/>
  <c r="AK232" i="36"/>
  <c r="AL232" i="36"/>
  <c r="AM232" i="36"/>
  <c r="AN232" i="36"/>
  <c r="J233" i="36"/>
  <c r="K233" i="36"/>
  <c r="L233" i="36"/>
  <c r="M233" i="36"/>
  <c r="N233" i="36"/>
  <c r="O233" i="36"/>
  <c r="P233" i="36"/>
  <c r="Q233" i="36"/>
  <c r="R233" i="36"/>
  <c r="S233" i="36"/>
  <c r="T233" i="36"/>
  <c r="U233" i="36"/>
  <c r="V233" i="36"/>
  <c r="W233" i="36"/>
  <c r="X233" i="36"/>
  <c r="Y233" i="36"/>
  <c r="AA233" i="36"/>
  <c r="AB233" i="36"/>
  <c r="AC233" i="36"/>
  <c r="AD233" i="36"/>
  <c r="AE233" i="36"/>
  <c r="AF233" i="36"/>
  <c r="AG233" i="36"/>
  <c r="AH233" i="36"/>
  <c r="AI233" i="36"/>
  <c r="AJ233" i="36"/>
  <c r="AK233" i="36"/>
  <c r="AL233" i="36"/>
  <c r="AM233" i="36"/>
  <c r="AN233" i="36"/>
  <c r="I234" i="36"/>
  <c r="J234" i="36"/>
  <c r="K234" i="36"/>
  <c r="L234" i="36"/>
  <c r="M234" i="36"/>
  <c r="N234" i="36"/>
  <c r="O234" i="36"/>
  <c r="P234" i="36"/>
  <c r="Q234" i="36"/>
  <c r="R234" i="36"/>
  <c r="S234" i="36"/>
  <c r="T234" i="36"/>
  <c r="U234" i="36"/>
  <c r="V234" i="36"/>
  <c r="X234" i="36"/>
  <c r="Y234" i="36"/>
  <c r="Z234" i="36"/>
  <c r="AA234" i="36"/>
  <c r="AB234" i="36"/>
  <c r="AC234" i="36"/>
  <c r="AD234" i="36"/>
  <c r="AE234" i="36"/>
  <c r="AF234" i="36"/>
  <c r="AG234" i="36"/>
  <c r="AH234" i="36"/>
  <c r="AI234" i="36"/>
  <c r="AJ234" i="36"/>
  <c r="AK234" i="36"/>
  <c r="AL234" i="36"/>
  <c r="AM234" i="36"/>
  <c r="AN234" i="36"/>
  <c r="J235" i="36"/>
  <c r="K235" i="36"/>
  <c r="L235" i="36"/>
  <c r="M235" i="36"/>
  <c r="N235" i="36"/>
  <c r="O235" i="36"/>
  <c r="P235" i="36"/>
  <c r="Q235" i="36"/>
  <c r="R235" i="36"/>
  <c r="S235" i="36"/>
  <c r="T235" i="36"/>
  <c r="U235" i="36"/>
  <c r="V235" i="36"/>
  <c r="W235" i="36"/>
  <c r="X235" i="36"/>
  <c r="Y235" i="36"/>
  <c r="Z235" i="36"/>
  <c r="AA235" i="36"/>
  <c r="AB235" i="36"/>
  <c r="AC235" i="36"/>
  <c r="AD235" i="36"/>
  <c r="AE235" i="36"/>
  <c r="AF235" i="36"/>
  <c r="AG235" i="36"/>
  <c r="AH235" i="36"/>
  <c r="AI235" i="36"/>
  <c r="AJ235" i="36"/>
  <c r="AK235" i="36"/>
  <c r="AL235" i="36"/>
  <c r="AM235" i="36"/>
  <c r="AN235" i="36"/>
  <c r="J236" i="36"/>
  <c r="K236" i="36"/>
  <c r="L236" i="36"/>
  <c r="M236" i="36"/>
  <c r="N236" i="36"/>
  <c r="O236" i="36"/>
  <c r="P236" i="36"/>
  <c r="Q236" i="36"/>
  <c r="R236" i="36"/>
  <c r="S236" i="36"/>
  <c r="T236" i="36"/>
  <c r="U236" i="36"/>
  <c r="V236" i="36"/>
  <c r="W236" i="36"/>
  <c r="X236" i="36"/>
  <c r="Y236" i="36"/>
  <c r="Z236" i="36"/>
  <c r="AA236" i="36"/>
  <c r="AB236" i="36"/>
  <c r="AC236" i="36"/>
  <c r="AD236" i="36"/>
  <c r="AE236" i="36"/>
  <c r="AF236" i="36"/>
  <c r="AG236" i="36"/>
  <c r="AH236" i="36"/>
  <c r="AI236" i="36"/>
  <c r="AJ236" i="36"/>
  <c r="AK236" i="36"/>
  <c r="AL236" i="36"/>
  <c r="AM236" i="36"/>
  <c r="AN236" i="36"/>
  <c r="J239" i="36"/>
  <c r="K239" i="36"/>
  <c r="L239" i="36"/>
  <c r="M239" i="36"/>
  <c r="N239" i="36"/>
  <c r="O239" i="36"/>
  <c r="P239" i="36"/>
  <c r="Q239" i="36"/>
  <c r="R239" i="36"/>
  <c r="S239" i="36"/>
  <c r="T239" i="36"/>
  <c r="U239" i="36"/>
  <c r="V239" i="36"/>
  <c r="W239" i="36"/>
  <c r="X239" i="36"/>
  <c r="Y239" i="36"/>
  <c r="Z239" i="36"/>
  <c r="AA239" i="36"/>
  <c r="AB239" i="36"/>
  <c r="AC239" i="36"/>
  <c r="AD239" i="36"/>
  <c r="AE239" i="36"/>
  <c r="AF239" i="36"/>
  <c r="AG239" i="36"/>
  <c r="AH239" i="36"/>
  <c r="AI239" i="36"/>
  <c r="AJ239" i="36"/>
  <c r="AK239" i="36"/>
  <c r="AL239" i="36"/>
  <c r="AM239" i="36"/>
  <c r="AN239" i="36"/>
  <c r="J240" i="36"/>
  <c r="K240" i="36"/>
  <c r="L240" i="36"/>
  <c r="M240" i="36"/>
  <c r="N240" i="36"/>
  <c r="O240" i="36"/>
  <c r="P240" i="36"/>
  <c r="Q240" i="36"/>
  <c r="R240" i="36"/>
  <c r="S240" i="36"/>
  <c r="T240" i="36"/>
  <c r="U240" i="36"/>
  <c r="V240" i="36"/>
  <c r="W240" i="36"/>
  <c r="X240" i="36"/>
  <c r="Y240" i="36"/>
  <c r="Z240" i="36"/>
  <c r="AA240" i="36"/>
  <c r="AB240" i="36"/>
  <c r="AC240" i="36"/>
  <c r="AD240" i="36"/>
  <c r="AE240" i="36"/>
  <c r="AF240" i="36"/>
  <c r="AG240" i="36"/>
  <c r="AH240" i="36"/>
  <c r="AI240" i="36"/>
  <c r="AJ240" i="36"/>
  <c r="AK240" i="36"/>
  <c r="AL240" i="36"/>
  <c r="AM240" i="36"/>
  <c r="AN240" i="36"/>
  <c r="J241" i="36"/>
  <c r="K241" i="36"/>
  <c r="L241" i="36"/>
  <c r="M241" i="36"/>
  <c r="N241" i="36"/>
  <c r="O241" i="36"/>
  <c r="P241" i="36"/>
  <c r="Q241" i="36"/>
  <c r="R241" i="36"/>
  <c r="S241" i="36"/>
  <c r="T241" i="36"/>
  <c r="U241" i="36"/>
  <c r="V241" i="36"/>
  <c r="W241" i="36"/>
  <c r="X241" i="36"/>
  <c r="Y241" i="36"/>
  <c r="Z241" i="36"/>
  <c r="AA241" i="36"/>
  <c r="AB241" i="36"/>
  <c r="AC241" i="36"/>
  <c r="AD241" i="36"/>
  <c r="AE241" i="36"/>
  <c r="AF241" i="36"/>
  <c r="AG241" i="36"/>
  <c r="AH241" i="36"/>
  <c r="AI241" i="36"/>
  <c r="AJ241" i="36"/>
  <c r="AK241" i="36"/>
  <c r="AL241" i="36"/>
  <c r="AM241" i="36"/>
  <c r="AN241" i="36"/>
  <c r="J242" i="36"/>
  <c r="K242" i="36"/>
  <c r="L242" i="36"/>
  <c r="M242" i="36"/>
  <c r="N242" i="36"/>
  <c r="O242" i="36"/>
  <c r="P242" i="36"/>
  <c r="Q242" i="36"/>
  <c r="R242" i="36"/>
  <c r="S242" i="36"/>
  <c r="T242" i="36"/>
  <c r="U242" i="36"/>
  <c r="V242" i="36"/>
  <c r="W242" i="36"/>
  <c r="X242" i="36"/>
  <c r="Y242" i="36"/>
  <c r="Z242" i="36"/>
  <c r="AA242" i="36"/>
  <c r="AB242" i="36"/>
  <c r="AC242" i="36"/>
  <c r="AD242" i="36"/>
  <c r="AE242" i="36"/>
  <c r="AF242" i="36"/>
  <c r="AG242" i="36"/>
  <c r="AH242" i="36"/>
  <c r="AI242" i="36"/>
  <c r="AJ242" i="36"/>
  <c r="AK242" i="36"/>
  <c r="AL242" i="36"/>
  <c r="AM242" i="36"/>
  <c r="AN242" i="36"/>
  <c r="I244" i="36"/>
  <c r="J244" i="36"/>
  <c r="K244" i="36"/>
  <c r="L244" i="36"/>
  <c r="M244" i="36"/>
  <c r="N244" i="36"/>
  <c r="O244" i="36"/>
  <c r="P244" i="36"/>
  <c r="Q244" i="36"/>
  <c r="R244" i="36"/>
  <c r="S244" i="36"/>
  <c r="T244" i="36"/>
  <c r="U244" i="36"/>
  <c r="V244" i="36"/>
  <c r="W244" i="36"/>
  <c r="X244" i="36"/>
  <c r="Y244" i="36"/>
  <c r="Z244" i="36"/>
  <c r="AA244" i="36"/>
  <c r="AB244" i="36"/>
  <c r="AC244" i="36"/>
  <c r="AD244" i="36"/>
  <c r="AE244" i="36"/>
  <c r="AF244" i="36"/>
  <c r="AG244" i="36"/>
  <c r="AH244" i="36"/>
  <c r="AI244" i="36"/>
  <c r="AJ244" i="36"/>
  <c r="AK244" i="36"/>
  <c r="AL244" i="36"/>
  <c r="AM244" i="36"/>
  <c r="AN244" i="36"/>
  <c r="I245" i="36"/>
  <c r="J245" i="36"/>
  <c r="K245" i="36"/>
  <c r="L245" i="36"/>
  <c r="M245" i="36"/>
  <c r="N245" i="36"/>
  <c r="O245" i="36"/>
  <c r="P245" i="36"/>
  <c r="Q245" i="36"/>
  <c r="R245" i="36"/>
  <c r="S245" i="36"/>
  <c r="T245" i="36"/>
  <c r="U245" i="36"/>
  <c r="V245" i="36"/>
  <c r="W245" i="36"/>
  <c r="X245" i="36"/>
  <c r="Y245" i="36"/>
  <c r="Z245" i="36"/>
  <c r="AA245" i="36"/>
  <c r="AB245" i="36"/>
  <c r="AC245" i="36"/>
  <c r="AD245" i="36"/>
  <c r="AE245" i="36"/>
  <c r="AF245" i="36"/>
  <c r="AG245" i="36"/>
  <c r="AH245" i="36"/>
  <c r="AI245" i="36"/>
  <c r="AJ245" i="36"/>
  <c r="AK245" i="36"/>
  <c r="AL245" i="36"/>
  <c r="AM245" i="36"/>
  <c r="AN245" i="36"/>
  <c r="I246" i="36"/>
  <c r="J246" i="36"/>
  <c r="K246" i="36"/>
  <c r="L246" i="36"/>
  <c r="M246" i="36"/>
  <c r="N246" i="36"/>
  <c r="O246" i="36"/>
  <c r="P246" i="36"/>
  <c r="Q246" i="36"/>
  <c r="R246" i="36"/>
  <c r="S246" i="36"/>
  <c r="T246" i="36"/>
  <c r="U246" i="36"/>
  <c r="V246" i="36"/>
  <c r="W246" i="36"/>
  <c r="X246" i="36"/>
  <c r="Y246" i="36"/>
  <c r="AA246" i="36"/>
  <c r="AB246" i="36"/>
  <c r="AC246" i="36"/>
  <c r="AD246" i="36"/>
  <c r="AE246" i="36"/>
  <c r="AF246" i="36"/>
  <c r="AG246" i="36"/>
  <c r="AH246" i="36"/>
  <c r="AI246" i="36"/>
  <c r="AJ246" i="36"/>
  <c r="AK246" i="36"/>
  <c r="AL246" i="36"/>
  <c r="AM246" i="36"/>
  <c r="AN246" i="36"/>
  <c r="J247" i="36"/>
  <c r="K247" i="36"/>
  <c r="L247" i="36"/>
  <c r="M247" i="36"/>
  <c r="N247" i="36"/>
  <c r="O247" i="36"/>
  <c r="P247" i="36"/>
  <c r="Q247" i="36"/>
  <c r="R247" i="36"/>
  <c r="S247" i="36"/>
  <c r="T247" i="36"/>
  <c r="U247" i="36"/>
  <c r="V247" i="36"/>
  <c r="W247" i="36"/>
  <c r="X247" i="36"/>
  <c r="Y247" i="36"/>
  <c r="Z247" i="36"/>
  <c r="AA247" i="36"/>
  <c r="AB247" i="36"/>
  <c r="AC247" i="36"/>
  <c r="AD247" i="36"/>
  <c r="AE247" i="36"/>
  <c r="AF247" i="36"/>
  <c r="AG247" i="36"/>
  <c r="AH247" i="36"/>
  <c r="AI247" i="36"/>
  <c r="AJ247" i="36"/>
  <c r="AK247" i="36"/>
  <c r="AL247" i="36"/>
  <c r="AM247" i="36"/>
  <c r="AN247" i="36"/>
  <c r="J248" i="36"/>
  <c r="K248" i="36"/>
  <c r="L248" i="36"/>
  <c r="M248" i="36"/>
  <c r="N248" i="36"/>
  <c r="O248" i="36"/>
  <c r="P248" i="36"/>
  <c r="Q248" i="36"/>
  <c r="R248" i="36"/>
  <c r="S248" i="36"/>
  <c r="T248" i="36"/>
  <c r="U248" i="36"/>
  <c r="V248" i="36"/>
  <c r="W248" i="36"/>
  <c r="X248" i="36"/>
  <c r="Y248" i="36"/>
  <c r="Z248" i="36"/>
  <c r="AA248" i="36"/>
  <c r="AB248" i="36"/>
  <c r="AC248" i="36"/>
  <c r="AD248" i="36"/>
  <c r="AE248" i="36"/>
  <c r="AF248" i="36"/>
  <c r="AG248" i="36"/>
  <c r="AH248" i="36"/>
  <c r="AI248" i="36"/>
  <c r="AJ248" i="36"/>
  <c r="AK248" i="36"/>
  <c r="AL248" i="36"/>
  <c r="AM248" i="36"/>
  <c r="AN248" i="36"/>
  <c r="J251" i="36"/>
  <c r="K251" i="36"/>
  <c r="L251" i="36"/>
  <c r="M251" i="36"/>
  <c r="N251" i="36"/>
  <c r="O251" i="36"/>
  <c r="P251" i="36"/>
  <c r="Q251" i="36"/>
  <c r="R251" i="36"/>
  <c r="S251" i="36"/>
  <c r="T251" i="36"/>
  <c r="U251" i="36"/>
  <c r="V251" i="36"/>
  <c r="W251" i="36"/>
  <c r="X251" i="36"/>
  <c r="Y251" i="36"/>
  <c r="Z251" i="36"/>
  <c r="AA251" i="36"/>
  <c r="AB251" i="36"/>
  <c r="AC251" i="36"/>
  <c r="AD251" i="36"/>
  <c r="AE251" i="36"/>
  <c r="AF251" i="36"/>
  <c r="AG251" i="36"/>
  <c r="AH251" i="36"/>
  <c r="AI251" i="36"/>
  <c r="AJ251" i="36"/>
  <c r="AK251" i="36"/>
  <c r="AL251" i="36"/>
  <c r="AM251" i="36"/>
  <c r="AN251" i="36"/>
  <c r="J252" i="36"/>
  <c r="K252" i="36"/>
  <c r="L252" i="36"/>
  <c r="M252" i="36"/>
  <c r="N252" i="36"/>
  <c r="O252" i="36"/>
  <c r="P252" i="36"/>
  <c r="Q252" i="36"/>
  <c r="R252" i="36"/>
  <c r="S252" i="36"/>
  <c r="T252" i="36"/>
  <c r="U252" i="36"/>
  <c r="V252" i="36"/>
  <c r="W252" i="36"/>
  <c r="X252" i="36"/>
  <c r="Y252" i="36"/>
  <c r="Z252" i="36"/>
  <c r="AA252" i="36"/>
  <c r="AB252" i="36"/>
  <c r="AC252" i="36"/>
  <c r="AD252" i="36"/>
  <c r="AE252" i="36"/>
  <c r="AF252" i="36"/>
  <c r="AG252" i="36"/>
  <c r="AH252" i="36"/>
  <c r="AI252" i="36"/>
  <c r="AJ252" i="36"/>
  <c r="AK252" i="36"/>
  <c r="AL252" i="36"/>
  <c r="AM252" i="36"/>
  <c r="AN252" i="36"/>
  <c r="J253" i="36"/>
  <c r="K253" i="36"/>
  <c r="L253" i="36"/>
  <c r="M253" i="36"/>
  <c r="N253" i="36"/>
  <c r="O253" i="36"/>
  <c r="P253" i="36"/>
  <c r="Q253" i="36"/>
  <c r="R253" i="36"/>
  <c r="S253" i="36"/>
  <c r="T253" i="36"/>
  <c r="U253" i="36"/>
  <c r="V253" i="36"/>
  <c r="W253" i="36"/>
  <c r="X253" i="36"/>
  <c r="Y253" i="36"/>
  <c r="Z253" i="36"/>
  <c r="AA253" i="36"/>
  <c r="AB253" i="36"/>
  <c r="AC253" i="36"/>
  <c r="AD253" i="36"/>
  <c r="AE253" i="36"/>
  <c r="AF253" i="36"/>
  <c r="AG253" i="36"/>
  <c r="AH253" i="36"/>
  <c r="AI253" i="36"/>
  <c r="AJ253" i="36"/>
  <c r="AK253" i="36"/>
  <c r="AL253" i="36"/>
  <c r="AM253" i="36"/>
  <c r="AN253" i="36"/>
  <c r="J254" i="36"/>
  <c r="K254" i="36"/>
  <c r="L254" i="36"/>
  <c r="M254" i="36"/>
  <c r="N254" i="36"/>
  <c r="O254" i="36"/>
  <c r="P254" i="36"/>
  <c r="Q254" i="36"/>
  <c r="R254" i="36"/>
  <c r="S254" i="36"/>
  <c r="T254" i="36"/>
  <c r="U254" i="36"/>
  <c r="V254" i="36"/>
  <c r="W254" i="36"/>
  <c r="X254" i="36"/>
  <c r="Y254" i="36"/>
  <c r="Z254" i="36"/>
  <c r="AA254" i="36"/>
  <c r="AB254" i="36"/>
  <c r="AC254" i="36"/>
  <c r="AD254" i="36"/>
  <c r="AE254" i="36"/>
  <c r="AF254" i="36"/>
  <c r="AG254" i="36"/>
  <c r="AH254" i="36"/>
  <c r="AI254" i="36"/>
  <c r="AJ254" i="36"/>
  <c r="AK254" i="36"/>
  <c r="AL254" i="36"/>
  <c r="AM254" i="36"/>
  <c r="AN254" i="36"/>
  <c r="I124" i="36"/>
  <c r="J124" i="36"/>
  <c r="J131" i="36"/>
  <c r="K124" i="36"/>
  <c r="K131" i="36"/>
  <c r="L131" i="36"/>
  <c r="M124" i="36"/>
  <c r="M131" i="36"/>
  <c r="N124" i="36"/>
  <c r="N131" i="36"/>
  <c r="O124" i="36"/>
  <c r="O131" i="36"/>
  <c r="P131" i="36"/>
  <c r="Q124" i="36"/>
  <c r="Q131" i="36"/>
  <c r="R124" i="36"/>
  <c r="R131" i="36"/>
  <c r="S131" i="36"/>
  <c r="T124" i="36"/>
  <c r="T131" i="36"/>
  <c r="U124" i="36"/>
  <c r="U131" i="36"/>
  <c r="V124" i="36"/>
  <c r="V131" i="36"/>
  <c r="W124" i="36"/>
  <c r="W131" i="36"/>
  <c r="X124" i="36"/>
  <c r="X131" i="36"/>
  <c r="Y124" i="36"/>
  <c r="Y131" i="36"/>
  <c r="Z131" i="36"/>
  <c r="AA124" i="36"/>
  <c r="AA131" i="36"/>
  <c r="AB124" i="36"/>
  <c r="AB131" i="36"/>
  <c r="AC124" i="36"/>
  <c r="AC131" i="36"/>
  <c r="AD124" i="36"/>
  <c r="AD131" i="36"/>
  <c r="AE124" i="36"/>
  <c r="AE131" i="36"/>
  <c r="AF124" i="36"/>
  <c r="AF131" i="36"/>
  <c r="AG131" i="36"/>
  <c r="AH124" i="36"/>
  <c r="AH131" i="36"/>
  <c r="AI124" i="36"/>
  <c r="AI131" i="36"/>
  <c r="AJ124" i="36"/>
  <c r="AJ131" i="36"/>
  <c r="AK124" i="36"/>
  <c r="AK131" i="36"/>
  <c r="AL124" i="36"/>
  <c r="AL131" i="36"/>
  <c r="AM124" i="36"/>
  <c r="AM131" i="36"/>
  <c r="AN124" i="36"/>
  <c r="AN131" i="36"/>
  <c r="J125" i="36"/>
  <c r="J132" i="36"/>
  <c r="K125" i="36"/>
  <c r="K132" i="36"/>
  <c r="L132" i="36"/>
  <c r="M125" i="36"/>
  <c r="M132" i="36"/>
  <c r="N125" i="36"/>
  <c r="N132" i="36"/>
  <c r="O125" i="36"/>
  <c r="O132" i="36"/>
  <c r="P132" i="36"/>
  <c r="Q125" i="36"/>
  <c r="Q132" i="36"/>
  <c r="R125" i="36"/>
  <c r="R132" i="36"/>
  <c r="S132" i="36"/>
  <c r="T125" i="36"/>
  <c r="T132" i="36"/>
  <c r="U125" i="36"/>
  <c r="U132" i="36"/>
  <c r="V125" i="36"/>
  <c r="V132" i="36"/>
  <c r="W125" i="36"/>
  <c r="W132" i="36"/>
  <c r="X125" i="36"/>
  <c r="X132" i="36"/>
  <c r="Y125" i="36"/>
  <c r="Y132" i="36"/>
  <c r="Z132" i="36"/>
  <c r="AA125" i="36"/>
  <c r="AA132" i="36"/>
  <c r="AB125" i="36"/>
  <c r="AB132" i="36"/>
  <c r="AC125" i="36"/>
  <c r="AC132" i="36"/>
  <c r="AD125" i="36"/>
  <c r="AD132" i="36"/>
  <c r="AE125" i="36"/>
  <c r="AE132" i="36"/>
  <c r="AF125" i="36"/>
  <c r="AF132" i="36"/>
  <c r="AG132" i="36"/>
  <c r="AH125" i="36"/>
  <c r="AH132" i="36"/>
  <c r="AI125" i="36"/>
  <c r="AI132" i="36"/>
  <c r="AJ125" i="36"/>
  <c r="AJ132" i="36"/>
  <c r="AK125" i="36"/>
  <c r="AK132" i="36"/>
  <c r="AL125" i="36"/>
  <c r="AL132" i="36"/>
  <c r="AM125" i="36"/>
  <c r="AM132" i="36"/>
  <c r="AN125" i="36"/>
  <c r="AN132" i="36"/>
  <c r="J127" i="36"/>
  <c r="J133" i="36"/>
  <c r="K127" i="36"/>
  <c r="K133" i="36"/>
  <c r="L127" i="36"/>
  <c r="L133" i="36"/>
  <c r="M127" i="36"/>
  <c r="M133" i="36"/>
  <c r="N127" i="36"/>
  <c r="N133" i="36"/>
  <c r="O127" i="36"/>
  <c r="O133" i="36"/>
  <c r="P127" i="36"/>
  <c r="P133" i="36"/>
  <c r="Q127" i="36"/>
  <c r="Q133" i="36"/>
  <c r="R127" i="36"/>
  <c r="R133" i="36"/>
  <c r="S127" i="36"/>
  <c r="S133" i="36"/>
  <c r="T127" i="36"/>
  <c r="T133" i="36"/>
  <c r="U127" i="36"/>
  <c r="U133" i="36"/>
  <c r="V127" i="36"/>
  <c r="V133" i="36"/>
  <c r="W127" i="36"/>
  <c r="W133" i="36"/>
  <c r="X127" i="36"/>
  <c r="X133" i="36"/>
  <c r="Y127" i="36"/>
  <c r="Y133" i="36"/>
  <c r="Z127" i="36"/>
  <c r="Z133" i="36"/>
  <c r="AD127" i="36"/>
  <c r="AD133" i="36"/>
  <c r="AE127" i="36"/>
  <c r="AE133" i="36"/>
  <c r="AF127" i="36"/>
  <c r="AF133" i="36"/>
  <c r="AG127" i="36"/>
  <c r="AG133" i="36"/>
  <c r="AH133" i="36"/>
  <c r="AI133" i="36"/>
  <c r="AJ133" i="36"/>
  <c r="AK133" i="36"/>
  <c r="AL133" i="36"/>
  <c r="AM133" i="36"/>
  <c r="AN133" i="36"/>
  <c r="J134" i="36"/>
  <c r="K134" i="36"/>
  <c r="L134" i="36"/>
  <c r="M134" i="36"/>
  <c r="N134" i="36"/>
  <c r="O134" i="36"/>
  <c r="P134" i="36"/>
  <c r="Q134" i="36"/>
  <c r="R134" i="36"/>
  <c r="S134" i="36"/>
  <c r="T134" i="36"/>
  <c r="U134" i="36"/>
  <c r="V134" i="36"/>
  <c r="W134" i="36"/>
  <c r="X134" i="36"/>
  <c r="Y134" i="36"/>
  <c r="Z134" i="36"/>
  <c r="AD134" i="36"/>
  <c r="AE134" i="36"/>
  <c r="AF134" i="36"/>
  <c r="AG134" i="36"/>
  <c r="AH134" i="36"/>
  <c r="AI134" i="36"/>
  <c r="AJ134" i="36"/>
  <c r="AK134" i="36"/>
  <c r="AL134" i="36"/>
  <c r="AM134" i="36"/>
  <c r="AN134" i="36"/>
  <c r="AA139" i="36"/>
  <c r="AA145" i="36"/>
  <c r="AA146" i="36"/>
  <c r="AB139" i="36"/>
  <c r="AB145" i="36"/>
  <c r="AB146" i="36"/>
  <c r="AC139" i="36"/>
  <c r="AC145" i="36"/>
  <c r="AC146" i="36"/>
  <c r="AH139" i="36"/>
  <c r="AI139" i="36"/>
  <c r="AJ139" i="36"/>
  <c r="AK139" i="36"/>
  <c r="AL139" i="36"/>
  <c r="AM139" i="36"/>
  <c r="AN139" i="36"/>
  <c r="J140" i="36"/>
  <c r="K140" i="36"/>
  <c r="L140" i="36"/>
  <c r="M140" i="36"/>
  <c r="N140" i="36"/>
  <c r="O140" i="36"/>
  <c r="P140" i="36"/>
  <c r="Q140" i="36"/>
  <c r="R140" i="36"/>
  <c r="S140" i="36"/>
  <c r="T140" i="36"/>
  <c r="U140" i="36"/>
  <c r="V140" i="36"/>
  <c r="W140" i="36"/>
  <c r="X140" i="36"/>
  <c r="Y140" i="36"/>
  <c r="Z140" i="36"/>
  <c r="AA140" i="36"/>
  <c r="AB140" i="36"/>
  <c r="AC140" i="36"/>
  <c r="AD140" i="36"/>
  <c r="AE140" i="36"/>
  <c r="AF140" i="36"/>
  <c r="AG140" i="36"/>
  <c r="AH140" i="36"/>
  <c r="AI140" i="36"/>
  <c r="AJ140" i="36"/>
  <c r="AK140" i="36"/>
  <c r="AL140" i="36"/>
  <c r="AM140" i="36"/>
  <c r="AN140" i="36"/>
  <c r="J112" i="36"/>
  <c r="J119" i="36"/>
  <c r="K112" i="36"/>
  <c r="K119" i="36"/>
  <c r="L119" i="36"/>
  <c r="M112" i="36"/>
  <c r="M119" i="36"/>
  <c r="N112" i="36"/>
  <c r="N119" i="36"/>
  <c r="O112" i="36"/>
  <c r="O119" i="36"/>
  <c r="P112" i="36"/>
  <c r="P119" i="36"/>
  <c r="Q112" i="36"/>
  <c r="Q119" i="36"/>
  <c r="R112" i="36"/>
  <c r="R119" i="36"/>
  <c r="S119" i="36"/>
  <c r="T112" i="36"/>
  <c r="T119" i="36"/>
  <c r="U112" i="36"/>
  <c r="U119" i="36"/>
  <c r="V112" i="36"/>
  <c r="V119" i="36"/>
  <c r="W119" i="36"/>
  <c r="X112" i="36"/>
  <c r="X119" i="36"/>
  <c r="Y112" i="36"/>
  <c r="Y119" i="36"/>
  <c r="Z119" i="36"/>
  <c r="AA112" i="36"/>
  <c r="AA119" i="36"/>
  <c r="AB112" i="36"/>
  <c r="AB119" i="36"/>
  <c r="AC112" i="36"/>
  <c r="AC119" i="36"/>
  <c r="AD119" i="36"/>
  <c r="AE112" i="36"/>
  <c r="AE119" i="36"/>
  <c r="AF112" i="36"/>
  <c r="AF119" i="36"/>
  <c r="AG119" i="36"/>
  <c r="AH112" i="36"/>
  <c r="AH119" i="36"/>
  <c r="AI112" i="36"/>
  <c r="AI119" i="36"/>
  <c r="AJ112" i="36"/>
  <c r="AJ119" i="36"/>
  <c r="AK112" i="36"/>
  <c r="AK119" i="36"/>
  <c r="AL112" i="36"/>
  <c r="AL119" i="36"/>
  <c r="AM112" i="36"/>
  <c r="AM119" i="36"/>
  <c r="AN112" i="36"/>
  <c r="AN119" i="36"/>
  <c r="J113" i="36"/>
  <c r="J120" i="36"/>
  <c r="K113" i="36"/>
  <c r="K120" i="36"/>
  <c r="L120" i="36"/>
  <c r="M113" i="36"/>
  <c r="M120" i="36"/>
  <c r="N113" i="36"/>
  <c r="N120" i="36"/>
  <c r="O113" i="36"/>
  <c r="O120" i="36"/>
  <c r="P120" i="36"/>
  <c r="Q113" i="36"/>
  <c r="Q120" i="36"/>
  <c r="R113" i="36"/>
  <c r="R120" i="36"/>
  <c r="S120" i="36"/>
  <c r="T113" i="36"/>
  <c r="T120" i="36"/>
  <c r="U113" i="36"/>
  <c r="U120" i="36"/>
  <c r="V113" i="36"/>
  <c r="V120" i="36"/>
  <c r="W120" i="36"/>
  <c r="X113" i="36"/>
  <c r="X120" i="36"/>
  <c r="Y113" i="36"/>
  <c r="Y120" i="36"/>
  <c r="Z120" i="36"/>
  <c r="AA113" i="36"/>
  <c r="AA120" i="36"/>
  <c r="AB113" i="36"/>
  <c r="AB120" i="36"/>
  <c r="AC113" i="36"/>
  <c r="AC120" i="36"/>
  <c r="AD120" i="36"/>
  <c r="AE113" i="36"/>
  <c r="AE120" i="36"/>
  <c r="AF113" i="36"/>
  <c r="AF120" i="36"/>
  <c r="AG120" i="36"/>
  <c r="AH113" i="36"/>
  <c r="AH120" i="36"/>
  <c r="AI113" i="36"/>
  <c r="AI120" i="36"/>
  <c r="AJ113" i="36"/>
  <c r="AJ120" i="36"/>
  <c r="AK113" i="36"/>
  <c r="AK120" i="36"/>
  <c r="AL113" i="36"/>
  <c r="AL120" i="36"/>
  <c r="AM113" i="36"/>
  <c r="AM120" i="36"/>
  <c r="AN113" i="36"/>
  <c r="AN120" i="36"/>
  <c r="J115" i="36"/>
  <c r="J121" i="36"/>
  <c r="K115" i="36"/>
  <c r="K121" i="36"/>
  <c r="L115" i="36"/>
  <c r="L121" i="36"/>
  <c r="M115" i="36"/>
  <c r="M121" i="36"/>
  <c r="N115" i="36"/>
  <c r="N121" i="36"/>
  <c r="O115" i="36"/>
  <c r="O121" i="36"/>
  <c r="P115" i="36"/>
  <c r="P121" i="36"/>
  <c r="Q115" i="36"/>
  <c r="Q121" i="36"/>
  <c r="R115" i="36"/>
  <c r="R121" i="36"/>
  <c r="S115" i="36"/>
  <c r="S121" i="36"/>
  <c r="T115" i="36"/>
  <c r="T121" i="36"/>
  <c r="U115" i="36"/>
  <c r="U121" i="36"/>
  <c r="V115" i="36"/>
  <c r="V121" i="36"/>
  <c r="W115" i="36"/>
  <c r="W121" i="36"/>
  <c r="X115" i="36"/>
  <c r="X121" i="36"/>
  <c r="Y115" i="36"/>
  <c r="Y121" i="36"/>
  <c r="Z115" i="36"/>
  <c r="Z121" i="36"/>
  <c r="AD115" i="36"/>
  <c r="AD121" i="36"/>
  <c r="AE115" i="36"/>
  <c r="AE121" i="36"/>
  <c r="AF115" i="36"/>
  <c r="AF121" i="36"/>
  <c r="AG115" i="36"/>
  <c r="AG121" i="36"/>
  <c r="AH121" i="36"/>
  <c r="AI121" i="36"/>
  <c r="AJ121" i="36"/>
  <c r="AK121" i="36"/>
  <c r="AL121" i="36"/>
  <c r="AM121" i="36"/>
  <c r="AN121" i="36"/>
  <c r="J122" i="36"/>
  <c r="K122" i="36"/>
  <c r="L122" i="36"/>
  <c r="M122" i="36"/>
  <c r="N122" i="36"/>
  <c r="O122" i="36"/>
  <c r="P122" i="36"/>
  <c r="Q122" i="36"/>
  <c r="R122" i="36"/>
  <c r="S122" i="36"/>
  <c r="T122" i="36"/>
  <c r="U122" i="36"/>
  <c r="V122" i="36"/>
  <c r="W122" i="36"/>
  <c r="X122" i="36"/>
  <c r="Y122" i="36"/>
  <c r="Z122" i="36"/>
  <c r="AD122" i="36"/>
  <c r="AE122" i="36"/>
  <c r="AF122" i="36"/>
  <c r="AG122" i="36"/>
  <c r="AH122" i="36"/>
  <c r="AI122" i="36"/>
  <c r="AJ122" i="36"/>
  <c r="AK122" i="36"/>
  <c r="AL122" i="36"/>
  <c r="AM122" i="36"/>
  <c r="AN122" i="36"/>
  <c r="AA127" i="36"/>
  <c r="AA133" i="36"/>
  <c r="AA134" i="36"/>
  <c r="AB127" i="36"/>
  <c r="AB133" i="36"/>
  <c r="AB134" i="36"/>
  <c r="AC127" i="36"/>
  <c r="AC133" i="36"/>
  <c r="AC134" i="36"/>
  <c r="AH127" i="36"/>
  <c r="AI127" i="36"/>
  <c r="AJ127" i="36"/>
  <c r="AK127" i="36"/>
  <c r="AL127" i="36"/>
  <c r="AM127" i="36"/>
  <c r="AN127" i="36"/>
  <c r="J128" i="36"/>
  <c r="K128" i="36"/>
  <c r="L128" i="36"/>
  <c r="M128" i="36"/>
  <c r="N128" i="36"/>
  <c r="O128" i="36"/>
  <c r="P128" i="36"/>
  <c r="Q128" i="36"/>
  <c r="R128" i="36"/>
  <c r="S128" i="36"/>
  <c r="T128" i="36"/>
  <c r="U128" i="36"/>
  <c r="V128" i="36"/>
  <c r="W128" i="36"/>
  <c r="X128" i="36"/>
  <c r="Y128" i="36"/>
  <c r="Z128" i="36"/>
  <c r="AA128" i="36"/>
  <c r="AB128" i="36"/>
  <c r="AC128" i="36"/>
  <c r="AE128" i="36"/>
  <c r="AF128" i="36"/>
  <c r="AG128" i="36"/>
  <c r="AH128" i="36"/>
  <c r="AI128" i="36"/>
  <c r="AJ128" i="36"/>
  <c r="AK128" i="36"/>
  <c r="AL128" i="36"/>
  <c r="AM128" i="36"/>
  <c r="AN128" i="36"/>
  <c r="I100" i="36"/>
  <c r="J100" i="36"/>
  <c r="J107" i="36"/>
  <c r="K100" i="36"/>
  <c r="K107" i="36"/>
  <c r="L100" i="36"/>
  <c r="L107" i="36"/>
  <c r="M100" i="36"/>
  <c r="M107" i="36"/>
  <c r="N100" i="36"/>
  <c r="N107" i="36"/>
  <c r="O100" i="36"/>
  <c r="O107" i="36"/>
  <c r="P100" i="36"/>
  <c r="P107" i="36"/>
  <c r="Q100" i="36"/>
  <c r="Q107" i="36"/>
  <c r="R100" i="36"/>
  <c r="R107" i="36"/>
  <c r="S100" i="36"/>
  <c r="S107" i="36"/>
  <c r="T100" i="36"/>
  <c r="T107" i="36"/>
  <c r="U100" i="36"/>
  <c r="U107" i="36"/>
  <c r="V100" i="36"/>
  <c r="V107" i="36"/>
  <c r="W100" i="36"/>
  <c r="W107" i="36"/>
  <c r="X100" i="36"/>
  <c r="X107" i="36"/>
  <c r="Y100" i="36"/>
  <c r="Y107" i="36"/>
  <c r="Z100" i="36"/>
  <c r="Z107" i="36"/>
  <c r="AA100" i="36"/>
  <c r="AA107" i="36"/>
  <c r="AB100" i="36"/>
  <c r="AB107" i="36"/>
  <c r="AC100" i="36"/>
  <c r="AC107" i="36"/>
  <c r="AD100" i="36"/>
  <c r="AD107" i="36"/>
  <c r="AE100" i="36"/>
  <c r="AE107" i="36"/>
  <c r="AF100" i="36"/>
  <c r="AF107" i="36"/>
  <c r="AG100" i="36"/>
  <c r="AG107" i="36"/>
  <c r="AH100" i="36"/>
  <c r="AH107" i="36"/>
  <c r="AI100" i="36"/>
  <c r="AI107" i="36"/>
  <c r="AJ100" i="36"/>
  <c r="AJ107" i="36"/>
  <c r="AK100" i="36"/>
  <c r="AK107" i="36"/>
  <c r="AL100" i="36"/>
  <c r="AL107" i="36"/>
  <c r="AM100" i="36"/>
  <c r="AM107" i="36"/>
  <c r="AN100" i="36"/>
  <c r="AN107" i="36"/>
  <c r="J101" i="36"/>
  <c r="J108" i="36"/>
  <c r="K101" i="36"/>
  <c r="K108" i="36"/>
  <c r="L101" i="36"/>
  <c r="L108" i="36"/>
  <c r="M101" i="36"/>
  <c r="M108" i="36"/>
  <c r="N101" i="36"/>
  <c r="N108" i="36"/>
  <c r="O101" i="36"/>
  <c r="O108" i="36"/>
  <c r="P101" i="36"/>
  <c r="P108" i="36"/>
  <c r="Q101" i="36"/>
  <c r="Q108" i="36"/>
  <c r="R101" i="36"/>
  <c r="R108" i="36"/>
  <c r="S101" i="36"/>
  <c r="S108" i="36"/>
  <c r="T101" i="36"/>
  <c r="T108" i="36"/>
  <c r="U101" i="36"/>
  <c r="U108" i="36"/>
  <c r="V101" i="36"/>
  <c r="V108" i="36"/>
  <c r="W101" i="36"/>
  <c r="W108" i="36"/>
  <c r="X101" i="36"/>
  <c r="X108" i="36"/>
  <c r="Y101" i="36"/>
  <c r="Y108" i="36"/>
  <c r="Z101" i="36"/>
  <c r="Z108" i="36"/>
  <c r="AA101" i="36"/>
  <c r="AA108" i="36"/>
  <c r="AB101" i="36"/>
  <c r="AB108" i="36"/>
  <c r="AC101" i="36"/>
  <c r="AC108" i="36"/>
  <c r="AD101" i="36"/>
  <c r="AD108" i="36"/>
  <c r="AE101" i="36"/>
  <c r="AE108" i="36"/>
  <c r="AF101" i="36"/>
  <c r="AF108" i="36"/>
  <c r="AG101" i="36"/>
  <c r="AG108" i="36"/>
  <c r="AH101" i="36"/>
  <c r="AH108" i="36"/>
  <c r="AI101" i="36"/>
  <c r="AI108" i="36"/>
  <c r="AJ101" i="36"/>
  <c r="AJ108" i="36"/>
  <c r="AK101" i="36"/>
  <c r="AK108" i="36"/>
  <c r="AL101" i="36"/>
  <c r="AL108" i="36"/>
  <c r="AM101" i="36"/>
  <c r="AM108" i="36"/>
  <c r="AN101" i="36"/>
  <c r="AN108" i="36"/>
  <c r="J103" i="36"/>
  <c r="J109" i="36"/>
  <c r="K103" i="36"/>
  <c r="K109" i="36"/>
  <c r="L103" i="36"/>
  <c r="L109" i="36"/>
  <c r="M103" i="36"/>
  <c r="M109" i="36"/>
  <c r="N103" i="36"/>
  <c r="N109" i="36"/>
  <c r="O103" i="36"/>
  <c r="O109" i="36"/>
  <c r="P103" i="36"/>
  <c r="P109" i="36"/>
  <c r="Q103" i="36"/>
  <c r="Q109" i="36"/>
  <c r="R103" i="36"/>
  <c r="R109" i="36"/>
  <c r="S103" i="36"/>
  <c r="S109" i="36"/>
  <c r="T103" i="36"/>
  <c r="T109" i="36"/>
  <c r="U103" i="36"/>
  <c r="U109" i="36"/>
  <c r="V103" i="36"/>
  <c r="V109" i="36"/>
  <c r="W103" i="36"/>
  <c r="W109" i="36"/>
  <c r="X103" i="36"/>
  <c r="X109" i="36"/>
  <c r="Y103" i="36"/>
  <c r="Y109" i="36"/>
  <c r="Z103" i="36"/>
  <c r="Z109" i="36"/>
  <c r="AD103" i="36"/>
  <c r="AD109" i="36"/>
  <c r="AE103" i="36"/>
  <c r="AE109" i="36"/>
  <c r="AF103" i="36"/>
  <c r="AF109" i="36"/>
  <c r="AG103" i="36"/>
  <c r="AG109" i="36"/>
  <c r="AH109" i="36"/>
  <c r="AI109" i="36"/>
  <c r="AJ109" i="36"/>
  <c r="AK109" i="36"/>
  <c r="AL109" i="36"/>
  <c r="AM109" i="36"/>
  <c r="AN109" i="36"/>
  <c r="J110" i="36"/>
  <c r="K110" i="36"/>
  <c r="L110" i="36"/>
  <c r="M110" i="36"/>
  <c r="N110" i="36"/>
  <c r="O110" i="36"/>
  <c r="P110" i="36"/>
  <c r="Q110" i="36"/>
  <c r="R110" i="36"/>
  <c r="S110" i="36"/>
  <c r="T110" i="36"/>
  <c r="U110" i="36"/>
  <c r="V110" i="36"/>
  <c r="W110" i="36"/>
  <c r="X110" i="36"/>
  <c r="Y110" i="36"/>
  <c r="Z110" i="36"/>
  <c r="AD110" i="36"/>
  <c r="AE110" i="36"/>
  <c r="AF110" i="36"/>
  <c r="AG110" i="36"/>
  <c r="AH110" i="36"/>
  <c r="AI110" i="36"/>
  <c r="AJ110" i="36"/>
  <c r="AK110" i="36"/>
  <c r="AL110" i="36"/>
  <c r="AM110" i="36"/>
  <c r="AN110" i="36"/>
  <c r="AA115" i="36"/>
  <c r="AA121" i="36"/>
  <c r="AA122" i="36"/>
  <c r="AB115" i="36"/>
  <c r="AB121" i="36"/>
  <c r="AB122" i="36"/>
  <c r="AC115" i="36"/>
  <c r="AC121" i="36"/>
  <c r="AC122" i="36"/>
  <c r="AH115" i="36"/>
  <c r="AI115" i="36"/>
  <c r="AJ115" i="36"/>
  <c r="AK115" i="36"/>
  <c r="AL115" i="36"/>
  <c r="AM115" i="36"/>
  <c r="AN115" i="36"/>
  <c r="J116" i="36"/>
  <c r="K116" i="36"/>
  <c r="L116" i="36"/>
  <c r="M116" i="36"/>
  <c r="N116" i="36"/>
  <c r="O116" i="36"/>
  <c r="P116" i="36"/>
  <c r="Q116" i="36"/>
  <c r="R116" i="36"/>
  <c r="T116" i="36"/>
  <c r="U116" i="36"/>
  <c r="V116" i="36"/>
  <c r="W116" i="36"/>
  <c r="X116" i="36"/>
  <c r="Y116" i="36"/>
  <c r="Z116" i="36"/>
  <c r="AA116" i="36"/>
  <c r="AB116" i="36"/>
  <c r="AC116" i="36"/>
  <c r="AD116" i="36"/>
  <c r="AE116" i="36"/>
  <c r="AF116" i="36"/>
  <c r="AG116" i="36"/>
  <c r="AH116" i="36"/>
  <c r="AI116" i="36"/>
  <c r="AJ116" i="36"/>
  <c r="AK116" i="36"/>
  <c r="AL116" i="36"/>
  <c r="AM116" i="36"/>
  <c r="AN116" i="36"/>
  <c r="J88" i="36"/>
  <c r="J95" i="36"/>
  <c r="K88" i="36"/>
  <c r="K95" i="36"/>
  <c r="L88" i="36"/>
  <c r="L95" i="36"/>
  <c r="M88" i="36"/>
  <c r="M95" i="36"/>
  <c r="N88" i="36"/>
  <c r="N95" i="36"/>
  <c r="O88" i="36"/>
  <c r="O95" i="36"/>
  <c r="P88" i="36"/>
  <c r="P95" i="36"/>
  <c r="Q88" i="36"/>
  <c r="Q95" i="36"/>
  <c r="R88" i="36"/>
  <c r="R95" i="36"/>
  <c r="S95" i="36"/>
  <c r="T88" i="36"/>
  <c r="T95" i="36"/>
  <c r="U88" i="36"/>
  <c r="U95" i="36"/>
  <c r="V88" i="36"/>
  <c r="V95" i="36"/>
  <c r="W88" i="36"/>
  <c r="W95" i="36"/>
  <c r="X88" i="36"/>
  <c r="X95" i="36"/>
  <c r="Y88" i="36"/>
  <c r="Y95" i="36"/>
  <c r="Z95" i="36"/>
  <c r="AA88" i="36"/>
  <c r="AA95" i="36"/>
  <c r="AB88" i="36"/>
  <c r="AB95" i="36"/>
  <c r="AC88" i="36"/>
  <c r="AC95" i="36"/>
  <c r="AD88" i="36"/>
  <c r="AD95" i="36"/>
  <c r="AE88" i="36"/>
  <c r="AE95" i="36"/>
  <c r="AF88" i="36"/>
  <c r="AF95" i="36"/>
  <c r="AG95" i="36"/>
  <c r="AH88" i="36"/>
  <c r="AH95" i="36"/>
  <c r="AI88" i="36"/>
  <c r="AI95" i="36"/>
  <c r="AJ88" i="36"/>
  <c r="AJ95" i="36"/>
  <c r="AK88" i="36"/>
  <c r="AK95" i="36"/>
  <c r="AL88" i="36"/>
  <c r="AL95" i="36"/>
  <c r="AM88" i="36"/>
  <c r="AM95" i="36"/>
  <c r="AN88" i="36"/>
  <c r="AN95" i="36"/>
  <c r="J89" i="36"/>
  <c r="J96" i="36"/>
  <c r="K89" i="36"/>
  <c r="K96" i="36"/>
  <c r="L89" i="36"/>
  <c r="L96" i="36"/>
  <c r="M89" i="36"/>
  <c r="M96" i="36"/>
  <c r="N89" i="36"/>
  <c r="N96" i="36"/>
  <c r="O89" i="36"/>
  <c r="O96" i="36"/>
  <c r="P89" i="36"/>
  <c r="P96" i="36"/>
  <c r="Q89" i="36"/>
  <c r="Q96" i="36"/>
  <c r="R89" i="36"/>
  <c r="R96" i="36"/>
  <c r="S96" i="36"/>
  <c r="T89" i="36"/>
  <c r="T96" i="36"/>
  <c r="U89" i="36"/>
  <c r="U96" i="36"/>
  <c r="V89" i="36"/>
  <c r="V96" i="36"/>
  <c r="W89" i="36"/>
  <c r="W96" i="36"/>
  <c r="X89" i="36"/>
  <c r="X96" i="36"/>
  <c r="Y89" i="36"/>
  <c r="Y96" i="36"/>
  <c r="Z96" i="36"/>
  <c r="AA89" i="36"/>
  <c r="AA96" i="36"/>
  <c r="AB89" i="36"/>
  <c r="AB96" i="36"/>
  <c r="AC89" i="36"/>
  <c r="AC96" i="36"/>
  <c r="AD89" i="36"/>
  <c r="AD96" i="36"/>
  <c r="AE89" i="36"/>
  <c r="AE96" i="36"/>
  <c r="AF89" i="36"/>
  <c r="AF96" i="36"/>
  <c r="AG96" i="36"/>
  <c r="AH89" i="36"/>
  <c r="AH96" i="36"/>
  <c r="AI89" i="36"/>
  <c r="AI96" i="36"/>
  <c r="AJ89" i="36"/>
  <c r="AJ96" i="36"/>
  <c r="AK89" i="36"/>
  <c r="AK96" i="36"/>
  <c r="AL89" i="36"/>
  <c r="AL96" i="36"/>
  <c r="AM89" i="36"/>
  <c r="AM96" i="36"/>
  <c r="AN89" i="36"/>
  <c r="AN96" i="36"/>
  <c r="J91" i="36"/>
  <c r="J97" i="36"/>
  <c r="K91" i="36"/>
  <c r="K97" i="36"/>
  <c r="L91" i="36"/>
  <c r="L97" i="36"/>
  <c r="M91" i="36"/>
  <c r="M97" i="36"/>
  <c r="N91" i="36"/>
  <c r="N97" i="36"/>
  <c r="O91" i="36"/>
  <c r="O97" i="36"/>
  <c r="P91" i="36"/>
  <c r="P97" i="36"/>
  <c r="Q91" i="36"/>
  <c r="Q97" i="36"/>
  <c r="R91" i="36"/>
  <c r="R97" i="36"/>
  <c r="S91" i="36"/>
  <c r="S97" i="36"/>
  <c r="T91" i="36"/>
  <c r="T97" i="36"/>
  <c r="U91" i="36"/>
  <c r="U97" i="36"/>
  <c r="V91" i="36"/>
  <c r="V97" i="36"/>
  <c r="W91" i="36"/>
  <c r="W97" i="36"/>
  <c r="X91" i="36"/>
  <c r="X97" i="36"/>
  <c r="Y91" i="36"/>
  <c r="Y97" i="36"/>
  <c r="Z91" i="36"/>
  <c r="Z97" i="36"/>
  <c r="AD91" i="36"/>
  <c r="AD97" i="36"/>
  <c r="AE91" i="36"/>
  <c r="AE97" i="36"/>
  <c r="AF91" i="36"/>
  <c r="AF97" i="36"/>
  <c r="AG91" i="36"/>
  <c r="AG97" i="36"/>
  <c r="AH97" i="36"/>
  <c r="AI97" i="36"/>
  <c r="AJ97" i="36"/>
  <c r="AK97" i="36"/>
  <c r="AL97" i="36"/>
  <c r="AM97" i="36"/>
  <c r="AN97" i="36"/>
  <c r="J98" i="36"/>
  <c r="K98" i="36"/>
  <c r="L98" i="36"/>
  <c r="M98" i="36"/>
  <c r="N98" i="36"/>
  <c r="O98" i="36"/>
  <c r="P98" i="36"/>
  <c r="Q98" i="36"/>
  <c r="R98" i="36"/>
  <c r="S98" i="36"/>
  <c r="T98" i="36"/>
  <c r="U98" i="36"/>
  <c r="V98" i="36"/>
  <c r="W98" i="36"/>
  <c r="X98" i="36"/>
  <c r="Y98" i="36"/>
  <c r="Z98" i="36"/>
  <c r="AD98" i="36"/>
  <c r="AE98" i="36"/>
  <c r="AF98" i="36"/>
  <c r="AG98" i="36"/>
  <c r="AH98" i="36"/>
  <c r="AI98" i="36"/>
  <c r="AJ98" i="36"/>
  <c r="AK98" i="36"/>
  <c r="AL98" i="36"/>
  <c r="AM98" i="36"/>
  <c r="AN98" i="36"/>
  <c r="AA103" i="36"/>
  <c r="AA109" i="36"/>
  <c r="AA110" i="36"/>
  <c r="AB103" i="36"/>
  <c r="AB109" i="36"/>
  <c r="AB110" i="36"/>
  <c r="AC103" i="36"/>
  <c r="AC109" i="36"/>
  <c r="AC110" i="36"/>
  <c r="AH103" i="36"/>
  <c r="AI103" i="36"/>
  <c r="AJ103" i="36"/>
  <c r="AK103" i="36"/>
  <c r="AL103" i="36"/>
  <c r="AM103" i="36"/>
  <c r="AN103" i="36"/>
  <c r="J104" i="36"/>
  <c r="K104" i="36"/>
  <c r="L104" i="36"/>
  <c r="M104" i="36"/>
  <c r="N104" i="36"/>
  <c r="O104" i="36"/>
  <c r="P104" i="36"/>
  <c r="Q104" i="36"/>
  <c r="R104" i="36"/>
  <c r="S104" i="36"/>
  <c r="T104" i="36"/>
  <c r="U104" i="36"/>
  <c r="V104" i="36"/>
  <c r="W104" i="36"/>
  <c r="X104" i="36"/>
  <c r="Y104" i="36"/>
  <c r="Z104" i="36"/>
  <c r="AA104" i="36"/>
  <c r="AB104" i="36"/>
  <c r="AC104" i="36"/>
  <c r="AD104" i="36"/>
  <c r="AE104" i="36"/>
  <c r="AF104" i="36"/>
  <c r="AG104" i="36"/>
  <c r="AH104" i="36"/>
  <c r="AI104" i="36"/>
  <c r="AJ104" i="36"/>
  <c r="AK104" i="36"/>
  <c r="AL104" i="36"/>
  <c r="AM104" i="36"/>
  <c r="AN104" i="36"/>
  <c r="J76" i="36"/>
  <c r="J83" i="36"/>
  <c r="K76" i="36"/>
  <c r="K83" i="36"/>
  <c r="L83" i="36"/>
  <c r="M76" i="36"/>
  <c r="M83" i="36"/>
  <c r="N76" i="36"/>
  <c r="N83" i="36"/>
  <c r="O76" i="36"/>
  <c r="O83" i="36"/>
  <c r="P83" i="36"/>
  <c r="Q76" i="36"/>
  <c r="Q83" i="36"/>
  <c r="R76" i="36"/>
  <c r="R83" i="36"/>
  <c r="S83" i="36"/>
  <c r="T76" i="36"/>
  <c r="T83" i="36"/>
  <c r="U76" i="36"/>
  <c r="U83" i="36"/>
  <c r="V76" i="36"/>
  <c r="V83" i="36"/>
  <c r="W76" i="36"/>
  <c r="W83" i="36"/>
  <c r="X76" i="36"/>
  <c r="X83" i="36"/>
  <c r="Y76" i="36"/>
  <c r="Y83" i="36"/>
  <c r="Z83" i="36"/>
  <c r="AA76" i="36"/>
  <c r="AA83" i="36"/>
  <c r="AB76" i="36"/>
  <c r="AB83" i="36"/>
  <c r="AC76" i="36"/>
  <c r="AC83" i="36"/>
  <c r="AD76" i="36"/>
  <c r="AD83" i="36"/>
  <c r="AE76" i="36"/>
  <c r="AE83" i="36"/>
  <c r="AF76" i="36"/>
  <c r="AF83" i="36"/>
  <c r="AG83" i="36"/>
  <c r="AH76" i="36"/>
  <c r="AH83" i="36"/>
  <c r="AI76" i="36"/>
  <c r="AI83" i="36"/>
  <c r="AJ76" i="36"/>
  <c r="AJ83" i="36"/>
  <c r="AK76" i="36"/>
  <c r="AK83" i="36"/>
  <c r="AL76" i="36"/>
  <c r="AL83" i="36"/>
  <c r="AM76" i="36"/>
  <c r="AM83" i="36"/>
  <c r="AN76" i="36"/>
  <c r="AN83" i="36"/>
  <c r="J77" i="36"/>
  <c r="J84" i="36"/>
  <c r="K77" i="36"/>
  <c r="K84" i="36"/>
  <c r="L84" i="36"/>
  <c r="M77" i="36"/>
  <c r="M84" i="36"/>
  <c r="N77" i="36"/>
  <c r="N84" i="36"/>
  <c r="O77" i="36"/>
  <c r="O84" i="36"/>
  <c r="P84" i="36"/>
  <c r="Q77" i="36"/>
  <c r="Q84" i="36"/>
  <c r="R77" i="36"/>
  <c r="R84" i="36"/>
  <c r="S84" i="36"/>
  <c r="T77" i="36"/>
  <c r="T84" i="36"/>
  <c r="U77" i="36"/>
  <c r="U84" i="36"/>
  <c r="V77" i="36"/>
  <c r="V84" i="36"/>
  <c r="W77" i="36"/>
  <c r="W84" i="36"/>
  <c r="X77" i="36"/>
  <c r="X84" i="36"/>
  <c r="Y77" i="36"/>
  <c r="Y84" i="36"/>
  <c r="Z84" i="36"/>
  <c r="AA77" i="36"/>
  <c r="AA84" i="36"/>
  <c r="AB77" i="36"/>
  <c r="AB84" i="36"/>
  <c r="AC77" i="36"/>
  <c r="AC84" i="36"/>
  <c r="AD77" i="36"/>
  <c r="AD84" i="36"/>
  <c r="AE77" i="36"/>
  <c r="AE84" i="36"/>
  <c r="AF77" i="36"/>
  <c r="AF84" i="36"/>
  <c r="AG84" i="36"/>
  <c r="AH77" i="36"/>
  <c r="AH84" i="36"/>
  <c r="AI77" i="36"/>
  <c r="AI84" i="36"/>
  <c r="AJ77" i="36"/>
  <c r="AJ84" i="36"/>
  <c r="AK77" i="36"/>
  <c r="AK84" i="36"/>
  <c r="AL77" i="36"/>
  <c r="AL84" i="36"/>
  <c r="AM77" i="36"/>
  <c r="AM84" i="36"/>
  <c r="AN77" i="36"/>
  <c r="AN84" i="36"/>
  <c r="J79" i="36"/>
  <c r="J85" i="36"/>
  <c r="K79" i="36"/>
  <c r="K85" i="36"/>
  <c r="L79" i="36"/>
  <c r="L85" i="36"/>
  <c r="M79" i="36"/>
  <c r="M85" i="36"/>
  <c r="N79" i="36"/>
  <c r="N85" i="36"/>
  <c r="O79" i="36"/>
  <c r="O85" i="36"/>
  <c r="P79" i="36"/>
  <c r="P85" i="36"/>
  <c r="Q79" i="36"/>
  <c r="Q85" i="36"/>
  <c r="R79" i="36"/>
  <c r="R85" i="36"/>
  <c r="S79" i="36"/>
  <c r="S85" i="36"/>
  <c r="T79" i="36"/>
  <c r="T85" i="36"/>
  <c r="U79" i="36"/>
  <c r="U85" i="36"/>
  <c r="V79" i="36"/>
  <c r="V85" i="36"/>
  <c r="W79" i="36"/>
  <c r="W85" i="36"/>
  <c r="X79" i="36"/>
  <c r="X85" i="36"/>
  <c r="Y79" i="36"/>
  <c r="Y85" i="36"/>
  <c r="Z79" i="36"/>
  <c r="Z85" i="36"/>
  <c r="AD79" i="36"/>
  <c r="AD85" i="36"/>
  <c r="AE79" i="36"/>
  <c r="AE85" i="36"/>
  <c r="AF79" i="36"/>
  <c r="AF85" i="36"/>
  <c r="AG79" i="36"/>
  <c r="AG85" i="36"/>
  <c r="AH85" i="36"/>
  <c r="AI85" i="36"/>
  <c r="AJ85" i="36"/>
  <c r="AK85" i="36"/>
  <c r="AL85" i="36"/>
  <c r="AM85" i="36"/>
  <c r="AN85" i="36"/>
  <c r="J86" i="36"/>
  <c r="K86" i="36"/>
  <c r="L86" i="36"/>
  <c r="M86" i="36"/>
  <c r="N86" i="36"/>
  <c r="O86" i="36"/>
  <c r="P86" i="36"/>
  <c r="Q86" i="36"/>
  <c r="R86" i="36"/>
  <c r="S86" i="36"/>
  <c r="T86" i="36"/>
  <c r="U86" i="36"/>
  <c r="V86" i="36"/>
  <c r="W86" i="36"/>
  <c r="X86" i="36"/>
  <c r="Y86" i="36"/>
  <c r="Z86" i="36"/>
  <c r="AD86" i="36"/>
  <c r="AE86" i="36"/>
  <c r="AF86" i="36"/>
  <c r="AG86" i="36"/>
  <c r="AH86" i="36"/>
  <c r="AI86" i="36"/>
  <c r="AJ86" i="36"/>
  <c r="AK86" i="36"/>
  <c r="AL86" i="36"/>
  <c r="AM86" i="36"/>
  <c r="AN86" i="36"/>
  <c r="AA91" i="36"/>
  <c r="AA97" i="36"/>
  <c r="AA98" i="36"/>
  <c r="AB91" i="36"/>
  <c r="AB97" i="36"/>
  <c r="AB98" i="36"/>
  <c r="AC91" i="36"/>
  <c r="AC97" i="36"/>
  <c r="AC98" i="36"/>
  <c r="AH91" i="36"/>
  <c r="AI91" i="36"/>
  <c r="AJ91" i="36"/>
  <c r="AK91" i="36"/>
  <c r="AL91" i="36"/>
  <c r="AM91" i="36"/>
  <c r="AN91" i="36"/>
  <c r="J92" i="36"/>
  <c r="K92" i="36"/>
  <c r="L92" i="36"/>
  <c r="M92" i="36"/>
  <c r="N92" i="36"/>
  <c r="O92" i="36"/>
  <c r="P92" i="36"/>
  <c r="Q92" i="36"/>
  <c r="R92" i="36"/>
  <c r="S92" i="36"/>
  <c r="T92" i="36"/>
  <c r="U92" i="36"/>
  <c r="V92" i="36"/>
  <c r="W92" i="36"/>
  <c r="X92" i="36"/>
  <c r="Y92" i="36"/>
  <c r="Z92" i="36"/>
  <c r="AA92" i="36"/>
  <c r="AB92" i="36"/>
  <c r="AC92" i="36"/>
  <c r="AD92" i="36"/>
  <c r="AE92" i="36"/>
  <c r="AF92" i="36"/>
  <c r="AG92" i="36"/>
  <c r="AH92" i="36"/>
  <c r="AI92" i="36"/>
  <c r="AJ92" i="36"/>
  <c r="AK92" i="36"/>
  <c r="AL92" i="36"/>
  <c r="AM92" i="36"/>
  <c r="AN92" i="36"/>
  <c r="J64" i="36"/>
  <c r="J71" i="36"/>
  <c r="K64" i="36"/>
  <c r="K71" i="36"/>
  <c r="L71" i="36"/>
  <c r="M64" i="36"/>
  <c r="M71" i="36"/>
  <c r="N64" i="36"/>
  <c r="N71" i="36"/>
  <c r="O64" i="36"/>
  <c r="O71" i="36"/>
  <c r="P71" i="36"/>
  <c r="Q64" i="36"/>
  <c r="Q71" i="36"/>
  <c r="R64" i="36"/>
  <c r="R71" i="36"/>
  <c r="S71" i="36"/>
  <c r="T64" i="36"/>
  <c r="T71" i="36"/>
  <c r="U64" i="36"/>
  <c r="U71" i="36"/>
  <c r="V64" i="36"/>
  <c r="V71" i="36"/>
  <c r="W71" i="36"/>
  <c r="X64" i="36"/>
  <c r="X71" i="36"/>
  <c r="Y64" i="36"/>
  <c r="Y71" i="36"/>
  <c r="Z71" i="36"/>
  <c r="AA64" i="36"/>
  <c r="AA71" i="36"/>
  <c r="AB64" i="36"/>
  <c r="AB71" i="36"/>
  <c r="AC64" i="36"/>
  <c r="AC71" i="36"/>
  <c r="AD71" i="36"/>
  <c r="AE64" i="36"/>
  <c r="AE71" i="36"/>
  <c r="AF64" i="36"/>
  <c r="AF71" i="36"/>
  <c r="AG71" i="36"/>
  <c r="AH64" i="36"/>
  <c r="AH71" i="36"/>
  <c r="AI64" i="36"/>
  <c r="AI71" i="36"/>
  <c r="AJ64" i="36"/>
  <c r="AJ71" i="36"/>
  <c r="AK64" i="36"/>
  <c r="AK71" i="36"/>
  <c r="AL64" i="36"/>
  <c r="AL71" i="36"/>
  <c r="AM64" i="36"/>
  <c r="AM71" i="36"/>
  <c r="AN64" i="36"/>
  <c r="AN71" i="36"/>
  <c r="J65" i="36"/>
  <c r="J72" i="36"/>
  <c r="K65" i="36"/>
  <c r="K72" i="36"/>
  <c r="L72" i="36"/>
  <c r="M65" i="36"/>
  <c r="M72" i="36"/>
  <c r="N65" i="36"/>
  <c r="N72" i="36"/>
  <c r="O65" i="36"/>
  <c r="O72" i="36"/>
  <c r="P72" i="36"/>
  <c r="Q65" i="36"/>
  <c r="Q72" i="36"/>
  <c r="R65" i="36"/>
  <c r="R72" i="36"/>
  <c r="S72" i="36"/>
  <c r="T65" i="36"/>
  <c r="T72" i="36"/>
  <c r="U65" i="36"/>
  <c r="U72" i="36"/>
  <c r="V65" i="36"/>
  <c r="V72" i="36"/>
  <c r="W72" i="36"/>
  <c r="X65" i="36"/>
  <c r="X72" i="36"/>
  <c r="Y65" i="36"/>
  <c r="Y72" i="36"/>
  <c r="Z72" i="36"/>
  <c r="AA65" i="36"/>
  <c r="AA72" i="36"/>
  <c r="AB65" i="36"/>
  <c r="AB72" i="36"/>
  <c r="AC65" i="36"/>
  <c r="AC72" i="36"/>
  <c r="AD72" i="36"/>
  <c r="AE65" i="36"/>
  <c r="AE72" i="36"/>
  <c r="AF65" i="36"/>
  <c r="AF72" i="36"/>
  <c r="AG72" i="36"/>
  <c r="AH65" i="36"/>
  <c r="AH72" i="36"/>
  <c r="AI65" i="36"/>
  <c r="AI72" i="36"/>
  <c r="AJ65" i="36"/>
  <c r="AJ72" i="36"/>
  <c r="AK65" i="36"/>
  <c r="AK72" i="36"/>
  <c r="AL65" i="36"/>
  <c r="AL72" i="36"/>
  <c r="AM65" i="36"/>
  <c r="AM72" i="36"/>
  <c r="AN65" i="36"/>
  <c r="AN72" i="36"/>
  <c r="J67" i="36"/>
  <c r="J73" i="36"/>
  <c r="K67" i="36"/>
  <c r="K73" i="36"/>
  <c r="L67" i="36"/>
  <c r="L73" i="36"/>
  <c r="M67" i="36"/>
  <c r="M73" i="36"/>
  <c r="N67" i="36"/>
  <c r="N73" i="36"/>
  <c r="O67" i="36"/>
  <c r="O73" i="36"/>
  <c r="P67" i="36"/>
  <c r="P73" i="36"/>
  <c r="Q67" i="36"/>
  <c r="Q73" i="36"/>
  <c r="R67" i="36"/>
  <c r="R73" i="36"/>
  <c r="S67" i="36"/>
  <c r="S73" i="36"/>
  <c r="T67" i="36"/>
  <c r="T73" i="36"/>
  <c r="U67" i="36"/>
  <c r="U73" i="36"/>
  <c r="V67" i="36"/>
  <c r="V73" i="36"/>
  <c r="W67" i="36"/>
  <c r="W73" i="36"/>
  <c r="X67" i="36"/>
  <c r="X73" i="36"/>
  <c r="Y67" i="36"/>
  <c r="Y73" i="36"/>
  <c r="Z67" i="36"/>
  <c r="Z73" i="36"/>
  <c r="AD67" i="36"/>
  <c r="AD73" i="36"/>
  <c r="AE67" i="36"/>
  <c r="AE73" i="36"/>
  <c r="AF67" i="36"/>
  <c r="AF73" i="36"/>
  <c r="AG67" i="36"/>
  <c r="AG73" i="36"/>
  <c r="AH73" i="36"/>
  <c r="AI73" i="36"/>
  <c r="AJ73" i="36"/>
  <c r="AK73" i="36"/>
  <c r="AL73" i="36"/>
  <c r="AM73" i="36"/>
  <c r="AN73" i="36"/>
  <c r="J74" i="36"/>
  <c r="K74" i="36"/>
  <c r="L74" i="36"/>
  <c r="M74" i="36"/>
  <c r="N74" i="36"/>
  <c r="O74" i="36"/>
  <c r="P74" i="36"/>
  <c r="Q74" i="36"/>
  <c r="R74" i="36"/>
  <c r="S74" i="36"/>
  <c r="T74" i="36"/>
  <c r="U74" i="36"/>
  <c r="V74" i="36"/>
  <c r="W74" i="36"/>
  <c r="X74" i="36"/>
  <c r="Y74" i="36"/>
  <c r="Z74" i="36"/>
  <c r="AD74" i="36"/>
  <c r="AE74" i="36"/>
  <c r="AF74" i="36"/>
  <c r="AG74" i="36"/>
  <c r="AH74" i="36"/>
  <c r="AI74" i="36"/>
  <c r="AJ74" i="36"/>
  <c r="AK74" i="36"/>
  <c r="AL74" i="36"/>
  <c r="AM74" i="36"/>
  <c r="AN74" i="36"/>
  <c r="AA79" i="36"/>
  <c r="AA85" i="36"/>
  <c r="AA86" i="36"/>
  <c r="AB79" i="36"/>
  <c r="AB85" i="36"/>
  <c r="AB86" i="36"/>
  <c r="AC79" i="36"/>
  <c r="AC85" i="36"/>
  <c r="AC86" i="36"/>
  <c r="AH79" i="36"/>
  <c r="AI79" i="36"/>
  <c r="AJ79" i="36"/>
  <c r="AK79" i="36"/>
  <c r="AL79" i="36"/>
  <c r="AM79" i="36"/>
  <c r="AN79" i="36"/>
  <c r="J80" i="36"/>
  <c r="K80" i="36"/>
  <c r="L80" i="36"/>
  <c r="M80" i="36"/>
  <c r="N80" i="36"/>
  <c r="O80" i="36"/>
  <c r="P80" i="36"/>
  <c r="Q80" i="36"/>
  <c r="R80" i="36"/>
  <c r="S80" i="36"/>
  <c r="T80" i="36"/>
  <c r="U80" i="36"/>
  <c r="V80" i="36"/>
  <c r="X80" i="36"/>
  <c r="Y80" i="36"/>
  <c r="Z80" i="36"/>
  <c r="AA80" i="36"/>
  <c r="AB80" i="36"/>
  <c r="AC80" i="36"/>
  <c r="AD80" i="36"/>
  <c r="AE80" i="36"/>
  <c r="AF80" i="36"/>
  <c r="AG80" i="36"/>
  <c r="AH80" i="36"/>
  <c r="AI80" i="36"/>
  <c r="AJ80" i="36"/>
  <c r="AK80" i="36"/>
  <c r="AL80" i="36"/>
  <c r="AM80" i="36"/>
  <c r="AN80" i="36"/>
  <c r="J52" i="36"/>
  <c r="J59" i="36"/>
  <c r="K52" i="36"/>
  <c r="K59" i="36"/>
  <c r="L59" i="36"/>
  <c r="M52" i="36"/>
  <c r="M59" i="36"/>
  <c r="N52" i="36"/>
  <c r="N59" i="36"/>
  <c r="O52" i="36"/>
  <c r="O59" i="36"/>
  <c r="P59" i="36"/>
  <c r="Q52" i="36"/>
  <c r="Q59" i="36"/>
  <c r="R52" i="36"/>
  <c r="R59" i="36"/>
  <c r="S52" i="36"/>
  <c r="S59" i="36"/>
  <c r="T52" i="36"/>
  <c r="T59" i="36"/>
  <c r="U52" i="36"/>
  <c r="U59" i="36"/>
  <c r="V52" i="36"/>
  <c r="V59" i="36"/>
  <c r="W52" i="36"/>
  <c r="W59" i="36"/>
  <c r="X52" i="36"/>
  <c r="X59" i="36"/>
  <c r="Y52" i="36"/>
  <c r="Y59" i="36"/>
  <c r="Z52" i="36"/>
  <c r="Z59" i="36"/>
  <c r="AA52" i="36"/>
  <c r="AA59" i="36"/>
  <c r="AB52" i="36"/>
  <c r="AB59" i="36"/>
  <c r="AC52" i="36"/>
  <c r="AC59" i="36"/>
  <c r="AD59" i="36"/>
  <c r="AE52" i="36"/>
  <c r="AE59" i="36"/>
  <c r="AF52" i="36"/>
  <c r="AF59" i="36"/>
  <c r="AG59" i="36"/>
  <c r="AH52" i="36"/>
  <c r="AH59" i="36"/>
  <c r="AI52" i="36"/>
  <c r="AI59" i="36"/>
  <c r="AJ52" i="36"/>
  <c r="AJ59" i="36"/>
  <c r="AK52" i="36"/>
  <c r="AK59" i="36"/>
  <c r="AL52" i="36"/>
  <c r="AL59" i="36"/>
  <c r="AM52" i="36"/>
  <c r="AM59" i="36"/>
  <c r="AN52" i="36"/>
  <c r="AN59" i="36"/>
  <c r="J53" i="36"/>
  <c r="J60" i="36"/>
  <c r="K53" i="36"/>
  <c r="K60" i="36"/>
  <c r="L60" i="36"/>
  <c r="M53" i="36"/>
  <c r="M60" i="36"/>
  <c r="N53" i="36"/>
  <c r="N60" i="36"/>
  <c r="O53" i="36"/>
  <c r="O60" i="36"/>
  <c r="P60" i="36"/>
  <c r="Q53" i="36"/>
  <c r="Q60" i="36"/>
  <c r="R53" i="36"/>
  <c r="R60" i="36"/>
  <c r="S53" i="36"/>
  <c r="S60" i="36"/>
  <c r="T53" i="36"/>
  <c r="T60" i="36"/>
  <c r="U53" i="36"/>
  <c r="U60" i="36"/>
  <c r="V53" i="36"/>
  <c r="V60" i="36"/>
  <c r="W53" i="36"/>
  <c r="W60" i="36"/>
  <c r="X53" i="36"/>
  <c r="X60" i="36"/>
  <c r="Y53" i="36"/>
  <c r="Y60" i="36"/>
  <c r="Z53" i="36"/>
  <c r="Z60" i="36"/>
  <c r="AA53" i="36"/>
  <c r="AA60" i="36"/>
  <c r="AB53" i="36"/>
  <c r="AB60" i="36"/>
  <c r="AC53" i="36"/>
  <c r="AC60" i="36"/>
  <c r="AD60" i="36"/>
  <c r="AE53" i="36"/>
  <c r="AE60" i="36"/>
  <c r="AF53" i="36"/>
  <c r="AF60" i="36"/>
  <c r="AG60" i="36"/>
  <c r="AH53" i="36"/>
  <c r="AH60" i="36"/>
  <c r="AI53" i="36"/>
  <c r="AI60" i="36"/>
  <c r="AJ53" i="36"/>
  <c r="AJ60" i="36"/>
  <c r="AK53" i="36"/>
  <c r="AK60" i="36"/>
  <c r="AL53" i="36"/>
  <c r="AL60" i="36"/>
  <c r="AM53" i="36"/>
  <c r="AM60" i="36"/>
  <c r="AN53" i="36"/>
  <c r="AN60" i="36"/>
  <c r="J55" i="36"/>
  <c r="J61" i="36"/>
  <c r="K55" i="36"/>
  <c r="K61" i="36"/>
  <c r="L55" i="36"/>
  <c r="L61" i="36"/>
  <c r="M55" i="36"/>
  <c r="M61" i="36"/>
  <c r="N55" i="36"/>
  <c r="N61" i="36"/>
  <c r="O55" i="36"/>
  <c r="O61" i="36"/>
  <c r="P55" i="36"/>
  <c r="P61" i="36"/>
  <c r="Q55" i="36"/>
  <c r="Q61" i="36"/>
  <c r="R55" i="36"/>
  <c r="R61" i="36"/>
  <c r="S55" i="36"/>
  <c r="S61" i="36"/>
  <c r="T55" i="36"/>
  <c r="T61" i="36"/>
  <c r="U55" i="36"/>
  <c r="U61" i="36"/>
  <c r="V55" i="36"/>
  <c r="V61" i="36"/>
  <c r="W55" i="36"/>
  <c r="W61" i="36"/>
  <c r="X55" i="36"/>
  <c r="X61" i="36"/>
  <c r="Y55" i="36"/>
  <c r="Y61" i="36"/>
  <c r="Z55" i="36"/>
  <c r="Z61" i="36"/>
  <c r="AD55" i="36"/>
  <c r="AD61" i="36"/>
  <c r="AE55" i="36"/>
  <c r="AE61" i="36"/>
  <c r="AF55" i="36"/>
  <c r="AF61" i="36"/>
  <c r="AG55" i="36"/>
  <c r="AG61" i="36"/>
  <c r="AH61" i="36"/>
  <c r="AI61" i="36"/>
  <c r="AJ61" i="36"/>
  <c r="AK61" i="36"/>
  <c r="AL61" i="36"/>
  <c r="AM61" i="36"/>
  <c r="AN61" i="36"/>
  <c r="J62" i="36"/>
  <c r="K62" i="36"/>
  <c r="L62" i="36"/>
  <c r="M62" i="36"/>
  <c r="N62" i="36"/>
  <c r="O62" i="36"/>
  <c r="P62" i="36"/>
  <c r="Q62" i="36"/>
  <c r="R62" i="36"/>
  <c r="S62" i="36"/>
  <c r="T62" i="36"/>
  <c r="U62" i="36"/>
  <c r="V62" i="36"/>
  <c r="W62" i="36"/>
  <c r="X62" i="36"/>
  <c r="Y62" i="36"/>
  <c r="Z62" i="36"/>
  <c r="AD62" i="36"/>
  <c r="AE62" i="36"/>
  <c r="AF62" i="36"/>
  <c r="AG62" i="36"/>
  <c r="AH62" i="36"/>
  <c r="AI62" i="36"/>
  <c r="AJ62" i="36"/>
  <c r="AK62" i="36"/>
  <c r="AL62" i="36"/>
  <c r="AM62" i="36"/>
  <c r="AN62" i="36"/>
  <c r="AA67" i="36"/>
  <c r="AA73" i="36"/>
  <c r="AA74" i="36"/>
  <c r="AB67" i="36"/>
  <c r="AB73" i="36"/>
  <c r="AB74" i="36"/>
  <c r="AC67" i="36"/>
  <c r="AC73" i="36"/>
  <c r="AC74" i="36"/>
  <c r="AH67" i="36"/>
  <c r="AI67" i="36"/>
  <c r="AJ67" i="36"/>
  <c r="AK67" i="36"/>
  <c r="AL67" i="36"/>
  <c r="AM67" i="36"/>
  <c r="AN67" i="36"/>
  <c r="J68" i="36"/>
  <c r="K68" i="36"/>
  <c r="L68" i="36"/>
  <c r="M68" i="36"/>
  <c r="N68" i="36"/>
  <c r="O68" i="36"/>
  <c r="P68" i="36"/>
  <c r="Q68" i="36"/>
  <c r="R68" i="36"/>
  <c r="S68" i="36"/>
  <c r="T68" i="36"/>
  <c r="U68" i="36"/>
  <c r="V68" i="36"/>
  <c r="W68" i="36"/>
  <c r="X68" i="36"/>
  <c r="Y68" i="36"/>
  <c r="Z68" i="36"/>
  <c r="AA68" i="36"/>
  <c r="AB68" i="36"/>
  <c r="AC68" i="36"/>
  <c r="AD68" i="36"/>
  <c r="AE68" i="36"/>
  <c r="AF68" i="36"/>
  <c r="AG68" i="36"/>
  <c r="AH68" i="36"/>
  <c r="AI68" i="36"/>
  <c r="AJ68" i="36"/>
  <c r="AK68" i="36"/>
  <c r="AL68" i="36"/>
  <c r="AM68" i="36"/>
  <c r="AN68" i="36"/>
  <c r="J40" i="36"/>
  <c r="J47" i="36"/>
  <c r="K40" i="36"/>
  <c r="K47" i="36"/>
  <c r="L47" i="36"/>
  <c r="M40" i="36"/>
  <c r="M47" i="36"/>
  <c r="N40" i="36"/>
  <c r="N47" i="36"/>
  <c r="O40" i="36"/>
  <c r="O47" i="36"/>
  <c r="P47" i="36"/>
  <c r="Q40" i="36"/>
  <c r="Q47" i="36"/>
  <c r="R40" i="36"/>
  <c r="R47" i="36"/>
  <c r="S40" i="36"/>
  <c r="S47" i="36"/>
  <c r="T40" i="36"/>
  <c r="T47" i="36"/>
  <c r="U40" i="36"/>
  <c r="U47" i="36"/>
  <c r="V40" i="36"/>
  <c r="V47" i="36"/>
  <c r="W47" i="36"/>
  <c r="X40" i="36"/>
  <c r="X47" i="36"/>
  <c r="Y40" i="36"/>
  <c r="Y47" i="36"/>
  <c r="Z47" i="36"/>
  <c r="AA40" i="36"/>
  <c r="AA47" i="36"/>
  <c r="AB40" i="36"/>
  <c r="AB47" i="36"/>
  <c r="AC40" i="36"/>
  <c r="AC47" i="36"/>
  <c r="AD47" i="36"/>
  <c r="AE40" i="36"/>
  <c r="AE47" i="36"/>
  <c r="AF40" i="36"/>
  <c r="AF47" i="36"/>
  <c r="AG40" i="36"/>
  <c r="AG47" i="36"/>
  <c r="AH40" i="36"/>
  <c r="AH47" i="36"/>
  <c r="AI40" i="36"/>
  <c r="AI47" i="36"/>
  <c r="AJ40" i="36"/>
  <c r="AJ47" i="36"/>
  <c r="AK40" i="36"/>
  <c r="AK47" i="36"/>
  <c r="AL40" i="36"/>
  <c r="AL47" i="36"/>
  <c r="AM40" i="36"/>
  <c r="AM47" i="36"/>
  <c r="AN40" i="36"/>
  <c r="AN47" i="36"/>
  <c r="J41" i="36"/>
  <c r="J48" i="36"/>
  <c r="K41" i="36"/>
  <c r="K48" i="36"/>
  <c r="L41" i="36"/>
  <c r="L48" i="36"/>
  <c r="M41" i="36"/>
  <c r="M48" i="36"/>
  <c r="N41" i="36"/>
  <c r="N48" i="36"/>
  <c r="O41" i="36"/>
  <c r="O48" i="36"/>
  <c r="P48" i="36"/>
  <c r="Q41" i="36"/>
  <c r="Q48" i="36"/>
  <c r="R41" i="36"/>
  <c r="R48" i="36"/>
  <c r="S41" i="36"/>
  <c r="S48" i="36"/>
  <c r="T41" i="36"/>
  <c r="T48" i="36"/>
  <c r="U41" i="36"/>
  <c r="U48" i="36"/>
  <c r="V41" i="36"/>
  <c r="V48" i="36"/>
  <c r="W48" i="36"/>
  <c r="X41" i="36"/>
  <c r="X48" i="36"/>
  <c r="Y41" i="36"/>
  <c r="Y48" i="36"/>
  <c r="Z48" i="36"/>
  <c r="AA41" i="36"/>
  <c r="AA48" i="36"/>
  <c r="AB41" i="36"/>
  <c r="AB48" i="36"/>
  <c r="AC41" i="36"/>
  <c r="AC48" i="36"/>
  <c r="AD48" i="36"/>
  <c r="AE41" i="36"/>
  <c r="AE48" i="36"/>
  <c r="AF41" i="36"/>
  <c r="AF48" i="36"/>
  <c r="AG41" i="36"/>
  <c r="AG48" i="36"/>
  <c r="AH41" i="36"/>
  <c r="AH48" i="36"/>
  <c r="AI41" i="36"/>
  <c r="AI48" i="36"/>
  <c r="AJ41" i="36"/>
  <c r="AJ48" i="36"/>
  <c r="AK41" i="36"/>
  <c r="AK48" i="36"/>
  <c r="AL41" i="36"/>
  <c r="AL48" i="36"/>
  <c r="AM41" i="36"/>
  <c r="AM48" i="36"/>
  <c r="AN41" i="36"/>
  <c r="AN48" i="36"/>
  <c r="J43" i="36"/>
  <c r="J49" i="36"/>
  <c r="K43" i="36"/>
  <c r="K49" i="36"/>
  <c r="L43" i="36"/>
  <c r="L49" i="36"/>
  <c r="M43" i="36"/>
  <c r="M49" i="36"/>
  <c r="N43" i="36"/>
  <c r="N49" i="36"/>
  <c r="O43" i="36"/>
  <c r="O49" i="36"/>
  <c r="P43" i="36"/>
  <c r="P49" i="36"/>
  <c r="Q43" i="36"/>
  <c r="Q49" i="36"/>
  <c r="R43" i="36"/>
  <c r="R49" i="36"/>
  <c r="S43" i="36"/>
  <c r="S49" i="36"/>
  <c r="T43" i="36"/>
  <c r="T49" i="36"/>
  <c r="U43" i="36"/>
  <c r="U49" i="36"/>
  <c r="V43" i="36"/>
  <c r="V49" i="36"/>
  <c r="W43" i="36"/>
  <c r="W49" i="36"/>
  <c r="X43" i="36"/>
  <c r="X49" i="36"/>
  <c r="Y43" i="36"/>
  <c r="Y49" i="36"/>
  <c r="Z43" i="36"/>
  <c r="Z49" i="36"/>
  <c r="AD43" i="36"/>
  <c r="AD49" i="36"/>
  <c r="AE43" i="36"/>
  <c r="AE49" i="36"/>
  <c r="AF43" i="36"/>
  <c r="AF49" i="36"/>
  <c r="AG43" i="36"/>
  <c r="AG49" i="36"/>
  <c r="AH49" i="36"/>
  <c r="AI49" i="36"/>
  <c r="AJ49" i="36"/>
  <c r="AK49" i="36"/>
  <c r="AL49" i="36"/>
  <c r="AM49" i="36"/>
  <c r="AN49" i="36"/>
  <c r="J50" i="36"/>
  <c r="K50" i="36"/>
  <c r="L50" i="36"/>
  <c r="M50" i="36"/>
  <c r="N50" i="36"/>
  <c r="O50" i="36"/>
  <c r="P50" i="36"/>
  <c r="Q50" i="36"/>
  <c r="R50" i="36"/>
  <c r="S50" i="36"/>
  <c r="T50" i="36"/>
  <c r="U50" i="36"/>
  <c r="V50" i="36"/>
  <c r="W50" i="36"/>
  <c r="X50" i="36"/>
  <c r="Y50" i="36"/>
  <c r="Z50" i="36"/>
  <c r="AD50" i="36"/>
  <c r="AE50" i="36"/>
  <c r="AF50" i="36"/>
  <c r="AG50" i="36"/>
  <c r="AH50" i="36"/>
  <c r="AI50" i="36"/>
  <c r="AJ50" i="36"/>
  <c r="AK50" i="36"/>
  <c r="AL50" i="36"/>
  <c r="AM50" i="36"/>
  <c r="AN50" i="36"/>
  <c r="AA55" i="36"/>
  <c r="AA61" i="36"/>
  <c r="AA62" i="36"/>
  <c r="AB55" i="36"/>
  <c r="AB61" i="36"/>
  <c r="AB62" i="36"/>
  <c r="AC55" i="36"/>
  <c r="AC61" i="36"/>
  <c r="AC62" i="36"/>
  <c r="AH55" i="36"/>
  <c r="AI55" i="36"/>
  <c r="AJ55" i="36"/>
  <c r="AK55" i="36"/>
  <c r="AL55" i="36"/>
  <c r="AM55" i="36"/>
  <c r="AN55" i="36"/>
  <c r="J56" i="36"/>
  <c r="K56" i="36"/>
  <c r="L56" i="36"/>
  <c r="M56" i="36"/>
  <c r="N56" i="36"/>
  <c r="O56" i="36"/>
  <c r="P56" i="36"/>
  <c r="Q56" i="36"/>
  <c r="R56" i="36"/>
  <c r="S56" i="36"/>
  <c r="T56" i="36"/>
  <c r="U56" i="36"/>
  <c r="V56" i="36"/>
  <c r="W56" i="36"/>
  <c r="X56" i="36"/>
  <c r="Y56" i="36"/>
  <c r="Z56" i="36"/>
  <c r="AA56" i="36"/>
  <c r="AB56" i="36"/>
  <c r="AC56" i="36"/>
  <c r="AD56" i="36"/>
  <c r="AE56" i="36"/>
  <c r="AF56" i="36"/>
  <c r="AG56" i="36"/>
  <c r="AH56" i="36"/>
  <c r="AI56" i="36"/>
  <c r="AJ56" i="36"/>
  <c r="AK56" i="36"/>
  <c r="AL56" i="36"/>
  <c r="AM56" i="36"/>
  <c r="AN56" i="36"/>
  <c r="J28" i="36"/>
  <c r="J35" i="36"/>
  <c r="K28" i="36"/>
  <c r="K35" i="36"/>
  <c r="L35" i="36"/>
  <c r="M28" i="36"/>
  <c r="M35" i="36"/>
  <c r="N28" i="36"/>
  <c r="N35" i="36"/>
  <c r="O28" i="36"/>
  <c r="O35" i="36"/>
  <c r="P28" i="36"/>
  <c r="P35" i="36"/>
  <c r="Q28" i="36"/>
  <c r="Q35" i="36"/>
  <c r="R28" i="36"/>
  <c r="R35" i="36"/>
  <c r="S35" i="36"/>
  <c r="T28" i="36"/>
  <c r="T35" i="36"/>
  <c r="U28" i="36"/>
  <c r="U35" i="36"/>
  <c r="V28" i="36"/>
  <c r="V35" i="36"/>
  <c r="W35" i="36"/>
  <c r="X28" i="36"/>
  <c r="X35" i="36"/>
  <c r="Y28" i="36"/>
  <c r="Y35" i="36"/>
  <c r="Z35" i="36"/>
  <c r="AA28" i="36"/>
  <c r="AA35" i="36"/>
  <c r="AB28" i="36"/>
  <c r="AB35" i="36"/>
  <c r="AC28" i="36"/>
  <c r="AC35" i="36"/>
  <c r="AD35" i="36"/>
  <c r="AE28" i="36"/>
  <c r="AE35" i="36"/>
  <c r="AF28" i="36"/>
  <c r="AF35" i="36"/>
  <c r="AG35" i="36"/>
  <c r="AH28" i="36"/>
  <c r="AH35" i="36"/>
  <c r="AI28" i="36"/>
  <c r="AI35" i="36"/>
  <c r="AJ28" i="36"/>
  <c r="AJ35" i="36"/>
  <c r="AK28" i="36"/>
  <c r="AK35" i="36"/>
  <c r="AL28" i="36"/>
  <c r="AL35" i="36"/>
  <c r="AM28" i="36"/>
  <c r="AM35" i="36"/>
  <c r="AN28" i="36"/>
  <c r="AN35" i="36"/>
  <c r="J29" i="36"/>
  <c r="J36" i="36"/>
  <c r="K29" i="36"/>
  <c r="K36" i="36"/>
  <c r="L36" i="36"/>
  <c r="M29" i="36"/>
  <c r="M36" i="36"/>
  <c r="N29" i="36"/>
  <c r="N36" i="36"/>
  <c r="O29" i="36"/>
  <c r="O36" i="36"/>
  <c r="P29" i="36"/>
  <c r="P36" i="36"/>
  <c r="Q29" i="36"/>
  <c r="Q36" i="36"/>
  <c r="R29" i="36"/>
  <c r="R36" i="36"/>
  <c r="S36" i="36"/>
  <c r="T29" i="36"/>
  <c r="T36" i="36"/>
  <c r="U29" i="36"/>
  <c r="U36" i="36"/>
  <c r="V29" i="36"/>
  <c r="V36" i="36"/>
  <c r="W29" i="36"/>
  <c r="W36" i="36"/>
  <c r="X29" i="36"/>
  <c r="X36" i="36"/>
  <c r="Y29" i="36"/>
  <c r="Y36" i="36"/>
  <c r="Z36" i="36"/>
  <c r="AA29" i="36"/>
  <c r="AA36" i="36"/>
  <c r="AB29" i="36"/>
  <c r="AB36" i="36"/>
  <c r="AC29" i="36"/>
  <c r="AC36" i="36"/>
  <c r="AD36" i="36"/>
  <c r="AE29" i="36"/>
  <c r="AE36" i="36"/>
  <c r="AF29" i="36"/>
  <c r="AF36" i="36"/>
  <c r="AG36" i="36"/>
  <c r="AH29" i="36"/>
  <c r="AH36" i="36"/>
  <c r="AI29" i="36"/>
  <c r="AI36" i="36"/>
  <c r="AJ29" i="36"/>
  <c r="AJ36" i="36"/>
  <c r="AK29" i="36"/>
  <c r="AK36" i="36"/>
  <c r="AL29" i="36"/>
  <c r="AL36" i="36"/>
  <c r="AM29" i="36"/>
  <c r="AM36" i="36"/>
  <c r="AN29" i="36"/>
  <c r="AN36" i="36"/>
  <c r="J31" i="36"/>
  <c r="J37" i="36"/>
  <c r="K31" i="36"/>
  <c r="K37" i="36"/>
  <c r="L31" i="36"/>
  <c r="L37" i="36"/>
  <c r="M31" i="36"/>
  <c r="M37" i="36"/>
  <c r="N31" i="36"/>
  <c r="N37" i="36"/>
  <c r="O31" i="36"/>
  <c r="O37" i="36"/>
  <c r="P31" i="36"/>
  <c r="P37" i="36"/>
  <c r="Q31" i="36"/>
  <c r="Q37" i="36"/>
  <c r="R31" i="36"/>
  <c r="R37" i="36"/>
  <c r="S31" i="36"/>
  <c r="S37" i="36"/>
  <c r="T31" i="36"/>
  <c r="T37" i="36"/>
  <c r="U31" i="36"/>
  <c r="U37" i="36"/>
  <c r="V31" i="36"/>
  <c r="V37" i="36"/>
  <c r="W31" i="36"/>
  <c r="W37" i="36"/>
  <c r="X31" i="36"/>
  <c r="X37" i="36"/>
  <c r="Y31" i="36"/>
  <c r="Y37" i="36"/>
  <c r="Z31" i="36"/>
  <c r="Z37" i="36"/>
  <c r="AD31" i="36"/>
  <c r="AD37" i="36"/>
  <c r="AE31" i="36"/>
  <c r="AE37" i="36"/>
  <c r="AF31" i="36"/>
  <c r="AF37" i="36"/>
  <c r="AG31" i="36"/>
  <c r="AG37" i="36"/>
  <c r="AH37" i="36"/>
  <c r="AI37" i="36"/>
  <c r="AJ37" i="36"/>
  <c r="AK37" i="36"/>
  <c r="AL37" i="36"/>
  <c r="AM37" i="36"/>
  <c r="AN37" i="36"/>
  <c r="J38" i="36"/>
  <c r="K38" i="36"/>
  <c r="L38" i="36"/>
  <c r="M38" i="36"/>
  <c r="N38" i="36"/>
  <c r="O38" i="36"/>
  <c r="P38" i="36"/>
  <c r="Q38" i="36"/>
  <c r="R38" i="36"/>
  <c r="S38" i="36"/>
  <c r="T38" i="36"/>
  <c r="U38" i="36"/>
  <c r="V38" i="36"/>
  <c r="W38" i="36"/>
  <c r="X38" i="36"/>
  <c r="Y38" i="36"/>
  <c r="Z38" i="36"/>
  <c r="AD38" i="36"/>
  <c r="AE38" i="36"/>
  <c r="AF38" i="36"/>
  <c r="AG38" i="36"/>
  <c r="AH38" i="36"/>
  <c r="AI38" i="36"/>
  <c r="AJ38" i="36"/>
  <c r="AK38" i="36"/>
  <c r="AL38" i="36"/>
  <c r="AM38" i="36"/>
  <c r="AN38" i="36"/>
  <c r="AA43" i="36"/>
  <c r="AA49" i="36"/>
  <c r="AA50" i="36"/>
  <c r="AB43" i="36"/>
  <c r="AB49" i="36"/>
  <c r="AB50" i="36"/>
  <c r="AC43" i="36"/>
  <c r="AC49" i="36"/>
  <c r="AC50" i="36"/>
  <c r="AH43" i="36"/>
  <c r="AI43" i="36"/>
  <c r="AJ43" i="36"/>
  <c r="AK43" i="36"/>
  <c r="AL43" i="36"/>
  <c r="AM43" i="36"/>
  <c r="AN43" i="36"/>
  <c r="J44" i="36"/>
  <c r="K44" i="36"/>
  <c r="L44" i="36"/>
  <c r="M44" i="36"/>
  <c r="N44" i="36"/>
  <c r="O44" i="36"/>
  <c r="P44" i="36"/>
  <c r="Q44" i="36"/>
  <c r="R44" i="36"/>
  <c r="S44" i="36"/>
  <c r="T44" i="36"/>
  <c r="U44" i="36"/>
  <c r="V44" i="36"/>
  <c r="W44" i="36"/>
  <c r="X44" i="36"/>
  <c r="Y44" i="36"/>
  <c r="Z44" i="36"/>
  <c r="AA44" i="36"/>
  <c r="AB44" i="36"/>
  <c r="AC44" i="36"/>
  <c r="AD44" i="36"/>
  <c r="AE44" i="36"/>
  <c r="AF44" i="36"/>
  <c r="AG44" i="36"/>
  <c r="AH44" i="36"/>
  <c r="AI44" i="36"/>
  <c r="AJ44" i="36"/>
  <c r="AK44" i="36"/>
  <c r="AL44" i="36"/>
  <c r="AM44" i="36"/>
  <c r="AN44" i="36"/>
  <c r="J16" i="36"/>
  <c r="J23" i="36"/>
  <c r="K16" i="36"/>
  <c r="K23" i="36"/>
  <c r="L23" i="36"/>
  <c r="M16" i="36"/>
  <c r="M23" i="36"/>
  <c r="N16" i="36"/>
  <c r="N23" i="36"/>
  <c r="O16" i="36"/>
  <c r="O23" i="36"/>
  <c r="P23" i="36"/>
  <c r="Q16" i="36"/>
  <c r="Q23" i="36"/>
  <c r="R16" i="36"/>
  <c r="R23" i="36"/>
  <c r="S16" i="36"/>
  <c r="S23" i="36"/>
  <c r="T16" i="36"/>
  <c r="T23" i="36"/>
  <c r="U16" i="36"/>
  <c r="U23" i="36"/>
  <c r="V16" i="36"/>
  <c r="V23" i="36"/>
  <c r="W23" i="36"/>
  <c r="X16" i="36"/>
  <c r="X23" i="36"/>
  <c r="Y16" i="36"/>
  <c r="Y23" i="36"/>
  <c r="Z23" i="36"/>
  <c r="AA16" i="36"/>
  <c r="AA23" i="36"/>
  <c r="AB16" i="36"/>
  <c r="AB23" i="36"/>
  <c r="AC16" i="36"/>
  <c r="AC23" i="36"/>
  <c r="AD23" i="36"/>
  <c r="AE16" i="36"/>
  <c r="AE23" i="36"/>
  <c r="AF16" i="36"/>
  <c r="AF23" i="36"/>
  <c r="AG23" i="36"/>
  <c r="AH16" i="36"/>
  <c r="AH23" i="36"/>
  <c r="AI16" i="36"/>
  <c r="AI23" i="36"/>
  <c r="AJ16" i="36"/>
  <c r="AJ23" i="36"/>
  <c r="AK16" i="36"/>
  <c r="AK23" i="36"/>
  <c r="AL16" i="36"/>
  <c r="AL23" i="36"/>
  <c r="AM16" i="36"/>
  <c r="AM23" i="36"/>
  <c r="AN16" i="36"/>
  <c r="AN23" i="36"/>
  <c r="J17" i="36"/>
  <c r="J24" i="36"/>
  <c r="K17" i="36"/>
  <c r="K24" i="36"/>
  <c r="L24" i="36"/>
  <c r="M17" i="36"/>
  <c r="M24" i="36"/>
  <c r="N17" i="36"/>
  <c r="N24" i="36"/>
  <c r="O17" i="36"/>
  <c r="O24" i="36"/>
  <c r="P24" i="36"/>
  <c r="Q17" i="36"/>
  <c r="Q24" i="36"/>
  <c r="R17" i="36"/>
  <c r="R24" i="36"/>
  <c r="S17" i="36"/>
  <c r="S24" i="36"/>
  <c r="T17" i="36"/>
  <c r="T24" i="36"/>
  <c r="U17" i="36"/>
  <c r="U24" i="36"/>
  <c r="V17" i="36"/>
  <c r="V24" i="36"/>
  <c r="W24" i="36"/>
  <c r="X17" i="36"/>
  <c r="X24" i="36"/>
  <c r="Y17" i="36"/>
  <c r="Y24" i="36"/>
  <c r="Z24" i="36"/>
  <c r="AA17" i="36"/>
  <c r="AA24" i="36"/>
  <c r="AB17" i="36"/>
  <c r="AB24" i="36"/>
  <c r="AC17" i="36"/>
  <c r="AC24" i="36"/>
  <c r="AD24" i="36"/>
  <c r="AE17" i="36"/>
  <c r="AE24" i="36"/>
  <c r="AF17" i="36"/>
  <c r="AF24" i="36"/>
  <c r="AG24" i="36"/>
  <c r="AH17" i="36"/>
  <c r="AH24" i="36"/>
  <c r="AI17" i="36"/>
  <c r="AI24" i="36"/>
  <c r="AJ17" i="36"/>
  <c r="AJ24" i="36"/>
  <c r="AK17" i="36"/>
  <c r="AK24" i="36"/>
  <c r="AL17" i="36"/>
  <c r="AL24" i="36"/>
  <c r="AM17" i="36"/>
  <c r="AM24" i="36"/>
  <c r="AN17" i="36"/>
  <c r="AN24" i="36"/>
  <c r="J19" i="36"/>
  <c r="J25" i="36"/>
  <c r="K19" i="36"/>
  <c r="K25" i="36"/>
  <c r="L19" i="36"/>
  <c r="L25" i="36"/>
  <c r="M19" i="36"/>
  <c r="M25" i="36"/>
  <c r="N19" i="36"/>
  <c r="N25" i="36"/>
  <c r="O19" i="36"/>
  <c r="O25" i="36"/>
  <c r="P19" i="36"/>
  <c r="P25" i="36"/>
  <c r="Q19" i="36"/>
  <c r="Q25" i="36"/>
  <c r="R19" i="36"/>
  <c r="R25" i="36"/>
  <c r="S19" i="36"/>
  <c r="S25" i="36"/>
  <c r="T19" i="36"/>
  <c r="T25" i="36"/>
  <c r="U19" i="36"/>
  <c r="U25" i="36"/>
  <c r="V19" i="36"/>
  <c r="V25" i="36"/>
  <c r="W19" i="36"/>
  <c r="W25" i="36"/>
  <c r="X19" i="36"/>
  <c r="X25" i="36"/>
  <c r="Y19" i="36"/>
  <c r="Y25" i="36"/>
  <c r="Z19" i="36"/>
  <c r="Z25" i="36"/>
  <c r="AD19" i="36"/>
  <c r="AD25" i="36"/>
  <c r="AE19" i="36"/>
  <c r="AE25" i="36"/>
  <c r="AF19" i="36"/>
  <c r="AF25" i="36"/>
  <c r="AG19" i="36"/>
  <c r="AG25" i="36"/>
  <c r="AH25" i="36"/>
  <c r="AI25" i="36"/>
  <c r="AJ25" i="36"/>
  <c r="AK25" i="36"/>
  <c r="AL25" i="36"/>
  <c r="AM25" i="36"/>
  <c r="AN25" i="36"/>
  <c r="J26" i="36"/>
  <c r="K26" i="36"/>
  <c r="L26" i="36"/>
  <c r="M26" i="36"/>
  <c r="N26" i="36"/>
  <c r="O26" i="36"/>
  <c r="P26" i="36"/>
  <c r="Q26" i="36"/>
  <c r="R26" i="36"/>
  <c r="S26" i="36"/>
  <c r="T26" i="36"/>
  <c r="U26" i="36"/>
  <c r="V26" i="36"/>
  <c r="W26" i="36"/>
  <c r="X26" i="36"/>
  <c r="Y26" i="36"/>
  <c r="Z26" i="36"/>
  <c r="AD26" i="36"/>
  <c r="AE26" i="36"/>
  <c r="AF26" i="36"/>
  <c r="AG26" i="36"/>
  <c r="AH26" i="36"/>
  <c r="AI26" i="36"/>
  <c r="AJ26" i="36"/>
  <c r="AK26" i="36"/>
  <c r="AL26" i="36"/>
  <c r="AM26" i="36"/>
  <c r="AN26" i="36"/>
  <c r="AA31" i="36"/>
  <c r="AA37" i="36"/>
  <c r="AA38" i="36"/>
  <c r="AB31" i="36"/>
  <c r="AB37" i="36"/>
  <c r="AB38" i="36"/>
  <c r="AC31" i="36"/>
  <c r="AC37" i="36"/>
  <c r="AC38" i="36"/>
  <c r="AH31" i="36"/>
  <c r="AI31" i="36"/>
  <c r="AJ31" i="36"/>
  <c r="AK31" i="36"/>
  <c r="AL31" i="36"/>
  <c r="AM31" i="36"/>
  <c r="AN31" i="36"/>
  <c r="J32" i="36"/>
  <c r="K32" i="36"/>
  <c r="M32" i="36"/>
  <c r="N32" i="36"/>
  <c r="O32" i="36"/>
  <c r="P32" i="36"/>
  <c r="Q32" i="36"/>
  <c r="R32" i="36"/>
  <c r="S32" i="36"/>
  <c r="T32" i="36"/>
  <c r="U32" i="36"/>
  <c r="V32" i="36"/>
  <c r="W32" i="36"/>
  <c r="X32" i="36"/>
  <c r="Y32" i="36"/>
  <c r="Z32" i="36"/>
  <c r="AA32" i="36"/>
  <c r="AB32" i="36"/>
  <c r="AD32" i="36"/>
  <c r="AE32" i="36"/>
  <c r="AF32" i="36"/>
  <c r="AG32" i="36"/>
  <c r="AH32" i="36"/>
  <c r="AI32" i="36"/>
  <c r="AJ32" i="36"/>
  <c r="AK32" i="36"/>
  <c r="AL32" i="36"/>
  <c r="AM32" i="36"/>
  <c r="AN32" i="36"/>
  <c r="J4" i="36"/>
  <c r="J11" i="36"/>
  <c r="K4" i="36"/>
  <c r="K11" i="36"/>
  <c r="L11" i="36"/>
  <c r="M4" i="36"/>
  <c r="M11" i="36"/>
  <c r="N4" i="36"/>
  <c r="N11" i="36"/>
  <c r="O4" i="36"/>
  <c r="O11" i="36"/>
  <c r="P4" i="36"/>
  <c r="P11" i="36"/>
  <c r="Q4" i="36"/>
  <c r="Q11" i="36"/>
  <c r="R4" i="36"/>
  <c r="R11" i="36"/>
  <c r="S11" i="36"/>
  <c r="T4" i="36"/>
  <c r="T11" i="36"/>
  <c r="U4" i="36"/>
  <c r="U11" i="36"/>
  <c r="V4" i="36"/>
  <c r="V11" i="36"/>
  <c r="W11" i="36"/>
  <c r="X4" i="36"/>
  <c r="X11" i="36"/>
  <c r="Y4" i="36"/>
  <c r="Y11" i="36"/>
  <c r="Z11" i="36"/>
  <c r="AA4" i="36"/>
  <c r="AA11" i="36"/>
  <c r="AB4" i="36"/>
  <c r="AB11" i="36"/>
  <c r="AC4" i="36"/>
  <c r="AC11" i="36"/>
  <c r="AD11" i="36"/>
  <c r="AE4" i="36"/>
  <c r="AE11" i="36"/>
  <c r="AF4" i="36"/>
  <c r="AF11" i="36"/>
  <c r="AG11" i="36"/>
  <c r="AH4" i="36"/>
  <c r="AH11" i="36"/>
  <c r="AI4" i="36"/>
  <c r="AI11" i="36"/>
  <c r="AJ4" i="36"/>
  <c r="AJ11" i="36"/>
  <c r="AK4" i="36"/>
  <c r="AK11" i="36"/>
  <c r="AL4" i="36"/>
  <c r="AL11" i="36"/>
  <c r="AM4" i="36"/>
  <c r="AM11" i="36"/>
  <c r="AN4" i="36"/>
  <c r="AN11" i="36"/>
  <c r="J5" i="36"/>
  <c r="J12" i="36"/>
  <c r="K5" i="36"/>
  <c r="K12" i="36"/>
  <c r="L12" i="36"/>
  <c r="M5" i="36"/>
  <c r="M12" i="36"/>
  <c r="N5" i="36"/>
  <c r="N12" i="36"/>
  <c r="O5" i="36"/>
  <c r="O12" i="36"/>
  <c r="P5" i="36"/>
  <c r="P12" i="36"/>
  <c r="Q5" i="36"/>
  <c r="Q12" i="36"/>
  <c r="R5" i="36"/>
  <c r="R12" i="36"/>
  <c r="S12" i="36"/>
  <c r="T5" i="36"/>
  <c r="T12" i="36"/>
  <c r="U5" i="36"/>
  <c r="U12" i="36"/>
  <c r="V5" i="36"/>
  <c r="V12" i="36"/>
  <c r="W12" i="36"/>
  <c r="X5" i="36"/>
  <c r="X12" i="36"/>
  <c r="Y5" i="36"/>
  <c r="Y12" i="36"/>
  <c r="Z12" i="36"/>
  <c r="AA5" i="36"/>
  <c r="AA12" i="36"/>
  <c r="AB5" i="36"/>
  <c r="AB12" i="36"/>
  <c r="AC5" i="36"/>
  <c r="AC12" i="36"/>
  <c r="AD12" i="36"/>
  <c r="AE5" i="36"/>
  <c r="AE12" i="36"/>
  <c r="AF5" i="36"/>
  <c r="AF12" i="36"/>
  <c r="AG12" i="36"/>
  <c r="AH5" i="36"/>
  <c r="AH12" i="36"/>
  <c r="AI5" i="36"/>
  <c r="AI12" i="36"/>
  <c r="AJ5" i="36"/>
  <c r="AJ12" i="36"/>
  <c r="AK5" i="36"/>
  <c r="AK12" i="36"/>
  <c r="AL5" i="36"/>
  <c r="AL12" i="36"/>
  <c r="AM5" i="36"/>
  <c r="AM12" i="36"/>
  <c r="AN5" i="36"/>
  <c r="AN12" i="36"/>
  <c r="I7" i="36"/>
  <c r="J7" i="36"/>
  <c r="J13" i="36"/>
  <c r="K7" i="36"/>
  <c r="K13" i="36"/>
  <c r="L7" i="36"/>
  <c r="L13" i="36"/>
  <c r="M7" i="36"/>
  <c r="M13" i="36"/>
  <c r="N7" i="36"/>
  <c r="N13" i="36"/>
  <c r="O7" i="36"/>
  <c r="O13" i="36"/>
  <c r="P7" i="36"/>
  <c r="P13" i="36"/>
  <c r="Q7" i="36"/>
  <c r="Q13" i="36"/>
  <c r="R7" i="36"/>
  <c r="R13" i="36"/>
  <c r="S7" i="36"/>
  <c r="S13" i="36"/>
  <c r="T7" i="36"/>
  <c r="T13" i="36"/>
  <c r="U7" i="36"/>
  <c r="U13" i="36"/>
  <c r="V7" i="36"/>
  <c r="V13" i="36"/>
  <c r="W7" i="36"/>
  <c r="W13" i="36"/>
  <c r="X7" i="36"/>
  <c r="X13" i="36"/>
  <c r="Y7" i="36"/>
  <c r="Y13" i="36"/>
  <c r="Z7" i="36"/>
  <c r="Z13" i="36"/>
  <c r="AD7" i="36"/>
  <c r="AD13" i="36"/>
  <c r="AE7" i="36"/>
  <c r="AE13" i="36"/>
  <c r="AF7" i="36"/>
  <c r="AF13" i="36"/>
  <c r="AG7" i="36"/>
  <c r="AG13" i="36"/>
  <c r="AH13" i="36"/>
  <c r="AI13" i="36"/>
  <c r="AJ13" i="36"/>
  <c r="AK13" i="36"/>
  <c r="AL13" i="36"/>
  <c r="AM13" i="36"/>
  <c r="AN13" i="36"/>
  <c r="J14" i="36"/>
  <c r="K14" i="36"/>
  <c r="L14" i="36"/>
  <c r="M14" i="36"/>
  <c r="N14" i="36"/>
  <c r="O14" i="36"/>
  <c r="P14" i="36"/>
  <c r="Q14" i="36"/>
  <c r="R14" i="36"/>
  <c r="S14" i="36"/>
  <c r="T14" i="36"/>
  <c r="U14" i="36"/>
  <c r="V14" i="36"/>
  <c r="W14" i="36"/>
  <c r="X14" i="36"/>
  <c r="Y14" i="36"/>
  <c r="Z14" i="36"/>
  <c r="AD14" i="36"/>
  <c r="AE14" i="36"/>
  <c r="AF14" i="36"/>
  <c r="AG14" i="36"/>
  <c r="AH14" i="36"/>
  <c r="AI14" i="36"/>
  <c r="AJ14" i="36"/>
  <c r="AK14" i="36"/>
  <c r="AL14" i="36"/>
  <c r="AM14" i="36"/>
  <c r="AN14" i="36"/>
  <c r="AA19" i="36"/>
  <c r="AA25" i="36"/>
  <c r="AA26" i="36"/>
  <c r="AB19" i="36"/>
  <c r="AB25" i="36"/>
  <c r="AB26" i="36"/>
  <c r="AC19" i="36"/>
  <c r="AC25" i="36"/>
  <c r="AC26" i="36"/>
  <c r="AH19" i="36"/>
  <c r="AI19" i="36"/>
  <c r="AJ19" i="36"/>
  <c r="AK19" i="36"/>
  <c r="AL19" i="36"/>
  <c r="AM19" i="36"/>
  <c r="AN19" i="36"/>
  <c r="J20" i="36"/>
  <c r="K20" i="36"/>
  <c r="L20" i="36"/>
  <c r="M20" i="36"/>
  <c r="N20" i="36"/>
  <c r="O20" i="36"/>
  <c r="P20" i="36"/>
  <c r="Q20" i="36"/>
  <c r="R20" i="36"/>
  <c r="S20" i="36"/>
  <c r="T20" i="36"/>
  <c r="U20" i="36"/>
  <c r="V20" i="36"/>
  <c r="W20" i="36"/>
  <c r="X20" i="36"/>
  <c r="Y20" i="36"/>
  <c r="Z20" i="36"/>
  <c r="AA20" i="36"/>
  <c r="AB20" i="36"/>
  <c r="AC20" i="36"/>
  <c r="AD20" i="36"/>
  <c r="AE20" i="36"/>
  <c r="AF20" i="36"/>
  <c r="AG20" i="36"/>
  <c r="AH20" i="36"/>
  <c r="AI20" i="36"/>
  <c r="AJ20" i="36"/>
  <c r="AK20" i="36"/>
  <c r="AL20" i="36"/>
  <c r="AM20" i="36"/>
  <c r="AN20" i="36"/>
  <c r="D1" i="36"/>
  <c r="E1" i="36"/>
  <c r="F1" i="36"/>
  <c r="G1" i="36"/>
  <c r="H1" i="36"/>
  <c r="I1" i="36"/>
  <c r="J1" i="36"/>
  <c r="K1" i="36"/>
  <c r="L1" i="36"/>
  <c r="M1" i="36"/>
  <c r="N1" i="36"/>
  <c r="O1" i="36"/>
  <c r="P1" i="36"/>
  <c r="Q1" i="36"/>
  <c r="R1" i="36"/>
  <c r="S1" i="36"/>
  <c r="T1" i="36"/>
  <c r="U1" i="36"/>
  <c r="V1" i="36"/>
  <c r="W1" i="36"/>
  <c r="X1" i="36"/>
  <c r="Y1" i="36"/>
  <c r="Z1" i="36"/>
  <c r="AA1" i="36"/>
  <c r="AB1" i="36"/>
  <c r="AC1" i="36"/>
  <c r="AD1" i="36"/>
  <c r="AE1" i="36"/>
  <c r="AF1" i="36"/>
  <c r="AG1" i="36"/>
  <c r="AH1" i="36"/>
  <c r="AI1" i="36"/>
  <c r="AJ1" i="36"/>
  <c r="AK1" i="36"/>
  <c r="AL1" i="36"/>
  <c r="AM1" i="36"/>
  <c r="AN1" i="36"/>
  <c r="J2" i="36"/>
  <c r="K2" i="36"/>
  <c r="L2" i="36"/>
  <c r="M2" i="36"/>
  <c r="N2" i="36"/>
  <c r="O2" i="36"/>
  <c r="P2" i="36"/>
  <c r="Q2" i="36"/>
  <c r="R2" i="36"/>
  <c r="S2" i="36"/>
  <c r="T2" i="36"/>
  <c r="U2" i="36"/>
  <c r="V2" i="36"/>
  <c r="W2" i="36"/>
  <c r="X2" i="36"/>
  <c r="Y2" i="36"/>
  <c r="Z2" i="36"/>
  <c r="AA2" i="36"/>
  <c r="AB2" i="36"/>
  <c r="AC2" i="36"/>
  <c r="AD2" i="36"/>
  <c r="AE2" i="36"/>
  <c r="AF2" i="36"/>
  <c r="AG2" i="36"/>
  <c r="AH2" i="36"/>
  <c r="AI2" i="36"/>
  <c r="AJ2" i="36"/>
  <c r="AK2" i="36"/>
  <c r="AL2" i="36"/>
  <c r="AM2" i="36"/>
  <c r="AN2" i="36"/>
  <c r="AA7" i="36"/>
  <c r="AA13" i="36"/>
  <c r="AA14" i="36"/>
  <c r="AB7" i="36"/>
  <c r="AB13" i="36"/>
  <c r="AB14" i="36"/>
  <c r="AC7" i="36"/>
  <c r="AC13" i="36"/>
  <c r="AC14" i="36"/>
  <c r="AH7" i="36"/>
  <c r="AI7" i="36"/>
  <c r="AJ7" i="36"/>
  <c r="AK7" i="36"/>
  <c r="AL7" i="36"/>
  <c r="AM7" i="36"/>
  <c r="AN7" i="36"/>
  <c r="I8" i="36"/>
  <c r="J8" i="36"/>
  <c r="K8" i="36"/>
  <c r="L8" i="36"/>
  <c r="M8" i="36"/>
  <c r="N8" i="36"/>
  <c r="O8" i="36"/>
  <c r="P8" i="36"/>
  <c r="Q8" i="36"/>
  <c r="R8" i="36"/>
  <c r="S8" i="36"/>
  <c r="T8" i="36"/>
  <c r="U8" i="36"/>
  <c r="V8" i="36"/>
  <c r="W8" i="36"/>
  <c r="X8" i="36"/>
  <c r="Y8" i="36"/>
  <c r="Z8" i="36"/>
  <c r="AA8" i="36"/>
  <c r="AB8" i="36"/>
  <c r="AC8" i="36"/>
  <c r="AD8" i="36"/>
  <c r="AE8" i="36"/>
  <c r="AF8" i="36"/>
  <c r="AG8" i="36"/>
  <c r="AH8" i="36"/>
  <c r="AI8" i="36"/>
  <c r="AJ8" i="36"/>
  <c r="AK8" i="36"/>
  <c r="AL8" i="36"/>
  <c r="AM8" i="36"/>
  <c r="AN8" i="36"/>
  <c r="D88" i="36"/>
  <c r="D95" i="36"/>
  <c r="E88" i="36"/>
  <c r="E95" i="36"/>
  <c r="F88" i="36"/>
  <c r="F95" i="36"/>
  <c r="G88" i="36"/>
  <c r="G95" i="36"/>
  <c r="H88" i="36"/>
  <c r="H95" i="36"/>
  <c r="I95" i="36"/>
  <c r="D89" i="36"/>
  <c r="D96" i="36"/>
  <c r="E89" i="36"/>
  <c r="E96" i="36"/>
  <c r="F89" i="36"/>
  <c r="F96" i="36"/>
  <c r="G89" i="36"/>
  <c r="G96" i="36"/>
  <c r="H89" i="36"/>
  <c r="H96" i="36"/>
  <c r="I96" i="36"/>
  <c r="D91" i="36"/>
  <c r="D97" i="36"/>
  <c r="E91" i="36"/>
  <c r="E97" i="36"/>
  <c r="F91" i="36"/>
  <c r="F97" i="36"/>
  <c r="G91" i="36"/>
  <c r="G97" i="36"/>
  <c r="H91" i="36"/>
  <c r="H97" i="36"/>
  <c r="I91" i="36"/>
  <c r="I97" i="36"/>
  <c r="D98" i="36"/>
  <c r="E98" i="36"/>
  <c r="F98" i="36"/>
  <c r="G98" i="36"/>
  <c r="H98" i="36"/>
  <c r="I98" i="36"/>
  <c r="D100" i="36"/>
  <c r="E100" i="36"/>
  <c r="F100" i="36"/>
  <c r="G100" i="36"/>
  <c r="H100" i="36"/>
  <c r="D101" i="36"/>
  <c r="E101" i="36"/>
  <c r="F101" i="36"/>
  <c r="G101" i="36"/>
  <c r="H101" i="36"/>
  <c r="I101" i="36"/>
  <c r="D103" i="36"/>
  <c r="E103" i="36"/>
  <c r="F103" i="36"/>
  <c r="G103" i="36"/>
  <c r="H103" i="36"/>
  <c r="I103" i="36"/>
  <c r="D104" i="36"/>
  <c r="E104" i="36"/>
  <c r="F104" i="36"/>
  <c r="G104" i="36"/>
  <c r="H104" i="36"/>
  <c r="I104" i="36"/>
  <c r="D107" i="36"/>
  <c r="E107" i="36"/>
  <c r="F107" i="36"/>
  <c r="G107" i="36"/>
  <c r="H107" i="36"/>
  <c r="I107" i="36"/>
  <c r="D108" i="36"/>
  <c r="E108" i="36"/>
  <c r="F108" i="36"/>
  <c r="G108" i="36"/>
  <c r="H108" i="36"/>
  <c r="I108" i="36"/>
  <c r="D109" i="36"/>
  <c r="E109" i="36"/>
  <c r="F109" i="36"/>
  <c r="G109" i="36"/>
  <c r="H109" i="36"/>
  <c r="I109" i="36"/>
  <c r="D110" i="36"/>
  <c r="E110" i="36"/>
  <c r="F110" i="36"/>
  <c r="G110" i="36"/>
  <c r="H110" i="36"/>
  <c r="I110" i="36"/>
  <c r="D112" i="36"/>
  <c r="E112" i="36"/>
  <c r="F112" i="36"/>
  <c r="G112" i="36"/>
  <c r="H112" i="36"/>
  <c r="D113" i="36"/>
  <c r="E113" i="36"/>
  <c r="F113" i="36"/>
  <c r="G113" i="36"/>
  <c r="H113" i="36"/>
  <c r="D115" i="36"/>
  <c r="E115" i="36"/>
  <c r="F115" i="36"/>
  <c r="G115" i="36"/>
  <c r="H115" i="36"/>
  <c r="I115" i="36"/>
  <c r="D116" i="36"/>
  <c r="E116" i="36"/>
  <c r="G116" i="36"/>
  <c r="H116" i="36"/>
  <c r="I116" i="36"/>
  <c r="D119" i="36"/>
  <c r="E119" i="36"/>
  <c r="F119" i="36"/>
  <c r="G119" i="36"/>
  <c r="H119" i="36"/>
  <c r="I119" i="36"/>
  <c r="D120" i="36"/>
  <c r="E120" i="36"/>
  <c r="F120" i="36"/>
  <c r="G120" i="36"/>
  <c r="H120" i="36"/>
  <c r="I120" i="36"/>
  <c r="D121" i="36"/>
  <c r="E121" i="36"/>
  <c r="F121" i="36"/>
  <c r="G121" i="36"/>
  <c r="H121" i="36"/>
  <c r="I121" i="36"/>
  <c r="D122" i="36"/>
  <c r="E122" i="36"/>
  <c r="F122" i="36"/>
  <c r="G122" i="36"/>
  <c r="H122" i="36"/>
  <c r="I122" i="36"/>
  <c r="D124" i="36"/>
  <c r="E124" i="36"/>
  <c r="G124" i="36"/>
  <c r="H124" i="36"/>
  <c r="D125" i="36"/>
  <c r="E125" i="36"/>
  <c r="G125" i="36"/>
  <c r="H125" i="36"/>
  <c r="I125" i="36"/>
  <c r="D127" i="36"/>
  <c r="E127" i="36"/>
  <c r="F127" i="36"/>
  <c r="G127" i="36"/>
  <c r="H127" i="36"/>
  <c r="I127" i="36"/>
  <c r="D128" i="36"/>
  <c r="E128" i="36"/>
  <c r="F128" i="36"/>
  <c r="G128" i="36"/>
  <c r="H128" i="36"/>
  <c r="I128" i="36"/>
  <c r="D131" i="36"/>
  <c r="E131" i="36"/>
  <c r="F131" i="36"/>
  <c r="G131" i="36"/>
  <c r="H131" i="36"/>
  <c r="I131" i="36"/>
  <c r="D132" i="36"/>
  <c r="E132" i="36"/>
  <c r="F132" i="36"/>
  <c r="G132" i="36"/>
  <c r="H132" i="36"/>
  <c r="I132" i="36"/>
  <c r="D133" i="36"/>
  <c r="E133" i="36"/>
  <c r="F133" i="36"/>
  <c r="G133" i="36"/>
  <c r="H133" i="36"/>
  <c r="I133" i="36"/>
  <c r="D134" i="36"/>
  <c r="E134" i="36"/>
  <c r="F134" i="36"/>
  <c r="G134" i="36"/>
  <c r="H134" i="36"/>
  <c r="I134" i="36"/>
  <c r="D136" i="36"/>
  <c r="E136" i="36"/>
  <c r="G136" i="36"/>
  <c r="H136" i="36"/>
  <c r="D137" i="36"/>
  <c r="E137" i="36"/>
  <c r="G137" i="36"/>
  <c r="H137" i="36"/>
  <c r="I137" i="36"/>
  <c r="D139" i="36"/>
  <c r="E139" i="36"/>
  <c r="F139" i="36"/>
  <c r="G139" i="36"/>
  <c r="H139" i="36"/>
  <c r="I139" i="36"/>
  <c r="D140" i="36"/>
  <c r="E140" i="36"/>
  <c r="F140" i="36"/>
  <c r="G140" i="36"/>
  <c r="H140" i="36"/>
  <c r="I140" i="36"/>
  <c r="D143" i="36"/>
  <c r="E143" i="36"/>
  <c r="F143" i="36"/>
  <c r="G143" i="36"/>
  <c r="H143" i="36"/>
  <c r="I143" i="36"/>
  <c r="D144" i="36"/>
  <c r="E144" i="36"/>
  <c r="F144" i="36"/>
  <c r="G144" i="36"/>
  <c r="H144" i="36"/>
  <c r="I144" i="36"/>
  <c r="D145" i="36"/>
  <c r="E145" i="36"/>
  <c r="F145" i="36"/>
  <c r="G145" i="36"/>
  <c r="H145" i="36"/>
  <c r="I145" i="36"/>
  <c r="D146" i="36"/>
  <c r="E146" i="36"/>
  <c r="F146" i="36"/>
  <c r="G146" i="36"/>
  <c r="H146" i="36"/>
  <c r="I146" i="36"/>
  <c r="D148" i="36"/>
  <c r="E148" i="36"/>
  <c r="F148" i="36"/>
  <c r="G148" i="36"/>
  <c r="H148" i="36"/>
  <c r="D149" i="36"/>
  <c r="E149" i="36"/>
  <c r="F149" i="36"/>
  <c r="G149" i="36"/>
  <c r="H149" i="36"/>
  <c r="I149" i="36"/>
  <c r="D151" i="36"/>
  <c r="E151" i="36"/>
  <c r="F151" i="36"/>
  <c r="G151" i="36"/>
  <c r="H151" i="36"/>
  <c r="I151" i="36"/>
  <c r="D152" i="36"/>
  <c r="E152" i="36"/>
  <c r="F152" i="36"/>
  <c r="G152" i="36"/>
  <c r="H152" i="36"/>
  <c r="I152" i="36"/>
  <c r="D155" i="36"/>
  <c r="E155" i="36"/>
  <c r="F155" i="36"/>
  <c r="G155" i="36"/>
  <c r="H155" i="36"/>
  <c r="I155" i="36"/>
  <c r="D156" i="36"/>
  <c r="E156" i="36"/>
  <c r="F156" i="36"/>
  <c r="G156" i="36"/>
  <c r="H156" i="36"/>
  <c r="I156" i="36"/>
  <c r="D157" i="36"/>
  <c r="E157" i="36"/>
  <c r="F157" i="36"/>
  <c r="G157" i="36"/>
  <c r="H157" i="36"/>
  <c r="I157" i="36"/>
  <c r="D158" i="36"/>
  <c r="E158" i="36"/>
  <c r="F158" i="36"/>
  <c r="G158" i="36"/>
  <c r="H158" i="36"/>
  <c r="I158" i="36"/>
  <c r="D160" i="36"/>
  <c r="E160" i="36"/>
  <c r="F160" i="36"/>
  <c r="G160" i="36"/>
  <c r="H160" i="36"/>
  <c r="D161" i="36"/>
  <c r="E161" i="36"/>
  <c r="F161" i="36"/>
  <c r="G161" i="36"/>
  <c r="H161" i="36"/>
  <c r="I161" i="36"/>
  <c r="D163" i="36"/>
  <c r="E163" i="36"/>
  <c r="F163" i="36"/>
  <c r="G163" i="36"/>
  <c r="H163" i="36"/>
  <c r="I163" i="36"/>
  <c r="D164" i="36"/>
  <c r="E164" i="36"/>
  <c r="F164" i="36"/>
  <c r="G164" i="36"/>
  <c r="H164" i="36"/>
  <c r="I164" i="36"/>
  <c r="D167" i="36"/>
  <c r="E167" i="36"/>
  <c r="F167" i="36"/>
  <c r="G167" i="36"/>
  <c r="H167" i="36"/>
  <c r="I167" i="36"/>
  <c r="D168" i="36"/>
  <c r="E168" i="36"/>
  <c r="F168" i="36"/>
  <c r="G168" i="36"/>
  <c r="H168" i="36"/>
  <c r="I168" i="36"/>
  <c r="D169" i="36"/>
  <c r="E169" i="36"/>
  <c r="F169" i="36"/>
  <c r="G169" i="36"/>
  <c r="H169" i="36"/>
  <c r="I169" i="36"/>
  <c r="D170" i="36"/>
  <c r="E170" i="36"/>
  <c r="F170" i="36"/>
  <c r="G170" i="36"/>
  <c r="H170" i="36"/>
  <c r="I170" i="36"/>
  <c r="D172" i="36"/>
  <c r="E172" i="36"/>
  <c r="F172" i="36"/>
  <c r="G172" i="36"/>
  <c r="H172" i="36"/>
  <c r="D173" i="36"/>
  <c r="E173" i="36"/>
  <c r="F173" i="36"/>
  <c r="G173" i="36"/>
  <c r="H173" i="36"/>
  <c r="D175" i="36"/>
  <c r="E175" i="36"/>
  <c r="F175" i="36"/>
  <c r="G175" i="36"/>
  <c r="H175" i="36"/>
  <c r="I175" i="36"/>
  <c r="D176" i="36"/>
  <c r="E176" i="36"/>
  <c r="G176" i="36"/>
  <c r="H176" i="36"/>
  <c r="I176" i="36"/>
  <c r="D179" i="36"/>
  <c r="E179" i="36"/>
  <c r="F179" i="36"/>
  <c r="G179" i="36"/>
  <c r="H179" i="36"/>
  <c r="I179" i="36"/>
  <c r="D180" i="36"/>
  <c r="E180" i="36"/>
  <c r="F180" i="36"/>
  <c r="G180" i="36"/>
  <c r="H180" i="36"/>
  <c r="I180" i="36"/>
  <c r="D181" i="36"/>
  <c r="E181" i="36"/>
  <c r="F181" i="36"/>
  <c r="G181" i="36"/>
  <c r="H181" i="36"/>
  <c r="I181" i="36"/>
  <c r="D182" i="36"/>
  <c r="E182" i="36"/>
  <c r="F182" i="36"/>
  <c r="G182" i="36"/>
  <c r="H182" i="36"/>
  <c r="I182" i="36"/>
  <c r="D184" i="36"/>
  <c r="E184" i="36"/>
  <c r="G184" i="36"/>
  <c r="H184" i="36"/>
  <c r="D185" i="36"/>
  <c r="E185" i="36"/>
  <c r="G185" i="36"/>
  <c r="H185" i="36"/>
  <c r="D187" i="36"/>
  <c r="E187" i="36"/>
  <c r="F187" i="36"/>
  <c r="G187" i="36"/>
  <c r="H187" i="36"/>
  <c r="I187" i="36"/>
  <c r="D188" i="36"/>
  <c r="E188" i="36"/>
  <c r="F188" i="36"/>
  <c r="G188" i="36"/>
  <c r="H188" i="36"/>
  <c r="I188" i="36"/>
  <c r="D191" i="36"/>
  <c r="E191" i="36"/>
  <c r="F191" i="36"/>
  <c r="G191" i="36"/>
  <c r="H191" i="36"/>
  <c r="I191" i="36"/>
  <c r="D192" i="36"/>
  <c r="E192" i="36"/>
  <c r="F192" i="36"/>
  <c r="G192" i="36"/>
  <c r="H192" i="36"/>
  <c r="I192" i="36"/>
  <c r="D193" i="36"/>
  <c r="E193" i="36"/>
  <c r="F193" i="36"/>
  <c r="G193" i="36"/>
  <c r="H193" i="36"/>
  <c r="I193" i="36"/>
  <c r="D194" i="36"/>
  <c r="E194" i="36"/>
  <c r="F194" i="36"/>
  <c r="G194" i="36"/>
  <c r="H194" i="36"/>
  <c r="I194" i="36"/>
  <c r="D196" i="36"/>
  <c r="E196" i="36"/>
  <c r="F196" i="36"/>
  <c r="G196" i="36"/>
  <c r="H196" i="36"/>
  <c r="D197" i="36"/>
  <c r="E197" i="36"/>
  <c r="F197" i="36"/>
  <c r="G197" i="36"/>
  <c r="H197" i="36"/>
  <c r="D199" i="36"/>
  <c r="E199" i="36"/>
  <c r="F199" i="36"/>
  <c r="G199" i="36"/>
  <c r="H199" i="36"/>
  <c r="I199" i="36"/>
  <c r="D200" i="36"/>
  <c r="E200" i="36"/>
  <c r="F200" i="36"/>
  <c r="G200" i="36"/>
  <c r="H200" i="36"/>
  <c r="I200" i="36"/>
  <c r="D203" i="36"/>
  <c r="E203" i="36"/>
  <c r="F203" i="36"/>
  <c r="G203" i="36"/>
  <c r="H203" i="36"/>
  <c r="I203" i="36"/>
  <c r="D204" i="36"/>
  <c r="E204" i="36"/>
  <c r="F204" i="36"/>
  <c r="G204" i="36"/>
  <c r="H204" i="36"/>
  <c r="I204" i="36"/>
  <c r="D205" i="36"/>
  <c r="E205" i="36"/>
  <c r="F205" i="36"/>
  <c r="G205" i="36"/>
  <c r="H205" i="36"/>
  <c r="I205" i="36"/>
  <c r="D206" i="36"/>
  <c r="E206" i="36"/>
  <c r="F206" i="36"/>
  <c r="G206" i="36"/>
  <c r="H206" i="36"/>
  <c r="I206" i="36"/>
  <c r="D208" i="36"/>
  <c r="E208" i="36"/>
  <c r="G208" i="36"/>
  <c r="H208" i="36"/>
  <c r="D209" i="36"/>
  <c r="E209" i="36"/>
  <c r="G209" i="36"/>
  <c r="H209" i="36"/>
  <c r="D211" i="36"/>
  <c r="E211" i="36"/>
  <c r="F211" i="36"/>
  <c r="G211" i="36"/>
  <c r="H211" i="36"/>
  <c r="I211" i="36"/>
  <c r="D212" i="36"/>
  <c r="E212" i="36"/>
  <c r="F212" i="36"/>
  <c r="G212" i="36"/>
  <c r="H212" i="36"/>
  <c r="I212" i="36"/>
  <c r="D215" i="36"/>
  <c r="E215" i="36"/>
  <c r="F215" i="36"/>
  <c r="G215" i="36"/>
  <c r="H215" i="36"/>
  <c r="I215" i="36"/>
  <c r="D216" i="36"/>
  <c r="E216" i="36"/>
  <c r="F216" i="36"/>
  <c r="G216" i="36"/>
  <c r="H216" i="36"/>
  <c r="I216" i="36"/>
  <c r="D217" i="36"/>
  <c r="E217" i="36"/>
  <c r="F217" i="36"/>
  <c r="G217" i="36"/>
  <c r="H217" i="36"/>
  <c r="I217" i="36"/>
  <c r="D218" i="36"/>
  <c r="E218" i="36"/>
  <c r="F218" i="36"/>
  <c r="G218" i="36"/>
  <c r="H218" i="36"/>
  <c r="I218" i="36"/>
  <c r="D220" i="36"/>
  <c r="E220" i="36"/>
  <c r="G220" i="36"/>
  <c r="H220" i="36"/>
  <c r="D221" i="36"/>
  <c r="E221" i="36"/>
  <c r="G221" i="36"/>
  <c r="H221" i="36"/>
  <c r="I221" i="36"/>
  <c r="D223" i="36"/>
  <c r="E223" i="36"/>
  <c r="F223" i="36"/>
  <c r="G223" i="36"/>
  <c r="H223" i="36"/>
  <c r="I223" i="36"/>
  <c r="D224" i="36"/>
  <c r="E224" i="36"/>
  <c r="F224" i="36"/>
  <c r="G224" i="36"/>
  <c r="H224" i="36"/>
  <c r="I224" i="36"/>
  <c r="D227" i="36"/>
  <c r="E227" i="36"/>
  <c r="F227" i="36"/>
  <c r="G227" i="36"/>
  <c r="H227" i="36"/>
  <c r="I227" i="36"/>
  <c r="D228" i="36"/>
  <c r="E228" i="36"/>
  <c r="F228" i="36"/>
  <c r="G228" i="36"/>
  <c r="H228" i="36"/>
  <c r="I228" i="36"/>
  <c r="D229" i="36"/>
  <c r="E229" i="36"/>
  <c r="F229" i="36"/>
  <c r="G229" i="36"/>
  <c r="H229" i="36"/>
  <c r="I229" i="36"/>
  <c r="D230" i="36"/>
  <c r="E230" i="36"/>
  <c r="F230" i="36"/>
  <c r="G230" i="36"/>
  <c r="H230" i="36"/>
  <c r="I230" i="36"/>
  <c r="D232" i="36"/>
  <c r="E232" i="36"/>
  <c r="F232" i="36"/>
  <c r="G232" i="36"/>
  <c r="H232" i="36"/>
  <c r="D233" i="36"/>
  <c r="E233" i="36"/>
  <c r="F233" i="36"/>
  <c r="G233" i="36"/>
  <c r="H233" i="36"/>
  <c r="D234" i="36"/>
  <c r="E234" i="36"/>
  <c r="F234" i="36"/>
  <c r="G234" i="36"/>
  <c r="H234" i="36"/>
  <c r="D235" i="36"/>
  <c r="E235" i="36"/>
  <c r="F235" i="36"/>
  <c r="G235" i="36"/>
  <c r="H235" i="36"/>
  <c r="I235" i="36"/>
  <c r="D236" i="36"/>
  <c r="E236" i="36"/>
  <c r="F236" i="36"/>
  <c r="G236" i="36"/>
  <c r="H236" i="36"/>
  <c r="I236" i="36"/>
  <c r="D239" i="36"/>
  <c r="E239" i="36"/>
  <c r="F239" i="36"/>
  <c r="G239" i="36"/>
  <c r="H239" i="36"/>
  <c r="I239" i="36"/>
  <c r="D240" i="36"/>
  <c r="E240" i="36"/>
  <c r="F240" i="36"/>
  <c r="G240" i="36"/>
  <c r="H240" i="36"/>
  <c r="I240" i="36"/>
  <c r="D241" i="36"/>
  <c r="E241" i="36"/>
  <c r="F241" i="36"/>
  <c r="G241" i="36"/>
  <c r="H241" i="36"/>
  <c r="I241" i="36"/>
  <c r="D242" i="36"/>
  <c r="E242" i="36"/>
  <c r="F242" i="36"/>
  <c r="G242" i="36"/>
  <c r="H242" i="36"/>
  <c r="I242" i="36"/>
  <c r="D244" i="36"/>
  <c r="E244" i="36"/>
  <c r="F244" i="36"/>
  <c r="G244" i="36"/>
  <c r="H244" i="36"/>
  <c r="D245" i="36"/>
  <c r="E245" i="36"/>
  <c r="F245" i="36"/>
  <c r="G245" i="36"/>
  <c r="H245" i="36"/>
  <c r="D246" i="36"/>
  <c r="E246" i="36"/>
  <c r="F246" i="36"/>
  <c r="G246" i="36"/>
  <c r="H246" i="36"/>
  <c r="D247" i="36"/>
  <c r="E247" i="36"/>
  <c r="F247" i="36"/>
  <c r="G247" i="36"/>
  <c r="H247" i="36"/>
  <c r="I247" i="36"/>
  <c r="D248" i="36"/>
  <c r="E248" i="36"/>
  <c r="F248" i="36"/>
  <c r="G248" i="36"/>
  <c r="H248" i="36"/>
  <c r="I248" i="36"/>
  <c r="D251" i="36"/>
  <c r="E251" i="36"/>
  <c r="F251" i="36"/>
  <c r="G251" i="36"/>
  <c r="H251" i="36"/>
  <c r="I251" i="36"/>
  <c r="D252" i="36"/>
  <c r="E252" i="36"/>
  <c r="F252" i="36"/>
  <c r="G252" i="36"/>
  <c r="H252" i="36"/>
  <c r="I252" i="36"/>
  <c r="D253" i="36"/>
  <c r="E253" i="36"/>
  <c r="F253" i="36"/>
  <c r="G253" i="36"/>
  <c r="H253" i="36"/>
  <c r="I253" i="36"/>
  <c r="D254" i="36"/>
  <c r="E254" i="36"/>
  <c r="F254" i="36"/>
  <c r="G254" i="36"/>
  <c r="H254" i="36"/>
  <c r="I254" i="36"/>
  <c r="D92" i="36"/>
  <c r="E92" i="36"/>
  <c r="F92" i="36"/>
  <c r="G92" i="36"/>
  <c r="H92" i="36"/>
  <c r="I92" i="36"/>
  <c r="D76" i="36"/>
  <c r="D83" i="36"/>
  <c r="E76" i="36"/>
  <c r="E83" i="36"/>
  <c r="F76" i="36"/>
  <c r="F83" i="36"/>
  <c r="G76" i="36"/>
  <c r="G83" i="36"/>
  <c r="H76" i="36"/>
  <c r="H83" i="36"/>
  <c r="I83" i="36"/>
  <c r="D77" i="36"/>
  <c r="D84" i="36"/>
  <c r="E77" i="36"/>
  <c r="E84" i="36"/>
  <c r="F77" i="36"/>
  <c r="F84" i="36"/>
  <c r="G77" i="36"/>
  <c r="G84" i="36"/>
  <c r="H77" i="36"/>
  <c r="H84" i="36"/>
  <c r="I84" i="36"/>
  <c r="D79" i="36"/>
  <c r="D85" i="36"/>
  <c r="E79" i="36"/>
  <c r="E85" i="36"/>
  <c r="F79" i="36"/>
  <c r="F85" i="36"/>
  <c r="G79" i="36"/>
  <c r="G85" i="36"/>
  <c r="H79" i="36"/>
  <c r="H85" i="36"/>
  <c r="I79" i="36"/>
  <c r="I85" i="36"/>
  <c r="D86" i="36"/>
  <c r="E86" i="36"/>
  <c r="F86" i="36"/>
  <c r="G86" i="36"/>
  <c r="H86" i="36"/>
  <c r="I86" i="36"/>
  <c r="D80" i="36"/>
  <c r="E80" i="36"/>
  <c r="F80" i="36"/>
  <c r="G80" i="36"/>
  <c r="H80" i="36"/>
  <c r="I80" i="36"/>
  <c r="D64" i="36"/>
  <c r="D71" i="36"/>
  <c r="E64" i="36"/>
  <c r="E71" i="36"/>
  <c r="F71" i="36"/>
  <c r="G64" i="36"/>
  <c r="G71" i="36"/>
  <c r="H64" i="36"/>
  <c r="H71" i="36"/>
  <c r="I71" i="36"/>
  <c r="D65" i="36"/>
  <c r="D72" i="36"/>
  <c r="E65" i="36"/>
  <c r="E72" i="36"/>
  <c r="F72" i="36"/>
  <c r="G65" i="36"/>
  <c r="G72" i="36"/>
  <c r="H65" i="36"/>
  <c r="H72" i="36"/>
  <c r="I72" i="36"/>
  <c r="D67" i="36"/>
  <c r="D73" i="36"/>
  <c r="E67" i="36"/>
  <c r="E73" i="36"/>
  <c r="F67" i="36"/>
  <c r="F73" i="36"/>
  <c r="G67" i="36"/>
  <c r="G73" i="36"/>
  <c r="H67" i="36"/>
  <c r="H73" i="36"/>
  <c r="I67" i="36"/>
  <c r="I73" i="36"/>
  <c r="D74" i="36"/>
  <c r="E74" i="36"/>
  <c r="F74" i="36"/>
  <c r="G74" i="36"/>
  <c r="H74" i="36"/>
  <c r="I74" i="36"/>
  <c r="D68" i="36"/>
  <c r="E68" i="36"/>
  <c r="F68" i="36"/>
  <c r="G68" i="36"/>
  <c r="H68" i="36"/>
  <c r="I68" i="36"/>
  <c r="D52" i="36"/>
  <c r="D59" i="36"/>
  <c r="E52" i="36"/>
  <c r="E59" i="36"/>
  <c r="F59" i="36"/>
  <c r="G52" i="36"/>
  <c r="G59" i="36"/>
  <c r="H52" i="36"/>
  <c r="H59" i="36"/>
  <c r="I59" i="36"/>
  <c r="D53" i="36"/>
  <c r="D60" i="36"/>
  <c r="E53" i="36"/>
  <c r="E60" i="36"/>
  <c r="F60" i="36"/>
  <c r="G53" i="36"/>
  <c r="G60" i="36"/>
  <c r="H53" i="36"/>
  <c r="H60" i="36"/>
  <c r="I60" i="36"/>
  <c r="D55" i="36"/>
  <c r="D61" i="36"/>
  <c r="E55" i="36"/>
  <c r="E61" i="36"/>
  <c r="F55" i="36"/>
  <c r="F61" i="36"/>
  <c r="G55" i="36"/>
  <c r="G61" i="36"/>
  <c r="H55" i="36"/>
  <c r="H61" i="36"/>
  <c r="I55" i="36"/>
  <c r="I61" i="36"/>
  <c r="D62" i="36"/>
  <c r="E62" i="36"/>
  <c r="F62" i="36"/>
  <c r="G62" i="36"/>
  <c r="H62" i="36"/>
  <c r="I62" i="36"/>
  <c r="D40" i="36"/>
  <c r="D47" i="36"/>
  <c r="E40" i="36"/>
  <c r="E47" i="36"/>
  <c r="F47" i="36"/>
  <c r="G40" i="36"/>
  <c r="G47" i="36"/>
  <c r="H40" i="36"/>
  <c r="H47" i="36"/>
  <c r="I47" i="36"/>
  <c r="D41" i="36"/>
  <c r="D48" i="36"/>
  <c r="E41" i="36"/>
  <c r="E48" i="36"/>
  <c r="F48" i="36"/>
  <c r="G41" i="36"/>
  <c r="G48" i="36"/>
  <c r="H41" i="36"/>
  <c r="H48" i="36"/>
  <c r="I48" i="36"/>
  <c r="D43" i="36"/>
  <c r="D49" i="36"/>
  <c r="E43" i="36"/>
  <c r="E49" i="36"/>
  <c r="F43" i="36"/>
  <c r="F49" i="36"/>
  <c r="G43" i="36"/>
  <c r="G49" i="36"/>
  <c r="H43" i="36"/>
  <c r="H49" i="36"/>
  <c r="I43" i="36"/>
  <c r="I49" i="36"/>
  <c r="D50" i="36"/>
  <c r="E50" i="36"/>
  <c r="F50" i="36"/>
  <c r="G50" i="36"/>
  <c r="H50" i="36"/>
  <c r="I50" i="36"/>
  <c r="D56" i="36"/>
  <c r="E56" i="36"/>
  <c r="F56" i="36"/>
  <c r="G56" i="36"/>
  <c r="H56" i="36"/>
  <c r="I56" i="36"/>
  <c r="D28" i="36"/>
  <c r="D35" i="36"/>
  <c r="E28" i="36"/>
  <c r="E35" i="36"/>
  <c r="F35" i="36"/>
  <c r="G28" i="36"/>
  <c r="G35" i="36"/>
  <c r="H28" i="36"/>
  <c r="H35" i="36"/>
  <c r="I35" i="36"/>
  <c r="D29" i="36"/>
  <c r="D36" i="36"/>
  <c r="E29" i="36"/>
  <c r="E36" i="36"/>
  <c r="F36" i="36"/>
  <c r="G29" i="36"/>
  <c r="G36" i="36"/>
  <c r="H29" i="36"/>
  <c r="H36" i="36"/>
  <c r="I36" i="36"/>
  <c r="D31" i="36"/>
  <c r="D37" i="36"/>
  <c r="E31" i="36"/>
  <c r="E37" i="36"/>
  <c r="F31" i="36"/>
  <c r="F37" i="36"/>
  <c r="G31" i="36"/>
  <c r="G37" i="36"/>
  <c r="H31" i="36"/>
  <c r="H37" i="36"/>
  <c r="I31" i="36"/>
  <c r="I37" i="36"/>
  <c r="D38" i="36"/>
  <c r="E38" i="36"/>
  <c r="F38" i="36"/>
  <c r="G38" i="36"/>
  <c r="H38" i="36"/>
  <c r="I38" i="36"/>
  <c r="D44" i="36"/>
  <c r="E44" i="36"/>
  <c r="F44" i="36"/>
  <c r="G44" i="36"/>
  <c r="H44" i="36"/>
  <c r="I44" i="36"/>
  <c r="D16" i="36"/>
  <c r="D23" i="36"/>
  <c r="E16" i="36"/>
  <c r="E23" i="36"/>
  <c r="F23" i="36"/>
  <c r="G16" i="36"/>
  <c r="G23" i="36"/>
  <c r="H16" i="36"/>
  <c r="H23" i="36"/>
  <c r="I23" i="36"/>
  <c r="D17" i="36"/>
  <c r="D24" i="36"/>
  <c r="E17" i="36"/>
  <c r="E24" i="36"/>
  <c r="F24" i="36"/>
  <c r="G17" i="36"/>
  <c r="G24" i="36"/>
  <c r="H17" i="36"/>
  <c r="H24" i="36"/>
  <c r="I24" i="36"/>
  <c r="D19" i="36"/>
  <c r="D25" i="36"/>
  <c r="E19" i="36"/>
  <c r="E25" i="36"/>
  <c r="F19" i="36"/>
  <c r="F25" i="36"/>
  <c r="G19" i="36"/>
  <c r="G25" i="36"/>
  <c r="H19" i="36"/>
  <c r="H25" i="36"/>
  <c r="I19" i="36"/>
  <c r="I25" i="36"/>
  <c r="D26" i="36"/>
  <c r="E26" i="36"/>
  <c r="F26" i="36"/>
  <c r="G26" i="36"/>
  <c r="H26" i="36"/>
  <c r="I26" i="36"/>
  <c r="D32" i="36"/>
  <c r="E32" i="36"/>
  <c r="F32" i="36"/>
  <c r="G32" i="36"/>
  <c r="H32" i="36"/>
  <c r="D20" i="36"/>
  <c r="E20" i="36"/>
  <c r="F20" i="36"/>
  <c r="G20" i="36"/>
  <c r="H20" i="36"/>
  <c r="I20" i="36"/>
  <c r="D4" i="36"/>
  <c r="D11" i="36"/>
  <c r="E4" i="36"/>
  <c r="E11" i="36"/>
  <c r="F11" i="36"/>
  <c r="G4" i="36"/>
  <c r="G11" i="36"/>
  <c r="H4" i="36"/>
  <c r="H11" i="36"/>
  <c r="I11" i="36"/>
  <c r="D5" i="36"/>
  <c r="D12" i="36"/>
  <c r="E5" i="36"/>
  <c r="E12" i="36"/>
  <c r="F12" i="36"/>
  <c r="G5" i="36"/>
  <c r="G12" i="36"/>
  <c r="H5" i="36"/>
  <c r="H12" i="36"/>
  <c r="I12" i="36"/>
  <c r="D7" i="36"/>
  <c r="D13" i="36"/>
  <c r="E7" i="36"/>
  <c r="E13" i="36"/>
  <c r="F7" i="36"/>
  <c r="F13" i="36"/>
  <c r="G7" i="36"/>
  <c r="G13" i="36"/>
  <c r="H7" i="36"/>
  <c r="H13" i="36"/>
  <c r="I13" i="36"/>
  <c r="D14" i="36"/>
  <c r="E14" i="36"/>
  <c r="F14" i="36"/>
  <c r="G14" i="36"/>
  <c r="H14" i="36"/>
  <c r="I14" i="36"/>
  <c r="D2" i="36"/>
  <c r="E2" i="36"/>
  <c r="F2" i="36"/>
  <c r="G2" i="36"/>
  <c r="H2" i="36"/>
  <c r="I2" i="36"/>
  <c r="D8" i="36"/>
  <c r="E8" i="36"/>
  <c r="F8" i="36"/>
  <c r="G8" i="36"/>
  <c r="H8" i="36"/>
  <c r="H124" i="37"/>
  <c r="I124" i="37"/>
  <c r="I131" i="37"/>
  <c r="J124" i="37"/>
  <c r="J131" i="37"/>
  <c r="K131" i="37"/>
  <c r="L124" i="37"/>
  <c r="L131" i="37"/>
  <c r="M124" i="37"/>
  <c r="M131" i="37"/>
  <c r="N124" i="37"/>
  <c r="N131" i="37"/>
  <c r="O131" i="37"/>
  <c r="P124" i="37"/>
  <c r="P131" i="37"/>
  <c r="Q124" i="37"/>
  <c r="Q131" i="37"/>
  <c r="R124" i="37"/>
  <c r="R131" i="37"/>
  <c r="S124" i="37"/>
  <c r="S131" i="37"/>
  <c r="T124" i="37"/>
  <c r="T131" i="37"/>
  <c r="U124" i="37"/>
  <c r="U131" i="37"/>
  <c r="V131" i="37"/>
  <c r="W124" i="37"/>
  <c r="W131" i="37"/>
  <c r="X124" i="37"/>
  <c r="X131" i="37"/>
  <c r="Y124" i="37"/>
  <c r="Y131" i="37"/>
  <c r="AD124" i="37"/>
  <c r="AD131" i="37"/>
  <c r="AE124" i="37"/>
  <c r="AE131" i="37"/>
  <c r="AF124" i="37"/>
  <c r="AF131" i="37"/>
  <c r="AG131" i="37"/>
  <c r="AH131" i="37"/>
  <c r="AI131" i="37"/>
  <c r="AJ131" i="37"/>
  <c r="AK131" i="37"/>
  <c r="AL131" i="37"/>
  <c r="H125" i="37"/>
  <c r="I125" i="37"/>
  <c r="I132" i="37"/>
  <c r="J125" i="37"/>
  <c r="J132" i="37"/>
  <c r="K132" i="37"/>
  <c r="L125" i="37"/>
  <c r="L132" i="37"/>
  <c r="M125" i="37"/>
  <c r="M132" i="37"/>
  <c r="N125" i="37"/>
  <c r="N132" i="37"/>
  <c r="O132" i="37"/>
  <c r="P125" i="37"/>
  <c r="P132" i="37"/>
  <c r="Q125" i="37"/>
  <c r="Q132" i="37"/>
  <c r="R125" i="37"/>
  <c r="R132" i="37"/>
  <c r="S125" i="37"/>
  <c r="S132" i="37"/>
  <c r="T125" i="37"/>
  <c r="T132" i="37"/>
  <c r="U125" i="37"/>
  <c r="U132" i="37"/>
  <c r="V132" i="37"/>
  <c r="W125" i="37"/>
  <c r="W132" i="37"/>
  <c r="X125" i="37"/>
  <c r="X132" i="37"/>
  <c r="Y125" i="37"/>
  <c r="Y132" i="37"/>
  <c r="AD125" i="37"/>
  <c r="AD132" i="37"/>
  <c r="AE125" i="37"/>
  <c r="AE132" i="37"/>
  <c r="AF125" i="37"/>
  <c r="AF132" i="37"/>
  <c r="AG132" i="37"/>
  <c r="AH132" i="37"/>
  <c r="AI132" i="37"/>
  <c r="AJ132" i="37"/>
  <c r="AK132" i="37"/>
  <c r="AL132" i="37"/>
  <c r="H127" i="37"/>
  <c r="I127" i="37"/>
  <c r="I133" i="37"/>
  <c r="J127" i="37"/>
  <c r="J133" i="37"/>
  <c r="K127" i="37"/>
  <c r="K133" i="37"/>
  <c r="L127" i="37"/>
  <c r="L133" i="37"/>
  <c r="M127" i="37"/>
  <c r="M133" i="37"/>
  <c r="N127" i="37"/>
  <c r="N133" i="37"/>
  <c r="O127" i="37"/>
  <c r="O133" i="37"/>
  <c r="P127" i="37"/>
  <c r="P133" i="37"/>
  <c r="Q127" i="37"/>
  <c r="Q133" i="37"/>
  <c r="R127" i="37"/>
  <c r="R133" i="37"/>
  <c r="S127" i="37"/>
  <c r="S133" i="37"/>
  <c r="T127" i="37"/>
  <c r="T133" i="37"/>
  <c r="U127" i="37"/>
  <c r="U133" i="37"/>
  <c r="V127" i="37"/>
  <c r="V133" i="37"/>
  <c r="W127" i="37"/>
  <c r="W133" i="37"/>
  <c r="X127" i="37"/>
  <c r="X133" i="37"/>
  <c r="Y127" i="37"/>
  <c r="Y133" i="37"/>
  <c r="AD127" i="37"/>
  <c r="AD133" i="37"/>
  <c r="AE127" i="37"/>
  <c r="AE133" i="37"/>
  <c r="AF127" i="37"/>
  <c r="AF133" i="37"/>
  <c r="AG133" i="37"/>
  <c r="AH133" i="37"/>
  <c r="AI133" i="37"/>
  <c r="AJ133" i="37"/>
  <c r="AK133" i="37"/>
  <c r="AL133" i="37"/>
  <c r="I134" i="37"/>
  <c r="J134" i="37"/>
  <c r="K134" i="37"/>
  <c r="L134" i="37"/>
  <c r="M134" i="37"/>
  <c r="N134" i="37"/>
  <c r="O134" i="37"/>
  <c r="P134" i="37"/>
  <c r="Q134" i="37"/>
  <c r="R134" i="37"/>
  <c r="S134" i="37"/>
  <c r="T134" i="37"/>
  <c r="U134" i="37"/>
  <c r="V134" i="37"/>
  <c r="W134" i="37"/>
  <c r="X134" i="37"/>
  <c r="Y134" i="37"/>
  <c r="AD134" i="37"/>
  <c r="AE134" i="37"/>
  <c r="AF134" i="37"/>
  <c r="AG134" i="37"/>
  <c r="AH134" i="37"/>
  <c r="AI134" i="37"/>
  <c r="AJ134" i="37"/>
  <c r="AK134" i="37"/>
  <c r="AL134" i="37"/>
  <c r="I136" i="37"/>
  <c r="J136" i="37"/>
  <c r="L136" i="37"/>
  <c r="M136" i="37"/>
  <c r="N136" i="37"/>
  <c r="P136" i="37"/>
  <c r="Q136" i="37"/>
  <c r="S136" i="37"/>
  <c r="T136" i="37"/>
  <c r="U136" i="37"/>
  <c r="W136" i="37"/>
  <c r="X136" i="37"/>
  <c r="Y136" i="37"/>
  <c r="Z136" i="37"/>
  <c r="AA136" i="37"/>
  <c r="AB136" i="37"/>
  <c r="AD136" i="37"/>
  <c r="AE136" i="37"/>
  <c r="AG136" i="37"/>
  <c r="AH136" i="37"/>
  <c r="AI136" i="37"/>
  <c r="AJ136" i="37"/>
  <c r="AK136" i="37"/>
  <c r="AL136" i="37"/>
  <c r="I137" i="37"/>
  <c r="J137" i="37"/>
  <c r="L137" i="37"/>
  <c r="M137" i="37"/>
  <c r="N137" i="37"/>
  <c r="P137" i="37"/>
  <c r="Q137" i="37"/>
  <c r="S137" i="37"/>
  <c r="T137" i="37"/>
  <c r="U137" i="37"/>
  <c r="W137" i="37"/>
  <c r="X137" i="37"/>
  <c r="Y137" i="37"/>
  <c r="Z137" i="37"/>
  <c r="AA137" i="37"/>
  <c r="AB137" i="37"/>
  <c r="AD137" i="37"/>
  <c r="AE137" i="37"/>
  <c r="AG137" i="37"/>
  <c r="AH137" i="37"/>
  <c r="AI137" i="37"/>
  <c r="AJ137" i="37"/>
  <c r="AK137" i="37"/>
  <c r="AL137" i="37"/>
  <c r="D139" i="37"/>
  <c r="E139" i="37"/>
  <c r="F139" i="37"/>
  <c r="G139" i="37"/>
  <c r="H139" i="37"/>
  <c r="I139" i="37"/>
  <c r="J139" i="37"/>
  <c r="K139" i="37"/>
  <c r="L139" i="37"/>
  <c r="M139" i="37"/>
  <c r="N139" i="37"/>
  <c r="O139" i="37"/>
  <c r="P139" i="37"/>
  <c r="Q139" i="37"/>
  <c r="R139" i="37"/>
  <c r="S139" i="37"/>
  <c r="T139" i="37"/>
  <c r="U139" i="37"/>
  <c r="V139" i="37"/>
  <c r="W139" i="37"/>
  <c r="X139" i="37"/>
  <c r="Y139" i="37"/>
  <c r="Z139" i="37"/>
  <c r="AA139" i="37"/>
  <c r="AB139" i="37"/>
  <c r="AC139" i="37"/>
  <c r="AD139" i="37"/>
  <c r="AE139" i="37"/>
  <c r="AF139" i="37"/>
  <c r="AG139" i="37"/>
  <c r="AH139" i="37"/>
  <c r="AI139" i="37"/>
  <c r="AJ139" i="37"/>
  <c r="AK139" i="37"/>
  <c r="AL139" i="37"/>
  <c r="H140" i="37"/>
  <c r="I140" i="37"/>
  <c r="J140" i="37"/>
  <c r="K140" i="37"/>
  <c r="L140" i="37"/>
  <c r="M140" i="37"/>
  <c r="N140" i="37"/>
  <c r="O140" i="37"/>
  <c r="P140" i="37"/>
  <c r="Q140" i="37"/>
  <c r="R140" i="37"/>
  <c r="S140" i="37"/>
  <c r="T140" i="37"/>
  <c r="U140" i="37"/>
  <c r="V140" i="37"/>
  <c r="W140" i="37"/>
  <c r="X140" i="37"/>
  <c r="Y140" i="37"/>
  <c r="Z140" i="37"/>
  <c r="AA140" i="37"/>
  <c r="AB140" i="37"/>
  <c r="AC140" i="37"/>
  <c r="AD140" i="37"/>
  <c r="AE140" i="37"/>
  <c r="AF140" i="37"/>
  <c r="AG140" i="37"/>
  <c r="AH140" i="37"/>
  <c r="AI140" i="37"/>
  <c r="AJ140" i="37"/>
  <c r="AK140" i="37"/>
  <c r="AL140" i="37"/>
  <c r="I143" i="37"/>
  <c r="J143" i="37"/>
  <c r="K143" i="37"/>
  <c r="L143" i="37"/>
  <c r="M143" i="37"/>
  <c r="N143" i="37"/>
  <c r="O143" i="37"/>
  <c r="P143" i="37"/>
  <c r="Q143" i="37"/>
  <c r="R143" i="37"/>
  <c r="S143" i="37"/>
  <c r="T143" i="37"/>
  <c r="U143" i="37"/>
  <c r="V143" i="37"/>
  <c r="W143" i="37"/>
  <c r="X143" i="37"/>
  <c r="Y143" i="37"/>
  <c r="Z143" i="37"/>
  <c r="AA143" i="37"/>
  <c r="AB143" i="37"/>
  <c r="AC143" i="37"/>
  <c r="AD143" i="37"/>
  <c r="AE143" i="37"/>
  <c r="AF143" i="37"/>
  <c r="AG143" i="37"/>
  <c r="AH143" i="37"/>
  <c r="AI143" i="37"/>
  <c r="AJ143" i="37"/>
  <c r="AK143" i="37"/>
  <c r="AL143" i="37"/>
  <c r="I144" i="37"/>
  <c r="J144" i="37"/>
  <c r="K144" i="37"/>
  <c r="L144" i="37"/>
  <c r="M144" i="37"/>
  <c r="N144" i="37"/>
  <c r="O144" i="37"/>
  <c r="P144" i="37"/>
  <c r="Q144" i="37"/>
  <c r="R144" i="37"/>
  <c r="S144" i="37"/>
  <c r="T144" i="37"/>
  <c r="U144" i="37"/>
  <c r="V144" i="37"/>
  <c r="W144" i="37"/>
  <c r="X144" i="37"/>
  <c r="Y144" i="37"/>
  <c r="Z144" i="37"/>
  <c r="AA144" i="37"/>
  <c r="AB144" i="37"/>
  <c r="AC144" i="37"/>
  <c r="AD144" i="37"/>
  <c r="AE144" i="37"/>
  <c r="AF144" i="37"/>
  <c r="AG144" i="37"/>
  <c r="AH144" i="37"/>
  <c r="AI144" i="37"/>
  <c r="AJ144" i="37"/>
  <c r="AK144" i="37"/>
  <c r="AL144" i="37"/>
  <c r="I145" i="37"/>
  <c r="J145" i="37"/>
  <c r="K145" i="37"/>
  <c r="L145" i="37"/>
  <c r="M145" i="37"/>
  <c r="N145" i="37"/>
  <c r="O145" i="37"/>
  <c r="P145" i="37"/>
  <c r="Q145" i="37"/>
  <c r="R145" i="37"/>
  <c r="S145" i="37"/>
  <c r="T145" i="37"/>
  <c r="U145" i="37"/>
  <c r="V145" i="37"/>
  <c r="W145" i="37"/>
  <c r="X145" i="37"/>
  <c r="Y145" i="37"/>
  <c r="Z145" i="37"/>
  <c r="AA145" i="37"/>
  <c r="AB145" i="37"/>
  <c r="AC145" i="37"/>
  <c r="AD145" i="37"/>
  <c r="AE145" i="37"/>
  <c r="AF145" i="37"/>
  <c r="AG145" i="37"/>
  <c r="AH145" i="37"/>
  <c r="AI145" i="37"/>
  <c r="AJ145" i="37"/>
  <c r="AK145" i="37"/>
  <c r="AL145" i="37"/>
  <c r="I146" i="37"/>
  <c r="J146" i="37"/>
  <c r="K146" i="37"/>
  <c r="L146" i="37"/>
  <c r="M146" i="37"/>
  <c r="N146" i="37"/>
  <c r="O146" i="37"/>
  <c r="P146" i="37"/>
  <c r="Q146" i="37"/>
  <c r="R146" i="37"/>
  <c r="S146" i="37"/>
  <c r="T146" i="37"/>
  <c r="U146" i="37"/>
  <c r="V146" i="37"/>
  <c r="W146" i="37"/>
  <c r="X146" i="37"/>
  <c r="Y146" i="37"/>
  <c r="Z146" i="37"/>
  <c r="AA146" i="37"/>
  <c r="AB146" i="37"/>
  <c r="AC146" i="37"/>
  <c r="AD146" i="37"/>
  <c r="AE146" i="37"/>
  <c r="AF146" i="37"/>
  <c r="AG146" i="37"/>
  <c r="AH146" i="37"/>
  <c r="AI146" i="37"/>
  <c r="AJ146" i="37"/>
  <c r="AK146" i="37"/>
  <c r="AL146" i="37"/>
  <c r="I148" i="37"/>
  <c r="J148" i="37"/>
  <c r="K148" i="37"/>
  <c r="L148" i="37"/>
  <c r="M148" i="37"/>
  <c r="N148" i="37"/>
  <c r="P148" i="37"/>
  <c r="Q148" i="37"/>
  <c r="S148" i="37"/>
  <c r="T148" i="37"/>
  <c r="U148" i="37"/>
  <c r="V148" i="37"/>
  <c r="W148" i="37"/>
  <c r="X148" i="37"/>
  <c r="Z148" i="37"/>
  <c r="AA148" i="37"/>
  <c r="AB148" i="37"/>
  <c r="AC148" i="37"/>
  <c r="AD148" i="37"/>
  <c r="AE148" i="37"/>
  <c r="AF148" i="37"/>
  <c r="AG148" i="37"/>
  <c r="AH148" i="37"/>
  <c r="AI148" i="37"/>
  <c r="AJ148" i="37"/>
  <c r="AK148" i="37"/>
  <c r="AL148" i="37"/>
  <c r="H149" i="37"/>
  <c r="I149" i="37"/>
  <c r="J149" i="37"/>
  <c r="K149" i="37"/>
  <c r="L149" i="37"/>
  <c r="M149" i="37"/>
  <c r="N149" i="37"/>
  <c r="O149" i="37"/>
  <c r="P149" i="37"/>
  <c r="Q149" i="37"/>
  <c r="R149" i="37"/>
  <c r="S149" i="37"/>
  <c r="T149" i="37"/>
  <c r="U149" i="37"/>
  <c r="V149" i="37"/>
  <c r="W149" i="37"/>
  <c r="X149" i="37"/>
  <c r="Y149" i="37"/>
  <c r="Z149" i="37"/>
  <c r="AA149" i="37"/>
  <c r="AB149" i="37"/>
  <c r="AC149" i="37"/>
  <c r="AD149" i="37"/>
  <c r="AE149" i="37"/>
  <c r="AF149" i="37"/>
  <c r="AG149" i="37"/>
  <c r="AH149" i="37"/>
  <c r="AI149" i="37"/>
  <c r="AJ149" i="37"/>
  <c r="AK149" i="37"/>
  <c r="AL149" i="37"/>
  <c r="H151" i="37"/>
  <c r="I151" i="37"/>
  <c r="J151" i="37"/>
  <c r="K151" i="37"/>
  <c r="L151" i="37"/>
  <c r="M151" i="37"/>
  <c r="N151" i="37"/>
  <c r="O151" i="37"/>
  <c r="P151" i="37"/>
  <c r="Q151" i="37"/>
  <c r="R151" i="37"/>
  <c r="S151" i="37"/>
  <c r="T151" i="37"/>
  <c r="U151" i="37"/>
  <c r="V151" i="37"/>
  <c r="W151" i="37"/>
  <c r="X151" i="37"/>
  <c r="Y151" i="37"/>
  <c r="Z151" i="37"/>
  <c r="AA151" i="37"/>
  <c r="AB151" i="37"/>
  <c r="AC151" i="37"/>
  <c r="AD151" i="37"/>
  <c r="AE151" i="37"/>
  <c r="AF151" i="37"/>
  <c r="AG151" i="37"/>
  <c r="AH151" i="37"/>
  <c r="AI151" i="37"/>
  <c r="AJ151" i="37"/>
  <c r="AK151" i="37"/>
  <c r="AL151" i="37"/>
  <c r="H152" i="37"/>
  <c r="I152" i="37"/>
  <c r="J152" i="37"/>
  <c r="K152" i="37"/>
  <c r="L152" i="37"/>
  <c r="M152" i="37"/>
  <c r="N152" i="37"/>
  <c r="O152" i="37"/>
  <c r="P152" i="37"/>
  <c r="Q152" i="37"/>
  <c r="R152" i="37"/>
  <c r="S152" i="37"/>
  <c r="T152" i="37"/>
  <c r="U152" i="37"/>
  <c r="V152" i="37"/>
  <c r="W152" i="37"/>
  <c r="X152" i="37"/>
  <c r="Y152" i="37"/>
  <c r="Z152" i="37"/>
  <c r="AA152" i="37"/>
  <c r="AB152" i="37"/>
  <c r="AC152" i="37"/>
  <c r="AD152" i="37"/>
  <c r="AE152" i="37"/>
  <c r="AF152" i="37"/>
  <c r="AG152" i="37"/>
  <c r="AH152" i="37"/>
  <c r="AI152" i="37"/>
  <c r="AJ152" i="37"/>
  <c r="AK152" i="37"/>
  <c r="AL152" i="37"/>
  <c r="I155" i="37"/>
  <c r="J155" i="37"/>
  <c r="K155" i="37"/>
  <c r="L155" i="37"/>
  <c r="M155" i="37"/>
  <c r="N155" i="37"/>
  <c r="O155" i="37"/>
  <c r="P155" i="37"/>
  <c r="Q155" i="37"/>
  <c r="R155" i="37"/>
  <c r="S155" i="37"/>
  <c r="T155" i="37"/>
  <c r="U155" i="37"/>
  <c r="V155" i="37"/>
  <c r="W155" i="37"/>
  <c r="X155" i="37"/>
  <c r="Y155" i="37"/>
  <c r="Z155" i="37"/>
  <c r="AA155" i="37"/>
  <c r="AB155" i="37"/>
  <c r="AC155" i="37"/>
  <c r="AD155" i="37"/>
  <c r="AE155" i="37"/>
  <c r="AF155" i="37"/>
  <c r="AG155" i="37"/>
  <c r="AH155" i="37"/>
  <c r="AI155" i="37"/>
  <c r="AJ155" i="37"/>
  <c r="AK155" i="37"/>
  <c r="AL155" i="37"/>
  <c r="I156" i="37"/>
  <c r="J156" i="37"/>
  <c r="K156" i="37"/>
  <c r="L156" i="37"/>
  <c r="M156" i="37"/>
  <c r="N156" i="37"/>
  <c r="O156" i="37"/>
  <c r="P156" i="37"/>
  <c r="Q156" i="37"/>
  <c r="R156" i="37"/>
  <c r="S156" i="37"/>
  <c r="T156" i="37"/>
  <c r="U156" i="37"/>
  <c r="V156" i="37"/>
  <c r="W156" i="37"/>
  <c r="X156" i="37"/>
  <c r="Y156" i="37"/>
  <c r="Z156" i="37"/>
  <c r="AA156" i="37"/>
  <c r="AB156" i="37"/>
  <c r="AC156" i="37"/>
  <c r="AD156" i="37"/>
  <c r="AE156" i="37"/>
  <c r="AF156" i="37"/>
  <c r="AG156" i="37"/>
  <c r="AH156" i="37"/>
  <c r="AI156" i="37"/>
  <c r="AJ156" i="37"/>
  <c r="AK156" i="37"/>
  <c r="AL156" i="37"/>
  <c r="I157" i="37"/>
  <c r="J157" i="37"/>
  <c r="K157" i="37"/>
  <c r="L157" i="37"/>
  <c r="M157" i="37"/>
  <c r="N157" i="37"/>
  <c r="O157" i="37"/>
  <c r="P157" i="37"/>
  <c r="Q157" i="37"/>
  <c r="R157" i="37"/>
  <c r="S157" i="37"/>
  <c r="T157" i="37"/>
  <c r="U157" i="37"/>
  <c r="V157" i="37"/>
  <c r="W157" i="37"/>
  <c r="X157" i="37"/>
  <c r="Y157" i="37"/>
  <c r="Z157" i="37"/>
  <c r="AA157" i="37"/>
  <c r="AB157" i="37"/>
  <c r="AC157" i="37"/>
  <c r="AD157" i="37"/>
  <c r="AE157" i="37"/>
  <c r="AF157" i="37"/>
  <c r="AG157" i="37"/>
  <c r="AH157" i="37"/>
  <c r="AI157" i="37"/>
  <c r="AJ157" i="37"/>
  <c r="AK157" i="37"/>
  <c r="AL157" i="37"/>
  <c r="I158" i="37"/>
  <c r="J158" i="37"/>
  <c r="K158" i="37"/>
  <c r="L158" i="37"/>
  <c r="M158" i="37"/>
  <c r="N158" i="37"/>
  <c r="O158" i="37"/>
  <c r="P158" i="37"/>
  <c r="Q158" i="37"/>
  <c r="R158" i="37"/>
  <c r="S158" i="37"/>
  <c r="T158" i="37"/>
  <c r="U158" i="37"/>
  <c r="V158" i="37"/>
  <c r="W158" i="37"/>
  <c r="X158" i="37"/>
  <c r="Y158" i="37"/>
  <c r="Z158" i="37"/>
  <c r="AA158" i="37"/>
  <c r="AB158" i="37"/>
  <c r="AC158" i="37"/>
  <c r="AD158" i="37"/>
  <c r="AE158" i="37"/>
  <c r="AF158" i="37"/>
  <c r="AG158" i="37"/>
  <c r="AH158" i="37"/>
  <c r="AI158" i="37"/>
  <c r="AJ158" i="37"/>
  <c r="AK158" i="37"/>
  <c r="AL158" i="37"/>
  <c r="I160" i="37"/>
  <c r="J160" i="37"/>
  <c r="K160" i="37"/>
  <c r="L160" i="37"/>
  <c r="M160" i="37"/>
  <c r="N160" i="37"/>
  <c r="P160" i="37"/>
  <c r="Q160" i="37"/>
  <c r="R160" i="37"/>
  <c r="S160" i="37"/>
  <c r="T160" i="37"/>
  <c r="U160" i="37"/>
  <c r="W160" i="37"/>
  <c r="X160" i="37"/>
  <c r="Z160" i="37"/>
  <c r="AA160" i="37"/>
  <c r="AB160" i="37"/>
  <c r="AD160" i="37"/>
  <c r="AE160" i="37"/>
  <c r="AF160" i="37"/>
  <c r="AG160" i="37"/>
  <c r="AH160" i="37"/>
  <c r="AI160" i="37"/>
  <c r="AJ160" i="37"/>
  <c r="AK160" i="37"/>
  <c r="AL160" i="37"/>
  <c r="H161" i="37"/>
  <c r="I161" i="37"/>
  <c r="J161" i="37"/>
  <c r="K161" i="37"/>
  <c r="L161" i="37"/>
  <c r="M161" i="37"/>
  <c r="N161" i="37"/>
  <c r="P161" i="37"/>
  <c r="Q161" i="37"/>
  <c r="R161" i="37"/>
  <c r="S161" i="37"/>
  <c r="T161" i="37"/>
  <c r="U161" i="37"/>
  <c r="W161" i="37"/>
  <c r="X161" i="37"/>
  <c r="Z161" i="37"/>
  <c r="AA161" i="37"/>
  <c r="AB161" i="37"/>
  <c r="AC161" i="37"/>
  <c r="AD161" i="37"/>
  <c r="AE161" i="37"/>
  <c r="AF161" i="37"/>
  <c r="AG161" i="37"/>
  <c r="AH161" i="37"/>
  <c r="AI161" i="37"/>
  <c r="AJ161" i="37"/>
  <c r="AK161" i="37"/>
  <c r="AL161" i="37"/>
  <c r="H163" i="37"/>
  <c r="I163" i="37"/>
  <c r="J163" i="37"/>
  <c r="K163" i="37"/>
  <c r="L163" i="37"/>
  <c r="M163" i="37"/>
  <c r="N163" i="37"/>
  <c r="O163" i="37"/>
  <c r="P163" i="37"/>
  <c r="Q163" i="37"/>
  <c r="R163" i="37"/>
  <c r="S163" i="37"/>
  <c r="T163" i="37"/>
  <c r="U163" i="37"/>
  <c r="V163" i="37"/>
  <c r="W163" i="37"/>
  <c r="X163" i="37"/>
  <c r="Y163" i="37"/>
  <c r="Z163" i="37"/>
  <c r="AA163" i="37"/>
  <c r="AB163" i="37"/>
  <c r="AC163" i="37"/>
  <c r="AD163" i="37"/>
  <c r="AE163" i="37"/>
  <c r="AF163" i="37"/>
  <c r="AG163" i="37"/>
  <c r="AH163" i="37"/>
  <c r="AI163" i="37"/>
  <c r="AJ163" i="37"/>
  <c r="AK163" i="37"/>
  <c r="AL163" i="37"/>
  <c r="H164" i="37"/>
  <c r="I164" i="37"/>
  <c r="J164" i="37"/>
  <c r="K164" i="37"/>
  <c r="L164" i="37"/>
  <c r="M164" i="37"/>
  <c r="N164" i="37"/>
  <c r="O164" i="37"/>
  <c r="P164" i="37"/>
  <c r="Q164" i="37"/>
  <c r="R164" i="37"/>
  <c r="S164" i="37"/>
  <c r="T164" i="37"/>
  <c r="U164" i="37"/>
  <c r="V164" i="37"/>
  <c r="W164" i="37"/>
  <c r="X164" i="37"/>
  <c r="Y164" i="37"/>
  <c r="Z164" i="37"/>
  <c r="AA164" i="37"/>
  <c r="AB164" i="37"/>
  <c r="AC164" i="37"/>
  <c r="AD164" i="37"/>
  <c r="AE164" i="37"/>
  <c r="AF164" i="37"/>
  <c r="AG164" i="37"/>
  <c r="AH164" i="37"/>
  <c r="AI164" i="37"/>
  <c r="AJ164" i="37"/>
  <c r="AK164" i="37"/>
  <c r="AL164" i="37"/>
  <c r="I167" i="37"/>
  <c r="J167" i="37"/>
  <c r="K167" i="37"/>
  <c r="L167" i="37"/>
  <c r="M167" i="37"/>
  <c r="N167" i="37"/>
  <c r="O167" i="37"/>
  <c r="P167" i="37"/>
  <c r="Q167" i="37"/>
  <c r="R167" i="37"/>
  <c r="S167" i="37"/>
  <c r="T167" i="37"/>
  <c r="U167" i="37"/>
  <c r="V167" i="37"/>
  <c r="W167" i="37"/>
  <c r="X167" i="37"/>
  <c r="Y167" i="37"/>
  <c r="Z167" i="37"/>
  <c r="AA167" i="37"/>
  <c r="AB167" i="37"/>
  <c r="AC167" i="37"/>
  <c r="AD167" i="37"/>
  <c r="AE167" i="37"/>
  <c r="AF167" i="37"/>
  <c r="AG167" i="37"/>
  <c r="AH167" i="37"/>
  <c r="AI167" i="37"/>
  <c r="AJ167" i="37"/>
  <c r="AK167" i="37"/>
  <c r="AL167" i="37"/>
  <c r="I168" i="37"/>
  <c r="J168" i="37"/>
  <c r="K168" i="37"/>
  <c r="L168" i="37"/>
  <c r="M168" i="37"/>
  <c r="N168" i="37"/>
  <c r="O168" i="37"/>
  <c r="P168" i="37"/>
  <c r="Q168" i="37"/>
  <c r="R168" i="37"/>
  <c r="S168" i="37"/>
  <c r="T168" i="37"/>
  <c r="U168" i="37"/>
  <c r="V168" i="37"/>
  <c r="W168" i="37"/>
  <c r="X168" i="37"/>
  <c r="Y168" i="37"/>
  <c r="Z168" i="37"/>
  <c r="AA168" i="37"/>
  <c r="AB168" i="37"/>
  <c r="AC168" i="37"/>
  <c r="AD168" i="37"/>
  <c r="AE168" i="37"/>
  <c r="AF168" i="37"/>
  <c r="AG168" i="37"/>
  <c r="AH168" i="37"/>
  <c r="AI168" i="37"/>
  <c r="AJ168" i="37"/>
  <c r="AK168" i="37"/>
  <c r="AL168" i="37"/>
  <c r="I169" i="37"/>
  <c r="J169" i="37"/>
  <c r="K169" i="37"/>
  <c r="L169" i="37"/>
  <c r="M169" i="37"/>
  <c r="N169" i="37"/>
  <c r="O169" i="37"/>
  <c r="P169" i="37"/>
  <c r="Q169" i="37"/>
  <c r="R169" i="37"/>
  <c r="S169" i="37"/>
  <c r="T169" i="37"/>
  <c r="U169" i="37"/>
  <c r="V169" i="37"/>
  <c r="W169" i="37"/>
  <c r="X169" i="37"/>
  <c r="Y169" i="37"/>
  <c r="Z169" i="37"/>
  <c r="AA169" i="37"/>
  <c r="AB169" i="37"/>
  <c r="AC169" i="37"/>
  <c r="AD169" i="37"/>
  <c r="AE169" i="37"/>
  <c r="AF169" i="37"/>
  <c r="AG169" i="37"/>
  <c r="AH169" i="37"/>
  <c r="AI169" i="37"/>
  <c r="AJ169" i="37"/>
  <c r="AK169" i="37"/>
  <c r="AL169" i="37"/>
  <c r="I170" i="37"/>
  <c r="J170" i="37"/>
  <c r="K170" i="37"/>
  <c r="L170" i="37"/>
  <c r="M170" i="37"/>
  <c r="N170" i="37"/>
  <c r="O170" i="37"/>
  <c r="P170" i="37"/>
  <c r="Q170" i="37"/>
  <c r="R170" i="37"/>
  <c r="S170" i="37"/>
  <c r="T170" i="37"/>
  <c r="U170" i="37"/>
  <c r="V170" i="37"/>
  <c r="W170" i="37"/>
  <c r="X170" i="37"/>
  <c r="Y170" i="37"/>
  <c r="Z170" i="37"/>
  <c r="AA170" i="37"/>
  <c r="AB170" i="37"/>
  <c r="AC170" i="37"/>
  <c r="AD170" i="37"/>
  <c r="AE170" i="37"/>
  <c r="AF170" i="37"/>
  <c r="AG170" i="37"/>
  <c r="AH170" i="37"/>
  <c r="AI170" i="37"/>
  <c r="AJ170" i="37"/>
  <c r="AK170" i="37"/>
  <c r="AL170" i="37"/>
  <c r="H172" i="37"/>
  <c r="I172" i="37"/>
  <c r="J172" i="37"/>
  <c r="K172" i="37"/>
  <c r="L172" i="37"/>
  <c r="M172" i="37"/>
  <c r="N172" i="37"/>
  <c r="O172" i="37"/>
  <c r="P172" i="37"/>
  <c r="Q172" i="37"/>
  <c r="R172" i="37"/>
  <c r="S172" i="37"/>
  <c r="T172" i="37"/>
  <c r="U172" i="37"/>
  <c r="V172" i="37"/>
  <c r="W172" i="37"/>
  <c r="X172" i="37"/>
  <c r="Z172" i="37"/>
  <c r="AA172" i="37"/>
  <c r="AB172" i="37"/>
  <c r="AC172" i="37"/>
  <c r="AD172" i="37"/>
  <c r="AE172" i="37"/>
  <c r="AF172" i="37"/>
  <c r="AG172" i="37"/>
  <c r="AH172" i="37"/>
  <c r="AI172" i="37"/>
  <c r="AJ172" i="37"/>
  <c r="AK172" i="37"/>
  <c r="AL172" i="37"/>
  <c r="H173" i="37"/>
  <c r="I173" i="37"/>
  <c r="J173" i="37"/>
  <c r="K173" i="37"/>
  <c r="L173" i="37"/>
  <c r="M173" i="37"/>
  <c r="N173" i="37"/>
  <c r="O173" i="37"/>
  <c r="P173" i="37"/>
  <c r="Q173" i="37"/>
  <c r="R173" i="37"/>
  <c r="S173" i="37"/>
  <c r="T173" i="37"/>
  <c r="U173" i="37"/>
  <c r="V173" i="37"/>
  <c r="W173" i="37"/>
  <c r="X173" i="37"/>
  <c r="Z173" i="37"/>
  <c r="AA173" i="37"/>
  <c r="AB173" i="37"/>
  <c r="AD173" i="37"/>
  <c r="AE173" i="37"/>
  <c r="AF173" i="37"/>
  <c r="AG173" i="37"/>
  <c r="AH173" i="37"/>
  <c r="AI173" i="37"/>
  <c r="AJ173" i="37"/>
  <c r="AK173" i="37"/>
  <c r="AL173" i="37"/>
  <c r="H175" i="37"/>
  <c r="I175" i="37"/>
  <c r="J175" i="37"/>
  <c r="K175" i="37"/>
  <c r="L175" i="37"/>
  <c r="M175" i="37"/>
  <c r="N175" i="37"/>
  <c r="O175" i="37"/>
  <c r="P175" i="37"/>
  <c r="Q175" i="37"/>
  <c r="R175" i="37"/>
  <c r="S175" i="37"/>
  <c r="T175" i="37"/>
  <c r="U175" i="37"/>
  <c r="V175" i="37"/>
  <c r="W175" i="37"/>
  <c r="X175" i="37"/>
  <c r="Y175" i="37"/>
  <c r="Z175" i="37"/>
  <c r="AA175" i="37"/>
  <c r="AB175" i="37"/>
  <c r="AC175" i="37"/>
  <c r="AD175" i="37"/>
  <c r="AE175" i="37"/>
  <c r="AF175" i="37"/>
  <c r="AG175" i="37"/>
  <c r="AH175" i="37"/>
  <c r="AI175" i="37"/>
  <c r="AJ175" i="37"/>
  <c r="AK175" i="37"/>
  <c r="AL175" i="37"/>
  <c r="H176" i="37"/>
  <c r="I176" i="37"/>
  <c r="J176" i="37"/>
  <c r="L176" i="37"/>
  <c r="M176" i="37"/>
  <c r="N176" i="37"/>
  <c r="O176" i="37"/>
  <c r="P176" i="37"/>
  <c r="Q176" i="37"/>
  <c r="R176" i="37"/>
  <c r="S176" i="37"/>
  <c r="T176" i="37"/>
  <c r="U176" i="37"/>
  <c r="V176" i="37"/>
  <c r="W176" i="37"/>
  <c r="X176" i="37"/>
  <c r="Y176" i="37"/>
  <c r="Z176" i="37"/>
  <c r="AA176" i="37"/>
  <c r="AB176" i="37"/>
  <c r="AD176" i="37"/>
  <c r="AE176" i="37"/>
  <c r="AF176" i="37"/>
  <c r="AG176" i="37"/>
  <c r="AH176" i="37"/>
  <c r="AI176" i="37"/>
  <c r="AJ176" i="37"/>
  <c r="AK176" i="37"/>
  <c r="AL176" i="37"/>
  <c r="I179" i="37"/>
  <c r="J179" i="37"/>
  <c r="K179" i="37"/>
  <c r="L179" i="37"/>
  <c r="M179" i="37"/>
  <c r="N179" i="37"/>
  <c r="O179" i="37"/>
  <c r="P179" i="37"/>
  <c r="Q179" i="37"/>
  <c r="R179" i="37"/>
  <c r="S179" i="37"/>
  <c r="T179" i="37"/>
  <c r="U179" i="37"/>
  <c r="V179" i="37"/>
  <c r="W179" i="37"/>
  <c r="X179" i="37"/>
  <c r="Y179" i="37"/>
  <c r="Z179" i="37"/>
  <c r="AA179" i="37"/>
  <c r="AB179" i="37"/>
  <c r="AC179" i="37"/>
  <c r="AD179" i="37"/>
  <c r="AE179" i="37"/>
  <c r="AF179" i="37"/>
  <c r="AG179" i="37"/>
  <c r="AH179" i="37"/>
  <c r="AI179" i="37"/>
  <c r="AJ179" i="37"/>
  <c r="AK179" i="37"/>
  <c r="AL179" i="37"/>
  <c r="I180" i="37"/>
  <c r="J180" i="37"/>
  <c r="K180" i="37"/>
  <c r="L180" i="37"/>
  <c r="M180" i="37"/>
  <c r="N180" i="37"/>
  <c r="O180" i="37"/>
  <c r="P180" i="37"/>
  <c r="Q180" i="37"/>
  <c r="R180" i="37"/>
  <c r="S180" i="37"/>
  <c r="T180" i="37"/>
  <c r="U180" i="37"/>
  <c r="V180" i="37"/>
  <c r="W180" i="37"/>
  <c r="X180" i="37"/>
  <c r="Y180" i="37"/>
  <c r="Z180" i="37"/>
  <c r="AA180" i="37"/>
  <c r="AB180" i="37"/>
  <c r="AC180" i="37"/>
  <c r="AD180" i="37"/>
  <c r="AE180" i="37"/>
  <c r="AF180" i="37"/>
  <c r="AG180" i="37"/>
  <c r="AH180" i="37"/>
  <c r="AI180" i="37"/>
  <c r="AJ180" i="37"/>
  <c r="AK180" i="37"/>
  <c r="AL180" i="37"/>
  <c r="I181" i="37"/>
  <c r="J181" i="37"/>
  <c r="K181" i="37"/>
  <c r="L181" i="37"/>
  <c r="M181" i="37"/>
  <c r="N181" i="37"/>
  <c r="O181" i="37"/>
  <c r="P181" i="37"/>
  <c r="Q181" i="37"/>
  <c r="R181" i="37"/>
  <c r="S181" i="37"/>
  <c r="T181" i="37"/>
  <c r="U181" i="37"/>
  <c r="V181" i="37"/>
  <c r="W181" i="37"/>
  <c r="X181" i="37"/>
  <c r="Y181" i="37"/>
  <c r="Z181" i="37"/>
  <c r="AA181" i="37"/>
  <c r="AB181" i="37"/>
  <c r="AC181" i="37"/>
  <c r="AD181" i="37"/>
  <c r="AE181" i="37"/>
  <c r="AF181" i="37"/>
  <c r="AG181" i="37"/>
  <c r="AH181" i="37"/>
  <c r="AI181" i="37"/>
  <c r="AJ181" i="37"/>
  <c r="AK181" i="37"/>
  <c r="AL181" i="37"/>
  <c r="I182" i="37"/>
  <c r="J182" i="37"/>
  <c r="K182" i="37"/>
  <c r="L182" i="37"/>
  <c r="M182" i="37"/>
  <c r="N182" i="37"/>
  <c r="O182" i="37"/>
  <c r="P182" i="37"/>
  <c r="Q182" i="37"/>
  <c r="R182" i="37"/>
  <c r="S182" i="37"/>
  <c r="T182" i="37"/>
  <c r="U182" i="37"/>
  <c r="V182" i="37"/>
  <c r="W182" i="37"/>
  <c r="X182" i="37"/>
  <c r="Y182" i="37"/>
  <c r="Z182" i="37"/>
  <c r="AA182" i="37"/>
  <c r="AB182" i="37"/>
  <c r="AC182" i="37"/>
  <c r="AD182" i="37"/>
  <c r="AE182" i="37"/>
  <c r="AF182" i="37"/>
  <c r="AG182" i="37"/>
  <c r="AH182" i="37"/>
  <c r="AI182" i="37"/>
  <c r="AJ182" i="37"/>
  <c r="AK182" i="37"/>
  <c r="AL182" i="37"/>
  <c r="I184" i="37"/>
  <c r="J184" i="37"/>
  <c r="L184" i="37"/>
  <c r="M184" i="37"/>
  <c r="N184" i="37"/>
  <c r="P184" i="37"/>
  <c r="Q184" i="37"/>
  <c r="S184" i="37"/>
  <c r="T184" i="37"/>
  <c r="U184" i="37"/>
  <c r="V184" i="37"/>
  <c r="W184" i="37"/>
  <c r="X184" i="37"/>
  <c r="Z184" i="37"/>
  <c r="AA184" i="37"/>
  <c r="AB184" i="37"/>
  <c r="AC184" i="37"/>
  <c r="AD184" i="37"/>
  <c r="AE184" i="37"/>
  <c r="AG184" i="37"/>
  <c r="AH184" i="37"/>
  <c r="AI184" i="37"/>
  <c r="AJ184" i="37"/>
  <c r="AK184" i="37"/>
  <c r="AL184" i="37"/>
  <c r="I185" i="37"/>
  <c r="J185" i="37"/>
  <c r="L185" i="37"/>
  <c r="M185" i="37"/>
  <c r="N185" i="37"/>
  <c r="P185" i="37"/>
  <c r="Q185" i="37"/>
  <c r="S185" i="37"/>
  <c r="T185" i="37"/>
  <c r="U185" i="37"/>
  <c r="V185" i="37"/>
  <c r="W185" i="37"/>
  <c r="X185" i="37"/>
  <c r="Z185" i="37"/>
  <c r="AA185" i="37"/>
  <c r="AB185" i="37"/>
  <c r="AC185" i="37"/>
  <c r="AD185" i="37"/>
  <c r="AE185" i="37"/>
  <c r="AG185" i="37"/>
  <c r="AH185" i="37"/>
  <c r="AI185" i="37"/>
  <c r="AJ185" i="37"/>
  <c r="AK185" i="37"/>
  <c r="AL185" i="37"/>
  <c r="H187" i="37"/>
  <c r="I187" i="37"/>
  <c r="J187" i="37"/>
  <c r="K187" i="37"/>
  <c r="L187" i="37"/>
  <c r="M187" i="37"/>
  <c r="N187" i="37"/>
  <c r="O187" i="37"/>
  <c r="P187" i="37"/>
  <c r="Q187" i="37"/>
  <c r="R187" i="37"/>
  <c r="S187" i="37"/>
  <c r="T187" i="37"/>
  <c r="U187" i="37"/>
  <c r="V187" i="37"/>
  <c r="W187" i="37"/>
  <c r="X187" i="37"/>
  <c r="Y187" i="37"/>
  <c r="Z187" i="37"/>
  <c r="AA187" i="37"/>
  <c r="AB187" i="37"/>
  <c r="AC187" i="37"/>
  <c r="AD187" i="37"/>
  <c r="AE187" i="37"/>
  <c r="AF187" i="37"/>
  <c r="AG187" i="37"/>
  <c r="AH187" i="37"/>
  <c r="AI187" i="37"/>
  <c r="AJ187" i="37"/>
  <c r="AK187" i="37"/>
  <c r="AL187" i="37"/>
  <c r="H188" i="37"/>
  <c r="I188" i="37"/>
  <c r="J188" i="37"/>
  <c r="K188" i="37"/>
  <c r="L188" i="37"/>
  <c r="M188" i="37"/>
  <c r="N188" i="37"/>
  <c r="O188" i="37"/>
  <c r="P188" i="37"/>
  <c r="Q188" i="37"/>
  <c r="R188" i="37"/>
  <c r="S188" i="37"/>
  <c r="T188" i="37"/>
  <c r="U188" i="37"/>
  <c r="V188" i="37"/>
  <c r="W188" i="37"/>
  <c r="X188" i="37"/>
  <c r="Y188" i="37"/>
  <c r="Z188" i="37"/>
  <c r="AA188" i="37"/>
  <c r="AB188" i="37"/>
  <c r="AC188" i="37"/>
  <c r="AD188" i="37"/>
  <c r="AE188" i="37"/>
  <c r="AF188" i="37"/>
  <c r="AG188" i="37"/>
  <c r="AH188" i="37"/>
  <c r="AI188" i="37"/>
  <c r="AJ188" i="37"/>
  <c r="AK188" i="37"/>
  <c r="AL188" i="37"/>
  <c r="I191" i="37"/>
  <c r="J191" i="37"/>
  <c r="K191" i="37"/>
  <c r="L191" i="37"/>
  <c r="M191" i="37"/>
  <c r="N191" i="37"/>
  <c r="O191" i="37"/>
  <c r="P191" i="37"/>
  <c r="Q191" i="37"/>
  <c r="R191" i="37"/>
  <c r="S191" i="37"/>
  <c r="T191" i="37"/>
  <c r="U191" i="37"/>
  <c r="V191" i="37"/>
  <c r="W191" i="37"/>
  <c r="X191" i="37"/>
  <c r="Y191" i="37"/>
  <c r="Z191" i="37"/>
  <c r="AA191" i="37"/>
  <c r="AB191" i="37"/>
  <c r="AC191" i="37"/>
  <c r="AD191" i="37"/>
  <c r="AE191" i="37"/>
  <c r="AF191" i="37"/>
  <c r="AG191" i="37"/>
  <c r="AH191" i="37"/>
  <c r="AI191" i="37"/>
  <c r="AJ191" i="37"/>
  <c r="AK191" i="37"/>
  <c r="AL191" i="37"/>
  <c r="I192" i="37"/>
  <c r="J192" i="37"/>
  <c r="K192" i="37"/>
  <c r="L192" i="37"/>
  <c r="M192" i="37"/>
  <c r="N192" i="37"/>
  <c r="O192" i="37"/>
  <c r="P192" i="37"/>
  <c r="Q192" i="37"/>
  <c r="R192" i="37"/>
  <c r="S192" i="37"/>
  <c r="T192" i="37"/>
  <c r="U192" i="37"/>
  <c r="V192" i="37"/>
  <c r="W192" i="37"/>
  <c r="X192" i="37"/>
  <c r="Y192" i="37"/>
  <c r="Z192" i="37"/>
  <c r="AA192" i="37"/>
  <c r="AB192" i="37"/>
  <c r="AC192" i="37"/>
  <c r="AD192" i="37"/>
  <c r="AE192" i="37"/>
  <c r="AF192" i="37"/>
  <c r="AG192" i="37"/>
  <c r="AH192" i="37"/>
  <c r="AI192" i="37"/>
  <c r="AJ192" i="37"/>
  <c r="AK192" i="37"/>
  <c r="AL192" i="37"/>
  <c r="I193" i="37"/>
  <c r="J193" i="37"/>
  <c r="K193" i="37"/>
  <c r="L193" i="37"/>
  <c r="M193" i="37"/>
  <c r="N193" i="37"/>
  <c r="O193" i="37"/>
  <c r="P193" i="37"/>
  <c r="Q193" i="37"/>
  <c r="R193" i="37"/>
  <c r="S193" i="37"/>
  <c r="T193" i="37"/>
  <c r="U193" i="37"/>
  <c r="V193" i="37"/>
  <c r="W193" i="37"/>
  <c r="X193" i="37"/>
  <c r="Y193" i="37"/>
  <c r="Z193" i="37"/>
  <c r="AA193" i="37"/>
  <c r="AB193" i="37"/>
  <c r="AC193" i="37"/>
  <c r="AD193" i="37"/>
  <c r="AE193" i="37"/>
  <c r="AF193" i="37"/>
  <c r="AG193" i="37"/>
  <c r="AH193" i="37"/>
  <c r="AI193" i="37"/>
  <c r="AJ193" i="37"/>
  <c r="AK193" i="37"/>
  <c r="AL193" i="37"/>
  <c r="I194" i="37"/>
  <c r="J194" i="37"/>
  <c r="K194" i="37"/>
  <c r="L194" i="37"/>
  <c r="M194" i="37"/>
  <c r="N194" i="37"/>
  <c r="O194" i="37"/>
  <c r="P194" i="37"/>
  <c r="Q194" i="37"/>
  <c r="R194" i="37"/>
  <c r="S194" i="37"/>
  <c r="T194" i="37"/>
  <c r="U194" i="37"/>
  <c r="V194" i="37"/>
  <c r="W194" i="37"/>
  <c r="X194" i="37"/>
  <c r="Y194" i="37"/>
  <c r="Z194" i="37"/>
  <c r="AA194" i="37"/>
  <c r="AB194" i="37"/>
  <c r="AC194" i="37"/>
  <c r="AD194" i="37"/>
  <c r="AE194" i="37"/>
  <c r="AF194" i="37"/>
  <c r="AG194" i="37"/>
  <c r="AH194" i="37"/>
  <c r="AI194" i="37"/>
  <c r="AJ194" i="37"/>
  <c r="AK194" i="37"/>
  <c r="AL194" i="37"/>
  <c r="I196" i="37"/>
  <c r="J196" i="37"/>
  <c r="L196" i="37"/>
  <c r="M196" i="37"/>
  <c r="N196" i="37"/>
  <c r="P196" i="37"/>
  <c r="Q196" i="37"/>
  <c r="S196" i="37"/>
  <c r="T196" i="37"/>
  <c r="U196" i="37"/>
  <c r="V196" i="37"/>
  <c r="W196" i="37"/>
  <c r="X196" i="37"/>
  <c r="Y196" i="37"/>
  <c r="Z196" i="37"/>
  <c r="AA196" i="37"/>
  <c r="AB196" i="37"/>
  <c r="AD196" i="37"/>
  <c r="AE196" i="37"/>
  <c r="AG196" i="37"/>
  <c r="AH196" i="37"/>
  <c r="AI196" i="37"/>
  <c r="AJ196" i="37"/>
  <c r="AK196" i="37"/>
  <c r="AL196" i="37"/>
  <c r="I197" i="37"/>
  <c r="J197" i="37"/>
  <c r="L197" i="37"/>
  <c r="M197" i="37"/>
  <c r="N197" i="37"/>
  <c r="P197" i="37"/>
  <c r="Q197" i="37"/>
  <c r="S197" i="37"/>
  <c r="T197" i="37"/>
  <c r="U197" i="37"/>
  <c r="V197" i="37"/>
  <c r="W197" i="37"/>
  <c r="X197" i="37"/>
  <c r="Y197" i="37"/>
  <c r="Z197" i="37"/>
  <c r="AA197" i="37"/>
  <c r="AB197" i="37"/>
  <c r="AD197" i="37"/>
  <c r="AE197" i="37"/>
  <c r="AG197" i="37"/>
  <c r="AH197" i="37"/>
  <c r="AI197" i="37"/>
  <c r="AJ197" i="37"/>
  <c r="AK197" i="37"/>
  <c r="AL197" i="37"/>
  <c r="H199" i="37"/>
  <c r="I199" i="37"/>
  <c r="J199" i="37"/>
  <c r="K199" i="37"/>
  <c r="L199" i="37"/>
  <c r="M199" i="37"/>
  <c r="N199" i="37"/>
  <c r="O199" i="37"/>
  <c r="P199" i="37"/>
  <c r="Q199" i="37"/>
  <c r="R199" i="37"/>
  <c r="S199" i="37"/>
  <c r="T199" i="37"/>
  <c r="U199" i="37"/>
  <c r="V199" i="37"/>
  <c r="W199" i="37"/>
  <c r="X199" i="37"/>
  <c r="Y199" i="37"/>
  <c r="Z199" i="37"/>
  <c r="AA199" i="37"/>
  <c r="AB199" i="37"/>
  <c r="AC199" i="37"/>
  <c r="AD199" i="37"/>
  <c r="AE199" i="37"/>
  <c r="AF199" i="37"/>
  <c r="AG199" i="37"/>
  <c r="AH199" i="37"/>
  <c r="AI199" i="37"/>
  <c r="AJ199" i="37"/>
  <c r="AK199" i="37"/>
  <c r="AL199" i="37"/>
  <c r="H200" i="37"/>
  <c r="I200" i="37"/>
  <c r="J200" i="37"/>
  <c r="K200" i="37"/>
  <c r="L200" i="37"/>
  <c r="M200" i="37"/>
  <c r="N200" i="37"/>
  <c r="O200" i="37"/>
  <c r="P200" i="37"/>
  <c r="Q200" i="37"/>
  <c r="R200" i="37"/>
  <c r="S200" i="37"/>
  <c r="T200" i="37"/>
  <c r="U200" i="37"/>
  <c r="V200" i="37"/>
  <c r="W200" i="37"/>
  <c r="X200" i="37"/>
  <c r="Y200" i="37"/>
  <c r="Z200" i="37"/>
  <c r="AA200" i="37"/>
  <c r="AB200" i="37"/>
  <c r="AC200" i="37"/>
  <c r="AD200" i="37"/>
  <c r="AE200" i="37"/>
  <c r="AF200" i="37"/>
  <c r="AG200" i="37"/>
  <c r="AH200" i="37"/>
  <c r="AI200" i="37"/>
  <c r="AJ200" i="37"/>
  <c r="AK200" i="37"/>
  <c r="AL200" i="37"/>
  <c r="I203" i="37"/>
  <c r="J203" i="37"/>
  <c r="K203" i="37"/>
  <c r="L203" i="37"/>
  <c r="M203" i="37"/>
  <c r="N203" i="37"/>
  <c r="O203" i="37"/>
  <c r="P203" i="37"/>
  <c r="Q203" i="37"/>
  <c r="R203" i="37"/>
  <c r="S203" i="37"/>
  <c r="T203" i="37"/>
  <c r="U203" i="37"/>
  <c r="V203" i="37"/>
  <c r="W203" i="37"/>
  <c r="X203" i="37"/>
  <c r="Y203" i="37"/>
  <c r="Z203" i="37"/>
  <c r="AA203" i="37"/>
  <c r="AB203" i="37"/>
  <c r="AC203" i="37"/>
  <c r="AD203" i="37"/>
  <c r="AE203" i="37"/>
  <c r="AF203" i="37"/>
  <c r="AG203" i="37"/>
  <c r="AH203" i="37"/>
  <c r="AI203" i="37"/>
  <c r="AJ203" i="37"/>
  <c r="AK203" i="37"/>
  <c r="AL203" i="37"/>
  <c r="I204" i="37"/>
  <c r="J204" i="37"/>
  <c r="K204" i="37"/>
  <c r="L204" i="37"/>
  <c r="M204" i="37"/>
  <c r="N204" i="37"/>
  <c r="O204" i="37"/>
  <c r="P204" i="37"/>
  <c r="Q204" i="37"/>
  <c r="R204" i="37"/>
  <c r="S204" i="37"/>
  <c r="T204" i="37"/>
  <c r="U204" i="37"/>
  <c r="V204" i="37"/>
  <c r="W204" i="37"/>
  <c r="X204" i="37"/>
  <c r="Y204" i="37"/>
  <c r="Z204" i="37"/>
  <c r="AA204" i="37"/>
  <c r="AB204" i="37"/>
  <c r="AC204" i="37"/>
  <c r="AD204" i="37"/>
  <c r="AE204" i="37"/>
  <c r="AF204" i="37"/>
  <c r="AG204" i="37"/>
  <c r="AH204" i="37"/>
  <c r="AI204" i="37"/>
  <c r="AJ204" i="37"/>
  <c r="AK204" i="37"/>
  <c r="AL204" i="37"/>
  <c r="I205" i="37"/>
  <c r="J205" i="37"/>
  <c r="K205" i="37"/>
  <c r="L205" i="37"/>
  <c r="M205" i="37"/>
  <c r="N205" i="37"/>
  <c r="O205" i="37"/>
  <c r="P205" i="37"/>
  <c r="Q205" i="37"/>
  <c r="R205" i="37"/>
  <c r="S205" i="37"/>
  <c r="T205" i="37"/>
  <c r="U205" i="37"/>
  <c r="V205" i="37"/>
  <c r="W205" i="37"/>
  <c r="X205" i="37"/>
  <c r="Y205" i="37"/>
  <c r="Z205" i="37"/>
  <c r="AA205" i="37"/>
  <c r="AB205" i="37"/>
  <c r="AC205" i="37"/>
  <c r="AD205" i="37"/>
  <c r="AE205" i="37"/>
  <c r="AF205" i="37"/>
  <c r="AG205" i="37"/>
  <c r="AH205" i="37"/>
  <c r="AI205" i="37"/>
  <c r="AJ205" i="37"/>
  <c r="AK205" i="37"/>
  <c r="AL205" i="37"/>
  <c r="I206" i="37"/>
  <c r="J206" i="37"/>
  <c r="K206" i="37"/>
  <c r="L206" i="37"/>
  <c r="M206" i="37"/>
  <c r="N206" i="37"/>
  <c r="O206" i="37"/>
  <c r="P206" i="37"/>
  <c r="Q206" i="37"/>
  <c r="R206" i="37"/>
  <c r="S206" i="37"/>
  <c r="T206" i="37"/>
  <c r="U206" i="37"/>
  <c r="V206" i="37"/>
  <c r="W206" i="37"/>
  <c r="X206" i="37"/>
  <c r="Y206" i="37"/>
  <c r="Z206" i="37"/>
  <c r="AA206" i="37"/>
  <c r="AB206" i="37"/>
  <c r="AC206" i="37"/>
  <c r="AD206" i="37"/>
  <c r="AE206" i="37"/>
  <c r="AF206" i="37"/>
  <c r="AG206" i="37"/>
  <c r="AH206" i="37"/>
  <c r="AI206" i="37"/>
  <c r="AJ206" i="37"/>
  <c r="AK206" i="37"/>
  <c r="AL206" i="37"/>
  <c r="I208" i="37"/>
  <c r="J208" i="37"/>
  <c r="L208" i="37"/>
  <c r="M208" i="37"/>
  <c r="N208" i="37"/>
  <c r="P208" i="37"/>
  <c r="Q208" i="37"/>
  <c r="S208" i="37"/>
  <c r="T208" i="37"/>
  <c r="U208" i="37"/>
  <c r="W208" i="37"/>
  <c r="X208" i="37"/>
  <c r="Z208" i="37"/>
  <c r="AA208" i="37"/>
  <c r="AB208" i="37"/>
  <c r="AC208" i="37"/>
  <c r="AD208" i="37"/>
  <c r="AE208" i="37"/>
  <c r="AF208" i="37"/>
  <c r="AG208" i="37"/>
  <c r="AH208" i="37"/>
  <c r="AI208" i="37"/>
  <c r="AJ208" i="37"/>
  <c r="AK208" i="37"/>
  <c r="AL208" i="37"/>
  <c r="I209" i="37"/>
  <c r="J209" i="37"/>
  <c r="L209" i="37"/>
  <c r="M209" i="37"/>
  <c r="N209" i="37"/>
  <c r="P209" i="37"/>
  <c r="Q209" i="37"/>
  <c r="S209" i="37"/>
  <c r="T209" i="37"/>
  <c r="U209" i="37"/>
  <c r="W209" i="37"/>
  <c r="X209" i="37"/>
  <c r="Z209" i="37"/>
  <c r="AA209" i="37"/>
  <c r="AB209" i="37"/>
  <c r="AC209" i="37"/>
  <c r="AD209" i="37"/>
  <c r="AE209" i="37"/>
  <c r="AF209" i="37"/>
  <c r="AG209" i="37"/>
  <c r="AH209" i="37"/>
  <c r="AI209" i="37"/>
  <c r="AJ209" i="37"/>
  <c r="AK209" i="37"/>
  <c r="AL209" i="37"/>
  <c r="H211" i="37"/>
  <c r="I211" i="37"/>
  <c r="J211" i="37"/>
  <c r="K211" i="37"/>
  <c r="L211" i="37"/>
  <c r="M211" i="37"/>
  <c r="N211" i="37"/>
  <c r="O211" i="37"/>
  <c r="P211" i="37"/>
  <c r="Q211" i="37"/>
  <c r="R211" i="37"/>
  <c r="S211" i="37"/>
  <c r="T211" i="37"/>
  <c r="U211" i="37"/>
  <c r="V211" i="37"/>
  <c r="W211" i="37"/>
  <c r="X211" i="37"/>
  <c r="Y211" i="37"/>
  <c r="Z211" i="37"/>
  <c r="AA211" i="37"/>
  <c r="AB211" i="37"/>
  <c r="AC211" i="37"/>
  <c r="AD211" i="37"/>
  <c r="AE211" i="37"/>
  <c r="AF211" i="37"/>
  <c r="AG211" i="37"/>
  <c r="AH211" i="37"/>
  <c r="AI211" i="37"/>
  <c r="AJ211" i="37"/>
  <c r="AK211" i="37"/>
  <c r="AL211" i="37"/>
  <c r="H212" i="37"/>
  <c r="I212" i="37"/>
  <c r="J212" i="37"/>
  <c r="K212" i="37"/>
  <c r="L212" i="37"/>
  <c r="M212" i="37"/>
  <c r="N212" i="37"/>
  <c r="O212" i="37"/>
  <c r="P212" i="37"/>
  <c r="Q212" i="37"/>
  <c r="R212" i="37"/>
  <c r="S212" i="37"/>
  <c r="T212" i="37"/>
  <c r="U212" i="37"/>
  <c r="V212" i="37"/>
  <c r="W212" i="37"/>
  <c r="X212" i="37"/>
  <c r="Y212" i="37"/>
  <c r="Z212" i="37"/>
  <c r="AA212" i="37"/>
  <c r="AB212" i="37"/>
  <c r="AC212" i="37"/>
  <c r="AD212" i="37"/>
  <c r="AE212" i="37"/>
  <c r="AF212" i="37"/>
  <c r="AG212" i="37"/>
  <c r="AH212" i="37"/>
  <c r="AI212" i="37"/>
  <c r="AJ212" i="37"/>
  <c r="AK212" i="37"/>
  <c r="AL212" i="37"/>
  <c r="I215" i="37"/>
  <c r="J215" i="37"/>
  <c r="K215" i="37"/>
  <c r="L215" i="37"/>
  <c r="M215" i="37"/>
  <c r="N215" i="37"/>
  <c r="O215" i="37"/>
  <c r="P215" i="37"/>
  <c r="Q215" i="37"/>
  <c r="R215" i="37"/>
  <c r="S215" i="37"/>
  <c r="T215" i="37"/>
  <c r="U215" i="37"/>
  <c r="V215" i="37"/>
  <c r="W215" i="37"/>
  <c r="X215" i="37"/>
  <c r="Y215" i="37"/>
  <c r="Z215" i="37"/>
  <c r="AA215" i="37"/>
  <c r="AB215" i="37"/>
  <c r="AC215" i="37"/>
  <c r="AD215" i="37"/>
  <c r="AE215" i="37"/>
  <c r="AF215" i="37"/>
  <c r="AG215" i="37"/>
  <c r="AH215" i="37"/>
  <c r="AI215" i="37"/>
  <c r="AJ215" i="37"/>
  <c r="AK215" i="37"/>
  <c r="AL215" i="37"/>
  <c r="I216" i="37"/>
  <c r="J216" i="37"/>
  <c r="K216" i="37"/>
  <c r="L216" i="37"/>
  <c r="M216" i="37"/>
  <c r="N216" i="37"/>
  <c r="O216" i="37"/>
  <c r="P216" i="37"/>
  <c r="Q216" i="37"/>
  <c r="R216" i="37"/>
  <c r="S216" i="37"/>
  <c r="T216" i="37"/>
  <c r="U216" i="37"/>
  <c r="V216" i="37"/>
  <c r="W216" i="37"/>
  <c r="X216" i="37"/>
  <c r="Y216" i="37"/>
  <c r="Z216" i="37"/>
  <c r="AA216" i="37"/>
  <c r="AB216" i="37"/>
  <c r="AC216" i="37"/>
  <c r="AD216" i="37"/>
  <c r="AE216" i="37"/>
  <c r="AF216" i="37"/>
  <c r="AG216" i="37"/>
  <c r="AH216" i="37"/>
  <c r="AI216" i="37"/>
  <c r="AJ216" i="37"/>
  <c r="AK216" i="37"/>
  <c r="AL216" i="37"/>
  <c r="I217" i="37"/>
  <c r="J217" i="37"/>
  <c r="K217" i="37"/>
  <c r="L217" i="37"/>
  <c r="M217" i="37"/>
  <c r="N217" i="37"/>
  <c r="O217" i="37"/>
  <c r="P217" i="37"/>
  <c r="Q217" i="37"/>
  <c r="R217" i="37"/>
  <c r="S217" i="37"/>
  <c r="T217" i="37"/>
  <c r="U217" i="37"/>
  <c r="V217" i="37"/>
  <c r="W217" i="37"/>
  <c r="X217" i="37"/>
  <c r="Y217" i="37"/>
  <c r="Z217" i="37"/>
  <c r="AA217" i="37"/>
  <c r="AB217" i="37"/>
  <c r="AC217" i="37"/>
  <c r="AD217" i="37"/>
  <c r="AE217" i="37"/>
  <c r="AF217" i="37"/>
  <c r="AG217" i="37"/>
  <c r="AH217" i="37"/>
  <c r="AI217" i="37"/>
  <c r="AJ217" i="37"/>
  <c r="AK217" i="37"/>
  <c r="AL217" i="37"/>
  <c r="I218" i="37"/>
  <c r="J218" i="37"/>
  <c r="K218" i="37"/>
  <c r="L218" i="37"/>
  <c r="M218" i="37"/>
  <c r="N218" i="37"/>
  <c r="O218" i="37"/>
  <c r="P218" i="37"/>
  <c r="Q218" i="37"/>
  <c r="R218" i="37"/>
  <c r="S218" i="37"/>
  <c r="T218" i="37"/>
  <c r="U218" i="37"/>
  <c r="V218" i="37"/>
  <c r="W218" i="37"/>
  <c r="X218" i="37"/>
  <c r="Y218" i="37"/>
  <c r="Z218" i="37"/>
  <c r="AA218" i="37"/>
  <c r="AB218" i="37"/>
  <c r="AC218" i="37"/>
  <c r="AD218" i="37"/>
  <c r="AE218" i="37"/>
  <c r="AF218" i="37"/>
  <c r="AG218" i="37"/>
  <c r="AH218" i="37"/>
  <c r="AI218" i="37"/>
  <c r="AJ218" i="37"/>
  <c r="AK218" i="37"/>
  <c r="AL218" i="37"/>
  <c r="I220" i="37"/>
  <c r="J220" i="37"/>
  <c r="L220" i="37"/>
  <c r="M220" i="37"/>
  <c r="N220" i="37"/>
  <c r="P220" i="37"/>
  <c r="Q220" i="37"/>
  <c r="S220" i="37"/>
  <c r="T220" i="37"/>
  <c r="U220" i="37"/>
  <c r="W220" i="37"/>
  <c r="X220" i="37"/>
  <c r="Z220" i="37"/>
  <c r="AA220" i="37"/>
  <c r="AB220" i="37"/>
  <c r="AD220" i="37"/>
  <c r="AE220" i="37"/>
  <c r="AG220" i="37"/>
  <c r="AH220" i="37"/>
  <c r="AI220" i="37"/>
  <c r="AJ220" i="37"/>
  <c r="AK220" i="37"/>
  <c r="AL220" i="37"/>
  <c r="I221" i="37"/>
  <c r="J221" i="37"/>
  <c r="L221" i="37"/>
  <c r="M221" i="37"/>
  <c r="N221" i="37"/>
  <c r="P221" i="37"/>
  <c r="Q221" i="37"/>
  <c r="S221" i="37"/>
  <c r="T221" i="37"/>
  <c r="U221" i="37"/>
  <c r="W221" i="37"/>
  <c r="X221" i="37"/>
  <c r="Z221" i="37"/>
  <c r="AA221" i="37"/>
  <c r="AB221" i="37"/>
  <c r="AD221" i="37"/>
  <c r="AE221" i="37"/>
  <c r="AG221" i="37"/>
  <c r="AH221" i="37"/>
  <c r="AI221" i="37"/>
  <c r="AJ221" i="37"/>
  <c r="AK221" i="37"/>
  <c r="AL221" i="37"/>
  <c r="H223" i="37"/>
  <c r="I223" i="37"/>
  <c r="J223" i="37"/>
  <c r="K223" i="37"/>
  <c r="L223" i="37"/>
  <c r="M223" i="37"/>
  <c r="N223" i="37"/>
  <c r="O223" i="37"/>
  <c r="P223" i="37"/>
  <c r="Q223" i="37"/>
  <c r="R223" i="37"/>
  <c r="S223" i="37"/>
  <c r="T223" i="37"/>
  <c r="U223" i="37"/>
  <c r="V223" i="37"/>
  <c r="W223" i="37"/>
  <c r="X223" i="37"/>
  <c r="Y223" i="37"/>
  <c r="Z223" i="37"/>
  <c r="AA223" i="37"/>
  <c r="AB223" i="37"/>
  <c r="AC223" i="37"/>
  <c r="AD223" i="37"/>
  <c r="AE223" i="37"/>
  <c r="AF223" i="37"/>
  <c r="AG223" i="37"/>
  <c r="AH223" i="37"/>
  <c r="AI223" i="37"/>
  <c r="AJ223" i="37"/>
  <c r="AK223" i="37"/>
  <c r="AL223" i="37"/>
  <c r="H224" i="37"/>
  <c r="I224" i="37"/>
  <c r="J224" i="37"/>
  <c r="K224" i="37"/>
  <c r="L224" i="37"/>
  <c r="M224" i="37"/>
  <c r="N224" i="37"/>
  <c r="O224" i="37"/>
  <c r="P224" i="37"/>
  <c r="Q224" i="37"/>
  <c r="R224" i="37"/>
  <c r="S224" i="37"/>
  <c r="T224" i="37"/>
  <c r="U224" i="37"/>
  <c r="V224" i="37"/>
  <c r="W224" i="37"/>
  <c r="X224" i="37"/>
  <c r="Y224" i="37"/>
  <c r="Z224" i="37"/>
  <c r="AA224" i="37"/>
  <c r="AB224" i="37"/>
  <c r="AC224" i="37"/>
  <c r="AD224" i="37"/>
  <c r="AE224" i="37"/>
  <c r="AF224" i="37"/>
  <c r="AG224" i="37"/>
  <c r="AH224" i="37"/>
  <c r="AI224" i="37"/>
  <c r="AJ224" i="37"/>
  <c r="AK224" i="37"/>
  <c r="AL224" i="37"/>
  <c r="I227" i="37"/>
  <c r="J227" i="37"/>
  <c r="K227" i="37"/>
  <c r="L227" i="37"/>
  <c r="M227" i="37"/>
  <c r="N227" i="37"/>
  <c r="O227" i="37"/>
  <c r="P227" i="37"/>
  <c r="Q227" i="37"/>
  <c r="R227" i="37"/>
  <c r="S227" i="37"/>
  <c r="T227" i="37"/>
  <c r="U227" i="37"/>
  <c r="V227" i="37"/>
  <c r="W227" i="37"/>
  <c r="X227" i="37"/>
  <c r="Y227" i="37"/>
  <c r="Z227" i="37"/>
  <c r="AA227" i="37"/>
  <c r="AB227" i="37"/>
  <c r="AC227" i="37"/>
  <c r="AD227" i="37"/>
  <c r="AE227" i="37"/>
  <c r="AF227" i="37"/>
  <c r="AG227" i="37"/>
  <c r="AH227" i="37"/>
  <c r="AI227" i="37"/>
  <c r="AJ227" i="37"/>
  <c r="AK227" i="37"/>
  <c r="AL227" i="37"/>
  <c r="I228" i="37"/>
  <c r="J228" i="37"/>
  <c r="K228" i="37"/>
  <c r="L228" i="37"/>
  <c r="M228" i="37"/>
  <c r="N228" i="37"/>
  <c r="O228" i="37"/>
  <c r="P228" i="37"/>
  <c r="Q228" i="37"/>
  <c r="R228" i="37"/>
  <c r="S228" i="37"/>
  <c r="T228" i="37"/>
  <c r="U228" i="37"/>
  <c r="V228" i="37"/>
  <c r="W228" i="37"/>
  <c r="X228" i="37"/>
  <c r="Y228" i="37"/>
  <c r="Z228" i="37"/>
  <c r="AA228" i="37"/>
  <c r="AB228" i="37"/>
  <c r="AC228" i="37"/>
  <c r="AD228" i="37"/>
  <c r="AE228" i="37"/>
  <c r="AF228" i="37"/>
  <c r="AG228" i="37"/>
  <c r="AH228" i="37"/>
  <c r="AI228" i="37"/>
  <c r="AJ228" i="37"/>
  <c r="AK228" i="37"/>
  <c r="AL228" i="37"/>
  <c r="I229" i="37"/>
  <c r="J229" i="37"/>
  <c r="K229" i="37"/>
  <c r="L229" i="37"/>
  <c r="M229" i="37"/>
  <c r="N229" i="37"/>
  <c r="O229" i="37"/>
  <c r="P229" i="37"/>
  <c r="Q229" i="37"/>
  <c r="R229" i="37"/>
  <c r="S229" i="37"/>
  <c r="T229" i="37"/>
  <c r="U229" i="37"/>
  <c r="V229" i="37"/>
  <c r="W229" i="37"/>
  <c r="X229" i="37"/>
  <c r="Y229" i="37"/>
  <c r="Z229" i="37"/>
  <c r="AA229" i="37"/>
  <c r="AB229" i="37"/>
  <c r="AC229" i="37"/>
  <c r="AD229" i="37"/>
  <c r="AE229" i="37"/>
  <c r="AF229" i="37"/>
  <c r="AG229" i="37"/>
  <c r="AH229" i="37"/>
  <c r="AI229" i="37"/>
  <c r="AJ229" i="37"/>
  <c r="AK229" i="37"/>
  <c r="AL229" i="37"/>
  <c r="I230" i="37"/>
  <c r="J230" i="37"/>
  <c r="K230" i="37"/>
  <c r="L230" i="37"/>
  <c r="M230" i="37"/>
  <c r="N230" i="37"/>
  <c r="O230" i="37"/>
  <c r="P230" i="37"/>
  <c r="Q230" i="37"/>
  <c r="R230" i="37"/>
  <c r="S230" i="37"/>
  <c r="T230" i="37"/>
  <c r="U230" i="37"/>
  <c r="V230" i="37"/>
  <c r="W230" i="37"/>
  <c r="X230" i="37"/>
  <c r="Y230" i="37"/>
  <c r="Z230" i="37"/>
  <c r="AA230" i="37"/>
  <c r="AB230" i="37"/>
  <c r="AC230" i="37"/>
  <c r="AD230" i="37"/>
  <c r="AE230" i="37"/>
  <c r="AF230" i="37"/>
  <c r="AG230" i="37"/>
  <c r="AH230" i="37"/>
  <c r="AI230" i="37"/>
  <c r="AJ230" i="37"/>
  <c r="AK230" i="37"/>
  <c r="AL230" i="37"/>
  <c r="H232" i="37"/>
  <c r="I232" i="37"/>
  <c r="J232" i="37"/>
  <c r="K232" i="37"/>
  <c r="L232" i="37"/>
  <c r="M232" i="37"/>
  <c r="N232" i="37"/>
  <c r="O232" i="37"/>
  <c r="P232" i="37"/>
  <c r="Q232" i="37"/>
  <c r="S232" i="37"/>
  <c r="T232" i="37"/>
  <c r="U232" i="37"/>
  <c r="V232" i="37"/>
  <c r="W232" i="37"/>
  <c r="X232" i="37"/>
  <c r="Z232" i="37"/>
  <c r="AA232" i="37"/>
  <c r="AB232" i="37"/>
  <c r="AD232" i="37"/>
  <c r="AE232" i="37"/>
  <c r="AG232" i="37"/>
  <c r="AH232" i="37"/>
  <c r="AI232" i="37"/>
  <c r="AJ232" i="37"/>
  <c r="AK232" i="37"/>
  <c r="AL232" i="37"/>
  <c r="I233" i="37"/>
  <c r="J233" i="37"/>
  <c r="K233" i="37"/>
  <c r="L233" i="37"/>
  <c r="M233" i="37"/>
  <c r="N233" i="37"/>
  <c r="P233" i="37"/>
  <c r="Q233" i="37"/>
  <c r="S233" i="37"/>
  <c r="T233" i="37"/>
  <c r="U233" i="37"/>
  <c r="V233" i="37"/>
  <c r="W233" i="37"/>
  <c r="X233" i="37"/>
  <c r="Z233" i="37"/>
  <c r="AA233" i="37"/>
  <c r="AB233" i="37"/>
  <c r="AD233" i="37"/>
  <c r="AE233" i="37"/>
  <c r="AG233" i="37"/>
  <c r="AH233" i="37"/>
  <c r="AI233" i="37"/>
  <c r="AJ233" i="37"/>
  <c r="AK233" i="37"/>
  <c r="AL233" i="37"/>
  <c r="H235" i="37"/>
  <c r="I235" i="37"/>
  <c r="J235" i="37"/>
  <c r="K235" i="37"/>
  <c r="L235" i="37"/>
  <c r="M235" i="37"/>
  <c r="N235" i="37"/>
  <c r="O235" i="37"/>
  <c r="P235" i="37"/>
  <c r="Q235" i="37"/>
  <c r="R235" i="37"/>
  <c r="S235" i="37"/>
  <c r="T235" i="37"/>
  <c r="U235" i="37"/>
  <c r="V235" i="37"/>
  <c r="W235" i="37"/>
  <c r="X235" i="37"/>
  <c r="Y235" i="37"/>
  <c r="Z235" i="37"/>
  <c r="AA235" i="37"/>
  <c r="AB235" i="37"/>
  <c r="AC235" i="37"/>
  <c r="AD235" i="37"/>
  <c r="AE235" i="37"/>
  <c r="AF235" i="37"/>
  <c r="AG235" i="37"/>
  <c r="AH235" i="37"/>
  <c r="AI235" i="37"/>
  <c r="AJ235" i="37"/>
  <c r="AK235" i="37"/>
  <c r="AL235" i="37"/>
  <c r="H236" i="37"/>
  <c r="I236" i="37"/>
  <c r="J236" i="37"/>
  <c r="K236" i="37"/>
  <c r="L236" i="37"/>
  <c r="M236" i="37"/>
  <c r="N236" i="37"/>
  <c r="O236" i="37"/>
  <c r="P236" i="37"/>
  <c r="Q236" i="37"/>
  <c r="R236" i="37"/>
  <c r="S236" i="37"/>
  <c r="T236" i="37"/>
  <c r="U236" i="37"/>
  <c r="V236" i="37"/>
  <c r="W236" i="37"/>
  <c r="X236" i="37"/>
  <c r="Y236" i="37"/>
  <c r="Z236" i="37"/>
  <c r="AA236" i="37"/>
  <c r="AB236" i="37"/>
  <c r="AC236" i="37"/>
  <c r="AD236" i="37"/>
  <c r="AE236" i="37"/>
  <c r="AF236" i="37"/>
  <c r="AG236" i="37"/>
  <c r="AH236" i="37"/>
  <c r="AI236" i="37"/>
  <c r="AJ236" i="37"/>
  <c r="AK236" i="37"/>
  <c r="AL236" i="37"/>
  <c r="I239" i="37"/>
  <c r="J239" i="37"/>
  <c r="K239" i="37"/>
  <c r="L239" i="37"/>
  <c r="M239" i="37"/>
  <c r="N239" i="37"/>
  <c r="O239" i="37"/>
  <c r="P239" i="37"/>
  <c r="Q239" i="37"/>
  <c r="R239" i="37"/>
  <c r="S239" i="37"/>
  <c r="T239" i="37"/>
  <c r="U239" i="37"/>
  <c r="V239" i="37"/>
  <c r="W239" i="37"/>
  <c r="X239" i="37"/>
  <c r="Y239" i="37"/>
  <c r="Z239" i="37"/>
  <c r="AA239" i="37"/>
  <c r="AB239" i="37"/>
  <c r="AC239" i="37"/>
  <c r="AD239" i="37"/>
  <c r="AE239" i="37"/>
  <c r="AF239" i="37"/>
  <c r="AG239" i="37"/>
  <c r="AH239" i="37"/>
  <c r="AI239" i="37"/>
  <c r="AJ239" i="37"/>
  <c r="AK239" i="37"/>
  <c r="AL239" i="37"/>
  <c r="I240" i="37"/>
  <c r="J240" i="37"/>
  <c r="K240" i="37"/>
  <c r="L240" i="37"/>
  <c r="M240" i="37"/>
  <c r="N240" i="37"/>
  <c r="O240" i="37"/>
  <c r="P240" i="37"/>
  <c r="Q240" i="37"/>
  <c r="R240" i="37"/>
  <c r="S240" i="37"/>
  <c r="T240" i="37"/>
  <c r="U240" i="37"/>
  <c r="V240" i="37"/>
  <c r="W240" i="37"/>
  <c r="X240" i="37"/>
  <c r="Y240" i="37"/>
  <c r="Z240" i="37"/>
  <c r="AA240" i="37"/>
  <c r="AB240" i="37"/>
  <c r="AC240" i="37"/>
  <c r="AD240" i="37"/>
  <c r="AE240" i="37"/>
  <c r="AF240" i="37"/>
  <c r="AG240" i="37"/>
  <c r="AH240" i="37"/>
  <c r="AI240" i="37"/>
  <c r="AJ240" i="37"/>
  <c r="AK240" i="37"/>
  <c r="AL240" i="37"/>
  <c r="I241" i="37"/>
  <c r="J241" i="37"/>
  <c r="K241" i="37"/>
  <c r="L241" i="37"/>
  <c r="M241" i="37"/>
  <c r="N241" i="37"/>
  <c r="O241" i="37"/>
  <c r="P241" i="37"/>
  <c r="Q241" i="37"/>
  <c r="R241" i="37"/>
  <c r="S241" i="37"/>
  <c r="T241" i="37"/>
  <c r="U241" i="37"/>
  <c r="V241" i="37"/>
  <c r="W241" i="37"/>
  <c r="X241" i="37"/>
  <c r="Y241" i="37"/>
  <c r="Z241" i="37"/>
  <c r="AA241" i="37"/>
  <c r="AB241" i="37"/>
  <c r="AC241" i="37"/>
  <c r="AD241" i="37"/>
  <c r="AE241" i="37"/>
  <c r="AF241" i="37"/>
  <c r="AG241" i="37"/>
  <c r="AH241" i="37"/>
  <c r="AI241" i="37"/>
  <c r="AJ241" i="37"/>
  <c r="AK241" i="37"/>
  <c r="AL241" i="37"/>
  <c r="I242" i="37"/>
  <c r="J242" i="37"/>
  <c r="K242" i="37"/>
  <c r="L242" i="37"/>
  <c r="M242" i="37"/>
  <c r="N242" i="37"/>
  <c r="O242" i="37"/>
  <c r="P242" i="37"/>
  <c r="Q242" i="37"/>
  <c r="R242" i="37"/>
  <c r="S242" i="37"/>
  <c r="T242" i="37"/>
  <c r="U242" i="37"/>
  <c r="V242" i="37"/>
  <c r="W242" i="37"/>
  <c r="X242" i="37"/>
  <c r="Y242" i="37"/>
  <c r="Z242" i="37"/>
  <c r="AA242" i="37"/>
  <c r="AB242" i="37"/>
  <c r="AC242" i="37"/>
  <c r="AD242" i="37"/>
  <c r="AE242" i="37"/>
  <c r="AF242" i="37"/>
  <c r="AG242" i="37"/>
  <c r="AH242" i="37"/>
  <c r="AI242" i="37"/>
  <c r="AJ242" i="37"/>
  <c r="AK242" i="37"/>
  <c r="AL242" i="37"/>
  <c r="H112" i="37"/>
  <c r="I112" i="37"/>
  <c r="I119" i="37"/>
  <c r="J112" i="37"/>
  <c r="J119" i="37"/>
  <c r="K119" i="37"/>
  <c r="L112" i="37"/>
  <c r="L119" i="37"/>
  <c r="M112" i="37"/>
  <c r="M119" i="37"/>
  <c r="N112" i="37"/>
  <c r="N119" i="37"/>
  <c r="O119" i="37"/>
  <c r="P112" i="37"/>
  <c r="P119" i="37"/>
  <c r="Q112" i="37"/>
  <c r="Q119" i="37"/>
  <c r="R112" i="37"/>
  <c r="R119" i="37"/>
  <c r="S112" i="37"/>
  <c r="S119" i="37"/>
  <c r="T112" i="37"/>
  <c r="T119" i="37"/>
  <c r="U112" i="37"/>
  <c r="U119" i="37"/>
  <c r="V112" i="37"/>
  <c r="V119" i="37"/>
  <c r="W112" i="37"/>
  <c r="W119" i="37"/>
  <c r="X112" i="37"/>
  <c r="X119" i="37"/>
  <c r="Y119" i="37"/>
  <c r="AD112" i="37"/>
  <c r="AD119" i="37"/>
  <c r="AE112" i="37"/>
  <c r="AE119" i="37"/>
  <c r="AF119" i="37"/>
  <c r="AG119" i="37"/>
  <c r="AH119" i="37"/>
  <c r="AI119" i="37"/>
  <c r="AJ119" i="37"/>
  <c r="AK119" i="37"/>
  <c r="AL119" i="37"/>
  <c r="H113" i="37"/>
  <c r="I113" i="37"/>
  <c r="I120" i="37"/>
  <c r="J113" i="37"/>
  <c r="J120" i="37"/>
  <c r="K120" i="37"/>
  <c r="L113" i="37"/>
  <c r="L120" i="37"/>
  <c r="M113" i="37"/>
  <c r="M120" i="37"/>
  <c r="N113" i="37"/>
  <c r="N120" i="37"/>
  <c r="O113" i="37"/>
  <c r="O120" i="37"/>
  <c r="P113" i="37"/>
  <c r="P120" i="37"/>
  <c r="Q113" i="37"/>
  <c r="Q120" i="37"/>
  <c r="R113" i="37"/>
  <c r="R120" i="37"/>
  <c r="S113" i="37"/>
  <c r="S120" i="37"/>
  <c r="T113" i="37"/>
  <c r="T120" i="37"/>
  <c r="U113" i="37"/>
  <c r="U120" i="37"/>
  <c r="V113" i="37"/>
  <c r="V120" i="37"/>
  <c r="W113" i="37"/>
  <c r="W120" i="37"/>
  <c r="X113" i="37"/>
  <c r="X120" i="37"/>
  <c r="Y120" i="37"/>
  <c r="AD113" i="37"/>
  <c r="AD120" i="37"/>
  <c r="AE113" i="37"/>
  <c r="AE120" i="37"/>
  <c r="AF120" i="37"/>
  <c r="AG120" i="37"/>
  <c r="AH120" i="37"/>
  <c r="AI120" i="37"/>
  <c r="AJ120" i="37"/>
  <c r="AK120" i="37"/>
  <c r="AL120" i="37"/>
  <c r="H115" i="37"/>
  <c r="I115" i="37"/>
  <c r="I121" i="37"/>
  <c r="J115" i="37"/>
  <c r="J121" i="37"/>
  <c r="K115" i="37"/>
  <c r="K121" i="37"/>
  <c r="L115" i="37"/>
  <c r="L121" i="37"/>
  <c r="M115" i="37"/>
  <c r="M121" i="37"/>
  <c r="N115" i="37"/>
  <c r="N121" i="37"/>
  <c r="O115" i="37"/>
  <c r="O121" i="37"/>
  <c r="P115" i="37"/>
  <c r="P121" i="37"/>
  <c r="Q115" i="37"/>
  <c r="Q121" i="37"/>
  <c r="R115" i="37"/>
  <c r="R121" i="37"/>
  <c r="S115" i="37"/>
  <c r="S121" i="37"/>
  <c r="T115" i="37"/>
  <c r="T121" i="37"/>
  <c r="U115" i="37"/>
  <c r="U121" i="37"/>
  <c r="V115" i="37"/>
  <c r="V121" i="37"/>
  <c r="W115" i="37"/>
  <c r="W121" i="37"/>
  <c r="X115" i="37"/>
  <c r="X121" i="37"/>
  <c r="Y115" i="37"/>
  <c r="Y121" i="37"/>
  <c r="AD115" i="37"/>
  <c r="AD121" i="37"/>
  <c r="AE115" i="37"/>
  <c r="AE121" i="37"/>
  <c r="AF115" i="37"/>
  <c r="AF121" i="37"/>
  <c r="AG121" i="37"/>
  <c r="AH121" i="37"/>
  <c r="AI121" i="37"/>
  <c r="AJ121" i="37"/>
  <c r="AK121" i="37"/>
  <c r="AL121" i="37"/>
  <c r="I122" i="37"/>
  <c r="J122" i="37"/>
  <c r="K122" i="37"/>
  <c r="L122" i="37"/>
  <c r="M122" i="37"/>
  <c r="N122" i="37"/>
  <c r="O122" i="37"/>
  <c r="P122" i="37"/>
  <c r="Q122" i="37"/>
  <c r="R122" i="37"/>
  <c r="S122" i="37"/>
  <c r="T122" i="37"/>
  <c r="U122" i="37"/>
  <c r="V122" i="37"/>
  <c r="W122" i="37"/>
  <c r="X122" i="37"/>
  <c r="Y122" i="37"/>
  <c r="AD122" i="37"/>
  <c r="AE122" i="37"/>
  <c r="AF122" i="37"/>
  <c r="AG122" i="37"/>
  <c r="AH122" i="37"/>
  <c r="AI122" i="37"/>
  <c r="AJ122" i="37"/>
  <c r="AK122" i="37"/>
  <c r="AL122" i="37"/>
  <c r="Z124" i="37"/>
  <c r="Z131" i="37"/>
  <c r="AA124" i="37"/>
  <c r="AA131" i="37"/>
  <c r="AB124" i="37"/>
  <c r="AB131" i="37"/>
  <c r="AC124" i="37"/>
  <c r="AC131" i="37"/>
  <c r="AG124" i="37"/>
  <c r="AH124" i="37"/>
  <c r="AI124" i="37"/>
  <c r="AJ124" i="37"/>
  <c r="AK124" i="37"/>
  <c r="AL124" i="37"/>
  <c r="Z125" i="37"/>
  <c r="AA125" i="37"/>
  <c r="AB125" i="37"/>
  <c r="AC125" i="37"/>
  <c r="AG125" i="37"/>
  <c r="AH125" i="37"/>
  <c r="AI125" i="37"/>
  <c r="AJ125" i="37"/>
  <c r="AK125" i="37"/>
  <c r="AL125" i="37"/>
  <c r="Z127" i="37"/>
  <c r="AA127" i="37"/>
  <c r="AB127" i="37"/>
  <c r="AC127" i="37"/>
  <c r="AG127" i="37"/>
  <c r="AH127" i="37"/>
  <c r="AI127" i="37"/>
  <c r="AJ127" i="37"/>
  <c r="AK127" i="37"/>
  <c r="AL127" i="37"/>
  <c r="H128" i="37"/>
  <c r="I128" i="37"/>
  <c r="J128" i="37"/>
  <c r="K128" i="37"/>
  <c r="L128" i="37"/>
  <c r="M128" i="37"/>
  <c r="N128" i="37"/>
  <c r="O128" i="37"/>
  <c r="P128" i="37"/>
  <c r="Q128" i="37"/>
  <c r="R128" i="37"/>
  <c r="S128" i="37"/>
  <c r="T128" i="37"/>
  <c r="U128" i="37"/>
  <c r="V128" i="37"/>
  <c r="W128" i="37"/>
  <c r="X128" i="37"/>
  <c r="Y128" i="37"/>
  <c r="Z128" i="37"/>
  <c r="AA128" i="37"/>
  <c r="AB128" i="37"/>
  <c r="AC128" i="37"/>
  <c r="AD128" i="37"/>
  <c r="AE128" i="37"/>
  <c r="AF128" i="37"/>
  <c r="AG128" i="37"/>
  <c r="AH128" i="37"/>
  <c r="AI128" i="37"/>
  <c r="AJ128" i="37"/>
  <c r="AK128" i="37"/>
  <c r="AL128" i="37"/>
  <c r="I100" i="37"/>
  <c r="I107" i="37"/>
  <c r="J100" i="37"/>
  <c r="J107" i="37"/>
  <c r="K100" i="37"/>
  <c r="K107" i="37"/>
  <c r="L100" i="37"/>
  <c r="L107" i="37"/>
  <c r="M100" i="37"/>
  <c r="M107" i="37"/>
  <c r="N100" i="37"/>
  <c r="N107" i="37"/>
  <c r="O107" i="37"/>
  <c r="P100" i="37"/>
  <c r="P107" i="37"/>
  <c r="Q100" i="37"/>
  <c r="Q107" i="37"/>
  <c r="R100" i="37"/>
  <c r="R107" i="37"/>
  <c r="S100" i="37"/>
  <c r="S107" i="37"/>
  <c r="T100" i="37"/>
  <c r="T107" i="37"/>
  <c r="U100" i="37"/>
  <c r="U107" i="37"/>
  <c r="V100" i="37"/>
  <c r="V107" i="37"/>
  <c r="W100" i="37"/>
  <c r="W107" i="37"/>
  <c r="X100" i="37"/>
  <c r="X107" i="37"/>
  <c r="Y107" i="37"/>
  <c r="AD100" i="37"/>
  <c r="AD107" i="37"/>
  <c r="AE100" i="37"/>
  <c r="AE107" i="37"/>
  <c r="AF107" i="37"/>
  <c r="AG107" i="37"/>
  <c r="AH107" i="37"/>
  <c r="AI107" i="37"/>
  <c r="AJ107" i="37"/>
  <c r="AK107" i="37"/>
  <c r="AL107" i="37"/>
  <c r="I101" i="37"/>
  <c r="I108" i="37"/>
  <c r="J101" i="37"/>
  <c r="J108" i="37"/>
  <c r="K101" i="37"/>
  <c r="K108" i="37"/>
  <c r="L101" i="37"/>
  <c r="L108" i="37"/>
  <c r="M101" i="37"/>
  <c r="M108" i="37"/>
  <c r="N101" i="37"/>
  <c r="N108" i="37"/>
  <c r="O108" i="37"/>
  <c r="P101" i="37"/>
  <c r="P108" i="37"/>
  <c r="Q101" i="37"/>
  <c r="Q108" i="37"/>
  <c r="R101" i="37"/>
  <c r="R108" i="37"/>
  <c r="S101" i="37"/>
  <c r="S108" i="37"/>
  <c r="T101" i="37"/>
  <c r="T108" i="37"/>
  <c r="U101" i="37"/>
  <c r="U108" i="37"/>
  <c r="V101" i="37"/>
  <c r="V108" i="37"/>
  <c r="W101" i="37"/>
  <c r="W108" i="37"/>
  <c r="X101" i="37"/>
  <c r="X108" i="37"/>
  <c r="Y108" i="37"/>
  <c r="AD101" i="37"/>
  <c r="AD108" i="37"/>
  <c r="AE101" i="37"/>
  <c r="AE108" i="37"/>
  <c r="AF108" i="37"/>
  <c r="AG108" i="37"/>
  <c r="AH108" i="37"/>
  <c r="AI108" i="37"/>
  <c r="AJ108" i="37"/>
  <c r="AK108" i="37"/>
  <c r="AL108" i="37"/>
  <c r="H103" i="37"/>
  <c r="I103" i="37"/>
  <c r="I109" i="37"/>
  <c r="J103" i="37"/>
  <c r="J109" i="37"/>
  <c r="K103" i="37"/>
  <c r="K109" i="37"/>
  <c r="L103" i="37"/>
  <c r="L109" i="37"/>
  <c r="M103" i="37"/>
  <c r="M109" i="37"/>
  <c r="N103" i="37"/>
  <c r="N109" i="37"/>
  <c r="O103" i="37"/>
  <c r="O109" i="37"/>
  <c r="P103" i="37"/>
  <c r="P109" i="37"/>
  <c r="Q103" i="37"/>
  <c r="Q109" i="37"/>
  <c r="R103" i="37"/>
  <c r="R109" i="37"/>
  <c r="S103" i="37"/>
  <c r="S109" i="37"/>
  <c r="T103" i="37"/>
  <c r="T109" i="37"/>
  <c r="U103" i="37"/>
  <c r="U109" i="37"/>
  <c r="V103" i="37"/>
  <c r="V109" i="37"/>
  <c r="W103" i="37"/>
  <c r="W109" i="37"/>
  <c r="X103" i="37"/>
  <c r="X109" i="37"/>
  <c r="Y103" i="37"/>
  <c r="Y109" i="37"/>
  <c r="AD103" i="37"/>
  <c r="AD109" i="37"/>
  <c r="AE103" i="37"/>
  <c r="AE109" i="37"/>
  <c r="AF103" i="37"/>
  <c r="AF109" i="37"/>
  <c r="AG109" i="37"/>
  <c r="AH109" i="37"/>
  <c r="AI109" i="37"/>
  <c r="AJ109" i="37"/>
  <c r="AK109" i="37"/>
  <c r="AL109" i="37"/>
  <c r="I110" i="37"/>
  <c r="J110" i="37"/>
  <c r="K110" i="37"/>
  <c r="L110" i="37"/>
  <c r="M110" i="37"/>
  <c r="N110" i="37"/>
  <c r="O110" i="37"/>
  <c r="P110" i="37"/>
  <c r="Q110" i="37"/>
  <c r="R110" i="37"/>
  <c r="S110" i="37"/>
  <c r="T110" i="37"/>
  <c r="U110" i="37"/>
  <c r="V110" i="37"/>
  <c r="W110" i="37"/>
  <c r="X110" i="37"/>
  <c r="Y110" i="37"/>
  <c r="AD110" i="37"/>
  <c r="AE110" i="37"/>
  <c r="AF110" i="37"/>
  <c r="AG110" i="37"/>
  <c r="AH110" i="37"/>
  <c r="AI110" i="37"/>
  <c r="AJ110" i="37"/>
  <c r="AK110" i="37"/>
  <c r="AL110" i="37"/>
  <c r="Z112" i="37"/>
  <c r="Z119" i="37"/>
  <c r="AA112" i="37"/>
  <c r="AA119" i="37"/>
  <c r="AB112" i="37"/>
  <c r="AB119" i="37"/>
  <c r="AC112" i="37"/>
  <c r="AC119" i="37"/>
  <c r="AG112" i="37"/>
  <c r="AH112" i="37"/>
  <c r="AI112" i="37"/>
  <c r="AJ112" i="37"/>
  <c r="AK112" i="37"/>
  <c r="AL112" i="37"/>
  <c r="Z113" i="37"/>
  <c r="AA113" i="37"/>
  <c r="AB113" i="37"/>
  <c r="AC113" i="37"/>
  <c r="AG113" i="37"/>
  <c r="AH113" i="37"/>
  <c r="AI113" i="37"/>
  <c r="AJ113" i="37"/>
  <c r="AK113" i="37"/>
  <c r="AL113" i="37"/>
  <c r="Z115" i="37"/>
  <c r="AA115" i="37"/>
  <c r="AB115" i="37"/>
  <c r="AC115" i="37"/>
  <c r="AG115" i="37"/>
  <c r="AH115" i="37"/>
  <c r="AI115" i="37"/>
  <c r="AJ115" i="37"/>
  <c r="AK115" i="37"/>
  <c r="AL115" i="37"/>
  <c r="H116" i="37"/>
  <c r="I116" i="37"/>
  <c r="J116" i="37"/>
  <c r="K116" i="37"/>
  <c r="L116" i="37"/>
  <c r="M116" i="37"/>
  <c r="N116" i="37"/>
  <c r="O116" i="37"/>
  <c r="P116" i="37"/>
  <c r="Q116" i="37"/>
  <c r="R116" i="37"/>
  <c r="S116" i="37"/>
  <c r="T116" i="37"/>
  <c r="U116" i="37"/>
  <c r="V116" i="37"/>
  <c r="W116" i="37"/>
  <c r="X116" i="37"/>
  <c r="Y116" i="37"/>
  <c r="Z116" i="37"/>
  <c r="AA116" i="37"/>
  <c r="AB116" i="37"/>
  <c r="AC116" i="37"/>
  <c r="AD116" i="37"/>
  <c r="AE116" i="37"/>
  <c r="AF116" i="37"/>
  <c r="AG116" i="37"/>
  <c r="AH116" i="37"/>
  <c r="AI116" i="37"/>
  <c r="AJ116" i="37"/>
  <c r="AK116" i="37"/>
  <c r="AL116" i="37"/>
  <c r="H88" i="37"/>
  <c r="I88" i="37"/>
  <c r="I95" i="37"/>
  <c r="J88" i="37"/>
  <c r="J95" i="37"/>
  <c r="K88" i="37"/>
  <c r="K95" i="37"/>
  <c r="L88" i="37"/>
  <c r="L95" i="37"/>
  <c r="M88" i="37"/>
  <c r="M95" i="37"/>
  <c r="N88" i="37"/>
  <c r="N95" i="37"/>
  <c r="O88" i="37"/>
  <c r="O95" i="37"/>
  <c r="P88" i="37"/>
  <c r="P95" i="37"/>
  <c r="Q88" i="37"/>
  <c r="Q95" i="37"/>
  <c r="R95" i="37"/>
  <c r="S88" i="37"/>
  <c r="S95" i="37"/>
  <c r="T88" i="37"/>
  <c r="T95" i="37"/>
  <c r="U88" i="37"/>
  <c r="U95" i="37"/>
  <c r="V88" i="37"/>
  <c r="V95" i="37"/>
  <c r="W88" i="37"/>
  <c r="W95" i="37"/>
  <c r="X88" i="37"/>
  <c r="X95" i="37"/>
  <c r="Y95" i="37"/>
  <c r="AD88" i="37"/>
  <c r="AD95" i="37"/>
  <c r="AE88" i="37"/>
  <c r="AE95" i="37"/>
  <c r="AF95" i="37"/>
  <c r="AG95" i="37"/>
  <c r="AH95" i="37"/>
  <c r="AI95" i="37"/>
  <c r="AJ95" i="37"/>
  <c r="AK95" i="37"/>
  <c r="AL95" i="37"/>
  <c r="H89" i="37"/>
  <c r="I89" i="37"/>
  <c r="I96" i="37"/>
  <c r="J89" i="37"/>
  <c r="J96" i="37"/>
  <c r="K89" i="37"/>
  <c r="K96" i="37"/>
  <c r="L89" i="37"/>
  <c r="L96" i="37"/>
  <c r="M89" i="37"/>
  <c r="M96" i="37"/>
  <c r="N89" i="37"/>
  <c r="N96" i="37"/>
  <c r="O89" i="37"/>
  <c r="O96" i="37"/>
  <c r="P89" i="37"/>
  <c r="P96" i="37"/>
  <c r="Q89" i="37"/>
  <c r="Q96" i="37"/>
  <c r="R96" i="37"/>
  <c r="S89" i="37"/>
  <c r="S96" i="37"/>
  <c r="T89" i="37"/>
  <c r="T96" i="37"/>
  <c r="U89" i="37"/>
  <c r="U96" i="37"/>
  <c r="V89" i="37"/>
  <c r="V96" i="37"/>
  <c r="W89" i="37"/>
  <c r="W96" i="37"/>
  <c r="X89" i="37"/>
  <c r="X96" i="37"/>
  <c r="Y89" i="37"/>
  <c r="Y96" i="37"/>
  <c r="AD89" i="37"/>
  <c r="AD96" i="37"/>
  <c r="AE89" i="37"/>
  <c r="AE96" i="37"/>
  <c r="AF96" i="37"/>
  <c r="AG96" i="37"/>
  <c r="AH96" i="37"/>
  <c r="AI96" i="37"/>
  <c r="AJ96" i="37"/>
  <c r="AK96" i="37"/>
  <c r="AL96" i="37"/>
  <c r="H91" i="37"/>
  <c r="I91" i="37"/>
  <c r="I97" i="37"/>
  <c r="J91" i="37"/>
  <c r="J97" i="37"/>
  <c r="K91" i="37"/>
  <c r="K97" i="37"/>
  <c r="L91" i="37"/>
  <c r="L97" i="37"/>
  <c r="M91" i="37"/>
  <c r="M97" i="37"/>
  <c r="N91" i="37"/>
  <c r="N97" i="37"/>
  <c r="O91" i="37"/>
  <c r="O97" i="37"/>
  <c r="P91" i="37"/>
  <c r="P97" i="37"/>
  <c r="Q91" i="37"/>
  <c r="Q97" i="37"/>
  <c r="R91" i="37"/>
  <c r="R97" i="37"/>
  <c r="S91" i="37"/>
  <c r="S97" i="37"/>
  <c r="T91" i="37"/>
  <c r="T97" i="37"/>
  <c r="U91" i="37"/>
  <c r="U97" i="37"/>
  <c r="V91" i="37"/>
  <c r="V97" i="37"/>
  <c r="W91" i="37"/>
  <c r="W97" i="37"/>
  <c r="X91" i="37"/>
  <c r="X97" i="37"/>
  <c r="Y91" i="37"/>
  <c r="Y97" i="37"/>
  <c r="AD91" i="37"/>
  <c r="AD97" i="37"/>
  <c r="AE91" i="37"/>
  <c r="AE97" i="37"/>
  <c r="AF91" i="37"/>
  <c r="AF97" i="37"/>
  <c r="AG97" i="37"/>
  <c r="AH97" i="37"/>
  <c r="AI97" i="37"/>
  <c r="AJ97" i="37"/>
  <c r="AK97" i="37"/>
  <c r="AL97" i="37"/>
  <c r="I98" i="37"/>
  <c r="J98" i="37"/>
  <c r="K98" i="37"/>
  <c r="L98" i="37"/>
  <c r="M98" i="37"/>
  <c r="N98" i="37"/>
  <c r="O98" i="37"/>
  <c r="P98" i="37"/>
  <c r="Q98" i="37"/>
  <c r="R98" i="37"/>
  <c r="S98" i="37"/>
  <c r="T98" i="37"/>
  <c r="U98" i="37"/>
  <c r="V98" i="37"/>
  <c r="W98" i="37"/>
  <c r="X98" i="37"/>
  <c r="Y98" i="37"/>
  <c r="AD98" i="37"/>
  <c r="AE98" i="37"/>
  <c r="AF98" i="37"/>
  <c r="AG98" i="37"/>
  <c r="AH98" i="37"/>
  <c r="AI98" i="37"/>
  <c r="AJ98" i="37"/>
  <c r="AK98" i="37"/>
  <c r="AL98" i="37"/>
  <c r="Z100" i="37"/>
  <c r="Z107" i="37"/>
  <c r="AA100" i="37"/>
  <c r="AA107" i="37"/>
  <c r="AB100" i="37"/>
  <c r="AB107" i="37"/>
  <c r="AC107" i="37"/>
  <c r="AG100" i="37"/>
  <c r="AH100" i="37"/>
  <c r="AI100" i="37"/>
  <c r="AJ100" i="37"/>
  <c r="AK100" i="37"/>
  <c r="AL100" i="37"/>
  <c r="Z101" i="37"/>
  <c r="AA101" i="37"/>
  <c r="AB101" i="37"/>
  <c r="AG101" i="37"/>
  <c r="AH101" i="37"/>
  <c r="AI101" i="37"/>
  <c r="AJ101" i="37"/>
  <c r="AK101" i="37"/>
  <c r="AL101" i="37"/>
  <c r="Z103" i="37"/>
  <c r="AA103" i="37"/>
  <c r="AB103" i="37"/>
  <c r="AC103" i="37"/>
  <c r="AG103" i="37"/>
  <c r="AH103" i="37"/>
  <c r="AI103" i="37"/>
  <c r="AJ103" i="37"/>
  <c r="AK103" i="37"/>
  <c r="AL103" i="37"/>
  <c r="H104" i="37"/>
  <c r="I104" i="37"/>
  <c r="J104" i="37"/>
  <c r="K104" i="37"/>
  <c r="L104" i="37"/>
  <c r="M104" i="37"/>
  <c r="N104" i="37"/>
  <c r="O104" i="37"/>
  <c r="P104" i="37"/>
  <c r="Q104" i="37"/>
  <c r="R104" i="37"/>
  <c r="S104" i="37"/>
  <c r="T104" i="37"/>
  <c r="U104" i="37"/>
  <c r="V104" i="37"/>
  <c r="W104" i="37"/>
  <c r="X104" i="37"/>
  <c r="Z104" i="37"/>
  <c r="AA104" i="37"/>
  <c r="AB104" i="37"/>
  <c r="AC104" i="37"/>
  <c r="AD104" i="37"/>
  <c r="AE104" i="37"/>
  <c r="AF104" i="37"/>
  <c r="AG104" i="37"/>
  <c r="AH104" i="37"/>
  <c r="AI104" i="37"/>
  <c r="AJ104" i="37"/>
  <c r="AK104" i="37"/>
  <c r="AL104" i="37"/>
  <c r="I76" i="37"/>
  <c r="I83" i="37"/>
  <c r="J76" i="37"/>
  <c r="J83" i="37"/>
  <c r="K83" i="37"/>
  <c r="L76" i="37"/>
  <c r="L83" i="37"/>
  <c r="M76" i="37"/>
  <c r="M83" i="37"/>
  <c r="N76" i="37"/>
  <c r="N83" i="37"/>
  <c r="O76" i="37"/>
  <c r="O83" i="37"/>
  <c r="P76" i="37"/>
  <c r="P83" i="37"/>
  <c r="Q76" i="37"/>
  <c r="Q83" i="37"/>
  <c r="R83" i="37"/>
  <c r="S76" i="37"/>
  <c r="S83" i="37"/>
  <c r="T76" i="37"/>
  <c r="T83" i="37"/>
  <c r="U76" i="37"/>
  <c r="U83" i="37"/>
  <c r="V83" i="37"/>
  <c r="W76" i="37"/>
  <c r="W83" i="37"/>
  <c r="X76" i="37"/>
  <c r="X83" i="37"/>
  <c r="Y83" i="37"/>
  <c r="AD76" i="37"/>
  <c r="AD83" i="37"/>
  <c r="AE76" i="37"/>
  <c r="AE83" i="37"/>
  <c r="AF83" i="37"/>
  <c r="AG83" i="37"/>
  <c r="AH83" i="37"/>
  <c r="AI83" i="37"/>
  <c r="AJ83" i="37"/>
  <c r="AK83" i="37"/>
  <c r="AL83" i="37"/>
  <c r="H77" i="37"/>
  <c r="I77" i="37"/>
  <c r="I84" i="37"/>
  <c r="J77" i="37"/>
  <c r="J84" i="37"/>
  <c r="K84" i="37"/>
  <c r="L77" i="37"/>
  <c r="L84" i="37"/>
  <c r="M77" i="37"/>
  <c r="M84" i="37"/>
  <c r="N77" i="37"/>
  <c r="N84" i="37"/>
  <c r="O77" i="37"/>
  <c r="O84" i="37"/>
  <c r="P77" i="37"/>
  <c r="P84" i="37"/>
  <c r="Q77" i="37"/>
  <c r="Q84" i="37"/>
  <c r="R77" i="37"/>
  <c r="R84" i="37"/>
  <c r="S77" i="37"/>
  <c r="S84" i="37"/>
  <c r="T77" i="37"/>
  <c r="T84" i="37"/>
  <c r="U77" i="37"/>
  <c r="U84" i="37"/>
  <c r="V77" i="37"/>
  <c r="V84" i="37"/>
  <c r="W77" i="37"/>
  <c r="W84" i="37"/>
  <c r="X77" i="37"/>
  <c r="X84" i="37"/>
  <c r="Y84" i="37"/>
  <c r="AD77" i="37"/>
  <c r="AD84" i="37"/>
  <c r="AE77" i="37"/>
  <c r="AE84" i="37"/>
  <c r="AF84" i="37"/>
  <c r="AG84" i="37"/>
  <c r="AH84" i="37"/>
  <c r="AI84" i="37"/>
  <c r="AJ84" i="37"/>
  <c r="AK84" i="37"/>
  <c r="AL84" i="37"/>
  <c r="H79" i="37"/>
  <c r="I79" i="37"/>
  <c r="I85" i="37"/>
  <c r="J79" i="37"/>
  <c r="J85" i="37"/>
  <c r="K79" i="37"/>
  <c r="K85" i="37"/>
  <c r="L79" i="37"/>
  <c r="L85" i="37"/>
  <c r="M79" i="37"/>
  <c r="M85" i="37"/>
  <c r="N79" i="37"/>
  <c r="N85" i="37"/>
  <c r="O79" i="37"/>
  <c r="O85" i="37"/>
  <c r="P79" i="37"/>
  <c r="P85" i="37"/>
  <c r="Q79" i="37"/>
  <c r="Q85" i="37"/>
  <c r="R79" i="37"/>
  <c r="R85" i="37"/>
  <c r="S79" i="37"/>
  <c r="S85" i="37"/>
  <c r="T79" i="37"/>
  <c r="T85" i="37"/>
  <c r="U79" i="37"/>
  <c r="U85" i="37"/>
  <c r="V79" i="37"/>
  <c r="V85" i="37"/>
  <c r="W79" i="37"/>
  <c r="W85" i="37"/>
  <c r="X79" i="37"/>
  <c r="X85" i="37"/>
  <c r="Y79" i="37"/>
  <c r="Y85" i="37"/>
  <c r="AD79" i="37"/>
  <c r="AD85" i="37"/>
  <c r="AE79" i="37"/>
  <c r="AE85" i="37"/>
  <c r="AF79" i="37"/>
  <c r="AF85" i="37"/>
  <c r="AG85" i="37"/>
  <c r="AH85" i="37"/>
  <c r="AI85" i="37"/>
  <c r="AJ85" i="37"/>
  <c r="AK85" i="37"/>
  <c r="AL85" i="37"/>
  <c r="I86" i="37"/>
  <c r="J86" i="37"/>
  <c r="K86" i="37"/>
  <c r="L86" i="37"/>
  <c r="M86" i="37"/>
  <c r="N86" i="37"/>
  <c r="O86" i="37"/>
  <c r="P86" i="37"/>
  <c r="Q86" i="37"/>
  <c r="R86" i="37"/>
  <c r="S86" i="37"/>
  <c r="T86" i="37"/>
  <c r="U86" i="37"/>
  <c r="V86" i="37"/>
  <c r="W86" i="37"/>
  <c r="X86" i="37"/>
  <c r="Y86" i="37"/>
  <c r="AD86" i="37"/>
  <c r="AE86" i="37"/>
  <c r="AF86" i="37"/>
  <c r="AG86" i="37"/>
  <c r="AH86" i="37"/>
  <c r="AI86" i="37"/>
  <c r="AJ86" i="37"/>
  <c r="AK86" i="37"/>
  <c r="AL86" i="37"/>
  <c r="Z88" i="37"/>
  <c r="Z95" i="37"/>
  <c r="AA88" i="37"/>
  <c r="AA95" i="37"/>
  <c r="AB88" i="37"/>
  <c r="AB95" i="37"/>
  <c r="AC88" i="37"/>
  <c r="AC95" i="37"/>
  <c r="AG88" i="37"/>
  <c r="AH88" i="37"/>
  <c r="AI88" i="37"/>
  <c r="AJ88" i="37"/>
  <c r="AK88" i="37"/>
  <c r="AL88" i="37"/>
  <c r="Z89" i="37"/>
  <c r="AA89" i="37"/>
  <c r="AB89" i="37"/>
  <c r="AC89" i="37"/>
  <c r="AG89" i="37"/>
  <c r="AH89" i="37"/>
  <c r="AI89" i="37"/>
  <c r="AJ89" i="37"/>
  <c r="AK89" i="37"/>
  <c r="AL89" i="37"/>
  <c r="Z91" i="37"/>
  <c r="AA91" i="37"/>
  <c r="AB91" i="37"/>
  <c r="AC91" i="37"/>
  <c r="AG91" i="37"/>
  <c r="AH91" i="37"/>
  <c r="AI91" i="37"/>
  <c r="AJ91" i="37"/>
  <c r="AK91" i="37"/>
  <c r="AL91" i="37"/>
  <c r="H92" i="37"/>
  <c r="I92" i="37"/>
  <c r="J92" i="37"/>
  <c r="K92" i="37"/>
  <c r="L92" i="37"/>
  <c r="M92" i="37"/>
  <c r="N92" i="37"/>
  <c r="O92" i="37"/>
  <c r="P92" i="37"/>
  <c r="Q92" i="37"/>
  <c r="R92" i="37"/>
  <c r="S92" i="37"/>
  <c r="T92" i="37"/>
  <c r="U92" i="37"/>
  <c r="V92" i="37"/>
  <c r="W92" i="37"/>
  <c r="X92" i="37"/>
  <c r="Y92" i="37"/>
  <c r="Z92" i="37"/>
  <c r="AA92" i="37"/>
  <c r="AB92" i="37"/>
  <c r="AC92" i="37"/>
  <c r="AD92" i="37"/>
  <c r="AE92" i="37"/>
  <c r="AF92" i="37"/>
  <c r="AG92" i="37"/>
  <c r="AH92" i="37"/>
  <c r="AI92" i="37"/>
  <c r="AJ92" i="37"/>
  <c r="AK92" i="37"/>
  <c r="AL92" i="37"/>
  <c r="Z79" i="37"/>
  <c r="AA79" i="37"/>
  <c r="AB79" i="37"/>
  <c r="AC79" i="37"/>
  <c r="AG79" i="37"/>
  <c r="AH79" i="37"/>
  <c r="AI79" i="37"/>
  <c r="AJ79" i="37"/>
  <c r="AK79" i="37"/>
  <c r="AL79" i="37"/>
  <c r="H80" i="37"/>
  <c r="I80" i="37"/>
  <c r="J80" i="37"/>
  <c r="K80" i="37"/>
  <c r="L80" i="37"/>
  <c r="M80" i="37"/>
  <c r="N80" i="37"/>
  <c r="O80" i="37"/>
  <c r="P80" i="37"/>
  <c r="Q80" i="37"/>
  <c r="R80" i="37"/>
  <c r="S80" i="37"/>
  <c r="T80" i="37"/>
  <c r="U80" i="37"/>
  <c r="V80" i="37"/>
  <c r="W80" i="37"/>
  <c r="X80" i="37"/>
  <c r="Y80" i="37"/>
  <c r="Z80" i="37"/>
  <c r="AA80" i="37"/>
  <c r="AB80" i="37"/>
  <c r="AC80" i="37"/>
  <c r="AD80" i="37"/>
  <c r="AE80" i="37"/>
  <c r="AF80" i="37"/>
  <c r="AG80" i="37"/>
  <c r="AH80" i="37"/>
  <c r="AI80" i="37"/>
  <c r="AJ80" i="37"/>
  <c r="AK80" i="37"/>
  <c r="AL80" i="37"/>
  <c r="I64" i="37"/>
  <c r="I71" i="37"/>
  <c r="J64" i="37"/>
  <c r="J71" i="37"/>
  <c r="K64" i="37"/>
  <c r="K71" i="37"/>
  <c r="L64" i="37"/>
  <c r="L71" i="37"/>
  <c r="M64" i="37"/>
  <c r="M71" i="37"/>
  <c r="N64" i="37"/>
  <c r="N71" i="37"/>
  <c r="O71" i="37"/>
  <c r="P64" i="37"/>
  <c r="P71" i="37"/>
  <c r="Q64" i="37"/>
  <c r="Q71" i="37"/>
  <c r="R64" i="37"/>
  <c r="R71" i="37"/>
  <c r="S64" i="37"/>
  <c r="S71" i="37"/>
  <c r="T64" i="37"/>
  <c r="T71" i="37"/>
  <c r="U64" i="37"/>
  <c r="U71" i="37"/>
  <c r="V71" i="37"/>
  <c r="W64" i="37"/>
  <c r="W71" i="37"/>
  <c r="X64" i="37"/>
  <c r="X71" i="37"/>
  <c r="Y64" i="37"/>
  <c r="Y71" i="37"/>
  <c r="AD64" i="37"/>
  <c r="AD71" i="37"/>
  <c r="AE64" i="37"/>
  <c r="AE71" i="37"/>
  <c r="AF64" i="37"/>
  <c r="AF71" i="37"/>
  <c r="AG71" i="37"/>
  <c r="AH71" i="37"/>
  <c r="AI71" i="37"/>
  <c r="AJ71" i="37"/>
  <c r="AK71" i="37"/>
  <c r="AL71" i="37"/>
  <c r="H65" i="37"/>
  <c r="I65" i="37"/>
  <c r="I72" i="37"/>
  <c r="J65" i="37"/>
  <c r="J72" i="37"/>
  <c r="K65" i="37"/>
  <c r="K72" i="37"/>
  <c r="L65" i="37"/>
  <c r="L72" i="37"/>
  <c r="M65" i="37"/>
  <c r="M72" i="37"/>
  <c r="N65" i="37"/>
  <c r="N72" i="37"/>
  <c r="O72" i="37"/>
  <c r="P65" i="37"/>
  <c r="P72" i="37"/>
  <c r="Q65" i="37"/>
  <c r="Q72" i="37"/>
  <c r="R65" i="37"/>
  <c r="R72" i="37"/>
  <c r="S65" i="37"/>
  <c r="S72" i="37"/>
  <c r="T65" i="37"/>
  <c r="T72" i="37"/>
  <c r="U65" i="37"/>
  <c r="U72" i="37"/>
  <c r="V65" i="37"/>
  <c r="V72" i="37"/>
  <c r="W65" i="37"/>
  <c r="W72" i="37"/>
  <c r="X65" i="37"/>
  <c r="X72" i="37"/>
  <c r="Y65" i="37"/>
  <c r="Y72" i="37"/>
  <c r="AD65" i="37"/>
  <c r="AD72" i="37"/>
  <c r="AE65" i="37"/>
  <c r="AE72" i="37"/>
  <c r="AF65" i="37"/>
  <c r="AF72" i="37"/>
  <c r="AG72" i="37"/>
  <c r="AH72" i="37"/>
  <c r="AI72" i="37"/>
  <c r="AJ72" i="37"/>
  <c r="AK72" i="37"/>
  <c r="AL72" i="37"/>
  <c r="H67" i="37"/>
  <c r="I67" i="37"/>
  <c r="I73" i="37"/>
  <c r="J67" i="37"/>
  <c r="J73" i="37"/>
  <c r="K67" i="37"/>
  <c r="K73" i="37"/>
  <c r="L67" i="37"/>
  <c r="L73" i="37"/>
  <c r="M67" i="37"/>
  <c r="M73" i="37"/>
  <c r="N67" i="37"/>
  <c r="N73" i="37"/>
  <c r="O67" i="37"/>
  <c r="O73" i="37"/>
  <c r="P67" i="37"/>
  <c r="P73" i="37"/>
  <c r="Q67" i="37"/>
  <c r="Q73" i="37"/>
  <c r="R67" i="37"/>
  <c r="R73" i="37"/>
  <c r="S67" i="37"/>
  <c r="S73" i="37"/>
  <c r="T67" i="37"/>
  <c r="T73" i="37"/>
  <c r="U67" i="37"/>
  <c r="U73" i="37"/>
  <c r="V67" i="37"/>
  <c r="V73" i="37"/>
  <c r="W67" i="37"/>
  <c r="W73" i="37"/>
  <c r="X67" i="37"/>
  <c r="X73" i="37"/>
  <c r="Y67" i="37"/>
  <c r="Y73" i="37"/>
  <c r="AD67" i="37"/>
  <c r="AD73" i="37"/>
  <c r="AE67" i="37"/>
  <c r="AE73" i="37"/>
  <c r="AF67" i="37"/>
  <c r="AF73" i="37"/>
  <c r="AG73" i="37"/>
  <c r="AH73" i="37"/>
  <c r="AI73" i="37"/>
  <c r="AJ73" i="37"/>
  <c r="AK73" i="37"/>
  <c r="AL73" i="37"/>
  <c r="I74" i="37"/>
  <c r="J74" i="37"/>
  <c r="K74" i="37"/>
  <c r="L74" i="37"/>
  <c r="M74" i="37"/>
  <c r="N74" i="37"/>
  <c r="O74" i="37"/>
  <c r="P74" i="37"/>
  <c r="Q74" i="37"/>
  <c r="R74" i="37"/>
  <c r="S74" i="37"/>
  <c r="T74" i="37"/>
  <c r="U74" i="37"/>
  <c r="V74" i="37"/>
  <c r="W74" i="37"/>
  <c r="X74" i="37"/>
  <c r="Y74" i="37"/>
  <c r="AD74" i="37"/>
  <c r="AE74" i="37"/>
  <c r="AF74" i="37"/>
  <c r="AG74" i="37"/>
  <c r="AH74" i="37"/>
  <c r="AI74" i="37"/>
  <c r="AJ74" i="37"/>
  <c r="AK74" i="37"/>
  <c r="AL74" i="37"/>
  <c r="Z76" i="37"/>
  <c r="Z83" i="37"/>
  <c r="AA76" i="37"/>
  <c r="AA83" i="37"/>
  <c r="AB76" i="37"/>
  <c r="AB83" i="37"/>
  <c r="AC76" i="37"/>
  <c r="AC83" i="37"/>
  <c r="AG76" i="37"/>
  <c r="AH76" i="37"/>
  <c r="AI76" i="37"/>
  <c r="AJ76" i="37"/>
  <c r="AK76" i="37"/>
  <c r="AL76" i="37"/>
  <c r="Z77" i="37"/>
  <c r="AA77" i="37"/>
  <c r="AB77" i="37"/>
  <c r="AC77" i="37"/>
  <c r="AG77" i="37"/>
  <c r="AH77" i="37"/>
  <c r="AI77" i="37"/>
  <c r="AJ77" i="37"/>
  <c r="AK77" i="37"/>
  <c r="AL77" i="37"/>
  <c r="I52" i="37"/>
  <c r="I59" i="37"/>
  <c r="J52" i="37"/>
  <c r="J59" i="37"/>
  <c r="K59" i="37"/>
  <c r="L52" i="37"/>
  <c r="L59" i="37"/>
  <c r="M52" i="37"/>
  <c r="M59" i="37"/>
  <c r="N52" i="37"/>
  <c r="N59" i="37"/>
  <c r="O52" i="37"/>
  <c r="O59" i="37"/>
  <c r="P52" i="37"/>
  <c r="P59" i="37"/>
  <c r="Q52" i="37"/>
  <c r="Q59" i="37"/>
  <c r="R59" i="37"/>
  <c r="S52" i="37"/>
  <c r="S59" i="37"/>
  <c r="T52" i="37"/>
  <c r="T59" i="37"/>
  <c r="U52" i="37"/>
  <c r="U59" i="37"/>
  <c r="V59" i="37"/>
  <c r="W52" i="37"/>
  <c r="W59" i="37"/>
  <c r="X52" i="37"/>
  <c r="X59" i="37"/>
  <c r="Y52" i="37"/>
  <c r="Y59" i="37"/>
  <c r="AD52" i="37"/>
  <c r="AD59" i="37"/>
  <c r="AE52" i="37"/>
  <c r="AE59" i="37"/>
  <c r="AF59" i="37"/>
  <c r="AG59" i="37"/>
  <c r="AH59" i="37"/>
  <c r="AI59" i="37"/>
  <c r="AJ59" i="37"/>
  <c r="AK59" i="37"/>
  <c r="AL59" i="37"/>
  <c r="I53" i="37"/>
  <c r="I60" i="37"/>
  <c r="J53" i="37"/>
  <c r="J60" i="37"/>
  <c r="K60" i="37"/>
  <c r="L53" i="37"/>
  <c r="L60" i="37"/>
  <c r="M53" i="37"/>
  <c r="M60" i="37"/>
  <c r="N53" i="37"/>
  <c r="N60" i="37"/>
  <c r="O53" i="37"/>
  <c r="O60" i="37"/>
  <c r="P53" i="37"/>
  <c r="P60" i="37"/>
  <c r="Q53" i="37"/>
  <c r="Q60" i="37"/>
  <c r="R60" i="37"/>
  <c r="S53" i="37"/>
  <c r="S60" i="37"/>
  <c r="T53" i="37"/>
  <c r="T60" i="37"/>
  <c r="U53" i="37"/>
  <c r="U60" i="37"/>
  <c r="V53" i="37"/>
  <c r="V60" i="37"/>
  <c r="W53" i="37"/>
  <c r="W60" i="37"/>
  <c r="X53" i="37"/>
  <c r="X60" i="37"/>
  <c r="Y53" i="37"/>
  <c r="Y60" i="37"/>
  <c r="AD53" i="37"/>
  <c r="AD60" i="37"/>
  <c r="AE53" i="37"/>
  <c r="AE60" i="37"/>
  <c r="AF60" i="37"/>
  <c r="AG60" i="37"/>
  <c r="AH60" i="37"/>
  <c r="AI60" i="37"/>
  <c r="AJ60" i="37"/>
  <c r="AK60" i="37"/>
  <c r="AL60" i="37"/>
  <c r="H55" i="37"/>
  <c r="I55" i="37"/>
  <c r="I61" i="37"/>
  <c r="J55" i="37"/>
  <c r="J61" i="37"/>
  <c r="K55" i="37"/>
  <c r="K61" i="37"/>
  <c r="L55" i="37"/>
  <c r="L61" i="37"/>
  <c r="M55" i="37"/>
  <c r="M61" i="37"/>
  <c r="N55" i="37"/>
  <c r="N61" i="37"/>
  <c r="O55" i="37"/>
  <c r="O61" i="37"/>
  <c r="P55" i="37"/>
  <c r="P61" i="37"/>
  <c r="Q55" i="37"/>
  <c r="Q61" i="37"/>
  <c r="R55" i="37"/>
  <c r="R61" i="37"/>
  <c r="S55" i="37"/>
  <c r="S61" i="37"/>
  <c r="T55" i="37"/>
  <c r="T61" i="37"/>
  <c r="U55" i="37"/>
  <c r="U61" i="37"/>
  <c r="V55" i="37"/>
  <c r="V61" i="37"/>
  <c r="W55" i="37"/>
  <c r="W61" i="37"/>
  <c r="X55" i="37"/>
  <c r="X61" i="37"/>
  <c r="Y55" i="37"/>
  <c r="Y61" i="37"/>
  <c r="AD55" i="37"/>
  <c r="AD61" i="37"/>
  <c r="AE55" i="37"/>
  <c r="AE61" i="37"/>
  <c r="AF55" i="37"/>
  <c r="AF61" i="37"/>
  <c r="AG61" i="37"/>
  <c r="AH61" i="37"/>
  <c r="AI61" i="37"/>
  <c r="AJ61" i="37"/>
  <c r="AK61" i="37"/>
  <c r="AL61" i="37"/>
  <c r="I62" i="37"/>
  <c r="J62" i="37"/>
  <c r="K62" i="37"/>
  <c r="L62" i="37"/>
  <c r="M62" i="37"/>
  <c r="N62" i="37"/>
  <c r="O62" i="37"/>
  <c r="P62" i="37"/>
  <c r="Q62" i="37"/>
  <c r="R62" i="37"/>
  <c r="S62" i="37"/>
  <c r="T62" i="37"/>
  <c r="U62" i="37"/>
  <c r="V62" i="37"/>
  <c r="W62" i="37"/>
  <c r="X62" i="37"/>
  <c r="Y62" i="37"/>
  <c r="AD62" i="37"/>
  <c r="AE62" i="37"/>
  <c r="AF62" i="37"/>
  <c r="AG62" i="37"/>
  <c r="AH62" i="37"/>
  <c r="AI62" i="37"/>
  <c r="AJ62" i="37"/>
  <c r="AK62" i="37"/>
  <c r="AL62" i="37"/>
  <c r="Z64" i="37"/>
  <c r="Z71" i="37"/>
  <c r="AA64" i="37"/>
  <c r="AA71" i="37"/>
  <c r="AB64" i="37"/>
  <c r="AB71" i="37"/>
  <c r="AC64" i="37"/>
  <c r="AC71" i="37"/>
  <c r="AG64" i="37"/>
  <c r="AH64" i="37"/>
  <c r="AI64" i="37"/>
  <c r="AJ64" i="37"/>
  <c r="AK64" i="37"/>
  <c r="AL64" i="37"/>
  <c r="Z65" i="37"/>
  <c r="AA65" i="37"/>
  <c r="AB65" i="37"/>
  <c r="AC65" i="37"/>
  <c r="AG65" i="37"/>
  <c r="AH65" i="37"/>
  <c r="AI65" i="37"/>
  <c r="AJ65" i="37"/>
  <c r="AK65" i="37"/>
  <c r="AL65" i="37"/>
  <c r="Z67" i="37"/>
  <c r="AA67" i="37"/>
  <c r="AB67" i="37"/>
  <c r="AC67" i="37"/>
  <c r="AG67" i="37"/>
  <c r="AH67" i="37"/>
  <c r="AI67" i="37"/>
  <c r="AJ67" i="37"/>
  <c r="AK67" i="37"/>
  <c r="AL67" i="37"/>
  <c r="H68" i="37"/>
  <c r="I68" i="37"/>
  <c r="J68" i="37"/>
  <c r="K68" i="37"/>
  <c r="L68" i="37"/>
  <c r="M68" i="37"/>
  <c r="N68" i="37"/>
  <c r="O68" i="37"/>
  <c r="P68" i="37"/>
  <c r="Q68" i="37"/>
  <c r="R68" i="37"/>
  <c r="S68" i="37"/>
  <c r="T68" i="37"/>
  <c r="U68" i="37"/>
  <c r="V68" i="37"/>
  <c r="W68" i="37"/>
  <c r="X68" i="37"/>
  <c r="Y68" i="37"/>
  <c r="Z68" i="37"/>
  <c r="AA68" i="37"/>
  <c r="AB68" i="37"/>
  <c r="AC68" i="37"/>
  <c r="AD68" i="37"/>
  <c r="AE68" i="37"/>
  <c r="AF68" i="37"/>
  <c r="AG68" i="37"/>
  <c r="AH68" i="37"/>
  <c r="AI68" i="37"/>
  <c r="AJ68" i="37"/>
  <c r="AK68" i="37"/>
  <c r="AL68" i="37"/>
  <c r="H40" i="37"/>
  <c r="I40" i="37"/>
  <c r="I47" i="37"/>
  <c r="J40" i="37"/>
  <c r="J47" i="37"/>
  <c r="K47" i="37"/>
  <c r="L40" i="37"/>
  <c r="L47" i="37"/>
  <c r="M40" i="37"/>
  <c r="M47" i="37"/>
  <c r="N40" i="37"/>
  <c r="N47" i="37"/>
  <c r="O47" i="37"/>
  <c r="P40" i="37"/>
  <c r="P47" i="37"/>
  <c r="Q40" i="37"/>
  <c r="Q47" i="37"/>
  <c r="R47" i="37"/>
  <c r="S40" i="37"/>
  <c r="S47" i="37"/>
  <c r="T40" i="37"/>
  <c r="T47" i="37"/>
  <c r="U40" i="37"/>
  <c r="U47" i="37"/>
  <c r="V47" i="37"/>
  <c r="W40" i="37"/>
  <c r="W47" i="37"/>
  <c r="X40" i="37"/>
  <c r="X47" i="37"/>
  <c r="Y47" i="37"/>
  <c r="Z40" i="37"/>
  <c r="Z47" i="37"/>
  <c r="AA40" i="37"/>
  <c r="AA47" i="37"/>
  <c r="AB40" i="37"/>
  <c r="AB47" i="37"/>
  <c r="AC47" i="37"/>
  <c r="AD40" i="37"/>
  <c r="AD47" i="37"/>
  <c r="AE40" i="37"/>
  <c r="AE47" i="37"/>
  <c r="AF47" i="37"/>
  <c r="AG40" i="37"/>
  <c r="AG47" i="37"/>
  <c r="AH40" i="37"/>
  <c r="AH47" i="37"/>
  <c r="AI40" i="37"/>
  <c r="AI47" i="37"/>
  <c r="AJ40" i="37"/>
  <c r="AJ47" i="37"/>
  <c r="AK40" i="37"/>
  <c r="AK47" i="37"/>
  <c r="AL40" i="37"/>
  <c r="AL47" i="37"/>
  <c r="I41" i="37"/>
  <c r="I48" i="37"/>
  <c r="J41" i="37"/>
  <c r="J48" i="37"/>
  <c r="K48" i="37"/>
  <c r="L41" i="37"/>
  <c r="L48" i="37"/>
  <c r="M41" i="37"/>
  <c r="M48" i="37"/>
  <c r="N41" i="37"/>
  <c r="N48" i="37"/>
  <c r="O41" i="37"/>
  <c r="O48" i="37"/>
  <c r="P41" i="37"/>
  <c r="P48" i="37"/>
  <c r="Q41" i="37"/>
  <c r="Q48" i="37"/>
  <c r="R48" i="37"/>
  <c r="S41" i="37"/>
  <c r="S48" i="37"/>
  <c r="T41" i="37"/>
  <c r="T48" i="37"/>
  <c r="U41" i="37"/>
  <c r="U48" i="37"/>
  <c r="V48" i="37"/>
  <c r="W41" i="37"/>
  <c r="W48" i="37"/>
  <c r="X41" i="37"/>
  <c r="X48" i="37"/>
  <c r="Y48" i="37"/>
  <c r="Z41" i="37"/>
  <c r="Z48" i="37"/>
  <c r="AA41" i="37"/>
  <c r="AA48" i="37"/>
  <c r="AB41" i="37"/>
  <c r="AB48" i="37"/>
  <c r="AC41" i="37"/>
  <c r="AC48" i="37"/>
  <c r="AD41" i="37"/>
  <c r="AD48" i="37"/>
  <c r="AE41" i="37"/>
  <c r="AE48" i="37"/>
  <c r="AF48" i="37"/>
  <c r="AG41" i="37"/>
  <c r="AG48" i="37"/>
  <c r="AH41" i="37"/>
  <c r="AH48" i="37"/>
  <c r="AI41" i="37"/>
  <c r="AI48" i="37"/>
  <c r="AJ41" i="37"/>
  <c r="AJ48" i="37"/>
  <c r="AK41" i="37"/>
  <c r="AK48" i="37"/>
  <c r="AL41" i="37"/>
  <c r="AL48" i="37"/>
  <c r="I43" i="37"/>
  <c r="I49" i="37"/>
  <c r="J43" i="37"/>
  <c r="J49" i="37"/>
  <c r="K43" i="37"/>
  <c r="K49" i="37"/>
  <c r="L43" i="37"/>
  <c r="L49" i="37"/>
  <c r="M43" i="37"/>
  <c r="M49" i="37"/>
  <c r="N43" i="37"/>
  <c r="N49" i="37"/>
  <c r="O43" i="37"/>
  <c r="O49" i="37"/>
  <c r="P43" i="37"/>
  <c r="P49" i="37"/>
  <c r="Q43" i="37"/>
  <c r="Q49" i="37"/>
  <c r="R43" i="37"/>
  <c r="R49" i="37"/>
  <c r="S43" i="37"/>
  <c r="S49" i="37"/>
  <c r="T43" i="37"/>
  <c r="T49" i="37"/>
  <c r="U43" i="37"/>
  <c r="U49" i="37"/>
  <c r="V43" i="37"/>
  <c r="V49" i="37"/>
  <c r="W43" i="37"/>
  <c r="W49" i="37"/>
  <c r="X43" i="37"/>
  <c r="X49" i="37"/>
  <c r="Y43" i="37"/>
  <c r="Y49" i="37"/>
  <c r="AD43" i="37"/>
  <c r="AD49" i="37"/>
  <c r="AE43" i="37"/>
  <c r="AE49" i="37"/>
  <c r="AF43" i="37"/>
  <c r="AF49" i="37"/>
  <c r="AG49" i="37"/>
  <c r="AH49" i="37"/>
  <c r="AI49" i="37"/>
  <c r="AJ49" i="37"/>
  <c r="AK49" i="37"/>
  <c r="AL49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AD50" i="37"/>
  <c r="AE50" i="37"/>
  <c r="AF50" i="37"/>
  <c r="AG50" i="37"/>
  <c r="AH50" i="37"/>
  <c r="AI50" i="37"/>
  <c r="AJ50" i="37"/>
  <c r="AK50" i="37"/>
  <c r="AL50" i="37"/>
  <c r="Z52" i="37"/>
  <c r="Z59" i="37"/>
  <c r="AA52" i="37"/>
  <c r="AA59" i="37"/>
  <c r="AB52" i="37"/>
  <c r="AB59" i="37"/>
  <c r="AC52" i="37"/>
  <c r="AC59" i="37"/>
  <c r="AG52" i="37"/>
  <c r="AH52" i="37"/>
  <c r="AI52" i="37"/>
  <c r="AJ52" i="37"/>
  <c r="AK52" i="37"/>
  <c r="AL52" i="37"/>
  <c r="Z53" i="37"/>
  <c r="AA53" i="37"/>
  <c r="AB53" i="37"/>
  <c r="AC53" i="37"/>
  <c r="AG53" i="37"/>
  <c r="AH53" i="37"/>
  <c r="AI53" i="37"/>
  <c r="AJ53" i="37"/>
  <c r="AK53" i="37"/>
  <c r="AL53" i="37"/>
  <c r="Z55" i="37"/>
  <c r="AA55" i="37"/>
  <c r="AB55" i="37"/>
  <c r="AC55" i="37"/>
  <c r="AG55" i="37"/>
  <c r="AH55" i="37"/>
  <c r="AI55" i="37"/>
  <c r="AJ55" i="37"/>
  <c r="AK55" i="37"/>
  <c r="AL55" i="37"/>
  <c r="H56" i="37"/>
  <c r="I56" i="37"/>
  <c r="J56" i="37"/>
  <c r="K56" i="37"/>
  <c r="L56" i="37"/>
  <c r="M56" i="37"/>
  <c r="N56" i="37"/>
  <c r="O56" i="37"/>
  <c r="P56" i="37"/>
  <c r="Q56" i="37"/>
  <c r="R56" i="37"/>
  <c r="S56" i="37"/>
  <c r="T56" i="37"/>
  <c r="U56" i="37"/>
  <c r="V56" i="37"/>
  <c r="W56" i="37"/>
  <c r="X56" i="37"/>
  <c r="Y56" i="37"/>
  <c r="Z56" i="37"/>
  <c r="AA56" i="37"/>
  <c r="AB56" i="37"/>
  <c r="AC56" i="37"/>
  <c r="AD56" i="37"/>
  <c r="AE56" i="37"/>
  <c r="AF56" i="37"/>
  <c r="AG56" i="37"/>
  <c r="AH56" i="37"/>
  <c r="AI56" i="37"/>
  <c r="AJ56" i="37"/>
  <c r="AK56" i="37"/>
  <c r="AL56" i="37"/>
  <c r="H28" i="37"/>
  <c r="I28" i="37"/>
  <c r="I35" i="37"/>
  <c r="J28" i="37"/>
  <c r="J35" i="37"/>
  <c r="K35" i="37"/>
  <c r="L28" i="37"/>
  <c r="L35" i="37"/>
  <c r="M28" i="37"/>
  <c r="M35" i="37"/>
  <c r="N28" i="37"/>
  <c r="N35" i="37"/>
  <c r="O28" i="37"/>
  <c r="O35" i="37"/>
  <c r="P28" i="37"/>
  <c r="P35" i="37"/>
  <c r="Q28" i="37"/>
  <c r="Q35" i="37"/>
  <c r="R35" i="37"/>
  <c r="S28" i="37"/>
  <c r="S35" i="37"/>
  <c r="T28" i="37"/>
  <c r="T35" i="37"/>
  <c r="U28" i="37"/>
  <c r="U35" i="37"/>
  <c r="V28" i="37"/>
  <c r="V35" i="37"/>
  <c r="W28" i="37"/>
  <c r="W35" i="37"/>
  <c r="X28" i="37"/>
  <c r="X35" i="37"/>
  <c r="Y35" i="37"/>
  <c r="Z28" i="37"/>
  <c r="Z35" i="37"/>
  <c r="AA28" i="37"/>
  <c r="AA35" i="37"/>
  <c r="AB28" i="37"/>
  <c r="AB35" i="37"/>
  <c r="AC28" i="37"/>
  <c r="AC35" i="37"/>
  <c r="AD28" i="37"/>
  <c r="AD35" i="37"/>
  <c r="AE28" i="37"/>
  <c r="AE35" i="37"/>
  <c r="AF35" i="37"/>
  <c r="AG28" i="37"/>
  <c r="AG35" i="37"/>
  <c r="AH28" i="37"/>
  <c r="AH35" i="37"/>
  <c r="AI28" i="37"/>
  <c r="AI35" i="37"/>
  <c r="AJ28" i="37"/>
  <c r="AJ35" i="37"/>
  <c r="AK28" i="37"/>
  <c r="AK35" i="37"/>
  <c r="AL28" i="37"/>
  <c r="AL35" i="37"/>
  <c r="I29" i="37"/>
  <c r="I36" i="37"/>
  <c r="J29" i="37"/>
  <c r="J36" i="37"/>
  <c r="K36" i="37"/>
  <c r="L29" i="37"/>
  <c r="L36" i="37"/>
  <c r="M29" i="37"/>
  <c r="M36" i="37"/>
  <c r="N29" i="37"/>
  <c r="N36" i="37"/>
  <c r="O29" i="37"/>
  <c r="O36" i="37"/>
  <c r="P29" i="37"/>
  <c r="P36" i="37"/>
  <c r="Q29" i="37"/>
  <c r="Q36" i="37"/>
  <c r="R36" i="37"/>
  <c r="S29" i="37"/>
  <c r="S36" i="37"/>
  <c r="T29" i="37"/>
  <c r="T36" i="37"/>
  <c r="U29" i="37"/>
  <c r="U36" i="37"/>
  <c r="V29" i="37"/>
  <c r="V36" i="37"/>
  <c r="W29" i="37"/>
  <c r="W36" i="37"/>
  <c r="X29" i="37"/>
  <c r="X36" i="37"/>
  <c r="Y29" i="37"/>
  <c r="Y36" i="37"/>
  <c r="Z29" i="37"/>
  <c r="Z36" i="37"/>
  <c r="AA29" i="37"/>
  <c r="AA36" i="37"/>
  <c r="AB29" i="37"/>
  <c r="AB36" i="37"/>
  <c r="AC29" i="37"/>
  <c r="AC36" i="37"/>
  <c r="AD29" i="37"/>
  <c r="AD36" i="37"/>
  <c r="AE29" i="37"/>
  <c r="AE36" i="37"/>
  <c r="AF36" i="37"/>
  <c r="AG29" i="37"/>
  <c r="AG36" i="37"/>
  <c r="AH29" i="37"/>
  <c r="AH36" i="37"/>
  <c r="AI29" i="37"/>
  <c r="AI36" i="37"/>
  <c r="AJ29" i="37"/>
  <c r="AJ36" i="37"/>
  <c r="AK29" i="37"/>
  <c r="AK36" i="37"/>
  <c r="AL29" i="37"/>
  <c r="AL36" i="37"/>
  <c r="I31" i="37"/>
  <c r="I37" i="37"/>
  <c r="J31" i="37"/>
  <c r="J37" i="37"/>
  <c r="K31" i="37"/>
  <c r="K37" i="37"/>
  <c r="L31" i="37"/>
  <c r="L37" i="37"/>
  <c r="M31" i="37"/>
  <c r="M37" i="37"/>
  <c r="N31" i="37"/>
  <c r="N37" i="37"/>
  <c r="O31" i="37"/>
  <c r="O37" i="37"/>
  <c r="P31" i="37"/>
  <c r="P37" i="37"/>
  <c r="Q31" i="37"/>
  <c r="Q37" i="37"/>
  <c r="R31" i="37"/>
  <c r="R37" i="37"/>
  <c r="S31" i="37"/>
  <c r="S37" i="37"/>
  <c r="T31" i="37"/>
  <c r="T37" i="37"/>
  <c r="U31" i="37"/>
  <c r="U37" i="37"/>
  <c r="V31" i="37"/>
  <c r="V37" i="37"/>
  <c r="W31" i="37"/>
  <c r="W37" i="37"/>
  <c r="X31" i="37"/>
  <c r="X37" i="37"/>
  <c r="Y31" i="37"/>
  <c r="Y37" i="37"/>
  <c r="AD31" i="37"/>
  <c r="AD37" i="37"/>
  <c r="AE31" i="37"/>
  <c r="AE37" i="37"/>
  <c r="AF31" i="37"/>
  <c r="AF37" i="37"/>
  <c r="AG37" i="37"/>
  <c r="AH37" i="37"/>
  <c r="AI37" i="37"/>
  <c r="AJ37" i="37"/>
  <c r="AK37" i="37"/>
  <c r="AL37" i="37"/>
  <c r="I38" i="37"/>
  <c r="J38" i="37"/>
  <c r="K38" i="37"/>
  <c r="L38" i="37"/>
  <c r="M38" i="37"/>
  <c r="N38" i="37"/>
  <c r="O38" i="37"/>
  <c r="P38" i="37"/>
  <c r="Q38" i="37"/>
  <c r="R38" i="37"/>
  <c r="S38" i="37"/>
  <c r="T38" i="37"/>
  <c r="U38" i="37"/>
  <c r="V38" i="37"/>
  <c r="W38" i="37"/>
  <c r="X38" i="37"/>
  <c r="Y38" i="37"/>
  <c r="AD38" i="37"/>
  <c r="AE38" i="37"/>
  <c r="AF38" i="37"/>
  <c r="AG38" i="37"/>
  <c r="AH38" i="37"/>
  <c r="AI38" i="37"/>
  <c r="AJ38" i="37"/>
  <c r="AK38" i="37"/>
  <c r="AL38" i="37"/>
  <c r="Z43" i="37"/>
  <c r="Z49" i="37"/>
  <c r="Z50" i="37"/>
  <c r="AA43" i="37"/>
  <c r="AA49" i="37"/>
  <c r="AA50" i="37"/>
  <c r="AB43" i="37"/>
  <c r="AB49" i="37"/>
  <c r="AB50" i="37"/>
  <c r="AC43" i="37"/>
  <c r="AC49" i="37"/>
  <c r="AC50" i="37"/>
  <c r="AG43" i="37"/>
  <c r="AH43" i="37"/>
  <c r="AI43" i="37"/>
  <c r="AJ43" i="37"/>
  <c r="AK43" i="37"/>
  <c r="AL43" i="37"/>
  <c r="I44" i="37"/>
  <c r="J44" i="37"/>
  <c r="K44" i="37"/>
  <c r="L44" i="37"/>
  <c r="M44" i="37"/>
  <c r="N44" i="37"/>
  <c r="O44" i="37"/>
  <c r="P44" i="37"/>
  <c r="Q44" i="37"/>
  <c r="R44" i="37"/>
  <c r="S44" i="37"/>
  <c r="T44" i="37"/>
  <c r="U44" i="37"/>
  <c r="V44" i="37"/>
  <c r="W44" i="37"/>
  <c r="X44" i="37"/>
  <c r="Y44" i="37"/>
  <c r="Z44" i="37"/>
  <c r="AA44" i="37"/>
  <c r="AB44" i="37"/>
  <c r="AC44" i="37"/>
  <c r="AD44" i="37"/>
  <c r="AE44" i="37"/>
  <c r="AF44" i="37"/>
  <c r="AG44" i="37"/>
  <c r="AH44" i="37"/>
  <c r="AI44" i="37"/>
  <c r="AJ44" i="37"/>
  <c r="AK44" i="37"/>
  <c r="AL44" i="37"/>
  <c r="I16" i="37"/>
  <c r="I23" i="37"/>
  <c r="J16" i="37"/>
  <c r="J23" i="37"/>
  <c r="K23" i="37"/>
  <c r="L16" i="37"/>
  <c r="L23" i="37"/>
  <c r="M16" i="37"/>
  <c r="M23" i="37"/>
  <c r="N16" i="37"/>
  <c r="N23" i="37"/>
  <c r="O23" i="37"/>
  <c r="P16" i="37"/>
  <c r="P23" i="37"/>
  <c r="Q16" i="37"/>
  <c r="Q23" i="37"/>
  <c r="R16" i="37"/>
  <c r="R23" i="37"/>
  <c r="S16" i="37"/>
  <c r="S23" i="37"/>
  <c r="T16" i="37"/>
  <c r="T23" i="37"/>
  <c r="U16" i="37"/>
  <c r="U23" i="37"/>
  <c r="V16" i="37"/>
  <c r="V23" i="37"/>
  <c r="W16" i="37"/>
  <c r="W23" i="37"/>
  <c r="X16" i="37"/>
  <c r="X23" i="37"/>
  <c r="Y23" i="37"/>
  <c r="Z16" i="37"/>
  <c r="Z23" i="37"/>
  <c r="AA16" i="37"/>
  <c r="AA23" i="37"/>
  <c r="AB16" i="37"/>
  <c r="AB23" i="37"/>
  <c r="AC23" i="37"/>
  <c r="AD16" i="37"/>
  <c r="AD23" i="37"/>
  <c r="AE16" i="37"/>
  <c r="AE23" i="37"/>
  <c r="AF23" i="37"/>
  <c r="AG16" i="37"/>
  <c r="AG23" i="37"/>
  <c r="AH16" i="37"/>
  <c r="AH23" i="37"/>
  <c r="AI16" i="37"/>
  <c r="AI23" i="37"/>
  <c r="AJ16" i="37"/>
  <c r="AJ23" i="37"/>
  <c r="AK16" i="37"/>
  <c r="AK23" i="37"/>
  <c r="AL16" i="37"/>
  <c r="AL23" i="37"/>
  <c r="I17" i="37"/>
  <c r="I24" i="37"/>
  <c r="J17" i="37"/>
  <c r="J24" i="37"/>
  <c r="K24" i="37"/>
  <c r="L17" i="37"/>
  <c r="L24" i="37"/>
  <c r="M17" i="37"/>
  <c r="M24" i="37"/>
  <c r="N17" i="37"/>
  <c r="N24" i="37"/>
  <c r="O24" i="37"/>
  <c r="P17" i="37"/>
  <c r="P24" i="37"/>
  <c r="Q17" i="37"/>
  <c r="Q24" i="37"/>
  <c r="R17" i="37"/>
  <c r="R24" i="37"/>
  <c r="S17" i="37"/>
  <c r="S24" i="37"/>
  <c r="T17" i="37"/>
  <c r="T24" i="37"/>
  <c r="U17" i="37"/>
  <c r="U24" i="37"/>
  <c r="V17" i="37"/>
  <c r="V24" i="37"/>
  <c r="W17" i="37"/>
  <c r="W24" i="37"/>
  <c r="X17" i="37"/>
  <c r="X24" i="37"/>
  <c r="Y17" i="37"/>
  <c r="Y24" i="37"/>
  <c r="Z17" i="37"/>
  <c r="Z24" i="37"/>
  <c r="AA17" i="37"/>
  <c r="AA24" i="37"/>
  <c r="AB17" i="37"/>
  <c r="AB24" i="37"/>
  <c r="AC17" i="37"/>
  <c r="AC24" i="37"/>
  <c r="AD17" i="37"/>
  <c r="AD24" i="37"/>
  <c r="AE17" i="37"/>
  <c r="AE24" i="37"/>
  <c r="AF24" i="37"/>
  <c r="AG17" i="37"/>
  <c r="AG24" i="37"/>
  <c r="AH17" i="37"/>
  <c r="AH24" i="37"/>
  <c r="AI17" i="37"/>
  <c r="AI24" i="37"/>
  <c r="AJ17" i="37"/>
  <c r="AJ24" i="37"/>
  <c r="AK17" i="37"/>
  <c r="AK24" i="37"/>
  <c r="AL17" i="37"/>
  <c r="AL24" i="37"/>
  <c r="I19" i="37"/>
  <c r="I25" i="37"/>
  <c r="J19" i="37"/>
  <c r="J25" i="37"/>
  <c r="K19" i="37"/>
  <c r="K25" i="37"/>
  <c r="L19" i="37"/>
  <c r="L25" i="37"/>
  <c r="M19" i="37"/>
  <c r="M25" i="37"/>
  <c r="N19" i="37"/>
  <c r="N25" i="37"/>
  <c r="O19" i="37"/>
  <c r="O25" i="37"/>
  <c r="P19" i="37"/>
  <c r="P25" i="37"/>
  <c r="Q19" i="37"/>
  <c r="Q25" i="37"/>
  <c r="R19" i="37"/>
  <c r="R25" i="37"/>
  <c r="S19" i="37"/>
  <c r="S25" i="37"/>
  <c r="T19" i="37"/>
  <c r="T25" i="37"/>
  <c r="U19" i="37"/>
  <c r="U25" i="37"/>
  <c r="V19" i="37"/>
  <c r="V25" i="37"/>
  <c r="W19" i="37"/>
  <c r="W25" i="37"/>
  <c r="X19" i="37"/>
  <c r="X25" i="37"/>
  <c r="Y19" i="37"/>
  <c r="Y25" i="37"/>
  <c r="AD19" i="37"/>
  <c r="AD25" i="37"/>
  <c r="AE19" i="37"/>
  <c r="AE25" i="37"/>
  <c r="AF19" i="37"/>
  <c r="AF25" i="37"/>
  <c r="AG25" i="37"/>
  <c r="AH25" i="37"/>
  <c r="AI25" i="37"/>
  <c r="AJ25" i="37"/>
  <c r="AK25" i="37"/>
  <c r="AL25" i="37"/>
  <c r="I26" i="37"/>
  <c r="J26" i="37"/>
  <c r="K26" i="37"/>
  <c r="L26" i="37"/>
  <c r="M26" i="37"/>
  <c r="N26" i="37"/>
  <c r="O26" i="37"/>
  <c r="P26" i="37"/>
  <c r="Q26" i="37"/>
  <c r="R26" i="37"/>
  <c r="S26" i="37"/>
  <c r="T26" i="37"/>
  <c r="U26" i="37"/>
  <c r="V26" i="37"/>
  <c r="W26" i="37"/>
  <c r="X26" i="37"/>
  <c r="Y26" i="37"/>
  <c r="AD26" i="37"/>
  <c r="AE26" i="37"/>
  <c r="AF26" i="37"/>
  <c r="AG26" i="37"/>
  <c r="AH26" i="37"/>
  <c r="AI26" i="37"/>
  <c r="AJ26" i="37"/>
  <c r="AK26" i="37"/>
  <c r="AL26" i="37"/>
  <c r="Z31" i="37"/>
  <c r="Z37" i="37"/>
  <c r="Z38" i="37"/>
  <c r="AA31" i="37"/>
  <c r="AA37" i="37"/>
  <c r="AA38" i="37"/>
  <c r="AB31" i="37"/>
  <c r="AB37" i="37"/>
  <c r="AB38" i="37"/>
  <c r="AC31" i="37"/>
  <c r="AC37" i="37"/>
  <c r="AC38" i="37"/>
  <c r="AG31" i="37"/>
  <c r="AH31" i="37"/>
  <c r="AI31" i="37"/>
  <c r="AJ31" i="37"/>
  <c r="AK31" i="37"/>
  <c r="AL31" i="37"/>
  <c r="I32" i="37"/>
  <c r="J32" i="37"/>
  <c r="K32" i="37"/>
  <c r="L32" i="37"/>
  <c r="M32" i="37"/>
  <c r="N32" i="37"/>
  <c r="O32" i="37"/>
  <c r="P32" i="37"/>
  <c r="Q32" i="37"/>
  <c r="R32" i="37"/>
  <c r="S32" i="37"/>
  <c r="T32" i="37"/>
  <c r="U32" i="37"/>
  <c r="V32" i="37"/>
  <c r="W32" i="37"/>
  <c r="X32" i="37"/>
  <c r="Y32" i="37"/>
  <c r="Z32" i="37"/>
  <c r="AA32" i="37"/>
  <c r="AB32" i="37"/>
  <c r="AC32" i="37"/>
  <c r="AD32" i="37"/>
  <c r="AE32" i="37"/>
  <c r="AF32" i="37"/>
  <c r="AG32" i="37"/>
  <c r="AH32" i="37"/>
  <c r="AI32" i="37"/>
  <c r="AJ32" i="37"/>
  <c r="AK32" i="37"/>
  <c r="AL32" i="37"/>
  <c r="H4" i="37"/>
  <c r="I4" i="37"/>
  <c r="I11" i="37"/>
  <c r="J4" i="37"/>
  <c r="J11" i="37"/>
  <c r="K4" i="37"/>
  <c r="K11" i="37"/>
  <c r="L4" i="37"/>
  <c r="L11" i="37"/>
  <c r="M4" i="37"/>
  <c r="M11" i="37"/>
  <c r="N4" i="37"/>
  <c r="N11" i="37"/>
  <c r="O11" i="37"/>
  <c r="P4" i="37"/>
  <c r="P11" i="37"/>
  <c r="Q4" i="37"/>
  <c r="Q11" i="37"/>
  <c r="R4" i="37"/>
  <c r="R11" i="37"/>
  <c r="S4" i="37"/>
  <c r="S11" i="37"/>
  <c r="T4" i="37"/>
  <c r="T11" i="37"/>
  <c r="U4" i="37"/>
  <c r="U11" i="37"/>
  <c r="V11" i="37"/>
  <c r="W4" i="37"/>
  <c r="W11" i="37"/>
  <c r="X4" i="37"/>
  <c r="X11" i="37"/>
  <c r="Y4" i="37"/>
  <c r="Y11" i="37"/>
  <c r="Z4" i="37"/>
  <c r="Z11" i="37"/>
  <c r="AA4" i="37"/>
  <c r="AA11" i="37"/>
  <c r="AB4" i="37"/>
  <c r="AB11" i="37"/>
  <c r="AC11" i="37"/>
  <c r="AD4" i="37"/>
  <c r="AD11" i="37"/>
  <c r="AE4" i="37"/>
  <c r="AE11" i="37"/>
  <c r="AF4" i="37"/>
  <c r="AF11" i="37"/>
  <c r="AG4" i="37"/>
  <c r="AG11" i="37"/>
  <c r="AH4" i="37"/>
  <c r="AH11" i="37"/>
  <c r="AI4" i="37"/>
  <c r="AI11" i="37"/>
  <c r="AJ4" i="37"/>
  <c r="AJ11" i="37"/>
  <c r="AK4" i="37"/>
  <c r="AK11" i="37"/>
  <c r="AL4" i="37"/>
  <c r="AL11" i="37"/>
  <c r="H5" i="37"/>
  <c r="I5" i="37"/>
  <c r="I12" i="37"/>
  <c r="J5" i="37"/>
  <c r="J12" i="37"/>
  <c r="K5" i="37"/>
  <c r="K12" i="37"/>
  <c r="L5" i="37"/>
  <c r="L12" i="37"/>
  <c r="M5" i="37"/>
  <c r="M12" i="37"/>
  <c r="N5" i="37"/>
  <c r="N12" i="37"/>
  <c r="O12" i="37"/>
  <c r="P5" i="37"/>
  <c r="P12" i="37"/>
  <c r="Q5" i="37"/>
  <c r="Q12" i="37"/>
  <c r="R5" i="37"/>
  <c r="R12" i="37"/>
  <c r="S5" i="37"/>
  <c r="S12" i="37"/>
  <c r="T5" i="37"/>
  <c r="T12" i="37"/>
  <c r="U5" i="37"/>
  <c r="U12" i="37"/>
  <c r="V5" i="37"/>
  <c r="V12" i="37"/>
  <c r="W5" i="37"/>
  <c r="W12" i="37"/>
  <c r="X5" i="37"/>
  <c r="X12" i="37"/>
  <c r="Y5" i="37"/>
  <c r="Y12" i="37"/>
  <c r="Z5" i="37"/>
  <c r="Z12" i="37"/>
  <c r="AA5" i="37"/>
  <c r="AA12" i="37"/>
  <c r="AB5" i="37"/>
  <c r="AB12" i="37"/>
  <c r="AC12" i="37"/>
  <c r="AD5" i="37"/>
  <c r="AD12" i="37"/>
  <c r="AE5" i="37"/>
  <c r="AE12" i="37"/>
  <c r="AF5" i="37"/>
  <c r="AF12" i="37"/>
  <c r="AG5" i="37"/>
  <c r="AG12" i="37"/>
  <c r="AH5" i="37"/>
  <c r="AH12" i="37"/>
  <c r="AI5" i="37"/>
  <c r="AI12" i="37"/>
  <c r="AJ5" i="37"/>
  <c r="AJ12" i="37"/>
  <c r="AK5" i="37"/>
  <c r="AK12" i="37"/>
  <c r="AL5" i="37"/>
  <c r="AL12" i="37"/>
  <c r="H7" i="37"/>
  <c r="I7" i="37"/>
  <c r="I13" i="37"/>
  <c r="J7" i="37"/>
  <c r="J13" i="37"/>
  <c r="K7" i="37"/>
  <c r="K13" i="37"/>
  <c r="L7" i="37"/>
  <c r="L13" i="37"/>
  <c r="M7" i="37"/>
  <c r="M13" i="37"/>
  <c r="N7" i="37"/>
  <c r="N13" i="37"/>
  <c r="O7" i="37"/>
  <c r="O13" i="37"/>
  <c r="P7" i="37"/>
  <c r="P13" i="37"/>
  <c r="Q7" i="37"/>
  <c r="Q13" i="37"/>
  <c r="R7" i="37"/>
  <c r="R13" i="37"/>
  <c r="S7" i="37"/>
  <c r="S13" i="37"/>
  <c r="T7" i="37"/>
  <c r="T13" i="37"/>
  <c r="U7" i="37"/>
  <c r="U13" i="37"/>
  <c r="V7" i="37"/>
  <c r="V13" i="37"/>
  <c r="W7" i="37"/>
  <c r="W13" i="37"/>
  <c r="X7" i="37"/>
  <c r="X13" i="37"/>
  <c r="Y7" i="37"/>
  <c r="Y13" i="37"/>
  <c r="AD7" i="37"/>
  <c r="AD13" i="37"/>
  <c r="AE7" i="37"/>
  <c r="AE13" i="37"/>
  <c r="AF7" i="37"/>
  <c r="AF13" i="37"/>
  <c r="AG13" i="37"/>
  <c r="AH13" i="37"/>
  <c r="AI13" i="37"/>
  <c r="AJ13" i="37"/>
  <c r="AK13" i="37"/>
  <c r="AL13" i="37"/>
  <c r="I14" i="37"/>
  <c r="J14" i="37"/>
  <c r="K14" i="37"/>
  <c r="L14" i="37"/>
  <c r="M14" i="37"/>
  <c r="N14" i="37"/>
  <c r="O14" i="37"/>
  <c r="P14" i="37"/>
  <c r="Q14" i="37"/>
  <c r="R14" i="37"/>
  <c r="S14" i="37"/>
  <c r="T14" i="37"/>
  <c r="U14" i="37"/>
  <c r="V14" i="37"/>
  <c r="W14" i="37"/>
  <c r="X14" i="37"/>
  <c r="Y14" i="37"/>
  <c r="AD14" i="37"/>
  <c r="AE14" i="37"/>
  <c r="AF14" i="37"/>
  <c r="AG14" i="37"/>
  <c r="AH14" i="37"/>
  <c r="AI14" i="37"/>
  <c r="AJ14" i="37"/>
  <c r="AK14" i="37"/>
  <c r="AL14" i="37"/>
  <c r="Z19" i="37"/>
  <c r="Z25" i="37"/>
  <c r="Z26" i="37"/>
  <c r="AA19" i="37"/>
  <c r="AA25" i="37"/>
  <c r="AA26" i="37"/>
  <c r="AB19" i="37"/>
  <c r="AB25" i="37"/>
  <c r="AB26" i="37"/>
  <c r="AC19" i="37"/>
  <c r="AC25" i="37"/>
  <c r="AC26" i="37"/>
  <c r="AG19" i="37"/>
  <c r="AH19" i="37"/>
  <c r="AI19" i="37"/>
  <c r="AJ19" i="37"/>
  <c r="AK19" i="37"/>
  <c r="AL19" i="37"/>
  <c r="I20" i="37"/>
  <c r="J20" i="37"/>
  <c r="K20" i="37"/>
  <c r="L20" i="37"/>
  <c r="M20" i="37"/>
  <c r="N20" i="37"/>
  <c r="O20" i="37"/>
  <c r="P20" i="37"/>
  <c r="Q20" i="37"/>
  <c r="R20" i="37"/>
  <c r="S20" i="37"/>
  <c r="T20" i="37"/>
  <c r="U20" i="37"/>
  <c r="V20" i="37"/>
  <c r="W20" i="37"/>
  <c r="X20" i="37"/>
  <c r="Y20" i="37"/>
  <c r="Z20" i="37"/>
  <c r="AA20" i="37"/>
  <c r="AB20" i="37"/>
  <c r="AC20" i="37"/>
  <c r="AD20" i="37"/>
  <c r="AE20" i="37"/>
  <c r="AF20" i="37"/>
  <c r="AG20" i="37"/>
  <c r="AH20" i="37"/>
  <c r="AI20" i="37"/>
  <c r="AJ20" i="37"/>
  <c r="AK20" i="37"/>
  <c r="AL20" i="37"/>
  <c r="D1" i="37"/>
  <c r="E1" i="37"/>
  <c r="F1" i="37"/>
  <c r="G1" i="37"/>
  <c r="H1" i="37"/>
  <c r="I1" i="37"/>
  <c r="J1" i="37"/>
  <c r="K1" i="37"/>
  <c r="L1" i="37"/>
  <c r="M1" i="37"/>
  <c r="N1" i="37"/>
  <c r="O1" i="37"/>
  <c r="P1" i="37"/>
  <c r="Q1" i="37"/>
  <c r="R1" i="37"/>
  <c r="S1" i="37"/>
  <c r="T1" i="37"/>
  <c r="U1" i="37"/>
  <c r="V1" i="37"/>
  <c r="W1" i="37"/>
  <c r="X1" i="37"/>
  <c r="Y1" i="37"/>
  <c r="Z1" i="37"/>
  <c r="AA1" i="37"/>
  <c r="AB1" i="37"/>
  <c r="AC1" i="37"/>
  <c r="AD1" i="37"/>
  <c r="AE1" i="37"/>
  <c r="AF1" i="37"/>
  <c r="AG1" i="37"/>
  <c r="AH1" i="37"/>
  <c r="AI1" i="37"/>
  <c r="AJ1" i="37"/>
  <c r="AK1" i="37"/>
  <c r="AL1" i="37"/>
  <c r="I2" i="37"/>
  <c r="J2" i="37"/>
  <c r="K2" i="37"/>
  <c r="L2" i="37"/>
  <c r="M2" i="37"/>
  <c r="N2" i="37"/>
  <c r="O2" i="37"/>
  <c r="P2" i="37"/>
  <c r="Q2" i="37"/>
  <c r="R2" i="37"/>
  <c r="S2" i="37"/>
  <c r="T2" i="37"/>
  <c r="U2" i="37"/>
  <c r="V2" i="37"/>
  <c r="W2" i="37"/>
  <c r="X2" i="37"/>
  <c r="Y2" i="37"/>
  <c r="Z2" i="37"/>
  <c r="AA2" i="37"/>
  <c r="AB2" i="37"/>
  <c r="AC2" i="37"/>
  <c r="AD2" i="37"/>
  <c r="AE2" i="37"/>
  <c r="AF2" i="37"/>
  <c r="AG2" i="37"/>
  <c r="AH2" i="37"/>
  <c r="AI2" i="37"/>
  <c r="AJ2" i="37"/>
  <c r="AK2" i="37"/>
  <c r="AL2" i="37"/>
  <c r="Z7" i="37"/>
  <c r="Z13" i="37"/>
  <c r="Z14" i="37"/>
  <c r="AA7" i="37"/>
  <c r="AA13" i="37"/>
  <c r="AA14" i="37"/>
  <c r="AB7" i="37"/>
  <c r="AB13" i="37"/>
  <c r="AB14" i="37"/>
  <c r="AC7" i="37"/>
  <c r="AC13" i="37"/>
  <c r="AC14" i="37"/>
  <c r="AG7" i="37"/>
  <c r="AH7" i="37"/>
  <c r="AI7" i="37"/>
  <c r="AJ7" i="37"/>
  <c r="AK7" i="37"/>
  <c r="AL7" i="37"/>
  <c r="H8" i="37"/>
  <c r="I8" i="37"/>
  <c r="J8" i="37"/>
  <c r="K8" i="37"/>
  <c r="L8" i="37"/>
  <c r="M8" i="37"/>
  <c r="N8" i="37"/>
  <c r="O8" i="37"/>
  <c r="P8" i="37"/>
  <c r="Q8" i="37"/>
  <c r="R8" i="37"/>
  <c r="S8" i="37"/>
  <c r="T8" i="37"/>
  <c r="U8" i="37"/>
  <c r="V8" i="37"/>
  <c r="W8" i="37"/>
  <c r="X8" i="37"/>
  <c r="Y8" i="37"/>
  <c r="Z8" i="37"/>
  <c r="AA8" i="37"/>
  <c r="AB8" i="37"/>
  <c r="AC8" i="37"/>
  <c r="AD8" i="37"/>
  <c r="AE8" i="37"/>
  <c r="AF8" i="37"/>
  <c r="AG8" i="37"/>
  <c r="AH8" i="37"/>
  <c r="AI8" i="37"/>
  <c r="AJ8" i="37"/>
  <c r="AK8" i="37"/>
  <c r="AL8" i="37"/>
  <c r="D91" i="37"/>
  <c r="E91" i="37"/>
  <c r="F91" i="37"/>
  <c r="G91" i="37"/>
  <c r="D92" i="37"/>
  <c r="E92" i="37"/>
  <c r="F92" i="37"/>
  <c r="G92" i="37"/>
  <c r="D88" i="37"/>
  <c r="D95" i="37"/>
  <c r="E88" i="37"/>
  <c r="E95" i="37"/>
  <c r="F88" i="37"/>
  <c r="F95" i="37"/>
  <c r="G88" i="37"/>
  <c r="G95" i="37"/>
  <c r="H95" i="37"/>
  <c r="D89" i="37"/>
  <c r="D96" i="37"/>
  <c r="E89" i="37"/>
  <c r="E96" i="37"/>
  <c r="F89" i="37"/>
  <c r="F96" i="37"/>
  <c r="G89" i="37"/>
  <c r="G96" i="37"/>
  <c r="H96" i="37"/>
  <c r="D97" i="37"/>
  <c r="E97" i="37"/>
  <c r="F97" i="37"/>
  <c r="G97" i="37"/>
  <c r="H97" i="37"/>
  <c r="D98" i="37"/>
  <c r="E98" i="37"/>
  <c r="F98" i="37"/>
  <c r="G98" i="37"/>
  <c r="H98" i="37"/>
  <c r="D100" i="37"/>
  <c r="E100" i="37"/>
  <c r="F100" i="37"/>
  <c r="G100" i="37"/>
  <c r="D101" i="37"/>
  <c r="E101" i="37"/>
  <c r="F101" i="37"/>
  <c r="G101" i="37"/>
  <c r="D103" i="37"/>
  <c r="E103" i="37"/>
  <c r="F103" i="37"/>
  <c r="G103" i="37"/>
  <c r="D104" i="37"/>
  <c r="E104" i="37"/>
  <c r="F104" i="37"/>
  <c r="G104" i="37"/>
  <c r="D107" i="37"/>
  <c r="E107" i="37"/>
  <c r="F107" i="37"/>
  <c r="G107" i="37"/>
  <c r="H107" i="37"/>
  <c r="D108" i="37"/>
  <c r="E108" i="37"/>
  <c r="F108" i="37"/>
  <c r="G108" i="37"/>
  <c r="H108" i="37"/>
  <c r="D109" i="37"/>
  <c r="E109" i="37"/>
  <c r="F109" i="37"/>
  <c r="G109" i="37"/>
  <c r="H109" i="37"/>
  <c r="D110" i="37"/>
  <c r="E110" i="37"/>
  <c r="F110" i="37"/>
  <c r="G110" i="37"/>
  <c r="H110" i="37"/>
  <c r="D112" i="37"/>
  <c r="E112" i="37"/>
  <c r="F112" i="37"/>
  <c r="G112" i="37"/>
  <c r="D113" i="37"/>
  <c r="F113" i="37"/>
  <c r="G113" i="37"/>
  <c r="D115" i="37"/>
  <c r="E115" i="37"/>
  <c r="F115" i="37"/>
  <c r="G115" i="37"/>
  <c r="D116" i="37"/>
  <c r="E116" i="37"/>
  <c r="F116" i="37"/>
  <c r="G116" i="37"/>
  <c r="D119" i="37"/>
  <c r="E119" i="37"/>
  <c r="F119" i="37"/>
  <c r="G119" i="37"/>
  <c r="H119" i="37"/>
  <c r="D120" i="37"/>
  <c r="E120" i="37"/>
  <c r="F120" i="37"/>
  <c r="G120" i="37"/>
  <c r="H120" i="37"/>
  <c r="D121" i="37"/>
  <c r="E121" i="37"/>
  <c r="F121" i="37"/>
  <c r="G121" i="37"/>
  <c r="H121" i="37"/>
  <c r="D122" i="37"/>
  <c r="E122" i="37"/>
  <c r="F122" i="37"/>
  <c r="G122" i="37"/>
  <c r="H122" i="37"/>
  <c r="D124" i="37"/>
  <c r="E124" i="37"/>
  <c r="F124" i="37"/>
  <c r="G124" i="37"/>
  <c r="D125" i="37"/>
  <c r="E125" i="37"/>
  <c r="F125" i="37"/>
  <c r="G125" i="37"/>
  <c r="D127" i="37"/>
  <c r="E127" i="37"/>
  <c r="F127" i="37"/>
  <c r="G127" i="37"/>
  <c r="D128" i="37"/>
  <c r="E128" i="37"/>
  <c r="F128" i="37"/>
  <c r="G128" i="37"/>
  <c r="D131" i="37"/>
  <c r="E131" i="37"/>
  <c r="F131" i="37"/>
  <c r="G131" i="37"/>
  <c r="H131" i="37"/>
  <c r="D132" i="37"/>
  <c r="E132" i="37"/>
  <c r="F132" i="37"/>
  <c r="G132" i="37"/>
  <c r="H132" i="37"/>
  <c r="D133" i="37"/>
  <c r="E133" i="37"/>
  <c r="F133" i="37"/>
  <c r="G133" i="37"/>
  <c r="H133" i="37"/>
  <c r="D134" i="37"/>
  <c r="E134" i="37"/>
  <c r="F134" i="37"/>
  <c r="G134" i="37"/>
  <c r="H134" i="37"/>
  <c r="D136" i="37"/>
  <c r="F136" i="37"/>
  <c r="G136" i="37"/>
  <c r="D137" i="37"/>
  <c r="F137" i="37"/>
  <c r="G137" i="37"/>
  <c r="D140" i="37"/>
  <c r="F140" i="37"/>
  <c r="G140" i="37"/>
  <c r="D143" i="37"/>
  <c r="E143" i="37"/>
  <c r="F143" i="37"/>
  <c r="G143" i="37"/>
  <c r="H143" i="37"/>
  <c r="D144" i="37"/>
  <c r="E144" i="37"/>
  <c r="F144" i="37"/>
  <c r="G144" i="37"/>
  <c r="H144" i="37"/>
  <c r="D145" i="37"/>
  <c r="E145" i="37"/>
  <c r="F145" i="37"/>
  <c r="G145" i="37"/>
  <c r="H145" i="37"/>
  <c r="D146" i="37"/>
  <c r="E146" i="37"/>
  <c r="F146" i="37"/>
  <c r="G146" i="37"/>
  <c r="H146" i="37"/>
  <c r="D148" i="37"/>
  <c r="F148" i="37"/>
  <c r="G148" i="37"/>
  <c r="D149" i="37"/>
  <c r="F149" i="37"/>
  <c r="G149" i="37"/>
  <c r="D151" i="37"/>
  <c r="E151" i="37"/>
  <c r="F151" i="37"/>
  <c r="G151" i="37"/>
  <c r="D152" i="37"/>
  <c r="E152" i="37"/>
  <c r="F152" i="37"/>
  <c r="G152" i="37"/>
  <c r="D155" i="37"/>
  <c r="E155" i="37"/>
  <c r="F155" i="37"/>
  <c r="G155" i="37"/>
  <c r="H155" i="37"/>
  <c r="D156" i="37"/>
  <c r="E156" i="37"/>
  <c r="F156" i="37"/>
  <c r="G156" i="37"/>
  <c r="H156" i="37"/>
  <c r="D157" i="37"/>
  <c r="E157" i="37"/>
  <c r="F157" i="37"/>
  <c r="G157" i="37"/>
  <c r="H157" i="37"/>
  <c r="D158" i="37"/>
  <c r="E158" i="37"/>
  <c r="F158" i="37"/>
  <c r="G158" i="37"/>
  <c r="H158" i="37"/>
  <c r="D160" i="37"/>
  <c r="F160" i="37"/>
  <c r="G160" i="37"/>
  <c r="D161" i="37"/>
  <c r="E161" i="37"/>
  <c r="F161" i="37"/>
  <c r="G161" i="37"/>
  <c r="D163" i="37"/>
  <c r="E163" i="37"/>
  <c r="F163" i="37"/>
  <c r="G163" i="37"/>
  <c r="D164" i="37"/>
  <c r="E164" i="37"/>
  <c r="F164" i="37"/>
  <c r="G164" i="37"/>
  <c r="D167" i="37"/>
  <c r="E167" i="37"/>
  <c r="F167" i="37"/>
  <c r="G167" i="37"/>
  <c r="H167" i="37"/>
  <c r="D168" i="37"/>
  <c r="E168" i="37"/>
  <c r="F168" i="37"/>
  <c r="G168" i="37"/>
  <c r="H168" i="37"/>
  <c r="D169" i="37"/>
  <c r="E169" i="37"/>
  <c r="F169" i="37"/>
  <c r="G169" i="37"/>
  <c r="H169" i="37"/>
  <c r="D170" i="37"/>
  <c r="E170" i="37"/>
  <c r="F170" i="37"/>
  <c r="G170" i="37"/>
  <c r="H170" i="37"/>
  <c r="D172" i="37"/>
  <c r="F172" i="37"/>
  <c r="G172" i="37"/>
  <c r="D173" i="37"/>
  <c r="F173" i="37"/>
  <c r="G173" i="37"/>
  <c r="D175" i="37"/>
  <c r="E175" i="37"/>
  <c r="F175" i="37"/>
  <c r="G175" i="37"/>
  <c r="D176" i="37"/>
  <c r="F176" i="37"/>
  <c r="G176" i="37"/>
  <c r="D179" i="37"/>
  <c r="E179" i="37"/>
  <c r="F179" i="37"/>
  <c r="G179" i="37"/>
  <c r="H179" i="37"/>
  <c r="D180" i="37"/>
  <c r="E180" i="37"/>
  <c r="F180" i="37"/>
  <c r="G180" i="37"/>
  <c r="H180" i="37"/>
  <c r="D181" i="37"/>
  <c r="E181" i="37"/>
  <c r="F181" i="37"/>
  <c r="G181" i="37"/>
  <c r="H181" i="37"/>
  <c r="D182" i="37"/>
  <c r="E182" i="37"/>
  <c r="F182" i="37"/>
  <c r="G182" i="37"/>
  <c r="H182" i="37"/>
  <c r="D184" i="37"/>
  <c r="F184" i="37"/>
  <c r="G184" i="37"/>
  <c r="D185" i="37"/>
  <c r="F185" i="37"/>
  <c r="G185" i="37"/>
  <c r="D187" i="37"/>
  <c r="E187" i="37"/>
  <c r="F187" i="37"/>
  <c r="G187" i="37"/>
  <c r="D188" i="37"/>
  <c r="E188" i="37"/>
  <c r="F188" i="37"/>
  <c r="G188" i="37"/>
  <c r="D191" i="37"/>
  <c r="E191" i="37"/>
  <c r="F191" i="37"/>
  <c r="G191" i="37"/>
  <c r="H191" i="37"/>
  <c r="D192" i="37"/>
  <c r="E192" i="37"/>
  <c r="F192" i="37"/>
  <c r="G192" i="37"/>
  <c r="H192" i="37"/>
  <c r="D193" i="37"/>
  <c r="E193" i="37"/>
  <c r="F193" i="37"/>
  <c r="G193" i="37"/>
  <c r="H193" i="37"/>
  <c r="D194" i="37"/>
  <c r="E194" i="37"/>
  <c r="F194" i="37"/>
  <c r="G194" i="37"/>
  <c r="H194" i="37"/>
  <c r="D196" i="37"/>
  <c r="F196" i="37"/>
  <c r="G196" i="37"/>
  <c r="D197" i="37"/>
  <c r="F197" i="37"/>
  <c r="G197" i="37"/>
  <c r="D199" i="37"/>
  <c r="E199" i="37"/>
  <c r="F199" i="37"/>
  <c r="G199" i="37"/>
  <c r="D200" i="37"/>
  <c r="E200" i="37"/>
  <c r="F200" i="37"/>
  <c r="G200" i="37"/>
  <c r="D203" i="37"/>
  <c r="E203" i="37"/>
  <c r="F203" i="37"/>
  <c r="G203" i="37"/>
  <c r="H203" i="37"/>
  <c r="D204" i="37"/>
  <c r="E204" i="37"/>
  <c r="F204" i="37"/>
  <c r="G204" i="37"/>
  <c r="H204" i="37"/>
  <c r="D205" i="37"/>
  <c r="E205" i="37"/>
  <c r="F205" i="37"/>
  <c r="G205" i="37"/>
  <c r="H205" i="37"/>
  <c r="D206" i="37"/>
  <c r="E206" i="37"/>
  <c r="F206" i="37"/>
  <c r="G206" i="37"/>
  <c r="H206" i="37"/>
  <c r="D208" i="37"/>
  <c r="F208" i="37"/>
  <c r="G208" i="37"/>
  <c r="D209" i="37"/>
  <c r="F209" i="37"/>
  <c r="G209" i="37"/>
  <c r="D211" i="37"/>
  <c r="E211" i="37"/>
  <c r="F211" i="37"/>
  <c r="G211" i="37"/>
  <c r="D212" i="37"/>
  <c r="E212" i="37"/>
  <c r="F212" i="37"/>
  <c r="G212" i="37"/>
  <c r="D215" i="37"/>
  <c r="E215" i="37"/>
  <c r="F215" i="37"/>
  <c r="G215" i="37"/>
  <c r="H215" i="37"/>
  <c r="D216" i="37"/>
  <c r="E216" i="37"/>
  <c r="F216" i="37"/>
  <c r="G216" i="37"/>
  <c r="H216" i="37"/>
  <c r="D217" i="37"/>
  <c r="E217" i="37"/>
  <c r="F217" i="37"/>
  <c r="G217" i="37"/>
  <c r="H217" i="37"/>
  <c r="D218" i="37"/>
  <c r="E218" i="37"/>
  <c r="F218" i="37"/>
  <c r="G218" i="37"/>
  <c r="H218" i="37"/>
  <c r="D220" i="37"/>
  <c r="F220" i="37"/>
  <c r="G220" i="37"/>
  <c r="D221" i="37"/>
  <c r="F221" i="37"/>
  <c r="G221" i="37"/>
  <c r="D223" i="37"/>
  <c r="E223" i="37"/>
  <c r="F223" i="37"/>
  <c r="G223" i="37"/>
  <c r="D224" i="37"/>
  <c r="E224" i="37"/>
  <c r="F224" i="37"/>
  <c r="G224" i="37"/>
  <c r="D227" i="37"/>
  <c r="E227" i="37"/>
  <c r="F227" i="37"/>
  <c r="G227" i="37"/>
  <c r="H227" i="37"/>
  <c r="D228" i="37"/>
  <c r="E228" i="37"/>
  <c r="F228" i="37"/>
  <c r="G228" i="37"/>
  <c r="H228" i="37"/>
  <c r="D229" i="37"/>
  <c r="E229" i="37"/>
  <c r="F229" i="37"/>
  <c r="G229" i="37"/>
  <c r="H229" i="37"/>
  <c r="D230" i="37"/>
  <c r="E230" i="37"/>
  <c r="F230" i="37"/>
  <c r="G230" i="37"/>
  <c r="H230" i="37"/>
  <c r="D232" i="37"/>
  <c r="F232" i="37"/>
  <c r="G232" i="37"/>
  <c r="D233" i="37"/>
  <c r="F233" i="37"/>
  <c r="G233" i="37"/>
  <c r="D235" i="37"/>
  <c r="E235" i="37"/>
  <c r="F235" i="37"/>
  <c r="G235" i="37"/>
  <c r="D236" i="37"/>
  <c r="E236" i="37"/>
  <c r="F236" i="37"/>
  <c r="G236" i="37"/>
  <c r="D239" i="37"/>
  <c r="E239" i="37"/>
  <c r="F239" i="37"/>
  <c r="G239" i="37"/>
  <c r="H239" i="37"/>
  <c r="D240" i="37"/>
  <c r="E240" i="37"/>
  <c r="F240" i="37"/>
  <c r="G240" i="37"/>
  <c r="H240" i="37"/>
  <c r="D241" i="37"/>
  <c r="E241" i="37"/>
  <c r="F241" i="37"/>
  <c r="G241" i="37"/>
  <c r="H241" i="37"/>
  <c r="D242" i="37"/>
  <c r="E242" i="37"/>
  <c r="F242" i="37"/>
  <c r="G242" i="37"/>
  <c r="H242" i="37"/>
  <c r="D76" i="37"/>
  <c r="D83" i="37"/>
  <c r="E83" i="37"/>
  <c r="F76" i="37"/>
  <c r="F83" i="37"/>
  <c r="G76" i="37"/>
  <c r="G83" i="37"/>
  <c r="H83" i="37"/>
  <c r="D77" i="37"/>
  <c r="D84" i="37"/>
  <c r="E77" i="37"/>
  <c r="E84" i="37"/>
  <c r="F77" i="37"/>
  <c r="F84" i="37"/>
  <c r="G77" i="37"/>
  <c r="G84" i="37"/>
  <c r="H84" i="37"/>
  <c r="D79" i="37"/>
  <c r="D85" i="37"/>
  <c r="E79" i="37"/>
  <c r="E85" i="37"/>
  <c r="F79" i="37"/>
  <c r="F85" i="37"/>
  <c r="G79" i="37"/>
  <c r="G85" i="37"/>
  <c r="H85" i="37"/>
  <c r="D86" i="37"/>
  <c r="E86" i="37"/>
  <c r="F86" i="37"/>
  <c r="G86" i="37"/>
  <c r="H86" i="37"/>
  <c r="D80" i="37"/>
  <c r="E80" i="37"/>
  <c r="F80" i="37"/>
  <c r="G80" i="37"/>
  <c r="D64" i="37"/>
  <c r="D71" i="37"/>
  <c r="E64" i="37"/>
  <c r="E71" i="37"/>
  <c r="F64" i="37"/>
  <c r="F71" i="37"/>
  <c r="G64" i="37"/>
  <c r="G71" i="37"/>
  <c r="H71" i="37"/>
  <c r="D65" i="37"/>
  <c r="D72" i="37"/>
  <c r="E65" i="37"/>
  <c r="E72" i="37"/>
  <c r="F65" i="37"/>
  <c r="F72" i="37"/>
  <c r="G65" i="37"/>
  <c r="G72" i="37"/>
  <c r="H72" i="37"/>
  <c r="D67" i="37"/>
  <c r="D73" i="37"/>
  <c r="E67" i="37"/>
  <c r="E73" i="37"/>
  <c r="F67" i="37"/>
  <c r="F73" i="37"/>
  <c r="G67" i="37"/>
  <c r="G73" i="37"/>
  <c r="H73" i="37"/>
  <c r="D74" i="37"/>
  <c r="E74" i="37"/>
  <c r="F74" i="37"/>
  <c r="G74" i="37"/>
  <c r="H74" i="37"/>
  <c r="D68" i="37"/>
  <c r="E68" i="37"/>
  <c r="F68" i="37"/>
  <c r="G68" i="37"/>
  <c r="D52" i="37"/>
  <c r="D59" i="37"/>
  <c r="E59" i="37"/>
  <c r="F52" i="37"/>
  <c r="F59" i="37"/>
  <c r="G52" i="37"/>
  <c r="G59" i="37"/>
  <c r="H59" i="37"/>
  <c r="D53" i="37"/>
  <c r="D60" i="37"/>
  <c r="E60" i="37"/>
  <c r="F53" i="37"/>
  <c r="F60" i="37"/>
  <c r="G53" i="37"/>
  <c r="G60" i="37"/>
  <c r="H60" i="37"/>
  <c r="D55" i="37"/>
  <c r="D61" i="37"/>
  <c r="E55" i="37"/>
  <c r="E61" i="37"/>
  <c r="F55" i="37"/>
  <c r="F61" i="37"/>
  <c r="G55" i="37"/>
  <c r="G61" i="37"/>
  <c r="H61" i="37"/>
  <c r="D62" i="37"/>
  <c r="E62" i="37"/>
  <c r="F62" i="37"/>
  <c r="G62" i="37"/>
  <c r="H62" i="37"/>
  <c r="D40" i="37"/>
  <c r="D47" i="37"/>
  <c r="E47" i="37"/>
  <c r="F40" i="37"/>
  <c r="F47" i="37"/>
  <c r="G40" i="37"/>
  <c r="G47" i="37"/>
  <c r="H47" i="37"/>
  <c r="D41" i="37"/>
  <c r="D48" i="37"/>
  <c r="E48" i="37"/>
  <c r="F41" i="37"/>
  <c r="F48" i="37"/>
  <c r="G41" i="37"/>
  <c r="G48" i="37"/>
  <c r="H41" i="37"/>
  <c r="H48" i="37"/>
  <c r="D43" i="37"/>
  <c r="D49" i="37"/>
  <c r="E43" i="37"/>
  <c r="E49" i="37"/>
  <c r="F43" i="37"/>
  <c r="F49" i="37"/>
  <c r="G43" i="37"/>
  <c r="G49" i="37"/>
  <c r="H43" i="37"/>
  <c r="H49" i="37"/>
  <c r="D50" i="37"/>
  <c r="E50" i="37"/>
  <c r="F50" i="37"/>
  <c r="G50" i="37"/>
  <c r="H50" i="37"/>
  <c r="D56" i="37"/>
  <c r="E56" i="37"/>
  <c r="F56" i="37"/>
  <c r="G56" i="37"/>
  <c r="D28" i="37"/>
  <c r="D35" i="37"/>
  <c r="E35" i="37"/>
  <c r="F28" i="37"/>
  <c r="F35" i="37"/>
  <c r="G28" i="37"/>
  <c r="G35" i="37"/>
  <c r="H35" i="37"/>
  <c r="D29" i="37"/>
  <c r="D36" i="37"/>
  <c r="E36" i="37"/>
  <c r="F29" i="37"/>
  <c r="F36" i="37"/>
  <c r="G29" i="37"/>
  <c r="G36" i="37"/>
  <c r="H29" i="37"/>
  <c r="H36" i="37"/>
  <c r="D31" i="37"/>
  <c r="D37" i="37"/>
  <c r="E31" i="37"/>
  <c r="E37" i="37"/>
  <c r="F31" i="37"/>
  <c r="F37" i="37"/>
  <c r="G31" i="37"/>
  <c r="G37" i="37"/>
  <c r="H31" i="37"/>
  <c r="H37" i="37"/>
  <c r="D38" i="37"/>
  <c r="E38" i="37"/>
  <c r="F38" i="37"/>
  <c r="G38" i="37"/>
  <c r="H38" i="37"/>
  <c r="D44" i="37"/>
  <c r="E44" i="37"/>
  <c r="F44" i="37"/>
  <c r="G44" i="37"/>
  <c r="H44" i="37"/>
  <c r="D32" i="37"/>
  <c r="E32" i="37"/>
  <c r="F32" i="37"/>
  <c r="G32" i="37"/>
  <c r="H32" i="37"/>
  <c r="D16" i="37"/>
  <c r="D23" i="37"/>
  <c r="E23" i="37"/>
  <c r="F16" i="37"/>
  <c r="F23" i="37"/>
  <c r="G16" i="37"/>
  <c r="G23" i="37"/>
  <c r="H23" i="37"/>
  <c r="D17" i="37"/>
  <c r="D24" i="37"/>
  <c r="E17" i="37"/>
  <c r="E24" i="37"/>
  <c r="F17" i="37"/>
  <c r="F24" i="37"/>
  <c r="G17" i="37"/>
  <c r="G24" i="37"/>
  <c r="H24" i="37"/>
  <c r="D19" i="37"/>
  <c r="D25" i="37"/>
  <c r="E19" i="37"/>
  <c r="E25" i="37"/>
  <c r="F19" i="37"/>
  <c r="F25" i="37"/>
  <c r="G19" i="37"/>
  <c r="G25" i="37"/>
  <c r="H19" i="37"/>
  <c r="H25" i="37"/>
  <c r="D26" i="37"/>
  <c r="E26" i="37"/>
  <c r="F26" i="37"/>
  <c r="G26" i="37"/>
  <c r="H26" i="37"/>
  <c r="D4" i="37"/>
  <c r="D11" i="37"/>
  <c r="E11" i="37"/>
  <c r="F4" i="37"/>
  <c r="F11" i="37"/>
  <c r="G4" i="37"/>
  <c r="G11" i="37"/>
  <c r="H11" i="37"/>
  <c r="D5" i="37"/>
  <c r="D12" i="37"/>
  <c r="E5" i="37"/>
  <c r="E12" i="37"/>
  <c r="F5" i="37"/>
  <c r="F12" i="37"/>
  <c r="G5" i="37"/>
  <c r="G12" i="37"/>
  <c r="H12" i="37"/>
  <c r="D7" i="37"/>
  <c r="D13" i="37"/>
  <c r="E7" i="37"/>
  <c r="E13" i="37"/>
  <c r="F7" i="37"/>
  <c r="F13" i="37"/>
  <c r="G7" i="37"/>
  <c r="G13" i="37"/>
  <c r="H13" i="37"/>
  <c r="D14" i="37"/>
  <c r="E14" i="37"/>
  <c r="F14" i="37"/>
  <c r="G14" i="37"/>
  <c r="H14" i="37"/>
  <c r="D20" i="37"/>
  <c r="E20" i="37"/>
  <c r="F20" i="37"/>
  <c r="G20" i="37"/>
  <c r="H20" i="37"/>
  <c r="D8" i="37"/>
  <c r="E8" i="37"/>
  <c r="F8" i="37"/>
  <c r="G8" i="37"/>
  <c r="D2" i="37"/>
  <c r="E2" i="37"/>
  <c r="F2" i="37"/>
  <c r="G2" i="37"/>
  <c r="H2" i="37"/>
  <c r="I67" i="34"/>
  <c r="J67" i="34"/>
  <c r="K67" i="34"/>
  <c r="L67" i="34"/>
  <c r="M67" i="34"/>
  <c r="N67" i="34"/>
  <c r="O67" i="34"/>
  <c r="P67" i="34"/>
  <c r="Q67" i="34"/>
  <c r="R67" i="34"/>
  <c r="S67" i="34"/>
  <c r="T67" i="34"/>
  <c r="U67" i="34"/>
  <c r="V67" i="34"/>
  <c r="W67" i="34"/>
  <c r="X67" i="34"/>
  <c r="Y67" i="34"/>
  <c r="Z67" i="34"/>
  <c r="AA67" i="34"/>
  <c r="AB67" i="34"/>
  <c r="AC67" i="34"/>
  <c r="AD67" i="34"/>
  <c r="AE67" i="34"/>
  <c r="AF67" i="34"/>
  <c r="AG67" i="34"/>
  <c r="AH67" i="34"/>
  <c r="AI67" i="34"/>
  <c r="AJ67" i="34"/>
  <c r="I68" i="34"/>
  <c r="J68" i="34"/>
  <c r="K68" i="34"/>
  <c r="L68" i="34"/>
  <c r="M68" i="34"/>
  <c r="N68" i="34"/>
  <c r="O68" i="34"/>
  <c r="P68" i="34"/>
  <c r="Q68" i="34"/>
  <c r="R68" i="34"/>
  <c r="S68" i="34"/>
  <c r="T68" i="34"/>
  <c r="U68" i="34"/>
  <c r="V68" i="34"/>
  <c r="W68" i="34"/>
  <c r="X68" i="34"/>
  <c r="Y68" i="34"/>
  <c r="Z68" i="34"/>
  <c r="AA68" i="34"/>
  <c r="AB68" i="34"/>
  <c r="AC68" i="34"/>
  <c r="AD68" i="34"/>
  <c r="AE68" i="34"/>
  <c r="AF68" i="34"/>
  <c r="AG68" i="34"/>
  <c r="AH68" i="34"/>
  <c r="AI68" i="34"/>
  <c r="AJ68" i="34"/>
  <c r="I64" i="34"/>
  <c r="I71" i="34"/>
  <c r="J64" i="34"/>
  <c r="J71" i="34"/>
  <c r="K64" i="34"/>
  <c r="K71" i="34"/>
  <c r="L64" i="34"/>
  <c r="L71" i="34"/>
  <c r="M64" i="34"/>
  <c r="M71" i="34"/>
  <c r="N64" i="34"/>
  <c r="N71" i="34"/>
  <c r="O71" i="34"/>
  <c r="P64" i="34"/>
  <c r="P71" i="34"/>
  <c r="Q64" i="34"/>
  <c r="Q71" i="34"/>
  <c r="R64" i="34"/>
  <c r="R71" i="34"/>
  <c r="S64" i="34"/>
  <c r="S71" i="34"/>
  <c r="T64" i="34"/>
  <c r="T71" i="34"/>
  <c r="U64" i="34"/>
  <c r="U71" i="34"/>
  <c r="V64" i="34"/>
  <c r="V71" i="34"/>
  <c r="W64" i="34"/>
  <c r="W71" i="34"/>
  <c r="X64" i="34"/>
  <c r="X71" i="34"/>
  <c r="Y71" i="34"/>
  <c r="AC64" i="34"/>
  <c r="AC71" i="34"/>
  <c r="AD64" i="34"/>
  <c r="AD71" i="34"/>
  <c r="AE64" i="34"/>
  <c r="AE71" i="34"/>
  <c r="AF71" i="34"/>
  <c r="AG71" i="34"/>
  <c r="AH71" i="34"/>
  <c r="AI71" i="34"/>
  <c r="AJ71" i="34"/>
  <c r="I65" i="34"/>
  <c r="I72" i="34"/>
  <c r="J65" i="34"/>
  <c r="J72" i="34"/>
  <c r="K72" i="34"/>
  <c r="L65" i="34"/>
  <c r="L72" i="34"/>
  <c r="M65" i="34"/>
  <c r="M72" i="34"/>
  <c r="N65" i="34"/>
  <c r="N72" i="34"/>
  <c r="O72" i="34"/>
  <c r="P65" i="34"/>
  <c r="P72" i="34"/>
  <c r="Q65" i="34"/>
  <c r="Q72" i="34"/>
  <c r="R65" i="34"/>
  <c r="R72" i="34"/>
  <c r="S65" i="34"/>
  <c r="S72" i="34"/>
  <c r="T65" i="34"/>
  <c r="T72" i="34"/>
  <c r="U65" i="34"/>
  <c r="U72" i="34"/>
  <c r="V65" i="34"/>
  <c r="V72" i="34"/>
  <c r="W65" i="34"/>
  <c r="W72" i="34"/>
  <c r="X65" i="34"/>
  <c r="X72" i="34"/>
  <c r="Y72" i="34"/>
  <c r="AC65" i="34"/>
  <c r="AC72" i="34"/>
  <c r="AD65" i="34"/>
  <c r="AD72" i="34"/>
  <c r="AE65" i="34"/>
  <c r="AE72" i="34"/>
  <c r="AF72" i="34"/>
  <c r="AG72" i="34"/>
  <c r="AH72" i="34"/>
  <c r="AI72" i="34"/>
  <c r="AJ72" i="34"/>
  <c r="I73" i="34"/>
  <c r="J73" i="34"/>
  <c r="K73" i="34"/>
  <c r="L73" i="34"/>
  <c r="M73" i="34"/>
  <c r="N73" i="34"/>
  <c r="O73" i="34"/>
  <c r="P73" i="34"/>
  <c r="Q73" i="34"/>
  <c r="R73" i="34"/>
  <c r="S73" i="34"/>
  <c r="T73" i="34"/>
  <c r="U73" i="34"/>
  <c r="V73" i="34"/>
  <c r="W73" i="34"/>
  <c r="X73" i="34"/>
  <c r="Y73" i="34"/>
  <c r="AC73" i="34"/>
  <c r="AD73" i="34"/>
  <c r="AE73" i="34"/>
  <c r="AF73" i="34"/>
  <c r="AG73" i="34"/>
  <c r="AH73" i="34"/>
  <c r="AI73" i="34"/>
  <c r="AJ73" i="34"/>
  <c r="I74" i="34"/>
  <c r="J74" i="34"/>
  <c r="K74" i="34"/>
  <c r="L74" i="34"/>
  <c r="M74" i="34"/>
  <c r="N74" i="34"/>
  <c r="O74" i="34"/>
  <c r="P74" i="34"/>
  <c r="Q74" i="34"/>
  <c r="R74" i="34"/>
  <c r="S74" i="34"/>
  <c r="T74" i="34"/>
  <c r="U74" i="34"/>
  <c r="V74" i="34"/>
  <c r="W74" i="34"/>
  <c r="X74" i="34"/>
  <c r="Y74" i="34"/>
  <c r="AC74" i="34"/>
  <c r="AD74" i="34"/>
  <c r="AE74" i="34"/>
  <c r="AF74" i="34"/>
  <c r="AG74" i="34"/>
  <c r="AH74" i="34"/>
  <c r="AI74" i="34"/>
  <c r="AJ74" i="34"/>
  <c r="I76" i="34"/>
  <c r="J76" i="34"/>
  <c r="L76" i="34"/>
  <c r="M76" i="34"/>
  <c r="N76" i="34"/>
  <c r="P76" i="34"/>
  <c r="Q76" i="34"/>
  <c r="S76" i="34"/>
  <c r="T76" i="34"/>
  <c r="U76" i="34"/>
  <c r="V76" i="34"/>
  <c r="W76" i="34"/>
  <c r="X76" i="34"/>
  <c r="Y76" i="34"/>
  <c r="Z76" i="34"/>
  <c r="AA76" i="34"/>
  <c r="AB76" i="34"/>
  <c r="AC76" i="34"/>
  <c r="AD76" i="34"/>
  <c r="AE76" i="34"/>
  <c r="AG76" i="34"/>
  <c r="AH76" i="34"/>
  <c r="AI76" i="34"/>
  <c r="AJ76" i="34"/>
  <c r="I77" i="34"/>
  <c r="J77" i="34"/>
  <c r="L77" i="34"/>
  <c r="M77" i="34"/>
  <c r="N77" i="34"/>
  <c r="P77" i="34"/>
  <c r="Q77" i="34"/>
  <c r="S77" i="34"/>
  <c r="T77" i="34"/>
  <c r="U77" i="34"/>
  <c r="V77" i="34"/>
  <c r="W77" i="34"/>
  <c r="X77" i="34"/>
  <c r="Y77" i="34"/>
  <c r="Z77" i="34"/>
  <c r="AA77" i="34"/>
  <c r="AB77" i="34"/>
  <c r="AC77" i="34"/>
  <c r="AD77" i="34"/>
  <c r="AE77" i="34"/>
  <c r="AG77" i="34"/>
  <c r="AH77" i="34"/>
  <c r="AI77" i="34"/>
  <c r="AJ77" i="34"/>
  <c r="I79" i="34"/>
  <c r="J79" i="34"/>
  <c r="K79" i="34"/>
  <c r="L79" i="34"/>
  <c r="M79" i="34"/>
  <c r="N79" i="34"/>
  <c r="O79" i="34"/>
  <c r="P79" i="34"/>
  <c r="Q79" i="34"/>
  <c r="R79" i="34"/>
  <c r="S79" i="34"/>
  <c r="T79" i="34"/>
  <c r="U79" i="34"/>
  <c r="V79" i="34"/>
  <c r="W79" i="34"/>
  <c r="X79" i="34"/>
  <c r="Y79" i="34"/>
  <c r="Z79" i="34"/>
  <c r="AA79" i="34"/>
  <c r="AB79" i="34"/>
  <c r="AC79" i="34"/>
  <c r="AD79" i="34"/>
  <c r="AE79" i="34"/>
  <c r="AF79" i="34"/>
  <c r="AG79" i="34"/>
  <c r="AH79" i="34"/>
  <c r="AI79" i="34"/>
  <c r="AJ79" i="34"/>
  <c r="I80" i="34"/>
  <c r="J80" i="34"/>
  <c r="K80" i="34"/>
  <c r="L80" i="34"/>
  <c r="M80" i="34"/>
  <c r="N80" i="34"/>
  <c r="O80" i="34"/>
  <c r="P80" i="34"/>
  <c r="Q80" i="34"/>
  <c r="R80" i="34"/>
  <c r="S80" i="34"/>
  <c r="T80" i="34"/>
  <c r="U80" i="34"/>
  <c r="V80" i="34"/>
  <c r="W80" i="34"/>
  <c r="X80" i="34"/>
  <c r="Y80" i="34"/>
  <c r="Z80" i="34"/>
  <c r="AA80" i="34"/>
  <c r="AB80" i="34"/>
  <c r="AC80" i="34"/>
  <c r="AD80" i="34"/>
  <c r="AE80" i="34"/>
  <c r="AG80" i="34"/>
  <c r="AH80" i="34"/>
  <c r="AI80" i="34"/>
  <c r="AJ80" i="34"/>
  <c r="I83" i="34"/>
  <c r="J83" i="34"/>
  <c r="K83" i="34"/>
  <c r="L83" i="34"/>
  <c r="M83" i="34"/>
  <c r="N83" i="34"/>
  <c r="O83" i="34"/>
  <c r="P83" i="34"/>
  <c r="Q83" i="34"/>
  <c r="R83" i="34"/>
  <c r="S83" i="34"/>
  <c r="T83" i="34"/>
  <c r="U83" i="34"/>
  <c r="V83" i="34"/>
  <c r="W83" i="34"/>
  <c r="X83" i="34"/>
  <c r="Y83" i="34"/>
  <c r="Z83" i="34"/>
  <c r="AA83" i="34"/>
  <c r="AB83" i="34"/>
  <c r="AC83" i="34"/>
  <c r="AD83" i="34"/>
  <c r="AE83" i="34"/>
  <c r="AF83" i="34"/>
  <c r="AG83" i="34"/>
  <c r="AH83" i="34"/>
  <c r="AI83" i="34"/>
  <c r="AJ83" i="34"/>
  <c r="I84" i="34"/>
  <c r="J84" i="34"/>
  <c r="K84" i="34"/>
  <c r="L84" i="34"/>
  <c r="M84" i="34"/>
  <c r="N84" i="34"/>
  <c r="O84" i="34"/>
  <c r="P84" i="34"/>
  <c r="Q84" i="34"/>
  <c r="R84" i="34"/>
  <c r="S84" i="34"/>
  <c r="T84" i="34"/>
  <c r="U84" i="34"/>
  <c r="V84" i="34"/>
  <c r="W84" i="34"/>
  <c r="X84" i="34"/>
  <c r="Y84" i="34"/>
  <c r="Z84" i="34"/>
  <c r="AA84" i="34"/>
  <c r="AB84" i="34"/>
  <c r="AC84" i="34"/>
  <c r="AD84" i="34"/>
  <c r="AE84" i="34"/>
  <c r="AF84" i="34"/>
  <c r="AG84" i="34"/>
  <c r="AH84" i="34"/>
  <c r="AI84" i="34"/>
  <c r="AJ84" i="34"/>
  <c r="I85" i="34"/>
  <c r="J85" i="34"/>
  <c r="K85" i="34"/>
  <c r="L85" i="34"/>
  <c r="M85" i="34"/>
  <c r="N85" i="34"/>
  <c r="O85" i="34"/>
  <c r="P85" i="34"/>
  <c r="Q85" i="34"/>
  <c r="R85" i="34"/>
  <c r="S85" i="34"/>
  <c r="T85" i="34"/>
  <c r="U85" i="34"/>
  <c r="V85" i="34"/>
  <c r="W85" i="34"/>
  <c r="X85" i="34"/>
  <c r="Y85" i="34"/>
  <c r="Z85" i="34"/>
  <c r="AA85" i="34"/>
  <c r="AB85" i="34"/>
  <c r="AC85" i="34"/>
  <c r="AD85" i="34"/>
  <c r="AE85" i="34"/>
  <c r="AF85" i="34"/>
  <c r="AG85" i="34"/>
  <c r="AH85" i="34"/>
  <c r="AI85" i="34"/>
  <c r="AJ85" i="34"/>
  <c r="I86" i="34"/>
  <c r="J86" i="34"/>
  <c r="K86" i="34"/>
  <c r="L86" i="34"/>
  <c r="M86" i="34"/>
  <c r="N86" i="34"/>
  <c r="O86" i="34"/>
  <c r="P86" i="34"/>
  <c r="Q86" i="34"/>
  <c r="R86" i="34"/>
  <c r="S86" i="34"/>
  <c r="T86" i="34"/>
  <c r="U86" i="34"/>
  <c r="V86" i="34"/>
  <c r="W86" i="34"/>
  <c r="X86" i="34"/>
  <c r="Y86" i="34"/>
  <c r="Z86" i="34"/>
  <c r="AA86" i="34"/>
  <c r="AB86" i="34"/>
  <c r="AC86" i="34"/>
  <c r="AD86" i="34"/>
  <c r="AE86" i="34"/>
  <c r="AF86" i="34"/>
  <c r="AG86" i="34"/>
  <c r="AH86" i="34"/>
  <c r="AI86" i="34"/>
  <c r="AJ86" i="34"/>
  <c r="I88" i="34"/>
  <c r="J88" i="34"/>
  <c r="L88" i="34"/>
  <c r="M88" i="34"/>
  <c r="N88" i="34"/>
  <c r="P88" i="34"/>
  <c r="Q88" i="34"/>
  <c r="S88" i="34"/>
  <c r="T88" i="34"/>
  <c r="U88" i="34"/>
  <c r="W88" i="34"/>
  <c r="X88" i="34"/>
  <c r="Y88" i="34"/>
  <c r="Z88" i="34"/>
  <c r="AA88" i="34"/>
  <c r="AB88" i="34"/>
  <c r="AC88" i="34"/>
  <c r="AD88" i="34"/>
  <c r="AE88" i="34"/>
  <c r="AG88" i="34"/>
  <c r="AH88" i="34"/>
  <c r="AI88" i="34"/>
  <c r="AJ88" i="34"/>
  <c r="I89" i="34"/>
  <c r="J89" i="34"/>
  <c r="L89" i="34"/>
  <c r="M89" i="34"/>
  <c r="N89" i="34"/>
  <c r="P89" i="34"/>
  <c r="Q89" i="34"/>
  <c r="S89" i="34"/>
  <c r="T89" i="34"/>
  <c r="U89" i="34"/>
  <c r="V89" i="34"/>
  <c r="W89" i="34"/>
  <c r="X89" i="34"/>
  <c r="Y89" i="34"/>
  <c r="Z89" i="34"/>
  <c r="AA89" i="34"/>
  <c r="AB89" i="34"/>
  <c r="AC89" i="34"/>
  <c r="AD89" i="34"/>
  <c r="AE89" i="34"/>
  <c r="AG89" i="34"/>
  <c r="AH89" i="34"/>
  <c r="AI89" i="34"/>
  <c r="AJ89" i="34"/>
  <c r="I91" i="34"/>
  <c r="J91" i="34"/>
  <c r="K91" i="34"/>
  <c r="L91" i="34"/>
  <c r="M91" i="34"/>
  <c r="N91" i="34"/>
  <c r="O91" i="34"/>
  <c r="P91" i="34"/>
  <c r="Q91" i="34"/>
  <c r="R91" i="34"/>
  <c r="S91" i="34"/>
  <c r="T91" i="34"/>
  <c r="U91" i="34"/>
  <c r="V91" i="34"/>
  <c r="W91" i="34"/>
  <c r="X91" i="34"/>
  <c r="Y91" i="34"/>
  <c r="Z91" i="34"/>
  <c r="AA91" i="34"/>
  <c r="AB91" i="34"/>
  <c r="AC91" i="34"/>
  <c r="AD91" i="34"/>
  <c r="AE91" i="34"/>
  <c r="AF91" i="34"/>
  <c r="AG91" i="34"/>
  <c r="AH91" i="34"/>
  <c r="AI91" i="34"/>
  <c r="AJ91" i="34"/>
  <c r="I92" i="34"/>
  <c r="J92" i="34"/>
  <c r="K92" i="34"/>
  <c r="L92" i="34"/>
  <c r="M92" i="34"/>
  <c r="N92" i="34"/>
  <c r="O92" i="34"/>
  <c r="P92" i="34"/>
  <c r="Q92" i="34"/>
  <c r="R92" i="34"/>
  <c r="S92" i="34"/>
  <c r="T92" i="34"/>
  <c r="U92" i="34"/>
  <c r="V92" i="34"/>
  <c r="W92" i="34"/>
  <c r="X92" i="34"/>
  <c r="Y92" i="34"/>
  <c r="Z92" i="34"/>
  <c r="AA92" i="34"/>
  <c r="AB92" i="34"/>
  <c r="AC92" i="34"/>
  <c r="AD92" i="34"/>
  <c r="AE92" i="34"/>
  <c r="AF92" i="34"/>
  <c r="AG92" i="34"/>
  <c r="AH92" i="34"/>
  <c r="AI92" i="34"/>
  <c r="AJ92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I96" i="34"/>
  <c r="J96" i="34"/>
  <c r="K96" i="34"/>
  <c r="L96" i="34"/>
  <c r="M96" i="34"/>
  <c r="N96" i="34"/>
  <c r="O96" i="34"/>
  <c r="P96" i="34"/>
  <c r="Q96" i="34"/>
  <c r="R96" i="34"/>
  <c r="S96" i="34"/>
  <c r="T96" i="34"/>
  <c r="U96" i="34"/>
  <c r="V96" i="34"/>
  <c r="W96" i="34"/>
  <c r="X96" i="34"/>
  <c r="Y96" i="34"/>
  <c r="Z96" i="34"/>
  <c r="AA96" i="34"/>
  <c r="AB96" i="34"/>
  <c r="AC96" i="34"/>
  <c r="AD96" i="34"/>
  <c r="AE96" i="34"/>
  <c r="AF96" i="34"/>
  <c r="AG96" i="34"/>
  <c r="AH96" i="34"/>
  <c r="AI96" i="34"/>
  <c r="AJ96" i="34"/>
  <c r="I97" i="34"/>
  <c r="J97" i="34"/>
  <c r="K97" i="34"/>
  <c r="L97" i="34"/>
  <c r="M97" i="34"/>
  <c r="N97" i="34"/>
  <c r="O97" i="34"/>
  <c r="P97" i="34"/>
  <c r="Q97" i="34"/>
  <c r="R97" i="34"/>
  <c r="S97" i="34"/>
  <c r="T97" i="34"/>
  <c r="U97" i="34"/>
  <c r="V97" i="34"/>
  <c r="W97" i="34"/>
  <c r="X97" i="34"/>
  <c r="Y97" i="34"/>
  <c r="Z97" i="34"/>
  <c r="AA97" i="34"/>
  <c r="AB97" i="34"/>
  <c r="AC97" i="34"/>
  <c r="AD97" i="34"/>
  <c r="AE97" i="34"/>
  <c r="AF97" i="34"/>
  <c r="AG97" i="34"/>
  <c r="AH97" i="34"/>
  <c r="AI97" i="34"/>
  <c r="AJ97" i="34"/>
  <c r="I98" i="34"/>
  <c r="J98" i="34"/>
  <c r="K98" i="34"/>
  <c r="L98" i="34"/>
  <c r="M98" i="34"/>
  <c r="N98" i="34"/>
  <c r="O98" i="34"/>
  <c r="P98" i="34"/>
  <c r="Q98" i="34"/>
  <c r="R98" i="34"/>
  <c r="S98" i="34"/>
  <c r="T98" i="34"/>
  <c r="U98" i="34"/>
  <c r="V98" i="34"/>
  <c r="W98" i="34"/>
  <c r="X98" i="34"/>
  <c r="Y98" i="34"/>
  <c r="Z98" i="34"/>
  <c r="AA98" i="34"/>
  <c r="AB98" i="34"/>
  <c r="AC98" i="34"/>
  <c r="AD98" i="34"/>
  <c r="AE98" i="34"/>
  <c r="AF98" i="34"/>
  <c r="AG98" i="34"/>
  <c r="AH98" i="34"/>
  <c r="AI98" i="34"/>
  <c r="AJ98" i="34"/>
  <c r="I100" i="34"/>
  <c r="J100" i="34"/>
  <c r="K100" i="34"/>
  <c r="L100" i="34"/>
  <c r="M100" i="34"/>
  <c r="N100" i="34"/>
  <c r="O100" i="34"/>
  <c r="P100" i="34"/>
  <c r="Q100" i="34"/>
  <c r="S100" i="34"/>
  <c r="T100" i="34"/>
  <c r="U100" i="34"/>
  <c r="V100" i="34"/>
  <c r="W100" i="34"/>
  <c r="X100" i="34"/>
  <c r="Y100" i="34"/>
  <c r="Z100" i="34"/>
  <c r="AA100" i="34"/>
  <c r="AB100" i="34"/>
  <c r="AD100" i="34"/>
  <c r="AE100" i="34"/>
  <c r="AF100" i="34"/>
  <c r="AG100" i="34"/>
  <c r="AH100" i="34"/>
  <c r="AI100" i="34"/>
  <c r="AJ100" i="34"/>
  <c r="I101" i="34"/>
  <c r="J101" i="34"/>
  <c r="K101" i="34"/>
  <c r="L101" i="34"/>
  <c r="M101" i="34"/>
  <c r="N101" i="34"/>
  <c r="O101" i="34"/>
  <c r="P101" i="34"/>
  <c r="Q101" i="34"/>
  <c r="S101" i="34"/>
  <c r="T101" i="34"/>
  <c r="U101" i="34"/>
  <c r="V101" i="34"/>
  <c r="W101" i="34"/>
  <c r="X101" i="34"/>
  <c r="Y101" i="34"/>
  <c r="Z101" i="34"/>
  <c r="AA101" i="34"/>
  <c r="AB101" i="34"/>
  <c r="AD101" i="34"/>
  <c r="AE101" i="34"/>
  <c r="AF101" i="34"/>
  <c r="AG101" i="34"/>
  <c r="AH101" i="34"/>
  <c r="AI101" i="34"/>
  <c r="AJ101" i="34"/>
  <c r="I103" i="34"/>
  <c r="J103" i="34"/>
  <c r="K103" i="34"/>
  <c r="L103" i="34"/>
  <c r="M103" i="34"/>
  <c r="N103" i="34"/>
  <c r="O103" i="34"/>
  <c r="P103" i="34"/>
  <c r="Q103" i="34"/>
  <c r="R103" i="34"/>
  <c r="S103" i="34"/>
  <c r="T103" i="34"/>
  <c r="U103" i="34"/>
  <c r="V103" i="34"/>
  <c r="W103" i="34"/>
  <c r="X103" i="34"/>
  <c r="Y103" i="34"/>
  <c r="Z103" i="34"/>
  <c r="AA103" i="34"/>
  <c r="AB103" i="34"/>
  <c r="AC103" i="34"/>
  <c r="AD103" i="34"/>
  <c r="AE103" i="34"/>
  <c r="AF103" i="34"/>
  <c r="AG103" i="34"/>
  <c r="AH103" i="34"/>
  <c r="AI103" i="34"/>
  <c r="AJ103" i="34"/>
  <c r="I104" i="34"/>
  <c r="J104" i="34"/>
  <c r="K104" i="34"/>
  <c r="L104" i="34"/>
  <c r="M104" i="34"/>
  <c r="N104" i="34"/>
  <c r="O104" i="34"/>
  <c r="P104" i="34"/>
  <c r="Q104" i="34"/>
  <c r="R104" i="34"/>
  <c r="S104" i="34"/>
  <c r="T104" i="34"/>
  <c r="U104" i="34"/>
  <c r="V104" i="34"/>
  <c r="W104" i="34"/>
  <c r="X104" i="34"/>
  <c r="Y104" i="34"/>
  <c r="Z104" i="34"/>
  <c r="AA104" i="34"/>
  <c r="AB104" i="34"/>
  <c r="AC104" i="34"/>
  <c r="AD104" i="34"/>
  <c r="AE104" i="34"/>
  <c r="AF104" i="34"/>
  <c r="AG104" i="34"/>
  <c r="AH104" i="34"/>
  <c r="AI104" i="34"/>
  <c r="AJ104" i="34"/>
  <c r="I107" i="34"/>
  <c r="J107" i="34"/>
  <c r="K107" i="34"/>
  <c r="L107" i="34"/>
  <c r="M107" i="34"/>
  <c r="N107" i="34"/>
  <c r="O107" i="34"/>
  <c r="P107" i="34"/>
  <c r="Q107" i="34"/>
  <c r="R107" i="34"/>
  <c r="S107" i="34"/>
  <c r="T107" i="34"/>
  <c r="U107" i="34"/>
  <c r="V107" i="34"/>
  <c r="W107" i="34"/>
  <c r="X107" i="34"/>
  <c r="Y107" i="34"/>
  <c r="Z107" i="34"/>
  <c r="AA107" i="34"/>
  <c r="AB107" i="34"/>
  <c r="AC107" i="34"/>
  <c r="AD107" i="34"/>
  <c r="AE107" i="34"/>
  <c r="AF107" i="34"/>
  <c r="AG107" i="34"/>
  <c r="AH107" i="34"/>
  <c r="AI107" i="34"/>
  <c r="AJ107" i="34"/>
  <c r="I108" i="34"/>
  <c r="J108" i="34"/>
  <c r="K108" i="34"/>
  <c r="L108" i="34"/>
  <c r="M108" i="34"/>
  <c r="N108" i="34"/>
  <c r="O108" i="34"/>
  <c r="P108" i="34"/>
  <c r="Q108" i="34"/>
  <c r="R108" i="34"/>
  <c r="S108" i="34"/>
  <c r="T108" i="34"/>
  <c r="U108" i="34"/>
  <c r="V108" i="34"/>
  <c r="W108" i="34"/>
  <c r="X108" i="34"/>
  <c r="Y108" i="34"/>
  <c r="Z108" i="34"/>
  <c r="AA108" i="34"/>
  <c r="AB108" i="34"/>
  <c r="AC108" i="34"/>
  <c r="AD108" i="34"/>
  <c r="AE108" i="34"/>
  <c r="AF108" i="34"/>
  <c r="AG108" i="34"/>
  <c r="AH108" i="34"/>
  <c r="AI108" i="34"/>
  <c r="AJ108" i="34"/>
  <c r="I109" i="34"/>
  <c r="J109" i="34"/>
  <c r="K109" i="34"/>
  <c r="L109" i="34"/>
  <c r="M109" i="34"/>
  <c r="N109" i="34"/>
  <c r="O109" i="34"/>
  <c r="P109" i="34"/>
  <c r="Q109" i="34"/>
  <c r="R109" i="34"/>
  <c r="S109" i="34"/>
  <c r="T109" i="34"/>
  <c r="U109" i="34"/>
  <c r="V109" i="34"/>
  <c r="W109" i="34"/>
  <c r="X109" i="34"/>
  <c r="Y109" i="34"/>
  <c r="Z109" i="34"/>
  <c r="AA109" i="34"/>
  <c r="AB109" i="34"/>
  <c r="AC109" i="34"/>
  <c r="AD109" i="34"/>
  <c r="AE109" i="34"/>
  <c r="AF109" i="34"/>
  <c r="AG109" i="34"/>
  <c r="AH109" i="34"/>
  <c r="AI109" i="34"/>
  <c r="AJ109" i="34"/>
  <c r="I110" i="34"/>
  <c r="J110" i="34"/>
  <c r="K110" i="34"/>
  <c r="L110" i="34"/>
  <c r="M110" i="34"/>
  <c r="N110" i="34"/>
  <c r="O110" i="34"/>
  <c r="P110" i="34"/>
  <c r="Q110" i="34"/>
  <c r="R110" i="34"/>
  <c r="S110" i="34"/>
  <c r="T110" i="34"/>
  <c r="U110" i="34"/>
  <c r="V110" i="34"/>
  <c r="W110" i="34"/>
  <c r="X110" i="34"/>
  <c r="Y110" i="34"/>
  <c r="Z110" i="34"/>
  <c r="AA110" i="34"/>
  <c r="AB110" i="34"/>
  <c r="AC110" i="34"/>
  <c r="AD110" i="34"/>
  <c r="AE110" i="34"/>
  <c r="AF110" i="34"/>
  <c r="AG110" i="34"/>
  <c r="AH110" i="34"/>
  <c r="AI110" i="34"/>
  <c r="AJ110" i="34"/>
  <c r="I112" i="34"/>
  <c r="J112" i="34"/>
  <c r="L112" i="34"/>
  <c r="M112" i="34"/>
  <c r="N112" i="34"/>
  <c r="P112" i="34"/>
  <c r="Q112" i="34"/>
  <c r="S112" i="34"/>
  <c r="T112" i="34"/>
  <c r="U112" i="34"/>
  <c r="V112" i="34"/>
  <c r="W112" i="34"/>
  <c r="X112" i="34"/>
  <c r="Z112" i="34"/>
  <c r="AA112" i="34"/>
  <c r="AB112" i="34"/>
  <c r="AD112" i="34"/>
  <c r="AE112" i="34"/>
  <c r="AG112" i="34"/>
  <c r="AH112" i="34"/>
  <c r="AI112" i="34"/>
  <c r="AJ112" i="34"/>
  <c r="I113" i="34"/>
  <c r="J113" i="34"/>
  <c r="L113" i="34"/>
  <c r="M113" i="34"/>
  <c r="N113" i="34"/>
  <c r="P113" i="34"/>
  <c r="Q113" i="34"/>
  <c r="S113" i="34"/>
  <c r="T113" i="34"/>
  <c r="U113" i="34"/>
  <c r="V113" i="34"/>
  <c r="W113" i="34"/>
  <c r="X113" i="34"/>
  <c r="Z113" i="34"/>
  <c r="AA113" i="34"/>
  <c r="AB113" i="34"/>
  <c r="AD113" i="34"/>
  <c r="AE113" i="34"/>
  <c r="AG113" i="34"/>
  <c r="AH113" i="34"/>
  <c r="AI113" i="34"/>
  <c r="AJ113" i="34"/>
  <c r="I115" i="34"/>
  <c r="J115" i="34"/>
  <c r="K115" i="34"/>
  <c r="L115" i="34"/>
  <c r="M115" i="34"/>
  <c r="N115" i="34"/>
  <c r="O115" i="34"/>
  <c r="P115" i="34"/>
  <c r="Q115" i="34"/>
  <c r="R115" i="34"/>
  <c r="S115" i="34"/>
  <c r="T115" i="34"/>
  <c r="U115" i="34"/>
  <c r="V115" i="34"/>
  <c r="W115" i="34"/>
  <c r="X115" i="34"/>
  <c r="Y115" i="34"/>
  <c r="Z115" i="34"/>
  <c r="AA115" i="34"/>
  <c r="AB115" i="34"/>
  <c r="AC115" i="34"/>
  <c r="AD115" i="34"/>
  <c r="AE115" i="34"/>
  <c r="AF115" i="34"/>
  <c r="AG115" i="34"/>
  <c r="AH115" i="34"/>
  <c r="AI115" i="34"/>
  <c r="AJ115" i="34"/>
  <c r="I116" i="34"/>
  <c r="J116" i="34"/>
  <c r="K116" i="34"/>
  <c r="L116" i="34"/>
  <c r="M116" i="34"/>
  <c r="N116" i="34"/>
  <c r="O116" i="34"/>
  <c r="P116" i="34"/>
  <c r="Q116" i="34"/>
  <c r="R116" i="34"/>
  <c r="S116" i="34"/>
  <c r="T116" i="34"/>
  <c r="U116" i="34"/>
  <c r="V116" i="34"/>
  <c r="W116" i="34"/>
  <c r="X116" i="34"/>
  <c r="Y116" i="34"/>
  <c r="Z116" i="34"/>
  <c r="AA116" i="34"/>
  <c r="AB116" i="34"/>
  <c r="AC116" i="34"/>
  <c r="AD116" i="34"/>
  <c r="AE116" i="34"/>
  <c r="AG116" i="34"/>
  <c r="AH116" i="34"/>
  <c r="AI116" i="34"/>
  <c r="AJ116" i="34"/>
  <c r="I119" i="34"/>
  <c r="J119" i="34"/>
  <c r="K119" i="34"/>
  <c r="L119" i="34"/>
  <c r="M119" i="34"/>
  <c r="N119" i="34"/>
  <c r="O119" i="34"/>
  <c r="P119" i="34"/>
  <c r="Q119" i="34"/>
  <c r="R119" i="34"/>
  <c r="S119" i="34"/>
  <c r="T119" i="34"/>
  <c r="U119" i="34"/>
  <c r="V119" i="34"/>
  <c r="W119" i="34"/>
  <c r="X119" i="34"/>
  <c r="Y119" i="34"/>
  <c r="Z119" i="34"/>
  <c r="AA119" i="34"/>
  <c r="AB119" i="34"/>
  <c r="AC119" i="34"/>
  <c r="AD119" i="34"/>
  <c r="AE119" i="34"/>
  <c r="AF119" i="34"/>
  <c r="AG119" i="34"/>
  <c r="AH119" i="34"/>
  <c r="AI119" i="34"/>
  <c r="AJ119" i="34"/>
  <c r="I120" i="34"/>
  <c r="J120" i="34"/>
  <c r="K120" i="34"/>
  <c r="L120" i="34"/>
  <c r="M120" i="34"/>
  <c r="N120" i="34"/>
  <c r="O120" i="34"/>
  <c r="P120" i="34"/>
  <c r="Q120" i="34"/>
  <c r="R120" i="34"/>
  <c r="S120" i="34"/>
  <c r="T120" i="34"/>
  <c r="U120" i="34"/>
  <c r="V120" i="34"/>
  <c r="W120" i="34"/>
  <c r="X120" i="34"/>
  <c r="Y120" i="34"/>
  <c r="Z120" i="34"/>
  <c r="AA120" i="34"/>
  <c r="AB120" i="34"/>
  <c r="AC120" i="34"/>
  <c r="AD120" i="34"/>
  <c r="AE120" i="34"/>
  <c r="AF120" i="34"/>
  <c r="AG120" i="34"/>
  <c r="AH120" i="34"/>
  <c r="AI120" i="34"/>
  <c r="AJ120" i="34"/>
  <c r="I121" i="34"/>
  <c r="J121" i="34"/>
  <c r="K121" i="34"/>
  <c r="L121" i="34"/>
  <c r="M121" i="34"/>
  <c r="N121" i="34"/>
  <c r="O121" i="34"/>
  <c r="P121" i="34"/>
  <c r="Q121" i="34"/>
  <c r="R121" i="34"/>
  <c r="S121" i="34"/>
  <c r="T121" i="34"/>
  <c r="U121" i="34"/>
  <c r="V121" i="34"/>
  <c r="W121" i="34"/>
  <c r="X121" i="34"/>
  <c r="Y121" i="34"/>
  <c r="Z121" i="34"/>
  <c r="AA121" i="34"/>
  <c r="AB121" i="34"/>
  <c r="AC121" i="34"/>
  <c r="AD121" i="34"/>
  <c r="AE121" i="34"/>
  <c r="AF121" i="34"/>
  <c r="AG121" i="34"/>
  <c r="AH121" i="34"/>
  <c r="AI121" i="34"/>
  <c r="AJ121" i="34"/>
  <c r="I122" i="34"/>
  <c r="J122" i="34"/>
  <c r="K122" i="34"/>
  <c r="L122" i="34"/>
  <c r="M122" i="34"/>
  <c r="N122" i="34"/>
  <c r="O122" i="34"/>
  <c r="P122" i="34"/>
  <c r="Q122" i="34"/>
  <c r="R122" i="34"/>
  <c r="S122" i="34"/>
  <c r="T122" i="34"/>
  <c r="U122" i="34"/>
  <c r="V122" i="34"/>
  <c r="W122" i="34"/>
  <c r="X122" i="34"/>
  <c r="Y122" i="34"/>
  <c r="Z122" i="34"/>
  <c r="AA122" i="34"/>
  <c r="AB122" i="34"/>
  <c r="AC122" i="34"/>
  <c r="AD122" i="34"/>
  <c r="AE122" i="34"/>
  <c r="AF122" i="34"/>
  <c r="AG122" i="34"/>
  <c r="AH122" i="34"/>
  <c r="AI122" i="34"/>
  <c r="AJ122" i="34"/>
  <c r="I124" i="34"/>
  <c r="J124" i="34"/>
  <c r="L124" i="34"/>
  <c r="M124" i="34"/>
  <c r="N124" i="34"/>
  <c r="O124" i="34"/>
  <c r="P124" i="34"/>
  <c r="Q124" i="34"/>
  <c r="S124" i="34"/>
  <c r="T124" i="34"/>
  <c r="U124" i="34"/>
  <c r="V124" i="34"/>
  <c r="W124" i="34"/>
  <c r="X124" i="34"/>
  <c r="Z124" i="34"/>
  <c r="AA124" i="34"/>
  <c r="AB124" i="34"/>
  <c r="AC124" i="34"/>
  <c r="AD124" i="34"/>
  <c r="AE124" i="34"/>
  <c r="AF124" i="34"/>
  <c r="AG124" i="34"/>
  <c r="AH124" i="34"/>
  <c r="AI124" i="34"/>
  <c r="AJ124" i="34"/>
  <c r="I125" i="34"/>
  <c r="J125" i="34"/>
  <c r="L125" i="34"/>
  <c r="M125" i="34"/>
  <c r="N125" i="34"/>
  <c r="P125" i="34"/>
  <c r="Q125" i="34"/>
  <c r="S125" i="34"/>
  <c r="T125" i="34"/>
  <c r="U125" i="34"/>
  <c r="V125" i="34"/>
  <c r="W125" i="34"/>
  <c r="X125" i="34"/>
  <c r="Z125" i="34"/>
  <c r="AA125" i="34"/>
  <c r="AB125" i="34"/>
  <c r="AC125" i="34"/>
  <c r="AD125" i="34"/>
  <c r="AE125" i="34"/>
  <c r="AF125" i="34"/>
  <c r="AG125" i="34"/>
  <c r="AH125" i="34"/>
  <c r="AI125" i="34"/>
  <c r="AJ125" i="34"/>
  <c r="I127" i="34"/>
  <c r="J127" i="34"/>
  <c r="K127" i="34"/>
  <c r="L127" i="34"/>
  <c r="M127" i="34"/>
  <c r="N127" i="34"/>
  <c r="O127" i="34"/>
  <c r="P127" i="34"/>
  <c r="Q127" i="34"/>
  <c r="R127" i="34"/>
  <c r="S127" i="34"/>
  <c r="T127" i="34"/>
  <c r="U127" i="34"/>
  <c r="V127" i="34"/>
  <c r="W127" i="34"/>
  <c r="X127" i="34"/>
  <c r="Y127" i="34"/>
  <c r="Z127" i="34"/>
  <c r="AA127" i="34"/>
  <c r="AB127" i="34"/>
  <c r="AC127" i="34"/>
  <c r="AD127" i="34"/>
  <c r="AE127" i="34"/>
  <c r="AF127" i="34"/>
  <c r="AG127" i="34"/>
  <c r="AH127" i="34"/>
  <c r="AI127" i="34"/>
  <c r="AJ127" i="34"/>
  <c r="I128" i="34"/>
  <c r="J128" i="34"/>
  <c r="K128" i="34"/>
  <c r="L128" i="34"/>
  <c r="M128" i="34"/>
  <c r="N128" i="34"/>
  <c r="O128" i="34"/>
  <c r="P128" i="34"/>
  <c r="Q128" i="34"/>
  <c r="R128" i="34"/>
  <c r="S128" i="34"/>
  <c r="T128" i="34"/>
  <c r="U128" i="34"/>
  <c r="V128" i="34"/>
  <c r="W128" i="34"/>
  <c r="X128" i="34"/>
  <c r="Y128" i="34"/>
  <c r="Z128" i="34"/>
  <c r="AA128" i="34"/>
  <c r="AB128" i="34"/>
  <c r="AC128" i="34"/>
  <c r="AD128" i="34"/>
  <c r="AE128" i="34"/>
  <c r="AF128" i="34"/>
  <c r="AG128" i="34"/>
  <c r="AH128" i="34"/>
  <c r="AI128" i="34"/>
  <c r="AJ128" i="34"/>
  <c r="I131" i="34"/>
  <c r="J131" i="34"/>
  <c r="K131" i="34"/>
  <c r="L131" i="34"/>
  <c r="M131" i="34"/>
  <c r="N131" i="34"/>
  <c r="O131" i="34"/>
  <c r="P131" i="34"/>
  <c r="Q131" i="34"/>
  <c r="R131" i="34"/>
  <c r="S131" i="34"/>
  <c r="T131" i="34"/>
  <c r="U131" i="34"/>
  <c r="V131" i="34"/>
  <c r="W131" i="34"/>
  <c r="X131" i="34"/>
  <c r="Y131" i="34"/>
  <c r="Z131" i="34"/>
  <c r="AA131" i="34"/>
  <c r="AB131" i="34"/>
  <c r="AC131" i="34"/>
  <c r="AD131" i="34"/>
  <c r="AE131" i="34"/>
  <c r="AF131" i="34"/>
  <c r="AG131" i="34"/>
  <c r="AH131" i="34"/>
  <c r="AI131" i="34"/>
  <c r="AJ131" i="34"/>
  <c r="I132" i="34"/>
  <c r="J132" i="34"/>
  <c r="K132" i="34"/>
  <c r="L132" i="34"/>
  <c r="M132" i="34"/>
  <c r="N132" i="34"/>
  <c r="O132" i="34"/>
  <c r="P132" i="34"/>
  <c r="Q132" i="34"/>
  <c r="R132" i="34"/>
  <c r="S132" i="34"/>
  <c r="T132" i="34"/>
  <c r="U132" i="34"/>
  <c r="V132" i="34"/>
  <c r="W132" i="34"/>
  <c r="X132" i="34"/>
  <c r="Y132" i="34"/>
  <c r="Z132" i="34"/>
  <c r="AA132" i="34"/>
  <c r="AB132" i="34"/>
  <c r="AC132" i="34"/>
  <c r="AD132" i="34"/>
  <c r="AE132" i="34"/>
  <c r="AF132" i="34"/>
  <c r="AG132" i="34"/>
  <c r="AH132" i="34"/>
  <c r="AI132" i="34"/>
  <c r="AJ132" i="34"/>
  <c r="I133" i="34"/>
  <c r="J133" i="34"/>
  <c r="K133" i="34"/>
  <c r="L133" i="34"/>
  <c r="M133" i="34"/>
  <c r="N133" i="34"/>
  <c r="O133" i="34"/>
  <c r="P133" i="34"/>
  <c r="Q133" i="34"/>
  <c r="R133" i="34"/>
  <c r="S133" i="34"/>
  <c r="T133" i="34"/>
  <c r="U133" i="34"/>
  <c r="V133" i="34"/>
  <c r="W133" i="34"/>
  <c r="X133" i="34"/>
  <c r="Y133" i="34"/>
  <c r="Z133" i="34"/>
  <c r="AA133" i="34"/>
  <c r="AB133" i="34"/>
  <c r="AC133" i="34"/>
  <c r="AD133" i="34"/>
  <c r="AE133" i="34"/>
  <c r="AF133" i="34"/>
  <c r="AG133" i="34"/>
  <c r="AH133" i="34"/>
  <c r="AI133" i="34"/>
  <c r="AJ133" i="34"/>
  <c r="I134" i="34"/>
  <c r="J134" i="34"/>
  <c r="K134" i="34"/>
  <c r="L134" i="34"/>
  <c r="M134" i="34"/>
  <c r="N134" i="34"/>
  <c r="O134" i="34"/>
  <c r="P134" i="34"/>
  <c r="Q134" i="34"/>
  <c r="R134" i="34"/>
  <c r="S134" i="34"/>
  <c r="T134" i="34"/>
  <c r="U134" i="34"/>
  <c r="V134" i="34"/>
  <c r="W134" i="34"/>
  <c r="X134" i="34"/>
  <c r="Y134" i="34"/>
  <c r="Z134" i="34"/>
  <c r="AA134" i="34"/>
  <c r="AB134" i="34"/>
  <c r="AC134" i="34"/>
  <c r="AD134" i="34"/>
  <c r="AE134" i="34"/>
  <c r="AF134" i="34"/>
  <c r="AG134" i="34"/>
  <c r="AH134" i="34"/>
  <c r="AI134" i="34"/>
  <c r="AJ134" i="34"/>
  <c r="I136" i="34"/>
  <c r="J136" i="34"/>
  <c r="K136" i="34"/>
  <c r="L136" i="34"/>
  <c r="M136" i="34"/>
  <c r="N136" i="34"/>
  <c r="P136" i="34"/>
  <c r="Q136" i="34"/>
  <c r="R136" i="34"/>
  <c r="S136" i="34"/>
  <c r="T136" i="34"/>
  <c r="U136" i="34"/>
  <c r="V136" i="34"/>
  <c r="W136" i="34"/>
  <c r="X136" i="34"/>
  <c r="Z136" i="34"/>
  <c r="AA136" i="34"/>
  <c r="AB136" i="34"/>
  <c r="AD136" i="34"/>
  <c r="AE136" i="34"/>
  <c r="AG136" i="34"/>
  <c r="AH136" i="34"/>
  <c r="AI136" i="34"/>
  <c r="AJ136" i="34"/>
  <c r="I137" i="34"/>
  <c r="J137" i="34"/>
  <c r="K137" i="34"/>
  <c r="L137" i="34"/>
  <c r="M137" i="34"/>
  <c r="N137" i="34"/>
  <c r="P137" i="34"/>
  <c r="Q137" i="34"/>
  <c r="R137" i="34"/>
  <c r="S137" i="34"/>
  <c r="T137" i="34"/>
  <c r="U137" i="34"/>
  <c r="V137" i="34"/>
  <c r="W137" i="34"/>
  <c r="X137" i="34"/>
  <c r="Z137" i="34"/>
  <c r="AA137" i="34"/>
  <c r="AB137" i="34"/>
  <c r="AD137" i="34"/>
  <c r="AE137" i="34"/>
  <c r="AG137" i="34"/>
  <c r="AH137" i="34"/>
  <c r="AI137" i="34"/>
  <c r="AJ137" i="34"/>
  <c r="I139" i="34"/>
  <c r="J139" i="34"/>
  <c r="K139" i="34"/>
  <c r="L139" i="34"/>
  <c r="M139" i="34"/>
  <c r="N139" i="34"/>
  <c r="O139" i="34"/>
  <c r="P139" i="34"/>
  <c r="Q139" i="34"/>
  <c r="R139" i="34"/>
  <c r="S139" i="34"/>
  <c r="T139" i="34"/>
  <c r="U139" i="34"/>
  <c r="V139" i="34"/>
  <c r="W139" i="34"/>
  <c r="X139" i="34"/>
  <c r="Y139" i="34"/>
  <c r="Z139" i="34"/>
  <c r="AA139" i="34"/>
  <c r="AB139" i="34"/>
  <c r="AC139" i="34"/>
  <c r="AD139" i="34"/>
  <c r="AE139" i="34"/>
  <c r="AF139" i="34"/>
  <c r="AG139" i="34"/>
  <c r="AH139" i="34"/>
  <c r="AI139" i="34"/>
  <c r="AJ139" i="34"/>
  <c r="I140" i="34"/>
  <c r="J140" i="34"/>
  <c r="K140" i="34"/>
  <c r="L140" i="34"/>
  <c r="M140" i="34"/>
  <c r="N140" i="34"/>
  <c r="O140" i="34"/>
  <c r="P140" i="34"/>
  <c r="Q140" i="34"/>
  <c r="S140" i="34"/>
  <c r="T140" i="34"/>
  <c r="U140" i="34"/>
  <c r="V140" i="34"/>
  <c r="W140" i="34"/>
  <c r="X140" i="34"/>
  <c r="Z140" i="34"/>
  <c r="AA140" i="34"/>
  <c r="AB140" i="34"/>
  <c r="AC140" i="34"/>
  <c r="AD140" i="34"/>
  <c r="AE140" i="34"/>
  <c r="AF140" i="34"/>
  <c r="AG140" i="34"/>
  <c r="AH140" i="34"/>
  <c r="AI140" i="34"/>
  <c r="AJ140" i="34"/>
  <c r="I143" i="34"/>
  <c r="J143" i="34"/>
  <c r="K143" i="34"/>
  <c r="L143" i="34"/>
  <c r="M143" i="34"/>
  <c r="N143" i="34"/>
  <c r="O143" i="34"/>
  <c r="P143" i="34"/>
  <c r="Q143" i="34"/>
  <c r="R143" i="34"/>
  <c r="S143" i="34"/>
  <c r="T143" i="34"/>
  <c r="U143" i="34"/>
  <c r="V143" i="34"/>
  <c r="W143" i="34"/>
  <c r="X143" i="34"/>
  <c r="Y143" i="34"/>
  <c r="Z143" i="34"/>
  <c r="AA143" i="34"/>
  <c r="AB143" i="34"/>
  <c r="AC143" i="34"/>
  <c r="AD143" i="34"/>
  <c r="AE143" i="34"/>
  <c r="AF143" i="34"/>
  <c r="AG143" i="34"/>
  <c r="AH143" i="34"/>
  <c r="AI143" i="34"/>
  <c r="AJ143" i="34"/>
  <c r="I144" i="34"/>
  <c r="J144" i="34"/>
  <c r="K144" i="34"/>
  <c r="L144" i="34"/>
  <c r="M144" i="34"/>
  <c r="N144" i="34"/>
  <c r="O144" i="34"/>
  <c r="P144" i="34"/>
  <c r="Q144" i="34"/>
  <c r="R144" i="34"/>
  <c r="S144" i="34"/>
  <c r="T144" i="34"/>
  <c r="U144" i="34"/>
  <c r="V144" i="34"/>
  <c r="W144" i="34"/>
  <c r="X144" i="34"/>
  <c r="Y144" i="34"/>
  <c r="Z144" i="34"/>
  <c r="AA144" i="34"/>
  <c r="AB144" i="34"/>
  <c r="AC144" i="34"/>
  <c r="AD144" i="34"/>
  <c r="AE144" i="34"/>
  <c r="AF144" i="34"/>
  <c r="AG144" i="34"/>
  <c r="AH144" i="34"/>
  <c r="AI144" i="34"/>
  <c r="AJ144" i="34"/>
  <c r="I145" i="34"/>
  <c r="J145" i="34"/>
  <c r="K145" i="34"/>
  <c r="L145" i="34"/>
  <c r="M145" i="34"/>
  <c r="N145" i="34"/>
  <c r="O145" i="34"/>
  <c r="P145" i="34"/>
  <c r="Q145" i="34"/>
  <c r="R145" i="34"/>
  <c r="S145" i="34"/>
  <c r="T145" i="34"/>
  <c r="U145" i="34"/>
  <c r="V145" i="34"/>
  <c r="W145" i="34"/>
  <c r="X145" i="34"/>
  <c r="Y145" i="34"/>
  <c r="Z145" i="34"/>
  <c r="AA145" i="34"/>
  <c r="AB145" i="34"/>
  <c r="AC145" i="34"/>
  <c r="AD145" i="34"/>
  <c r="AE145" i="34"/>
  <c r="AF145" i="34"/>
  <c r="AG145" i="34"/>
  <c r="AH145" i="34"/>
  <c r="AI145" i="34"/>
  <c r="AJ145" i="34"/>
  <c r="I146" i="34"/>
  <c r="J146" i="34"/>
  <c r="K146" i="34"/>
  <c r="L146" i="34"/>
  <c r="M146" i="34"/>
  <c r="N146" i="34"/>
  <c r="O146" i="34"/>
  <c r="P146" i="34"/>
  <c r="Q146" i="34"/>
  <c r="R146" i="34"/>
  <c r="S146" i="34"/>
  <c r="T146" i="34"/>
  <c r="U146" i="34"/>
  <c r="V146" i="34"/>
  <c r="W146" i="34"/>
  <c r="X146" i="34"/>
  <c r="Y146" i="34"/>
  <c r="Z146" i="34"/>
  <c r="AA146" i="34"/>
  <c r="AB146" i="34"/>
  <c r="AC146" i="34"/>
  <c r="AD146" i="34"/>
  <c r="AE146" i="34"/>
  <c r="AF146" i="34"/>
  <c r="AG146" i="34"/>
  <c r="AH146" i="34"/>
  <c r="AI146" i="34"/>
  <c r="AJ146" i="34"/>
  <c r="I148" i="34"/>
  <c r="J148" i="34"/>
  <c r="K148" i="34"/>
  <c r="L148" i="34"/>
  <c r="M148" i="34"/>
  <c r="N148" i="34"/>
  <c r="O148" i="34"/>
  <c r="P148" i="34"/>
  <c r="Q148" i="34"/>
  <c r="S148" i="34"/>
  <c r="T148" i="34"/>
  <c r="U148" i="34"/>
  <c r="V148" i="34"/>
  <c r="W148" i="34"/>
  <c r="X148" i="34"/>
  <c r="Y148" i="34"/>
  <c r="Z148" i="34"/>
  <c r="AA148" i="34"/>
  <c r="AB148" i="34"/>
  <c r="AC148" i="34"/>
  <c r="AD148" i="34"/>
  <c r="AE148" i="34"/>
  <c r="AF148" i="34"/>
  <c r="AG148" i="34"/>
  <c r="AH148" i="34"/>
  <c r="AI148" i="34"/>
  <c r="AJ148" i="34"/>
  <c r="I149" i="34"/>
  <c r="J149" i="34"/>
  <c r="K149" i="34"/>
  <c r="L149" i="34"/>
  <c r="M149" i="34"/>
  <c r="N149" i="34"/>
  <c r="O149" i="34"/>
  <c r="P149" i="34"/>
  <c r="Q149" i="34"/>
  <c r="S149" i="34"/>
  <c r="T149" i="34"/>
  <c r="U149" i="34"/>
  <c r="V149" i="34"/>
  <c r="W149" i="34"/>
  <c r="X149" i="34"/>
  <c r="Y149" i="34"/>
  <c r="Z149" i="34"/>
  <c r="AA149" i="34"/>
  <c r="AB149" i="34"/>
  <c r="AC149" i="34"/>
  <c r="AD149" i="34"/>
  <c r="AE149" i="34"/>
  <c r="AF149" i="34"/>
  <c r="AG149" i="34"/>
  <c r="AH149" i="34"/>
  <c r="AI149" i="34"/>
  <c r="AJ149" i="34"/>
  <c r="I151" i="34"/>
  <c r="J151" i="34"/>
  <c r="K151" i="34"/>
  <c r="L151" i="34"/>
  <c r="M151" i="34"/>
  <c r="N151" i="34"/>
  <c r="O151" i="34"/>
  <c r="P151" i="34"/>
  <c r="Q151" i="34"/>
  <c r="R151" i="34"/>
  <c r="S151" i="34"/>
  <c r="T151" i="34"/>
  <c r="U151" i="34"/>
  <c r="V151" i="34"/>
  <c r="W151" i="34"/>
  <c r="X151" i="34"/>
  <c r="Y151" i="34"/>
  <c r="Z151" i="34"/>
  <c r="AA151" i="34"/>
  <c r="AB151" i="34"/>
  <c r="AC151" i="34"/>
  <c r="AD151" i="34"/>
  <c r="AE151" i="34"/>
  <c r="AF151" i="34"/>
  <c r="AG151" i="34"/>
  <c r="AH151" i="34"/>
  <c r="AI151" i="34"/>
  <c r="AJ151" i="34"/>
  <c r="I152" i="34"/>
  <c r="J152" i="34"/>
  <c r="K152" i="34"/>
  <c r="L152" i="34"/>
  <c r="M152" i="34"/>
  <c r="N152" i="34"/>
  <c r="O152" i="34"/>
  <c r="P152" i="34"/>
  <c r="Q152" i="34"/>
  <c r="R152" i="34"/>
  <c r="S152" i="34"/>
  <c r="T152" i="34"/>
  <c r="U152" i="34"/>
  <c r="V152" i="34"/>
  <c r="W152" i="34"/>
  <c r="X152" i="34"/>
  <c r="Y152" i="34"/>
  <c r="Z152" i="34"/>
  <c r="AA152" i="34"/>
  <c r="AB152" i="34"/>
  <c r="AC152" i="34"/>
  <c r="AD152" i="34"/>
  <c r="AE152" i="34"/>
  <c r="AF152" i="34"/>
  <c r="AG152" i="34"/>
  <c r="AH152" i="34"/>
  <c r="AI152" i="34"/>
  <c r="AJ152" i="34"/>
  <c r="I155" i="34"/>
  <c r="J155" i="34"/>
  <c r="K155" i="34"/>
  <c r="L155" i="34"/>
  <c r="M155" i="34"/>
  <c r="N155" i="34"/>
  <c r="O155" i="34"/>
  <c r="P155" i="34"/>
  <c r="Q155" i="34"/>
  <c r="R155" i="34"/>
  <c r="S155" i="34"/>
  <c r="T155" i="34"/>
  <c r="U155" i="34"/>
  <c r="V155" i="34"/>
  <c r="W155" i="34"/>
  <c r="X155" i="34"/>
  <c r="Y155" i="34"/>
  <c r="Z155" i="34"/>
  <c r="AA155" i="34"/>
  <c r="AB155" i="34"/>
  <c r="AC155" i="34"/>
  <c r="AD155" i="34"/>
  <c r="AE155" i="34"/>
  <c r="AF155" i="34"/>
  <c r="AG155" i="34"/>
  <c r="AH155" i="34"/>
  <c r="AI155" i="34"/>
  <c r="AJ155" i="34"/>
  <c r="I156" i="34"/>
  <c r="J156" i="34"/>
  <c r="K156" i="34"/>
  <c r="L156" i="34"/>
  <c r="M156" i="34"/>
  <c r="N156" i="34"/>
  <c r="O156" i="34"/>
  <c r="P156" i="34"/>
  <c r="Q156" i="34"/>
  <c r="R156" i="34"/>
  <c r="S156" i="34"/>
  <c r="T156" i="34"/>
  <c r="U156" i="34"/>
  <c r="V156" i="34"/>
  <c r="W156" i="34"/>
  <c r="X156" i="34"/>
  <c r="Y156" i="34"/>
  <c r="Z156" i="34"/>
  <c r="AA156" i="34"/>
  <c r="AB156" i="34"/>
  <c r="AC156" i="34"/>
  <c r="AD156" i="34"/>
  <c r="AE156" i="34"/>
  <c r="AF156" i="34"/>
  <c r="AG156" i="34"/>
  <c r="AH156" i="34"/>
  <c r="AI156" i="34"/>
  <c r="AJ156" i="34"/>
  <c r="I157" i="34"/>
  <c r="J157" i="34"/>
  <c r="K157" i="34"/>
  <c r="L157" i="34"/>
  <c r="M157" i="34"/>
  <c r="N157" i="34"/>
  <c r="O157" i="34"/>
  <c r="P157" i="34"/>
  <c r="Q157" i="34"/>
  <c r="R157" i="34"/>
  <c r="S157" i="34"/>
  <c r="T157" i="34"/>
  <c r="U157" i="34"/>
  <c r="V157" i="34"/>
  <c r="W157" i="34"/>
  <c r="X157" i="34"/>
  <c r="Y157" i="34"/>
  <c r="Z157" i="34"/>
  <c r="AA157" i="34"/>
  <c r="AB157" i="34"/>
  <c r="AC157" i="34"/>
  <c r="AD157" i="34"/>
  <c r="AE157" i="34"/>
  <c r="AF157" i="34"/>
  <c r="AG157" i="34"/>
  <c r="AH157" i="34"/>
  <c r="AI157" i="34"/>
  <c r="AJ157" i="34"/>
  <c r="I158" i="34"/>
  <c r="J158" i="34"/>
  <c r="K158" i="34"/>
  <c r="L158" i="34"/>
  <c r="M158" i="34"/>
  <c r="N158" i="34"/>
  <c r="O158" i="34"/>
  <c r="P158" i="34"/>
  <c r="Q158" i="34"/>
  <c r="R158" i="34"/>
  <c r="S158" i="34"/>
  <c r="T158" i="34"/>
  <c r="U158" i="34"/>
  <c r="V158" i="34"/>
  <c r="W158" i="34"/>
  <c r="X158" i="34"/>
  <c r="Y158" i="34"/>
  <c r="Z158" i="34"/>
  <c r="AA158" i="34"/>
  <c r="AB158" i="34"/>
  <c r="AC158" i="34"/>
  <c r="AD158" i="34"/>
  <c r="AE158" i="34"/>
  <c r="AF158" i="34"/>
  <c r="AG158" i="34"/>
  <c r="AH158" i="34"/>
  <c r="AI158" i="34"/>
  <c r="AJ158" i="34"/>
  <c r="I160" i="34"/>
  <c r="J160" i="34"/>
  <c r="K160" i="34"/>
  <c r="L160" i="34"/>
  <c r="M160" i="34"/>
  <c r="N160" i="34"/>
  <c r="O160" i="34"/>
  <c r="P160" i="34"/>
  <c r="Q160" i="34"/>
  <c r="S160" i="34"/>
  <c r="T160" i="34"/>
  <c r="U160" i="34"/>
  <c r="V160" i="34"/>
  <c r="W160" i="34"/>
  <c r="X160" i="34"/>
  <c r="Y160" i="34"/>
  <c r="Z160" i="34"/>
  <c r="AA160" i="34"/>
  <c r="AB160" i="34"/>
  <c r="AC160" i="34"/>
  <c r="AD160" i="34"/>
  <c r="AE160" i="34"/>
  <c r="AF160" i="34"/>
  <c r="AG160" i="34"/>
  <c r="AH160" i="34"/>
  <c r="AI160" i="34"/>
  <c r="AJ160" i="34"/>
  <c r="I161" i="34"/>
  <c r="J161" i="34"/>
  <c r="K161" i="34"/>
  <c r="L161" i="34"/>
  <c r="M161" i="34"/>
  <c r="N161" i="34"/>
  <c r="O161" i="34"/>
  <c r="P161" i="34"/>
  <c r="Q161" i="34"/>
  <c r="S161" i="34"/>
  <c r="T161" i="34"/>
  <c r="U161" i="34"/>
  <c r="V161" i="34"/>
  <c r="W161" i="34"/>
  <c r="X161" i="34"/>
  <c r="Y161" i="34"/>
  <c r="Z161" i="34"/>
  <c r="AA161" i="34"/>
  <c r="AB161" i="34"/>
  <c r="AC161" i="34"/>
  <c r="AD161" i="34"/>
  <c r="AE161" i="34"/>
  <c r="AF161" i="34"/>
  <c r="AG161" i="34"/>
  <c r="AH161" i="34"/>
  <c r="AI161" i="34"/>
  <c r="AJ161" i="34"/>
  <c r="I163" i="34"/>
  <c r="J163" i="34"/>
  <c r="K163" i="34"/>
  <c r="L163" i="34"/>
  <c r="M163" i="34"/>
  <c r="N163" i="34"/>
  <c r="O163" i="34"/>
  <c r="P163" i="34"/>
  <c r="Q163" i="34"/>
  <c r="R163" i="34"/>
  <c r="S163" i="34"/>
  <c r="T163" i="34"/>
  <c r="U163" i="34"/>
  <c r="V163" i="34"/>
  <c r="W163" i="34"/>
  <c r="X163" i="34"/>
  <c r="Y163" i="34"/>
  <c r="Z163" i="34"/>
  <c r="AA163" i="34"/>
  <c r="AB163" i="34"/>
  <c r="AC163" i="34"/>
  <c r="AD163" i="34"/>
  <c r="AE163" i="34"/>
  <c r="AF163" i="34"/>
  <c r="AG163" i="34"/>
  <c r="AH163" i="34"/>
  <c r="AI163" i="34"/>
  <c r="AJ163" i="34"/>
  <c r="I164" i="34"/>
  <c r="J164" i="34"/>
  <c r="K164" i="34"/>
  <c r="L164" i="34"/>
  <c r="M164" i="34"/>
  <c r="N164" i="34"/>
  <c r="O164" i="34"/>
  <c r="P164" i="34"/>
  <c r="Q164" i="34"/>
  <c r="R164" i="34"/>
  <c r="S164" i="34"/>
  <c r="T164" i="34"/>
  <c r="U164" i="34"/>
  <c r="V164" i="34"/>
  <c r="W164" i="34"/>
  <c r="X164" i="34"/>
  <c r="Y164" i="34"/>
  <c r="Z164" i="34"/>
  <c r="AA164" i="34"/>
  <c r="AB164" i="34"/>
  <c r="AC164" i="34"/>
  <c r="AD164" i="34"/>
  <c r="AE164" i="34"/>
  <c r="AF164" i="34"/>
  <c r="AG164" i="34"/>
  <c r="AH164" i="34"/>
  <c r="AI164" i="34"/>
  <c r="AJ164" i="34"/>
  <c r="I167" i="34"/>
  <c r="J167" i="34"/>
  <c r="K167" i="34"/>
  <c r="L167" i="34"/>
  <c r="M167" i="34"/>
  <c r="N167" i="34"/>
  <c r="O167" i="34"/>
  <c r="P167" i="34"/>
  <c r="Q167" i="34"/>
  <c r="R167" i="34"/>
  <c r="S167" i="34"/>
  <c r="T167" i="34"/>
  <c r="U167" i="34"/>
  <c r="V167" i="34"/>
  <c r="W167" i="34"/>
  <c r="X167" i="34"/>
  <c r="Y167" i="34"/>
  <c r="Z167" i="34"/>
  <c r="AA167" i="34"/>
  <c r="AB167" i="34"/>
  <c r="AC167" i="34"/>
  <c r="AD167" i="34"/>
  <c r="AE167" i="34"/>
  <c r="AF167" i="34"/>
  <c r="AG167" i="34"/>
  <c r="AH167" i="34"/>
  <c r="AI167" i="34"/>
  <c r="AJ167" i="34"/>
  <c r="I168" i="34"/>
  <c r="J168" i="34"/>
  <c r="K168" i="34"/>
  <c r="L168" i="34"/>
  <c r="M168" i="34"/>
  <c r="N168" i="34"/>
  <c r="O168" i="34"/>
  <c r="P168" i="34"/>
  <c r="Q168" i="34"/>
  <c r="R168" i="34"/>
  <c r="S168" i="34"/>
  <c r="T168" i="34"/>
  <c r="U168" i="34"/>
  <c r="V168" i="34"/>
  <c r="W168" i="34"/>
  <c r="X168" i="34"/>
  <c r="Y168" i="34"/>
  <c r="Z168" i="34"/>
  <c r="AA168" i="34"/>
  <c r="AB168" i="34"/>
  <c r="AC168" i="34"/>
  <c r="AD168" i="34"/>
  <c r="AE168" i="34"/>
  <c r="AF168" i="34"/>
  <c r="AG168" i="34"/>
  <c r="AH168" i="34"/>
  <c r="AI168" i="34"/>
  <c r="AJ168" i="34"/>
  <c r="I169" i="34"/>
  <c r="J169" i="34"/>
  <c r="K169" i="34"/>
  <c r="L169" i="34"/>
  <c r="M169" i="34"/>
  <c r="N169" i="34"/>
  <c r="O169" i="34"/>
  <c r="P169" i="34"/>
  <c r="Q169" i="34"/>
  <c r="R169" i="34"/>
  <c r="S169" i="34"/>
  <c r="T169" i="34"/>
  <c r="U169" i="34"/>
  <c r="V169" i="34"/>
  <c r="W169" i="34"/>
  <c r="X169" i="34"/>
  <c r="Y169" i="34"/>
  <c r="Z169" i="34"/>
  <c r="AA169" i="34"/>
  <c r="AB169" i="34"/>
  <c r="AC169" i="34"/>
  <c r="AD169" i="34"/>
  <c r="AE169" i="34"/>
  <c r="AF169" i="34"/>
  <c r="AG169" i="34"/>
  <c r="AH169" i="34"/>
  <c r="AI169" i="34"/>
  <c r="AJ169" i="34"/>
  <c r="I170" i="34"/>
  <c r="J170" i="34"/>
  <c r="K170" i="34"/>
  <c r="L170" i="34"/>
  <c r="M170" i="34"/>
  <c r="N170" i="34"/>
  <c r="O170" i="34"/>
  <c r="P170" i="34"/>
  <c r="Q170" i="34"/>
  <c r="R170" i="34"/>
  <c r="S170" i="34"/>
  <c r="T170" i="34"/>
  <c r="U170" i="34"/>
  <c r="V170" i="34"/>
  <c r="W170" i="34"/>
  <c r="X170" i="34"/>
  <c r="Y170" i="34"/>
  <c r="Z170" i="34"/>
  <c r="AA170" i="34"/>
  <c r="AB170" i="34"/>
  <c r="AC170" i="34"/>
  <c r="AD170" i="34"/>
  <c r="AE170" i="34"/>
  <c r="AF170" i="34"/>
  <c r="AG170" i="34"/>
  <c r="AH170" i="34"/>
  <c r="AI170" i="34"/>
  <c r="AJ170" i="34"/>
  <c r="I172" i="34"/>
  <c r="J172" i="34"/>
  <c r="L172" i="34"/>
  <c r="M172" i="34"/>
  <c r="N172" i="34"/>
  <c r="O172" i="34"/>
  <c r="P172" i="34"/>
  <c r="Q172" i="34"/>
  <c r="S172" i="34"/>
  <c r="T172" i="34"/>
  <c r="U172" i="34"/>
  <c r="W172" i="34"/>
  <c r="X172" i="34"/>
  <c r="Z172" i="34"/>
  <c r="AA172" i="34"/>
  <c r="AB172" i="34"/>
  <c r="AC172" i="34"/>
  <c r="AD172" i="34"/>
  <c r="AE172" i="34"/>
  <c r="AF172" i="34"/>
  <c r="AG172" i="34"/>
  <c r="AH172" i="34"/>
  <c r="AI172" i="34"/>
  <c r="AJ172" i="34"/>
  <c r="I173" i="34"/>
  <c r="J173" i="34"/>
  <c r="L173" i="34"/>
  <c r="M173" i="34"/>
  <c r="N173" i="34"/>
  <c r="O173" i="34"/>
  <c r="P173" i="34"/>
  <c r="Q173" i="34"/>
  <c r="S173" i="34"/>
  <c r="T173" i="34"/>
  <c r="U173" i="34"/>
  <c r="W173" i="34"/>
  <c r="X173" i="34"/>
  <c r="Z173" i="34"/>
  <c r="AA173" i="34"/>
  <c r="AB173" i="34"/>
  <c r="AC173" i="34"/>
  <c r="AD173" i="34"/>
  <c r="AE173" i="34"/>
  <c r="AF173" i="34"/>
  <c r="AG173" i="34"/>
  <c r="AH173" i="34"/>
  <c r="AI173" i="34"/>
  <c r="AJ173" i="34"/>
  <c r="I175" i="34"/>
  <c r="J175" i="34"/>
  <c r="K175" i="34"/>
  <c r="L175" i="34"/>
  <c r="M175" i="34"/>
  <c r="N175" i="34"/>
  <c r="O175" i="34"/>
  <c r="P175" i="34"/>
  <c r="Q175" i="34"/>
  <c r="R175" i="34"/>
  <c r="S175" i="34"/>
  <c r="T175" i="34"/>
  <c r="U175" i="34"/>
  <c r="V175" i="34"/>
  <c r="W175" i="34"/>
  <c r="X175" i="34"/>
  <c r="Y175" i="34"/>
  <c r="Z175" i="34"/>
  <c r="AA175" i="34"/>
  <c r="AB175" i="34"/>
  <c r="AC175" i="34"/>
  <c r="AD175" i="34"/>
  <c r="AE175" i="34"/>
  <c r="AF175" i="34"/>
  <c r="AG175" i="34"/>
  <c r="AH175" i="34"/>
  <c r="AI175" i="34"/>
  <c r="AJ175" i="34"/>
  <c r="I176" i="34"/>
  <c r="J176" i="34"/>
  <c r="K176" i="34"/>
  <c r="L176" i="34"/>
  <c r="M176" i="34"/>
  <c r="N176" i="34"/>
  <c r="O176" i="34"/>
  <c r="P176" i="34"/>
  <c r="Q176" i="34"/>
  <c r="R176" i="34"/>
  <c r="S176" i="34"/>
  <c r="T176" i="34"/>
  <c r="U176" i="34"/>
  <c r="V176" i="34"/>
  <c r="W176" i="34"/>
  <c r="X176" i="34"/>
  <c r="Y176" i="34"/>
  <c r="Z176" i="34"/>
  <c r="AA176" i="34"/>
  <c r="AB176" i="34"/>
  <c r="AC176" i="34"/>
  <c r="AD176" i="34"/>
  <c r="AE176" i="34"/>
  <c r="AF176" i="34"/>
  <c r="AG176" i="34"/>
  <c r="AH176" i="34"/>
  <c r="AI176" i="34"/>
  <c r="AJ176" i="34"/>
  <c r="I179" i="34"/>
  <c r="J179" i="34"/>
  <c r="K179" i="34"/>
  <c r="L179" i="34"/>
  <c r="M179" i="34"/>
  <c r="N179" i="34"/>
  <c r="O179" i="34"/>
  <c r="P179" i="34"/>
  <c r="Q179" i="34"/>
  <c r="R179" i="34"/>
  <c r="S179" i="34"/>
  <c r="T179" i="34"/>
  <c r="U179" i="34"/>
  <c r="V179" i="34"/>
  <c r="W179" i="34"/>
  <c r="X179" i="34"/>
  <c r="Y179" i="34"/>
  <c r="Z179" i="34"/>
  <c r="AA179" i="34"/>
  <c r="AB179" i="34"/>
  <c r="AC179" i="34"/>
  <c r="AD179" i="34"/>
  <c r="AE179" i="34"/>
  <c r="AF179" i="34"/>
  <c r="AG179" i="34"/>
  <c r="AH179" i="34"/>
  <c r="AI179" i="34"/>
  <c r="AJ179" i="34"/>
  <c r="I180" i="34"/>
  <c r="J180" i="34"/>
  <c r="K180" i="34"/>
  <c r="L180" i="34"/>
  <c r="M180" i="34"/>
  <c r="N180" i="34"/>
  <c r="O180" i="34"/>
  <c r="P180" i="34"/>
  <c r="Q180" i="34"/>
  <c r="R180" i="34"/>
  <c r="S180" i="34"/>
  <c r="T180" i="34"/>
  <c r="U180" i="34"/>
  <c r="V180" i="34"/>
  <c r="W180" i="34"/>
  <c r="X180" i="34"/>
  <c r="Y180" i="34"/>
  <c r="Z180" i="34"/>
  <c r="AA180" i="34"/>
  <c r="AB180" i="34"/>
  <c r="AC180" i="34"/>
  <c r="AD180" i="34"/>
  <c r="AE180" i="34"/>
  <c r="AF180" i="34"/>
  <c r="AG180" i="34"/>
  <c r="AH180" i="34"/>
  <c r="AI180" i="34"/>
  <c r="AJ180" i="34"/>
  <c r="I181" i="34"/>
  <c r="J181" i="34"/>
  <c r="K181" i="34"/>
  <c r="L181" i="34"/>
  <c r="M181" i="34"/>
  <c r="N181" i="34"/>
  <c r="O181" i="34"/>
  <c r="P181" i="34"/>
  <c r="Q181" i="34"/>
  <c r="R181" i="34"/>
  <c r="S181" i="34"/>
  <c r="T181" i="34"/>
  <c r="U181" i="34"/>
  <c r="V181" i="34"/>
  <c r="W181" i="34"/>
  <c r="X181" i="34"/>
  <c r="Y181" i="34"/>
  <c r="Z181" i="34"/>
  <c r="AA181" i="34"/>
  <c r="AB181" i="34"/>
  <c r="AC181" i="34"/>
  <c r="AD181" i="34"/>
  <c r="AE181" i="34"/>
  <c r="AF181" i="34"/>
  <c r="AG181" i="34"/>
  <c r="AH181" i="34"/>
  <c r="AI181" i="34"/>
  <c r="AJ181" i="34"/>
  <c r="I182" i="34"/>
  <c r="J182" i="34"/>
  <c r="K182" i="34"/>
  <c r="L182" i="34"/>
  <c r="M182" i="34"/>
  <c r="N182" i="34"/>
  <c r="O182" i="34"/>
  <c r="P182" i="34"/>
  <c r="Q182" i="34"/>
  <c r="R182" i="34"/>
  <c r="S182" i="34"/>
  <c r="T182" i="34"/>
  <c r="U182" i="34"/>
  <c r="V182" i="34"/>
  <c r="W182" i="34"/>
  <c r="X182" i="34"/>
  <c r="Y182" i="34"/>
  <c r="Z182" i="34"/>
  <c r="AA182" i="34"/>
  <c r="AB182" i="34"/>
  <c r="AC182" i="34"/>
  <c r="AD182" i="34"/>
  <c r="AE182" i="34"/>
  <c r="AF182" i="34"/>
  <c r="AG182" i="34"/>
  <c r="AH182" i="34"/>
  <c r="AI182" i="34"/>
  <c r="AJ182" i="34"/>
  <c r="I184" i="34"/>
  <c r="J184" i="34"/>
  <c r="L184" i="34"/>
  <c r="M184" i="34"/>
  <c r="N184" i="34"/>
  <c r="O184" i="34"/>
  <c r="P184" i="34"/>
  <c r="Q184" i="34"/>
  <c r="R184" i="34"/>
  <c r="S184" i="34"/>
  <c r="T184" i="34"/>
  <c r="U184" i="34"/>
  <c r="W184" i="34"/>
  <c r="X184" i="34"/>
  <c r="Y184" i="34"/>
  <c r="Z184" i="34"/>
  <c r="AA184" i="34"/>
  <c r="AB184" i="34"/>
  <c r="AD184" i="34"/>
  <c r="AE184" i="34"/>
  <c r="AF184" i="34"/>
  <c r="AG184" i="34"/>
  <c r="AH184" i="34"/>
  <c r="AI184" i="34"/>
  <c r="AJ184" i="34"/>
  <c r="I185" i="34"/>
  <c r="J185" i="34"/>
  <c r="L185" i="34"/>
  <c r="M185" i="34"/>
  <c r="N185" i="34"/>
  <c r="O185" i="34"/>
  <c r="P185" i="34"/>
  <c r="Q185" i="34"/>
  <c r="R185" i="34"/>
  <c r="S185" i="34"/>
  <c r="T185" i="34"/>
  <c r="U185" i="34"/>
  <c r="W185" i="34"/>
  <c r="X185" i="34"/>
  <c r="Y185" i="34"/>
  <c r="Z185" i="34"/>
  <c r="AA185" i="34"/>
  <c r="AB185" i="34"/>
  <c r="AD185" i="34"/>
  <c r="AE185" i="34"/>
  <c r="AF185" i="34"/>
  <c r="AG185" i="34"/>
  <c r="AH185" i="34"/>
  <c r="AI185" i="34"/>
  <c r="AJ185" i="34"/>
  <c r="I187" i="34"/>
  <c r="J187" i="34"/>
  <c r="K187" i="34"/>
  <c r="L187" i="34"/>
  <c r="M187" i="34"/>
  <c r="N187" i="34"/>
  <c r="O187" i="34"/>
  <c r="P187" i="34"/>
  <c r="Q187" i="34"/>
  <c r="R187" i="34"/>
  <c r="S187" i="34"/>
  <c r="T187" i="34"/>
  <c r="U187" i="34"/>
  <c r="V187" i="34"/>
  <c r="W187" i="34"/>
  <c r="X187" i="34"/>
  <c r="Y187" i="34"/>
  <c r="Z187" i="34"/>
  <c r="AA187" i="34"/>
  <c r="AB187" i="34"/>
  <c r="AC187" i="34"/>
  <c r="AD187" i="34"/>
  <c r="AE187" i="34"/>
  <c r="AF187" i="34"/>
  <c r="AG187" i="34"/>
  <c r="AH187" i="34"/>
  <c r="AI187" i="34"/>
  <c r="AJ187" i="34"/>
  <c r="I188" i="34"/>
  <c r="J188" i="34"/>
  <c r="K188" i="34"/>
  <c r="L188" i="34"/>
  <c r="M188" i="34"/>
  <c r="N188" i="34"/>
  <c r="O188" i="34"/>
  <c r="P188" i="34"/>
  <c r="Q188" i="34"/>
  <c r="R188" i="34"/>
  <c r="S188" i="34"/>
  <c r="T188" i="34"/>
  <c r="U188" i="34"/>
  <c r="V188" i="34"/>
  <c r="W188" i="34"/>
  <c r="X188" i="34"/>
  <c r="Z188" i="34"/>
  <c r="AA188" i="34"/>
  <c r="AB188" i="34"/>
  <c r="AC188" i="34"/>
  <c r="AD188" i="34"/>
  <c r="AE188" i="34"/>
  <c r="AF188" i="34"/>
  <c r="AG188" i="34"/>
  <c r="AH188" i="34"/>
  <c r="AI188" i="34"/>
  <c r="AJ188" i="34"/>
  <c r="I191" i="34"/>
  <c r="J191" i="34"/>
  <c r="K191" i="34"/>
  <c r="L191" i="34"/>
  <c r="M191" i="34"/>
  <c r="N191" i="34"/>
  <c r="O191" i="34"/>
  <c r="P191" i="34"/>
  <c r="Q191" i="34"/>
  <c r="R191" i="34"/>
  <c r="S191" i="34"/>
  <c r="T191" i="34"/>
  <c r="U191" i="34"/>
  <c r="V191" i="34"/>
  <c r="W191" i="34"/>
  <c r="X191" i="34"/>
  <c r="Y191" i="34"/>
  <c r="Z191" i="34"/>
  <c r="AA191" i="34"/>
  <c r="AB191" i="34"/>
  <c r="AC191" i="34"/>
  <c r="AD191" i="34"/>
  <c r="AE191" i="34"/>
  <c r="AF191" i="34"/>
  <c r="AG191" i="34"/>
  <c r="AH191" i="34"/>
  <c r="AI191" i="34"/>
  <c r="AJ191" i="34"/>
  <c r="I192" i="34"/>
  <c r="J192" i="34"/>
  <c r="K192" i="34"/>
  <c r="L192" i="34"/>
  <c r="M192" i="34"/>
  <c r="N192" i="34"/>
  <c r="O192" i="34"/>
  <c r="P192" i="34"/>
  <c r="Q192" i="34"/>
  <c r="R192" i="34"/>
  <c r="S192" i="34"/>
  <c r="T192" i="34"/>
  <c r="U192" i="34"/>
  <c r="V192" i="34"/>
  <c r="W192" i="34"/>
  <c r="X192" i="34"/>
  <c r="Y192" i="34"/>
  <c r="Z192" i="34"/>
  <c r="AA192" i="34"/>
  <c r="AB192" i="34"/>
  <c r="AC192" i="34"/>
  <c r="AD192" i="34"/>
  <c r="AE192" i="34"/>
  <c r="AF192" i="34"/>
  <c r="AG192" i="34"/>
  <c r="AH192" i="34"/>
  <c r="AI192" i="34"/>
  <c r="AJ192" i="34"/>
  <c r="I193" i="34"/>
  <c r="J193" i="34"/>
  <c r="K193" i="34"/>
  <c r="L193" i="34"/>
  <c r="M193" i="34"/>
  <c r="N193" i="34"/>
  <c r="O193" i="34"/>
  <c r="P193" i="34"/>
  <c r="Q193" i="34"/>
  <c r="R193" i="34"/>
  <c r="S193" i="34"/>
  <c r="T193" i="34"/>
  <c r="U193" i="34"/>
  <c r="V193" i="34"/>
  <c r="W193" i="34"/>
  <c r="X193" i="34"/>
  <c r="Y193" i="34"/>
  <c r="Z193" i="34"/>
  <c r="AA193" i="34"/>
  <c r="AB193" i="34"/>
  <c r="AC193" i="34"/>
  <c r="AD193" i="34"/>
  <c r="AE193" i="34"/>
  <c r="AF193" i="34"/>
  <c r="AG193" i="34"/>
  <c r="AH193" i="34"/>
  <c r="AI193" i="34"/>
  <c r="AJ193" i="34"/>
  <c r="I194" i="34"/>
  <c r="J194" i="34"/>
  <c r="K194" i="34"/>
  <c r="L194" i="34"/>
  <c r="M194" i="34"/>
  <c r="N194" i="34"/>
  <c r="O194" i="34"/>
  <c r="P194" i="34"/>
  <c r="Q194" i="34"/>
  <c r="R194" i="34"/>
  <c r="S194" i="34"/>
  <c r="T194" i="34"/>
  <c r="U194" i="34"/>
  <c r="V194" i="34"/>
  <c r="W194" i="34"/>
  <c r="X194" i="34"/>
  <c r="Y194" i="34"/>
  <c r="Z194" i="34"/>
  <c r="AA194" i="34"/>
  <c r="AB194" i="34"/>
  <c r="AC194" i="34"/>
  <c r="AD194" i="34"/>
  <c r="AE194" i="34"/>
  <c r="AF194" i="34"/>
  <c r="AG194" i="34"/>
  <c r="AH194" i="34"/>
  <c r="AI194" i="34"/>
  <c r="AJ194" i="34"/>
  <c r="I196" i="34"/>
  <c r="J196" i="34"/>
  <c r="L196" i="34"/>
  <c r="M196" i="34"/>
  <c r="N196" i="34"/>
  <c r="P196" i="34"/>
  <c r="Q196" i="34"/>
  <c r="R196" i="34"/>
  <c r="S196" i="34"/>
  <c r="T196" i="34"/>
  <c r="U196" i="34"/>
  <c r="W196" i="34"/>
  <c r="X196" i="34"/>
  <c r="Z196" i="34"/>
  <c r="AA196" i="34"/>
  <c r="AB196" i="34"/>
  <c r="AC196" i="34"/>
  <c r="AD196" i="34"/>
  <c r="AE196" i="34"/>
  <c r="AG196" i="34"/>
  <c r="AH196" i="34"/>
  <c r="AI196" i="34"/>
  <c r="AJ196" i="34"/>
  <c r="I197" i="34"/>
  <c r="J197" i="34"/>
  <c r="L197" i="34"/>
  <c r="M197" i="34"/>
  <c r="N197" i="34"/>
  <c r="O197" i="34"/>
  <c r="P197" i="34"/>
  <c r="Q197" i="34"/>
  <c r="S197" i="34"/>
  <c r="T197" i="34"/>
  <c r="U197" i="34"/>
  <c r="W197" i="34"/>
  <c r="X197" i="34"/>
  <c r="Y197" i="34"/>
  <c r="Z197" i="34"/>
  <c r="AA197" i="34"/>
  <c r="AB197" i="34"/>
  <c r="AC197" i="34"/>
  <c r="AD197" i="34"/>
  <c r="AE197" i="34"/>
  <c r="AG197" i="34"/>
  <c r="AH197" i="34"/>
  <c r="AI197" i="34"/>
  <c r="AJ197" i="34"/>
  <c r="I199" i="34"/>
  <c r="J199" i="34"/>
  <c r="K199" i="34"/>
  <c r="L199" i="34"/>
  <c r="M199" i="34"/>
  <c r="N199" i="34"/>
  <c r="O199" i="34"/>
  <c r="P199" i="34"/>
  <c r="Q199" i="34"/>
  <c r="R199" i="34"/>
  <c r="S199" i="34"/>
  <c r="T199" i="34"/>
  <c r="U199" i="34"/>
  <c r="V199" i="34"/>
  <c r="W199" i="34"/>
  <c r="X199" i="34"/>
  <c r="Y199" i="34"/>
  <c r="Z199" i="34"/>
  <c r="AA199" i="34"/>
  <c r="AB199" i="34"/>
  <c r="AC199" i="34"/>
  <c r="AD199" i="34"/>
  <c r="AE199" i="34"/>
  <c r="AF199" i="34"/>
  <c r="AG199" i="34"/>
  <c r="AH199" i="34"/>
  <c r="AI199" i="34"/>
  <c r="AJ199" i="34"/>
  <c r="I200" i="34"/>
  <c r="J200" i="34"/>
  <c r="K200" i="34"/>
  <c r="L200" i="34"/>
  <c r="M200" i="34"/>
  <c r="N200" i="34"/>
  <c r="O200" i="34"/>
  <c r="P200" i="34"/>
  <c r="Q200" i="34"/>
  <c r="R200" i="34"/>
  <c r="S200" i="34"/>
  <c r="T200" i="34"/>
  <c r="U200" i="34"/>
  <c r="V200" i="34"/>
  <c r="W200" i="34"/>
  <c r="X200" i="34"/>
  <c r="Y200" i="34"/>
  <c r="Z200" i="34"/>
  <c r="AA200" i="34"/>
  <c r="AB200" i="34"/>
  <c r="AC200" i="34"/>
  <c r="AD200" i="34"/>
  <c r="AE200" i="34"/>
  <c r="AF200" i="34"/>
  <c r="AG200" i="34"/>
  <c r="AH200" i="34"/>
  <c r="AI200" i="34"/>
  <c r="AJ200" i="34"/>
  <c r="I203" i="34"/>
  <c r="J203" i="34"/>
  <c r="K203" i="34"/>
  <c r="L203" i="34"/>
  <c r="M203" i="34"/>
  <c r="N203" i="34"/>
  <c r="O203" i="34"/>
  <c r="P203" i="34"/>
  <c r="Q203" i="34"/>
  <c r="R203" i="34"/>
  <c r="S203" i="34"/>
  <c r="T203" i="34"/>
  <c r="U203" i="34"/>
  <c r="V203" i="34"/>
  <c r="W203" i="34"/>
  <c r="X203" i="34"/>
  <c r="Y203" i="34"/>
  <c r="Z203" i="34"/>
  <c r="AA203" i="34"/>
  <c r="AB203" i="34"/>
  <c r="AC203" i="34"/>
  <c r="AD203" i="34"/>
  <c r="AE203" i="34"/>
  <c r="AF203" i="34"/>
  <c r="AG203" i="34"/>
  <c r="AH203" i="34"/>
  <c r="AI203" i="34"/>
  <c r="AJ203" i="34"/>
  <c r="I204" i="34"/>
  <c r="J204" i="34"/>
  <c r="K204" i="34"/>
  <c r="L204" i="34"/>
  <c r="M204" i="34"/>
  <c r="N204" i="34"/>
  <c r="O204" i="34"/>
  <c r="P204" i="34"/>
  <c r="Q204" i="34"/>
  <c r="R204" i="34"/>
  <c r="S204" i="34"/>
  <c r="T204" i="34"/>
  <c r="U204" i="34"/>
  <c r="V204" i="34"/>
  <c r="W204" i="34"/>
  <c r="X204" i="34"/>
  <c r="Y204" i="34"/>
  <c r="Z204" i="34"/>
  <c r="AA204" i="34"/>
  <c r="AB204" i="34"/>
  <c r="AC204" i="34"/>
  <c r="AD204" i="34"/>
  <c r="AE204" i="34"/>
  <c r="AF204" i="34"/>
  <c r="AG204" i="34"/>
  <c r="AH204" i="34"/>
  <c r="AI204" i="34"/>
  <c r="AJ204" i="34"/>
  <c r="I205" i="34"/>
  <c r="J205" i="34"/>
  <c r="K205" i="34"/>
  <c r="L205" i="34"/>
  <c r="M205" i="34"/>
  <c r="N205" i="34"/>
  <c r="O205" i="34"/>
  <c r="P205" i="34"/>
  <c r="Q205" i="34"/>
  <c r="R205" i="34"/>
  <c r="S205" i="34"/>
  <c r="T205" i="34"/>
  <c r="U205" i="34"/>
  <c r="V205" i="34"/>
  <c r="W205" i="34"/>
  <c r="X205" i="34"/>
  <c r="Y205" i="34"/>
  <c r="Z205" i="34"/>
  <c r="AA205" i="34"/>
  <c r="AB205" i="34"/>
  <c r="AC205" i="34"/>
  <c r="AD205" i="34"/>
  <c r="AE205" i="34"/>
  <c r="AF205" i="34"/>
  <c r="AG205" i="34"/>
  <c r="AH205" i="34"/>
  <c r="AI205" i="34"/>
  <c r="AJ205" i="34"/>
  <c r="I206" i="34"/>
  <c r="J206" i="34"/>
  <c r="K206" i="34"/>
  <c r="L206" i="34"/>
  <c r="M206" i="34"/>
  <c r="N206" i="34"/>
  <c r="O206" i="34"/>
  <c r="P206" i="34"/>
  <c r="Q206" i="34"/>
  <c r="R206" i="34"/>
  <c r="S206" i="34"/>
  <c r="T206" i="34"/>
  <c r="U206" i="34"/>
  <c r="V206" i="34"/>
  <c r="W206" i="34"/>
  <c r="X206" i="34"/>
  <c r="Y206" i="34"/>
  <c r="Z206" i="34"/>
  <c r="AA206" i="34"/>
  <c r="AB206" i="34"/>
  <c r="AC206" i="34"/>
  <c r="AD206" i="34"/>
  <c r="AE206" i="34"/>
  <c r="AF206" i="34"/>
  <c r="AG206" i="34"/>
  <c r="AH206" i="34"/>
  <c r="AI206" i="34"/>
  <c r="AJ206" i="34"/>
  <c r="I208" i="34"/>
  <c r="J208" i="34"/>
  <c r="K208" i="34"/>
  <c r="L208" i="34"/>
  <c r="M208" i="34"/>
  <c r="N208" i="34"/>
  <c r="P208" i="34"/>
  <c r="Q208" i="34"/>
  <c r="R208" i="34"/>
  <c r="S208" i="34"/>
  <c r="T208" i="34"/>
  <c r="U208" i="34"/>
  <c r="V208" i="34"/>
  <c r="W208" i="34"/>
  <c r="X208" i="34"/>
  <c r="Y208" i="34"/>
  <c r="Z208" i="34"/>
  <c r="AA208" i="34"/>
  <c r="AB208" i="34"/>
  <c r="AC208" i="34"/>
  <c r="AD208" i="34"/>
  <c r="AE208" i="34"/>
  <c r="AG208" i="34"/>
  <c r="AH208" i="34"/>
  <c r="AI208" i="34"/>
  <c r="AJ208" i="34"/>
  <c r="I209" i="34"/>
  <c r="J209" i="34"/>
  <c r="K209" i="34"/>
  <c r="L209" i="34"/>
  <c r="M209" i="34"/>
  <c r="N209" i="34"/>
  <c r="P209" i="34"/>
  <c r="Q209" i="34"/>
  <c r="R209" i="34"/>
  <c r="S209" i="34"/>
  <c r="T209" i="34"/>
  <c r="U209" i="34"/>
  <c r="V209" i="34"/>
  <c r="W209" i="34"/>
  <c r="X209" i="34"/>
  <c r="Y209" i="34"/>
  <c r="Z209" i="34"/>
  <c r="AA209" i="34"/>
  <c r="AB209" i="34"/>
  <c r="AC209" i="34"/>
  <c r="AD209" i="34"/>
  <c r="AE209" i="34"/>
  <c r="AG209" i="34"/>
  <c r="AH209" i="34"/>
  <c r="AI209" i="34"/>
  <c r="AJ209" i="34"/>
  <c r="I211" i="34"/>
  <c r="J211" i="34"/>
  <c r="K211" i="34"/>
  <c r="L211" i="34"/>
  <c r="M211" i="34"/>
  <c r="N211" i="34"/>
  <c r="O211" i="34"/>
  <c r="P211" i="34"/>
  <c r="Q211" i="34"/>
  <c r="R211" i="34"/>
  <c r="S211" i="34"/>
  <c r="T211" i="34"/>
  <c r="U211" i="34"/>
  <c r="V211" i="34"/>
  <c r="W211" i="34"/>
  <c r="X211" i="34"/>
  <c r="Y211" i="34"/>
  <c r="Z211" i="34"/>
  <c r="AA211" i="34"/>
  <c r="AB211" i="34"/>
  <c r="AC211" i="34"/>
  <c r="AD211" i="34"/>
  <c r="AE211" i="34"/>
  <c r="AF211" i="34"/>
  <c r="AG211" i="34"/>
  <c r="AH211" i="34"/>
  <c r="AI211" i="34"/>
  <c r="AJ211" i="34"/>
  <c r="I212" i="34"/>
  <c r="J212" i="34"/>
  <c r="K212" i="34"/>
  <c r="L212" i="34"/>
  <c r="M212" i="34"/>
  <c r="N212" i="34"/>
  <c r="O212" i="34"/>
  <c r="P212" i="34"/>
  <c r="Q212" i="34"/>
  <c r="R212" i="34"/>
  <c r="S212" i="34"/>
  <c r="T212" i="34"/>
  <c r="U212" i="34"/>
  <c r="V212" i="34"/>
  <c r="W212" i="34"/>
  <c r="X212" i="34"/>
  <c r="Y212" i="34"/>
  <c r="Z212" i="34"/>
  <c r="AA212" i="34"/>
  <c r="AB212" i="34"/>
  <c r="AC212" i="34"/>
  <c r="AD212" i="34"/>
  <c r="AE212" i="34"/>
  <c r="AF212" i="34"/>
  <c r="AG212" i="34"/>
  <c r="AH212" i="34"/>
  <c r="AI212" i="34"/>
  <c r="AJ212" i="34"/>
  <c r="I215" i="34"/>
  <c r="J215" i="34"/>
  <c r="K215" i="34"/>
  <c r="L215" i="34"/>
  <c r="M215" i="34"/>
  <c r="N215" i="34"/>
  <c r="O215" i="34"/>
  <c r="P215" i="34"/>
  <c r="Q215" i="34"/>
  <c r="R215" i="34"/>
  <c r="S215" i="34"/>
  <c r="T215" i="34"/>
  <c r="U215" i="34"/>
  <c r="V215" i="34"/>
  <c r="W215" i="34"/>
  <c r="X215" i="34"/>
  <c r="Y215" i="34"/>
  <c r="Z215" i="34"/>
  <c r="AA215" i="34"/>
  <c r="AB215" i="34"/>
  <c r="AC215" i="34"/>
  <c r="AD215" i="34"/>
  <c r="AE215" i="34"/>
  <c r="AF215" i="34"/>
  <c r="AG215" i="34"/>
  <c r="AH215" i="34"/>
  <c r="AI215" i="34"/>
  <c r="AJ215" i="34"/>
  <c r="I216" i="34"/>
  <c r="J216" i="34"/>
  <c r="K216" i="34"/>
  <c r="L216" i="34"/>
  <c r="M216" i="34"/>
  <c r="N216" i="34"/>
  <c r="O216" i="34"/>
  <c r="P216" i="34"/>
  <c r="Q216" i="34"/>
  <c r="R216" i="34"/>
  <c r="S216" i="34"/>
  <c r="T216" i="34"/>
  <c r="U216" i="34"/>
  <c r="V216" i="34"/>
  <c r="W216" i="34"/>
  <c r="X216" i="34"/>
  <c r="Y216" i="34"/>
  <c r="Z216" i="34"/>
  <c r="AA216" i="34"/>
  <c r="AB216" i="34"/>
  <c r="AC216" i="34"/>
  <c r="AD216" i="34"/>
  <c r="AE216" i="34"/>
  <c r="AF216" i="34"/>
  <c r="AG216" i="34"/>
  <c r="AH216" i="34"/>
  <c r="AI216" i="34"/>
  <c r="AJ216" i="34"/>
  <c r="I217" i="34"/>
  <c r="J217" i="34"/>
  <c r="K217" i="34"/>
  <c r="L217" i="34"/>
  <c r="M217" i="34"/>
  <c r="N217" i="34"/>
  <c r="O217" i="34"/>
  <c r="P217" i="34"/>
  <c r="Q217" i="34"/>
  <c r="R217" i="34"/>
  <c r="S217" i="34"/>
  <c r="T217" i="34"/>
  <c r="U217" i="34"/>
  <c r="V217" i="34"/>
  <c r="W217" i="34"/>
  <c r="X217" i="34"/>
  <c r="Y217" i="34"/>
  <c r="Z217" i="34"/>
  <c r="AA217" i="34"/>
  <c r="AB217" i="34"/>
  <c r="AC217" i="34"/>
  <c r="AD217" i="34"/>
  <c r="AE217" i="34"/>
  <c r="AF217" i="34"/>
  <c r="AG217" i="34"/>
  <c r="AH217" i="34"/>
  <c r="AI217" i="34"/>
  <c r="AJ217" i="34"/>
  <c r="I218" i="34"/>
  <c r="J218" i="34"/>
  <c r="K218" i="34"/>
  <c r="L218" i="34"/>
  <c r="M218" i="34"/>
  <c r="N218" i="34"/>
  <c r="O218" i="34"/>
  <c r="P218" i="34"/>
  <c r="Q218" i="34"/>
  <c r="R218" i="34"/>
  <c r="S218" i="34"/>
  <c r="T218" i="34"/>
  <c r="U218" i="34"/>
  <c r="V218" i="34"/>
  <c r="W218" i="34"/>
  <c r="X218" i="34"/>
  <c r="Y218" i="34"/>
  <c r="Z218" i="34"/>
  <c r="AA218" i="34"/>
  <c r="AB218" i="34"/>
  <c r="AC218" i="34"/>
  <c r="AD218" i="34"/>
  <c r="AE218" i="34"/>
  <c r="AF218" i="34"/>
  <c r="AG218" i="34"/>
  <c r="AH218" i="34"/>
  <c r="AI218" i="34"/>
  <c r="AJ218" i="34"/>
  <c r="I220" i="34"/>
  <c r="J220" i="34"/>
  <c r="K220" i="34"/>
  <c r="L220" i="34"/>
  <c r="M220" i="34"/>
  <c r="N220" i="34"/>
  <c r="P220" i="34"/>
  <c r="Q220" i="34"/>
  <c r="R220" i="34"/>
  <c r="S220" i="34"/>
  <c r="T220" i="34"/>
  <c r="U220" i="34"/>
  <c r="V220" i="34"/>
  <c r="W220" i="34"/>
  <c r="X220" i="34"/>
  <c r="Y220" i="34"/>
  <c r="Z220" i="34"/>
  <c r="AA220" i="34"/>
  <c r="AB220" i="34"/>
  <c r="AC220" i="34"/>
  <c r="AD220" i="34"/>
  <c r="AE220" i="34"/>
  <c r="AG220" i="34"/>
  <c r="AH220" i="34"/>
  <c r="AI220" i="34"/>
  <c r="AJ220" i="34"/>
  <c r="I221" i="34"/>
  <c r="J221" i="34"/>
  <c r="K221" i="34"/>
  <c r="L221" i="34"/>
  <c r="M221" i="34"/>
  <c r="N221" i="34"/>
  <c r="P221" i="34"/>
  <c r="Q221" i="34"/>
  <c r="R221" i="34"/>
  <c r="S221" i="34"/>
  <c r="T221" i="34"/>
  <c r="U221" i="34"/>
  <c r="V221" i="34"/>
  <c r="W221" i="34"/>
  <c r="X221" i="34"/>
  <c r="Y221" i="34"/>
  <c r="Z221" i="34"/>
  <c r="AA221" i="34"/>
  <c r="AB221" i="34"/>
  <c r="AC221" i="34"/>
  <c r="AD221" i="34"/>
  <c r="AE221" i="34"/>
  <c r="AF221" i="34"/>
  <c r="AG221" i="34"/>
  <c r="AH221" i="34"/>
  <c r="AI221" i="34"/>
  <c r="AJ221" i="34"/>
  <c r="I223" i="34"/>
  <c r="J223" i="34"/>
  <c r="K223" i="34"/>
  <c r="L223" i="34"/>
  <c r="M223" i="34"/>
  <c r="N223" i="34"/>
  <c r="O223" i="34"/>
  <c r="P223" i="34"/>
  <c r="Q223" i="34"/>
  <c r="R223" i="34"/>
  <c r="S223" i="34"/>
  <c r="T223" i="34"/>
  <c r="U223" i="34"/>
  <c r="V223" i="34"/>
  <c r="W223" i="34"/>
  <c r="X223" i="34"/>
  <c r="Y223" i="34"/>
  <c r="Z223" i="34"/>
  <c r="AA223" i="34"/>
  <c r="AB223" i="34"/>
  <c r="AC223" i="34"/>
  <c r="AD223" i="34"/>
  <c r="AE223" i="34"/>
  <c r="AF223" i="34"/>
  <c r="AG223" i="34"/>
  <c r="AH223" i="34"/>
  <c r="AI223" i="34"/>
  <c r="AJ223" i="34"/>
  <c r="I224" i="34"/>
  <c r="J224" i="34"/>
  <c r="K224" i="34"/>
  <c r="L224" i="34"/>
  <c r="M224" i="34"/>
  <c r="N224" i="34"/>
  <c r="O224" i="34"/>
  <c r="P224" i="34"/>
  <c r="Q224" i="34"/>
  <c r="R224" i="34"/>
  <c r="S224" i="34"/>
  <c r="T224" i="34"/>
  <c r="U224" i="34"/>
  <c r="V224" i="34"/>
  <c r="W224" i="34"/>
  <c r="X224" i="34"/>
  <c r="Y224" i="34"/>
  <c r="Z224" i="34"/>
  <c r="AA224" i="34"/>
  <c r="AB224" i="34"/>
  <c r="AC224" i="34"/>
  <c r="AD224" i="34"/>
  <c r="AE224" i="34"/>
  <c r="AF224" i="34"/>
  <c r="AG224" i="34"/>
  <c r="AH224" i="34"/>
  <c r="AI224" i="34"/>
  <c r="AJ224" i="34"/>
  <c r="I227" i="34"/>
  <c r="J227" i="34"/>
  <c r="K227" i="34"/>
  <c r="L227" i="34"/>
  <c r="M227" i="34"/>
  <c r="N227" i="34"/>
  <c r="O227" i="34"/>
  <c r="P227" i="34"/>
  <c r="Q227" i="34"/>
  <c r="R227" i="34"/>
  <c r="S227" i="34"/>
  <c r="T227" i="34"/>
  <c r="U227" i="34"/>
  <c r="V227" i="34"/>
  <c r="W227" i="34"/>
  <c r="X227" i="34"/>
  <c r="Y227" i="34"/>
  <c r="Z227" i="34"/>
  <c r="AA227" i="34"/>
  <c r="AB227" i="34"/>
  <c r="AC227" i="34"/>
  <c r="AD227" i="34"/>
  <c r="AE227" i="34"/>
  <c r="AF227" i="34"/>
  <c r="AG227" i="34"/>
  <c r="AH227" i="34"/>
  <c r="AI227" i="34"/>
  <c r="AJ227" i="34"/>
  <c r="I228" i="34"/>
  <c r="J228" i="34"/>
  <c r="K228" i="34"/>
  <c r="L228" i="34"/>
  <c r="M228" i="34"/>
  <c r="N228" i="34"/>
  <c r="O228" i="34"/>
  <c r="P228" i="34"/>
  <c r="Q228" i="34"/>
  <c r="R228" i="34"/>
  <c r="S228" i="34"/>
  <c r="T228" i="34"/>
  <c r="U228" i="34"/>
  <c r="V228" i="34"/>
  <c r="W228" i="34"/>
  <c r="X228" i="34"/>
  <c r="Y228" i="34"/>
  <c r="Z228" i="34"/>
  <c r="AA228" i="34"/>
  <c r="AB228" i="34"/>
  <c r="AC228" i="34"/>
  <c r="AD228" i="34"/>
  <c r="AE228" i="34"/>
  <c r="AF228" i="34"/>
  <c r="AG228" i="34"/>
  <c r="AH228" i="34"/>
  <c r="AI228" i="34"/>
  <c r="AJ228" i="34"/>
  <c r="I229" i="34"/>
  <c r="J229" i="34"/>
  <c r="K229" i="34"/>
  <c r="L229" i="34"/>
  <c r="M229" i="34"/>
  <c r="N229" i="34"/>
  <c r="O229" i="34"/>
  <c r="P229" i="34"/>
  <c r="Q229" i="34"/>
  <c r="R229" i="34"/>
  <c r="S229" i="34"/>
  <c r="T229" i="34"/>
  <c r="U229" i="34"/>
  <c r="V229" i="34"/>
  <c r="W229" i="34"/>
  <c r="X229" i="34"/>
  <c r="Y229" i="34"/>
  <c r="Z229" i="34"/>
  <c r="AA229" i="34"/>
  <c r="AB229" i="34"/>
  <c r="AC229" i="34"/>
  <c r="AD229" i="34"/>
  <c r="AE229" i="34"/>
  <c r="AF229" i="34"/>
  <c r="AG229" i="34"/>
  <c r="AH229" i="34"/>
  <c r="AI229" i="34"/>
  <c r="AJ229" i="34"/>
  <c r="I230" i="34"/>
  <c r="J230" i="34"/>
  <c r="K230" i="34"/>
  <c r="L230" i="34"/>
  <c r="M230" i="34"/>
  <c r="N230" i="34"/>
  <c r="O230" i="34"/>
  <c r="P230" i="34"/>
  <c r="Q230" i="34"/>
  <c r="R230" i="34"/>
  <c r="S230" i="34"/>
  <c r="T230" i="34"/>
  <c r="U230" i="34"/>
  <c r="V230" i="34"/>
  <c r="W230" i="34"/>
  <c r="X230" i="34"/>
  <c r="Y230" i="34"/>
  <c r="Z230" i="34"/>
  <c r="AA230" i="34"/>
  <c r="AB230" i="34"/>
  <c r="AC230" i="34"/>
  <c r="AD230" i="34"/>
  <c r="AE230" i="34"/>
  <c r="AF230" i="34"/>
  <c r="AG230" i="34"/>
  <c r="AH230" i="34"/>
  <c r="AI230" i="34"/>
  <c r="AJ230" i="34"/>
  <c r="I232" i="34"/>
  <c r="J232" i="34"/>
  <c r="K232" i="34"/>
  <c r="L232" i="34"/>
  <c r="M232" i="34"/>
  <c r="N232" i="34"/>
  <c r="O232" i="34"/>
  <c r="P232" i="34"/>
  <c r="Q232" i="34"/>
  <c r="R232" i="34"/>
  <c r="S232" i="34"/>
  <c r="T232" i="34"/>
  <c r="U232" i="34"/>
  <c r="W232" i="34"/>
  <c r="X232" i="34"/>
  <c r="Y232" i="34"/>
  <c r="Z232" i="34"/>
  <c r="AA232" i="34"/>
  <c r="AB232" i="34"/>
  <c r="AC232" i="34"/>
  <c r="AD232" i="34"/>
  <c r="AE232" i="34"/>
  <c r="AG232" i="34"/>
  <c r="AH232" i="34"/>
  <c r="AI232" i="34"/>
  <c r="AJ232" i="34"/>
  <c r="I233" i="34"/>
  <c r="J233" i="34"/>
  <c r="K233" i="34"/>
  <c r="L233" i="34"/>
  <c r="M233" i="34"/>
  <c r="N233" i="34"/>
  <c r="O233" i="34"/>
  <c r="P233" i="34"/>
  <c r="Q233" i="34"/>
  <c r="R233" i="34"/>
  <c r="S233" i="34"/>
  <c r="T233" i="34"/>
  <c r="U233" i="34"/>
  <c r="W233" i="34"/>
  <c r="X233" i="34"/>
  <c r="Y233" i="34"/>
  <c r="Z233" i="34"/>
  <c r="AA233" i="34"/>
  <c r="AB233" i="34"/>
  <c r="AC233" i="34"/>
  <c r="AD233" i="34"/>
  <c r="AE233" i="34"/>
  <c r="AG233" i="34"/>
  <c r="AH233" i="34"/>
  <c r="AI233" i="34"/>
  <c r="AJ233" i="34"/>
  <c r="I235" i="34"/>
  <c r="J235" i="34"/>
  <c r="K235" i="34"/>
  <c r="L235" i="34"/>
  <c r="M235" i="34"/>
  <c r="N235" i="34"/>
  <c r="O235" i="34"/>
  <c r="P235" i="34"/>
  <c r="Q235" i="34"/>
  <c r="R235" i="34"/>
  <c r="S235" i="34"/>
  <c r="T235" i="34"/>
  <c r="U235" i="34"/>
  <c r="V235" i="34"/>
  <c r="W235" i="34"/>
  <c r="X235" i="34"/>
  <c r="Y235" i="34"/>
  <c r="Z235" i="34"/>
  <c r="AA235" i="34"/>
  <c r="AB235" i="34"/>
  <c r="AC235" i="34"/>
  <c r="AD235" i="34"/>
  <c r="AE235" i="34"/>
  <c r="AF235" i="34"/>
  <c r="AG235" i="34"/>
  <c r="AH235" i="34"/>
  <c r="AI235" i="34"/>
  <c r="AJ235" i="34"/>
  <c r="I236" i="34"/>
  <c r="J236" i="34"/>
  <c r="K236" i="34"/>
  <c r="L236" i="34"/>
  <c r="M236" i="34"/>
  <c r="N236" i="34"/>
  <c r="O236" i="34"/>
  <c r="P236" i="34"/>
  <c r="Q236" i="34"/>
  <c r="R236" i="34"/>
  <c r="S236" i="34"/>
  <c r="T236" i="34"/>
  <c r="U236" i="34"/>
  <c r="V236" i="34"/>
  <c r="W236" i="34"/>
  <c r="X236" i="34"/>
  <c r="Y236" i="34"/>
  <c r="Z236" i="34"/>
  <c r="AA236" i="34"/>
  <c r="AB236" i="34"/>
  <c r="AC236" i="34"/>
  <c r="AD236" i="34"/>
  <c r="AE236" i="34"/>
  <c r="AF236" i="34"/>
  <c r="AG236" i="34"/>
  <c r="AH236" i="34"/>
  <c r="AI236" i="34"/>
  <c r="AJ236" i="34"/>
  <c r="I239" i="34"/>
  <c r="J239" i="34"/>
  <c r="K239" i="34"/>
  <c r="L239" i="34"/>
  <c r="M239" i="34"/>
  <c r="N239" i="34"/>
  <c r="O239" i="34"/>
  <c r="P239" i="34"/>
  <c r="Q239" i="34"/>
  <c r="R239" i="34"/>
  <c r="S239" i="34"/>
  <c r="T239" i="34"/>
  <c r="U239" i="34"/>
  <c r="V239" i="34"/>
  <c r="W239" i="34"/>
  <c r="X239" i="34"/>
  <c r="Y239" i="34"/>
  <c r="Z239" i="34"/>
  <c r="AA239" i="34"/>
  <c r="AB239" i="34"/>
  <c r="AC239" i="34"/>
  <c r="AD239" i="34"/>
  <c r="AE239" i="34"/>
  <c r="AF239" i="34"/>
  <c r="AG239" i="34"/>
  <c r="AH239" i="34"/>
  <c r="AI239" i="34"/>
  <c r="AJ239" i="34"/>
  <c r="I240" i="34"/>
  <c r="J240" i="34"/>
  <c r="K240" i="34"/>
  <c r="L240" i="34"/>
  <c r="M240" i="34"/>
  <c r="N240" i="34"/>
  <c r="O240" i="34"/>
  <c r="P240" i="34"/>
  <c r="Q240" i="34"/>
  <c r="R240" i="34"/>
  <c r="S240" i="34"/>
  <c r="T240" i="34"/>
  <c r="U240" i="34"/>
  <c r="V240" i="34"/>
  <c r="W240" i="34"/>
  <c r="X240" i="34"/>
  <c r="Y240" i="34"/>
  <c r="Z240" i="34"/>
  <c r="AA240" i="34"/>
  <c r="AB240" i="34"/>
  <c r="AC240" i="34"/>
  <c r="AD240" i="34"/>
  <c r="AE240" i="34"/>
  <c r="AF240" i="34"/>
  <c r="AG240" i="34"/>
  <c r="AH240" i="34"/>
  <c r="AI240" i="34"/>
  <c r="AJ240" i="34"/>
  <c r="I241" i="34"/>
  <c r="J241" i="34"/>
  <c r="K241" i="34"/>
  <c r="L241" i="34"/>
  <c r="M241" i="34"/>
  <c r="N241" i="34"/>
  <c r="O241" i="34"/>
  <c r="P241" i="34"/>
  <c r="Q241" i="34"/>
  <c r="R241" i="34"/>
  <c r="S241" i="34"/>
  <c r="T241" i="34"/>
  <c r="U241" i="34"/>
  <c r="V241" i="34"/>
  <c r="W241" i="34"/>
  <c r="X241" i="34"/>
  <c r="Y241" i="34"/>
  <c r="Z241" i="34"/>
  <c r="AA241" i="34"/>
  <c r="AB241" i="34"/>
  <c r="AC241" i="34"/>
  <c r="AD241" i="34"/>
  <c r="AE241" i="34"/>
  <c r="AF241" i="34"/>
  <c r="AG241" i="34"/>
  <c r="AH241" i="34"/>
  <c r="AI241" i="34"/>
  <c r="AJ241" i="34"/>
  <c r="I242" i="34"/>
  <c r="J242" i="34"/>
  <c r="K242" i="34"/>
  <c r="L242" i="34"/>
  <c r="M242" i="34"/>
  <c r="N242" i="34"/>
  <c r="O242" i="34"/>
  <c r="P242" i="34"/>
  <c r="Q242" i="34"/>
  <c r="R242" i="34"/>
  <c r="S242" i="34"/>
  <c r="T242" i="34"/>
  <c r="U242" i="34"/>
  <c r="V242" i="34"/>
  <c r="W242" i="34"/>
  <c r="X242" i="34"/>
  <c r="Y242" i="34"/>
  <c r="Z242" i="34"/>
  <c r="AA242" i="34"/>
  <c r="AB242" i="34"/>
  <c r="AC242" i="34"/>
  <c r="AD242" i="34"/>
  <c r="AE242" i="34"/>
  <c r="AF242" i="34"/>
  <c r="AG242" i="34"/>
  <c r="AH242" i="34"/>
  <c r="AI242" i="34"/>
  <c r="AJ242" i="34"/>
  <c r="I244" i="34"/>
  <c r="J244" i="34"/>
  <c r="L244" i="34"/>
  <c r="M244" i="34"/>
  <c r="N244" i="34"/>
  <c r="P244" i="34"/>
  <c r="Q244" i="34"/>
  <c r="S244" i="34"/>
  <c r="T244" i="34"/>
  <c r="U244" i="34"/>
  <c r="W244" i="34"/>
  <c r="X244" i="34"/>
  <c r="Z244" i="34"/>
  <c r="AA244" i="34"/>
  <c r="AB244" i="34"/>
  <c r="AD244" i="34"/>
  <c r="AE244" i="34"/>
  <c r="AG244" i="34"/>
  <c r="AH244" i="34"/>
  <c r="AI244" i="34"/>
  <c r="AJ244" i="34"/>
  <c r="I245" i="34"/>
  <c r="J245" i="34"/>
  <c r="L245" i="34"/>
  <c r="M245" i="34"/>
  <c r="N245" i="34"/>
  <c r="P245" i="34"/>
  <c r="Q245" i="34"/>
  <c r="S245" i="34"/>
  <c r="T245" i="34"/>
  <c r="U245" i="34"/>
  <c r="W245" i="34"/>
  <c r="X245" i="34"/>
  <c r="Z245" i="34"/>
  <c r="AA245" i="34"/>
  <c r="AB245" i="34"/>
  <c r="AC245" i="34"/>
  <c r="AD245" i="34"/>
  <c r="AE245" i="34"/>
  <c r="AG245" i="34"/>
  <c r="AH245" i="34"/>
  <c r="AI245" i="34"/>
  <c r="AJ245" i="34"/>
  <c r="I247" i="34"/>
  <c r="J247" i="34"/>
  <c r="K247" i="34"/>
  <c r="L247" i="34"/>
  <c r="M247" i="34"/>
  <c r="N247" i="34"/>
  <c r="O247" i="34"/>
  <c r="P247" i="34"/>
  <c r="Q247" i="34"/>
  <c r="R247" i="34"/>
  <c r="S247" i="34"/>
  <c r="T247" i="34"/>
  <c r="U247" i="34"/>
  <c r="V247" i="34"/>
  <c r="W247" i="34"/>
  <c r="X247" i="34"/>
  <c r="Y247" i="34"/>
  <c r="Z247" i="34"/>
  <c r="AA247" i="34"/>
  <c r="AB247" i="34"/>
  <c r="AC247" i="34"/>
  <c r="AD247" i="34"/>
  <c r="AE247" i="34"/>
  <c r="AF247" i="34"/>
  <c r="AG247" i="34"/>
  <c r="AH247" i="34"/>
  <c r="AI247" i="34"/>
  <c r="AJ247" i="34"/>
  <c r="I248" i="34"/>
  <c r="J248" i="34"/>
  <c r="K248" i="34"/>
  <c r="L248" i="34"/>
  <c r="M248" i="34"/>
  <c r="N248" i="34"/>
  <c r="O248" i="34"/>
  <c r="P248" i="34"/>
  <c r="Q248" i="34"/>
  <c r="R248" i="34"/>
  <c r="S248" i="34"/>
  <c r="T248" i="34"/>
  <c r="U248" i="34"/>
  <c r="V248" i="34"/>
  <c r="W248" i="34"/>
  <c r="X248" i="34"/>
  <c r="Y248" i="34"/>
  <c r="Z248" i="34"/>
  <c r="AA248" i="34"/>
  <c r="AB248" i="34"/>
  <c r="AC248" i="34"/>
  <c r="AD248" i="34"/>
  <c r="AE248" i="34"/>
  <c r="AF248" i="34"/>
  <c r="AG248" i="34"/>
  <c r="AH248" i="34"/>
  <c r="AI248" i="34"/>
  <c r="AJ248" i="34"/>
  <c r="I251" i="34"/>
  <c r="J251" i="34"/>
  <c r="K251" i="34"/>
  <c r="L251" i="34"/>
  <c r="M251" i="34"/>
  <c r="N251" i="34"/>
  <c r="O251" i="34"/>
  <c r="P251" i="34"/>
  <c r="Q251" i="34"/>
  <c r="R251" i="34"/>
  <c r="S251" i="34"/>
  <c r="T251" i="34"/>
  <c r="U251" i="34"/>
  <c r="V251" i="34"/>
  <c r="W251" i="34"/>
  <c r="X251" i="34"/>
  <c r="Y251" i="34"/>
  <c r="Z251" i="34"/>
  <c r="AA251" i="34"/>
  <c r="AB251" i="34"/>
  <c r="AC251" i="34"/>
  <c r="AD251" i="34"/>
  <c r="AE251" i="34"/>
  <c r="AF251" i="34"/>
  <c r="AG251" i="34"/>
  <c r="AH251" i="34"/>
  <c r="AI251" i="34"/>
  <c r="AJ251" i="34"/>
  <c r="I252" i="34"/>
  <c r="J252" i="34"/>
  <c r="K252" i="34"/>
  <c r="L252" i="34"/>
  <c r="M252" i="34"/>
  <c r="N252" i="34"/>
  <c r="O252" i="34"/>
  <c r="P252" i="34"/>
  <c r="Q252" i="34"/>
  <c r="R252" i="34"/>
  <c r="S252" i="34"/>
  <c r="T252" i="34"/>
  <c r="U252" i="34"/>
  <c r="V252" i="34"/>
  <c r="W252" i="34"/>
  <c r="X252" i="34"/>
  <c r="Y252" i="34"/>
  <c r="Z252" i="34"/>
  <c r="AA252" i="34"/>
  <c r="AB252" i="34"/>
  <c r="AC252" i="34"/>
  <c r="AD252" i="34"/>
  <c r="AE252" i="34"/>
  <c r="AF252" i="34"/>
  <c r="AG252" i="34"/>
  <c r="AH252" i="34"/>
  <c r="AI252" i="34"/>
  <c r="AJ252" i="34"/>
  <c r="I253" i="34"/>
  <c r="J253" i="34"/>
  <c r="K253" i="34"/>
  <c r="L253" i="34"/>
  <c r="M253" i="34"/>
  <c r="N253" i="34"/>
  <c r="O253" i="34"/>
  <c r="P253" i="34"/>
  <c r="Q253" i="34"/>
  <c r="R253" i="34"/>
  <c r="S253" i="34"/>
  <c r="T253" i="34"/>
  <c r="U253" i="34"/>
  <c r="V253" i="34"/>
  <c r="W253" i="34"/>
  <c r="X253" i="34"/>
  <c r="Y253" i="34"/>
  <c r="Z253" i="34"/>
  <c r="AA253" i="34"/>
  <c r="AB253" i="34"/>
  <c r="AC253" i="34"/>
  <c r="AD253" i="34"/>
  <c r="AE253" i="34"/>
  <c r="AF253" i="34"/>
  <c r="AG253" i="34"/>
  <c r="AH253" i="34"/>
  <c r="AI253" i="34"/>
  <c r="AJ253" i="34"/>
  <c r="I254" i="34"/>
  <c r="J254" i="34"/>
  <c r="K254" i="34"/>
  <c r="L254" i="34"/>
  <c r="M254" i="34"/>
  <c r="N254" i="34"/>
  <c r="O254" i="34"/>
  <c r="P254" i="34"/>
  <c r="Q254" i="34"/>
  <c r="R254" i="34"/>
  <c r="S254" i="34"/>
  <c r="T254" i="34"/>
  <c r="U254" i="34"/>
  <c r="V254" i="34"/>
  <c r="W254" i="34"/>
  <c r="X254" i="34"/>
  <c r="Y254" i="34"/>
  <c r="Z254" i="34"/>
  <c r="AA254" i="34"/>
  <c r="AB254" i="34"/>
  <c r="AC254" i="34"/>
  <c r="AD254" i="34"/>
  <c r="AE254" i="34"/>
  <c r="AF254" i="34"/>
  <c r="AG254" i="34"/>
  <c r="AH254" i="34"/>
  <c r="AI254" i="34"/>
  <c r="AJ254" i="34"/>
  <c r="I256" i="34"/>
  <c r="J256" i="34"/>
  <c r="L256" i="34"/>
  <c r="M256" i="34"/>
  <c r="N256" i="34"/>
  <c r="P256" i="34"/>
  <c r="Q256" i="34"/>
  <c r="S256" i="34"/>
  <c r="T256" i="34"/>
  <c r="U256" i="34"/>
  <c r="W256" i="34"/>
  <c r="X256" i="34"/>
  <c r="Z256" i="34"/>
  <c r="AA256" i="34"/>
  <c r="AB256" i="34"/>
  <c r="AD256" i="34"/>
  <c r="AE256" i="34"/>
  <c r="AG256" i="34"/>
  <c r="AH256" i="34"/>
  <c r="AI256" i="34"/>
  <c r="AJ256" i="34"/>
  <c r="I257" i="34"/>
  <c r="J257" i="34"/>
  <c r="L257" i="34"/>
  <c r="M257" i="34"/>
  <c r="N257" i="34"/>
  <c r="P257" i="34"/>
  <c r="Q257" i="34"/>
  <c r="S257" i="34"/>
  <c r="T257" i="34"/>
  <c r="U257" i="34"/>
  <c r="W257" i="34"/>
  <c r="X257" i="34"/>
  <c r="Z257" i="34"/>
  <c r="AA257" i="34"/>
  <c r="AB257" i="34"/>
  <c r="AD257" i="34"/>
  <c r="AE257" i="34"/>
  <c r="AG257" i="34"/>
  <c r="AH257" i="34"/>
  <c r="AI257" i="34"/>
  <c r="AJ257" i="34"/>
  <c r="I259" i="34"/>
  <c r="J259" i="34"/>
  <c r="K259" i="34"/>
  <c r="L259" i="34"/>
  <c r="M259" i="34"/>
  <c r="N259" i="34"/>
  <c r="O259" i="34"/>
  <c r="P259" i="34"/>
  <c r="Q259" i="34"/>
  <c r="R259" i="34"/>
  <c r="S259" i="34"/>
  <c r="T259" i="34"/>
  <c r="U259" i="34"/>
  <c r="V259" i="34"/>
  <c r="W259" i="34"/>
  <c r="X259" i="34"/>
  <c r="Y259" i="34"/>
  <c r="Z259" i="34"/>
  <c r="AA259" i="34"/>
  <c r="AB259" i="34"/>
  <c r="AC259" i="34"/>
  <c r="AD259" i="34"/>
  <c r="AE259" i="34"/>
  <c r="AF259" i="34"/>
  <c r="AG259" i="34"/>
  <c r="AH259" i="34"/>
  <c r="AI259" i="34"/>
  <c r="AJ259" i="34"/>
  <c r="I260" i="34"/>
  <c r="J260" i="34"/>
  <c r="K260" i="34"/>
  <c r="L260" i="34"/>
  <c r="M260" i="34"/>
  <c r="N260" i="34"/>
  <c r="O260" i="34"/>
  <c r="P260" i="34"/>
  <c r="Q260" i="34"/>
  <c r="R260" i="34"/>
  <c r="S260" i="34"/>
  <c r="T260" i="34"/>
  <c r="U260" i="34"/>
  <c r="V260" i="34"/>
  <c r="W260" i="34"/>
  <c r="X260" i="34"/>
  <c r="Y260" i="34"/>
  <c r="Z260" i="34"/>
  <c r="AA260" i="34"/>
  <c r="AB260" i="34"/>
  <c r="AC260" i="34"/>
  <c r="AD260" i="34"/>
  <c r="AE260" i="34"/>
  <c r="AF260" i="34"/>
  <c r="AG260" i="34"/>
  <c r="AH260" i="34"/>
  <c r="AI260" i="34"/>
  <c r="AJ260" i="34"/>
  <c r="I263" i="34"/>
  <c r="J263" i="34"/>
  <c r="K263" i="34"/>
  <c r="L263" i="34"/>
  <c r="M263" i="34"/>
  <c r="N263" i="34"/>
  <c r="O263" i="34"/>
  <c r="P263" i="34"/>
  <c r="Q263" i="34"/>
  <c r="R263" i="34"/>
  <c r="S263" i="34"/>
  <c r="T263" i="34"/>
  <c r="U263" i="34"/>
  <c r="V263" i="34"/>
  <c r="W263" i="34"/>
  <c r="X263" i="34"/>
  <c r="Y263" i="34"/>
  <c r="Z263" i="34"/>
  <c r="AA263" i="34"/>
  <c r="AB263" i="34"/>
  <c r="AC263" i="34"/>
  <c r="AD263" i="34"/>
  <c r="AE263" i="34"/>
  <c r="AF263" i="34"/>
  <c r="AG263" i="34"/>
  <c r="AH263" i="34"/>
  <c r="AI263" i="34"/>
  <c r="AJ263" i="34"/>
  <c r="I264" i="34"/>
  <c r="J264" i="34"/>
  <c r="K264" i="34"/>
  <c r="L264" i="34"/>
  <c r="M264" i="34"/>
  <c r="N264" i="34"/>
  <c r="O264" i="34"/>
  <c r="P264" i="34"/>
  <c r="Q264" i="34"/>
  <c r="R264" i="34"/>
  <c r="S264" i="34"/>
  <c r="T264" i="34"/>
  <c r="U264" i="34"/>
  <c r="V264" i="34"/>
  <c r="W264" i="34"/>
  <c r="X264" i="34"/>
  <c r="Y264" i="34"/>
  <c r="Z264" i="34"/>
  <c r="AA264" i="34"/>
  <c r="AB264" i="34"/>
  <c r="AC264" i="34"/>
  <c r="AD264" i="34"/>
  <c r="AE264" i="34"/>
  <c r="AF264" i="34"/>
  <c r="AG264" i="34"/>
  <c r="AH264" i="34"/>
  <c r="AI264" i="34"/>
  <c r="AJ264" i="34"/>
  <c r="I265" i="34"/>
  <c r="J265" i="34"/>
  <c r="K265" i="34"/>
  <c r="L265" i="34"/>
  <c r="M265" i="34"/>
  <c r="N265" i="34"/>
  <c r="O265" i="34"/>
  <c r="P265" i="34"/>
  <c r="Q265" i="34"/>
  <c r="R265" i="34"/>
  <c r="S265" i="34"/>
  <c r="T265" i="34"/>
  <c r="U265" i="34"/>
  <c r="V265" i="34"/>
  <c r="W265" i="34"/>
  <c r="X265" i="34"/>
  <c r="Y265" i="34"/>
  <c r="Z265" i="34"/>
  <c r="AA265" i="34"/>
  <c r="AB265" i="34"/>
  <c r="AC265" i="34"/>
  <c r="AD265" i="34"/>
  <c r="AE265" i="34"/>
  <c r="AF265" i="34"/>
  <c r="AG265" i="34"/>
  <c r="AH265" i="34"/>
  <c r="AI265" i="34"/>
  <c r="AJ265" i="34"/>
  <c r="I266" i="34"/>
  <c r="J266" i="34"/>
  <c r="K266" i="34"/>
  <c r="L266" i="34"/>
  <c r="M266" i="34"/>
  <c r="N266" i="34"/>
  <c r="O266" i="34"/>
  <c r="P266" i="34"/>
  <c r="Q266" i="34"/>
  <c r="R266" i="34"/>
  <c r="S266" i="34"/>
  <c r="T266" i="34"/>
  <c r="U266" i="34"/>
  <c r="V266" i="34"/>
  <c r="W266" i="34"/>
  <c r="X266" i="34"/>
  <c r="Y266" i="34"/>
  <c r="Z266" i="34"/>
  <c r="AA266" i="34"/>
  <c r="AB266" i="34"/>
  <c r="AC266" i="34"/>
  <c r="AD266" i="34"/>
  <c r="AE266" i="34"/>
  <c r="AF266" i="34"/>
  <c r="AG266" i="34"/>
  <c r="AH266" i="34"/>
  <c r="AI266" i="34"/>
  <c r="AJ266" i="34"/>
  <c r="I52" i="34"/>
  <c r="I59" i="34"/>
  <c r="J52" i="34"/>
  <c r="J59" i="34"/>
  <c r="K52" i="34"/>
  <c r="K59" i="34"/>
  <c r="L52" i="34"/>
  <c r="L59" i="34"/>
  <c r="M52" i="34"/>
  <c r="M59" i="34"/>
  <c r="N52" i="34"/>
  <c r="N59" i="34"/>
  <c r="O59" i="34"/>
  <c r="P52" i="34"/>
  <c r="P59" i="34"/>
  <c r="Q52" i="34"/>
  <c r="Q59" i="34"/>
  <c r="R59" i="34"/>
  <c r="S52" i="34"/>
  <c r="S59" i="34"/>
  <c r="T52" i="34"/>
  <c r="T59" i="34"/>
  <c r="U52" i="34"/>
  <c r="U59" i="34"/>
  <c r="V52" i="34"/>
  <c r="V59" i="34"/>
  <c r="W52" i="34"/>
  <c r="W59" i="34"/>
  <c r="X52" i="34"/>
  <c r="X59" i="34"/>
  <c r="Y52" i="34"/>
  <c r="Y59" i="34"/>
  <c r="AC59" i="34"/>
  <c r="AD52" i="34"/>
  <c r="AD59" i="34"/>
  <c r="AE52" i="34"/>
  <c r="AE59" i="34"/>
  <c r="AF59" i="34"/>
  <c r="AG59" i="34"/>
  <c r="AH59" i="34"/>
  <c r="AI59" i="34"/>
  <c r="AJ59" i="34"/>
  <c r="I53" i="34"/>
  <c r="I60" i="34"/>
  <c r="J53" i="34"/>
  <c r="J60" i="34"/>
  <c r="K53" i="34"/>
  <c r="K60" i="34"/>
  <c r="L53" i="34"/>
  <c r="L60" i="34"/>
  <c r="M53" i="34"/>
  <c r="M60" i="34"/>
  <c r="N53" i="34"/>
  <c r="N60" i="34"/>
  <c r="O60" i="34"/>
  <c r="P53" i="34"/>
  <c r="P60" i="34"/>
  <c r="Q53" i="34"/>
  <c r="Q60" i="34"/>
  <c r="R60" i="34"/>
  <c r="S53" i="34"/>
  <c r="S60" i="34"/>
  <c r="T53" i="34"/>
  <c r="T60" i="34"/>
  <c r="U53" i="34"/>
  <c r="U60" i="34"/>
  <c r="V53" i="34"/>
  <c r="V60" i="34"/>
  <c r="W53" i="34"/>
  <c r="W60" i="34"/>
  <c r="X53" i="34"/>
  <c r="X60" i="34"/>
  <c r="Y53" i="34"/>
  <c r="Y60" i="34"/>
  <c r="AC60" i="34"/>
  <c r="AD53" i="34"/>
  <c r="AD60" i="34"/>
  <c r="AE53" i="34"/>
  <c r="AE60" i="34"/>
  <c r="AF60" i="34"/>
  <c r="AG60" i="34"/>
  <c r="AH60" i="34"/>
  <c r="AI60" i="34"/>
  <c r="AJ60" i="34"/>
  <c r="I55" i="34"/>
  <c r="I61" i="34"/>
  <c r="J55" i="34"/>
  <c r="J61" i="34"/>
  <c r="K55" i="34"/>
  <c r="K61" i="34"/>
  <c r="L55" i="34"/>
  <c r="L61" i="34"/>
  <c r="M55" i="34"/>
  <c r="M61" i="34"/>
  <c r="N55" i="34"/>
  <c r="N61" i="34"/>
  <c r="O55" i="34"/>
  <c r="O61" i="34"/>
  <c r="P55" i="34"/>
  <c r="P61" i="34"/>
  <c r="Q55" i="34"/>
  <c r="Q61" i="34"/>
  <c r="R55" i="34"/>
  <c r="R61" i="34"/>
  <c r="S55" i="34"/>
  <c r="S61" i="34"/>
  <c r="T55" i="34"/>
  <c r="T61" i="34"/>
  <c r="U55" i="34"/>
  <c r="U61" i="34"/>
  <c r="V55" i="34"/>
  <c r="V61" i="34"/>
  <c r="W55" i="34"/>
  <c r="W61" i="34"/>
  <c r="X55" i="34"/>
  <c r="X61" i="34"/>
  <c r="Y55" i="34"/>
  <c r="Y61" i="34"/>
  <c r="AC55" i="34"/>
  <c r="AC61" i="34"/>
  <c r="AD55" i="34"/>
  <c r="AD61" i="34"/>
  <c r="AE55" i="34"/>
  <c r="AE61" i="34"/>
  <c r="AF55" i="34"/>
  <c r="AF61" i="34"/>
  <c r="AG61" i="34"/>
  <c r="AH61" i="34"/>
  <c r="AI61" i="34"/>
  <c r="AJ61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AC62" i="34"/>
  <c r="AD62" i="34"/>
  <c r="AE62" i="34"/>
  <c r="AF62" i="34"/>
  <c r="AG62" i="34"/>
  <c r="AH62" i="34"/>
  <c r="AI62" i="34"/>
  <c r="AJ62" i="34"/>
  <c r="Z64" i="34"/>
  <c r="Z71" i="34"/>
  <c r="AA64" i="34"/>
  <c r="AA71" i="34"/>
  <c r="AB64" i="34"/>
  <c r="AB71" i="34"/>
  <c r="AG64" i="34"/>
  <c r="AH64" i="34"/>
  <c r="AI64" i="34"/>
  <c r="AJ64" i="34"/>
  <c r="Z65" i="34"/>
  <c r="AA65" i="34"/>
  <c r="AB65" i="34"/>
  <c r="AG65" i="34"/>
  <c r="AH65" i="34"/>
  <c r="AI65" i="34"/>
  <c r="AJ65" i="34"/>
  <c r="Z55" i="34"/>
  <c r="AA55" i="34"/>
  <c r="AB55" i="34"/>
  <c r="AG55" i="34"/>
  <c r="AH55" i="34"/>
  <c r="AI55" i="34"/>
  <c r="AJ55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I40" i="34"/>
  <c r="I47" i="34"/>
  <c r="J40" i="34"/>
  <c r="J47" i="34"/>
  <c r="K47" i="34"/>
  <c r="M40" i="34"/>
  <c r="M47" i="34"/>
  <c r="N40" i="34"/>
  <c r="N47" i="34"/>
  <c r="O47" i="34"/>
  <c r="P40" i="34"/>
  <c r="P47" i="34"/>
  <c r="Q40" i="34"/>
  <c r="Q47" i="34"/>
  <c r="R47" i="34"/>
  <c r="S40" i="34"/>
  <c r="S47" i="34"/>
  <c r="T40" i="34"/>
  <c r="T47" i="34"/>
  <c r="U40" i="34"/>
  <c r="U47" i="34"/>
  <c r="V47" i="34"/>
  <c r="W40" i="34"/>
  <c r="W47" i="34"/>
  <c r="X40" i="34"/>
  <c r="X47" i="34"/>
  <c r="Y47" i="34"/>
  <c r="Z40" i="34"/>
  <c r="Z47" i="34"/>
  <c r="AA40" i="34"/>
  <c r="AA47" i="34"/>
  <c r="AB40" i="34"/>
  <c r="AB47" i="34"/>
  <c r="AC47" i="34"/>
  <c r="AD40" i="34"/>
  <c r="AD47" i="34"/>
  <c r="AE40" i="34"/>
  <c r="AE47" i="34"/>
  <c r="AF47" i="34"/>
  <c r="AG40" i="34"/>
  <c r="AG47" i="34"/>
  <c r="AH40" i="34"/>
  <c r="AH47" i="34"/>
  <c r="AI40" i="34"/>
  <c r="AI47" i="34"/>
  <c r="AJ40" i="34"/>
  <c r="AJ47" i="34"/>
  <c r="I41" i="34"/>
  <c r="I48" i="34"/>
  <c r="J41" i="34"/>
  <c r="J48" i="34"/>
  <c r="K48" i="34"/>
  <c r="L41" i="34"/>
  <c r="L48" i="34"/>
  <c r="M41" i="34"/>
  <c r="M48" i="34"/>
  <c r="N41" i="34"/>
  <c r="N48" i="34"/>
  <c r="O48" i="34"/>
  <c r="P41" i="34"/>
  <c r="P48" i="34"/>
  <c r="Q41" i="34"/>
  <c r="Q48" i="34"/>
  <c r="R48" i="34"/>
  <c r="S41" i="34"/>
  <c r="S48" i="34"/>
  <c r="T41" i="34"/>
  <c r="T48" i="34"/>
  <c r="U41" i="34"/>
  <c r="U48" i="34"/>
  <c r="V48" i="34"/>
  <c r="W41" i="34"/>
  <c r="W48" i="34"/>
  <c r="X41" i="34"/>
  <c r="X48" i="34"/>
  <c r="Y48" i="34"/>
  <c r="Z41" i="34"/>
  <c r="Z48" i="34"/>
  <c r="AA41" i="34"/>
  <c r="AA48" i="34"/>
  <c r="AB41" i="34"/>
  <c r="AB48" i="34"/>
  <c r="AC48" i="34"/>
  <c r="AD41" i="34"/>
  <c r="AD48" i="34"/>
  <c r="AE41" i="34"/>
  <c r="AE48" i="34"/>
  <c r="AF48" i="34"/>
  <c r="AG41" i="34"/>
  <c r="AG48" i="34"/>
  <c r="AH41" i="34"/>
  <c r="AH48" i="34"/>
  <c r="AI41" i="34"/>
  <c r="AI48" i="34"/>
  <c r="AJ41" i="34"/>
  <c r="AJ48" i="34"/>
  <c r="I43" i="34"/>
  <c r="I49" i="34"/>
  <c r="J43" i="34"/>
  <c r="J49" i="34"/>
  <c r="K43" i="34"/>
  <c r="K49" i="34"/>
  <c r="L43" i="34"/>
  <c r="L49" i="34"/>
  <c r="M43" i="34"/>
  <c r="M49" i="34"/>
  <c r="N43" i="34"/>
  <c r="N49" i="34"/>
  <c r="O43" i="34"/>
  <c r="O49" i="34"/>
  <c r="P43" i="34"/>
  <c r="P49" i="34"/>
  <c r="Q43" i="34"/>
  <c r="Q49" i="34"/>
  <c r="R43" i="34"/>
  <c r="R49" i="34"/>
  <c r="S43" i="34"/>
  <c r="S49" i="34"/>
  <c r="T43" i="34"/>
  <c r="T49" i="34"/>
  <c r="U43" i="34"/>
  <c r="U49" i="34"/>
  <c r="V43" i="34"/>
  <c r="V49" i="34"/>
  <c r="W43" i="34"/>
  <c r="W49" i="34"/>
  <c r="X43" i="34"/>
  <c r="X49" i="34"/>
  <c r="Y43" i="34"/>
  <c r="Y49" i="34"/>
  <c r="AC43" i="34"/>
  <c r="AC49" i="34"/>
  <c r="AD43" i="34"/>
  <c r="AD49" i="34"/>
  <c r="AE43" i="34"/>
  <c r="AE49" i="34"/>
  <c r="AF43" i="34"/>
  <c r="AF49" i="34"/>
  <c r="AG49" i="34"/>
  <c r="AH49" i="34"/>
  <c r="AI49" i="34"/>
  <c r="AJ49" i="34"/>
  <c r="I50" i="34"/>
  <c r="J50" i="34"/>
  <c r="K50" i="34"/>
  <c r="L50" i="34"/>
  <c r="M50" i="34"/>
  <c r="N50" i="34"/>
  <c r="O50" i="34"/>
  <c r="P50" i="34"/>
  <c r="Q50" i="34"/>
  <c r="R50" i="34"/>
  <c r="S50" i="34"/>
  <c r="T50" i="34"/>
  <c r="U50" i="34"/>
  <c r="V50" i="34"/>
  <c r="W50" i="34"/>
  <c r="X50" i="34"/>
  <c r="Y50" i="34"/>
  <c r="AC50" i="34"/>
  <c r="AD50" i="34"/>
  <c r="AE50" i="34"/>
  <c r="AF50" i="34"/>
  <c r="AG50" i="34"/>
  <c r="AH50" i="34"/>
  <c r="AI50" i="34"/>
  <c r="AJ50" i="34"/>
  <c r="Z52" i="34"/>
  <c r="Z59" i="34"/>
  <c r="AA52" i="34"/>
  <c r="AA59" i="34"/>
  <c r="AB52" i="34"/>
  <c r="AB59" i="34"/>
  <c r="AG52" i="34"/>
  <c r="AH52" i="34"/>
  <c r="AI52" i="34"/>
  <c r="AJ52" i="34"/>
  <c r="Z53" i="34"/>
  <c r="AA53" i="34"/>
  <c r="AB53" i="34"/>
  <c r="AG53" i="34"/>
  <c r="AH53" i="34"/>
  <c r="AI53" i="34"/>
  <c r="AJ53" i="34"/>
  <c r="Z43" i="34"/>
  <c r="Z49" i="34"/>
  <c r="Z50" i="34"/>
  <c r="AA43" i="34"/>
  <c r="AA49" i="34"/>
  <c r="AA50" i="34"/>
  <c r="AB43" i="34"/>
  <c r="AB49" i="34"/>
  <c r="AB50" i="34"/>
  <c r="AG43" i="34"/>
  <c r="AH43" i="34"/>
  <c r="AI43" i="34"/>
  <c r="AJ43" i="34"/>
  <c r="I44" i="34"/>
  <c r="J44" i="34"/>
  <c r="K44" i="34"/>
  <c r="L44" i="34"/>
  <c r="M44" i="34"/>
  <c r="N44" i="34"/>
  <c r="O44" i="34"/>
  <c r="P44" i="34"/>
  <c r="Q44" i="34"/>
  <c r="R44" i="34"/>
  <c r="S44" i="34"/>
  <c r="T44" i="34"/>
  <c r="U44" i="34"/>
  <c r="V44" i="34"/>
  <c r="W44" i="34"/>
  <c r="X44" i="34"/>
  <c r="Y44" i="34"/>
  <c r="Z44" i="34"/>
  <c r="AA44" i="34"/>
  <c r="AB44" i="34"/>
  <c r="AC44" i="34"/>
  <c r="AD44" i="34"/>
  <c r="AE44" i="34"/>
  <c r="AF44" i="34"/>
  <c r="AG44" i="34"/>
  <c r="AH44" i="34"/>
  <c r="AI44" i="34"/>
  <c r="AJ44" i="34"/>
  <c r="I28" i="34"/>
  <c r="I35" i="34"/>
  <c r="J28" i="34"/>
  <c r="J35" i="34"/>
  <c r="K35" i="34"/>
  <c r="L28" i="34"/>
  <c r="L35" i="34"/>
  <c r="M28" i="34"/>
  <c r="M35" i="34"/>
  <c r="N28" i="34"/>
  <c r="N35" i="34"/>
  <c r="O35" i="34"/>
  <c r="P28" i="34"/>
  <c r="P35" i="34"/>
  <c r="Q28" i="34"/>
  <c r="Q35" i="34"/>
  <c r="R35" i="34"/>
  <c r="S35" i="34"/>
  <c r="U28" i="34"/>
  <c r="U35" i="34"/>
  <c r="V28" i="34"/>
  <c r="V35" i="34"/>
  <c r="W28" i="34"/>
  <c r="W35" i="34"/>
  <c r="X28" i="34"/>
  <c r="X35" i="34"/>
  <c r="Y35" i="34"/>
  <c r="Z28" i="34"/>
  <c r="Z35" i="34"/>
  <c r="AA28" i="34"/>
  <c r="AA35" i="34"/>
  <c r="AB28" i="34"/>
  <c r="AB35" i="34"/>
  <c r="AC35" i="34"/>
  <c r="AD28" i="34"/>
  <c r="AD35" i="34"/>
  <c r="AE28" i="34"/>
  <c r="AE35" i="34"/>
  <c r="AF35" i="34"/>
  <c r="AG28" i="34"/>
  <c r="AG35" i="34"/>
  <c r="AH28" i="34"/>
  <c r="AH35" i="34"/>
  <c r="AI28" i="34"/>
  <c r="AI35" i="34"/>
  <c r="AJ28" i="34"/>
  <c r="AJ35" i="34"/>
  <c r="I29" i="34"/>
  <c r="I36" i="34"/>
  <c r="J29" i="34"/>
  <c r="J36" i="34"/>
  <c r="K36" i="34"/>
  <c r="L29" i="34"/>
  <c r="L36" i="34"/>
  <c r="M29" i="34"/>
  <c r="M36" i="34"/>
  <c r="N29" i="34"/>
  <c r="N36" i="34"/>
  <c r="O36" i="34"/>
  <c r="P29" i="34"/>
  <c r="P36" i="34"/>
  <c r="Q29" i="34"/>
  <c r="Q36" i="34"/>
  <c r="R29" i="34"/>
  <c r="R36" i="34"/>
  <c r="S29" i="34"/>
  <c r="S36" i="34"/>
  <c r="T29" i="34"/>
  <c r="T36" i="34"/>
  <c r="U29" i="34"/>
  <c r="U36" i="34"/>
  <c r="V29" i="34"/>
  <c r="V36" i="34"/>
  <c r="W29" i="34"/>
  <c r="W36" i="34"/>
  <c r="X29" i="34"/>
  <c r="X36" i="34"/>
  <c r="Y36" i="34"/>
  <c r="Z29" i="34"/>
  <c r="Z36" i="34"/>
  <c r="AA29" i="34"/>
  <c r="AA36" i="34"/>
  <c r="AB29" i="34"/>
  <c r="AB36" i="34"/>
  <c r="AC36" i="34"/>
  <c r="AD29" i="34"/>
  <c r="AD36" i="34"/>
  <c r="AE29" i="34"/>
  <c r="AE36" i="34"/>
  <c r="AF36" i="34"/>
  <c r="AG29" i="34"/>
  <c r="AG36" i="34"/>
  <c r="AH29" i="34"/>
  <c r="AH36" i="34"/>
  <c r="AI29" i="34"/>
  <c r="AI36" i="34"/>
  <c r="AJ29" i="34"/>
  <c r="AJ36" i="34"/>
  <c r="I31" i="34"/>
  <c r="I37" i="34"/>
  <c r="J31" i="34"/>
  <c r="J37" i="34"/>
  <c r="K31" i="34"/>
  <c r="K37" i="34"/>
  <c r="L31" i="34"/>
  <c r="L37" i="34"/>
  <c r="M31" i="34"/>
  <c r="M37" i="34"/>
  <c r="N31" i="34"/>
  <c r="N37" i="34"/>
  <c r="O31" i="34"/>
  <c r="O37" i="34"/>
  <c r="P31" i="34"/>
  <c r="P37" i="34"/>
  <c r="Q31" i="34"/>
  <c r="Q37" i="34"/>
  <c r="R31" i="34"/>
  <c r="R37" i="34"/>
  <c r="S31" i="34"/>
  <c r="S37" i="34"/>
  <c r="T31" i="34"/>
  <c r="T37" i="34"/>
  <c r="U31" i="34"/>
  <c r="U37" i="34"/>
  <c r="V31" i="34"/>
  <c r="V37" i="34"/>
  <c r="W31" i="34"/>
  <c r="W37" i="34"/>
  <c r="X31" i="34"/>
  <c r="X37" i="34"/>
  <c r="Y31" i="34"/>
  <c r="Y37" i="34"/>
  <c r="AC31" i="34"/>
  <c r="AC37" i="34"/>
  <c r="AD31" i="34"/>
  <c r="AD37" i="34"/>
  <c r="AE31" i="34"/>
  <c r="AE37" i="34"/>
  <c r="AF31" i="34"/>
  <c r="AF37" i="34"/>
  <c r="AG37" i="34"/>
  <c r="AH37" i="34"/>
  <c r="AI37" i="34"/>
  <c r="AJ37" i="34"/>
  <c r="I38" i="34"/>
  <c r="J38" i="34"/>
  <c r="K38" i="34"/>
  <c r="L38" i="34"/>
  <c r="M38" i="34"/>
  <c r="N38" i="34"/>
  <c r="O38" i="34"/>
  <c r="P38" i="34"/>
  <c r="Q38" i="34"/>
  <c r="R38" i="34"/>
  <c r="S38" i="34"/>
  <c r="T38" i="34"/>
  <c r="U38" i="34"/>
  <c r="V38" i="34"/>
  <c r="W38" i="34"/>
  <c r="X38" i="34"/>
  <c r="Y38" i="34"/>
  <c r="AC38" i="34"/>
  <c r="AD38" i="34"/>
  <c r="AE38" i="34"/>
  <c r="AF38" i="34"/>
  <c r="AG38" i="34"/>
  <c r="AH38" i="34"/>
  <c r="AI38" i="34"/>
  <c r="AJ38" i="34"/>
  <c r="Z31" i="34"/>
  <c r="Z37" i="34"/>
  <c r="Z38" i="34"/>
  <c r="AA31" i="34"/>
  <c r="AA37" i="34"/>
  <c r="AA38" i="34"/>
  <c r="AB31" i="34"/>
  <c r="AB37" i="34"/>
  <c r="AB38" i="34"/>
  <c r="AG31" i="34"/>
  <c r="AH31" i="34"/>
  <c r="AI31" i="34"/>
  <c r="AJ31" i="34"/>
  <c r="I32" i="34"/>
  <c r="J32" i="34"/>
  <c r="K32" i="34"/>
  <c r="L32" i="34"/>
  <c r="M32" i="34"/>
  <c r="N32" i="34"/>
  <c r="O32" i="34"/>
  <c r="P32" i="34"/>
  <c r="Q32" i="34"/>
  <c r="R32" i="34"/>
  <c r="S32" i="34"/>
  <c r="T32" i="34"/>
  <c r="U32" i="34"/>
  <c r="V32" i="34"/>
  <c r="W32" i="34"/>
  <c r="X32" i="34"/>
  <c r="Y32" i="34"/>
  <c r="Z32" i="34"/>
  <c r="AA32" i="34"/>
  <c r="AB32" i="34"/>
  <c r="AC32" i="34"/>
  <c r="AD32" i="34"/>
  <c r="AE32" i="34"/>
  <c r="AF32" i="34"/>
  <c r="AG32" i="34"/>
  <c r="AH32" i="34"/>
  <c r="AI32" i="34"/>
  <c r="AJ32" i="34"/>
  <c r="I16" i="34"/>
  <c r="I23" i="34"/>
  <c r="J16" i="34"/>
  <c r="J23" i="34"/>
  <c r="K23" i="34"/>
  <c r="L16" i="34"/>
  <c r="L23" i="34"/>
  <c r="M16" i="34"/>
  <c r="M23" i="34"/>
  <c r="N16" i="34"/>
  <c r="N23" i="34"/>
  <c r="O23" i="34"/>
  <c r="P16" i="34"/>
  <c r="P23" i="34"/>
  <c r="Q16" i="34"/>
  <c r="Q23" i="34"/>
  <c r="R23" i="34"/>
  <c r="S16" i="34"/>
  <c r="S23" i="34"/>
  <c r="T16" i="34"/>
  <c r="T23" i="34"/>
  <c r="U16" i="34"/>
  <c r="U23" i="34"/>
  <c r="V23" i="34"/>
  <c r="W16" i="34"/>
  <c r="W23" i="34"/>
  <c r="X16" i="34"/>
  <c r="X23" i="34"/>
  <c r="Y23" i="34"/>
  <c r="Z16" i="34"/>
  <c r="Z23" i="34"/>
  <c r="AA16" i="34"/>
  <c r="AA23" i="34"/>
  <c r="AB16" i="34"/>
  <c r="AB23" i="34"/>
  <c r="AC23" i="34"/>
  <c r="AD16" i="34"/>
  <c r="AD23" i="34"/>
  <c r="AE16" i="34"/>
  <c r="AE23" i="34"/>
  <c r="AF23" i="34"/>
  <c r="AG16" i="34"/>
  <c r="AG23" i="34"/>
  <c r="AH16" i="34"/>
  <c r="AH23" i="34"/>
  <c r="AI16" i="34"/>
  <c r="AI23" i="34"/>
  <c r="AJ16" i="34"/>
  <c r="AJ23" i="34"/>
  <c r="I17" i="34"/>
  <c r="I24" i="34"/>
  <c r="J17" i="34"/>
  <c r="J24" i="34"/>
  <c r="K24" i="34"/>
  <c r="L17" i="34"/>
  <c r="L24" i="34"/>
  <c r="M17" i="34"/>
  <c r="M24" i="34"/>
  <c r="N17" i="34"/>
  <c r="N24" i="34"/>
  <c r="O24" i="34"/>
  <c r="P17" i="34"/>
  <c r="P24" i="34"/>
  <c r="Q17" i="34"/>
  <c r="Q24" i="34"/>
  <c r="R24" i="34"/>
  <c r="S17" i="34"/>
  <c r="S24" i="34"/>
  <c r="T17" i="34"/>
  <c r="T24" i="34"/>
  <c r="U17" i="34"/>
  <c r="U24" i="34"/>
  <c r="V17" i="34"/>
  <c r="V24" i="34"/>
  <c r="W17" i="34"/>
  <c r="W24" i="34"/>
  <c r="X17" i="34"/>
  <c r="X24" i="34"/>
  <c r="Y24" i="34"/>
  <c r="Z17" i="34"/>
  <c r="Z24" i="34"/>
  <c r="AA17" i="34"/>
  <c r="AA24" i="34"/>
  <c r="AB17" i="34"/>
  <c r="AB24" i="34"/>
  <c r="AC17" i="34"/>
  <c r="AC24" i="34"/>
  <c r="AD17" i="34"/>
  <c r="AD24" i="34"/>
  <c r="AE17" i="34"/>
  <c r="AE24" i="34"/>
  <c r="AF24" i="34"/>
  <c r="AG17" i="34"/>
  <c r="AG24" i="34"/>
  <c r="AH17" i="34"/>
  <c r="AH24" i="34"/>
  <c r="AI17" i="34"/>
  <c r="AI24" i="34"/>
  <c r="AJ17" i="34"/>
  <c r="AJ24" i="34"/>
  <c r="I25" i="34"/>
  <c r="J25" i="34"/>
  <c r="K25" i="34"/>
  <c r="L19" i="34"/>
  <c r="L25" i="34"/>
  <c r="M19" i="34"/>
  <c r="M25" i="34"/>
  <c r="N19" i="34"/>
  <c r="N25" i="34"/>
  <c r="O19" i="34"/>
  <c r="O25" i="34"/>
  <c r="P19" i="34"/>
  <c r="P25" i="34"/>
  <c r="Q19" i="34"/>
  <c r="Q25" i="34"/>
  <c r="R19" i="34"/>
  <c r="R25" i="34"/>
  <c r="S19" i="34"/>
  <c r="S25" i="34"/>
  <c r="T19" i="34"/>
  <c r="T25" i="34"/>
  <c r="U19" i="34"/>
  <c r="U25" i="34"/>
  <c r="V19" i="34"/>
  <c r="V25" i="34"/>
  <c r="W19" i="34"/>
  <c r="W25" i="34"/>
  <c r="X19" i="34"/>
  <c r="X25" i="34"/>
  <c r="Y19" i="34"/>
  <c r="Y25" i="34"/>
  <c r="AC19" i="34"/>
  <c r="AC25" i="34"/>
  <c r="AD19" i="34"/>
  <c r="AD25" i="34"/>
  <c r="AE19" i="34"/>
  <c r="AE25" i="34"/>
  <c r="AF19" i="34"/>
  <c r="AF25" i="34"/>
  <c r="AG25" i="34"/>
  <c r="AH25" i="34"/>
  <c r="AI25" i="34"/>
  <c r="AJ25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AC26" i="34"/>
  <c r="AD26" i="34"/>
  <c r="AE26" i="34"/>
  <c r="AF26" i="34"/>
  <c r="AG26" i="34"/>
  <c r="AH26" i="34"/>
  <c r="AI26" i="34"/>
  <c r="AJ26" i="34"/>
  <c r="Z19" i="34"/>
  <c r="Z25" i="34"/>
  <c r="Z26" i="34"/>
  <c r="AA19" i="34"/>
  <c r="AA25" i="34"/>
  <c r="AA26" i="34"/>
  <c r="AB19" i="34"/>
  <c r="AB25" i="34"/>
  <c r="AB26" i="34"/>
  <c r="AG19" i="34"/>
  <c r="AH19" i="34"/>
  <c r="AI19" i="34"/>
  <c r="AJ19" i="34"/>
  <c r="I20" i="34"/>
  <c r="J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AI20" i="34"/>
  <c r="AJ20" i="34"/>
  <c r="I4" i="34"/>
  <c r="I11" i="34"/>
  <c r="J4" i="34"/>
  <c r="J11" i="34"/>
  <c r="K4" i="34"/>
  <c r="K11" i="34"/>
  <c r="L4" i="34"/>
  <c r="L11" i="34"/>
  <c r="M4" i="34"/>
  <c r="M11" i="34"/>
  <c r="N4" i="34"/>
  <c r="N11" i="34"/>
  <c r="O4" i="34"/>
  <c r="O11" i="34"/>
  <c r="P4" i="34"/>
  <c r="P11" i="34"/>
  <c r="Q4" i="34"/>
  <c r="Q11" i="34"/>
  <c r="R11" i="34"/>
  <c r="S4" i="34"/>
  <c r="S11" i="34"/>
  <c r="T4" i="34"/>
  <c r="T11" i="34"/>
  <c r="U4" i="34"/>
  <c r="U11" i="34"/>
  <c r="V11" i="34"/>
  <c r="W4" i="34"/>
  <c r="W11" i="34"/>
  <c r="X4" i="34"/>
  <c r="X11" i="34"/>
  <c r="Y11" i="34"/>
  <c r="Z4" i="34"/>
  <c r="Z11" i="34"/>
  <c r="AA4" i="34"/>
  <c r="AA11" i="34"/>
  <c r="AB4" i="34"/>
  <c r="AB11" i="34"/>
  <c r="AC4" i="34"/>
  <c r="AC11" i="34"/>
  <c r="AD4" i="34"/>
  <c r="AD11" i="34"/>
  <c r="AE4" i="34"/>
  <c r="AE11" i="34"/>
  <c r="AF4" i="34"/>
  <c r="AF11" i="34"/>
  <c r="AG4" i="34"/>
  <c r="AG11" i="34"/>
  <c r="AH4" i="34"/>
  <c r="AH11" i="34"/>
  <c r="AI4" i="34"/>
  <c r="AI11" i="34"/>
  <c r="AJ4" i="34"/>
  <c r="AJ11" i="34"/>
  <c r="I5" i="34"/>
  <c r="I12" i="34"/>
  <c r="J5" i="34"/>
  <c r="J12" i="34"/>
  <c r="K5" i="34"/>
  <c r="K12" i="34"/>
  <c r="L5" i="34"/>
  <c r="L12" i="34"/>
  <c r="M5" i="34"/>
  <c r="M12" i="34"/>
  <c r="N5" i="34"/>
  <c r="N12" i="34"/>
  <c r="O5" i="34"/>
  <c r="O12" i="34"/>
  <c r="P5" i="34"/>
  <c r="P12" i="34"/>
  <c r="Q5" i="34"/>
  <c r="Q12" i="34"/>
  <c r="R12" i="34"/>
  <c r="S5" i="34"/>
  <c r="S12" i="34"/>
  <c r="T5" i="34"/>
  <c r="T12" i="34"/>
  <c r="U5" i="34"/>
  <c r="U12" i="34"/>
  <c r="V12" i="34"/>
  <c r="W5" i="34"/>
  <c r="W12" i="34"/>
  <c r="X5" i="34"/>
  <c r="X12" i="34"/>
  <c r="Y12" i="34"/>
  <c r="Z5" i="34"/>
  <c r="Z12" i="34"/>
  <c r="AA5" i="34"/>
  <c r="AA12" i="34"/>
  <c r="AB5" i="34"/>
  <c r="AB12" i="34"/>
  <c r="AC5" i="34"/>
  <c r="AC12" i="34"/>
  <c r="AD5" i="34"/>
  <c r="AD12" i="34"/>
  <c r="AE5" i="34"/>
  <c r="AE12" i="34"/>
  <c r="AF5" i="34"/>
  <c r="AF12" i="34"/>
  <c r="AG5" i="34"/>
  <c r="AG12" i="34"/>
  <c r="AH5" i="34"/>
  <c r="AH12" i="34"/>
  <c r="AI5" i="34"/>
  <c r="AI12" i="34"/>
  <c r="AJ5" i="34"/>
  <c r="AJ12" i="34"/>
  <c r="I7" i="34"/>
  <c r="I13" i="34"/>
  <c r="J7" i="34"/>
  <c r="J13" i="34"/>
  <c r="K7" i="34"/>
  <c r="K13" i="34"/>
  <c r="L7" i="34"/>
  <c r="L13" i="34"/>
  <c r="M7" i="34"/>
  <c r="M13" i="34"/>
  <c r="N7" i="34"/>
  <c r="N13" i="34"/>
  <c r="O7" i="34"/>
  <c r="O13" i="34"/>
  <c r="P7" i="34"/>
  <c r="P13" i="34"/>
  <c r="Q7" i="34"/>
  <c r="Q13" i="34"/>
  <c r="R7" i="34"/>
  <c r="R13" i="34"/>
  <c r="S7" i="34"/>
  <c r="S13" i="34"/>
  <c r="T7" i="34"/>
  <c r="T13" i="34"/>
  <c r="U7" i="34"/>
  <c r="U13" i="34"/>
  <c r="V7" i="34"/>
  <c r="V13" i="34"/>
  <c r="W7" i="34"/>
  <c r="W13" i="34"/>
  <c r="X7" i="34"/>
  <c r="X13" i="34"/>
  <c r="Y7" i="34"/>
  <c r="Y13" i="34"/>
  <c r="AC7" i="34"/>
  <c r="AC13" i="34"/>
  <c r="AD7" i="34"/>
  <c r="AD13" i="34"/>
  <c r="AE7" i="34"/>
  <c r="AE13" i="34"/>
  <c r="AF7" i="34"/>
  <c r="AF13" i="34"/>
  <c r="AG13" i="34"/>
  <c r="AH13" i="34"/>
  <c r="AI13" i="34"/>
  <c r="AJ13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AC14" i="34"/>
  <c r="AD14" i="34"/>
  <c r="AE14" i="34"/>
  <c r="AF14" i="34"/>
  <c r="AG14" i="34"/>
  <c r="AH14" i="34"/>
  <c r="AI14" i="34"/>
  <c r="AJ14" i="34"/>
  <c r="Z7" i="34"/>
  <c r="Z13" i="34"/>
  <c r="Z14" i="34"/>
  <c r="AA7" i="34"/>
  <c r="AA13" i="34"/>
  <c r="AA14" i="34"/>
  <c r="AB7" i="34"/>
  <c r="AB13" i="34"/>
  <c r="AB14" i="34"/>
  <c r="AG7" i="34"/>
  <c r="AH7" i="34"/>
  <c r="AI7" i="34"/>
  <c r="AJ7" i="34"/>
  <c r="I8" i="34"/>
  <c r="J8" i="34"/>
  <c r="K8" i="34"/>
  <c r="L8" i="34"/>
  <c r="M8" i="34"/>
  <c r="N8" i="34"/>
  <c r="O8" i="34"/>
  <c r="P8" i="34"/>
  <c r="Q8" i="34"/>
  <c r="S8" i="34"/>
  <c r="T8" i="34"/>
  <c r="U8" i="34"/>
  <c r="V8" i="34"/>
  <c r="W8" i="34"/>
  <c r="X8" i="34"/>
  <c r="Y8" i="34"/>
  <c r="Z8" i="34"/>
  <c r="AA8" i="34"/>
  <c r="AB8" i="34"/>
  <c r="AC8" i="34"/>
  <c r="AD8" i="34"/>
  <c r="AE8" i="34"/>
  <c r="AF8" i="34"/>
  <c r="AG8" i="34"/>
  <c r="AH8" i="34"/>
  <c r="AI8" i="34"/>
  <c r="AJ8" i="34"/>
  <c r="D1" i="34"/>
  <c r="E1" i="34"/>
  <c r="F1" i="34"/>
  <c r="G1" i="34"/>
  <c r="H1" i="34"/>
  <c r="I1" i="34"/>
  <c r="J1" i="34"/>
  <c r="K1" i="34"/>
  <c r="L1" i="34"/>
  <c r="M1" i="34"/>
  <c r="N1" i="34"/>
  <c r="O1" i="34"/>
  <c r="P1" i="34"/>
  <c r="Q1" i="34"/>
  <c r="R1" i="34"/>
  <c r="S1" i="34"/>
  <c r="T1" i="34"/>
  <c r="U1" i="34"/>
  <c r="V1" i="34"/>
  <c r="W1" i="34"/>
  <c r="X1" i="34"/>
  <c r="Y1" i="34"/>
  <c r="Z1" i="34"/>
  <c r="AA1" i="34"/>
  <c r="AB1" i="34"/>
  <c r="AC1" i="34"/>
  <c r="AD1" i="34"/>
  <c r="AE1" i="34"/>
  <c r="AF1" i="34"/>
  <c r="AG1" i="34"/>
  <c r="AH1" i="34"/>
  <c r="AI1" i="34"/>
  <c r="AJ1" i="34"/>
  <c r="I2" i="34"/>
  <c r="J2" i="34"/>
  <c r="K2" i="34"/>
  <c r="L2" i="34"/>
  <c r="M2" i="34"/>
  <c r="N2" i="34"/>
  <c r="O2" i="34"/>
  <c r="P2" i="34"/>
  <c r="Q2" i="34"/>
  <c r="R2" i="34"/>
  <c r="S2" i="34"/>
  <c r="T2" i="34"/>
  <c r="U2" i="34"/>
  <c r="V2" i="34"/>
  <c r="W2" i="34"/>
  <c r="X2" i="34"/>
  <c r="Y2" i="34"/>
  <c r="Z2" i="34"/>
  <c r="AA2" i="34"/>
  <c r="AB2" i="34"/>
  <c r="AC2" i="34"/>
  <c r="AD2" i="34"/>
  <c r="AE2" i="34"/>
  <c r="AF2" i="34"/>
  <c r="AG2" i="34"/>
  <c r="AH2" i="34"/>
  <c r="AI2" i="34"/>
  <c r="AJ2" i="34"/>
  <c r="AK257" i="34"/>
  <c r="AK67" i="34"/>
  <c r="AL67" i="34"/>
  <c r="AK68" i="34"/>
  <c r="AL68" i="34"/>
  <c r="AK71" i="34"/>
  <c r="AL71" i="34"/>
  <c r="AK72" i="34"/>
  <c r="AL72" i="34"/>
  <c r="AK73" i="34"/>
  <c r="AL73" i="34"/>
  <c r="AK74" i="34"/>
  <c r="AL74" i="34"/>
  <c r="AK76" i="34"/>
  <c r="AL76" i="34"/>
  <c r="AK77" i="34"/>
  <c r="AL77" i="34"/>
  <c r="AK79" i="34"/>
  <c r="AL79" i="34"/>
  <c r="AK80" i="34"/>
  <c r="AL80" i="34"/>
  <c r="AK83" i="34"/>
  <c r="AL83" i="34"/>
  <c r="AK84" i="34"/>
  <c r="AL84" i="34"/>
  <c r="AK85" i="34"/>
  <c r="AL85" i="34"/>
  <c r="AK86" i="34"/>
  <c r="AL86" i="34"/>
  <c r="AK88" i="34"/>
  <c r="AL88" i="34"/>
  <c r="AK89" i="34"/>
  <c r="AL89" i="34"/>
  <c r="AK91" i="34"/>
  <c r="AL91" i="34"/>
  <c r="AK92" i="34"/>
  <c r="AL92" i="34"/>
  <c r="AK95" i="34"/>
  <c r="AL95" i="34"/>
  <c r="AK96" i="34"/>
  <c r="AL96" i="34"/>
  <c r="AK97" i="34"/>
  <c r="AL97" i="34"/>
  <c r="AK98" i="34"/>
  <c r="AL98" i="34"/>
  <c r="AK100" i="34"/>
  <c r="AL100" i="34"/>
  <c r="AK101" i="34"/>
  <c r="AL101" i="34"/>
  <c r="AK103" i="34"/>
  <c r="AL103" i="34"/>
  <c r="AK104" i="34"/>
  <c r="AL104" i="34"/>
  <c r="AK107" i="34"/>
  <c r="AL107" i="34"/>
  <c r="AK108" i="34"/>
  <c r="AL108" i="34"/>
  <c r="AK109" i="34"/>
  <c r="AL109" i="34"/>
  <c r="AK110" i="34"/>
  <c r="AL110" i="34"/>
  <c r="AK112" i="34"/>
  <c r="AL112" i="34"/>
  <c r="AK113" i="34"/>
  <c r="AL113" i="34"/>
  <c r="AK115" i="34"/>
  <c r="AL115" i="34"/>
  <c r="AK116" i="34"/>
  <c r="AL116" i="34"/>
  <c r="AK119" i="34"/>
  <c r="AL119" i="34"/>
  <c r="AK120" i="34"/>
  <c r="AL120" i="34"/>
  <c r="AK121" i="34"/>
  <c r="AL121" i="34"/>
  <c r="AK122" i="34"/>
  <c r="AL122" i="34"/>
  <c r="AK124" i="34"/>
  <c r="AL124" i="34"/>
  <c r="AK125" i="34"/>
  <c r="AL125" i="34"/>
  <c r="AK127" i="34"/>
  <c r="AL127" i="34"/>
  <c r="AK128" i="34"/>
  <c r="AL128" i="34"/>
  <c r="AK131" i="34"/>
  <c r="AL131" i="34"/>
  <c r="AK132" i="34"/>
  <c r="AL132" i="34"/>
  <c r="AK133" i="34"/>
  <c r="AL133" i="34"/>
  <c r="AK134" i="34"/>
  <c r="AL134" i="34"/>
  <c r="AK136" i="34"/>
  <c r="AL136" i="34"/>
  <c r="AK137" i="34"/>
  <c r="AL137" i="34"/>
  <c r="AK139" i="34"/>
  <c r="AL139" i="34"/>
  <c r="AK140" i="34"/>
  <c r="AL140" i="34"/>
  <c r="AK143" i="34"/>
  <c r="AL143" i="34"/>
  <c r="AK144" i="34"/>
  <c r="AL144" i="34"/>
  <c r="AK145" i="34"/>
  <c r="AL145" i="34"/>
  <c r="AK146" i="34"/>
  <c r="AL146" i="34"/>
  <c r="AK148" i="34"/>
  <c r="AL148" i="34"/>
  <c r="AK149" i="34"/>
  <c r="AL149" i="34"/>
  <c r="AK151" i="34"/>
  <c r="AL151" i="34"/>
  <c r="AK152" i="34"/>
  <c r="AL152" i="34"/>
  <c r="AK155" i="34"/>
  <c r="AL155" i="34"/>
  <c r="AK156" i="34"/>
  <c r="AL156" i="34"/>
  <c r="AK157" i="34"/>
  <c r="AL157" i="34"/>
  <c r="AK158" i="34"/>
  <c r="AL158" i="34"/>
  <c r="AK160" i="34"/>
  <c r="AL160" i="34"/>
  <c r="AK161" i="34"/>
  <c r="AL161" i="34"/>
  <c r="AK163" i="34"/>
  <c r="AL163" i="34"/>
  <c r="AK164" i="34"/>
  <c r="AL164" i="34"/>
  <c r="AK167" i="34"/>
  <c r="AL167" i="34"/>
  <c r="AK168" i="34"/>
  <c r="AL168" i="34"/>
  <c r="AK169" i="34"/>
  <c r="AL169" i="34"/>
  <c r="AK170" i="34"/>
  <c r="AL170" i="34"/>
  <c r="AK172" i="34"/>
  <c r="AL172" i="34"/>
  <c r="AK173" i="34"/>
  <c r="AL173" i="34"/>
  <c r="AK175" i="34"/>
  <c r="AL175" i="34"/>
  <c r="AK176" i="34"/>
  <c r="AL176" i="34"/>
  <c r="AK179" i="34"/>
  <c r="AL179" i="34"/>
  <c r="AK180" i="34"/>
  <c r="AL180" i="34"/>
  <c r="AK181" i="34"/>
  <c r="AL181" i="34"/>
  <c r="AK182" i="34"/>
  <c r="AL182" i="34"/>
  <c r="AK184" i="34"/>
  <c r="AL184" i="34"/>
  <c r="AK185" i="34"/>
  <c r="AL185" i="34"/>
  <c r="AK187" i="34"/>
  <c r="AL187" i="34"/>
  <c r="AK188" i="34"/>
  <c r="AL188" i="34"/>
  <c r="AK191" i="34"/>
  <c r="AL191" i="34"/>
  <c r="AK192" i="34"/>
  <c r="AL192" i="34"/>
  <c r="AK193" i="34"/>
  <c r="AL193" i="34"/>
  <c r="AK194" i="34"/>
  <c r="AL194" i="34"/>
  <c r="AK196" i="34"/>
  <c r="AL196" i="34"/>
  <c r="AK197" i="34"/>
  <c r="AL197" i="34"/>
  <c r="AK199" i="34"/>
  <c r="AL199" i="34"/>
  <c r="AK200" i="34"/>
  <c r="AL200" i="34"/>
  <c r="AK203" i="34"/>
  <c r="AL203" i="34"/>
  <c r="AK204" i="34"/>
  <c r="AL204" i="34"/>
  <c r="AK205" i="34"/>
  <c r="AL205" i="34"/>
  <c r="AK206" i="34"/>
  <c r="AL206" i="34"/>
  <c r="AK208" i="34"/>
  <c r="AL208" i="34"/>
  <c r="AK209" i="34"/>
  <c r="AL209" i="34"/>
  <c r="AK211" i="34"/>
  <c r="AL211" i="34"/>
  <c r="AK212" i="34"/>
  <c r="AL212" i="34"/>
  <c r="AK215" i="34"/>
  <c r="AL215" i="34"/>
  <c r="AK216" i="34"/>
  <c r="AL216" i="34"/>
  <c r="AK217" i="34"/>
  <c r="AL217" i="34"/>
  <c r="AK218" i="34"/>
  <c r="AL218" i="34"/>
  <c r="AK220" i="34"/>
  <c r="AL220" i="34"/>
  <c r="AK221" i="34"/>
  <c r="AL221" i="34"/>
  <c r="AK223" i="34"/>
  <c r="AL223" i="34"/>
  <c r="AK224" i="34"/>
  <c r="AL224" i="34"/>
  <c r="AK227" i="34"/>
  <c r="AL227" i="34"/>
  <c r="AK228" i="34"/>
  <c r="AL228" i="34"/>
  <c r="AK229" i="34"/>
  <c r="AL229" i="34"/>
  <c r="AK230" i="34"/>
  <c r="AL230" i="34"/>
  <c r="AK232" i="34"/>
  <c r="AL232" i="34"/>
  <c r="AK233" i="34"/>
  <c r="AL233" i="34"/>
  <c r="AK235" i="34"/>
  <c r="AL235" i="34"/>
  <c r="AK236" i="34"/>
  <c r="AL236" i="34"/>
  <c r="AK239" i="34"/>
  <c r="AL239" i="34"/>
  <c r="AK240" i="34"/>
  <c r="AL240" i="34"/>
  <c r="AK241" i="34"/>
  <c r="AL241" i="34"/>
  <c r="AK242" i="34"/>
  <c r="AL242" i="34"/>
  <c r="AK244" i="34"/>
  <c r="AL244" i="34"/>
  <c r="AK245" i="34"/>
  <c r="AL245" i="34"/>
  <c r="AK247" i="34"/>
  <c r="AL247" i="34"/>
  <c r="AK248" i="34"/>
  <c r="AL248" i="34"/>
  <c r="AK251" i="34"/>
  <c r="AL251" i="34"/>
  <c r="AK252" i="34"/>
  <c r="AL252" i="34"/>
  <c r="AK253" i="34"/>
  <c r="AL253" i="34"/>
  <c r="AK254" i="34"/>
  <c r="AL254" i="34"/>
  <c r="AK256" i="34"/>
  <c r="AL256" i="34"/>
  <c r="AL257" i="34"/>
  <c r="AK259" i="34"/>
  <c r="AL259" i="34"/>
  <c r="AK260" i="34"/>
  <c r="AL260" i="34"/>
  <c r="AK263" i="34"/>
  <c r="AL263" i="34"/>
  <c r="AK264" i="34"/>
  <c r="AL264" i="34"/>
  <c r="AK265" i="34"/>
  <c r="AL265" i="34"/>
  <c r="AK266" i="34"/>
  <c r="AL266" i="34"/>
  <c r="AK59" i="34"/>
  <c r="AL59" i="34"/>
  <c r="AK60" i="34"/>
  <c r="AL60" i="34"/>
  <c r="AK61" i="34"/>
  <c r="AL61" i="34"/>
  <c r="AK62" i="34"/>
  <c r="AL62" i="34"/>
  <c r="AK64" i="34"/>
  <c r="AL64" i="34"/>
  <c r="AK65" i="34"/>
  <c r="AL65" i="34"/>
  <c r="AK55" i="34"/>
  <c r="AL55" i="34"/>
  <c r="AK56" i="34"/>
  <c r="AL56" i="34"/>
  <c r="AK40" i="34"/>
  <c r="AK47" i="34"/>
  <c r="AL40" i="34"/>
  <c r="AL47" i="34"/>
  <c r="AK41" i="34"/>
  <c r="AK48" i="34"/>
  <c r="AL41" i="34"/>
  <c r="AL48" i="34"/>
  <c r="AK49" i="34"/>
  <c r="AL49" i="34"/>
  <c r="AK50" i="34"/>
  <c r="AL50" i="34"/>
  <c r="AK52" i="34"/>
  <c r="AL52" i="34"/>
  <c r="AK53" i="34"/>
  <c r="AL53" i="34"/>
  <c r="AK43" i="34"/>
  <c r="AL43" i="34"/>
  <c r="AK44" i="34"/>
  <c r="AL44" i="34"/>
  <c r="AK28" i="34"/>
  <c r="AK35" i="34"/>
  <c r="AL28" i="34"/>
  <c r="AL35" i="34"/>
  <c r="AK29" i="34"/>
  <c r="AK36" i="34"/>
  <c r="AL29" i="34"/>
  <c r="AL36" i="34"/>
  <c r="AK37" i="34"/>
  <c r="AL37" i="34"/>
  <c r="AK38" i="34"/>
  <c r="AL38" i="34"/>
  <c r="AK31" i="34"/>
  <c r="AL31" i="34"/>
  <c r="AK32" i="34"/>
  <c r="AL32" i="34"/>
  <c r="AK16" i="34"/>
  <c r="AK23" i="34"/>
  <c r="AL16" i="34"/>
  <c r="AL23" i="34"/>
  <c r="AK17" i="34"/>
  <c r="AK24" i="34"/>
  <c r="AL17" i="34"/>
  <c r="AL24" i="34"/>
  <c r="AK25" i="34"/>
  <c r="AL25" i="34"/>
  <c r="AK26" i="34"/>
  <c r="AL26" i="34"/>
  <c r="AK19" i="34"/>
  <c r="AL19" i="34"/>
  <c r="AK20" i="34"/>
  <c r="AL20" i="34"/>
  <c r="AK4" i="34"/>
  <c r="AK11" i="34"/>
  <c r="AL4" i="34"/>
  <c r="AL11" i="34"/>
  <c r="AK5" i="34"/>
  <c r="AK12" i="34"/>
  <c r="AL5" i="34"/>
  <c r="AL12" i="34"/>
  <c r="AK13" i="34"/>
  <c r="AL13" i="34"/>
  <c r="AK14" i="34"/>
  <c r="AL14" i="34"/>
  <c r="AK7" i="34"/>
  <c r="AL7" i="34"/>
  <c r="AK8" i="34"/>
  <c r="AL8" i="34"/>
  <c r="AK1" i="34"/>
  <c r="AL1" i="34"/>
  <c r="AK2" i="34"/>
  <c r="AL2" i="34"/>
  <c r="D139" i="34"/>
  <c r="E139" i="34"/>
  <c r="F139" i="34"/>
  <c r="G139" i="34"/>
  <c r="H139" i="34"/>
  <c r="D140" i="34"/>
  <c r="E140" i="34"/>
  <c r="F140" i="34"/>
  <c r="G140" i="34"/>
  <c r="H140" i="34"/>
  <c r="D136" i="34"/>
  <c r="D143" i="34"/>
  <c r="E136" i="34"/>
  <c r="E143" i="34"/>
  <c r="F136" i="34"/>
  <c r="F143" i="34"/>
  <c r="G136" i="34"/>
  <c r="G143" i="34"/>
  <c r="H143" i="34"/>
  <c r="D137" i="34"/>
  <c r="D144" i="34"/>
  <c r="E137" i="34"/>
  <c r="E144" i="34"/>
  <c r="F137" i="34"/>
  <c r="F144" i="34"/>
  <c r="G137" i="34"/>
  <c r="G144" i="34"/>
  <c r="H137" i="34"/>
  <c r="H144" i="34"/>
  <c r="D145" i="34"/>
  <c r="E145" i="34"/>
  <c r="F145" i="34"/>
  <c r="G145" i="34"/>
  <c r="H145" i="34"/>
  <c r="D146" i="34"/>
  <c r="E146" i="34"/>
  <c r="F146" i="34"/>
  <c r="G146" i="34"/>
  <c r="H146" i="34"/>
  <c r="D148" i="34"/>
  <c r="E148" i="34"/>
  <c r="F148" i="34"/>
  <c r="G148" i="34"/>
  <c r="D149" i="34"/>
  <c r="E149" i="34"/>
  <c r="F149" i="34"/>
  <c r="G149" i="34"/>
  <c r="D151" i="34"/>
  <c r="E151" i="34"/>
  <c r="F151" i="34"/>
  <c r="G151" i="34"/>
  <c r="H151" i="34"/>
  <c r="D152" i="34"/>
  <c r="E152" i="34"/>
  <c r="F152" i="34"/>
  <c r="G152" i="34"/>
  <c r="H152" i="34"/>
  <c r="D155" i="34"/>
  <c r="E155" i="34"/>
  <c r="F155" i="34"/>
  <c r="G155" i="34"/>
  <c r="H155" i="34"/>
  <c r="D156" i="34"/>
  <c r="E156" i="34"/>
  <c r="F156" i="34"/>
  <c r="G156" i="34"/>
  <c r="H156" i="34"/>
  <c r="D157" i="34"/>
  <c r="E157" i="34"/>
  <c r="F157" i="34"/>
  <c r="G157" i="34"/>
  <c r="H157" i="34"/>
  <c r="D158" i="34"/>
  <c r="E158" i="34"/>
  <c r="F158" i="34"/>
  <c r="G158" i="34"/>
  <c r="H158" i="34"/>
  <c r="D160" i="34"/>
  <c r="E160" i="34"/>
  <c r="F160" i="34"/>
  <c r="G160" i="34"/>
  <c r="H160" i="34"/>
  <c r="D161" i="34"/>
  <c r="E161" i="34"/>
  <c r="F161" i="34"/>
  <c r="G161" i="34"/>
  <c r="H161" i="34"/>
  <c r="D163" i="34"/>
  <c r="E163" i="34"/>
  <c r="F163" i="34"/>
  <c r="G163" i="34"/>
  <c r="H163" i="34"/>
  <c r="D164" i="34"/>
  <c r="E164" i="34"/>
  <c r="F164" i="34"/>
  <c r="G164" i="34"/>
  <c r="H164" i="34"/>
  <c r="D167" i="34"/>
  <c r="E167" i="34"/>
  <c r="F167" i="34"/>
  <c r="G167" i="34"/>
  <c r="H167" i="34"/>
  <c r="D168" i="34"/>
  <c r="E168" i="34"/>
  <c r="F168" i="34"/>
  <c r="G168" i="34"/>
  <c r="H168" i="34"/>
  <c r="D169" i="34"/>
  <c r="E169" i="34"/>
  <c r="F169" i="34"/>
  <c r="G169" i="34"/>
  <c r="H169" i="34"/>
  <c r="D170" i="34"/>
  <c r="E170" i="34"/>
  <c r="F170" i="34"/>
  <c r="G170" i="34"/>
  <c r="H170" i="34"/>
  <c r="D172" i="34"/>
  <c r="F172" i="34"/>
  <c r="G172" i="34"/>
  <c r="D173" i="34"/>
  <c r="F173" i="34"/>
  <c r="G173" i="34"/>
  <c r="D175" i="34"/>
  <c r="E175" i="34"/>
  <c r="F175" i="34"/>
  <c r="G175" i="34"/>
  <c r="H175" i="34"/>
  <c r="D176" i="34"/>
  <c r="E176" i="34"/>
  <c r="F176" i="34"/>
  <c r="G176" i="34"/>
  <c r="H176" i="34"/>
  <c r="D179" i="34"/>
  <c r="E179" i="34"/>
  <c r="F179" i="34"/>
  <c r="G179" i="34"/>
  <c r="H179" i="34"/>
  <c r="D180" i="34"/>
  <c r="E180" i="34"/>
  <c r="F180" i="34"/>
  <c r="G180" i="34"/>
  <c r="H180" i="34"/>
  <c r="D181" i="34"/>
  <c r="E181" i="34"/>
  <c r="F181" i="34"/>
  <c r="G181" i="34"/>
  <c r="H181" i="34"/>
  <c r="D182" i="34"/>
  <c r="E182" i="34"/>
  <c r="F182" i="34"/>
  <c r="G182" i="34"/>
  <c r="H182" i="34"/>
  <c r="D184" i="34"/>
  <c r="E184" i="34"/>
  <c r="F184" i="34"/>
  <c r="G184" i="34"/>
  <c r="D185" i="34"/>
  <c r="E185" i="34"/>
  <c r="F185" i="34"/>
  <c r="G185" i="34"/>
  <c r="D187" i="34"/>
  <c r="E187" i="34"/>
  <c r="F187" i="34"/>
  <c r="G187" i="34"/>
  <c r="H187" i="34"/>
  <c r="D188" i="34"/>
  <c r="E188" i="34"/>
  <c r="F188" i="34"/>
  <c r="G188" i="34"/>
  <c r="H188" i="34"/>
  <c r="D191" i="34"/>
  <c r="E191" i="34"/>
  <c r="F191" i="34"/>
  <c r="G191" i="34"/>
  <c r="H191" i="34"/>
  <c r="D192" i="34"/>
  <c r="E192" i="34"/>
  <c r="F192" i="34"/>
  <c r="G192" i="34"/>
  <c r="H192" i="34"/>
  <c r="D193" i="34"/>
  <c r="E193" i="34"/>
  <c r="F193" i="34"/>
  <c r="G193" i="34"/>
  <c r="H193" i="34"/>
  <c r="D194" i="34"/>
  <c r="E194" i="34"/>
  <c r="F194" i="34"/>
  <c r="G194" i="34"/>
  <c r="H194" i="34"/>
  <c r="D196" i="34"/>
  <c r="F196" i="34"/>
  <c r="G196" i="34"/>
  <c r="D197" i="34"/>
  <c r="F197" i="34"/>
  <c r="G197" i="34"/>
  <c r="D199" i="34"/>
  <c r="E199" i="34"/>
  <c r="F199" i="34"/>
  <c r="G199" i="34"/>
  <c r="H199" i="34"/>
  <c r="D200" i="34"/>
  <c r="E200" i="34"/>
  <c r="F200" i="34"/>
  <c r="G200" i="34"/>
  <c r="H200" i="34"/>
  <c r="D203" i="34"/>
  <c r="E203" i="34"/>
  <c r="F203" i="34"/>
  <c r="G203" i="34"/>
  <c r="H203" i="34"/>
  <c r="D204" i="34"/>
  <c r="E204" i="34"/>
  <c r="F204" i="34"/>
  <c r="G204" i="34"/>
  <c r="H204" i="34"/>
  <c r="D205" i="34"/>
  <c r="E205" i="34"/>
  <c r="F205" i="34"/>
  <c r="G205" i="34"/>
  <c r="H205" i="34"/>
  <c r="D206" i="34"/>
  <c r="E206" i="34"/>
  <c r="F206" i="34"/>
  <c r="G206" i="34"/>
  <c r="H206" i="34"/>
  <c r="D208" i="34"/>
  <c r="F208" i="34"/>
  <c r="G208" i="34"/>
  <c r="D209" i="34"/>
  <c r="E209" i="34"/>
  <c r="F209" i="34"/>
  <c r="G209" i="34"/>
  <c r="D211" i="34"/>
  <c r="E211" i="34"/>
  <c r="F211" i="34"/>
  <c r="G211" i="34"/>
  <c r="H211" i="34"/>
  <c r="D212" i="34"/>
  <c r="E212" i="34"/>
  <c r="F212" i="34"/>
  <c r="G212" i="34"/>
  <c r="H212" i="34"/>
  <c r="D215" i="34"/>
  <c r="E215" i="34"/>
  <c r="F215" i="34"/>
  <c r="G215" i="34"/>
  <c r="H215" i="34"/>
  <c r="D216" i="34"/>
  <c r="E216" i="34"/>
  <c r="F216" i="34"/>
  <c r="G216" i="34"/>
  <c r="H216" i="34"/>
  <c r="D217" i="34"/>
  <c r="E217" i="34"/>
  <c r="F217" i="34"/>
  <c r="G217" i="34"/>
  <c r="H217" i="34"/>
  <c r="D218" i="34"/>
  <c r="E218" i="34"/>
  <c r="F218" i="34"/>
  <c r="G218" i="34"/>
  <c r="H218" i="34"/>
  <c r="D220" i="34"/>
  <c r="E220" i="34"/>
  <c r="F220" i="34"/>
  <c r="G220" i="34"/>
  <c r="H220" i="34"/>
  <c r="D221" i="34"/>
  <c r="E221" i="34"/>
  <c r="F221" i="34"/>
  <c r="G221" i="34"/>
  <c r="H221" i="34"/>
  <c r="D223" i="34"/>
  <c r="E223" i="34"/>
  <c r="F223" i="34"/>
  <c r="G223" i="34"/>
  <c r="H223" i="34"/>
  <c r="D224" i="34"/>
  <c r="E224" i="34"/>
  <c r="F224" i="34"/>
  <c r="G224" i="34"/>
  <c r="H224" i="34"/>
  <c r="D227" i="34"/>
  <c r="E227" i="34"/>
  <c r="F227" i="34"/>
  <c r="G227" i="34"/>
  <c r="H227" i="34"/>
  <c r="D228" i="34"/>
  <c r="E228" i="34"/>
  <c r="F228" i="34"/>
  <c r="G228" i="34"/>
  <c r="H228" i="34"/>
  <c r="D229" i="34"/>
  <c r="E229" i="34"/>
  <c r="F229" i="34"/>
  <c r="G229" i="34"/>
  <c r="H229" i="34"/>
  <c r="D230" i="34"/>
  <c r="E230" i="34"/>
  <c r="F230" i="34"/>
  <c r="G230" i="34"/>
  <c r="H230" i="34"/>
  <c r="D232" i="34"/>
  <c r="E232" i="34"/>
  <c r="F232" i="34"/>
  <c r="G232" i="34"/>
  <c r="D233" i="34"/>
  <c r="E233" i="34"/>
  <c r="F233" i="34"/>
  <c r="G233" i="34"/>
  <c r="D235" i="34"/>
  <c r="E235" i="34"/>
  <c r="F235" i="34"/>
  <c r="G235" i="34"/>
  <c r="H235" i="34"/>
  <c r="D236" i="34"/>
  <c r="E236" i="34"/>
  <c r="F236" i="34"/>
  <c r="G236" i="34"/>
  <c r="H236" i="34"/>
  <c r="D239" i="34"/>
  <c r="E239" i="34"/>
  <c r="F239" i="34"/>
  <c r="G239" i="34"/>
  <c r="H239" i="34"/>
  <c r="D240" i="34"/>
  <c r="E240" i="34"/>
  <c r="F240" i="34"/>
  <c r="G240" i="34"/>
  <c r="H240" i="34"/>
  <c r="D241" i="34"/>
  <c r="E241" i="34"/>
  <c r="F241" i="34"/>
  <c r="G241" i="34"/>
  <c r="H241" i="34"/>
  <c r="D242" i="34"/>
  <c r="E242" i="34"/>
  <c r="F242" i="34"/>
  <c r="G242" i="34"/>
  <c r="H242" i="34"/>
  <c r="D244" i="34"/>
  <c r="F244" i="34"/>
  <c r="G244" i="34"/>
  <c r="D245" i="34"/>
  <c r="F245" i="34"/>
  <c r="G245" i="34"/>
  <c r="D247" i="34"/>
  <c r="E247" i="34"/>
  <c r="F247" i="34"/>
  <c r="G247" i="34"/>
  <c r="H247" i="34"/>
  <c r="D248" i="34"/>
  <c r="E248" i="34"/>
  <c r="F248" i="34"/>
  <c r="G248" i="34"/>
  <c r="H248" i="34"/>
  <c r="D251" i="34"/>
  <c r="E251" i="34"/>
  <c r="F251" i="34"/>
  <c r="G251" i="34"/>
  <c r="H251" i="34"/>
  <c r="D252" i="34"/>
  <c r="E252" i="34"/>
  <c r="F252" i="34"/>
  <c r="G252" i="34"/>
  <c r="H252" i="34"/>
  <c r="D253" i="34"/>
  <c r="E253" i="34"/>
  <c r="F253" i="34"/>
  <c r="G253" i="34"/>
  <c r="H253" i="34"/>
  <c r="D254" i="34"/>
  <c r="E254" i="34"/>
  <c r="F254" i="34"/>
  <c r="G254" i="34"/>
  <c r="H254" i="34"/>
  <c r="D256" i="34"/>
  <c r="F256" i="34"/>
  <c r="G256" i="34"/>
  <c r="D257" i="34"/>
  <c r="F257" i="34"/>
  <c r="G257" i="34"/>
  <c r="D259" i="34"/>
  <c r="E259" i="34"/>
  <c r="F259" i="34"/>
  <c r="G259" i="34"/>
  <c r="H259" i="34"/>
  <c r="D260" i="34"/>
  <c r="E260" i="34"/>
  <c r="F260" i="34"/>
  <c r="G260" i="34"/>
  <c r="H260" i="34"/>
  <c r="D263" i="34"/>
  <c r="E263" i="34"/>
  <c r="F263" i="34"/>
  <c r="G263" i="34"/>
  <c r="H263" i="34"/>
  <c r="D264" i="34"/>
  <c r="E264" i="34"/>
  <c r="F264" i="34"/>
  <c r="G264" i="34"/>
  <c r="H264" i="34"/>
  <c r="D265" i="34"/>
  <c r="E265" i="34"/>
  <c r="F265" i="34"/>
  <c r="G265" i="34"/>
  <c r="H265" i="34"/>
  <c r="D266" i="34"/>
  <c r="E266" i="34"/>
  <c r="F266" i="34"/>
  <c r="G266" i="34"/>
  <c r="H266" i="34"/>
  <c r="D124" i="34"/>
  <c r="D131" i="34"/>
  <c r="E131" i="34"/>
  <c r="F124" i="34"/>
  <c r="F131" i="34"/>
  <c r="G124" i="34"/>
  <c r="G131" i="34"/>
  <c r="H124" i="34"/>
  <c r="H131" i="34"/>
  <c r="D125" i="34"/>
  <c r="D132" i="34"/>
  <c r="E132" i="34"/>
  <c r="F125" i="34"/>
  <c r="F132" i="34"/>
  <c r="G125" i="34"/>
  <c r="G132" i="34"/>
  <c r="H132" i="34"/>
  <c r="D127" i="34"/>
  <c r="D133" i="34"/>
  <c r="E127" i="34"/>
  <c r="E133" i="34"/>
  <c r="F127" i="34"/>
  <c r="F133" i="34"/>
  <c r="G127" i="34"/>
  <c r="G133" i="34"/>
  <c r="H127" i="34"/>
  <c r="H133" i="34"/>
  <c r="D134" i="34"/>
  <c r="E134" i="34"/>
  <c r="F134" i="34"/>
  <c r="G134" i="34"/>
  <c r="H134" i="34"/>
  <c r="D112" i="34"/>
  <c r="D119" i="34"/>
  <c r="E119" i="34"/>
  <c r="F112" i="34"/>
  <c r="F119" i="34"/>
  <c r="G112" i="34"/>
  <c r="G119" i="34"/>
  <c r="H119" i="34"/>
  <c r="D113" i="34"/>
  <c r="D120" i="34"/>
  <c r="E120" i="34"/>
  <c r="F113" i="34"/>
  <c r="F120" i="34"/>
  <c r="G113" i="34"/>
  <c r="G120" i="34"/>
  <c r="H120" i="34"/>
  <c r="D115" i="34"/>
  <c r="D121" i="34"/>
  <c r="E115" i="34"/>
  <c r="E121" i="34"/>
  <c r="F115" i="34"/>
  <c r="F121" i="34"/>
  <c r="G115" i="34"/>
  <c r="G121" i="34"/>
  <c r="H115" i="34"/>
  <c r="H121" i="34"/>
  <c r="D122" i="34"/>
  <c r="E122" i="34"/>
  <c r="F122" i="34"/>
  <c r="G122" i="34"/>
  <c r="H122" i="34"/>
  <c r="D128" i="34"/>
  <c r="E128" i="34"/>
  <c r="F128" i="34"/>
  <c r="G128" i="34"/>
  <c r="H128" i="34"/>
  <c r="D100" i="34"/>
  <c r="D107" i="34"/>
  <c r="E100" i="34"/>
  <c r="E107" i="34"/>
  <c r="F100" i="34"/>
  <c r="F107" i="34"/>
  <c r="G100" i="34"/>
  <c r="G107" i="34"/>
  <c r="H107" i="34"/>
  <c r="D101" i="34"/>
  <c r="D108" i="34"/>
  <c r="E101" i="34"/>
  <c r="E108" i="34"/>
  <c r="F101" i="34"/>
  <c r="F108" i="34"/>
  <c r="G101" i="34"/>
  <c r="G108" i="34"/>
  <c r="H108" i="34"/>
  <c r="D103" i="34"/>
  <c r="D109" i="34"/>
  <c r="E103" i="34"/>
  <c r="E109" i="34"/>
  <c r="F103" i="34"/>
  <c r="F109" i="34"/>
  <c r="G103" i="34"/>
  <c r="G109" i="34"/>
  <c r="H103" i="34"/>
  <c r="H109" i="34"/>
  <c r="D110" i="34"/>
  <c r="E110" i="34"/>
  <c r="F110" i="34"/>
  <c r="G110" i="34"/>
  <c r="H110" i="34"/>
  <c r="D116" i="34"/>
  <c r="F116" i="34"/>
  <c r="G116" i="34"/>
  <c r="H116" i="34"/>
  <c r="D88" i="34"/>
  <c r="D95" i="34"/>
  <c r="E88" i="34"/>
  <c r="E95" i="34"/>
  <c r="F88" i="34"/>
  <c r="F95" i="34"/>
  <c r="G88" i="34"/>
  <c r="G95" i="34"/>
  <c r="H95" i="34"/>
  <c r="D89" i="34"/>
  <c r="D96" i="34"/>
  <c r="E89" i="34"/>
  <c r="E96" i="34"/>
  <c r="F89" i="34"/>
  <c r="F96" i="34"/>
  <c r="G89" i="34"/>
  <c r="G96" i="34"/>
  <c r="H96" i="34"/>
  <c r="D91" i="34"/>
  <c r="D97" i="34"/>
  <c r="E91" i="34"/>
  <c r="E97" i="34"/>
  <c r="F91" i="34"/>
  <c r="F97" i="34"/>
  <c r="G91" i="34"/>
  <c r="G97" i="34"/>
  <c r="H91" i="34"/>
  <c r="H97" i="34"/>
  <c r="D98" i="34"/>
  <c r="E98" i="34"/>
  <c r="F98" i="34"/>
  <c r="G98" i="34"/>
  <c r="H98" i="34"/>
  <c r="D104" i="34"/>
  <c r="E104" i="34"/>
  <c r="F104" i="34"/>
  <c r="G104" i="34"/>
  <c r="H104" i="34"/>
  <c r="D76" i="34"/>
  <c r="D83" i="34"/>
  <c r="E83" i="34"/>
  <c r="F76" i="34"/>
  <c r="F83" i="34"/>
  <c r="G76" i="34"/>
  <c r="G83" i="34"/>
  <c r="H76" i="34"/>
  <c r="H83" i="34"/>
  <c r="D77" i="34"/>
  <c r="D84" i="34"/>
  <c r="E84" i="34"/>
  <c r="F77" i="34"/>
  <c r="F84" i="34"/>
  <c r="G77" i="34"/>
  <c r="G84" i="34"/>
  <c r="H77" i="34"/>
  <c r="H84" i="34"/>
  <c r="D79" i="34"/>
  <c r="D85" i="34"/>
  <c r="E79" i="34"/>
  <c r="E85" i="34"/>
  <c r="F79" i="34"/>
  <c r="F85" i="34"/>
  <c r="G79" i="34"/>
  <c r="G85" i="34"/>
  <c r="H79" i="34"/>
  <c r="H85" i="34"/>
  <c r="D86" i="34"/>
  <c r="E86" i="34"/>
  <c r="F86" i="34"/>
  <c r="G86" i="34"/>
  <c r="H86" i="34"/>
  <c r="D92" i="34"/>
  <c r="E92" i="34"/>
  <c r="F92" i="34"/>
  <c r="G92" i="34"/>
  <c r="H92" i="34"/>
  <c r="D64" i="34"/>
  <c r="D71" i="34"/>
  <c r="E71" i="34"/>
  <c r="F64" i="34"/>
  <c r="F71" i="34"/>
  <c r="G64" i="34"/>
  <c r="G71" i="34"/>
  <c r="H71" i="34"/>
  <c r="D65" i="34"/>
  <c r="D72" i="34"/>
  <c r="E72" i="34"/>
  <c r="F65" i="34"/>
  <c r="F72" i="34"/>
  <c r="G65" i="34"/>
  <c r="G72" i="34"/>
  <c r="H72" i="34"/>
  <c r="D67" i="34"/>
  <c r="D73" i="34"/>
  <c r="E67" i="34"/>
  <c r="E73" i="34"/>
  <c r="F67" i="34"/>
  <c r="F73" i="34"/>
  <c r="G67" i="34"/>
  <c r="G73" i="34"/>
  <c r="H67" i="34"/>
  <c r="H73" i="34"/>
  <c r="D74" i="34"/>
  <c r="E74" i="34"/>
  <c r="F74" i="34"/>
  <c r="G74" i="34"/>
  <c r="H74" i="34"/>
  <c r="D80" i="34"/>
  <c r="E80" i="34"/>
  <c r="F80" i="34"/>
  <c r="G80" i="34"/>
  <c r="D52" i="34"/>
  <c r="D59" i="34"/>
  <c r="E59" i="34"/>
  <c r="F52" i="34"/>
  <c r="F59" i="34"/>
  <c r="G52" i="34"/>
  <c r="G59" i="34"/>
  <c r="H52" i="34"/>
  <c r="H59" i="34"/>
  <c r="D53" i="34"/>
  <c r="D60" i="34"/>
  <c r="E60" i="34"/>
  <c r="F53" i="34"/>
  <c r="F60" i="34"/>
  <c r="G53" i="34"/>
  <c r="G60" i="34"/>
  <c r="H53" i="34"/>
  <c r="H60" i="34"/>
  <c r="D55" i="34"/>
  <c r="D61" i="34"/>
  <c r="E55" i="34"/>
  <c r="E61" i="34"/>
  <c r="F55" i="34"/>
  <c r="F61" i="34"/>
  <c r="G55" i="34"/>
  <c r="G61" i="34"/>
  <c r="H55" i="34"/>
  <c r="H61" i="34"/>
  <c r="D62" i="34"/>
  <c r="E62" i="34"/>
  <c r="F62" i="34"/>
  <c r="G62" i="34"/>
  <c r="H62" i="34"/>
  <c r="D68" i="34"/>
  <c r="E68" i="34"/>
  <c r="F68" i="34"/>
  <c r="G68" i="34"/>
  <c r="H68" i="34"/>
  <c r="D40" i="34"/>
  <c r="D47" i="34"/>
  <c r="E47" i="34"/>
  <c r="F40" i="34"/>
  <c r="F47" i="34"/>
  <c r="G40" i="34"/>
  <c r="G47" i="34"/>
  <c r="H47" i="34"/>
  <c r="D41" i="34"/>
  <c r="D48" i="34"/>
  <c r="E48" i="34"/>
  <c r="F41" i="34"/>
  <c r="F48" i="34"/>
  <c r="G41" i="34"/>
  <c r="G48" i="34"/>
  <c r="H48" i="34"/>
  <c r="D43" i="34"/>
  <c r="D49" i="34"/>
  <c r="E43" i="34"/>
  <c r="E49" i="34"/>
  <c r="F43" i="34"/>
  <c r="F49" i="34"/>
  <c r="G43" i="34"/>
  <c r="G49" i="34"/>
  <c r="H43" i="34"/>
  <c r="H49" i="34"/>
  <c r="D50" i="34"/>
  <c r="E50" i="34"/>
  <c r="F50" i="34"/>
  <c r="G50" i="34"/>
  <c r="H50" i="34"/>
  <c r="D56" i="34"/>
  <c r="E56" i="34"/>
  <c r="F56" i="34"/>
  <c r="G56" i="34"/>
  <c r="H56" i="34"/>
  <c r="D28" i="34"/>
  <c r="D35" i="34"/>
  <c r="E35" i="34"/>
  <c r="F28" i="34"/>
  <c r="F35" i="34"/>
  <c r="G28" i="34"/>
  <c r="G35" i="34"/>
  <c r="H35" i="34"/>
  <c r="D29" i="34"/>
  <c r="D36" i="34"/>
  <c r="E36" i="34"/>
  <c r="F29" i="34"/>
  <c r="F36" i="34"/>
  <c r="G29" i="34"/>
  <c r="G36" i="34"/>
  <c r="H36" i="34"/>
  <c r="D31" i="34"/>
  <c r="D37" i="34"/>
  <c r="E31" i="34"/>
  <c r="E37" i="34"/>
  <c r="F31" i="34"/>
  <c r="F37" i="34"/>
  <c r="G31" i="34"/>
  <c r="G37" i="34"/>
  <c r="H31" i="34"/>
  <c r="H37" i="34"/>
  <c r="D38" i="34"/>
  <c r="E38" i="34"/>
  <c r="F38" i="34"/>
  <c r="G38" i="34"/>
  <c r="H38" i="34"/>
  <c r="D44" i="34"/>
  <c r="E44" i="34"/>
  <c r="F44" i="34"/>
  <c r="G44" i="34"/>
  <c r="H44" i="34"/>
  <c r="D16" i="34"/>
  <c r="D23" i="34"/>
  <c r="E16" i="34"/>
  <c r="E23" i="34"/>
  <c r="F16" i="34"/>
  <c r="F23" i="34"/>
  <c r="G16" i="34"/>
  <c r="G23" i="34"/>
  <c r="H16" i="34"/>
  <c r="H23" i="34"/>
  <c r="D17" i="34"/>
  <c r="D24" i="34"/>
  <c r="E17" i="34"/>
  <c r="E24" i="34"/>
  <c r="F17" i="34"/>
  <c r="F24" i="34"/>
  <c r="G17" i="34"/>
  <c r="G24" i="34"/>
  <c r="H17" i="34"/>
  <c r="H24" i="34"/>
  <c r="D19" i="34"/>
  <c r="D25" i="34"/>
  <c r="E19" i="34"/>
  <c r="E25" i="34"/>
  <c r="F19" i="34"/>
  <c r="F25" i="34"/>
  <c r="G19" i="34"/>
  <c r="G25" i="34"/>
  <c r="H19" i="34"/>
  <c r="H25" i="34"/>
  <c r="D26" i="34"/>
  <c r="E26" i="34"/>
  <c r="F26" i="34"/>
  <c r="G26" i="34"/>
  <c r="H26" i="34"/>
  <c r="D32" i="34"/>
  <c r="F32" i="34"/>
  <c r="G32" i="34"/>
  <c r="H32" i="34"/>
  <c r="D4" i="34"/>
  <c r="D11" i="34"/>
  <c r="E11" i="34"/>
  <c r="F4" i="34"/>
  <c r="F11" i="34"/>
  <c r="G4" i="34"/>
  <c r="G11" i="34"/>
  <c r="H4" i="34"/>
  <c r="H11" i="34"/>
  <c r="D5" i="34"/>
  <c r="D12" i="34"/>
  <c r="E5" i="34"/>
  <c r="E12" i="34"/>
  <c r="F5" i="34"/>
  <c r="F12" i="34"/>
  <c r="G5" i="34"/>
  <c r="G12" i="34"/>
  <c r="H5" i="34"/>
  <c r="H12" i="34"/>
  <c r="D7" i="34"/>
  <c r="D13" i="34"/>
  <c r="E7" i="34"/>
  <c r="E13" i="34"/>
  <c r="F7" i="34"/>
  <c r="F13" i="34"/>
  <c r="G7" i="34"/>
  <c r="G13" i="34"/>
  <c r="H7" i="34"/>
  <c r="H13" i="34"/>
  <c r="D14" i="34"/>
  <c r="E14" i="34"/>
  <c r="F14" i="34"/>
  <c r="G14" i="34"/>
  <c r="H14" i="34"/>
  <c r="D20" i="34"/>
  <c r="F20" i="34"/>
  <c r="G20" i="34"/>
  <c r="H20" i="34"/>
  <c r="D2" i="34"/>
  <c r="E2" i="34"/>
  <c r="F2" i="34"/>
  <c r="G2" i="34"/>
  <c r="H2" i="34"/>
  <c r="D8" i="34"/>
  <c r="F8" i="34"/>
  <c r="G8" i="34"/>
  <c r="H8" i="34"/>
  <c r="L120" i="35"/>
  <c r="M120" i="35"/>
  <c r="O120" i="35"/>
  <c r="L121" i="35"/>
  <c r="M121" i="35"/>
  <c r="O121" i="35"/>
  <c r="L122" i="35"/>
  <c r="M122" i="35"/>
  <c r="O122" i="35"/>
  <c r="L123" i="35"/>
  <c r="M123" i="35"/>
  <c r="O123" i="35"/>
  <c r="M130" i="35"/>
  <c r="M131" i="35"/>
  <c r="M132" i="35"/>
  <c r="M133" i="35"/>
  <c r="L140" i="35"/>
  <c r="M140" i="35"/>
  <c r="N140" i="35"/>
  <c r="O140" i="35"/>
  <c r="L141" i="35"/>
  <c r="M141" i="35"/>
  <c r="N141" i="35"/>
  <c r="O141" i="35"/>
  <c r="L142" i="35"/>
  <c r="M142" i="35"/>
  <c r="N142" i="35"/>
  <c r="O142" i="35"/>
  <c r="L143" i="35"/>
  <c r="M143" i="35"/>
  <c r="N143" i="35"/>
  <c r="O143" i="35"/>
  <c r="L150" i="35"/>
  <c r="M150" i="35"/>
  <c r="N150" i="35"/>
  <c r="O150" i="35"/>
  <c r="L151" i="35"/>
  <c r="M151" i="35"/>
  <c r="N151" i="35"/>
  <c r="O151" i="35"/>
  <c r="L152" i="35"/>
  <c r="M152" i="35"/>
  <c r="N152" i="35"/>
  <c r="O152" i="35"/>
  <c r="L153" i="35"/>
  <c r="M153" i="35"/>
  <c r="N153" i="35"/>
  <c r="O153" i="35"/>
  <c r="L161" i="35"/>
  <c r="M161" i="35"/>
  <c r="N161" i="35"/>
  <c r="O161" i="35"/>
  <c r="L162" i="35"/>
  <c r="M162" i="35"/>
  <c r="N162" i="35"/>
  <c r="O162" i="35"/>
  <c r="L163" i="35"/>
  <c r="M163" i="35"/>
  <c r="N163" i="35"/>
  <c r="O163" i="35"/>
  <c r="L164" i="35"/>
  <c r="M164" i="35"/>
  <c r="N164" i="35"/>
  <c r="O164" i="35"/>
  <c r="L165" i="35"/>
  <c r="M165" i="35"/>
  <c r="N165" i="35"/>
  <c r="O165" i="35"/>
  <c r="L173" i="35"/>
  <c r="M173" i="35"/>
  <c r="N173" i="35"/>
  <c r="O173" i="35"/>
  <c r="L174" i="35"/>
  <c r="M174" i="35"/>
  <c r="N174" i="35"/>
  <c r="O174" i="35"/>
  <c r="L175" i="35"/>
  <c r="M175" i="35"/>
  <c r="N175" i="35"/>
  <c r="O175" i="35"/>
  <c r="L176" i="35"/>
  <c r="M176" i="35"/>
  <c r="N176" i="35"/>
  <c r="O176" i="35"/>
  <c r="L177" i="35"/>
  <c r="M177" i="35"/>
  <c r="N177" i="35"/>
  <c r="O177" i="35"/>
  <c r="L194" i="35"/>
  <c r="M194" i="35"/>
  <c r="N194" i="35"/>
  <c r="O194" i="35"/>
  <c r="L195" i="35"/>
  <c r="M195" i="35"/>
  <c r="N195" i="35"/>
  <c r="O195" i="35"/>
  <c r="L196" i="35"/>
  <c r="M196" i="35"/>
  <c r="N196" i="35"/>
  <c r="O196" i="35"/>
  <c r="L197" i="35"/>
  <c r="M197" i="35"/>
  <c r="N197" i="35"/>
  <c r="O197" i="35"/>
  <c r="L205" i="35"/>
  <c r="M205" i="35"/>
  <c r="N205" i="35"/>
  <c r="O205" i="35"/>
  <c r="L206" i="35"/>
  <c r="M206" i="35"/>
  <c r="N206" i="35"/>
  <c r="O206" i="35"/>
  <c r="L207" i="35"/>
  <c r="M207" i="35"/>
  <c r="N207" i="35"/>
  <c r="O207" i="35"/>
  <c r="L208" i="35"/>
  <c r="M208" i="35"/>
  <c r="N208" i="35"/>
  <c r="O208" i="35"/>
  <c r="L209" i="35"/>
  <c r="M209" i="35"/>
  <c r="N209" i="35"/>
  <c r="O209" i="35"/>
  <c r="L217" i="35"/>
  <c r="M217" i="35"/>
  <c r="N217" i="35"/>
  <c r="O217" i="35"/>
  <c r="L218" i="35"/>
  <c r="M218" i="35"/>
  <c r="N218" i="35"/>
  <c r="O218" i="35"/>
  <c r="L219" i="35"/>
  <c r="M219" i="35"/>
  <c r="N219" i="35"/>
  <c r="O219" i="35"/>
  <c r="L220" i="35"/>
  <c r="M220" i="35"/>
  <c r="N220" i="35"/>
  <c r="O220" i="35"/>
  <c r="L221" i="35"/>
  <c r="M221" i="35"/>
  <c r="N221" i="35"/>
  <c r="O221" i="35"/>
  <c r="L110" i="35"/>
  <c r="M110" i="35"/>
  <c r="N110" i="35"/>
  <c r="O110" i="35"/>
  <c r="L111" i="35"/>
  <c r="M111" i="35"/>
  <c r="N111" i="35"/>
  <c r="O111" i="35"/>
  <c r="L112" i="35"/>
  <c r="M112" i="35"/>
  <c r="N112" i="35"/>
  <c r="O112" i="35"/>
  <c r="L113" i="35"/>
  <c r="M113" i="35"/>
  <c r="N113" i="35"/>
  <c r="O113" i="35"/>
  <c r="L100" i="35"/>
  <c r="M100" i="35"/>
  <c r="N100" i="35"/>
  <c r="O100" i="35"/>
  <c r="L101" i="35"/>
  <c r="M101" i="35"/>
  <c r="N101" i="35"/>
  <c r="O101" i="35"/>
  <c r="L102" i="35"/>
  <c r="M102" i="35"/>
  <c r="N102" i="35"/>
  <c r="O102" i="35"/>
  <c r="L103" i="35"/>
  <c r="M103" i="35"/>
  <c r="N103" i="35"/>
  <c r="O103" i="35"/>
  <c r="L90" i="35"/>
  <c r="L91" i="35"/>
  <c r="L92" i="35"/>
  <c r="L93" i="35"/>
  <c r="L80" i="35"/>
  <c r="O80" i="35"/>
  <c r="L81" i="35"/>
  <c r="O81" i="35"/>
  <c r="L82" i="35"/>
  <c r="O82" i="35"/>
  <c r="L83" i="35"/>
  <c r="O83" i="35"/>
  <c r="L70" i="35"/>
  <c r="O70" i="35"/>
  <c r="L71" i="35"/>
  <c r="O71" i="35"/>
  <c r="L72" i="35"/>
  <c r="O72" i="35"/>
  <c r="L73" i="35"/>
  <c r="O73" i="35"/>
  <c r="L60" i="35"/>
  <c r="M60" i="35"/>
  <c r="N60" i="35"/>
  <c r="O60" i="35"/>
  <c r="L61" i="35"/>
  <c r="M61" i="35"/>
  <c r="N61" i="35"/>
  <c r="O61" i="35"/>
  <c r="L62" i="35"/>
  <c r="M62" i="35"/>
  <c r="N62" i="35"/>
  <c r="O62" i="35"/>
  <c r="L63" i="35"/>
  <c r="M63" i="35"/>
  <c r="N63" i="35"/>
  <c r="O63" i="35"/>
  <c r="L50" i="35"/>
  <c r="L51" i="35"/>
  <c r="L52" i="35"/>
  <c r="L53" i="35"/>
  <c r="L40" i="35"/>
  <c r="O40" i="35"/>
  <c r="L41" i="35"/>
  <c r="O41" i="35"/>
  <c r="L42" i="35"/>
  <c r="O42" i="35"/>
  <c r="L43" i="35"/>
  <c r="O43" i="35"/>
  <c r="L30" i="35"/>
  <c r="O30" i="35"/>
  <c r="L31" i="35"/>
  <c r="O31" i="35"/>
  <c r="L32" i="35"/>
  <c r="O32" i="35"/>
  <c r="L33" i="35"/>
  <c r="O33" i="35"/>
  <c r="L20" i="35"/>
  <c r="O20" i="35"/>
  <c r="L21" i="35"/>
  <c r="O21" i="35"/>
  <c r="L22" i="35"/>
  <c r="O22" i="35"/>
  <c r="L23" i="35"/>
  <c r="O23" i="35"/>
  <c r="L10" i="35"/>
  <c r="O10" i="35"/>
  <c r="L11" i="35"/>
  <c r="O11" i="35"/>
  <c r="L12" i="35"/>
  <c r="O12" i="35"/>
  <c r="L13" i="35"/>
  <c r="O13" i="35"/>
  <c r="D3" i="35"/>
  <c r="E3" i="35"/>
  <c r="F3" i="35"/>
  <c r="G3" i="35"/>
  <c r="H3" i="35"/>
  <c r="I3" i="35"/>
  <c r="J3" i="35"/>
  <c r="K3" i="35"/>
  <c r="L3" i="35"/>
  <c r="M3" i="35"/>
  <c r="N3" i="35"/>
  <c r="O3" i="35"/>
  <c r="P120" i="35"/>
  <c r="Q120" i="35"/>
  <c r="R120" i="35"/>
  <c r="S120" i="35"/>
  <c r="T120" i="35"/>
  <c r="U120" i="35"/>
  <c r="H120" i="35"/>
  <c r="I120" i="35"/>
  <c r="J120" i="35"/>
  <c r="K120" i="35"/>
  <c r="V120" i="35"/>
  <c r="W120" i="35"/>
  <c r="Y120" i="35"/>
  <c r="Z120" i="35"/>
  <c r="AA120" i="35"/>
  <c r="AB120" i="35"/>
  <c r="AC120" i="35"/>
  <c r="AD120" i="35"/>
  <c r="AE120" i="35"/>
  <c r="AF120" i="35"/>
  <c r="AG120" i="35"/>
  <c r="AH120" i="35"/>
  <c r="AI120" i="35"/>
  <c r="AJ120" i="35"/>
  <c r="A120" i="35"/>
  <c r="AK120" i="35"/>
  <c r="AL120" i="35"/>
  <c r="AM120" i="35"/>
  <c r="AN120" i="35"/>
  <c r="AO120" i="35"/>
  <c r="AP120" i="35"/>
  <c r="AQ120" i="35"/>
  <c r="AR120" i="35"/>
  <c r="AS120" i="35"/>
  <c r="AT120" i="35"/>
  <c r="AU120" i="35"/>
  <c r="AV120" i="35"/>
  <c r="AW120" i="35"/>
  <c r="AX120" i="35"/>
  <c r="P121" i="35"/>
  <c r="Q121" i="35"/>
  <c r="R121" i="35"/>
  <c r="S121" i="35"/>
  <c r="T121" i="35"/>
  <c r="U121" i="35"/>
  <c r="H121" i="35"/>
  <c r="I121" i="35"/>
  <c r="J121" i="35"/>
  <c r="K121" i="35"/>
  <c r="V121" i="35"/>
  <c r="W121" i="35"/>
  <c r="Y121" i="35"/>
  <c r="Z121" i="35"/>
  <c r="AA121" i="35"/>
  <c r="AB121" i="35"/>
  <c r="AC121" i="35"/>
  <c r="AD121" i="35"/>
  <c r="AE121" i="35"/>
  <c r="AF121" i="35"/>
  <c r="AG121" i="35"/>
  <c r="AH121" i="35"/>
  <c r="AI121" i="35"/>
  <c r="AJ121" i="35"/>
  <c r="A121" i="35"/>
  <c r="AK121" i="35"/>
  <c r="AL121" i="35"/>
  <c r="AM121" i="35"/>
  <c r="AN121" i="35"/>
  <c r="AO121" i="35"/>
  <c r="P122" i="35"/>
  <c r="Q122" i="35"/>
  <c r="R122" i="35"/>
  <c r="S122" i="35"/>
  <c r="T122" i="35"/>
  <c r="U122" i="35"/>
  <c r="V122" i="35"/>
  <c r="W122" i="35"/>
  <c r="Y122" i="35"/>
  <c r="Z122" i="35"/>
  <c r="AA122" i="35"/>
  <c r="AB122" i="35"/>
  <c r="AC122" i="35"/>
  <c r="AD122" i="35"/>
  <c r="AE122" i="35"/>
  <c r="AF122" i="35"/>
  <c r="AG122" i="35"/>
  <c r="AH122" i="35"/>
  <c r="AI122" i="35"/>
  <c r="AJ122" i="35"/>
  <c r="AK122" i="35"/>
  <c r="AL122" i="35"/>
  <c r="AM122" i="35"/>
  <c r="AN122" i="35"/>
  <c r="AO122" i="35"/>
  <c r="P123" i="35"/>
  <c r="Q123" i="35"/>
  <c r="R123" i="35"/>
  <c r="S123" i="35"/>
  <c r="T123" i="35"/>
  <c r="U123" i="35"/>
  <c r="V123" i="35"/>
  <c r="W123" i="35"/>
  <c r="Y123" i="35"/>
  <c r="Z123" i="35"/>
  <c r="AA123" i="35"/>
  <c r="AB123" i="35"/>
  <c r="AC123" i="35"/>
  <c r="AD123" i="35"/>
  <c r="AE123" i="35"/>
  <c r="AF123" i="35"/>
  <c r="AG123" i="35"/>
  <c r="AH123" i="35"/>
  <c r="AI123" i="35"/>
  <c r="AJ123" i="35"/>
  <c r="AK123" i="35"/>
  <c r="AL123" i="35"/>
  <c r="AM123" i="35"/>
  <c r="AN123" i="35"/>
  <c r="AO123" i="35"/>
  <c r="Q130" i="35"/>
  <c r="T130" i="35"/>
  <c r="X130" i="35"/>
  <c r="AA130" i="35"/>
  <c r="AB130" i="35"/>
  <c r="AC130" i="35"/>
  <c r="AD130" i="35"/>
  <c r="AE130" i="35"/>
  <c r="AF130" i="35"/>
  <c r="AG130" i="35"/>
  <c r="AH130" i="35"/>
  <c r="AI130" i="35"/>
  <c r="AJ130" i="35"/>
  <c r="AK130" i="35"/>
  <c r="AL130" i="35"/>
  <c r="AM130" i="35"/>
  <c r="AN130" i="35"/>
  <c r="AO130" i="35"/>
  <c r="Q131" i="35"/>
  <c r="T131" i="35"/>
  <c r="X131" i="35"/>
  <c r="AA131" i="35"/>
  <c r="AB131" i="35"/>
  <c r="AC131" i="35"/>
  <c r="AE131" i="35"/>
  <c r="AF131" i="35"/>
  <c r="AG131" i="35"/>
  <c r="AH131" i="35"/>
  <c r="AI131" i="35"/>
  <c r="AJ131" i="35"/>
  <c r="AK131" i="35"/>
  <c r="AL131" i="35"/>
  <c r="AM131" i="35"/>
  <c r="AN131" i="35"/>
  <c r="AO131" i="35"/>
  <c r="Q132" i="35"/>
  <c r="T132" i="35"/>
  <c r="X132" i="35"/>
  <c r="AA132" i="35"/>
  <c r="AB132" i="35"/>
  <c r="AC132" i="35"/>
  <c r="AD132" i="35"/>
  <c r="AE132" i="35"/>
  <c r="AF132" i="35"/>
  <c r="AG132" i="35"/>
  <c r="AH132" i="35"/>
  <c r="AI132" i="35"/>
  <c r="AJ132" i="35"/>
  <c r="AK132" i="35"/>
  <c r="AL132" i="35"/>
  <c r="AM132" i="35"/>
  <c r="AN132" i="35"/>
  <c r="AO132" i="35"/>
  <c r="Q133" i="35"/>
  <c r="T133" i="35"/>
  <c r="X133" i="35"/>
  <c r="AA133" i="35"/>
  <c r="AB133" i="35"/>
  <c r="AC133" i="35"/>
  <c r="AD133" i="35"/>
  <c r="AE133" i="35"/>
  <c r="AF133" i="35"/>
  <c r="AG133" i="35"/>
  <c r="AH133" i="35"/>
  <c r="AI133" i="35"/>
  <c r="AJ133" i="35"/>
  <c r="AK133" i="35"/>
  <c r="AL133" i="35"/>
  <c r="AM133" i="35"/>
  <c r="AN133" i="35"/>
  <c r="AO133" i="35"/>
  <c r="P140" i="35"/>
  <c r="Q140" i="35"/>
  <c r="S140" i="35"/>
  <c r="T140" i="35"/>
  <c r="U140" i="35"/>
  <c r="V140" i="35"/>
  <c r="W140" i="35"/>
  <c r="X140" i="35"/>
  <c r="Y140" i="35"/>
  <c r="AA140" i="35"/>
  <c r="AB140" i="35"/>
  <c r="AC140" i="35"/>
  <c r="AD140" i="35"/>
  <c r="AE140" i="35"/>
  <c r="AF140" i="35"/>
  <c r="AG140" i="35"/>
  <c r="AH140" i="35"/>
  <c r="AI140" i="35"/>
  <c r="AJ140" i="35"/>
  <c r="AK140" i="35"/>
  <c r="AL140" i="35"/>
  <c r="AM140" i="35"/>
  <c r="AN140" i="35"/>
  <c r="AO140" i="35"/>
  <c r="P141" i="35"/>
  <c r="Q141" i="35"/>
  <c r="S141" i="35"/>
  <c r="T141" i="35"/>
  <c r="U141" i="35"/>
  <c r="V141" i="35"/>
  <c r="W141" i="35"/>
  <c r="X141" i="35"/>
  <c r="Y141" i="35"/>
  <c r="Z141" i="35"/>
  <c r="AA141" i="35"/>
  <c r="AB141" i="35"/>
  <c r="AC141" i="35"/>
  <c r="AD141" i="35"/>
  <c r="AE141" i="35"/>
  <c r="AF141" i="35"/>
  <c r="AG141" i="35"/>
  <c r="AH141" i="35"/>
  <c r="AI141" i="35"/>
  <c r="AJ141" i="35"/>
  <c r="AK141" i="35"/>
  <c r="AL141" i="35"/>
  <c r="AM141" i="35"/>
  <c r="AN141" i="35"/>
  <c r="AO141" i="35"/>
  <c r="P142" i="35"/>
  <c r="Q142" i="35"/>
  <c r="S142" i="35"/>
  <c r="T142" i="35"/>
  <c r="U142" i="35"/>
  <c r="V142" i="35"/>
  <c r="W142" i="35"/>
  <c r="X142" i="35"/>
  <c r="Y142" i="35"/>
  <c r="Z142" i="35"/>
  <c r="AA142" i="35"/>
  <c r="AB142" i="35"/>
  <c r="AC142" i="35"/>
  <c r="AD142" i="35"/>
  <c r="AE142" i="35"/>
  <c r="AF142" i="35"/>
  <c r="AG142" i="35"/>
  <c r="AH142" i="35"/>
  <c r="AI142" i="35"/>
  <c r="AJ142" i="35"/>
  <c r="AK142" i="35"/>
  <c r="AL142" i="35"/>
  <c r="AM142" i="35"/>
  <c r="AN142" i="35"/>
  <c r="AO142" i="35"/>
  <c r="P143" i="35"/>
  <c r="Q143" i="35"/>
  <c r="S143" i="35"/>
  <c r="T143" i="35"/>
  <c r="U143" i="35"/>
  <c r="V143" i="35"/>
  <c r="W143" i="35"/>
  <c r="X143" i="35"/>
  <c r="Y143" i="35"/>
  <c r="Z143" i="35"/>
  <c r="AA143" i="35"/>
  <c r="AB143" i="35"/>
  <c r="AC143" i="35"/>
  <c r="AD143" i="35"/>
  <c r="AE143" i="35"/>
  <c r="AF143" i="35"/>
  <c r="AG143" i="35"/>
  <c r="AH143" i="35"/>
  <c r="AI143" i="35"/>
  <c r="AJ143" i="35"/>
  <c r="AK143" i="35"/>
  <c r="AL143" i="35"/>
  <c r="AM143" i="35"/>
  <c r="AN143" i="35"/>
  <c r="AO143" i="35"/>
  <c r="P150" i="35"/>
  <c r="R150" i="35"/>
  <c r="S150" i="35"/>
  <c r="T150" i="35"/>
  <c r="U150" i="35"/>
  <c r="V150" i="35"/>
  <c r="Y150" i="35"/>
  <c r="Z150" i="35"/>
  <c r="AA150" i="35"/>
  <c r="AB150" i="35"/>
  <c r="AC150" i="35"/>
  <c r="AD150" i="35"/>
  <c r="AE150" i="35"/>
  <c r="AF150" i="35"/>
  <c r="AG150" i="35"/>
  <c r="AH150" i="35"/>
  <c r="AI150" i="35"/>
  <c r="AJ150" i="35"/>
  <c r="AK150" i="35"/>
  <c r="AL150" i="35"/>
  <c r="AM150" i="35"/>
  <c r="AN150" i="35"/>
  <c r="AO150" i="35"/>
  <c r="P151" i="35"/>
  <c r="R151" i="35"/>
  <c r="S151" i="35"/>
  <c r="T151" i="35"/>
  <c r="U151" i="35"/>
  <c r="V151" i="35"/>
  <c r="Y151" i="35"/>
  <c r="Z151" i="35"/>
  <c r="AA151" i="35"/>
  <c r="AB151" i="35"/>
  <c r="AC151" i="35"/>
  <c r="AD151" i="35"/>
  <c r="AE151" i="35"/>
  <c r="AF151" i="35"/>
  <c r="AG151" i="35"/>
  <c r="AH151" i="35"/>
  <c r="AI151" i="35"/>
  <c r="AJ151" i="35"/>
  <c r="AK151" i="35"/>
  <c r="AL151" i="35"/>
  <c r="AM151" i="35"/>
  <c r="AN151" i="35"/>
  <c r="AO151" i="35"/>
  <c r="P152" i="35"/>
  <c r="Q152" i="35"/>
  <c r="R152" i="35"/>
  <c r="S152" i="35"/>
  <c r="T152" i="35"/>
  <c r="U152" i="35"/>
  <c r="V152" i="35"/>
  <c r="W152" i="35"/>
  <c r="Y152" i="35"/>
  <c r="Z152" i="35"/>
  <c r="AA152" i="35"/>
  <c r="AB152" i="35"/>
  <c r="AC152" i="35"/>
  <c r="AD152" i="35"/>
  <c r="AE152" i="35"/>
  <c r="AF152" i="35"/>
  <c r="AG152" i="35"/>
  <c r="AH152" i="35"/>
  <c r="AI152" i="35"/>
  <c r="AJ152" i="35"/>
  <c r="AK152" i="35"/>
  <c r="AL152" i="35"/>
  <c r="AM152" i="35"/>
  <c r="AN152" i="35"/>
  <c r="AO152" i="35"/>
  <c r="P153" i="35"/>
  <c r="Q153" i="35"/>
  <c r="R153" i="35"/>
  <c r="S153" i="35"/>
  <c r="T153" i="35"/>
  <c r="U153" i="35"/>
  <c r="V153" i="35"/>
  <c r="W153" i="35"/>
  <c r="X153" i="35"/>
  <c r="Y153" i="35"/>
  <c r="Z153" i="35"/>
  <c r="AA153" i="35"/>
  <c r="AB153" i="35"/>
  <c r="AC153" i="35"/>
  <c r="AD153" i="35"/>
  <c r="AE153" i="35"/>
  <c r="AF153" i="35"/>
  <c r="AG153" i="35"/>
  <c r="AH153" i="35"/>
  <c r="AI153" i="35"/>
  <c r="AJ153" i="35"/>
  <c r="AK153" i="35"/>
  <c r="AL153" i="35"/>
  <c r="AM153" i="35"/>
  <c r="AN153" i="35"/>
  <c r="AO153" i="35"/>
  <c r="P161" i="35"/>
  <c r="R161" i="35"/>
  <c r="S161" i="35"/>
  <c r="T161" i="35"/>
  <c r="U161" i="35"/>
  <c r="V161" i="35"/>
  <c r="W161" i="35"/>
  <c r="Y161" i="35"/>
  <c r="AC161" i="35"/>
  <c r="AD161" i="35"/>
  <c r="AE161" i="35"/>
  <c r="AF161" i="35"/>
  <c r="AG161" i="35"/>
  <c r="AH161" i="35"/>
  <c r="AI161" i="35"/>
  <c r="AJ161" i="35"/>
  <c r="AK161" i="35"/>
  <c r="AL161" i="35"/>
  <c r="AM161" i="35"/>
  <c r="AN161" i="35"/>
  <c r="AO161" i="35"/>
  <c r="P162" i="35"/>
  <c r="R162" i="35"/>
  <c r="S162" i="35"/>
  <c r="T162" i="35"/>
  <c r="U162" i="35"/>
  <c r="V162" i="35"/>
  <c r="W162" i="35"/>
  <c r="Y162" i="35"/>
  <c r="AC162" i="35"/>
  <c r="AD162" i="35"/>
  <c r="AE162" i="35"/>
  <c r="AF162" i="35"/>
  <c r="AG162" i="35"/>
  <c r="AH162" i="35"/>
  <c r="AI162" i="35"/>
  <c r="AJ162" i="35"/>
  <c r="AK162" i="35"/>
  <c r="AL162" i="35"/>
  <c r="AM162" i="35"/>
  <c r="AN162" i="35"/>
  <c r="AO162" i="35"/>
  <c r="P163" i="35"/>
  <c r="R163" i="35"/>
  <c r="S163" i="35"/>
  <c r="T163" i="35"/>
  <c r="U163" i="35"/>
  <c r="V163" i="35"/>
  <c r="W163" i="35"/>
  <c r="Y163" i="35"/>
  <c r="AC163" i="35"/>
  <c r="AD163" i="35"/>
  <c r="AE163" i="35"/>
  <c r="AF163" i="35"/>
  <c r="AG163" i="35"/>
  <c r="AH163" i="35"/>
  <c r="AI163" i="35"/>
  <c r="AJ163" i="35"/>
  <c r="AK163" i="35"/>
  <c r="AL163" i="35"/>
  <c r="AM163" i="35"/>
  <c r="AN163" i="35"/>
  <c r="AO163" i="35"/>
  <c r="P164" i="35"/>
  <c r="R164" i="35"/>
  <c r="S164" i="35"/>
  <c r="T164" i="35"/>
  <c r="U164" i="35"/>
  <c r="V164" i="35"/>
  <c r="W164" i="35"/>
  <c r="Y164" i="35"/>
  <c r="Y165" i="35"/>
  <c r="AC164" i="35"/>
  <c r="AD164" i="35"/>
  <c r="AE164" i="35"/>
  <c r="AF164" i="35"/>
  <c r="AG164" i="35"/>
  <c r="AH164" i="35"/>
  <c r="AI164" i="35"/>
  <c r="AJ164" i="35"/>
  <c r="AK164" i="35"/>
  <c r="AL164" i="35"/>
  <c r="AM164" i="35"/>
  <c r="AN164" i="35"/>
  <c r="AO164" i="35"/>
  <c r="P165" i="35"/>
  <c r="R165" i="35"/>
  <c r="S165" i="35"/>
  <c r="T165" i="35"/>
  <c r="U165" i="35"/>
  <c r="V165" i="35"/>
  <c r="W165" i="35"/>
  <c r="AC165" i="35"/>
  <c r="AD165" i="35"/>
  <c r="AE165" i="35"/>
  <c r="AF165" i="35"/>
  <c r="AG165" i="35"/>
  <c r="AH165" i="35"/>
  <c r="AI165" i="35"/>
  <c r="AJ165" i="35"/>
  <c r="AK165" i="35"/>
  <c r="AL165" i="35"/>
  <c r="AM165" i="35"/>
  <c r="AN165" i="35"/>
  <c r="AO165" i="35"/>
  <c r="P173" i="35"/>
  <c r="R173" i="35"/>
  <c r="S173" i="35"/>
  <c r="T173" i="35"/>
  <c r="U173" i="35"/>
  <c r="V173" i="35"/>
  <c r="W173" i="35"/>
  <c r="G173" i="35"/>
  <c r="H173" i="35"/>
  <c r="I173" i="35"/>
  <c r="J173" i="35"/>
  <c r="K173" i="35"/>
  <c r="Y173" i="35"/>
  <c r="AC173" i="35"/>
  <c r="AD173" i="35"/>
  <c r="AE173" i="35"/>
  <c r="AF173" i="35"/>
  <c r="AG173" i="35"/>
  <c r="AH173" i="35"/>
  <c r="AI173" i="35"/>
  <c r="AJ173" i="35"/>
  <c r="AK173" i="35"/>
  <c r="AL173" i="35"/>
  <c r="AM173" i="35"/>
  <c r="AN173" i="35"/>
  <c r="AO173" i="35"/>
  <c r="P174" i="35"/>
  <c r="R174" i="35"/>
  <c r="S174" i="35"/>
  <c r="T174" i="35"/>
  <c r="U174" i="35"/>
  <c r="V174" i="35"/>
  <c r="W174" i="35"/>
  <c r="G174" i="35"/>
  <c r="H174" i="35"/>
  <c r="I174" i="35"/>
  <c r="J174" i="35"/>
  <c r="K174" i="35"/>
  <c r="Y174" i="35"/>
  <c r="AC174" i="35"/>
  <c r="AD174" i="35"/>
  <c r="AE174" i="35"/>
  <c r="AF174" i="35"/>
  <c r="AG174" i="35"/>
  <c r="AH174" i="35"/>
  <c r="AI174" i="35"/>
  <c r="AJ174" i="35"/>
  <c r="AK174" i="35"/>
  <c r="AL174" i="35"/>
  <c r="AM174" i="35"/>
  <c r="AN174" i="35"/>
  <c r="AO174" i="35"/>
  <c r="A174" i="35"/>
  <c r="P175" i="35"/>
  <c r="R175" i="35"/>
  <c r="S175" i="35"/>
  <c r="T175" i="35"/>
  <c r="U175" i="35"/>
  <c r="V175" i="35"/>
  <c r="W175" i="35"/>
  <c r="Y175" i="35"/>
  <c r="AC175" i="35"/>
  <c r="AD175" i="35"/>
  <c r="AE175" i="35"/>
  <c r="AF175" i="35"/>
  <c r="AG175" i="35"/>
  <c r="AH175" i="35"/>
  <c r="AI175" i="35"/>
  <c r="A175" i="35"/>
  <c r="AJ175" i="35"/>
  <c r="AK175" i="35"/>
  <c r="AL175" i="35"/>
  <c r="AM175" i="35"/>
  <c r="AN175" i="35"/>
  <c r="AO175" i="35"/>
  <c r="P176" i="35"/>
  <c r="R176" i="35"/>
  <c r="S176" i="35"/>
  <c r="T176" i="35"/>
  <c r="U176" i="35"/>
  <c r="V176" i="35"/>
  <c r="Y176" i="35"/>
  <c r="Y177" i="35"/>
  <c r="AC176" i="35"/>
  <c r="AD176" i="35"/>
  <c r="AE176" i="35"/>
  <c r="AF176" i="35"/>
  <c r="AG176" i="35"/>
  <c r="AH176" i="35"/>
  <c r="AI176" i="35"/>
  <c r="AJ176" i="35"/>
  <c r="AK176" i="35"/>
  <c r="AL176" i="35"/>
  <c r="AM176" i="35"/>
  <c r="AN176" i="35"/>
  <c r="AO176" i="35"/>
  <c r="P177" i="35"/>
  <c r="R177" i="35"/>
  <c r="S177" i="35"/>
  <c r="T177" i="35"/>
  <c r="U177" i="35"/>
  <c r="V177" i="35"/>
  <c r="AC177" i="35"/>
  <c r="AD177" i="35"/>
  <c r="AE177" i="35"/>
  <c r="AF177" i="35"/>
  <c r="AG177" i="35"/>
  <c r="AH177" i="35"/>
  <c r="AI177" i="35"/>
  <c r="AJ177" i="35"/>
  <c r="AK177" i="35"/>
  <c r="AL177" i="35"/>
  <c r="AM177" i="35"/>
  <c r="AN177" i="35"/>
  <c r="AO177" i="35"/>
  <c r="P184" i="35"/>
  <c r="S184" i="35"/>
  <c r="W184" i="35"/>
  <c r="AH184" i="35"/>
  <c r="AI184" i="35"/>
  <c r="AJ184" i="35"/>
  <c r="AK184" i="35"/>
  <c r="AL184" i="35"/>
  <c r="AM184" i="35"/>
  <c r="AN184" i="35"/>
  <c r="AO184" i="35"/>
  <c r="P185" i="35"/>
  <c r="S185" i="35"/>
  <c r="W185" i="35"/>
  <c r="AH185" i="35"/>
  <c r="AI185" i="35"/>
  <c r="AJ185" i="35"/>
  <c r="AK185" i="35"/>
  <c r="AL185" i="35"/>
  <c r="AM185" i="35"/>
  <c r="AN185" i="35"/>
  <c r="AO185" i="35"/>
  <c r="P186" i="35"/>
  <c r="S186" i="35"/>
  <c r="W186" i="35"/>
  <c r="AH186" i="35"/>
  <c r="AI186" i="35"/>
  <c r="AJ186" i="35"/>
  <c r="AK186" i="35"/>
  <c r="AL186" i="35"/>
  <c r="AM186" i="35"/>
  <c r="AN186" i="35"/>
  <c r="AO186" i="35"/>
  <c r="P187" i="35"/>
  <c r="S187" i="35"/>
  <c r="W187" i="35"/>
  <c r="AH187" i="35"/>
  <c r="AI187" i="35"/>
  <c r="AJ187" i="35"/>
  <c r="AK187" i="35"/>
  <c r="AL187" i="35"/>
  <c r="AM187" i="35"/>
  <c r="AN187" i="35"/>
  <c r="AO187" i="35"/>
  <c r="P194" i="35"/>
  <c r="R194" i="35"/>
  <c r="S194" i="35"/>
  <c r="T194" i="35"/>
  <c r="U194" i="35"/>
  <c r="V194" i="35"/>
  <c r="W194" i="35"/>
  <c r="Y194" i="35"/>
  <c r="AC194" i="35"/>
  <c r="AD194" i="35"/>
  <c r="AE194" i="35"/>
  <c r="AF194" i="35"/>
  <c r="AG194" i="35"/>
  <c r="AH194" i="35"/>
  <c r="AI194" i="35"/>
  <c r="AJ194" i="35"/>
  <c r="AK194" i="35"/>
  <c r="AL194" i="35"/>
  <c r="AM194" i="35"/>
  <c r="AN194" i="35"/>
  <c r="AO194" i="35"/>
  <c r="P195" i="35"/>
  <c r="R195" i="35"/>
  <c r="S195" i="35"/>
  <c r="T195" i="35"/>
  <c r="U195" i="35"/>
  <c r="V195" i="35"/>
  <c r="W195" i="35"/>
  <c r="Y195" i="35"/>
  <c r="AC195" i="35"/>
  <c r="AD195" i="35"/>
  <c r="AE195" i="35"/>
  <c r="AF195" i="35"/>
  <c r="AG195" i="35"/>
  <c r="AH195" i="35"/>
  <c r="AI195" i="35"/>
  <c r="AJ195" i="35"/>
  <c r="AK195" i="35"/>
  <c r="AL195" i="35"/>
  <c r="AM195" i="35"/>
  <c r="AN195" i="35"/>
  <c r="AO195" i="35"/>
  <c r="P196" i="35"/>
  <c r="R196" i="35"/>
  <c r="S196" i="35"/>
  <c r="T196" i="35"/>
  <c r="U196" i="35"/>
  <c r="V196" i="35"/>
  <c r="W196" i="35"/>
  <c r="Y196" i="35"/>
  <c r="AC196" i="35"/>
  <c r="AD196" i="35"/>
  <c r="AE196" i="35"/>
  <c r="AF196" i="35"/>
  <c r="AG196" i="35"/>
  <c r="AH196" i="35"/>
  <c r="AI196" i="35"/>
  <c r="AJ196" i="35"/>
  <c r="AK196" i="35"/>
  <c r="AL196" i="35"/>
  <c r="AM196" i="35"/>
  <c r="AN196" i="35"/>
  <c r="AO196" i="35"/>
  <c r="P197" i="35"/>
  <c r="R197" i="35"/>
  <c r="S197" i="35"/>
  <c r="T197" i="35"/>
  <c r="U197" i="35"/>
  <c r="V197" i="35"/>
  <c r="W197" i="35"/>
  <c r="Y197" i="35"/>
  <c r="AC197" i="35"/>
  <c r="AD197" i="35"/>
  <c r="AE197" i="35"/>
  <c r="AF197" i="35"/>
  <c r="AG197" i="35"/>
  <c r="AH197" i="35"/>
  <c r="AI197" i="35"/>
  <c r="AJ197" i="35"/>
  <c r="AK197" i="35"/>
  <c r="AL197" i="35"/>
  <c r="AM197" i="35"/>
  <c r="AN197" i="35"/>
  <c r="AO197" i="35"/>
  <c r="P205" i="35"/>
  <c r="R205" i="35"/>
  <c r="S205" i="35"/>
  <c r="T205" i="35"/>
  <c r="U205" i="35"/>
  <c r="V205" i="35"/>
  <c r="W205" i="35"/>
  <c r="G205" i="35"/>
  <c r="H205" i="35"/>
  <c r="I205" i="35"/>
  <c r="J205" i="35"/>
  <c r="K205" i="35"/>
  <c r="Y205" i="35"/>
  <c r="AC205" i="35"/>
  <c r="AE205" i="35"/>
  <c r="AF205" i="35"/>
  <c r="AG205" i="35"/>
  <c r="AH205" i="35"/>
  <c r="AI205" i="35"/>
  <c r="A202" i="35"/>
  <c r="AJ205" i="35"/>
  <c r="AK205" i="35"/>
  <c r="AL205" i="35"/>
  <c r="AM205" i="35"/>
  <c r="AN205" i="35"/>
  <c r="AO205" i="35"/>
  <c r="P206" i="35"/>
  <c r="R206" i="35"/>
  <c r="S206" i="35"/>
  <c r="T206" i="35"/>
  <c r="U206" i="35"/>
  <c r="V206" i="35"/>
  <c r="W206" i="35"/>
  <c r="Y206" i="35"/>
  <c r="AC206" i="35"/>
  <c r="AE206" i="35"/>
  <c r="AF206" i="35"/>
  <c r="AG206" i="35"/>
  <c r="AH206" i="35"/>
  <c r="AI206" i="35"/>
  <c r="AJ206" i="35"/>
  <c r="AK206" i="35"/>
  <c r="AL206" i="35"/>
  <c r="AM206" i="35"/>
  <c r="AN206" i="35"/>
  <c r="AO206" i="35"/>
  <c r="P207" i="35"/>
  <c r="R207" i="35"/>
  <c r="S207" i="35"/>
  <c r="T207" i="35"/>
  <c r="U207" i="35"/>
  <c r="V207" i="35"/>
  <c r="W207" i="35"/>
  <c r="Y207" i="35"/>
  <c r="AC207" i="35"/>
  <c r="AD207" i="35"/>
  <c r="AE207" i="35"/>
  <c r="AF207" i="35"/>
  <c r="AG207" i="35"/>
  <c r="AH207" i="35"/>
  <c r="AI207" i="35"/>
  <c r="A207" i="35"/>
  <c r="AJ207" i="35"/>
  <c r="AK207" i="35"/>
  <c r="AL207" i="35"/>
  <c r="AM207" i="35"/>
  <c r="AN207" i="35"/>
  <c r="AO207" i="35"/>
  <c r="P208" i="35"/>
  <c r="R208" i="35"/>
  <c r="S208" i="35"/>
  <c r="T208" i="35"/>
  <c r="U208" i="35"/>
  <c r="V208" i="35"/>
  <c r="W208" i="35"/>
  <c r="C208" i="35"/>
  <c r="D208" i="35"/>
  <c r="E208" i="35"/>
  <c r="F208" i="35"/>
  <c r="G208" i="35"/>
  <c r="H208" i="35"/>
  <c r="I208" i="35"/>
  <c r="J208" i="35"/>
  <c r="K208" i="35"/>
  <c r="Y208" i="35"/>
  <c r="AC208" i="35"/>
  <c r="AD208" i="35"/>
  <c r="AE208" i="35"/>
  <c r="AF208" i="35"/>
  <c r="AG208" i="35"/>
  <c r="AH208" i="35"/>
  <c r="AI208" i="35"/>
  <c r="A208" i="35"/>
  <c r="AJ208" i="35"/>
  <c r="AK208" i="35"/>
  <c r="AL208" i="35"/>
  <c r="AM208" i="35"/>
  <c r="AN208" i="35"/>
  <c r="AO208" i="35"/>
  <c r="V209" i="35"/>
  <c r="P209" i="35"/>
  <c r="R209" i="35"/>
  <c r="S209" i="35"/>
  <c r="T209" i="35"/>
  <c r="W209" i="35"/>
  <c r="AC209" i="35"/>
  <c r="AD209" i="35"/>
  <c r="AE209" i="35"/>
  <c r="AF209" i="35"/>
  <c r="AG209" i="35"/>
  <c r="AH209" i="35"/>
  <c r="AI209" i="35"/>
  <c r="AJ209" i="35"/>
  <c r="AK209" i="35"/>
  <c r="AL209" i="35"/>
  <c r="AM209" i="35"/>
  <c r="AN209" i="35"/>
  <c r="AO209" i="35"/>
  <c r="P217" i="35"/>
  <c r="R217" i="35"/>
  <c r="S217" i="35"/>
  <c r="T217" i="35"/>
  <c r="U217" i="35"/>
  <c r="V217" i="35"/>
  <c r="W217" i="35"/>
  <c r="Y217" i="35"/>
  <c r="AC217" i="35"/>
  <c r="AD217" i="35"/>
  <c r="AE217" i="35"/>
  <c r="AF217" i="35"/>
  <c r="AG217" i="35"/>
  <c r="AH217" i="35"/>
  <c r="AI217" i="35"/>
  <c r="A214" i="35"/>
  <c r="AJ217" i="35"/>
  <c r="AK217" i="35"/>
  <c r="AL217" i="35"/>
  <c r="AM217" i="35"/>
  <c r="AN217" i="35"/>
  <c r="AO217" i="35"/>
  <c r="P218" i="35"/>
  <c r="R218" i="35"/>
  <c r="S218" i="35"/>
  <c r="T218" i="35"/>
  <c r="U218" i="35"/>
  <c r="V218" i="35"/>
  <c r="W218" i="35"/>
  <c r="Y218" i="35"/>
  <c r="AC218" i="35"/>
  <c r="AD218" i="35"/>
  <c r="AE218" i="35"/>
  <c r="AF218" i="35"/>
  <c r="AG218" i="35"/>
  <c r="AH218" i="35"/>
  <c r="AI218" i="35"/>
  <c r="A218" i="35"/>
  <c r="AJ218" i="35"/>
  <c r="AK218" i="35"/>
  <c r="AL218" i="35"/>
  <c r="AM218" i="35"/>
  <c r="AN218" i="35"/>
  <c r="AO218" i="35"/>
  <c r="P219" i="35"/>
  <c r="R219" i="35"/>
  <c r="S219" i="35"/>
  <c r="T219" i="35"/>
  <c r="U219" i="35"/>
  <c r="V219" i="35"/>
  <c r="W219" i="35"/>
  <c r="Y219" i="35"/>
  <c r="AC219" i="35"/>
  <c r="AD219" i="35"/>
  <c r="AE219" i="35"/>
  <c r="AF219" i="35"/>
  <c r="AG219" i="35"/>
  <c r="AH219" i="35"/>
  <c r="AI219" i="35"/>
  <c r="A219" i="35"/>
  <c r="AJ219" i="35"/>
  <c r="AK219" i="35"/>
  <c r="AL219" i="35"/>
  <c r="AM219" i="35"/>
  <c r="AN219" i="35"/>
  <c r="AO219" i="35"/>
  <c r="P220" i="35"/>
  <c r="R220" i="35"/>
  <c r="S220" i="35"/>
  <c r="T220" i="35"/>
  <c r="U220" i="35"/>
  <c r="V220" i="35"/>
  <c r="W220" i="35"/>
  <c r="Y220" i="35"/>
  <c r="Y221" i="35"/>
  <c r="AC220" i="35"/>
  <c r="AD220" i="35"/>
  <c r="AE220" i="35"/>
  <c r="AF220" i="35"/>
  <c r="AG220" i="35"/>
  <c r="AH220" i="35"/>
  <c r="AI220" i="35"/>
  <c r="AJ220" i="35"/>
  <c r="AK220" i="35"/>
  <c r="AL220" i="35"/>
  <c r="AM220" i="35"/>
  <c r="AN220" i="35"/>
  <c r="AO220" i="35"/>
  <c r="P221" i="35"/>
  <c r="R221" i="35"/>
  <c r="S221" i="35"/>
  <c r="T221" i="35"/>
  <c r="U221" i="35"/>
  <c r="V221" i="35"/>
  <c r="W221" i="35"/>
  <c r="AC221" i="35"/>
  <c r="AD221" i="35"/>
  <c r="AE221" i="35"/>
  <c r="AF221" i="35"/>
  <c r="AG221" i="35"/>
  <c r="AH221" i="35"/>
  <c r="AI221" i="35"/>
  <c r="AJ221" i="35"/>
  <c r="AK221" i="35"/>
  <c r="AL221" i="35"/>
  <c r="AM221" i="35"/>
  <c r="AN221" i="35"/>
  <c r="AO221" i="35"/>
  <c r="P110" i="35"/>
  <c r="T110" i="35"/>
  <c r="U110" i="35"/>
  <c r="H110" i="35"/>
  <c r="I110" i="35"/>
  <c r="J110" i="35"/>
  <c r="V110" i="35"/>
  <c r="W110" i="35"/>
  <c r="Y110" i="35"/>
  <c r="AA110" i="35"/>
  <c r="AB110" i="35"/>
  <c r="AC110" i="35"/>
  <c r="AD110" i="35"/>
  <c r="AE110" i="35"/>
  <c r="AF110" i="35"/>
  <c r="AG110" i="35"/>
  <c r="AH110" i="35"/>
  <c r="AI110" i="35"/>
  <c r="AJ110" i="35"/>
  <c r="A107" i="35"/>
  <c r="AK110" i="35"/>
  <c r="AL110" i="35"/>
  <c r="AM110" i="35"/>
  <c r="AN110" i="35"/>
  <c r="AO110" i="35"/>
  <c r="A110" i="35"/>
  <c r="P111" i="35"/>
  <c r="T111" i="35"/>
  <c r="U111" i="35"/>
  <c r="V111" i="35"/>
  <c r="W111" i="35"/>
  <c r="Y111" i="35"/>
  <c r="AA111" i="35"/>
  <c r="AB111" i="35"/>
  <c r="AC111" i="35"/>
  <c r="AD111" i="35"/>
  <c r="AE111" i="35"/>
  <c r="AF111" i="35"/>
  <c r="AG111" i="35"/>
  <c r="AH111" i="35"/>
  <c r="AI111" i="35"/>
  <c r="AJ111" i="35"/>
  <c r="AK111" i="35"/>
  <c r="AL111" i="35"/>
  <c r="AM111" i="35"/>
  <c r="AN111" i="35"/>
  <c r="AO111" i="35"/>
  <c r="P112" i="35"/>
  <c r="T112" i="35"/>
  <c r="U112" i="35"/>
  <c r="H112" i="35"/>
  <c r="I112" i="35"/>
  <c r="J112" i="35"/>
  <c r="V112" i="35"/>
  <c r="W112" i="35"/>
  <c r="Y112" i="35"/>
  <c r="AA112" i="35"/>
  <c r="AB112" i="35"/>
  <c r="AC112" i="35"/>
  <c r="AD112" i="35"/>
  <c r="AE112" i="35"/>
  <c r="AF112" i="35"/>
  <c r="AG112" i="35"/>
  <c r="AH112" i="35"/>
  <c r="AI112" i="35"/>
  <c r="AJ112" i="35"/>
  <c r="A112" i="35"/>
  <c r="AK112" i="35"/>
  <c r="AL112" i="35"/>
  <c r="AM112" i="35"/>
  <c r="AN112" i="35"/>
  <c r="AO112" i="35"/>
  <c r="V113" i="35"/>
  <c r="P113" i="35"/>
  <c r="T113" i="35"/>
  <c r="U113" i="35"/>
  <c r="W113" i="35"/>
  <c r="Y113" i="35"/>
  <c r="AA113" i="35"/>
  <c r="AB113" i="35"/>
  <c r="AC113" i="35"/>
  <c r="AD113" i="35"/>
  <c r="AE113" i="35"/>
  <c r="AF113" i="35"/>
  <c r="AG113" i="35"/>
  <c r="AH113" i="35"/>
  <c r="AI113" i="35"/>
  <c r="AJ113" i="35"/>
  <c r="AK113" i="35"/>
  <c r="AL113" i="35"/>
  <c r="AM113" i="35"/>
  <c r="AN113" i="35"/>
  <c r="AO113" i="35"/>
  <c r="P100" i="35"/>
  <c r="S100" i="35"/>
  <c r="T100" i="35"/>
  <c r="U100" i="35"/>
  <c r="V100" i="35"/>
  <c r="W100" i="35"/>
  <c r="Y100" i="35"/>
  <c r="Z100" i="35"/>
  <c r="AA100" i="35"/>
  <c r="AB100" i="35"/>
  <c r="AC100" i="35"/>
  <c r="AE100" i="35"/>
  <c r="AF100" i="35"/>
  <c r="AG100" i="35"/>
  <c r="AH100" i="35"/>
  <c r="AI100" i="35"/>
  <c r="AJ100" i="35"/>
  <c r="AK100" i="35"/>
  <c r="AL100" i="35"/>
  <c r="AM100" i="35"/>
  <c r="AN100" i="35"/>
  <c r="AO100" i="35"/>
  <c r="P101" i="35"/>
  <c r="S101" i="35"/>
  <c r="T101" i="35"/>
  <c r="U101" i="35"/>
  <c r="V101" i="35"/>
  <c r="W101" i="35"/>
  <c r="Y101" i="35"/>
  <c r="Z101" i="35"/>
  <c r="AA101" i="35"/>
  <c r="AB101" i="35"/>
  <c r="AC101" i="35"/>
  <c r="AE101" i="35"/>
  <c r="AF101" i="35"/>
  <c r="AG101" i="35"/>
  <c r="AH101" i="35"/>
  <c r="AI101" i="35"/>
  <c r="AJ101" i="35"/>
  <c r="AK101" i="35"/>
  <c r="AL101" i="35"/>
  <c r="AM101" i="35"/>
  <c r="AN101" i="35"/>
  <c r="AO101" i="35"/>
  <c r="P102" i="35"/>
  <c r="S102" i="35"/>
  <c r="T102" i="35"/>
  <c r="U102" i="35"/>
  <c r="V102" i="35"/>
  <c r="W102" i="35"/>
  <c r="Y102" i="35"/>
  <c r="Z102" i="35"/>
  <c r="AA102" i="35"/>
  <c r="AB102" i="35"/>
  <c r="AC102" i="35"/>
  <c r="AE102" i="35"/>
  <c r="AF102" i="35"/>
  <c r="AG102" i="35"/>
  <c r="AH102" i="35"/>
  <c r="AI102" i="35"/>
  <c r="AJ102" i="35"/>
  <c r="AK102" i="35"/>
  <c r="AL102" i="35"/>
  <c r="AM102" i="35"/>
  <c r="AN102" i="35"/>
  <c r="AO102" i="35"/>
  <c r="P103" i="35"/>
  <c r="S103" i="35"/>
  <c r="T103" i="35"/>
  <c r="U103" i="35"/>
  <c r="V103" i="35"/>
  <c r="W103" i="35"/>
  <c r="Y103" i="35"/>
  <c r="Z103" i="35"/>
  <c r="AA103" i="35"/>
  <c r="AB103" i="35"/>
  <c r="AC103" i="35"/>
  <c r="AE103" i="35"/>
  <c r="AF103" i="35"/>
  <c r="AG103" i="35"/>
  <c r="AH103" i="35"/>
  <c r="AI103" i="35"/>
  <c r="AJ103" i="35"/>
  <c r="AK103" i="35"/>
  <c r="AL103" i="35"/>
  <c r="AM103" i="35"/>
  <c r="AN103" i="35"/>
  <c r="AO103" i="35"/>
  <c r="P90" i="35"/>
  <c r="S90" i="35"/>
  <c r="W90" i="35"/>
  <c r="AI90" i="35"/>
  <c r="AJ90" i="35"/>
  <c r="AK90" i="35"/>
  <c r="AL90" i="35"/>
  <c r="AM90" i="35"/>
  <c r="AN90" i="35"/>
  <c r="AO90" i="35"/>
  <c r="P91" i="35"/>
  <c r="S91" i="35"/>
  <c r="W91" i="35"/>
  <c r="Y91" i="35"/>
  <c r="Z91" i="35"/>
  <c r="AA91" i="35"/>
  <c r="AB91" i="35"/>
  <c r="AC91" i="35"/>
  <c r="AE91" i="35"/>
  <c r="AF91" i="35"/>
  <c r="AG91" i="35"/>
  <c r="AH91" i="35"/>
  <c r="AI91" i="35"/>
  <c r="AJ91" i="35"/>
  <c r="AK91" i="35"/>
  <c r="AL91" i="35"/>
  <c r="AM91" i="35"/>
  <c r="AN91" i="35"/>
  <c r="AO91" i="35"/>
  <c r="P92" i="35"/>
  <c r="S92" i="35"/>
  <c r="W92" i="35"/>
  <c r="Y92" i="35"/>
  <c r="Z92" i="35"/>
  <c r="AA92" i="35"/>
  <c r="AB92" i="35"/>
  <c r="AC92" i="35"/>
  <c r="AE92" i="35"/>
  <c r="AF92" i="35"/>
  <c r="AG92" i="35"/>
  <c r="AH92" i="35"/>
  <c r="AI92" i="35"/>
  <c r="AJ92" i="35"/>
  <c r="AK92" i="35"/>
  <c r="AL92" i="35"/>
  <c r="AM92" i="35"/>
  <c r="AN92" i="35"/>
  <c r="AO92" i="35"/>
  <c r="P93" i="35"/>
  <c r="S93" i="35"/>
  <c r="W93" i="35"/>
  <c r="Y93" i="35"/>
  <c r="Z93" i="35"/>
  <c r="AA93" i="35"/>
  <c r="AB93" i="35"/>
  <c r="AC93" i="35"/>
  <c r="AE93" i="35"/>
  <c r="AF93" i="35"/>
  <c r="AG93" i="35"/>
  <c r="AH93" i="35"/>
  <c r="AI93" i="35"/>
  <c r="AJ93" i="35"/>
  <c r="AK93" i="35"/>
  <c r="AL93" i="35"/>
  <c r="AM93" i="35"/>
  <c r="AN93" i="35"/>
  <c r="AO93" i="35"/>
  <c r="P80" i="35"/>
  <c r="Q80" i="35"/>
  <c r="R80" i="35"/>
  <c r="S80" i="35"/>
  <c r="T80" i="35"/>
  <c r="U80" i="35"/>
  <c r="V80" i="35"/>
  <c r="W80" i="35"/>
  <c r="D80" i="35"/>
  <c r="E80" i="35"/>
  <c r="F80" i="35"/>
  <c r="G80" i="35"/>
  <c r="H80" i="35"/>
  <c r="I80" i="35"/>
  <c r="J80" i="35"/>
  <c r="K80" i="35"/>
  <c r="Y80" i="35"/>
  <c r="Z80" i="35"/>
  <c r="AA80" i="35"/>
  <c r="AB80" i="35"/>
  <c r="AC80" i="35"/>
  <c r="AE80" i="35"/>
  <c r="AF80" i="35"/>
  <c r="AG80" i="35"/>
  <c r="AH80" i="35"/>
  <c r="AI80" i="35"/>
  <c r="AJ80" i="35"/>
  <c r="AK80" i="35"/>
  <c r="AL80" i="35"/>
  <c r="AM80" i="35"/>
  <c r="AN80" i="35"/>
  <c r="AO80" i="35"/>
  <c r="P81" i="35"/>
  <c r="Q81" i="35"/>
  <c r="R81" i="35"/>
  <c r="S81" i="35"/>
  <c r="T81" i="35"/>
  <c r="U81" i="35"/>
  <c r="V81" i="35"/>
  <c r="W81" i="35"/>
  <c r="Y81" i="35"/>
  <c r="Z81" i="35"/>
  <c r="AA81" i="35"/>
  <c r="AB81" i="35"/>
  <c r="AC81" i="35"/>
  <c r="AE81" i="35"/>
  <c r="AF81" i="35"/>
  <c r="AG81" i="35"/>
  <c r="AH81" i="35"/>
  <c r="AI81" i="35"/>
  <c r="AJ81" i="35"/>
  <c r="AK81" i="35"/>
  <c r="AL81" i="35"/>
  <c r="AM81" i="35"/>
  <c r="AN81" i="35"/>
  <c r="AO81" i="35"/>
  <c r="P82" i="35"/>
  <c r="Q82" i="35"/>
  <c r="R82" i="35"/>
  <c r="S82" i="35"/>
  <c r="T82" i="35"/>
  <c r="U82" i="35"/>
  <c r="V82" i="35"/>
  <c r="W82" i="35"/>
  <c r="Y82" i="35"/>
  <c r="Z82" i="35"/>
  <c r="AA82" i="35"/>
  <c r="AB82" i="35"/>
  <c r="AC82" i="35"/>
  <c r="AE82" i="35"/>
  <c r="AF82" i="35"/>
  <c r="AG82" i="35"/>
  <c r="AH82" i="35"/>
  <c r="AI82" i="35"/>
  <c r="AJ82" i="35"/>
  <c r="AK82" i="35"/>
  <c r="AL82" i="35"/>
  <c r="AM82" i="35"/>
  <c r="AN82" i="35"/>
  <c r="AO82" i="35"/>
  <c r="P83" i="35"/>
  <c r="Q83" i="35"/>
  <c r="R83" i="35"/>
  <c r="S83" i="35"/>
  <c r="T83" i="35"/>
  <c r="U83" i="35"/>
  <c r="V83" i="35"/>
  <c r="W83" i="35"/>
  <c r="Y83" i="35"/>
  <c r="Z83" i="35"/>
  <c r="AA83" i="35"/>
  <c r="AB83" i="35"/>
  <c r="AC83" i="35"/>
  <c r="AE83" i="35"/>
  <c r="AF83" i="35"/>
  <c r="AG83" i="35"/>
  <c r="AH83" i="35"/>
  <c r="AI83" i="35"/>
  <c r="AJ83" i="35"/>
  <c r="AK83" i="35"/>
  <c r="AL83" i="35"/>
  <c r="AM83" i="35"/>
  <c r="AN83" i="35"/>
  <c r="AO83" i="35"/>
  <c r="P70" i="35"/>
  <c r="S70" i="35"/>
  <c r="T70" i="35"/>
  <c r="U70" i="35"/>
  <c r="W70" i="35"/>
  <c r="D70" i="35"/>
  <c r="E70" i="35"/>
  <c r="F70" i="35"/>
  <c r="G70" i="35"/>
  <c r="H70" i="35"/>
  <c r="I70" i="35"/>
  <c r="J70" i="35"/>
  <c r="Y70" i="35"/>
  <c r="Z70" i="35"/>
  <c r="AA70" i="35"/>
  <c r="AB70" i="35"/>
  <c r="AC70" i="35"/>
  <c r="AE70" i="35"/>
  <c r="AF70" i="35"/>
  <c r="AG70" i="35"/>
  <c r="A67" i="35"/>
  <c r="AH70" i="35"/>
  <c r="AI70" i="35"/>
  <c r="AJ70" i="35"/>
  <c r="AK70" i="35"/>
  <c r="AL70" i="35"/>
  <c r="AM70" i="35"/>
  <c r="AN70" i="35"/>
  <c r="AO70" i="35"/>
  <c r="P71" i="35"/>
  <c r="S71" i="35"/>
  <c r="T71" i="35"/>
  <c r="U71" i="35"/>
  <c r="W71" i="35"/>
  <c r="Y71" i="35"/>
  <c r="Z71" i="35"/>
  <c r="AA71" i="35"/>
  <c r="AB71" i="35"/>
  <c r="AC71" i="35"/>
  <c r="AE71" i="35"/>
  <c r="AF71" i="35"/>
  <c r="AG71" i="35"/>
  <c r="AH71" i="35"/>
  <c r="AI71" i="35"/>
  <c r="AJ71" i="35"/>
  <c r="AK71" i="35"/>
  <c r="AL71" i="35"/>
  <c r="AM71" i="35"/>
  <c r="AN71" i="35"/>
  <c r="AO71" i="35"/>
  <c r="P72" i="35"/>
  <c r="S72" i="35"/>
  <c r="T72" i="35"/>
  <c r="U72" i="35"/>
  <c r="W72" i="35"/>
  <c r="Y72" i="35"/>
  <c r="Z72" i="35"/>
  <c r="AA72" i="35"/>
  <c r="AB72" i="35"/>
  <c r="AC72" i="35"/>
  <c r="AE72" i="35"/>
  <c r="AF72" i="35"/>
  <c r="AG72" i="35"/>
  <c r="AH72" i="35"/>
  <c r="AI72" i="35"/>
  <c r="AJ72" i="35"/>
  <c r="AK72" i="35"/>
  <c r="AL72" i="35"/>
  <c r="AM72" i="35"/>
  <c r="AN72" i="35"/>
  <c r="AO72" i="35"/>
  <c r="P73" i="35"/>
  <c r="S73" i="35"/>
  <c r="T73" i="35"/>
  <c r="U73" i="35"/>
  <c r="W73" i="35"/>
  <c r="Y73" i="35"/>
  <c r="Z73" i="35"/>
  <c r="AA73" i="35"/>
  <c r="AB73" i="35"/>
  <c r="AC73" i="35"/>
  <c r="AE73" i="35"/>
  <c r="AF73" i="35"/>
  <c r="AG73" i="35"/>
  <c r="AH73" i="35"/>
  <c r="AI73" i="35"/>
  <c r="AJ73" i="35"/>
  <c r="AK73" i="35"/>
  <c r="AL73" i="35"/>
  <c r="AM73" i="35"/>
  <c r="AN73" i="35"/>
  <c r="AO73" i="35"/>
  <c r="P60" i="35"/>
  <c r="S60" i="35"/>
  <c r="T60" i="35"/>
  <c r="U60" i="35"/>
  <c r="V60" i="35"/>
  <c r="W60" i="35"/>
  <c r="Y60" i="35"/>
  <c r="Z60" i="35"/>
  <c r="AA60" i="35"/>
  <c r="AB60" i="35"/>
  <c r="AC60" i="35"/>
  <c r="AE60" i="35"/>
  <c r="AF60" i="35"/>
  <c r="AG60" i="35"/>
  <c r="AH60" i="35"/>
  <c r="A58" i="35"/>
  <c r="AI60" i="35"/>
  <c r="AJ60" i="35"/>
  <c r="AK60" i="35"/>
  <c r="AL60" i="35"/>
  <c r="AM60" i="35"/>
  <c r="AN60" i="35"/>
  <c r="AO60" i="35"/>
  <c r="P61" i="35"/>
  <c r="S61" i="35"/>
  <c r="T61" i="35"/>
  <c r="U61" i="35"/>
  <c r="V61" i="35"/>
  <c r="W61" i="35"/>
  <c r="Y61" i="35"/>
  <c r="Z61" i="35"/>
  <c r="AA61" i="35"/>
  <c r="AB61" i="35"/>
  <c r="AC61" i="35"/>
  <c r="AE61" i="35"/>
  <c r="AF61" i="35"/>
  <c r="AG61" i="35"/>
  <c r="AH61" i="35"/>
  <c r="AI61" i="35"/>
  <c r="AJ61" i="35"/>
  <c r="AK61" i="35"/>
  <c r="AL61" i="35"/>
  <c r="AM61" i="35"/>
  <c r="AN61" i="35"/>
  <c r="AO61" i="35"/>
  <c r="P62" i="35"/>
  <c r="S62" i="35"/>
  <c r="T62" i="35"/>
  <c r="U62" i="35"/>
  <c r="V62" i="35"/>
  <c r="W62" i="35"/>
  <c r="Y62" i="35"/>
  <c r="Z62" i="35"/>
  <c r="AA62" i="35"/>
  <c r="AB62" i="35"/>
  <c r="AC62" i="35"/>
  <c r="AE62" i="35"/>
  <c r="AF62" i="35"/>
  <c r="AG62" i="35"/>
  <c r="AH62" i="35"/>
  <c r="AI62" i="35"/>
  <c r="AJ62" i="35"/>
  <c r="AK62" i="35"/>
  <c r="AL62" i="35"/>
  <c r="AM62" i="35"/>
  <c r="AN62" i="35"/>
  <c r="AO62" i="35"/>
  <c r="P63" i="35"/>
  <c r="S63" i="35"/>
  <c r="T63" i="35"/>
  <c r="U63" i="35"/>
  <c r="V63" i="35"/>
  <c r="W63" i="35"/>
  <c r="Y63" i="35"/>
  <c r="Z63" i="35"/>
  <c r="AA63" i="35"/>
  <c r="AB63" i="35"/>
  <c r="AC63" i="35"/>
  <c r="AE63" i="35"/>
  <c r="AF63" i="35"/>
  <c r="AG63" i="35"/>
  <c r="AH63" i="35"/>
  <c r="AI63" i="35"/>
  <c r="AJ63" i="35"/>
  <c r="AK63" i="35"/>
  <c r="AL63" i="35"/>
  <c r="AM63" i="35"/>
  <c r="AN63" i="35"/>
  <c r="AO63" i="35"/>
  <c r="P50" i="35"/>
  <c r="S50" i="35"/>
  <c r="W50" i="35"/>
  <c r="AI50" i="35"/>
  <c r="AJ50" i="35"/>
  <c r="AK50" i="35"/>
  <c r="AL50" i="35"/>
  <c r="AM50" i="35"/>
  <c r="AN50" i="35"/>
  <c r="AO50" i="35"/>
  <c r="P51" i="35"/>
  <c r="S51" i="35"/>
  <c r="W51" i="35"/>
  <c r="Y51" i="35"/>
  <c r="Z51" i="35"/>
  <c r="AA51" i="35"/>
  <c r="AB51" i="35"/>
  <c r="AC51" i="35"/>
  <c r="AE51" i="35"/>
  <c r="AF51" i="35"/>
  <c r="AG51" i="35"/>
  <c r="AH51" i="35"/>
  <c r="AI51" i="35"/>
  <c r="AJ51" i="35"/>
  <c r="AK51" i="35"/>
  <c r="AL51" i="35"/>
  <c r="AM51" i="35"/>
  <c r="AN51" i="35"/>
  <c r="AO51" i="35"/>
  <c r="P52" i="35"/>
  <c r="S52" i="35"/>
  <c r="W52" i="35"/>
  <c r="Y52" i="35"/>
  <c r="Z52" i="35"/>
  <c r="AA52" i="35"/>
  <c r="AB52" i="35"/>
  <c r="AC52" i="35"/>
  <c r="AE52" i="35"/>
  <c r="AF52" i="35"/>
  <c r="AG52" i="35"/>
  <c r="AH52" i="35"/>
  <c r="AI52" i="35"/>
  <c r="AJ52" i="35"/>
  <c r="AK52" i="35"/>
  <c r="AL52" i="35"/>
  <c r="AM52" i="35"/>
  <c r="AN52" i="35"/>
  <c r="AO52" i="35"/>
  <c r="P53" i="35"/>
  <c r="S53" i="35"/>
  <c r="W53" i="35"/>
  <c r="Y53" i="35"/>
  <c r="Z53" i="35"/>
  <c r="AA53" i="35"/>
  <c r="AB53" i="35"/>
  <c r="AC53" i="35"/>
  <c r="AE53" i="35"/>
  <c r="AF53" i="35"/>
  <c r="AG53" i="35"/>
  <c r="AH53" i="35"/>
  <c r="AI53" i="35"/>
  <c r="AJ53" i="35"/>
  <c r="AK53" i="35"/>
  <c r="AL53" i="35"/>
  <c r="AM53" i="35"/>
  <c r="AN53" i="35"/>
  <c r="AO53" i="35"/>
  <c r="P40" i="35"/>
  <c r="Q40" i="35"/>
  <c r="R40" i="35"/>
  <c r="S40" i="35"/>
  <c r="T40" i="35"/>
  <c r="U40" i="35"/>
  <c r="D40" i="35"/>
  <c r="E40" i="35"/>
  <c r="F40" i="35"/>
  <c r="G40" i="35"/>
  <c r="H40" i="35"/>
  <c r="I40" i="35"/>
  <c r="J40" i="35"/>
  <c r="V40" i="35"/>
  <c r="W40" i="35"/>
  <c r="Y40" i="35"/>
  <c r="Z40" i="35"/>
  <c r="AA40" i="35"/>
  <c r="AB40" i="35"/>
  <c r="AC40" i="35"/>
  <c r="AE40" i="35"/>
  <c r="AF40" i="35"/>
  <c r="AG40" i="35"/>
  <c r="AH40" i="35"/>
  <c r="AI40" i="35"/>
  <c r="AJ40" i="35"/>
  <c r="AK40" i="35"/>
  <c r="AL40" i="35"/>
  <c r="AM40" i="35"/>
  <c r="AN40" i="35"/>
  <c r="AO40" i="35"/>
  <c r="A37" i="35"/>
  <c r="P41" i="35"/>
  <c r="Q41" i="35"/>
  <c r="R41" i="35"/>
  <c r="S41" i="35"/>
  <c r="T41" i="35"/>
  <c r="U41" i="35"/>
  <c r="V41" i="35"/>
  <c r="W41" i="35"/>
  <c r="Y41" i="35"/>
  <c r="Z41" i="35"/>
  <c r="AA41" i="35"/>
  <c r="AB41" i="35"/>
  <c r="AC41" i="35"/>
  <c r="AE41" i="35"/>
  <c r="AF41" i="35"/>
  <c r="AG41" i="35"/>
  <c r="AH41" i="35"/>
  <c r="AI41" i="35"/>
  <c r="AJ41" i="35"/>
  <c r="AK41" i="35"/>
  <c r="AL41" i="35"/>
  <c r="AM41" i="35"/>
  <c r="AN41" i="35"/>
  <c r="AO41" i="35"/>
  <c r="P42" i="35"/>
  <c r="Q42" i="35"/>
  <c r="R42" i="35"/>
  <c r="S42" i="35"/>
  <c r="T42" i="35"/>
  <c r="U42" i="35"/>
  <c r="V42" i="35"/>
  <c r="W42" i="35"/>
  <c r="Y42" i="35"/>
  <c r="Z42" i="35"/>
  <c r="AA42" i="35"/>
  <c r="AB42" i="35"/>
  <c r="AC42" i="35"/>
  <c r="AE42" i="35"/>
  <c r="AF42" i="35"/>
  <c r="AG42" i="35"/>
  <c r="AH42" i="35"/>
  <c r="AI42" i="35"/>
  <c r="AJ42" i="35"/>
  <c r="AK42" i="35"/>
  <c r="AL42" i="35"/>
  <c r="AM42" i="35"/>
  <c r="AN42" i="35"/>
  <c r="AO42" i="35"/>
  <c r="P43" i="35"/>
  <c r="Q43" i="35"/>
  <c r="R43" i="35"/>
  <c r="S43" i="35"/>
  <c r="T43" i="35"/>
  <c r="U43" i="35"/>
  <c r="V43" i="35"/>
  <c r="W43" i="35"/>
  <c r="Y43" i="35"/>
  <c r="Z43" i="35"/>
  <c r="AA43" i="35"/>
  <c r="AB43" i="35"/>
  <c r="AC43" i="35"/>
  <c r="AE43" i="35"/>
  <c r="AF43" i="35"/>
  <c r="AG43" i="35"/>
  <c r="AH43" i="35"/>
  <c r="AI43" i="35"/>
  <c r="AJ43" i="35"/>
  <c r="AK43" i="35"/>
  <c r="AL43" i="35"/>
  <c r="AM43" i="35"/>
  <c r="AN43" i="35"/>
  <c r="AO43" i="35"/>
  <c r="P30" i="35"/>
  <c r="S30" i="35"/>
  <c r="T30" i="35"/>
  <c r="U30" i="35"/>
  <c r="V30" i="35"/>
  <c r="D30" i="35"/>
  <c r="E30" i="35"/>
  <c r="F30" i="35"/>
  <c r="G30" i="35"/>
  <c r="H30" i="35"/>
  <c r="I30" i="35"/>
  <c r="J30" i="35"/>
  <c r="W30" i="35"/>
  <c r="Y30" i="35"/>
  <c r="Z30" i="35"/>
  <c r="AA30" i="35"/>
  <c r="AB30" i="35"/>
  <c r="AC30" i="35"/>
  <c r="AE30" i="35"/>
  <c r="AF30" i="35"/>
  <c r="AG30" i="35"/>
  <c r="AH30" i="35"/>
  <c r="AI30" i="35"/>
  <c r="AJ30" i="35"/>
  <c r="AK30" i="35"/>
  <c r="AL30" i="35"/>
  <c r="AM30" i="35"/>
  <c r="AN30" i="35"/>
  <c r="AO30" i="35"/>
  <c r="A30" i="35"/>
  <c r="R2" i="35"/>
  <c r="C32" i="35"/>
  <c r="D32" i="35"/>
  <c r="E32" i="35"/>
  <c r="F32" i="35"/>
  <c r="G32" i="35"/>
  <c r="H32" i="35"/>
  <c r="I32" i="35"/>
  <c r="J32" i="35"/>
  <c r="P32" i="35"/>
  <c r="S32" i="35"/>
  <c r="T32" i="35"/>
  <c r="U32" i="35"/>
  <c r="V32" i="35"/>
  <c r="W32" i="35"/>
  <c r="Y32" i="35"/>
  <c r="Z32" i="35"/>
  <c r="AA32" i="35"/>
  <c r="AB32" i="35"/>
  <c r="AC32" i="35"/>
  <c r="AE32" i="35"/>
  <c r="AF32" i="35"/>
  <c r="AG32" i="35"/>
  <c r="AH32" i="35"/>
  <c r="AI32" i="35"/>
  <c r="AJ32" i="35"/>
  <c r="AK32" i="35"/>
  <c r="AL32" i="35"/>
  <c r="AM32" i="35"/>
  <c r="AN32" i="35"/>
  <c r="AO32" i="35"/>
  <c r="A32" i="35"/>
  <c r="A33" i="35"/>
  <c r="P31" i="35"/>
  <c r="S31" i="35"/>
  <c r="T31" i="35"/>
  <c r="U31" i="35"/>
  <c r="V31" i="35"/>
  <c r="W31" i="35"/>
  <c r="Y31" i="35"/>
  <c r="Z31" i="35"/>
  <c r="AA31" i="35"/>
  <c r="AB31" i="35"/>
  <c r="AC31" i="35"/>
  <c r="AE31" i="35"/>
  <c r="AF31" i="35"/>
  <c r="AG31" i="35"/>
  <c r="AH31" i="35"/>
  <c r="AI31" i="35"/>
  <c r="AJ31" i="35"/>
  <c r="AK31" i="35"/>
  <c r="AL31" i="35"/>
  <c r="AM31" i="35"/>
  <c r="AN31" i="35"/>
  <c r="AO31" i="35"/>
  <c r="P33" i="35"/>
  <c r="S33" i="35"/>
  <c r="T33" i="35"/>
  <c r="U33" i="35"/>
  <c r="V33" i="35"/>
  <c r="W33" i="35"/>
  <c r="Y33" i="35"/>
  <c r="Z33" i="35"/>
  <c r="AA33" i="35"/>
  <c r="AB33" i="35"/>
  <c r="AC33" i="35"/>
  <c r="AE33" i="35"/>
  <c r="AF33" i="35"/>
  <c r="AG33" i="35"/>
  <c r="AH33" i="35"/>
  <c r="AI33" i="35"/>
  <c r="AJ33" i="35"/>
  <c r="AK33" i="35"/>
  <c r="AL33" i="35"/>
  <c r="AM33" i="35"/>
  <c r="AN33" i="35"/>
  <c r="AO33" i="35"/>
  <c r="P20" i="35"/>
  <c r="S20" i="35"/>
  <c r="T20" i="35"/>
  <c r="U20" i="35"/>
  <c r="D20" i="35"/>
  <c r="E20" i="35"/>
  <c r="F20" i="35"/>
  <c r="G20" i="35"/>
  <c r="H20" i="35"/>
  <c r="I20" i="35"/>
  <c r="J20" i="35"/>
  <c r="V20" i="35"/>
  <c r="W20" i="35"/>
  <c r="Y20" i="35"/>
  <c r="Z20" i="35"/>
  <c r="AA20" i="35"/>
  <c r="AB20" i="35"/>
  <c r="AC20" i="35"/>
  <c r="AE20" i="35"/>
  <c r="AF20" i="35"/>
  <c r="AG20" i="35"/>
  <c r="AH20" i="35"/>
  <c r="AI20" i="35"/>
  <c r="AJ20" i="35"/>
  <c r="AK20" i="35"/>
  <c r="AL20" i="35"/>
  <c r="AM20" i="35"/>
  <c r="AN20" i="35"/>
  <c r="AO20" i="35"/>
  <c r="A20" i="35"/>
  <c r="P21" i="35"/>
  <c r="S21" i="35"/>
  <c r="T21" i="35"/>
  <c r="U21" i="35"/>
  <c r="D21" i="35"/>
  <c r="E21" i="35"/>
  <c r="F21" i="35"/>
  <c r="G21" i="35"/>
  <c r="H21" i="35"/>
  <c r="I21" i="35"/>
  <c r="J21" i="35"/>
  <c r="V21" i="35"/>
  <c r="W21" i="35"/>
  <c r="Y21" i="35"/>
  <c r="Z21" i="35"/>
  <c r="AA21" i="35"/>
  <c r="AB21" i="35"/>
  <c r="AC21" i="35"/>
  <c r="AE21" i="35"/>
  <c r="AF21" i="35"/>
  <c r="AG21" i="35"/>
  <c r="AH21" i="35"/>
  <c r="AI21" i="35"/>
  <c r="AJ21" i="35"/>
  <c r="AK21" i="35"/>
  <c r="AL21" i="35"/>
  <c r="AM21" i="35"/>
  <c r="AN21" i="35"/>
  <c r="AO21" i="35"/>
  <c r="A21" i="35"/>
  <c r="P22" i="35"/>
  <c r="S22" i="35"/>
  <c r="T22" i="35"/>
  <c r="U22" i="35"/>
  <c r="V22" i="35"/>
  <c r="W22" i="35"/>
  <c r="Y22" i="35"/>
  <c r="Z22" i="35"/>
  <c r="AA22" i="35"/>
  <c r="AB22" i="35"/>
  <c r="AC22" i="35"/>
  <c r="AE22" i="35"/>
  <c r="AF22" i="35"/>
  <c r="AG22" i="35"/>
  <c r="AH22" i="35"/>
  <c r="AI22" i="35"/>
  <c r="AJ22" i="35"/>
  <c r="AK22" i="35"/>
  <c r="AL22" i="35"/>
  <c r="AM22" i="35"/>
  <c r="AN22" i="35"/>
  <c r="AO22" i="35"/>
  <c r="P23" i="35"/>
  <c r="S23" i="35"/>
  <c r="T23" i="35"/>
  <c r="U23" i="35"/>
  <c r="V23" i="35"/>
  <c r="W23" i="35"/>
  <c r="Y23" i="35"/>
  <c r="Z23" i="35"/>
  <c r="AA23" i="35"/>
  <c r="AB23" i="35"/>
  <c r="AC23" i="35"/>
  <c r="AE23" i="35"/>
  <c r="AF23" i="35"/>
  <c r="AG23" i="35"/>
  <c r="AH23" i="35"/>
  <c r="AI23" i="35"/>
  <c r="AJ23" i="35"/>
  <c r="AK23" i="35"/>
  <c r="AL23" i="35"/>
  <c r="AM23" i="35"/>
  <c r="AN23" i="35"/>
  <c r="AO23" i="35"/>
  <c r="P10" i="35"/>
  <c r="S10" i="35"/>
  <c r="T10" i="35"/>
  <c r="W10" i="35"/>
  <c r="Y10" i="35"/>
  <c r="Z10" i="35"/>
  <c r="AA10" i="35"/>
  <c r="AB10" i="35"/>
  <c r="AC10" i="35"/>
  <c r="AE10" i="35"/>
  <c r="AF10" i="35"/>
  <c r="AG10" i="35"/>
  <c r="AH10" i="35"/>
  <c r="AI10" i="35"/>
  <c r="AJ10" i="35"/>
  <c r="AK10" i="35"/>
  <c r="AL10" i="35"/>
  <c r="AM10" i="35"/>
  <c r="AN10" i="35"/>
  <c r="AO10" i="35"/>
  <c r="P11" i="35"/>
  <c r="S11" i="35"/>
  <c r="T11" i="35"/>
  <c r="W11" i="35"/>
  <c r="Y11" i="35"/>
  <c r="Z11" i="35"/>
  <c r="AA11" i="35"/>
  <c r="AB11" i="35"/>
  <c r="AC11" i="35"/>
  <c r="AE11" i="35"/>
  <c r="AF11" i="35"/>
  <c r="AG11" i="35"/>
  <c r="AH11" i="35"/>
  <c r="AI11" i="35"/>
  <c r="AJ11" i="35"/>
  <c r="AK11" i="35"/>
  <c r="AL11" i="35"/>
  <c r="AM11" i="35"/>
  <c r="AN11" i="35"/>
  <c r="AO11" i="35"/>
  <c r="P12" i="35"/>
  <c r="S12" i="35"/>
  <c r="T12" i="35"/>
  <c r="V12" i="35"/>
  <c r="W12" i="35"/>
  <c r="Y12" i="35"/>
  <c r="Z12" i="35"/>
  <c r="AA12" i="35"/>
  <c r="AB12" i="35"/>
  <c r="AC12" i="35"/>
  <c r="AE12" i="35"/>
  <c r="AF12" i="35"/>
  <c r="AG12" i="35"/>
  <c r="AH12" i="35"/>
  <c r="AI12" i="35"/>
  <c r="AJ12" i="35"/>
  <c r="AK12" i="35"/>
  <c r="AL12" i="35"/>
  <c r="AM12" i="35"/>
  <c r="AN12" i="35"/>
  <c r="AO12" i="35"/>
  <c r="P13" i="35"/>
  <c r="S13" i="35"/>
  <c r="T13" i="35"/>
  <c r="V13" i="35"/>
  <c r="W13" i="35"/>
  <c r="Y13" i="35"/>
  <c r="Z13" i="35"/>
  <c r="AA13" i="35"/>
  <c r="AB13" i="35"/>
  <c r="AC13" i="35"/>
  <c r="AE13" i="35"/>
  <c r="AF13" i="35"/>
  <c r="AG13" i="35"/>
  <c r="AH13" i="35"/>
  <c r="AI13" i="35"/>
  <c r="AJ13" i="35"/>
  <c r="AK13" i="35"/>
  <c r="AL13" i="35"/>
  <c r="AM13" i="35"/>
  <c r="AN13" i="35"/>
  <c r="AO1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C122" i="35"/>
  <c r="D122" i="35"/>
  <c r="E122" i="35"/>
  <c r="F122" i="35"/>
  <c r="H122" i="35"/>
  <c r="I122" i="35"/>
  <c r="J122" i="35"/>
  <c r="K122" i="35"/>
  <c r="C123" i="35"/>
  <c r="D123" i="35"/>
  <c r="E123" i="35"/>
  <c r="F123" i="35"/>
  <c r="G123" i="35"/>
  <c r="H123" i="35"/>
  <c r="I123" i="35"/>
  <c r="J123" i="35"/>
  <c r="K123" i="35"/>
  <c r="H130" i="35"/>
  <c r="I130" i="35"/>
  <c r="J130" i="35"/>
  <c r="H131" i="35"/>
  <c r="I131" i="35"/>
  <c r="J131" i="35"/>
  <c r="H132" i="35"/>
  <c r="I132" i="35"/>
  <c r="J132" i="35"/>
  <c r="G133" i="35"/>
  <c r="H133" i="35"/>
  <c r="I133" i="35"/>
  <c r="J133" i="35"/>
  <c r="H140" i="35"/>
  <c r="I140" i="35"/>
  <c r="J140" i="35"/>
  <c r="K140" i="35"/>
  <c r="H141" i="35"/>
  <c r="I141" i="35"/>
  <c r="J141" i="35"/>
  <c r="K141" i="35"/>
  <c r="G142" i="35"/>
  <c r="H142" i="35"/>
  <c r="I142" i="35"/>
  <c r="J142" i="35"/>
  <c r="K142" i="35"/>
  <c r="C143" i="35"/>
  <c r="D143" i="35"/>
  <c r="E143" i="35"/>
  <c r="F143" i="35"/>
  <c r="G143" i="35"/>
  <c r="H143" i="35"/>
  <c r="I143" i="35"/>
  <c r="J143" i="35"/>
  <c r="K143" i="35"/>
  <c r="H150" i="35"/>
  <c r="I150" i="35"/>
  <c r="J150" i="35"/>
  <c r="K150" i="35"/>
  <c r="H151" i="35"/>
  <c r="I151" i="35"/>
  <c r="J151" i="35"/>
  <c r="K151" i="35"/>
  <c r="H152" i="35"/>
  <c r="I152" i="35"/>
  <c r="J152" i="35"/>
  <c r="K152" i="35"/>
  <c r="C153" i="35"/>
  <c r="D153" i="35"/>
  <c r="E153" i="35"/>
  <c r="F153" i="35"/>
  <c r="G153" i="35"/>
  <c r="H153" i="35"/>
  <c r="I153" i="35"/>
  <c r="J153" i="35"/>
  <c r="K153" i="35"/>
  <c r="G161" i="35"/>
  <c r="H161" i="35"/>
  <c r="I161" i="35"/>
  <c r="J161" i="35"/>
  <c r="K161" i="35"/>
  <c r="G162" i="35"/>
  <c r="H162" i="35"/>
  <c r="I162" i="35"/>
  <c r="J162" i="35"/>
  <c r="K162" i="35"/>
  <c r="G163" i="35"/>
  <c r="H163" i="35"/>
  <c r="I163" i="35"/>
  <c r="J163" i="35"/>
  <c r="K163" i="35"/>
  <c r="C164" i="35"/>
  <c r="D164" i="35"/>
  <c r="E164" i="35"/>
  <c r="G164" i="35"/>
  <c r="H164" i="35"/>
  <c r="I164" i="35"/>
  <c r="J164" i="35"/>
  <c r="K164" i="35"/>
  <c r="C165" i="35"/>
  <c r="D165" i="35"/>
  <c r="E165" i="35"/>
  <c r="F165" i="35"/>
  <c r="G165" i="35"/>
  <c r="H165" i="35"/>
  <c r="I165" i="35"/>
  <c r="J165" i="35"/>
  <c r="K165" i="35"/>
  <c r="G175" i="35"/>
  <c r="H175" i="35"/>
  <c r="I175" i="35"/>
  <c r="J175" i="35"/>
  <c r="K175" i="35"/>
  <c r="G176" i="35"/>
  <c r="H176" i="35"/>
  <c r="I176" i="35"/>
  <c r="J176" i="35"/>
  <c r="K176" i="35"/>
  <c r="C177" i="35"/>
  <c r="D177" i="35"/>
  <c r="E177" i="35"/>
  <c r="F177" i="35"/>
  <c r="G177" i="35"/>
  <c r="H177" i="35"/>
  <c r="I177" i="35"/>
  <c r="J177" i="35"/>
  <c r="K177" i="35"/>
  <c r="G184" i="35"/>
  <c r="H184" i="35"/>
  <c r="I184" i="35"/>
  <c r="J184" i="35"/>
  <c r="G185" i="35"/>
  <c r="H185" i="35"/>
  <c r="I185" i="35"/>
  <c r="J185" i="35"/>
  <c r="G186" i="35"/>
  <c r="H186" i="35"/>
  <c r="I186" i="35"/>
  <c r="J186" i="35"/>
  <c r="C187" i="35"/>
  <c r="D187" i="35"/>
  <c r="E187" i="35"/>
  <c r="F187" i="35"/>
  <c r="G187" i="35"/>
  <c r="H187" i="35"/>
  <c r="I187" i="35"/>
  <c r="J187" i="35"/>
  <c r="G194" i="35"/>
  <c r="H194" i="35"/>
  <c r="I194" i="35"/>
  <c r="J194" i="35"/>
  <c r="K194" i="35"/>
  <c r="G195" i="35"/>
  <c r="H195" i="35"/>
  <c r="I195" i="35"/>
  <c r="J195" i="35"/>
  <c r="K195" i="35"/>
  <c r="G196" i="35"/>
  <c r="H196" i="35"/>
  <c r="I196" i="35"/>
  <c r="J196" i="35"/>
  <c r="K196" i="35"/>
  <c r="C197" i="35"/>
  <c r="D197" i="35"/>
  <c r="E197" i="35"/>
  <c r="F197" i="35"/>
  <c r="G197" i="35"/>
  <c r="H197" i="35"/>
  <c r="I197" i="35"/>
  <c r="J197" i="35"/>
  <c r="K197" i="35"/>
  <c r="G206" i="35"/>
  <c r="H206" i="35"/>
  <c r="I206" i="35"/>
  <c r="J206" i="35"/>
  <c r="K206" i="35"/>
  <c r="G207" i="35"/>
  <c r="H207" i="35"/>
  <c r="I207" i="35"/>
  <c r="J207" i="35"/>
  <c r="K207" i="35"/>
  <c r="C209" i="35"/>
  <c r="D209" i="35"/>
  <c r="E209" i="35"/>
  <c r="F209" i="35"/>
  <c r="G209" i="35"/>
  <c r="H209" i="35"/>
  <c r="I209" i="35"/>
  <c r="J209" i="35"/>
  <c r="K209" i="35"/>
  <c r="G217" i="35"/>
  <c r="H217" i="35"/>
  <c r="I217" i="35"/>
  <c r="J217" i="35"/>
  <c r="K217" i="35"/>
  <c r="G218" i="35"/>
  <c r="H218" i="35"/>
  <c r="I218" i="35"/>
  <c r="J218" i="35"/>
  <c r="K218" i="35"/>
  <c r="G219" i="35"/>
  <c r="H219" i="35"/>
  <c r="I219" i="35"/>
  <c r="J219" i="35"/>
  <c r="K219" i="35"/>
  <c r="G220" i="35"/>
  <c r="H220" i="35"/>
  <c r="I220" i="35"/>
  <c r="J220" i="35"/>
  <c r="K220" i="35"/>
  <c r="F221" i="35"/>
  <c r="G221" i="35"/>
  <c r="H221" i="35"/>
  <c r="I221" i="35"/>
  <c r="J221" i="35"/>
  <c r="K221" i="35"/>
  <c r="H111" i="35"/>
  <c r="I111" i="35"/>
  <c r="J111" i="35"/>
  <c r="G113" i="35"/>
  <c r="H113" i="35"/>
  <c r="I113" i="35"/>
  <c r="J113" i="35"/>
  <c r="D100" i="35"/>
  <c r="E100" i="35"/>
  <c r="F100" i="35"/>
  <c r="G100" i="35"/>
  <c r="H100" i="35"/>
  <c r="I100" i="35"/>
  <c r="J100" i="35"/>
  <c r="K100" i="35"/>
  <c r="D101" i="35"/>
  <c r="E101" i="35"/>
  <c r="F101" i="35"/>
  <c r="G101" i="35"/>
  <c r="H101" i="35"/>
  <c r="I101" i="35"/>
  <c r="J101" i="35"/>
  <c r="K101" i="35"/>
  <c r="D102" i="35"/>
  <c r="E102" i="35"/>
  <c r="F102" i="35"/>
  <c r="G102" i="35"/>
  <c r="H102" i="35"/>
  <c r="I102" i="35"/>
  <c r="J102" i="35"/>
  <c r="K102" i="35"/>
  <c r="C103" i="35"/>
  <c r="D103" i="35"/>
  <c r="E103" i="35"/>
  <c r="F103" i="35"/>
  <c r="G103" i="35"/>
  <c r="H103" i="35"/>
  <c r="I103" i="35"/>
  <c r="J103" i="35"/>
  <c r="K103" i="35"/>
  <c r="D90" i="35"/>
  <c r="E90" i="35"/>
  <c r="F90" i="35"/>
  <c r="G90" i="35"/>
  <c r="H90" i="35"/>
  <c r="I90" i="35"/>
  <c r="D91" i="35"/>
  <c r="E91" i="35"/>
  <c r="F91" i="35"/>
  <c r="G91" i="35"/>
  <c r="H91" i="35"/>
  <c r="I91" i="35"/>
  <c r="D92" i="35"/>
  <c r="E92" i="35"/>
  <c r="F92" i="35"/>
  <c r="G92" i="35"/>
  <c r="H92" i="35"/>
  <c r="I92" i="35"/>
  <c r="C93" i="35"/>
  <c r="D93" i="35"/>
  <c r="E93" i="35"/>
  <c r="F93" i="35"/>
  <c r="G93" i="35"/>
  <c r="H93" i="35"/>
  <c r="I93" i="35"/>
  <c r="D81" i="35"/>
  <c r="E81" i="35"/>
  <c r="F81" i="35"/>
  <c r="G81" i="35"/>
  <c r="H81" i="35"/>
  <c r="I81" i="35"/>
  <c r="J81" i="35"/>
  <c r="K81" i="35"/>
  <c r="D82" i="35"/>
  <c r="E82" i="35"/>
  <c r="F82" i="35"/>
  <c r="G82" i="35"/>
  <c r="H82" i="35"/>
  <c r="I82" i="35"/>
  <c r="J82" i="35"/>
  <c r="K82" i="35"/>
  <c r="D83" i="35"/>
  <c r="E83" i="35"/>
  <c r="F83" i="35"/>
  <c r="G83" i="35"/>
  <c r="H83" i="35"/>
  <c r="I83" i="35"/>
  <c r="J83" i="35"/>
  <c r="K83" i="35"/>
  <c r="D71" i="35"/>
  <c r="E71" i="35"/>
  <c r="F71" i="35"/>
  <c r="G71" i="35"/>
  <c r="H71" i="35"/>
  <c r="I71" i="35"/>
  <c r="J71" i="35"/>
  <c r="C72" i="35"/>
  <c r="D72" i="35"/>
  <c r="E72" i="35"/>
  <c r="F72" i="35"/>
  <c r="G72" i="35"/>
  <c r="H72" i="35"/>
  <c r="I72" i="35"/>
  <c r="J72" i="35"/>
  <c r="C73" i="35"/>
  <c r="D73" i="35"/>
  <c r="E73" i="35"/>
  <c r="F73" i="35"/>
  <c r="G73" i="35"/>
  <c r="H73" i="35"/>
  <c r="I73" i="35"/>
  <c r="J73" i="35"/>
  <c r="D60" i="35"/>
  <c r="E60" i="35"/>
  <c r="F60" i="35"/>
  <c r="G60" i="35"/>
  <c r="H60" i="35"/>
  <c r="I60" i="35"/>
  <c r="J60" i="35"/>
  <c r="K60" i="35"/>
  <c r="D61" i="35"/>
  <c r="E61" i="35"/>
  <c r="F61" i="35"/>
  <c r="G61" i="35"/>
  <c r="H61" i="35"/>
  <c r="I61" i="35"/>
  <c r="J61" i="35"/>
  <c r="K61" i="35"/>
  <c r="C62" i="35"/>
  <c r="D62" i="35"/>
  <c r="E62" i="35"/>
  <c r="F62" i="35"/>
  <c r="G62" i="35"/>
  <c r="H62" i="35"/>
  <c r="I62" i="35"/>
  <c r="J62" i="35"/>
  <c r="K62" i="35"/>
  <c r="C63" i="35"/>
  <c r="D63" i="35"/>
  <c r="E63" i="35"/>
  <c r="F63" i="35"/>
  <c r="G63" i="35"/>
  <c r="H63" i="35"/>
  <c r="I63" i="35"/>
  <c r="J63" i="35"/>
  <c r="K63" i="35"/>
  <c r="D50" i="35"/>
  <c r="E50" i="35"/>
  <c r="F50" i="35"/>
  <c r="G50" i="35"/>
  <c r="H50" i="35"/>
  <c r="I50" i="35"/>
  <c r="D51" i="35"/>
  <c r="E51" i="35"/>
  <c r="F51" i="35"/>
  <c r="G51" i="35"/>
  <c r="H51" i="35"/>
  <c r="I51" i="35"/>
  <c r="C52" i="35"/>
  <c r="D52" i="35"/>
  <c r="E52" i="35"/>
  <c r="F52" i="35"/>
  <c r="G52" i="35"/>
  <c r="H52" i="35"/>
  <c r="I52" i="35"/>
  <c r="C53" i="35"/>
  <c r="D53" i="35"/>
  <c r="E53" i="35"/>
  <c r="F53" i="35"/>
  <c r="G53" i="35"/>
  <c r="H53" i="35"/>
  <c r="I53" i="35"/>
  <c r="D41" i="35"/>
  <c r="E41" i="35"/>
  <c r="F41" i="35"/>
  <c r="G41" i="35"/>
  <c r="H41" i="35"/>
  <c r="I41" i="35"/>
  <c r="J41" i="35"/>
  <c r="C42" i="35"/>
  <c r="D42" i="35"/>
  <c r="E42" i="35"/>
  <c r="F42" i="35"/>
  <c r="G42" i="35"/>
  <c r="H42" i="35"/>
  <c r="I42" i="35"/>
  <c r="J42" i="35"/>
  <c r="C43" i="35"/>
  <c r="D43" i="35"/>
  <c r="E43" i="35"/>
  <c r="F43" i="35"/>
  <c r="G43" i="35"/>
  <c r="H43" i="35"/>
  <c r="I43" i="35"/>
  <c r="J43" i="35"/>
  <c r="D31" i="35"/>
  <c r="E31" i="35"/>
  <c r="F31" i="35"/>
  <c r="G31" i="35"/>
  <c r="H31" i="35"/>
  <c r="I31" i="35"/>
  <c r="J31" i="35"/>
  <c r="C33" i="35"/>
  <c r="D33" i="35"/>
  <c r="E33" i="35"/>
  <c r="F33" i="35"/>
  <c r="G33" i="35"/>
  <c r="H33" i="35"/>
  <c r="I33" i="35"/>
  <c r="J33" i="35"/>
  <c r="C22" i="35"/>
  <c r="D22" i="35"/>
  <c r="E22" i="35"/>
  <c r="F22" i="35"/>
  <c r="G22" i="35"/>
  <c r="H22" i="35"/>
  <c r="I22" i="35"/>
  <c r="J22" i="35"/>
  <c r="C23" i="35"/>
  <c r="D23" i="35"/>
  <c r="E23" i="35"/>
  <c r="F23" i="35"/>
  <c r="G23" i="35"/>
  <c r="H23" i="35"/>
  <c r="I23" i="35"/>
  <c r="J23" i="35"/>
  <c r="D10" i="35"/>
  <c r="E10" i="35"/>
  <c r="F10" i="35"/>
  <c r="G10" i="35"/>
  <c r="H10" i="35"/>
  <c r="I10" i="35"/>
  <c r="J10" i="35"/>
  <c r="D11" i="35"/>
  <c r="E11" i="35"/>
  <c r="F11" i="35"/>
  <c r="G11" i="35"/>
  <c r="H11" i="35"/>
  <c r="I11" i="35"/>
  <c r="J11" i="35"/>
  <c r="D12" i="35"/>
  <c r="E12" i="35"/>
  <c r="F12" i="35"/>
  <c r="G12" i="35"/>
  <c r="H12" i="35"/>
  <c r="I12" i="35"/>
  <c r="J12" i="35"/>
  <c r="C13" i="35"/>
  <c r="D13" i="35"/>
  <c r="E13" i="35"/>
  <c r="F13" i="35"/>
  <c r="G13" i="35"/>
  <c r="H13" i="35"/>
  <c r="I13" i="35"/>
  <c r="J13" i="35"/>
  <c r="J102" i="2"/>
  <c r="J103" i="2"/>
  <c r="J104" i="2"/>
  <c r="J108" i="2"/>
  <c r="J125" i="2"/>
  <c r="J121" i="2"/>
  <c r="J117" i="2"/>
  <c r="J116" i="2"/>
  <c r="J115" i="2"/>
  <c r="J114" i="2"/>
  <c r="J112" i="2"/>
  <c r="J127" i="2"/>
  <c r="J250" i="2"/>
  <c r="J252" i="2"/>
  <c r="J251" i="2"/>
  <c r="J253" i="2"/>
  <c r="J254" i="2"/>
  <c r="J81" i="2"/>
  <c r="J85" i="2"/>
  <c r="J89" i="2"/>
  <c r="E250" i="2"/>
  <c r="E251" i="2"/>
  <c r="E252" i="2"/>
  <c r="E253" i="2"/>
  <c r="E254" i="2"/>
  <c r="J91" i="2"/>
  <c r="J95" i="2"/>
  <c r="J99" i="2"/>
  <c r="J100" i="2"/>
  <c r="J57" i="2"/>
  <c r="J61" i="2"/>
  <c r="J65" i="2"/>
  <c r="J66" i="2"/>
  <c r="J70" i="2"/>
  <c r="J71" i="2"/>
  <c r="J75" i="2"/>
  <c r="J56" i="2"/>
  <c r="K17" i="2"/>
  <c r="K16" i="2"/>
  <c r="K12" i="2"/>
  <c r="K8" i="2"/>
  <c r="D4" i="2"/>
  <c r="C4" i="2"/>
  <c r="E4" i="2"/>
  <c r="F4" i="2"/>
  <c r="K4" i="2"/>
  <c r="K102" i="2"/>
  <c r="J129" i="2"/>
  <c r="J130" i="2"/>
  <c r="J179" i="2"/>
  <c r="J180" i="2"/>
  <c r="J188" i="2"/>
  <c r="J133" i="2"/>
  <c r="J134" i="2"/>
  <c r="J135" i="2"/>
  <c r="J139" i="2"/>
  <c r="J143" i="2"/>
  <c r="J147" i="2"/>
  <c r="J151" i="2"/>
  <c r="J153" i="2"/>
  <c r="J154" i="2"/>
  <c r="J155" i="2"/>
  <c r="J156" i="2"/>
  <c r="K65" i="2"/>
  <c r="G2" i="2"/>
  <c r="H2" i="2"/>
  <c r="I2" i="2"/>
  <c r="J2" i="2"/>
  <c r="J239" i="2"/>
  <c r="J240" i="2"/>
  <c r="J241" i="2"/>
  <c r="J242" i="2"/>
  <c r="J243" i="2"/>
  <c r="J244" i="2"/>
  <c r="J245" i="2"/>
  <c r="J246" i="2"/>
  <c r="J230" i="2"/>
  <c r="J231" i="2"/>
  <c r="J232" i="2"/>
  <c r="J233" i="2"/>
  <c r="J234" i="2"/>
  <c r="J235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E214" i="2"/>
  <c r="K214" i="2"/>
  <c r="E155" i="2"/>
  <c r="F155" i="2"/>
  <c r="E154" i="2"/>
  <c r="F154" i="2"/>
  <c r="J190" i="2"/>
  <c r="J194" i="2"/>
  <c r="J209" i="2"/>
  <c r="J208" i="2"/>
  <c r="J207" i="2"/>
  <c r="J206" i="2"/>
  <c r="J202" i="2"/>
  <c r="J198" i="2"/>
  <c r="K210" i="2"/>
  <c r="J236" i="2"/>
  <c r="J159" i="2"/>
  <c r="J163" i="2"/>
  <c r="J167" i="2"/>
  <c r="J171" i="2"/>
  <c r="J184" i="2"/>
  <c r="J183" i="2"/>
  <c r="J175" i="2"/>
  <c r="K185" i="2"/>
  <c r="J247" i="2"/>
  <c r="T1" i="2"/>
  <c r="U1" i="2"/>
  <c r="T2" i="2"/>
  <c r="U2" i="2"/>
  <c r="V1" i="2"/>
  <c r="W1" i="2"/>
  <c r="E244" i="2"/>
  <c r="K244" i="2"/>
  <c r="E245" i="2"/>
  <c r="K245" i="2"/>
  <c r="E246" i="2"/>
  <c r="K246" i="2"/>
  <c r="E235" i="2"/>
  <c r="K235" i="2"/>
  <c r="E234" i="2"/>
  <c r="K234" i="2"/>
  <c r="E227" i="2"/>
  <c r="K227" i="2"/>
  <c r="E226" i="2"/>
  <c r="K226" i="2"/>
  <c r="E225" i="2"/>
  <c r="K225" i="2"/>
  <c r="E224" i="2"/>
  <c r="K224" i="2"/>
  <c r="K209" i="2"/>
  <c r="K208" i="2"/>
  <c r="K207" i="2"/>
  <c r="K206" i="2"/>
  <c r="K202" i="2"/>
  <c r="K198" i="2"/>
  <c r="K194" i="2"/>
  <c r="K190" i="2"/>
  <c r="K52" i="2"/>
  <c r="K48" i="2"/>
  <c r="K42" i="2"/>
  <c r="K44" i="2"/>
  <c r="K36" i="2"/>
  <c r="K34" i="2"/>
  <c r="K32" i="2"/>
  <c r="K30" i="2"/>
  <c r="K38" i="2"/>
  <c r="K24" i="2"/>
  <c r="K155" i="2"/>
  <c r="K154" i="2"/>
  <c r="K153" i="2"/>
  <c r="K151" i="2"/>
  <c r="K134" i="2"/>
  <c r="K133" i="2"/>
  <c r="K147" i="2"/>
  <c r="K143" i="2"/>
  <c r="K139" i="2"/>
  <c r="K135" i="2"/>
  <c r="K184" i="2"/>
  <c r="K183" i="2"/>
  <c r="K175" i="2"/>
  <c r="K171" i="2"/>
  <c r="K167" i="2"/>
  <c r="K163" i="2"/>
  <c r="K159" i="2"/>
  <c r="K125" i="2"/>
  <c r="K121" i="2"/>
  <c r="K117" i="2"/>
  <c r="K116" i="2"/>
  <c r="K115" i="2"/>
  <c r="K112" i="2"/>
  <c r="K114" i="2"/>
  <c r="K108" i="2"/>
  <c r="K104" i="2"/>
  <c r="K99" i="2"/>
  <c r="K95" i="2"/>
  <c r="K91" i="2"/>
  <c r="K85" i="2"/>
  <c r="K81" i="2"/>
  <c r="K75" i="2"/>
  <c r="K70" i="2"/>
  <c r="K71" i="2"/>
  <c r="K66" i="2"/>
  <c r="K61" i="2"/>
  <c r="K57" i="2"/>
  <c r="AP2" i="33"/>
  <c r="AQ2" i="33"/>
  <c r="AR2" i="33"/>
  <c r="AS233" i="38"/>
  <c r="AS240" i="38"/>
  <c r="AS2" i="38"/>
  <c r="AR233" i="38"/>
  <c r="AR240" i="38"/>
  <c r="AR2" i="38"/>
  <c r="AQ233" i="38"/>
  <c r="AQ240" i="38"/>
  <c r="AQ2" i="38"/>
  <c r="AP233" i="38"/>
  <c r="AP240" i="38"/>
  <c r="AP2" i="38"/>
  <c r="AO233" i="38"/>
  <c r="AO240" i="38"/>
  <c r="AO2" i="38"/>
  <c r="AO67" i="40"/>
  <c r="AP67" i="40"/>
  <c r="AQ67" i="40"/>
  <c r="AR67" i="40"/>
  <c r="AS67" i="40"/>
  <c r="AO68" i="40"/>
  <c r="AP68" i="40"/>
  <c r="AQ68" i="40"/>
  <c r="AR68" i="40"/>
  <c r="AS68" i="40"/>
  <c r="AO71" i="40"/>
  <c r="AP64" i="40"/>
  <c r="AP71" i="40"/>
  <c r="AQ64" i="40"/>
  <c r="AQ71" i="40"/>
  <c r="AR64" i="40"/>
  <c r="AR71" i="40"/>
  <c r="AS64" i="40"/>
  <c r="AS71" i="40"/>
  <c r="AO65" i="40"/>
  <c r="AO72" i="40"/>
  <c r="AP65" i="40"/>
  <c r="AP72" i="40"/>
  <c r="AQ65" i="40"/>
  <c r="AQ72" i="40"/>
  <c r="AR65" i="40"/>
  <c r="AR72" i="40"/>
  <c r="AS65" i="40"/>
  <c r="AS72" i="40"/>
  <c r="AO73" i="40"/>
  <c r="AP73" i="40"/>
  <c r="AQ73" i="40"/>
  <c r="AR73" i="40"/>
  <c r="AS73" i="40"/>
  <c r="AO74" i="40"/>
  <c r="AP74" i="40"/>
  <c r="AQ74" i="40"/>
  <c r="AR74" i="40"/>
  <c r="AS74" i="40"/>
  <c r="AP76" i="40"/>
  <c r="AQ76" i="40"/>
  <c r="AR76" i="40"/>
  <c r="AS76" i="40"/>
  <c r="AO77" i="40"/>
  <c r="AP77" i="40"/>
  <c r="AQ77" i="40"/>
  <c r="AR77" i="40"/>
  <c r="AS77" i="40"/>
  <c r="AO79" i="40"/>
  <c r="AP79" i="40"/>
  <c r="AQ79" i="40"/>
  <c r="AR79" i="40"/>
  <c r="AS79" i="40"/>
  <c r="AO80" i="40"/>
  <c r="AP80" i="40"/>
  <c r="AQ80" i="40"/>
  <c r="AR80" i="40"/>
  <c r="AS80" i="40"/>
  <c r="AO83" i="40"/>
  <c r="AP83" i="40"/>
  <c r="AQ83" i="40"/>
  <c r="AR83" i="40"/>
  <c r="AS83" i="40"/>
  <c r="AO84" i="40"/>
  <c r="AP84" i="40"/>
  <c r="AQ84" i="40"/>
  <c r="AR84" i="40"/>
  <c r="AS84" i="40"/>
  <c r="AO85" i="40"/>
  <c r="AP85" i="40"/>
  <c r="AQ85" i="40"/>
  <c r="AR85" i="40"/>
  <c r="AS85" i="40"/>
  <c r="AO86" i="40"/>
  <c r="AP86" i="40"/>
  <c r="AQ86" i="40"/>
  <c r="AR86" i="40"/>
  <c r="AS86" i="40"/>
  <c r="AP88" i="40"/>
  <c r="AQ88" i="40"/>
  <c r="AR88" i="40"/>
  <c r="AS88" i="40"/>
  <c r="AO89" i="40"/>
  <c r="AP89" i="40"/>
  <c r="AQ89" i="40"/>
  <c r="AR89" i="40"/>
  <c r="AS89" i="40"/>
  <c r="AO91" i="40"/>
  <c r="AP91" i="40"/>
  <c r="AQ91" i="40"/>
  <c r="AR91" i="40"/>
  <c r="AS91" i="40"/>
  <c r="AO92" i="40"/>
  <c r="AP92" i="40"/>
  <c r="AQ92" i="40"/>
  <c r="AR92" i="40"/>
  <c r="AS92" i="40"/>
  <c r="AO95" i="40"/>
  <c r="AP95" i="40"/>
  <c r="AQ95" i="40"/>
  <c r="AR95" i="40"/>
  <c r="AS95" i="40"/>
  <c r="AO96" i="40"/>
  <c r="AP96" i="40"/>
  <c r="AQ96" i="40"/>
  <c r="AR96" i="40"/>
  <c r="AS96" i="40"/>
  <c r="AO97" i="40"/>
  <c r="AP97" i="40"/>
  <c r="AQ97" i="40"/>
  <c r="AR97" i="40"/>
  <c r="AS97" i="40"/>
  <c r="AO98" i="40"/>
  <c r="AP98" i="40"/>
  <c r="AQ98" i="40"/>
  <c r="AR98" i="40"/>
  <c r="AS98" i="40"/>
  <c r="AP100" i="40"/>
  <c r="AQ100" i="40"/>
  <c r="AR100" i="40"/>
  <c r="AS100" i="40"/>
  <c r="AO101" i="40"/>
  <c r="AP101" i="40"/>
  <c r="AQ101" i="40"/>
  <c r="AR101" i="40"/>
  <c r="AS101" i="40"/>
  <c r="AO103" i="40"/>
  <c r="AP103" i="40"/>
  <c r="AQ103" i="40"/>
  <c r="AR103" i="40"/>
  <c r="AS103" i="40"/>
  <c r="AO104" i="40"/>
  <c r="AP104" i="40"/>
  <c r="AQ104" i="40"/>
  <c r="AR104" i="40"/>
  <c r="AS104" i="40"/>
  <c r="AO107" i="40"/>
  <c r="AP107" i="40"/>
  <c r="AQ107" i="40"/>
  <c r="AR107" i="40"/>
  <c r="AS107" i="40"/>
  <c r="AO108" i="40"/>
  <c r="AP108" i="40"/>
  <c r="AQ108" i="40"/>
  <c r="AR108" i="40"/>
  <c r="AS108" i="40"/>
  <c r="AO109" i="40"/>
  <c r="AP109" i="40"/>
  <c r="AQ109" i="40"/>
  <c r="AR109" i="40"/>
  <c r="AS109" i="40"/>
  <c r="AO110" i="40"/>
  <c r="AP110" i="40"/>
  <c r="AQ110" i="40"/>
  <c r="AR110" i="40"/>
  <c r="AS110" i="40"/>
  <c r="AO59" i="40"/>
  <c r="AP52" i="40"/>
  <c r="AP59" i="40"/>
  <c r="AQ52" i="40"/>
  <c r="AQ59" i="40"/>
  <c r="AR52" i="40"/>
  <c r="AR59" i="40"/>
  <c r="AS52" i="40"/>
  <c r="AS59" i="40"/>
  <c r="AO53" i="40"/>
  <c r="AO60" i="40"/>
  <c r="AP53" i="40"/>
  <c r="AP60" i="40"/>
  <c r="AQ53" i="40"/>
  <c r="AQ60" i="40"/>
  <c r="AR53" i="40"/>
  <c r="AR60" i="40"/>
  <c r="AS53" i="40"/>
  <c r="AS60" i="40"/>
  <c r="AO61" i="40"/>
  <c r="AP61" i="40"/>
  <c r="AQ61" i="40"/>
  <c r="AR61" i="40"/>
  <c r="AS61" i="40"/>
  <c r="AO62" i="40"/>
  <c r="AP62" i="40"/>
  <c r="AQ62" i="40"/>
  <c r="AR62" i="40"/>
  <c r="AS62" i="40"/>
  <c r="AO55" i="40"/>
  <c r="AP55" i="40"/>
  <c r="AQ55" i="40"/>
  <c r="AR55" i="40"/>
  <c r="AS55" i="40"/>
  <c r="AO56" i="40"/>
  <c r="AP56" i="40"/>
  <c r="AQ56" i="40"/>
  <c r="AR56" i="40"/>
  <c r="AS56" i="40"/>
  <c r="AO47" i="40"/>
  <c r="AP40" i="40"/>
  <c r="AP47" i="40"/>
  <c r="AQ40" i="40"/>
  <c r="AQ47" i="40"/>
  <c r="AR40" i="40"/>
  <c r="AR47" i="40"/>
  <c r="AS40" i="40"/>
  <c r="AS47" i="40"/>
  <c r="AO41" i="40"/>
  <c r="AO48" i="40"/>
  <c r="AP41" i="40"/>
  <c r="AP48" i="40"/>
  <c r="AQ41" i="40"/>
  <c r="AQ48" i="40"/>
  <c r="AR41" i="40"/>
  <c r="AR48" i="40"/>
  <c r="AS41" i="40"/>
  <c r="AS48" i="40"/>
  <c r="AO49" i="40"/>
  <c r="AP49" i="40"/>
  <c r="AQ49" i="40"/>
  <c r="AR49" i="40"/>
  <c r="AS49" i="40"/>
  <c r="AO50" i="40"/>
  <c r="AP50" i="40"/>
  <c r="AQ50" i="40"/>
  <c r="AR50" i="40"/>
  <c r="AS50" i="40"/>
  <c r="AO43" i="40"/>
  <c r="AP43" i="40"/>
  <c r="AQ43" i="40"/>
  <c r="AR43" i="40"/>
  <c r="AS43" i="40"/>
  <c r="AO44" i="40"/>
  <c r="AP44" i="40"/>
  <c r="AQ44" i="40"/>
  <c r="AR44" i="40"/>
  <c r="AS44" i="40"/>
  <c r="AO35" i="40"/>
  <c r="AP28" i="40"/>
  <c r="AP35" i="40"/>
  <c r="AQ28" i="40"/>
  <c r="AQ35" i="40"/>
  <c r="AR28" i="40"/>
  <c r="AR35" i="40"/>
  <c r="AS28" i="40"/>
  <c r="AS35" i="40"/>
  <c r="AO29" i="40"/>
  <c r="AO36" i="40"/>
  <c r="AP29" i="40"/>
  <c r="AP36" i="40"/>
  <c r="AQ29" i="40"/>
  <c r="AQ36" i="40"/>
  <c r="AR29" i="40"/>
  <c r="AR36" i="40"/>
  <c r="AS29" i="40"/>
  <c r="AS36" i="40"/>
  <c r="AO37" i="40"/>
  <c r="AP37" i="40"/>
  <c r="AQ37" i="40"/>
  <c r="AR37" i="40"/>
  <c r="AS37" i="40"/>
  <c r="AO38" i="40"/>
  <c r="AP38" i="40"/>
  <c r="AQ38" i="40"/>
  <c r="AR38" i="40"/>
  <c r="AS38" i="40"/>
  <c r="AO31" i="40"/>
  <c r="AP31" i="40"/>
  <c r="AQ31" i="40"/>
  <c r="AR31" i="40"/>
  <c r="AS31" i="40"/>
  <c r="AO32" i="40"/>
  <c r="AP32" i="40"/>
  <c r="AQ32" i="40"/>
  <c r="AR32" i="40"/>
  <c r="AS32" i="40"/>
  <c r="AO23" i="40"/>
  <c r="AP16" i="40"/>
  <c r="AP23" i="40"/>
  <c r="AQ16" i="40"/>
  <c r="AQ23" i="40"/>
  <c r="AR16" i="40"/>
  <c r="AR23" i="40"/>
  <c r="AS16" i="40"/>
  <c r="AS23" i="40"/>
  <c r="AO17" i="40"/>
  <c r="AO24" i="40"/>
  <c r="AP17" i="40"/>
  <c r="AP24" i="40"/>
  <c r="AQ17" i="40"/>
  <c r="AQ24" i="40"/>
  <c r="AR17" i="40"/>
  <c r="AR24" i="40"/>
  <c r="AS17" i="40"/>
  <c r="AS24" i="40"/>
  <c r="AO25" i="40"/>
  <c r="AP25" i="40"/>
  <c r="AQ25" i="40"/>
  <c r="AR25" i="40"/>
  <c r="AS25" i="40"/>
  <c r="AO26" i="40"/>
  <c r="AP26" i="40"/>
  <c r="AQ26" i="40"/>
  <c r="AR26" i="40"/>
  <c r="AS26" i="40"/>
  <c r="AO19" i="40"/>
  <c r="AP19" i="40"/>
  <c r="AQ19" i="40"/>
  <c r="AR19" i="40"/>
  <c r="AS19" i="40"/>
  <c r="AO20" i="40"/>
  <c r="AP20" i="40"/>
  <c r="AQ20" i="40"/>
  <c r="AR20" i="40"/>
  <c r="AS20" i="40"/>
  <c r="AP10" i="40"/>
  <c r="AQ10" i="40"/>
  <c r="AR10" i="40"/>
  <c r="AS10" i="40"/>
  <c r="AO11" i="40"/>
  <c r="AP4" i="40"/>
  <c r="AP11" i="40"/>
  <c r="AQ4" i="40"/>
  <c r="AQ11" i="40"/>
  <c r="AR4" i="40"/>
  <c r="AR11" i="40"/>
  <c r="AS4" i="40"/>
  <c r="AS11" i="40"/>
  <c r="AO5" i="40"/>
  <c r="AO12" i="40"/>
  <c r="AP5" i="40"/>
  <c r="AP12" i="40"/>
  <c r="AQ5" i="40"/>
  <c r="AQ12" i="40"/>
  <c r="AR5" i="40"/>
  <c r="AR12" i="40"/>
  <c r="AS5" i="40"/>
  <c r="AS12" i="40"/>
  <c r="AO13" i="40"/>
  <c r="AP13" i="40"/>
  <c r="AQ13" i="40"/>
  <c r="AR13" i="40"/>
  <c r="AS13" i="40"/>
  <c r="AO14" i="40"/>
  <c r="AP14" i="40"/>
  <c r="AQ14" i="40"/>
  <c r="AR14" i="40"/>
  <c r="AS14" i="40"/>
  <c r="AO7" i="40"/>
  <c r="AP7" i="40"/>
  <c r="AQ7" i="40"/>
  <c r="AR7" i="40"/>
  <c r="AS7" i="40"/>
  <c r="AO8" i="40"/>
  <c r="AP8" i="40"/>
  <c r="AQ8" i="40"/>
  <c r="AR8" i="40"/>
  <c r="AS8" i="40"/>
  <c r="AO1" i="40"/>
  <c r="AP1" i="40"/>
  <c r="AQ1" i="40"/>
  <c r="AR1" i="40"/>
  <c r="AS1" i="40"/>
  <c r="AO2" i="40"/>
  <c r="AP2" i="40"/>
  <c r="AQ2" i="40"/>
  <c r="AR2" i="40"/>
  <c r="AS2" i="40"/>
  <c r="AM10" i="34"/>
  <c r="AN10" i="34"/>
  <c r="AO10" i="34"/>
  <c r="AP10" i="34"/>
  <c r="AQ10" i="34"/>
  <c r="AR10" i="34"/>
  <c r="AS10" i="34"/>
  <c r="AN10" i="37"/>
  <c r="AO10" i="37"/>
  <c r="AP10" i="37"/>
  <c r="AQ10" i="37"/>
  <c r="AR10" i="37"/>
  <c r="AS10" i="37"/>
  <c r="AP10" i="36"/>
  <c r="AQ10" i="36"/>
  <c r="AR10" i="36"/>
  <c r="AS10" i="36"/>
  <c r="AP10" i="38"/>
  <c r="AQ10" i="38"/>
  <c r="AR10" i="38"/>
  <c r="AS10" i="38"/>
  <c r="AO10" i="39"/>
  <c r="AP10" i="39"/>
  <c r="AQ10" i="39"/>
  <c r="AR10" i="39"/>
  <c r="AS10" i="39"/>
  <c r="AO10" i="41"/>
  <c r="AP10" i="41"/>
  <c r="AQ10" i="41"/>
  <c r="AR10" i="41"/>
  <c r="AS10" i="41"/>
  <c r="AN2" i="39"/>
  <c r="AO2" i="39"/>
  <c r="AP2" i="39"/>
  <c r="AQ2" i="39"/>
  <c r="AR2" i="39"/>
  <c r="AS2" i="39"/>
  <c r="AN2" i="41"/>
  <c r="AO2" i="41"/>
  <c r="AP2" i="41"/>
  <c r="AQ2" i="41"/>
  <c r="AR2" i="41"/>
  <c r="AS2" i="41"/>
  <c r="AN1" i="41"/>
  <c r="AO1" i="41"/>
  <c r="AP1" i="41"/>
  <c r="AQ1" i="41"/>
  <c r="AR1" i="41"/>
  <c r="AS1" i="41"/>
  <c r="B2" i="41"/>
  <c r="AS97" i="41"/>
  <c r="AS98" i="41"/>
  <c r="AR97" i="41"/>
  <c r="AR98" i="41"/>
  <c r="AQ97" i="41"/>
  <c r="AQ98" i="41"/>
  <c r="AP97" i="41"/>
  <c r="AP98" i="41"/>
  <c r="AO97" i="41"/>
  <c r="AO98" i="41"/>
  <c r="AN97" i="41"/>
  <c r="AN98" i="41"/>
  <c r="A97" i="41"/>
  <c r="A94" i="41"/>
  <c r="A98" i="41"/>
  <c r="AS89" i="41"/>
  <c r="AS96" i="41"/>
  <c r="AR89" i="41"/>
  <c r="AR96" i="41"/>
  <c r="AQ89" i="41"/>
  <c r="AQ96" i="41"/>
  <c r="AP89" i="41"/>
  <c r="AP96" i="41"/>
  <c r="AO89" i="41"/>
  <c r="AO96" i="41"/>
  <c r="AN89" i="41"/>
  <c r="AN96" i="41"/>
  <c r="A96" i="41"/>
  <c r="AS88" i="41"/>
  <c r="AS95" i="41"/>
  <c r="AR88" i="41"/>
  <c r="AR95" i="41"/>
  <c r="AQ88" i="41"/>
  <c r="AQ95" i="41"/>
  <c r="AP88" i="41"/>
  <c r="AP95" i="41"/>
  <c r="AO88" i="41"/>
  <c r="AO95" i="41"/>
  <c r="AN88" i="41"/>
  <c r="AN95" i="41"/>
  <c r="A95" i="41"/>
  <c r="AS92" i="41"/>
  <c r="AR92" i="41"/>
  <c r="AQ92" i="41"/>
  <c r="AP92" i="41"/>
  <c r="AO92" i="41"/>
  <c r="AN92" i="41"/>
  <c r="AS91" i="41"/>
  <c r="AR91" i="41"/>
  <c r="AQ91" i="41"/>
  <c r="AP91" i="41"/>
  <c r="AO91" i="41"/>
  <c r="AN91" i="41"/>
  <c r="A64" i="41"/>
  <c r="A76" i="41"/>
  <c r="A88" i="41"/>
  <c r="A63" i="41"/>
  <c r="A75" i="41"/>
  <c r="A87" i="41"/>
  <c r="AS85" i="41"/>
  <c r="AS86" i="41"/>
  <c r="AR85" i="41"/>
  <c r="AR86" i="41"/>
  <c r="AQ85" i="41"/>
  <c r="AQ86" i="41"/>
  <c r="AP85" i="41"/>
  <c r="AP86" i="41"/>
  <c r="AO85" i="41"/>
  <c r="AO86" i="41"/>
  <c r="AN85" i="41"/>
  <c r="AN86" i="41"/>
  <c r="A85" i="41"/>
  <c r="A82" i="41"/>
  <c r="A86" i="41"/>
  <c r="AS77" i="41"/>
  <c r="AS84" i="41"/>
  <c r="AR77" i="41"/>
  <c r="AR84" i="41"/>
  <c r="AQ77" i="41"/>
  <c r="AQ84" i="41"/>
  <c r="AP77" i="41"/>
  <c r="AP84" i="41"/>
  <c r="AO77" i="41"/>
  <c r="AO84" i="41"/>
  <c r="AN77" i="41"/>
  <c r="AN84" i="41"/>
  <c r="A84" i="41"/>
  <c r="AS76" i="41"/>
  <c r="AS83" i="41"/>
  <c r="AR76" i="41"/>
  <c r="AR83" i="41"/>
  <c r="AQ76" i="41"/>
  <c r="AQ83" i="41"/>
  <c r="AP76" i="41"/>
  <c r="AP83" i="41"/>
  <c r="AO76" i="41"/>
  <c r="AO83" i="41"/>
  <c r="AN76" i="41"/>
  <c r="AN83" i="41"/>
  <c r="A83" i="41"/>
  <c r="AS80" i="41"/>
  <c r="AR80" i="41"/>
  <c r="AQ80" i="41"/>
  <c r="AP80" i="41"/>
  <c r="AO80" i="41"/>
  <c r="AN80" i="41"/>
  <c r="AS79" i="41"/>
  <c r="AR79" i="41"/>
  <c r="AQ79" i="41"/>
  <c r="AP79" i="41"/>
  <c r="AO79" i="41"/>
  <c r="AN79" i="41"/>
  <c r="AS73" i="41"/>
  <c r="AS74" i="41"/>
  <c r="AR73" i="41"/>
  <c r="AR74" i="41"/>
  <c r="AQ73" i="41"/>
  <c r="AQ74" i="41"/>
  <c r="AP73" i="41"/>
  <c r="AP74" i="41"/>
  <c r="AO73" i="41"/>
  <c r="AO74" i="41"/>
  <c r="AN73" i="41"/>
  <c r="AN74" i="41"/>
  <c r="A73" i="41"/>
  <c r="A70" i="41"/>
  <c r="A74" i="41"/>
  <c r="AS65" i="41"/>
  <c r="AS72" i="41"/>
  <c r="AR65" i="41"/>
  <c r="AR72" i="41"/>
  <c r="AQ65" i="41"/>
  <c r="AQ72" i="41"/>
  <c r="AP65" i="41"/>
  <c r="AP72" i="41"/>
  <c r="AO65" i="41"/>
  <c r="AO72" i="41"/>
  <c r="AN65" i="41"/>
  <c r="AN72" i="41"/>
  <c r="A72" i="41"/>
  <c r="AS64" i="41"/>
  <c r="AS71" i="41"/>
  <c r="AR64" i="41"/>
  <c r="AR71" i="41"/>
  <c r="AQ64" i="41"/>
  <c r="AQ71" i="41"/>
  <c r="AP64" i="41"/>
  <c r="AP71" i="41"/>
  <c r="AO64" i="41"/>
  <c r="AO71" i="41"/>
  <c r="AN64" i="41"/>
  <c r="AN71" i="41"/>
  <c r="A71" i="41"/>
  <c r="AS68" i="41"/>
  <c r="AR68" i="41"/>
  <c r="AQ68" i="41"/>
  <c r="AP68" i="41"/>
  <c r="AO68" i="41"/>
  <c r="AN68" i="41"/>
  <c r="AS67" i="41"/>
  <c r="AR67" i="41"/>
  <c r="AQ67" i="41"/>
  <c r="AP67" i="41"/>
  <c r="AO67" i="41"/>
  <c r="AN67" i="41"/>
  <c r="AS61" i="41"/>
  <c r="AS62" i="41"/>
  <c r="AR61" i="41"/>
  <c r="AR62" i="41"/>
  <c r="AQ61" i="41"/>
  <c r="AQ62" i="41"/>
  <c r="AP61" i="41"/>
  <c r="AP62" i="41"/>
  <c r="AO61" i="41"/>
  <c r="AO62" i="41"/>
  <c r="AN61" i="41"/>
  <c r="AN62" i="41"/>
  <c r="A61" i="41"/>
  <c r="A58" i="41"/>
  <c r="A62" i="41"/>
  <c r="AS53" i="41"/>
  <c r="AS60" i="41"/>
  <c r="AR53" i="41"/>
  <c r="AR60" i="41"/>
  <c r="AQ53" i="41"/>
  <c r="AQ60" i="41"/>
  <c r="AP53" i="41"/>
  <c r="AP60" i="41"/>
  <c r="AO53" i="41"/>
  <c r="AO60" i="41"/>
  <c r="AN53" i="41"/>
  <c r="AN60" i="41"/>
  <c r="A60" i="41"/>
  <c r="AS52" i="41"/>
  <c r="AS59" i="41"/>
  <c r="AR52" i="41"/>
  <c r="AR59" i="41"/>
  <c r="AQ52" i="41"/>
  <c r="AQ59" i="41"/>
  <c r="AP52" i="41"/>
  <c r="AP59" i="41"/>
  <c r="AO52" i="41"/>
  <c r="AO59" i="41"/>
  <c r="AN52" i="41"/>
  <c r="AN59" i="41"/>
  <c r="A59" i="41"/>
  <c r="AS56" i="41"/>
  <c r="AR56" i="41"/>
  <c r="AQ56" i="41"/>
  <c r="AP56" i="41"/>
  <c r="AO56" i="41"/>
  <c r="AN56" i="41"/>
  <c r="AS55" i="41"/>
  <c r="AR55" i="41"/>
  <c r="AQ55" i="41"/>
  <c r="AP55" i="41"/>
  <c r="AO55" i="41"/>
  <c r="AN55" i="41"/>
  <c r="A55" i="41"/>
  <c r="AS49" i="41"/>
  <c r="AS50" i="41"/>
  <c r="AR49" i="41"/>
  <c r="AR50" i="41"/>
  <c r="AQ49" i="41"/>
  <c r="AQ50" i="41"/>
  <c r="AP49" i="41"/>
  <c r="AP50" i="41"/>
  <c r="AO49" i="41"/>
  <c r="AO50" i="41"/>
  <c r="AN49" i="41"/>
  <c r="AN50" i="41"/>
  <c r="A49" i="41"/>
  <c r="A46" i="41"/>
  <c r="A50" i="41"/>
  <c r="AS41" i="41"/>
  <c r="AS48" i="41"/>
  <c r="AR41" i="41"/>
  <c r="AR48" i="41"/>
  <c r="AQ41" i="41"/>
  <c r="AQ48" i="41"/>
  <c r="AP41" i="41"/>
  <c r="AP48" i="41"/>
  <c r="AO41" i="41"/>
  <c r="AO48" i="41"/>
  <c r="AN41" i="41"/>
  <c r="AN48" i="41"/>
  <c r="A48" i="41"/>
  <c r="AS40" i="41"/>
  <c r="AS47" i="41"/>
  <c r="AR40" i="41"/>
  <c r="AR47" i="41"/>
  <c r="AQ40" i="41"/>
  <c r="AQ47" i="41"/>
  <c r="AP40" i="41"/>
  <c r="AP47" i="41"/>
  <c r="AO40" i="41"/>
  <c r="AO47" i="41"/>
  <c r="AN40" i="41"/>
  <c r="AN47" i="41"/>
  <c r="A47" i="41"/>
  <c r="AS44" i="41"/>
  <c r="AR44" i="41"/>
  <c r="AQ44" i="41"/>
  <c r="AP44" i="41"/>
  <c r="AO44" i="41"/>
  <c r="AN44" i="41"/>
  <c r="AS43" i="41"/>
  <c r="AR43" i="41"/>
  <c r="AQ43" i="41"/>
  <c r="AP43" i="41"/>
  <c r="AO43" i="41"/>
  <c r="AN43" i="41"/>
  <c r="A16" i="41"/>
  <c r="A28" i="41"/>
  <c r="A40" i="41"/>
  <c r="AS37" i="41"/>
  <c r="AS38" i="41"/>
  <c r="AR37" i="41"/>
  <c r="AR38" i="41"/>
  <c r="AQ37" i="41"/>
  <c r="AQ38" i="41"/>
  <c r="AP37" i="41"/>
  <c r="AP38" i="41"/>
  <c r="AO37" i="41"/>
  <c r="AO38" i="41"/>
  <c r="AN37" i="41"/>
  <c r="AN38" i="41"/>
  <c r="A37" i="41"/>
  <c r="A34" i="41"/>
  <c r="A38" i="41"/>
  <c r="AS29" i="41"/>
  <c r="AS36" i="41"/>
  <c r="AR29" i="41"/>
  <c r="AR36" i="41"/>
  <c r="AQ29" i="41"/>
  <c r="AQ36" i="41"/>
  <c r="AP29" i="41"/>
  <c r="AP36" i="41"/>
  <c r="AO29" i="41"/>
  <c r="AO36" i="41"/>
  <c r="AN29" i="41"/>
  <c r="AN36" i="41"/>
  <c r="A36" i="41"/>
  <c r="AS28" i="41"/>
  <c r="AS35" i="41"/>
  <c r="AR28" i="41"/>
  <c r="AR35" i="41"/>
  <c r="AQ28" i="41"/>
  <c r="AQ35" i="41"/>
  <c r="AP28" i="41"/>
  <c r="AP35" i="41"/>
  <c r="AO28" i="41"/>
  <c r="AO35" i="41"/>
  <c r="AN28" i="41"/>
  <c r="AN35" i="41"/>
  <c r="A35" i="41"/>
  <c r="AS32" i="41"/>
  <c r="AR32" i="41"/>
  <c r="AQ32" i="41"/>
  <c r="AP32" i="41"/>
  <c r="AO32" i="41"/>
  <c r="AN32" i="41"/>
  <c r="AS31" i="41"/>
  <c r="AR31" i="41"/>
  <c r="AQ31" i="41"/>
  <c r="AP31" i="41"/>
  <c r="AO31" i="41"/>
  <c r="AN31" i="41"/>
  <c r="AS25" i="41"/>
  <c r="AS26" i="41"/>
  <c r="AR25" i="41"/>
  <c r="AR26" i="41"/>
  <c r="AQ25" i="41"/>
  <c r="AQ26" i="41"/>
  <c r="AP25" i="41"/>
  <c r="AP26" i="41"/>
  <c r="AO25" i="41"/>
  <c r="AO26" i="41"/>
  <c r="AN25" i="41"/>
  <c r="AN26" i="41"/>
  <c r="A25" i="41"/>
  <c r="A22" i="41"/>
  <c r="A26" i="41"/>
  <c r="AS17" i="41"/>
  <c r="AS24" i="41"/>
  <c r="AR17" i="41"/>
  <c r="AR24" i="41"/>
  <c r="AQ17" i="41"/>
  <c r="AQ24" i="41"/>
  <c r="AP17" i="41"/>
  <c r="AP24" i="41"/>
  <c r="AO17" i="41"/>
  <c r="AO24" i="41"/>
  <c r="AN17" i="41"/>
  <c r="AN24" i="41"/>
  <c r="A24" i="41"/>
  <c r="AS16" i="41"/>
  <c r="AS23" i="41"/>
  <c r="AR16" i="41"/>
  <c r="AR23" i="41"/>
  <c r="AQ16" i="41"/>
  <c r="AQ23" i="41"/>
  <c r="AP16" i="41"/>
  <c r="AP23" i="41"/>
  <c r="AO16" i="41"/>
  <c r="AO23" i="41"/>
  <c r="AN16" i="41"/>
  <c r="AN23" i="41"/>
  <c r="A23" i="41"/>
  <c r="AS20" i="41"/>
  <c r="AR20" i="41"/>
  <c r="AQ20" i="41"/>
  <c r="AP20" i="41"/>
  <c r="AO20" i="41"/>
  <c r="AN20" i="41"/>
  <c r="AS19" i="41"/>
  <c r="AR19" i="41"/>
  <c r="AQ19" i="41"/>
  <c r="AP19" i="41"/>
  <c r="AO19" i="41"/>
  <c r="AN19" i="41"/>
  <c r="AS13" i="41"/>
  <c r="AS14" i="41"/>
  <c r="AR13" i="41"/>
  <c r="AR14" i="41"/>
  <c r="AQ13" i="41"/>
  <c r="AQ14" i="41"/>
  <c r="AP13" i="41"/>
  <c r="AP14" i="41"/>
  <c r="AO13" i="41"/>
  <c r="AO14" i="41"/>
  <c r="AN13" i="41"/>
  <c r="AN14" i="41"/>
  <c r="A13" i="41"/>
  <c r="A10" i="41"/>
  <c r="A14" i="41"/>
  <c r="AS5" i="41"/>
  <c r="AS12" i="41"/>
  <c r="AR5" i="41"/>
  <c r="AR12" i="41"/>
  <c r="AQ5" i="41"/>
  <c r="AQ12" i="41"/>
  <c r="AP5" i="41"/>
  <c r="AP12" i="41"/>
  <c r="AO5" i="41"/>
  <c r="AO12" i="41"/>
  <c r="AN5" i="41"/>
  <c r="AN12" i="41"/>
  <c r="A12" i="41"/>
  <c r="AS4" i="41"/>
  <c r="AS11" i="41"/>
  <c r="AR4" i="41"/>
  <c r="AR11" i="41"/>
  <c r="AQ4" i="41"/>
  <c r="AQ11" i="41"/>
  <c r="AP4" i="41"/>
  <c r="AP11" i="41"/>
  <c r="AO4" i="41"/>
  <c r="AO11" i="41"/>
  <c r="AN4" i="41"/>
  <c r="AN11" i="41"/>
  <c r="A11" i="41"/>
  <c r="AS8" i="41"/>
  <c r="AR8" i="41"/>
  <c r="AQ8" i="41"/>
  <c r="AP8" i="41"/>
  <c r="AO8" i="41"/>
  <c r="AN8" i="41"/>
  <c r="AS7" i="41"/>
  <c r="AR7" i="41"/>
  <c r="AQ7" i="41"/>
  <c r="AP7" i="41"/>
  <c r="AO7" i="41"/>
  <c r="AN7" i="41"/>
  <c r="A7" i="41"/>
  <c r="AO2" i="36"/>
  <c r="AP2" i="36"/>
  <c r="AQ2" i="36"/>
  <c r="AR2" i="36"/>
  <c r="AS2" i="36"/>
  <c r="AS244" i="39"/>
  <c r="AR244" i="39"/>
  <c r="AQ244" i="39"/>
  <c r="AP244" i="39"/>
  <c r="AO244" i="39"/>
  <c r="AN244" i="39"/>
  <c r="AN243" i="39"/>
  <c r="AO243" i="39"/>
  <c r="AP243" i="39"/>
  <c r="AQ243" i="39"/>
  <c r="AR243" i="39"/>
  <c r="AS243" i="39"/>
  <c r="A243" i="39"/>
  <c r="A240" i="39"/>
  <c r="A244" i="39"/>
  <c r="AS242" i="39"/>
  <c r="AR242" i="39"/>
  <c r="AQ242" i="39"/>
  <c r="AP242" i="39"/>
  <c r="AO242" i="39"/>
  <c r="AN242" i="39"/>
  <c r="A242" i="39"/>
  <c r="AS241" i="39"/>
  <c r="AR241" i="39"/>
  <c r="AQ241" i="39"/>
  <c r="AP241" i="39"/>
  <c r="AO241" i="39"/>
  <c r="AN241" i="39"/>
  <c r="A241" i="39"/>
  <c r="AS238" i="39"/>
  <c r="AR238" i="39"/>
  <c r="AQ238" i="39"/>
  <c r="AP238" i="39"/>
  <c r="AO238" i="39"/>
  <c r="AN238" i="39"/>
  <c r="AS237" i="39"/>
  <c r="AR237" i="39"/>
  <c r="AQ237" i="39"/>
  <c r="AP237" i="39"/>
  <c r="AO237" i="39"/>
  <c r="AN237" i="39"/>
  <c r="AS235" i="39"/>
  <c r="AR235" i="39"/>
  <c r="AQ235" i="39"/>
  <c r="AP235" i="39"/>
  <c r="AO235" i="39"/>
  <c r="AN235" i="39"/>
  <c r="AS230" i="39"/>
  <c r="AR230" i="39"/>
  <c r="AQ230" i="39"/>
  <c r="AP230" i="39"/>
  <c r="AO230" i="39"/>
  <c r="AN230" i="39"/>
  <c r="AN229" i="39"/>
  <c r="AO229" i="39"/>
  <c r="AP229" i="39"/>
  <c r="AQ229" i="39"/>
  <c r="AR229" i="39"/>
  <c r="AS229" i="39"/>
  <c r="A229" i="39"/>
  <c r="A226" i="39"/>
  <c r="A230" i="39"/>
  <c r="AS228" i="39"/>
  <c r="AR228" i="39"/>
  <c r="AQ228" i="39"/>
  <c r="AP228" i="39"/>
  <c r="AO228" i="39"/>
  <c r="AN228" i="39"/>
  <c r="A228" i="39"/>
  <c r="AS227" i="39"/>
  <c r="AR227" i="39"/>
  <c r="AQ227" i="39"/>
  <c r="AP227" i="39"/>
  <c r="AO227" i="39"/>
  <c r="AN227" i="39"/>
  <c r="A227" i="39"/>
  <c r="AS224" i="39"/>
  <c r="AR224" i="39"/>
  <c r="AQ224" i="39"/>
  <c r="AP224" i="39"/>
  <c r="AO224" i="39"/>
  <c r="AN224" i="39"/>
  <c r="AS223" i="39"/>
  <c r="AR223" i="39"/>
  <c r="AQ223" i="39"/>
  <c r="AP223" i="39"/>
  <c r="AO223" i="39"/>
  <c r="AN223" i="39"/>
  <c r="AS221" i="39"/>
  <c r="AR221" i="39"/>
  <c r="AQ221" i="39"/>
  <c r="AP221" i="39"/>
  <c r="AO221" i="39"/>
  <c r="AN221" i="39"/>
  <c r="AS220" i="39"/>
  <c r="AR220" i="39"/>
  <c r="AQ220" i="39"/>
  <c r="AP220" i="39"/>
  <c r="AO220" i="39"/>
  <c r="AN220" i="39"/>
  <c r="AS218" i="39"/>
  <c r="AR218" i="39"/>
  <c r="AQ218" i="39"/>
  <c r="AP218" i="39"/>
  <c r="AO218" i="39"/>
  <c r="AN218" i="39"/>
  <c r="AN217" i="39"/>
  <c r="AO217" i="39"/>
  <c r="AP217" i="39"/>
  <c r="AQ217" i="39"/>
  <c r="AR217" i="39"/>
  <c r="AS217" i="39"/>
  <c r="A217" i="39"/>
  <c r="A214" i="39"/>
  <c r="A218" i="39"/>
  <c r="AS216" i="39"/>
  <c r="AR216" i="39"/>
  <c r="AQ216" i="39"/>
  <c r="AP216" i="39"/>
  <c r="AO216" i="39"/>
  <c r="AN216" i="39"/>
  <c r="A216" i="39"/>
  <c r="AS215" i="39"/>
  <c r="AR215" i="39"/>
  <c r="AQ215" i="39"/>
  <c r="AP215" i="39"/>
  <c r="AO215" i="39"/>
  <c r="AN215" i="39"/>
  <c r="A215" i="39"/>
  <c r="AS212" i="39"/>
  <c r="AR212" i="39"/>
  <c r="AQ212" i="39"/>
  <c r="AP212" i="39"/>
  <c r="AO212" i="39"/>
  <c r="AN212" i="39"/>
  <c r="AS211" i="39"/>
  <c r="AR211" i="39"/>
  <c r="AQ211" i="39"/>
  <c r="AP211" i="39"/>
  <c r="AO211" i="39"/>
  <c r="AN211" i="39"/>
  <c r="AS209" i="39"/>
  <c r="AR209" i="39"/>
  <c r="AQ209" i="39"/>
  <c r="AP209" i="39"/>
  <c r="AO209" i="39"/>
  <c r="AN209" i="39"/>
  <c r="AS208" i="39"/>
  <c r="AR208" i="39"/>
  <c r="AQ208" i="39"/>
  <c r="AP208" i="39"/>
  <c r="AO208" i="39"/>
  <c r="AN208" i="39"/>
  <c r="AS206" i="39"/>
  <c r="AR206" i="39"/>
  <c r="AQ206" i="39"/>
  <c r="AP206" i="39"/>
  <c r="AO206" i="39"/>
  <c r="AN206" i="39"/>
  <c r="AN205" i="39"/>
  <c r="AO205" i="39"/>
  <c r="AP205" i="39"/>
  <c r="AQ205" i="39"/>
  <c r="AR205" i="39"/>
  <c r="AS205" i="39"/>
  <c r="A205" i="39"/>
  <c r="A202" i="39"/>
  <c r="A206" i="39"/>
  <c r="AS204" i="39"/>
  <c r="AR204" i="39"/>
  <c r="AQ204" i="39"/>
  <c r="AP204" i="39"/>
  <c r="AO204" i="39"/>
  <c r="AN204" i="39"/>
  <c r="A204" i="39"/>
  <c r="AS203" i="39"/>
  <c r="AR203" i="39"/>
  <c r="AQ203" i="39"/>
  <c r="AP203" i="39"/>
  <c r="AO203" i="39"/>
  <c r="AN203" i="39"/>
  <c r="A203" i="39"/>
  <c r="AS200" i="39"/>
  <c r="AR200" i="39"/>
  <c r="AQ200" i="39"/>
  <c r="AP200" i="39"/>
  <c r="AO200" i="39"/>
  <c r="AN200" i="39"/>
  <c r="AS199" i="39"/>
  <c r="AR199" i="39"/>
  <c r="AQ199" i="39"/>
  <c r="AP199" i="39"/>
  <c r="AO199" i="39"/>
  <c r="AN199" i="39"/>
  <c r="AS197" i="39"/>
  <c r="AR197" i="39"/>
  <c r="AQ197" i="39"/>
  <c r="AP197" i="39"/>
  <c r="AO197" i="39"/>
  <c r="AN197" i="39"/>
  <c r="AS196" i="39"/>
  <c r="AR196" i="39"/>
  <c r="AQ196" i="39"/>
  <c r="AP196" i="39"/>
  <c r="AO196" i="39"/>
  <c r="AN196" i="39"/>
  <c r="AS194" i="39"/>
  <c r="AR194" i="39"/>
  <c r="AQ194" i="39"/>
  <c r="AP194" i="39"/>
  <c r="AO194" i="39"/>
  <c r="AN194" i="39"/>
  <c r="AN193" i="39"/>
  <c r="AO193" i="39"/>
  <c r="AP193" i="39"/>
  <c r="AQ193" i="39"/>
  <c r="AR193" i="39"/>
  <c r="AS193" i="39"/>
  <c r="A193" i="39"/>
  <c r="A190" i="39"/>
  <c r="A194" i="39"/>
  <c r="AS192" i="39"/>
  <c r="AR192" i="39"/>
  <c r="AQ192" i="39"/>
  <c r="AP192" i="39"/>
  <c r="AO192" i="39"/>
  <c r="AN192" i="39"/>
  <c r="A192" i="39"/>
  <c r="AS191" i="39"/>
  <c r="AR191" i="39"/>
  <c r="AQ191" i="39"/>
  <c r="AP191" i="39"/>
  <c r="AO191" i="39"/>
  <c r="AN191" i="39"/>
  <c r="A191" i="39"/>
  <c r="AS188" i="39"/>
  <c r="AR188" i="39"/>
  <c r="AQ188" i="39"/>
  <c r="AP188" i="39"/>
  <c r="AO188" i="39"/>
  <c r="AN188" i="39"/>
  <c r="AS187" i="39"/>
  <c r="AR187" i="39"/>
  <c r="AQ187" i="39"/>
  <c r="AP187" i="39"/>
  <c r="AO187" i="39"/>
  <c r="AN187" i="39"/>
  <c r="A187" i="39"/>
  <c r="AS185" i="39"/>
  <c r="AR185" i="39"/>
  <c r="AQ185" i="39"/>
  <c r="AP185" i="39"/>
  <c r="AO185" i="39"/>
  <c r="AN185" i="39"/>
  <c r="AS184" i="39"/>
  <c r="AR184" i="39"/>
  <c r="AQ184" i="39"/>
  <c r="AP184" i="39"/>
  <c r="AO184" i="39"/>
  <c r="AN184" i="39"/>
  <c r="AS182" i="39"/>
  <c r="AR182" i="39"/>
  <c r="AQ182" i="39"/>
  <c r="AP182" i="39"/>
  <c r="AO182" i="39"/>
  <c r="AN182" i="39"/>
  <c r="AN181" i="39"/>
  <c r="AO181" i="39"/>
  <c r="AP181" i="39"/>
  <c r="AQ181" i="39"/>
  <c r="AR181" i="39"/>
  <c r="AS181" i="39"/>
  <c r="A181" i="39"/>
  <c r="A178" i="39"/>
  <c r="A182" i="39"/>
  <c r="AS180" i="39"/>
  <c r="AR180" i="39"/>
  <c r="AQ180" i="39"/>
  <c r="AP180" i="39"/>
  <c r="AO180" i="39"/>
  <c r="AN180" i="39"/>
  <c r="A180" i="39"/>
  <c r="AS179" i="39"/>
  <c r="AR179" i="39"/>
  <c r="AQ179" i="39"/>
  <c r="AP179" i="39"/>
  <c r="AO179" i="39"/>
  <c r="AN179" i="39"/>
  <c r="A179" i="39"/>
  <c r="AS176" i="39"/>
  <c r="AR176" i="39"/>
  <c r="AQ176" i="39"/>
  <c r="AP176" i="39"/>
  <c r="AO176" i="39"/>
  <c r="AN176" i="39"/>
  <c r="AS175" i="39"/>
  <c r="AR175" i="39"/>
  <c r="AQ175" i="39"/>
  <c r="AP175" i="39"/>
  <c r="AO175" i="39"/>
  <c r="AN175" i="39"/>
  <c r="AS173" i="39"/>
  <c r="AR173" i="39"/>
  <c r="AQ173" i="39"/>
  <c r="AP173" i="39"/>
  <c r="AO173" i="39"/>
  <c r="AN173" i="39"/>
  <c r="AS172" i="39"/>
  <c r="AR172" i="39"/>
  <c r="AQ172" i="39"/>
  <c r="AP172" i="39"/>
  <c r="AO172" i="39"/>
  <c r="AN172" i="39"/>
  <c r="AS170" i="39"/>
  <c r="AR170" i="39"/>
  <c r="AQ170" i="39"/>
  <c r="AP170" i="39"/>
  <c r="AO170" i="39"/>
  <c r="AN170" i="39"/>
  <c r="AN169" i="39"/>
  <c r="AO169" i="39"/>
  <c r="AP169" i="39"/>
  <c r="AQ169" i="39"/>
  <c r="AR169" i="39"/>
  <c r="AS169" i="39"/>
  <c r="A169" i="39"/>
  <c r="A166" i="39"/>
  <c r="A170" i="39"/>
  <c r="AS168" i="39"/>
  <c r="AR168" i="39"/>
  <c r="AQ168" i="39"/>
  <c r="AP168" i="39"/>
  <c r="AO168" i="39"/>
  <c r="AN168" i="39"/>
  <c r="A168" i="39"/>
  <c r="AS167" i="39"/>
  <c r="AR167" i="39"/>
  <c r="AQ167" i="39"/>
  <c r="AP167" i="39"/>
  <c r="AO167" i="39"/>
  <c r="AN167" i="39"/>
  <c r="A167" i="39"/>
  <c r="AS164" i="39"/>
  <c r="AR164" i="39"/>
  <c r="AQ164" i="39"/>
  <c r="AP164" i="39"/>
  <c r="AO164" i="39"/>
  <c r="AN164" i="39"/>
  <c r="AS163" i="39"/>
  <c r="AR163" i="39"/>
  <c r="AQ163" i="39"/>
  <c r="AP163" i="39"/>
  <c r="AO163" i="39"/>
  <c r="AN163" i="39"/>
  <c r="AS161" i="39"/>
  <c r="AR161" i="39"/>
  <c r="AQ161" i="39"/>
  <c r="AP161" i="39"/>
  <c r="AO161" i="39"/>
  <c r="AN161" i="39"/>
  <c r="AS160" i="39"/>
  <c r="AR160" i="39"/>
  <c r="AQ160" i="39"/>
  <c r="AP160" i="39"/>
  <c r="AO160" i="39"/>
  <c r="AN160" i="39"/>
  <c r="AS158" i="39"/>
  <c r="AR158" i="39"/>
  <c r="AQ158" i="39"/>
  <c r="AP158" i="39"/>
  <c r="AO158" i="39"/>
  <c r="AN158" i="39"/>
  <c r="AN157" i="39"/>
  <c r="AO157" i="39"/>
  <c r="AP157" i="39"/>
  <c r="AQ157" i="39"/>
  <c r="AR157" i="39"/>
  <c r="AS157" i="39"/>
  <c r="A157" i="39"/>
  <c r="A154" i="39"/>
  <c r="A158" i="39"/>
  <c r="AS156" i="39"/>
  <c r="AR156" i="39"/>
  <c r="AQ156" i="39"/>
  <c r="AP156" i="39"/>
  <c r="AO156" i="39"/>
  <c r="AN156" i="39"/>
  <c r="A156" i="39"/>
  <c r="AS155" i="39"/>
  <c r="AR155" i="39"/>
  <c r="AQ155" i="39"/>
  <c r="AP155" i="39"/>
  <c r="AO155" i="39"/>
  <c r="AN155" i="39"/>
  <c r="A155" i="39"/>
  <c r="AS152" i="39"/>
  <c r="AR152" i="39"/>
  <c r="AQ152" i="39"/>
  <c r="AP152" i="39"/>
  <c r="AO152" i="39"/>
  <c r="AN152" i="39"/>
  <c r="AS151" i="39"/>
  <c r="AR151" i="39"/>
  <c r="AQ151" i="39"/>
  <c r="AP151" i="39"/>
  <c r="AO151" i="39"/>
  <c r="AN151" i="39"/>
  <c r="AS149" i="39"/>
  <c r="AR149" i="39"/>
  <c r="AQ149" i="39"/>
  <c r="AP149" i="39"/>
  <c r="AO149" i="39"/>
  <c r="AN149" i="39"/>
  <c r="AS148" i="39"/>
  <c r="AR148" i="39"/>
  <c r="AQ148" i="39"/>
  <c r="AP148" i="39"/>
  <c r="AO148" i="39"/>
  <c r="AN148" i="39"/>
  <c r="AS146" i="39"/>
  <c r="AR146" i="39"/>
  <c r="AQ146" i="39"/>
  <c r="AP146" i="39"/>
  <c r="AO146" i="39"/>
  <c r="AN146" i="39"/>
  <c r="AN145" i="39"/>
  <c r="AO145" i="39"/>
  <c r="AP145" i="39"/>
  <c r="AQ145" i="39"/>
  <c r="AR145" i="39"/>
  <c r="AS145" i="39"/>
  <c r="A142" i="39"/>
  <c r="AS144" i="39"/>
  <c r="AR144" i="39"/>
  <c r="AQ144" i="39"/>
  <c r="AP144" i="39"/>
  <c r="AO144" i="39"/>
  <c r="AN144" i="39"/>
  <c r="A144" i="39"/>
  <c r="AS143" i="39"/>
  <c r="AR143" i="39"/>
  <c r="AQ143" i="39"/>
  <c r="AP143" i="39"/>
  <c r="AO143" i="39"/>
  <c r="AN143" i="39"/>
  <c r="A143" i="39"/>
  <c r="AS140" i="39"/>
  <c r="AR140" i="39"/>
  <c r="AQ140" i="39"/>
  <c r="AP140" i="39"/>
  <c r="AO140" i="39"/>
  <c r="AN140" i="39"/>
  <c r="AS139" i="39"/>
  <c r="AR139" i="39"/>
  <c r="AQ139" i="39"/>
  <c r="AP139" i="39"/>
  <c r="AO139" i="39"/>
  <c r="AN139" i="39"/>
  <c r="A139" i="39"/>
  <c r="AS137" i="39"/>
  <c r="AR137" i="39"/>
  <c r="AQ137" i="39"/>
  <c r="AP137" i="39"/>
  <c r="AO137" i="39"/>
  <c r="AN137" i="39"/>
  <c r="AS136" i="39"/>
  <c r="AR136" i="39"/>
  <c r="AQ136" i="39"/>
  <c r="AP136" i="39"/>
  <c r="AO136" i="39"/>
  <c r="AN136" i="39"/>
  <c r="AS133" i="39"/>
  <c r="AS134" i="39"/>
  <c r="AR133" i="39"/>
  <c r="AR134" i="39"/>
  <c r="AQ133" i="39"/>
  <c r="AQ134" i="39"/>
  <c r="AP133" i="39"/>
  <c r="AP134" i="39"/>
  <c r="AO133" i="39"/>
  <c r="AO134" i="39"/>
  <c r="AN133" i="39"/>
  <c r="AN134" i="39"/>
  <c r="A133" i="39"/>
  <c r="A130" i="39"/>
  <c r="A134" i="39"/>
  <c r="AS125" i="39"/>
  <c r="AS132" i="39"/>
  <c r="AR125" i="39"/>
  <c r="AR132" i="39"/>
  <c r="AQ125" i="39"/>
  <c r="AQ132" i="39"/>
  <c r="AP125" i="39"/>
  <c r="AP132" i="39"/>
  <c r="AO125" i="39"/>
  <c r="AO132" i="39"/>
  <c r="AN125" i="39"/>
  <c r="AN132" i="39"/>
  <c r="A132" i="39"/>
  <c r="AS124" i="39"/>
  <c r="AS131" i="39"/>
  <c r="AR124" i="39"/>
  <c r="AR131" i="39"/>
  <c r="AQ124" i="39"/>
  <c r="AQ131" i="39"/>
  <c r="AP124" i="39"/>
  <c r="AP131" i="39"/>
  <c r="AO124" i="39"/>
  <c r="AO131" i="39"/>
  <c r="AN124" i="39"/>
  <c r="AN131" i="39"/>
  <c r="A131" i="39"/>
  <c r="AS128" i="39"/>
  <c r="AR128" i="39"/>
  <c r="AQ128" i="39"/>
  <c r="AP128" i="39"/>
  <c r="AO128" i="39"/>
  <c r="AN128" i="39"/>
  <c r="AS127" i="39"/>
  <c r="AR127" i="39"/>
  <c r="AQ127" i="39"/>
  <c r="AP127" i="39"/>
  <c r="AO127" i="39"/>
  <c r="AN127" i="39"/>
  <c r="AS121" i="39"/>
  <c r="AS122" i="39"/>
  <c r="AR121" i="39"/>
  <c r="AR122" i="39"/>
  <c r="AQ121" i="39"/>
  <c r="AQ122" i="39"/>
  <c r="AP121" i="39"/>
  <c r="AP122" i="39"/>
  <c r="AO121" i="39"/>
  <c r="AO122" i="39"/>
  <c r="AN121" i="39"/>
  <c r="AN122" i="39"/>
  <c r="A121" i="39"/>
  <c r="A118" i="39"/>
  <c r="A122" i="39"/>
  <c r="AS113" i="39"/>
  <c r="AS120" i="39"/>
  <c r="AR113" i="39"/>
  <c r="AR120" i="39"/>
  <c r="AQ113" i="39"/>
  <c r="AQ120" i="39"/>
  <c r="AP113" i="39"/>
  <c r="AP120" i="39"/>
  <c r="AO113" i="39"/>
  <c r="AO120" i="39"/>
  <c r="AN113" i="39"/>
  <c r="AN120" i="39"/>
  <c r="A120" i="39"/>
  <c r="AS112" i="39"/>
  <c r="AS119" i="39"/>
  <c r="AR112" i="39"/>
  <c r="AR119" i="39"/>
  <c r="AQ112" i="39"/>
  <c r="AQ119" i="39"/>
  <c r="AP112" i="39"/>
  <c r="AP119" i="39"/>
  <c r="AO112" i="39"/>
  <c r="AO119" i="39"/>
  <c r="AN112" i="39"/>
  <c r="AN119" i="39"/>
  <c r="A119" i="39"/>
  <c r="AS116" i="39"/>
  <c r="AR116" i="39"/>
  <c r="AQ116" i="39"/>
  <c r="AP116" i="39"/>
  <c r="AO116" i="39"/>
  <c r="AN116" i="39"/>
  <c r="AS115" i="39"/>
  <c r="AR115" i="39"/>
  <c r="AQ115" i="39"/>
  <c r="AP115" i="39"/>
  <c r="AO115" i="39"/>
  <c r="AN115" i="39"/>
  <c r="AS109" i="39"/>
  <c r="AS110" i="39"/>
  <c r="AR109" i="39"/>
  <c r="AR110" i="39"/>
  <c r="AQ109" i="39"/>
  <c r="AQ110" i="39"/>
  <c r="AP109" i="39"/>
  <c r="AP110" i="39"/>
  <c r="AO109" i="39"/>
  <c r="AO110" i="39"/>
  <c r="AN109" i="39"/>
  <c r="AN110" i="39"/>
  <c r="A109" i="39"/>
  <c r="A106" i="39"/>
  <c r="A110" i="39"/>
  <c r="AS101" i="39"/>
  <c r="AS108" i="39"/>
  <c r="AR101" i="39"/>
  <c r="AR108" i="39"/>
  <c r="AQ101" i="39"/>
  <c r="AQ108" i="39"/>
  <c r="AP101" i="39"/>
  <c r="AP108" i="39"/>
  <c r="AO101" i="39"/>
  <c r="AO108" i="39"/>
  <c r="AN101" i="39"/>
  <c r="AN108" i="39"/>
  <c r="A108" i="39"/>
  <c r="AS100" i="39"/>
  <c r="AS107" i="39"/>
  <c r="AR100" i="39"/>
  <c r="AR107" i="39"/>
  <c r="AQ100" i="39"/>
  <c r="AQ107" i="39"/>
  <c r="AP100" i="39"/>
  <c r="AP107" i="39"/>
  <c r="AO100" i="39"/>
  <c r="AO107" i="39"/>
  <c r="AN100" i="39"/>
  <c r="AN107" i="39"/>
  <c r="A107" i="39"/>
  <c r="AS104" i="39"/>
  <c r="AR104" i="39"/>
  <c r="AQ104" i="39"/>
  <c r="AP104" i="39"/>
  <c r="AO104" i="39"/>
  <c r="AN104" i="39"/>
  <c r="AS103" i="39"/>
  <c r="AR103" i="39"/>
  <c r="AQ103" i="39"/>
  <c r="AP103" i="39"/>
  <c r="AO103" i="39"/>
  <c r="AN103" i="39"/>
  <c r="AS97" i="39"/>
  <c r="AS98" i="39"/>
  <c r="AR97" i="39"/>
  <c r="AR98" i="39"/>
  <c r="AQ97" i="39"/>
  <c r="AQ98" i="39"/>
  <c r="AP97" i="39"/>
  <c r="AP98" i="39"/>
  <c r="AO97" i="39"/>
  <c r="AO98" i="39"/>
  <c r="AN97" i="39"/>
  <c r="AN98" i="39"/>
  <c r="A97" i="39"/>
  <c r="A94" i="39"/>
  <c r="A98" i="39"/>
  <c r="AS89" i="39"/>
  <c r="AS96" i="39"/>
  <c r="AR89" i="39"/>
  <c r="AR96" i="39"/>
  <c r="AQ89" i="39"/>
  <c r="AQ96" i="39"/>
  <c r="AP89" i="39"/>
  <c r="AP96" i="39"/>
  <c r="AO89" i="39"/>
  <c r="AO96" i="39"/>
  <c r="AN89" i="39"/>
  <c r="AN96" i="39"/>
  <c r="A96" i="39"/>
  <c r="AS88" i="39"/>
  <c r="AS95" i="39"/>
  <c r="AR88" i="39"/>
  <c r="AR95" i="39"/>
  <c r="AQ88" i="39"/>
  <c r="AQ95" i="39"/>
  <c r="AP88" i="39"/>
  <c r="AP95" i="39"/>
  <c r="AO88" i="39"/>
  <c r="AO95" i="39"/>
  <c r="AN88" i="39"/>
  <c r="AN95" i="39"/>
  <c r="A95" i="39"/>
  <c r="AS92" i="39"/>
  <c r="AR92" i="39"/>
  <c r="AQ92" i="39"/>
  <c r="AP92" i="39"/>
  <c r="AO92" i="39"/>
  <c r="AN92" i="39"/>
  <c r="AS91" i="39"/>
  <c r="AR91" i="39"/>
  <c r="AQ91" i="39"/>
  <c r="AP91" i="39"/>
  <c r="AO91" i="39"/>
  <c r="AN91" i="39"/>
  <c r="AS85" i="39"/>
  <c r="AS86" i="39"/>
  <c r="AR85" i="39"/>
  <c r="AR86" i="39"/>
  <c r="AQ85" i="39"/>
  <c r="AQ86" i="39"/>
  <c r="AP85" i="39"/>
  <c r="AP86" i="39"/>
  <c r="AO85" i="39"/>
  <c r="AO86" i="39"/>
  <c r="AN85" i="39"/>
  <c r="AN86" i="39"/>
  <c r="A85" i="39"/>
  <c r="A82" i="39"/>
  <c r="A86" i="39"/>
  <c r="AS77" i="39"/>
  <c r="AS84" i="39"/>
  <c r="AR77" i="39"/>
  <c r="AR84" i="39"/>
  <c r="AQ77" i="39"/>
  <c r="AQ84" i="39"/>
  <c r="AP77" i="39"/>
  <c r="AP84" i="39"/>
  <c r="AO77" i="39"/>
  <c r="AO84" i="39"/>
  <c r="AN77" i="39"/>
  <c r="AN84" i="39"/>
  <c r="A84" i="39"/>
  <c r="AS76" i="39"/>
  <c r="AS83" i="39"/>
  <c r="AR76" i="39"/>
  <c r="AR83" i="39"/>
  <c r="AQ76" i="39"/>
  <c r="AQ83" i="39"/>
  <c r="AP76" i="39"/>
  <c r="AP83" i="39"/>
  <c r="AO76" i="39"/>
  <c r="AO83" i="39"/>
  <c r="AN76" i="39"/>
  <c r="AN83" i="39"/>
  <c r="A83" i="39"/>
  <c r="AS80" i="39"/>
  <c r="AR80" i="39"/>
  <c r="AQ80" i="39"/>
  <c r="AP80" i="39"/>
  <c r="AO80" i="39"/>
  <c r="AN80" i="39"/>
  <c r="AS79" i="39"/>
  <c r="AR79" i="39"/>
  <c r="AQ79" i="39"/>
  <c r="AP79" i="39"/>
  <c r="AO79" i="39"/>
  <c r="AN79" i="39"/>
  <c r="AS73" i="39"/>
  <c r="AS74" i="39"/>
  <c r="AR73" i="39"/>
  <c r="AR74" i="39"/>
  <c r="AQ73" i="39"/>
  <c r="AQ74" i="39"/>
  <c r="AP73" i="39"/>
  <c r="AP74" i="39"/>
  <c r="AO73" i="39"/>
  <c r="AO74" i="39"/>
  <c r="AN73" i="39"/>
  <c r="AN74" i="39"/>
  <c r="A73" i="39"/>
  <c r="A70" i="39"/>
  <c r="A74" i="39"/>
  <c r="AS65" i="39"/>
  <c r="AS72" i="39"/>
  <c r="AR65" i="39"/>
  <c r="AR72" i="39"/>
  <c r="AQ65" i="39"/>
  <c r="AQ72" i="39"/>
  <c r="AP65" i="39"/>
  <c r="AP72" i="39"/>
  <c r="AO65" i="39"/>
  <c r="AO72" i="39"/>
  <c r="AN65" i="39"/>
  <c r="AN72" i="39"/>
  <c r="A72" i="39"/>
  <c r="AS64" i="39"/>
  <c r="AS71" i="39"/>
  <c r="AR64" i="39"/>
  <c r="AR71" i="39"/>
  <c r="AQ64" i="39"/>
  <c r="AQ71" i="39"/>
  <c r="AP64" i="39"/>
  <c r="AP71" i="39"/>
  <c r="AO64" i="39"/>
  <c r="AO71" i="39"/>
  <c r="AN64" i="39"/>
  <c r="AN71" i="39"/>
  <c r="A71" i="39"/>
  <c r="AS68" i="39"/>
  <c r="AR68" i="39"/>
  <c r="AQ68" i="39"/>
  <c r="AP68" i="39"/>
  <c r="AO68" i="39"/>
  <c r="AN68" i="39"/>
  <c r="AS67" i="39"/>
  <c r="AR67" i="39"/>
  <c r="AQ67" i="39"/>
  <c r="AP67" i="39"/>
  <c r="AO67" i="39"/>
  <c r="AN67" i="39"/>
  <c r="AS61" i="39"/>
  <c r="AS62" i="39"/>
  <c r="AR61" i="39"/>
  <c r="AR62" i="39"/>
  <c r="AQ61" i="39"/>
  <c r="AQ62" i="39"/>
  <c r="AP61" i="39"/>
  <c r="AP62" i="39"/>
  <c r="AO61" i="39"/>
  <c r="AO62" i="39"/>
  <c r="AN61" i="39"/>
  <c r="AN62" i="39"/>
  <c r="A61" i="39"/>
  <c r="A58" i="39"/>
  <c r="A62" i="39"/>
  <c r="AS53" i="39"/>
  <c r="AS60" i="39"/>
  <c r="AR53" i="39"/>
  <c r="AR60" i="39"/>
  <c r="AQ53" i="39"/>
  <c r="AQ60" i="39"/>
  <c r="AP53" i="39"/>
  <c r="AP60" i="39"/>
  <c r="AO53" i="39"/>
  <c r="AO60" i="39"/>
  <c r="AN53" i="39"/>
  <c r="AN60" i="39"/>
  <c r="A60" i="39"/>
  <c r="AS52" i="39"/>
  <c r="AS59" i="39"/>
  <c r="AR52" i="39"/>
  <c r="AR59" i="39"/>
  <c r="AQ52" i="39"/>
  <c r="AQ59" i="39"/>
  <c r="AP52" i="39"/>
  <c r="AP59" i="39"/>
  <c r="AO52" i="39"/>
  <c r="AO59" i="39"/>
  <c r="AN52" i="39"/>
  <c r="AN59" i="39"/>
  <c r="A59" i="39"/>
  <c r="AS56" i="39"/>
  <c r="AR56" i="39"/>
  <c r="AQ56" i="39"/>
  <c r="AP56" i="39"/>
  <c r="AO56" i="39"/>
  <c r="AN56" i="39"/>
  <c r="AS55" i="39"/>
  <c r="AR55" i="39"/>
  <c r="AQ55" i="39"/>
  <c r="AP55" i="39"/>
  <c r="AO55" i="39"/>
  <c r="AN55" i="39"/>
  <c r="A55" i="39"/>
  <c r="AS49" i="39"/>
  <c r="AS50" i="39"/>
  <c r="AR49" i="39"/>
  <c r="AR50" i="39"/>
  <c r="AQ49" i="39"/>
  <c r="AQ50" i="39"/>
  <c r="AP49" i="39"/>
  <c r="AP50" i="39"/>
  <c r="AO49" i="39"/>
  <c r="AO50" i="39"/>
  <c r="AN49" i="39"/>
  <c r="AN50" i="39"/>
  <c r="A49" i="39"/>
  <c r="A46" i="39"/>
  <c r="A50" i="39"/>
  <c r="AS41" i="39"/>
  <c r="AS48" i="39"/>
  <c r="AR41" i="39"/>
  <c r="AR48" i="39"/>
  <c r="AQ41" i="39"/>
  <c r="AQ48" i="39"/>
  <c r="AP41" i="39"/>
  <c r="AP48" i="39"/>
  <c r="AO41" i="39"/>
  <c r="AO48" i="39"/>
  <c r="AN41" i="39"/>
  <c r="AN48" i="39"/>
  <c r="A48" i="39"/>
  <c r="AS40" i="39"/>
  <c r="AS47" i="39"/>
  <c r="AR40" i="39"/>
  <c r="AR47" i="39"/>
  <c r="AQ40" i="39"/>
  <c r="AQ47" i="39"/>
  <c r="AP40" i="39"/>
  <c r="AP47" i="39"/>
  <c r="AO40" i="39"/>
  <c r="AO47" i="39"/>
  <c r="AN40" i="39"/>
  <c r="AN47" i="39"/>
  <c r="A47" i="39"/>
  <c r="AS44" i="39"/>
  <c r="AR44" i="39"/>
  <c r="AQ44" i="39"/>
  <c r="AP44" i="39"/>
  <c r="AO44" i="39"/>
  <c r="AN44" i="39"/>
  <c r="AS43" i="39"/>
  <c r="AR43" i="39"/>
  <c r="AQ43" i="39"/>
  <c r="AP43" i="39"/>
  <c r="AO43" i="39"/>
  <c r="AN43" i="39"/>
  <c r="AS37" i="39"/>
  <c r="AS38" i="39"/>
  <c r="AR37" i="39"/>
  <c r="AR38" i="39"/>
  <c r="AQ37" i="39"/>
  <c r="AQ38" i="39"/>
  <c r="AP37" i="39"/>
  <c r="AP38" i="39"/>
  <c r="AO37" i="39"/>
  <c r="AO38" i="39"/>
  <c r="AN37" i="39"/>
  <c r="AN38" i="39"/>
  <c r="A37" i="39"/>
  <c r="A34" i="39"/>
  <c r="A38" i="39"/>
  <c r="AS29" i="39"/>
  <c r="AS36" i="39"/>
  <c r="AR29" i="39"/>
  <c r="AR36" i="39"/>
  <c r="AQ29" i="39"/>
  <c r="AQ36" i="39"/>
  <c r="AP29" i="39"/>
  <c r="AP36" i="39"/>
  <c r="AO29" i="39"/>
  <c r="AO36" i="39"/>
  <c r="AN29" i="39"/>
  <c r="AN36" i="39"/>
  <c r="A36" i="39"/>
  <c r="AS28" i="39"/>
  <c r="AS35" i="39"/>
  <c r="AR28" i="39"/>
  <c r="AR35" i="39"/>
  <c r="AQ28" i="39"/>
  <c r="AQ35" i="39"/>
  <c r="AP28" i="39"/>
  <c r="AP35" i="39"/>
  <c r="AO28" i="39"/>
  <c r="AO35" i="39"/>
  <c r="AN28" i="39"/>
  <c r="AN35" i="39"/>
  <c r="A35" i="39"/>
  <c r="AS32" i="39"/>
  <c r="AR32" i="39"/>
  <c r="AQ32" i="39"/>
  <c r="AP32" i="39"/>
  <c r="AO32" i="39"/>
  <c r="AN32" i="39"/>
  <c r="AS31" i="39"/>
  <c r="AR31" i="39"/>
  <c r="AQ31" i="39"/>
  <c r="AP31" i="39"/>
  <c r="AO31" i="39"/>
  <c r="AN31" i="39"/>
  <c r="AS25" i="39"/>
  <c r="AS26" i="39"/>
  <c r="AR25" i="39"/>
  <c r="AR26" i="39"/>
  <c r="AQ25" i="39"/>
  <c r="AQ26" i="39"/>
  <c r="AP25" i="39"/>
  <c r="AP26" i="39"/>
  <c r="AO25" i="39"/>
  <c r="AO26" i="39"/>
  <c r="AN25" i="39"/>
  <c r="AN26" i="39"/>
  <c r="A25" i="39"/>
  <c r="A22" i="39"/>
  <c r="A26" i="39"/>
  <c r="AS17" i="39"/>
  <c r="AS24" i="39"/>
  <c r="AR17" i="39"/>
  <c r="AR24" i="39"/>
  <c r="AQ17" i="39"/>
  <c r="AQ24" i="39"/>
  <c r="AP17" i="39"/>
  <c r="AP24" i="39"/>
  <c r="AO17" i="39"/>
  <c r="AO24" i="39"/>
  <c r="AN17" i="39"/>
  <c r="AN24" i="39"/>
  <c r="A24" i="39"/>
  <c r="AS16" i="39"/>
  <c r="AS23" i="39"/>
  <c r="AR16" i="39"/>
  <c r="AR23" i="39"/>
  <c r="AQ16" i="39"/>
  <c r="AQ23" i="39"/>
  <c r="AP16" i="39"/>
  <c r="AP23" i="39"/>
  <c r="AO16" i="39"/>
  <c r="AO23" i="39"/>
  <c r="AN16" i="39"/>
  <c r="AN23" i="39"/>
  <c r="A23" i="39"/>
  <c r="AS20" i="39"/>
  <c r="AR20" i="39"/>
  <c r="AQ20" i="39"/>
  <c r="AP20" i="39"/>
  <c r="AO20" i="39"/>
  <c r="AN20" i="39"/>
  <c r="AS19" i="39"/>
  <c r="AR19" i="39"/>
  <c r="AQ19" i="39"/>
  <c r="AP19" i="39"/>
  <c r="AO19" i="39"/>
  <c r="AN19" i="39"/>
  <c r="AS13" i="39"/>
  <c r="AS14" i="39"/>
  <c r="AR13" i="39"/>
  <c r="AR14" i="39"/>
  <c r="AQ13" i="39"/>
  <c r="AQ14" i="39"/>
  <c r="AP13" i="39"/>
  <c r="AP14" i="39"/>
  <c r="AO13" i="39"/>
  <c r="AO14" i="39"/>
  <c r="AN13" i="39"/>
  <c r="AN14" i="39"/>
  <c r="A13" i="39"/>
  <c r="A10" i="39"/>
  <c r="A14" i="39"/>
  <c r="AS5" i="39"/>
  <c r="AS12" i="39"/>
  <c r="AR5" i="39"/>
  <c r="AR12" i="39"/>
  <c r="AQ5" i="39"/>
  <c r="AQ12" i="39"/>
  <c r="AP5" i="39"/>
  <c r="AP12" i="39"/>
  <c r="AO5" i="39"/>
  <c r="AO12" i="39"/>
  <c r="AN5" i="39"/>
  <c r="AN12" i="39"/>
  <c r="A12" i="39"/>
  <c r="AS4" i="39"/>
  <c r="AS11" i="39"/>
  <c r="AR4" i="39"/>
  <c r="AR11" i="39"/>
  <c r="AQ4" i="39"/>
  <c r="AQ11" i="39"/>
  <c r="AP4" i="39"/>
  <c r="AP11" i="39"/>
  <c r="AO4" i="39"/>
  <c r="AO11" i="39"/>
  <c r="AN4" i="39"/>
  <c r="AN11" i="39"/>
  <c r="A11" i="39"/>
  <c r="AS8" i="39"/>
  <c r="AR8" i="39"/>
  <c r="AQ8" i="39"/>
  <c r="AP8" i="39"/>
  <c r="AO8" i="39"/>
  <c r="AN8" i="39"/>
  <c r="AS7" i="39"/>
  <c r="AR7" i="39"/>
  <c r="AQ7" i="39"/>
  <c r="AP7" i="39"/>
  <c r="AO7" i="39"/>
  <c r="AN7" i="39"/>
  <c r="A7" i="39"/>
  <c r="AS265" i="38"/>
  <c r="AS266" i="38"/>
  <c r="AR265" i="38"/>
  <c r="AR266" i="38"/>
  <c r="AQ265" i="38"/>
  <c r="AQ266" i="38"/>
  <c r="AP265" i="38"/>
  <c r="AP266" i="38"/>
  <c r="AO265" i="38"/>
  <c r="AO266" i="38"/>
  <c r="A265" i="38"/>
  <c r="AO262" i="38"/>
  <c r="AP262" i="38"/>
  <c r="AQ262" i="38"/>
  <c r="AR262" i="38"/>
  <c r="AS262" i="38"/>
  <c r="A262" i="38"/>
  <c r="A266" i="38"/>
  <c r="AS257" i="38"/>
  <c r="AS264" i="38"/>
  <c r="AR257" i="38"/>
  <c r="AR264" i="38"/>
  <c r="AQ257" i="38"/>
  <c r="AQ264" i="38"/>
  <c r="AP257" i="38"/>
  <c r="AP264" i="38"/>
  <c r="AO257" i="38"/>
  <c r="AO264" i="38"/>
  <c r="A264" i="38"/>
  <c r="AS256" i="38"/>
  <c r="AS263" i="38"/>
  <c r="AR256" i="38"/>
  <c r="AR263" i="38"/>
  <c r="AQ256" i="38"/>
  <c r="AQ263" i="38"/>
  <c r="AP256" i="38"/>
  <c r="AP263" i="38"/>
  <c r="AO256" i="38"/>
  <c r="AO263" i="38"/>
  <c r="A263" i="38"/>
  <c r="A261" i="38"/>
  <c r="AS260" i="38"/>
  <c r="AR260" i="38"/>
  <c r="AQ260" i="38"/>
  <c r="AP260" i="38"/>
  <c r="AO260" i="38"/>
  <c r="AS259" i="38"/>
  <c r="AR259" i="38"/>
  <c r="AQ259" i="38"/>
  <c r="AP259" i="38"/>
  <c r="AO259" i="38"/>
  <c r="A232" i="38"/>
  <c r="A244" i="38"/>
  <c r="A256" i="38"/>
  <c r="AS253" i="38"/>
  <c r="AS254" i="38"/>
  <c r="AR253" i="38"/>
  <c r="AR254" i="38"/>
  <c r="AQ253" i="38"/>
  <c r="AQ254" i="38"/>
  <c r="AP253" i="38"/>
  <c r="AP254" i="38"/>
  <c r="AO253" i="38"/>
  <c r="AO254" i="38"/>
  <c r="A253" i="38"/>
  <c r="A250" i="38"/>
  <c r="A254" i="38"/>
  <c r="AS245" i="38"/>
  <c r="AS252" i="38"/>
  <c r="AR245" i="38"/>
  <c r="AR252" i="38"/>
  <c r="AQ245" i="38"/>
  <c r="AQ252" i="38"/>
  <c r="AP245" i="38"/>
  <c r="AP252" i="38"/>
  <c r="AO245" i="38"/>
  <c r="AO252" i="38"/>
  <c r="A252" i="38"/>
  <c r="AS244" i="38"/>
  <c r="AS251" i="38"/>
  <c r="AR244" i="38"/>
  <c r="AR251" i="38"/>
  <c r="AQ244" i="38"/>
  <c r="AQ251" i="38"/>
  <c r="AP244" i="38"/>
  <c r="AP251" i="38"/>
  <c r="AO244" i="38"/>
  <c r="AO251" i="38"/>
  <c r="A251" i="38"/>
  <c r="AS248" i="38"/>
  <c r="AR248" i="38"/>
  <c r="AQ248" i="38"/>
  <c r="AP248" i="38"/>
  <c r="AO248" i="38"/>
  <c r="AS247" i="38"/>
  <c r="AR247" i="38"/>
  <c r="AQ247" i="38"/>
  <c r="AP247" i="38"/>
  <c r="AO247" i="38"/>
  <c r="AS241" i="38"/>
  <c r="AS242" i="38"/>
  <c r="AR241" i="38"/>
  <c r="AR242" i="38"/>
  <c r="AQ241" i="38"/>
  <c r="AQ242" i="38"/>
  <c r="AP241" i="38"/>
  <c r="AP242" i="38"/>
  <c r="AO241" i="38"/>
  <c r="AO242" i="38"/>
  <c r="A241" i="38"/>
  <c r="A238" i="38"/>
  <c r="A242" i="38"/>
  <c r="A240" i="38"/>
  <c r="AS232" i="38"/>
  <c r="AS239" i="38"/>
  <c r="AR232" i="38"/>
  <c r="AR239" i="38"/>
  <c r="AQ232" i="38"/>
  <c r="AQ239" i="38"/>
  <c r="AP232" i="38"/>
  <c r="AP239" i="38"/>
  <c r="AO232" i="38"/>
  <c r="AO239" i="38"/>
  <c r="A239" i="38"/>
  <c r="AS236" i="38"/>
  <c r="AR236" i="38"/>
  <c r="AQ236" i="38"/>
  <c r="AP236" i="38"/>
  <c r="AO236" i="38"/>
  <c r="AS235" i="38"/>
  <c r="AR235" i="38"/>
  <c r="AQ235" i="38"/>
  <c r="AP235" i="38"/>
  <c r="AO235" i="38"/>
  <c r="AS229" i="38"/>
  <c r="AS230" i="38"/>
  <c r="AR229" i="38"/>
  <c r="AR230" i="38"/>
  <c r="AQ229" i="38"/>
  <c r="AQ230" i="38"/>
  <c r="AP229" i="38"/>
  <c r="AP230" i="38"/>
  <c r="AO229" i="38"/>
  <c r="AO230" i="38"/>
  <c r="A229" i="38"/>
  <c r="A226" i="38"/>
  <c r="A230" i="38"/>
  <c r="AS221" i="38"/>
  <c r="AS228" i="38"/>
  <c r="AR221" i="38"/>
  <c r="AR228" i="38"/>
  <c r="AQ221" i="38"/>
  <c r="AQ228" i="38"/>
  <c r="AP221" i="38"/>
  <c r="AP228" i="38"/>
  <c r="AO221" i="38"/>
  <c r="AO228" i="38"/>
  <c r="A228" i="38"/>
  <c r="AS220" i="38"/>
  <c r="AS227" i="38"/>
  <c r="AR220" i="38"/>
  <c r="AR227" i="38"/>
  <c r="AQ220" i="38"/>
  <c r="AQ227" i="38"/>
  <c r="AP220" i="38"/>
  <c r="AP227" i="38"/>
  <c r="AO220" i="38"/>
  <c r="AO227" i="38"/>
  <c r="A227" i="38"/>
  <c r="AS224" i="38"/>
  <c r="AR224" i="38"/>
  <c r="AQ224" i="38"/>
  <c r="AP224" i="38"/>
  <c r="AO224" i="38"/>
  <c r="AS223" i="38"/>
  <c r="AR223" i="38"/>
  <c r="AQ223" i="38"/>
  <c r="AP223" i="38"/>
  <c r="AO223" i="38"/>
  <c r="A223" i="38"/>
  <c r="AS217" i="38"/>
  <c r="AS218" i="38"/>
  <c r="AR217" i="38"/>
  <c r="AR218" i="38"/>
  <c r="AQ217" i="38"/>
  <c r="AQ218" i="38"/>
  <c r="AP217" i="38"/>
  <c r="AP218" i="38"/>
  <c r="AO217" i="38"/>
  <c r="AO218" i="38"/>
  <c r="A217" i="38"/>
  <c r="A214" i="38"/>
  <c r="A218" i="38"/>
  <c r="AS209" i="38"/>
  <c r="AS216" i="38"/>
  <c r="AR209" i="38"/>
  <c r="AR216" i="38"/>
  <c r="AQ209" i="38"/>
  <c r="AQ216" i="38"/>
  <c r="AP209" i="38"/>
  <c r="AP216" i="38"/>
  <c r="AO209" i="38"/>
  <c r="AO216" i="38"/>
  <c r="A216" i="38"/>
  <c r="AS208" i="38"/>
  <c r="AS215" i="38"/>
  <c r="AR208" i="38"/>
  <c r="AR215" i="38"/>
  <c r="AQ208" i="38"/>
  <c r="AQ215" i="38"/>
  <c r="AP208" i="38"/>
  <c r="AP215" i="38"/>
  <c r="AO208" i="38"/>
  <c r="AO215" i="38"/>
  <c r="A215" i="38"/>
  <c r="AS212" i="38"/>
  <c r="AR212" i="38"/>
  <c r="AQ212" i="38"/>
  <c r="AP212" i="38"/>
  <c r="AO212" i="38"/>
  <c r="AS211" i="38"/>
  <c r="AR211" i="38"/>
  <c r="AQ211" i="38"/>
  <c r="AP211" i="38"/>
  <c r="AO211" i="38"/>
  <c r="A184" i="38"/>
  <c r="A196" i="38"/>
  <c r="A208" i="38"/>
  <c r="AS205" i="38"/>
  <c r="AS206" i="38"/>
  <c r="AR205" i="38"/>
  <c r="AR206" i="38"/>
  <c r="AQ205" i="38"/>
  <c r="AQ206" i="38"/>
  <c r="AP205" i="38"/>
  <c r="AP206" i="38"/>
  <c r="AO205" i="38"/>
  <c r="AO206" i="38"/>
  <c r="A205" i="38"/>
  <c r="A202" i="38"/>
  <c r="A206" i="38"/>
  <c r="AS197" i="38"/>
  <c r="AS204" i="38"/>
  <c r="AR197" i="38"/>
  <c r="AR204" i="38"/>
  <c r="AQ197" i="38"/>
  <c r="AQ204" i="38"/>
  <c r="AP197" i="38"/>
  <c r="AP204" i="38"/>
  <c r="AO197" i="38"/>
  <c r="AO204" i="38"/>
  <c r="A204" i="38"/>
  <c r="AS196" i="38"/>
  <c r="AS203" i="38"/>
  <c r="AR196" i="38"/>
  <c r="AR203" i="38"/>
  <c r="AQ196" i="38"/>
  <c r="AQ203" i="38"/>
  <c r="AP196" i="38"/>
  <c r="AP203" i="38"/>
  <c r="AO196" i="38"/>
  <c r="AO203" i="38"/>
  <c r="A203" i="38"/>
  <c r="AS200" i="38"/>
  <c r="AR200" i="38"/>
  <c r="AQ200" i="38"/>
  <c r="AP200" i="38"/>
  <c r="AO200" i="38"/>
  <c r="AS199" i="38"/>
  <c r="AR199" i="38"/>
  <c r="AQ199" i="38"/>
  <c r="AP199" i="38"/>
  <c r="AO199" i="38"/>
  <c r="AS193" i="38"/>
  <c r="AS194" i="38"/>
  <c r="AR193" i="38"/>
  <c r="AR194" i="38"/>
  <c r="AQ193" i="38"/>
  <c r="AQ194" i="38"/>
  <c r="AP193" i="38"/>
  <c r="AP194" i="38"/>
  <c r="AO193" i="38"/>
  <c r="AO194" i="38"/>
  <c r="A193" i="38"/>
  <c r="A190" i="38"/>
  <c r="A194" i="38"/>
  <c r="AS185" i="38"/>
  <c r="AS192" i="38"/>
  <c r="AR185" i="38"/>
  <c r="AR192" i="38"/>
  <c r="AQ185" i="38"/>
  <c r="AQ192" i="38"/>
  <c r="AP185" i="38"/>
  <c r="AP192" i="38"/>
  <c r="AO185" i="38"/>
  <c r="AO192" i="38"/>
  <c r="A192" i="38"/>
  <c r="AS184" i="38"/>
  <c r="AS191" i="38"/>
  <c r="AR184" i="38"/>
  <c r="AR191" i="38"/>
  <c r="AQ184" i="38"/>
  <c r="AQ191" i="38"/>
  <c r="AP184" i="38"/>
  <c r="AP191" i="38"/>
  <c r="AO184" i="38"/>
  <c r="AO191" i="38"/>
  <c r="A191" i="38"/>
  <c r="AS188" i="38"/>
  <c r="AR188" i="38"/>
  <c r="AQ188" i="38"/>
  <c r="AP188" i="38"/>
  <c r="AO188" i="38"/>
  <c r="AS187" i="38"/>
  <c r="AR187" i="38"/>
  <c r="AQ187" i="38"/>
  <c r="AP187" i="38"/>
  <c r="AO187" i="38"/>
  <c r="AS181" i="38"/>
  <c r="AS182" i="38"/>
  <c r="AR181" i="38"/>
  <c r="AR182" i="38"/>
  <c r="AQ181" i="38"/>
  <c r="AQ182" i="38"/>
  <c r="AP181" i="38"/>
  <c r="AP182" i="38"/>
  <c r="AO181" i="38"/>
  <c r="AO182" i="38"/>
  <c r="A181" i="38"/>
  <c r="A178" i="38"/>
  <c r="A182" i="38"/>
  <c r="AS173" i="38"/>
  <c r="AS180" i="38"/>
  <c r="AR173" i="38"/>
  <c r="AR180" i="38"/>
  <c r="AQ173" i="38"/>
  <c r="AQ180" i="38"/>
  <c r="AP173" i="38"/>
  <c r="AP180" i="38"/>
  <c r="AO173" i="38"/>
  <c r="AO180" i="38"/>
  <c r="A180" i="38"/>
  <c r="AS172" i="38"/>
  <c r="AS179" i="38"/>
  <c r="AR172" i="38"/>
  <c r="AR179" i="38"/>
  <c r="AQ172" i="38"/>
  <c r="AQ179" i="38"/>
  <c r="AP172" i="38"/>
  <c r="AP179" i="38"/>
  <c r="AO172" i="38"/>
  <c r="AO179" i="38"/>
  <c r="A179" i="38"/>
  <c r="AS176" i="38"/>
  <c r="AR176" i="38"/>
  <c r="AQ176" i="38"/>
  <c r="AP176" i="38"/>
  <c r="AO176" i="38"/>
  <c r="AS175" i="38"/>
  <c r="AR175" i="38"/>
  <c r="AQ175" i="38"/>
  <c r="AP175" i="38"/>
  <c r="AO175" i="38"/>
  <c r="A175" i="38"/>
  <c r="AS169" i="38"/>
  <c r="AS170" i="38"/>
  <c r="AR169" i="38"/>
  <c r="AR170" i="38"/>
  <c r="AQ169" i="38"/>
  <c r="AQ170" i="38"/>
  <c r="AP169" i="38"/>
  <c r="AP170" i="38"/>
  <c r="AO169" i="38"/>
  <c r="AO170" i="38"/>
  <c r="A169" i="38"/>
  <c r="A166" i="38"/>
  <c r="A170" i="38"/>
  <c r="AS161" i="38"/>
  <c r="AS168" i="38"/>
  <c r="AR161" i="38"/>
  <c r="AR168" i="38"/>
  <c r="AQ161" i="38"/>
  <c r="AQ168" i="38"/>
  <c r="AP161" i="38"/>
  <c r="AP168" i="38"/>
  <c r="AO161" i="38"/>
  <c r="AO168" i="38"/>
  <c r="A168" i="38"/>
  <c r="AS160" i="38"/>
  <c r="AS167" i="38"/>
  <c r="AR160" i="38"/>
  <c r="AR167" i="38"/>
  <c r="AQ160" i="38"/>
  <c r="AQ167" i="38"/>
  <c r="AP160" i="38"/>
  <c r="AP167" i="38"/>
  <c r="AO160" i="38"/>
  <c r="AO167" i="38"/>
  <c r="A167" i="38"/>
  <c r="AS164" i="38"/>
  <c r="AR164" i="38"/>
  <c r="AQ164" i="38"/>
  <c r="AP164" i="38"/>
  <c r="AO164" i="38"/>
  <c r="AS163" i="38"/>
  <c r="AR163" i="38"/>
  <c r="AQ163" i="38"/>
  <c r="AP163" i="38"/>
  <c r="AO163" i="38"/>
  <c r="A157" i="38"/>
  <c r="A154" i="38"/>
  <c r="A158" i="38"/>
  <c r="A156" i="38"/>
  <c r="A155" i="38"/>
  <c r="AS145" i="38"/>
  <c r="AS146" i="38"/>
  <c r="AR145" i="38"/>
  <c r="AR146" i="38"/>
  <c r="AQ145" i="38"/>
  <c r="AQ146" i="38"/>
  <c r="AP145" i="38"/>
  <c r="AP146" i="38"/>
  <c r="AO145" i="38"/>
  <c r="AO146" i="38"/>
  <c r="A145" i="38"/>
  <c r="A142" i="38"/>
  <c r="A146" i="38"/>
  <c r="AS137" i="38"/>
  <c r="AS144" i="38"/>
  <c r="AR137" i="38"/>
  <c r="AR144" i="38"/>
  <c r="AQ137" i="38"/>
  <c r="AQ144" i="38"/>
  <c r="AP137" i="38"/>
  <c r="AP144" i="38"/>
  <c r="AO137" i="38"/>
  <c r="AO144" i="38"/>
  <c r="A144" i="38"/>
  <c r="AS136" i="38"/>
  <c r="AS143" i="38"/>
  <c r="AR136" i="38"/>
  <c r="AR143" i="38"/>
  <c r="AQ136" i="38"/>
  <c r="AQ143" i="38"/>
  <c r="AP136" i="38"/>
  <c r="AP143" i="38"/>
  <c r="AO136" i="38"/>
  <c r="AO143" i="38"/>
  <c r="A143" i="38"/>
  <c r="AS140" i="38"/>
  <c r="AR140" i="38"/>
  <c r="AQ140" i="38"/>
  <c r="AP140" i="38"/>
  <c r="AO140" i="38"/>
  <c r="AS139" i="38"/>
  <c r="AR139" i="38"/>
  <c r="AQ139" i="38"/>
  <c r="AP139" i="38"/>
  <c r="AO139" i="38"/>
  <c r="AS133" i="38"/>
  <c r="AS134" i="38"/>
  <c r="AR133" i="38"/>
  <c r="AR134" i="38"/>
  <c r="AQ133" i="38"/>
  <c r="AQ134" i="38"/>
  <c r="AP133" i="38"/>
  <c r="AP134" i="38"/>
  <c r="AO133" i="38"/>
  <c r="AO134" i="38"/>
  <c r="A133" i="38"/>
  <c r="A130" i="38"/>
  <c r="A134" i="38"/>
  <c r="AS125" i="38"/>
  <c r="AS132" i="38"/>
  <c r="AR125" i="38"/>
  <c r="AR132" i="38"/>
  <c r="AQ125" i="38"/>
  <c r="AQ132" i="38"/>
  <c r="AP125" i="38"/>
  <c r="AP132" i="38"/>
  <c r="AO125" i="38"/>
  <c r="AO132" i="38"/>
  <c r="A132" i="38"/>
  <c r="AS124" i="38"/>
  <c r="AS131" i="38"/>
  <c r="AR124" i="38"/>
  <c r="AR131" i="38"/>
  <c r="AQ124" i="38"/>
  <c r="AQ131" i="38"/>
  <c r="AP124" i="38"/>
  <c r="AP131" i="38"/>
  <c r="AO124" i="38"/>
  <c r="AO131" i="38"/>
  <c r="A131" i="38"/>
  <c r="AS128" i="38"/>
  <c r="AR128" i="38"/>
  <c r="AQ128" i="38"/>
  <c r="AP128" i="38"/>
  <c r="AO128" i="38"/>
  <c r="AS127" i="38"/>
  <c r="AR127" i="38"/>
  <c r="AQ127" i="38"/>
  <c r="AP127" i="38"/>
  <c r="AO127" i="38"/>
  <c r="AS121" i="38"/>
  <c r="AS122" i="38"/>
  <c r="AR121" i="38"/>
  <c r="AR122" i="38"/>
  <c r="AQ121" i="38"/>
  <c r="AQ122" i="38"/>
  <c r="AP121" i="38"/>
  <c r="AP122" i="38"/>
  <c r="AO121" i="38"/>
  <c r="AO122" i="38"/>
  <c r="A121" i="38"/>
  <c r="A118" i="38"/>
  <c r="A122" i="38"/>
  <c r="AS113" i="38"/>
  <c r="AS120" i="38"/>
  <c r="AR113" i="38"/>
  <c r="AR120" i="38"/>
  <c r="AQ113" i="38"/>
  <c r="AQ120" i="38"/>
  <c r="AP113" i="38"/>
  <c r="AP120" i="38"/>
  <c r="AO113" i="38"/>
  <c r="AO120" i="38"/>
  <c r="A120" i="38"/>
  <c r="AS112" i="38"/>
  <c r="AS119" i="38"/>
  <c r="AR112" i="38"/>
  <c r="AR119" i="38"/>
  <c r="AQ112" i="38"/>
  <c r="AQ119" i="38"/>
  <c r="AP112" i="38"/>
  <c r="AP119" i="38"/>
  <c r="AO112" i="38"/>
  <c r="AO119" i="38"/>
  <c r="A119" i="38"/>
  <c r="AS116" i="38"/>
  <c r="AR116" i="38"/>
  <c r="AQ116" i="38"/>
  <c r="AP116" i="38"/>
  <c r="AO116" i="38"/>
  <c r="AS115" i="38"/>
  <c r="AR115" i="38"/>
  <c r="AQ115" i="38"/>
  <c r="AP115" i="38"/>
  <c r="AO115" i="38"/>
  <c r="AS109" i="38"/>
  <c r="AS110" i="38"/>
  <c r="AR109" i="38"/>
  <c r="AR110" i="38"/>
  <c r="AQ109" i="38"/>
  <c r="AQ110" i="38"/>
  <c r="AP109" i="38"/>
  <c r="AP110" i="38"/>
  <c r="AO109" i="38"/>
  <c r="AO110" i="38"/>
  <c r="A109" i="38"/>
  <c r="A106" i="38"/>
  <c r="A110" i="38"/>
  <c r="AS101" i="38"/>
  <c r="AS108" i="38"/>
  <c r="AR101" i="38"/>
  <c r="AR108" i="38"/>
  <c r="AQ101" i="38"/>
  <c r="AQ108" i="38"/>
  <c r="AP101" i="38"/>
  <c r="AP108" i="38"/>
  <c r="AO101" i="38"/>
  <c r="AO108" i="38"/>
  <c r="A108" i="38"/>
  <c r="AS100" i="38"/>
  <c r="AS107" i="38"/>
  <c r="AR100" i="38"/>
  <c r="AR107" i="38"/>
  <c r="AQ100" i="38"/>
  <c r="AQ107" i="38"/>
  <c r="AP100" i="38"/>
  <c r="AP107" i="38"/>
  <c r="AO100" i="38"/>
  <c r="AO107" i="38"/>
  <c r="A107" i="38"/>
  <c r="AS104" i="38"/>
  <c r="AR104" i="38"/>
  <c r="AQ104" i="38"/>
  <c r="AP104" i="38"/>
  <c r="AO104" i="38"/>
  <c r="AS103" i="38"/>
  <c r="AR103" i="38"/>
  <c r="AQ103" i="38"/>
  <c r="AP103" i="38"/>
  <c r="AO103" i="38"/>
  <c r="A103" i="38"/>
  <c r="AS97" i="38"/>
  <c r="AS98" i="38"/>
  <c r="AR97" i="38"/>
  <c r="AR98" i="38"/>
  <c r="AQ97" i="38"/>
  <c r="AQ98" i="38"/>
  <c r="AP97" i="38"/>
  <c r="AP98" i="38"/>
  <c r="AO97" i="38"/>
  <c r="AO98" i="38"/>
  <c r="A97" i="38"/>
  <c r="A94" i="38"/>
  <c r="A98" i="38"/>
  <c r="AS89" i="38"/>
  <c r="AS96" i="38"/>
  <c r="AR89" i="38"/>
  <c r="AR96" i="38"/>
  <c r="AQ89" i="38"/>
  <c r="AQ96" i="38"/>
  <c r="AP89" i="38"/>
  <c r="AP96" i="38"/>
  <c r="AO89" i="38"/>
  <c r="AO96" i="38"/>
  <c r="A96" i="38"/>
  <c r="AS88" i="38"/>
  <c r="AS95" i="38"/>
  <c r="AR88" i="38"/>
  <c r="AR95" i="38"/>
  <c r="AQ88" i="38"/>
  <c r="AQ95" i="38"/>
  <c r="AP88" i="38"/>
  <c r="AP95" i="38"/>
  <c r="AO88" i="38"/>
  <c r="AO95" i="38"/>
  <c r="A95" i="38"/>
  <c r="AS92" i="38"/>
  <c r="AR92" i="38"/>
  <c r="AQ92" i="38"/>
  <c r="AP92" i="38"/>
  <c r="AO92" i="38"/>
  <c r="AS91" i="38"/>
  <c r="AR91" i="38"/>
  <c r="AQ91" i="38"/>
  <c r="AP91" i="38"/>
  <c r="AO91" i="38"/>
  <c r="AS85" i="38"/>
  <c r="AS86" i="38"/>
  <c r="AR85" i="38"/>
  <c r="AR86" i="38"/>
  <c r="AQ85" i="38"/>
  <c r="AQ86" i="38"/>
  <c r="AP85" i="38"/>
  <c r="AP86" i="38"/>
  <c r="AO85" i="38"/>
  <c r="AO86" i="38"/>
  <c r="A85" i="38"/>
  <c r="A82" i="38"/>
  <c r="A86" i="38"/>
  <c r="AS77" i="38"/>
  <c r="AS84" i="38"/>
  <c r="AR77" i="38"/>
  <c r="AR84" i="38"/>
  <c r="AQ77" i="38"/>
  <c r="AQ84" i="38"/>
  <c r="AP77" i="38"/>
  <c r="AP84" i="38"/>
  <c r="AO77" i="38"/>
  <c r="AO84" i="38"/>
  <c r="A84" i="38"/>
  <c r="AS76" i="38"/>
  <c r="AS83" i="38"/>
  <c r="AR76" i="38"/>
  <c r="AR83" i="38"/>
  <c r="AQ76" i="38"/>
  <c r="AQ83" i="38"/>
  <c r="AP76" i="38"/>
  <c r="AP83" i="38"/>
  <c r="AO76" i="38"/>
  <c r="AO83" i="38"/>
  <c r="A83" i="38"/>
  <c r="AS80" i="38"/>
  <c r="AR80" i="38"/>
  <c r="AQ80" i="38"/>
  <c r="AP80" i="38"/>
  <c r="AO80" i="38"/>
  <c r="AS79" i="38"/>
  <c r="AR79" i="38"/>
  <c r="AQ79" i="38"/>
  <c r="AP79" i="38"/>
  <c r="AO79" i="38"/>
  <c r="AS73" i="38"/>
  <c r="AS74" i="38"/>
  <c r="AR73" i="38"/>
  <c r="AR74" i="38"/>
  <c r="AQ73" i="38"/>
  <c r="AQ74" i="38"/>
  <c r="AP73" i="38"/>
  <c r="AP74" i="38"/>
  <c r="AO73" i="38"/>
  <c r="AO74" i="38"/>
  <c r="A73" i="38"/>
  <c r="A70" i="38"/>
  <c r="A74" i="38"/>
  <c r="AS65" i="38"/>
  <c r="AS72" i="38"/>
  <c r="AR65" i="38"/>
  <c r="AR72" i="38"/>
  <c r="AQ65" i="38"/>
  <c r="AQ72" i="38"/>
  <c r="AP65" i="38"/>
  <c r="AP72" i="38"/>
  <c r="AO65" i="38"/>
  <c r="AO72" i="38"/>
  <c r="A72" i="38"/>
  <c r="AS64" i="38"/>
  <c r="AS71" i="38"/>
  <c r="AR64" i="38"/>
  <c r="AR71" i="38"/>
  <c r="AQ64" i="38"/>
  <c r="AQ71" i="38"/>
  <c r="AP64" i="38"/>
  <c r="AP71" i="38"/>
  <c r="AO64" i="38"/>
  <c r="AO71" i="38"/>
  <c r="A71" i="38"/>
  <c r="AS68" i="38"/>
  <c r="AR68" i="38"/>
  <c r="AQ68" i="38"/>
  <c r="AP68" i="38"/>
  <c r="AO68" i="38"/>
  <c r="AS67" i="38"/>
  <c r="AR67" i="38"/>
  <c r="AQ67" i="38"/>
  <c r="AP67" i="38"/>
  <c r="AO67" i="38"/>
  <c r="AS61" i="38"/>
  <c r="AS62" i="38"/>
  <c r="AR61" i="38"/>
  <c r="AR62" i="38"/>
  <c r="AQ61" i="38"/>
  <c r="AQ62" i="38"/>
  <c r="AP61" i="38"/>
  <c r="AP62" i="38"/>
  <c r="AO61" i="38"/>
  <c r="AO62" i="38"/>
  <c r="A61" i="38"/>
  <c r="A58" i="38"/>
  <c r="A62" i="38"/>
  <c r="AS53" i="38"/>
  <c r="AS60" i="38"/>
  <c r="AR53" i="38"/>
  <c r="AR60" i="38"/>
  <c r="AQ53" i="38"/>
  <c r="AQ60" i="38"/>
  <c r="AP53" i="38"/>
  <c r="AP60" i="38"/>
  <c r="AO53" i="38"/>
  <c r="AO60" i="38"/>
  <c r="A60" i="38"/>
  <c r="AS52" i="38"/>
  <c r="AS59" i="38"/>
  <c r="AR52" i="38"/>
  <c r="AR59" i="38"/>
  <c r="AQ52" i="38"/>
  <c r="AQ59" i="38"/>
  <c r="AP52" i="38"/>
  <c r="AP59" i="38"/>
  <c r="AO52" i="38"/>
  <c r="AO59" i="38"/>
  <c r="A59" i="38"/>
  <c r="AS56" i="38"/>
  <c r="AR56" i="38"/>
  <c r="AQ56" i="38"/>
  <c r="AP56" i="38"/>
  <c r="AO56" i="38"/>
  <c r="AS55" i="38"/>
  <c r="AR55" i="38"/>
  <c r="AQ55" i="38"/>
  <c r="AP55" i="38"/>
  <c r="AO55" i="38"/>
  <c r="A55" i="38"/>
  <c r="AS49" i="38"/>
  <c r="AS50" i="38"/>
  <c r="AR49" i="38"/>
  <c r="AR50" i="38"/>
  <c r="AQ49" i="38"/>
  <c r="AQ50" i="38"/>
  <c r="AP49" i="38"/>
  <c r="AP50" i="38"/>
  <c r="AO49" i="38"/>
  <c r="AO50" i="38"/>
  <c r="A49" i="38"/>
  <c r="A46" i="38"/>
  <c r="A50" i="38"/>
  <c r="AS41" i="38"/>
  <c r="AS48" i="38"/>
  <c r="AR41" i="38"/>
  <c r="AR48" i="38"/>
  <c r="AQ41" i="38"/>
  <c r="AQ48" i="38"/>
  <c r="AP41" i="38"/>
  <c r="AP48" i="38"/>
  <c r="AO41" i="38"/>
  <c r="AO48" i="38"/>
  <c r="A48" i="38"/>
  <c r="AS40" i="38"/>
  <c r="AS47" i="38"/>
  <c r="AR40" i="38"/>
  <c r="AR47" i="38"/>
  <c r="AQ40" i="38"/>
  <c r="AQ47" i="38"/>
  <c r="AP40" i="38"/>
  <c r="AP47" i="38"/>
  <c r="AO40" i="38"/>
  <c r="AO47" i="38"/>
  <c r="A47" i="38"/>
  <c r="AS44" i="38"/>
  <c r="AR44" i="38"/>
  <c r="AQ44" i="38"/>
  <c r="AP44" i="38"/>
  <c r="AO44" i="38"/>
  <c r="AS43" i="38"/>
  <c r="AR43" i="38"/>
  <c r="AQ43" i="38"/>
  <c r="AP43" i="38"/>
  <c r="AO43" i="38"/>
  <c r="AS37" i="38"/>
  <c r="AS38" i="38"/>
  <c r="AR37" i="38"/>
  <c r="AR38" i="38"/>
  <c r="AQ37" i="38"/>
  <c r="AQ38" i="38"/>
  <c r="AP37" i="38"/>
  <c r="AP38" i="38"/>
  <c r="AO37" i="38"/>
  <c r="AO38" i="38"/>
  <c r="A37" i="38"/>
  <c r="A34" i="38"/>
  <c r="A38" i="38"/>
  <c r="AS29" i="38"/>
  <c r="AS36" i="38"/>
  <c r="AR29" i="38"/>
  <c r="AR36" i="38"/>
  <c r="AQ29" i="38"/>
  <c r="AQ36" i="38"/>
  <c r="AP29" i="38"/>
  <c r="AP36" i="38"/>
  <c r="AO29" i="38"/>
  <c r="AO36" i="38"/>
  <c r="A36" i="38"/>
  <c r="AS28" i="38"/>
  <c r="AS35" i="38"/>
  <c r="AR28" i="38"/>
  <c r="AR35" i="38"/>
  <c r="AQ28" i="38"/>
  <c r="AQ35" i="38"/>
  <c r="AP28" i="38"/>
  <c r="AP35" i="38"/>
  <c r="AO28" i="38"/>
  <c r="AO35" i="38"/>
  <c r="A35" i="38"/>
  <c r="AS32" i="38"/>
  <c r="AR32" i="38"/>
  <c r="AQ32" i="38"/>
  <c r="AP32" i="38"/>
  <c r="AO32" i="38"/>
  <c r="AS31" i="38"/>
  <c r="AR31" i="38"/>
  <c r="AQ31" i="38"/>
  <c r="AP31" i="38"/>
  <c r="AO31" i="38"/>
  <c r="AS25" i="38"/>
  <c r="AS26" i="38"/>
  <c r="AR25" i="38"/>
  <c r="AR26" i="38"/>
  <c r="AQ25" i="38"/>
  <c r="AQ26" i="38"/>
  <c r="AP25" i="38"/>
  <c r="AP26" i="38"/>
  <c r="AO25" i="38"/>
  <c r="AO26" i="38"/>
  <c r="A25" i="38"/>
  <c r="A22" i="38"/>
  <c r="A26" i="38"/>
  <c r="AS17" i="38"/>
  <c r="AS24" i="38"/>
  <c r="AR17" i="38"/>
  <c r="AR24" i="38"/>
  <c r="AQ17" i="38"/>
  <c r="AQ24" i="38"/>
  <c r="AP17" i="38"/>
  <c r="AP24" i="38"/>
  <c r="AO17" i="38"/>
  <c r="AO24" i="38"/>
  <c r="A24" i="38"/>
  <c r="AS16" i="38"/>
  <c r="AS23" i="38"/>
  <c r="AR16" i="38"/>
  <c r="AR23" i="38"/>
  <c r="AQ16" i="38"/>
  <c r="AQ23" i="38"/>
  <c r="AP16" i="38"/>
  <c r="AP23" i="38"/>
  <c r="AO16" i="38"/>
  <c r="AO23" i="38"/>
  <c r="A23" i="38"/>
  <c r="AS20" i="38"/>
  <c r="AR20" i="38"/>
  <c r="AQ20" i="38"/>
  <c r="AP20" i="38"/>
  <c r="AO20" i="38"/>
  <c r="AS19" i="38"/>
  <c r="AR19" i="38"/>
  <c r="AQ19" i="38"/>
  <c r="AP19" i="38"/>
  <c r="AO19" i="38"/>
  <c r="AS13" i="38"/>
  <c r="AS14" i="38"/>
  <c r="AR13" i="38"/>
  <c r="AR14" i="38"/>
  <c r="AQ13" i="38"/>
  <c r="AQ14" i="38"/>
  <c r="AP13" i="38"/>
  <c r="AP14" i="38"/>
  <c r="AO13" i="38"/>
  <c r="AO14" i="38"/>
  <c r="A13" i="38"/>
  <c r="A10" i="38"/>
  <c r="A14" i="38"/>
  <c r="AS5" i="38"/>
  <c r="AS12" i="38"/>
  <c r="AR5" i="38"/>
  <c r="AR12" i="38"/>
  <c r="AQ5" i="38"/>
  <c r="AQ12" i="38"/>
  <c r="AP5" i="38"/>
  <c r="AP12" i="38"/>
  <c r="AO5" i="38"/>
  <c r="AO12" i="38"/>
  <c r="A12" i="38"/>
  <c r="AS4" i="38"/>
  <c r="AS11" i="38"/>
  <c r="AR4" i="38"/>
  <c r="AR11" i="38"/>
  <c r="AQ4" i="38"/>
  <c r="AQ11" i="38"/>
  <c r="AP4" i="38"/>
  <c r="AP11" i="38"/>
  <c r="AO4" i="38"/>
  <c r="AO11" i="38"/>
  <c r="A11" i="38"/>
  <c r="AS8" i="38"/>
  <c r="AR8" i="38"/>
  <c r="AQ8" i="38"/>
  <c r="AP8" i="38"/>
  <c r="AO8" i="38"/>
  <c r="AS7" i="38"/>
  <c r="AR7" i="38"/>
  <c r="AQ7" i="38"/>
  <c r="AP7" i="38"/>
  <c r="AO7" i="38"/>
  <c r="A7" i="38"/>
  <c r="AO1" i="38"/>
  <c r="AP1" i="38"/>
  <c r="AQ1" i="38"/>
  <c r="AR1" i="38"/>
  <c r="AS1" i="38"/>
  <c r="B2" i="38"/>
  <c r="AN1" i="39"/>
  <c r="AO1" i="39"/>
  <c r="AP1" i="39"/>
  <c r="AQ1" i="39"/>
  <c r="AR1" i="39"/>
  <c r="AS1" i="39"/>
  <c r="B2" i="39"/>
  <c r="B2" i="40"/>
  <c r="A109" i="40"/>
  <c r="A106" i="40"/>
  <c r="A110" i="40"/>
  <c r="A108" i="40"/>
  <c r="A107" i="40"/>
  <c r="A97" i="40"/>
  <c r="A94" i="40"/>
  <c r="A98" i="40"/>
  <c r="A96" i="40"/>
  <c r="A95" i="40"/>
  <c r="A64" i="40"/>
  <c r="A76" i="40"/>
  <c r="A88" i="40"/>
  <c r="A85" i="40"/>
  <c r="A82" i="40"/>
  <c r="A86" i="40"/>
  <c r="A84" i="40"/>
  <c r="A83" i="40"/>
  <c r="A73" i="40"/>
  <c r="A70" i="40"/>
  <c r="A74" i="40"/>
  <c r="A72" i="40"/>
  <c r="A71" i="40"/>
  <c r="A61" i="40"/>
  <c r="A58" i="40"/>
  <c r="A62" i="40"/>
  <c r="A60" i="40"/>
  <c r="A59" i="40"/>
  <c r="A55" i="40"/>
  <c r="A49" i="40"/>
  <c r="A46" i="40"/>
  <c r="A50" i="40"/>
  <c r="A48" i="40"/>
  <c r="A47" i="40"/>
  <c r="A16" i="40"/>
  <c r="A28" i="40"/>
  <c r="A40" i="40"/>
  <c r="A37" i="40"/>
  <c r="A34" i="40"/>
  <c r="A38" i="40"/>
  <c r="A36" i="40"/>
  <c r="A35" i="40"/>
  <c r="A25" i="40"/>
  <c r="A22" i="40"/>
  <c r="A26" i="40"/>
  <c r="A24" i="40"/>
  <c r="A23" i="40"/>
  <c r="A13" i="40"/>
  <c r="A10" i="40"/>
  <c r="A14" i="40"/>
  <c r="A12" i="40"/>
  <c r="A11" i="40"/>
  <c r="A7" i="40"/>
  <c r="AM2" i="37"/>
  <c r="AN2" i="37"/>
  <c r="AO2" i="37"/>
  <c r="AP2" i="37"/>
  <c r="AQ2" i="37"/>
  <c r="AR2" i="37"/>
  <c r="AS2" i="37"/>
  <c r="AM2" i="34"/>
  <c r="AN2" i="34"/>
  <c r="AO2" i="34"/>
  <c r="AP2" i="34"/>
  <c r="AQ2" i="34"/>
  <c r="AR2" i="34"/>
  <c r="AS2" i="34"/>
  <c r="B2" i="34"/>
  <c r="AM1" i="37"/>
  <c r="AN1" i="37"/>
  <c r="AO1" i="37"/>
  <c r="AP1" i="37"/>
  <c r="AQ1" i="37"/>
  <c r="AR1" i="37"/>
  <c r="AS1" i="37"/>
  <c r="B2" i="37"/>
  <c r="AS242" i="37"/>
  <c r="AR242" i="37"/>
  <c r="AQ242" i="37"/>
  <c r="AP242" i="37"/>
  <c r="AO242" i="37"/>
  <c r="AN242" i="37"/>
  <c r="AM242" i="37"/>
  <c r="AM241" i="37"/>
  <c r="AN241" i="37"/>
  <c r="AO241" i="37"/>
  <c r="AP241" i="37"/>
  <c r="AQ241" i="37"/>
  <c r="AR241" i="37"/>
  <c r="AS241" i="37"/>
  <c r="A241" i="37"/>
  <c r="A238" i="37"/>
  <c r="A242" i="37"/>
  <c r="AS240" i="37"/>
  <c r="AR240" i="37"/>
  <c r="AQ240" i="37"/>
  <c r="AP240" i="37"/>
  <c r="AO240" i="37"/>
  <c r="AN240" i="37"/>
  <c r="AM240" i="37"/>
  <c r="A240" i="37"/>
  <c r="AS239" i="37"/>
  <c r="AR239" i="37"/>
  <c r="AQ239" i="37"/>
  <c r="AP239" i="37"/>
  <c r="AO239" i="37"/>
  <c r="AN239" i="37"/>
  <c r="AM239" i="37"/>
  <c r="A239" i="37"/>
  <c r="AS236" i="37"/>
  <c r="AR236" i="37"/>
  <c r="AQ236" i="37"/>
  <c r="AP236" i="37"/>
  <c r="AO236" i="37"/>
  <c r="AN236" i="37"/>
  <c r="AM236" i="37"/>
  <c r="AS235" i="37"/>
  <c r="AR235" i="37"/>
  <c r="AQ235" i="37"/>
  <c r="AP235" i="37"/>
  <c r="AO235" i="37"/>
  <c r="AN235" i="37"/>
  <c r="AM235" i="37"/>
  <c r="AS233" i="37"/>
  <c r="AR233" i="37"/>
  <c r="AQ233" i="37"/>
  <c r="AP233" i="37"/>
  <c r="AO233" i="37"/>
  <c r="AN233" i="37"/>
  <c r="AM233" i="37"/>
  <c r="AS232" i="37"/>
  <c r="AR232" i="37"/>
  <c r="AQ232" i="37"/>
  <c r="AP232" i="37"/>
  <c r="AO232" i="37"/>
  <c r="AN232" i="37"/>
  <c r="AM232" i="37"/>
  <c r="AS230" i="37"/>
  <c r="AR230" i="37"/>
  <c r="AQ230" i="37"/>
  <c r="AP230" i="37"/>
  <c r="AO230" i="37"/>
  <c r="AN230" i="37"/>
  <c r="AM230" i="37"/>
  <c r="AM229" i="37"/>
  <c r="AN229" i="37"/>
  <c r="AO229" i="37"/>
  <c r="AP229" i="37"/>
  <c r="AQ229" i="37"/>
  <c r="AR229" i="37"/>
  <c r="AS229" i="37"/>
  <c r="A229" i="37"/>
  <c r="A226" i="37"/>
  <c r="A230" i="37"/>
  <c r="AS228" i="37"/>
  <c r="AR228" i="37"/>
  <c r="AQ228" i="37"/>
  <c r="AP228" i="37"/>
  <c r="AO228" i="37"/>
  <c r="AN228" i="37"/>
  <c r="AM228" i="37"/>
  <c r="A228" i="37"/>
  <c r="AS227" i="37"/>
  <c r="AR227" i="37"/>
  <c r="AQ227" i="37"/>
  <c r="AP227" i="37"/>
  <c r="AO227" i="37"/>
  <c r="AN227" i="37"/>
  <c r="AM227" i="37"/>
  <c r="A227" i="37"/>
  <c r="AS224" i="37"/>
  <c r="AR224" i="37"/>
  <c r="AQ224" i="37"/>
  <c r="AP224" i="37"/>
  <c r="AO224" i="37"/>
  <c r="AN224" i="37"/>
  <c r="AM224" i="37"/>
  <c r="AS223" i="37"/>
  <c r="AR223" i="37"/>
  <c r="AQ223" i="37"/>
  <c r="AP223" i="37"/>
  <c r="AO223" i="37"/>
  <c r="AN223" i="37"/>
  <c r="AM223" i="37"/>
  <c r="AS221" i="37"/>
  <c r="AR221" i="37"/>
  <c r="AQ221" i="37"/>
  <c r="AP221" i="37"/>
  <c r="AO221" i="37"/>
  <c r="AN221" i="37"/>
  <c r="AM221" i="37"/>
  <c r="AS220" i="37"/>
  <c r="AR220" i="37"/>
  <c r="AQ220" i="37"/>
  <c r="AP220" i="37"/>
  <c r="AO220" i="37"/>
  <c r="AN220" i="37"/>
  <c r="AM220" i="37"/>
  <c r="AS218" i="37"/>
  <c r="AR218" i="37"/>
  <c r="AQ218" i="37"/>
  <c r="AP218" i="37"/>
  <c r="AO218" i="37"/>
  <c r="AN218" i="37"/>
  <c r="AM218" i="37"/>
  <c r="AM217" i="37"/>
  <c r="AN217" i="37"/>
  <c r="AO217" i="37"/>
  <c r="AP217" i="37"/>
  <c r="AQ217" i="37"/>
  <c r="AR217" i="37"/>
  <c r="AS217" i="37"/>
  <c r="A217" i="37"/>
  <c r="A214" i="37"/>
  <c r="A218" i="37"/>
  <c r="AS216" i="37"/>
  <c r="AR216" i="37"/>
  <c r="AQ216" i="37"/>
  <c r="AP216" i="37"/>
  <c r="AO216" i="37"/>
  <c r="AN216" i="37"/>
  <c r="AM216" i="37"/>
  <c r="A216" i="37"/>
  <c r="AS215" i="37"/>
  <c r="AR215" i="37"/>
  <c r="AQ215" i="37"/>
  <c r="AP215" i="37"/>
  <c r="AO215" i="37"/>
  <c r="AN215" i="37"/>
  <c r="AM215" i="37"/>
  <c r="A215" i="37"/>
  <c r="AS212" i="37"/>
  <c r="AR212" i="37"/>
  <c r="AQ212" i="37"/>
  <c r="AP212" i="37"/>
  <c r="AO212" i="37"/>
  <c r="AN212" i="37"/>
  <c r="AM212" i="37"/>
  <c r="AS211" i="37"/>
  <c r="AR211" i="37"/>
  <c r="AQ211" i="37"/>
  <c r="AP211" i="37"/>
  <c r="AO211" i="37"/>
  <c r="AN211" i="37"/>
  <c r="AM211" i="37"/>
  <c r="AS209" i="37"/>
  <c r="AR209" i="37"/>
  <c r="AQ209" i="37"/>
  <c r="AP209" i="37"/>
  <c r="AO209" i="37"/>
  <c r="AN209" i="37"/>
  <c r="AM209" i="37"/>
  <c r="AS208" i="37"/>
  <c r="AR208" i="37"/>
  <c r="AQ208" i="37"/>
  <c r="AP208" i="37"/>
  <c r="AO208" i="37"/>
  <c r="AN208" i="37"/>
  <c r="AM208" i="37"/>
  <c r="AS206" i="37"/>
  <c r="AR206" i="37"/>
  <c r="AQ206" i="37"/>
  <c r="AP206" i="37"/>
  <c r="AO206" i="37"/>
  <c r="AN206" i="37"/>
  <c r="AM206" i="37"/>
  <c r="AM205" i="37"/>
  <c r="AN205" i="37"/>
  <c r="AO205" i="37"/>
  <c r="AP205" i="37"/>
  <c r="AQ205" i="37"/>
  <c r="AR205" i="37"/>
  <c r="AS205" i="37"/>
  <c r="A205" i="37"/>
  <c r="A202" i="37"/>
  <c r="A206" i="37"/>
  <c r="AS204" i="37"/>
  <c r="AR204" i="37"/>
  <c r="AQ204" i="37"/>
  <c r="AP204" i="37"/>
  <c r="AO204" i="37"/>
  <c r="AN204" i="37"/>
  <c r="AM204" i="37"/>
  <c r="A204" i="37"/>
  <c r="AS203" i="37"/>
  <c r="AR203" i="37"/>
  <c r="AQ203" i="37"/>
  <c r="AP203" i="37"/>
  <c r="AO203" i="37"/>
  <c r="AN203" i="37"/>
  <c r="AM203" i="37"/>
  <c r="A203" i="37"/>
  <c r="AS200" i="37"/>
  <c r="AR200" i="37"/>
  <c r="AQ200" i="37"/>
  <c r="AP200" i="37"/>
  <c r="AO200" i="37"/>
  <c r="AN200" i="37"/>
  <c r="AM200" i="37"/>
  <c r="AS199" i="37"/>
  <c r="AR199" i="37"/>
  <c r="AQ199" i="37"/>
  <c r="AP199" i="37"/>
  <c r="AO199" i="37"/>
  <c r="AN199" i="37"/>
  <c r="AM199" i="37"/>
  <c r="AS197" i="37"/>
  <c r="AR197" i="37"/>
  <c r="AQ197" i="37"/>
  <c r="AP197" i="37"/>
  <c r="AO197" i="37"/>
  <c r="AN197" i="37"/>
  <c r="AM197" i="37"/>
  <c r="AS196" i="37"/>
  <c r="AR196" i="37"/>
  <c r="AQ196" i="37"/>
  <c r="AP196" i="37"/>
  <c r="AO196" i="37"/>
  <c r="AN196" i="37"/>
  <c r="AM196" i="37"/>
  <c r="AS194" i="37"/>
  <c r="AR194" i="37"/>
  <c r="AQ194" i="37"/>
  <c r="AP194" i="37"/>
  <c r="AO194" i="37"/>
  <c r="AN194" i="37"/>
  <c r="AM194" i="37"/>
  <c r="AM193" i="37"/>
  <c r="AN193" i="37"/>
  <c r="AO193" i="37"/>
  <c r="AP193" i="37"/>
  <c r="AQ193" i="37"/>
  <c r="AR193" i="37"/>
  <c r="AS193" i="37"/>
  <c r="A193" i="37"/>
  <c r="A190" i="37"/>
  <c r="A194" i="37"/>
  <c r="AS192" i="37"/>
  <c r="AR192" i="37"/>
  <c r="AQ192" i="37"/>
  <c r="AP192" i="37"/>
  <c r="AO192" i="37"/>
  <c r="AN192" i="37"/>
  <c r="AM192" i="37"/>
  <c r="A192" i="37"/>
  <c r="AS191" i="37"/>
  <c r="AR191" i="37"/>
  <c r="AQ191" i="37"/>
  <c r="AP191" i="37"/>
  <c r="AO191" i="37"/>
  <c r="AN191" i="37"/>
  <c r="AM191" i="37"/>
  <c r="A191" i="37"/>
  <c r="AS188" i="37"/>
  <c r="AR188" i="37"/>
  <c r="AQ188" i="37"/>
  <c r="AP188" i="37"/>
  <c r="AO188" i="37"/>
  <c r="AN188" i="37"/>
  <c r="AM188" i="37"/>
  <c r="AS187" i="37"/>
  <c r="AR187" i="37"/>
  <c r="AQ187" i="37"/>
  <c r="AP187" i="37"/>
  <c r="AO187" i="37"/>
  <c r="AN187" i="37"/>
  <c r="AM187" i="37"/>
  <c r="AS185" i="37"/>
  <c r="AR185" i="37"/>
  <c r="AQ185" i="37"/>
  <c r="AP185" i="37"/>
  <c r="AO185" i="37"/>
  <c r="AN185" i="37"/>
  <c r="AM185" i="37"/>
  <c r="AS184" i="37"/>
  <c r="AR184" i="37"/>
  <c r="AQ184" i="37"/>
  <c r="AP184" i="37"/>
  <c r="AO184" i="37"/>
  <c r="AN184" i="37"/>
  <c r="AM184" i="37"/>
  <c r="AS182" i="37"/>
  <c r="AR182" i="37"/>
  <c r="AQ182" i="37"/>
  <c r="AP182" i="37"/>
  <c r="AO182" i="37"/>
  <c r="AN182" i="37"/>
  <c r="AM182" i="37"/>
  <c r="AM181" i="37"/>
  <c r="AN181" i="37"/>
  <c r="AO181" i="37"/>
  <c r="AP181" i="37"/>
  <c r="AQ181" i="37"/>
  <c r="AR181" i="37"/>
  <c r="AS181" i="37"/>
  <c r="A181" i="37"/>
  <c r="A178" i="37"/>
  <c r="A182" i="37"/>
  <c r="AS180" i="37"/>
  <c r="AR180" i="37"/>
  <c r="AQ180" i="37"/>
  <c r="AP180" i="37"/>
  <c r="AO180" i="37"/>
  <c r="AN180" i="37"/>
  <c r="AM180" i="37"/>
  <c r="A180" i="37"/>
  <c r="AS179" i="37"/>
  <c r="AR179" i="37"/>
  <c r="AQ179" i="37"/>
  <c r="AP179" i="37"/>
  <c r="AO179" i="37"/>
  <c r="AN179" i="37"/>
  <c r="AM179" i="37"/>
  <c r="A179" i="37"/>
  <c r="AS176" i="37"/>
  <c r="AR176" i="37"/>
  <c r="AQ176" i="37"/>
  <c r="AP176" i="37"/>
  <c r="AO176" i="37"/>
  <c r="AN176" i="37"/>
  <c r="AM176" i="37"/>
  <c r="AS175" i="37"/>
  <c r="AR175" i="37"/>
  <c r="AQ175" i="37"/>
  <c r="AP175" i="37"/>
  <c r="AO175" i="37"/>
  <c r="AN175" i="37"/>
  <c r="AM175" i="37"/>
  <c r="AS173" i="37"/>
  <c r="AR173" i="37"/>
  <c r="AQ173" i="37"/>
  <c r="AP173" i="37"/>
  <c r="AO173" i="37"/>
  <c r="AN173" i="37"/>
  <c r="AM173" i="37"/>
  <c r="AS172" i="37"/>
  <c r="AR172" i="37"/>
  <c r="AQ172" i="37"/>
  <c r="AP172" i="37"/>
  <c r="AO172" i="37"/>
  <c r="AN172" i="37"/>
  <c r="AM172" i="37"/>
  <c r="AS170" i="37"/>
  <c r="AR170" i="37"/>
  <c r="AQ170" i="37"/>
  <c r="AP170" i="37"/>
  <c r="AO170" i="37"/>
  <c r="AN170" i="37"/>
  <c r="AM170" i="37"/>
  <c r="AM169" i="37"/>
  <c r="AN169" i="37"/>
  <c r="AO169" i="37"/>
  <c r="AP169" i="37"/>
  <c r="AQ169" i="37"/>
  <c r="AR169" i="37"/>
  <c r="AS169" i="37"/>
  <c r="A169" i="37"/>
  <c r="A166" i="37"/>
  <c r="A170" i="37"/>
  <c r="AS168" i="37"/>
  <c r="AR168" i="37"/>
  <c r="AQ168" i="37"/>
  <c r="AP168" i="37"/>
  <c r="AO168" i="37"/>
  <c r="AN168" i="37"/>
  <c r="AM168" i="37"/>
  <c r="A168" i="37"/>
  <c r="AS167" i="37"/>
  <c r="AR167" i="37"/>
  <c r="AQ167" i="37"/>
  <c r="AP167" i="37"/>
  <c r="AO167" i="37"/>
  <c r="AN167" i="37"/>
  <c r="AM167" i="37"/>
  <c r="A167" i="37"/>
  <c r="AS164" i="37"/>
  <c r="AR164" i="37"/>
  <c r="AQ164" i="37"/>
  <c r="AP164" i="37"/>
  <c r="AO164" i="37"/>
  <c r="AN164" i="37"/>
  <c r="AM164" i="37"/>
  <c r="AS163" i="37"/>
  <c r="AR163" i="37"/>
  <c r="AQ163" i="37"/>
  <c r="AP163" i="37"/>
  <c r="AO163" i="37"/>
  <c r="AN163" i="37"/>
  <c r="AM163" i="37"/>
  <c r="AS161" i="37"/>
  <c r="AR161" i="37"/>
  <c r="AQ161" i="37"/>
  <c r="AP161" i="37"/>
  <c r="AO161" i="37"/>
  <c r="AN161" i="37"/>
  <c r="AM161" i="37"/>
  <c r="AS160" i="37"/>
  <c r="AR160" i="37"/>
  <c r="AQ160" i="37"/>
  <c r="AP160" i="37"/>
  <c r="AO160" i="37"/>
  <c r="AN160" i="37"/>
  <c r="AM160" i="37"/>
  <c r="AS158" i="37"/>
  <c r="AR158" i="37"/>
  <c r="AQ158" i="37"/>
  <c r="AP158" i="37"/>
  <c r="AO158" i="37"/>
  <c r="AN158" i="37"/>
  <c r="AM158" i="37"/>
  <c r="AM157" i="37"/>
  <c r="AN157" i="37"/>
  <c r="AO157" i="37"/>
  <c r="AP157" i="37"/>
  <c r="AQ157" i="37"/>
  <c r="AR157" i="37"/>
  <c r="AS157" i="37"/>
  <c r="A157" i="37"/>
  <c r="A154" i="37"/>
  <c r="A158" i="37"/>
  <c r="AS156" i="37"/>
  <c r="AR156" i="37"/>
  <c r="AQ156" i="37"/>
  <c r="AP156" i="37"/>
  <c r="AO156" i="37"/>
  <c r="AN156" i="37"/>
  <c r="AM156" i="37"/>
  <c r="A156" i="37"/>
  <c r="AS155" i="37"/>
  <c r="AR155" i="37"/>
  <c r="AQ155" i="37"/>
  <c r="AP155" i="37"/>
  <c r="AO155" i="37"/>
  <c r="AN155" i="37"/>
  <c r="AM155" i="37"/>
  <c r="A155" i="37"/>
  <c r="AS152" i="37"/>
  <c r="AR152" i="37"/>
  <c r="AQ152" i="37"/>
  <c r="AP152" i="37"/>
  <c r="AO152" i="37"/>
  <c r="AN152" i="37"/>
  <c r="AM152" i="37"/>
  <c r="AS151" i="37"/>
  <c r="AR151" i="37"/>
  <c r="AQ151" i="37"/>
  <c r="AP151" i="37"/>
  <c r="AO151" i="37"/>
  <c r="AN151" i="37"/>
  <c r="AM151" i="37"/>
  <c r="A151" i="37"/>
  <c r="AS149" i="37"/>
  <c r="AR149" i="37"/>
  <c r="AQ149" i="37"/>
  <c r="AP149" i="37"/>
  <c r="AO149" i="37"/>
  <c r="AN149" i="37"/>
  <c r="AM149" i="37"/>
  <c r="AS148" i="37"/>
  <c r="AR148" i="37"/>
  <c r="AQ148" i="37"/>
  <c r="AP148" i="37"/>
  <c r="AO148" i="37"/>
  <c r="AN148" i="37"/>
  <c r="AM148" i="37"/>
  <c r="AS146" i="37"/>
  <c r="AR146" i="37"/>
  <c r="AQ146" i="37"/>
  <c r="AP146" i="37"/>
  <c r="AO146" i="37"/>
  <c r="AN146" i="37"/>
  <c r="AM146" i="37"/>
  <c r="AM145" i="37"/>
  <c r="AN145" i="37"/>
  <c r="AO145" i="37"/>
  <c r="AP145" i="37"/>
  <c r="AQ145" i="37"/>
  <c r="AR145" i="37"/>
  <c r="AS145" i="37"/>
  <c r="A145" i="37"/>
  <c r="A142" i="37"/>
  <c r="A146" i="37"/>
  <c r="AS144" i="37"/>
  <c r="AR144" i="37"/>
  <c r="AQ144" i="37"/>
  <c r="AP144" i="37"/>
  <c r="AO144" i="37"/>
  <c r="AN144" i="37"/>
  <c r="AM144" i="37"/>
  <c r="A144" i="37"/>
  <c r="AS143" i="37"/>
  <c r="AR143" i="37"/>
  <c r="AQ143" i="37"/>
  <c r="AP143" i="37"/>
  <c r="AO143" i="37"/>
  <c r="AN143" i="37"/>
  <c r="AM143" i="37"/>
  <c r="A143" i="37"/>
  <c r="AS140" i="37"/>
  <c r="AR140" i="37"/>
  <c r="AQ140" i="37"/>
  <c r="AP140" i="37"/>
  <c r="AO140" i="37"/>
  <c r="AN140" i="37"/>
  <c r="AM140" i="37"/>
  <c r="AS139" i="37"/>
  <c r="AR139" i="37"/>
  <c r="AQ139" i="37"/>
  <c r="AP139" i="37"/>
  <c r="AO139" i="37"/>
  <c r="AN139" i="37"/>
  <c r="AM139" i="37"/>
  <c r="AS137" i="37"/>
  <c r="AR137" i="37"/>
  <c r="AQ137" i="37"/>
  <c r="AP137" i="37"/>
  <c r="AO137" i="37"/>
  <c r="AN137" i="37"/>
  <c r="AM137" i="37"/>
  <c r="AS136" i="37"/>
  <c r="AR136" i="37"/>
  <c r="AQ136" i="37"/>
  <c r="AP136" i="37"/>
  <c r="AO136" i="37"/>
  <c r="AN136" i="37"/>
  <c r="AM136" i="37"/>
  <c r="AS134" i="37"/>
  <c r="AR134" i="37"/>
  <c r="AQ134" i="37"/>
  <c r="AP134" i="37"/>
  <c r="AO134" i="37"/>
  <c r="AN134" i="37"/>
  <c r="AM134" i="37"/>
  <c r="AM133" i="37"/>
  <c r="AN133" i="37"/>
  <c r="AO133" i="37"/>
  <c r="AP133" i="37"/>
  <c r="AQ133" i="37"/>
  <c r="AR133" i="37"/>
  <c r="AS133" i="37"/>
  <c r="A130" i="37"/>
  <c r="AS132" i="37"/>
  <c r="AR132" i="37"/>
  <c r="AQ132" i="37"/>
  <c r="AP132" i="37"/>
  <c r="AO132" i="37"/>
  <c r="AN132" i="37"/>
  <c r="AM132" i="37"/>
  <c r="AS131" i="37"/>
  <c r="AR131" i="37"/>
  <c r="AQ131" i="37"/>
  <c r="AP131" i="37"/>
  <c r="AO131" i="37"/>
  <c r="AN131" i="37"/>
  <c r="AM131" i="37"/>
  <c r="A131" i="37"/>
  <c r="AS128" i="37"/>
  <c r="AR128" i="37"/>
  <c r="AQ128" i="37"/>
  <c r="AP128" i="37"/>
  <c r="AO128" i="37"/>
  <c r="AN128" i="37"/>
  <c r="AM128" i="37"/>
  <c r="AS127" i="37"/>
  <c r="AR127" i="37"/>
  <c r="AQ127" i="37"/>
  <c r="AP127" i="37"/>
  <c r="AO127" i="37"/>
  <c r="AN127" i="37"/>
  <c r="AM127" i="37"/>
  <c r="AS125" i="37"/>
  <c r="AR125" i="37"/>
  <c r="AQ125" i="37"/>
  <c r="AP125" i="37"/>
  <c r="AO125" i="37"/>
  <c r="AN125" i="37"/>
  <c r="AM125" i="37"/>
  <c r="AS124" i="37"/>
  <c r="AR124" i="37"/>
  <c r="AQ124" i="37"/>
  <c r="AP124" i="37"/>
  <c r="AO124" i="37"/>
  <c r="AN124" i="37"/>
  <c r="AM124" i="37"/>
  <c r="AS122" i="37"/>
  <c r="AR122" i="37"/>
  <c r="AQ122" i="37"/>
  <c r="AP122" i="37"/>
  <c r="AO122" i="37"/>
  <c r="AN122" i="37"/>
  <c r="AM122" i="37"/>
  <c r="AM121" i="37"/>
  <c r="AN121" i="37"/>
  <c r="AO121" i="37"/>
  <c r="AP121" i="37"/>
  <c r="AQ121" i="37"/>
  <c r="AR121" i="37"/>
  <c r="AS121" i="37"/>
  <c r="A118" i="37"/>
  <c r="AS120" i="37"/>
  <c r="AR120" i="37"/>
  <c r="AQ120" i="37"/>
  <c r="AP120" i="37"/>
  <c r="AO120" i="37"/>
  <c r="AN120" i="37"/>
  <c r="AM120" i="37"/>
  <c r="AS119" i="37"/>
  <c r="AR119" i="37"/>
  <c r="AQ119" i="37"/>
  <c r="AP119" i="37"/>
  <c r="AO119" i="37"/>
  <c r="AN119" i="37"/>
  <c r="AM119" i="37"/>
  <c r="A119" i="37"/>
  <c r="AS116" i="37"/>
  <c r="AR116" i="37"/>
  <c r="AQ116" i="37"/>
  <c r="AP116" i="37"/>
  <c r="AO116" i="37"/>
  <c r="AN116" i="37"/>
  <c r="AM116" i="37"/>
  <c r="AS115" i="37"/>
  <c r="AR115" i="37"/>
  <c r="AQ115" i="37"/>
  <c r="AP115" i="37"/>
  <c r="AO115" i="37"/>
  <c r="AN115" i="37"/>
  <c r="AM115" i="37"/>
  <c r="AS113" i="37"/>
  <c r="AR113" i="37"/>
  <c r="AQ113" i="37"/>
  <c r="AP113" i="37"/>
  <c r="AO113" i="37"/>
  <c r="AN113" i="37"/>
  <c r="AM113" i="37"/>
  <c r="AS112" i="37"/>
  <c r="AR112" i="37"/>
  <c r="AQ112" i="37"/>
  <c r="AP112" i="37"/>
  <c r="AO112" i="37"/>
  <c r="AN112" i="37"/>
  <c r="AM112" i="37"/>
  <c r="AS110" i="37"/>
  <c r="AR110" i="37"/>
  <c r="AQ110" i="37"/>
  <c r="AP110" i="37"/>
  <c r="AO110" i="37"/>
  <c r="AN110" i="37"/>
  <c r="AM110" i="37"/>
  <c r="AM109" i="37"/>
  <c r="AN109" i="37"/>
  <c r="AO109" i="37"/>
  <c r="AP109" i="37"/>
  <c r="AQ109" i="37"/>
  <c r="AR109" i="37"/>
  <c r="AS109" i="37"/>
  <c r="A106" i="37"/>
  <c r="AS108" i="37"/>
  <c r="AR108" i="37"/>
  <c r="AQ108" i="37"/>
  <c r="AP108" i="37"/>
  <c r="AO108" i="37"/>
  <c r="AN108" i="37"/>
  <c r="AM108" i="37"/>
  <c r="AS107" i="37"/>
  <c r="AR107" i="37"/>
  <c r="AQ107" i="37"/>
  <c r="AP107" i="37"/>
  <c r="AO107" i="37"/>
  <c r="AN107" i="37"/>
  <c r="AM107" i="37"/>
  <c r="A107" i="37"/>
  <c r="AS104" i="37"/>
  <c r="AR104" i="37"/>
  <c r="AQ104" i="37"/>
  <c r="AP104" i="37"/>
  <c r="AO104" i="37"/>
  <c r="AN104" i="37"/>
  <c r="AM104" i="37"/>
  <c r="AS103" i="37"/>
  <c r="AR103" i="37"/>
  <c r="AQ103" i="37"/>
  <c r="AP103" i="37"/>
  <c r="AO103" i="37"/>
  <c r="AN103" i="37"/>
  <c r="AM103" i="37"/>
  <c r="A103" i="37"/>
  <c r="AS101" i="37"/>
  <c r="AR101" i="37"/>
  <c r="AQ101" i="37"/>
  <c r="AP101" i="37"/>
  <c r="AO101" i="37"/>
  <c r="AN101" i="37"/>
  <c r="AM101" i="37"/>
  <c r="AS100" i="37"/>
  <c r="AR100" i="37"/>
  <c r="AQ100" i="37"/>
  <c r="AP100" i="37"/>
  <c r="AO100" i="37"/>
  <c r="AN100" i="37"/>
  <c r="AM100" i="37"/>
  <c r="AS98" i="37"/>
  <c r="AR98" i="37"/>
  <c r="AQ98" i="37"/>
  <c r="AP98" i="37"/>
  <c r="AO98" i="37"/>
  <c r="AN98" i="37"/>
  <c r="AM98" i="37"/>
  <c r="AM97" i="37"/>
  <c r="AN97" i="37"/>
  <c r="AO97" i="37"/>
  <c r="AP97" i="37"/>
  <c r="AQ97" i="37"/>
  <c r="AR97" i="37"/>
  <c r="AS97" i="37"/>
  <c r="A94" i="37"/>
  <c r="AS96" i="37"/>
  <c r="AR96" i="37"/>
  <c r="AQ96" i="37"/>
  <c r="AP96" i="37"/>
  <c r="AO96" i="37"/>
  <c r="AN96" i="37"/>
  <c r="AM96" i="37"/>
  <c r="AS95" i="37"/>
  <c r="AR95" i="37"/>
  <c r="AQ95" i="37"/>
  <c r="AP95" i="37"/>
  <c r="AO95" i="37"/>
  <c r="AN95" i="37"/>
  <c r="AM95" i="37"/>
  <c r="A95" i="37"/>
  <c r="AS92" i="37"/>
  <c r="AR92" i="37"/>
  <c r="AQ92" i="37"/>
  <c r="AP92" i="37"/>
  <c r="AO92" i="37"/>
  <c r="AN92" i="37"/>
  <c r="AM92" i="37"/>
  <c r="AS91" i="37"/>
  <c r="AR91" i="37"/>
  <c r="AQ91" i="37"/>
  <c r="AP91" i="37"/>
  <c r="AO91" i="37"/>
  <c r="AN91" i="37"/>
  <c r="AM91" i="37"/>
  <c r="AS89" i="37"/>
  <c r="AR89" i="37"/>
  <c r="AQ89" i="37"/>
  <c r="AP89" i="37"/>
  <c r="AO89" i="37"/>
  <c r="AN89" i="37"/>
  <c r="AM89" i="37"/>
  <c r="AS88" i="37"/>
  <c r="AR88" i="37"/>
  <c r="AQ88" i="37"/>
  <c r="AP88" i="37"/>
  <c r="AO88" i="37"/>
  <c r="AN88" i="37"/>
  <c r="AM88" i="37"/>
  <c r="AS86" i="37"/>
  <c r="AR86" i="37"/>
  <c r="AQ86" i="37"/>
  <c r="AP86" i="37"/>
  <c r="AO86" i="37"/>
  <c r="AN86" i="37"/>
  <c r="AM86" i="37"/>
  <c r="AM85" i="37"/>
  <c r="AN85" i="37"/>
  <c r="AO85" i="37"/>
  <c r="AP85" i="37"/>
  <c r="AQ85" i="37"/>
  <c r="AR85" i="37"/>
  <c r="AS85" i="37"/>
  <c r="A82" i="37"/>
  <c r="AS84" i="37"/>
  <c r="AR84" i="37"/>
  <c r="AQ84" i="37"/>
  <c r="AP84" i="37"/>
  <c r="AO84" i="37"/>
  <c r="AN84" i="37"/>
  <c r="AM84" i="37"/>
  <c r="AS83" i="37"/>
  <c r="AR83" i="37"/>
  <c r="AQ83" i="37"/>
  <c r="AP83" i="37"/>
  <c r="AO83" i="37"/>
  <c r="AN83" i="37"/>
  <c r="AM83" i="37"/>
  <c r="A83" i="37"/>
  <c r="AS80" i="37"/>
  <c r="AR80" i="37"/>
  <c r="AQ80" i="37"/>
  <c r="AP80" i="37"/>
  <c r="AO80" i="37"/>
  <c r="AN80" i="37"/>
  <c r="AM80" i="37"/>
  <c r="AS79" i="37"/>
  <c r="AR79" i="37"/>
  <c r="AQ79" i="37"/>
  <c r="AP79" i="37"/>
  <c r="AO79" i="37"/>
  <c r="AN79" i="37"/>
  <c r="AM79" i="37"/>
  <c r="AS77" i="37"/>
  <c r="AR77" i="37"/>
  <c r="AQ77" i="37"/>
  <c r="AP77" i="37"/>
  <c r="AO77" i="37"/>
  <c r="AN77" i="37"/>
  <c r="AM77" i="37"/>
  <c r="AS76" i="37"/>
  <c r="AR76" i="37"/>
  <c r="AQ76" i="37"/>
  <c r="AP76" i="37"/>
  <c r="AO76" i="37"/>
  <c r="AN76" i="37"/>
  <c r="AM76" i="37"/>
  <c r="AS74" i="37"/>
  <c r="AR74" i="37"/>
  <c r="AQ74" i="37"/>
  <c r="AP74" i="37"/>
  <c r="AO74" i="37"/>
  <c r="AN74" i="37"/>
  <c r="AM74" i="37"/>
  <c r="AM73" i="37"/>
  <c r="AN73" i="37"/>
  <c r="AO73" i="37"/>
  <c r="AP73" i="37"/>
  <c r="AQ73" i="37"/>
  <c r="AR73" i="37"/>
  <c r="AS73" i="37"/>
  <c r="A70" i="37"/>
  <c r="AS72" i="37"/>
  <c r="AR72" i="37"/>
  <c r="AQ72" i="37"/>
  <c r="AP72" i="37"/>
  <c r="AO72" i="37"/>
  <c r="AN72" i="37"/>
  <c r="AM72" i="37"/>
  <c r="AS71" i="37"/>
  <c r="AR71" i="37"/>
  <c r="AQ71" i="37"/>
  <c r="AP71" i="37"/>
  <c r="AO71" i="37"/>
  <c r="AN71" i="37"/>
  <c r="AM71" i="37"/>
  <c r="A71" i="37"/>
  <c r="AS68" i="37"/>
  <c r="AR68" i="37"/>
  <c r="AQ68" i="37"/>
  <c r="AP68" i="37"/>
  <c r="AO68" i="37"/>
  <c r="AN68" i="37"/>
  <c r="AM68" i="37"/>
  <c r="AS67" i="37"/>
  <c r="AR67" i="37"/>
  <c r="AQ67" i="37"/>
  <c r="AP67" i="37"/>
  <c r="AO67" i="37"/>
  <c r="AN67" i="37"/>
  <c r="AM67" i="37"/>
  <c r="AS65" i="37"/>
  <c r="AR65" i="37"/>
  <c r="AQ65" i="37"/>
  <c r="AP65" i="37"/>
  <c r="AO65" i="37"/>
  <c r="AN65" i="37"/>
  <c r="AM65" i="37"/>
  <c r="AS64" i="37"/>
  <c r="AR64" i="37"/>
  <c r="AQ64" i="37"/>
  <c r="AP64" i="37"/>
  <c r="AO64" i="37"/>
  <c r="AN64" i="37"/>
  <c r="AM64" i="37"/>
  <c r="AS62" i="37"/>
  <c r="AR62" i="37"/>
  <c r="AQ62" i="37"/>
  <c r="AP62" i="37"/>
  <c r="AO62" i="37"/>
  <c r="AN62" i="37"/>
  <c r="AM62" i="37"/>
  <c r="AM61" i="37"/>
  <c r="AN61" i="37"/>
  <c r="AO61" i="37"/>
  <c r="AP61" i="37"/>
  <c r="AQ61" i="37"/>
  <c r="AR61" i="37"/>
  <c r="AS61" i="37"/>
  <c r="A58" i="37"/>
  <c r="AS60" i="37"/>
  <c r="AR60" i="37"/>
  <c r="AQ60" i="37"/>
  <c r="AP60" i="37"/>
  <c r="AO60" i="37"/>
  <c r="AN60" i="37"/>
  <c r="AM60" i="37"/>
  <c r="AS59" i="37"/>
  <c r="AR59" i="37"/>
  <c r="AQ59" i="37"/>
  <c r="AP59" i="37"/>
  <c r="AO59" i="37"/>
  <c r="AN59" i="37"/>
  <c r="AM59" i="37"/>
  <c r="A59" i="37"/>
  <c r="AS56" i="37"/>
  <c r="AR56" i="37"/>
  <c r="AQ56" i="37"/>
  <c r="AP56" i="37"/>
  <c r="AO56" i="37"/>
  <c r="AN56" i="37"/>
  <c r="AM56" i="37"/>
  <c r="AS55" i="37"/>
  <c r="AR55" i="37"/>
  <c r="AQ55" i="37"/>
  <c r="AP55" i="37"/>
  <c r="AO55" i="37"/>
  <c r="AN55" i="37"/>
  <c r="AM55" i="37"/>
  <c r="A55" i="37"/>
  <c r="AS53" i="37"/>
  <c r="AR53" i="37"/>
  <c r="AQ53" i="37"/>
  <c r="AP53" i="37"/>
  <c r="AO53" i="37"/>
  <c r="AN53" i="37"/>
  <c r="AM53" i="37"/>
  <c r="AS52" i="37"/>
  <c r="AR52" i="37"/>
  <c r="AQ52" i="37"/>
  <c r="AP52" i="37"/>
  <c r="AO52" i="37"/>
  <c r="AN52" i="37"/>
  <c r="AM52" i="37"/>
  <c r="AS49" i="37"/>
  <c r="AS50" i="37"/>
  <c r="AR49" i="37"/>
  <c r="AR50" i="37"/>
  <c r="AQ49" i="37"/>
  <c r="AQ50" i="37"/>
  <c r="AP49" i="37"/>
  <c r="AP50" i="37"/>
  <c r="AO49" i="37"/>
  <c r="AO50" i="37"/>
  <c r="AN49" i="37"/>
  <c r="AN50" i="37"/>
  <c r="AM49" i="37"/>
  <c r="AM50" i="37"/>
  <c r="A49" i="37"/>
  <c r="A46" i="37"/>
  <c r="A50" i="37"/>
  <c r="AS41" i="37"/>
  <c r="AS48" i="37"/>
  <c r="AR41" i="37"/>
  <c r="AR48" i="37"/>
  <c r="AQ41" i="37"/>
  <c r="AQ48" i="37"/>
  <c r="AP41" i="37"/>
  <c r="AP48" i="37"/>
  <c r="AO41" i="37"/>
  <c r="AO48" i="37"/>
  <c r="AN41" i="37"/>
  <c r="AN48" i="37"/>
  <c r="AM41" i="37"/>
  <c r="AM48" i="37"/>
  <c r="A48" i="37"/>
  <c r="AS40" i="37"/>
  <c r="AS47" i="37"/>
  <c r="AR40" i="37"/>
  <c r="AR47" i="37"/>
  <c r="AQ40" i="37"/>
  <c r="AQ47" i="37"/>
  <c r="AP40" i="37"/>
  <c r="AP47" i="37"/>
  <c r="AO40" i="37"/>
  <c r="AO47" i="37"/>
  <c r="AN40" i="37"/>
  <c r="AN47" i="37"/>
  <c r="AM40" i="37"/>
  <c r="AM47" i="37"/>
  <c r="A47" i="37"/>
  <c r="AS44" i="37"/>
  <c r="AR44" i="37"/>
  <c r="AQ44" i="37"/>
  <c r="AP44" i="37"/>
  <c r="AO44" i="37"/>
  <c r="AN44" i="37"/>
  <c r="AM44" i="37"/>
  <c r="AS43" i="37"/>
  <c r="AR43" i="37"/>
  <c r="AQ43" i="37"/>
  <c r="AP43" i="37"/>
  <c r="AO43" i="37"/>
  <c r="AN43" i="37"/>
  <c r="AM43" i="37"/>
  <c r="AS37" i="37"/>
  <c r="AS38" i="37"/>
  <c r="AR37" i="37"/>
  <c r="AR38" i="37"/>
  <c r="AQ37" i="37"/>
  <c r="AQ38" i="37"/>
  <c r="AP37" i="37"/>
  <c r="AP38" i="37"/>
  <c r="AO37" i="37"/>
  <c r="AO38" i="37"/>
  <c r="AN37" i="37"/>
  <c r="AN38" i="37"/>
  <c r="AM37" i="37"/>
  <c r="AM38" i="37"/>
  <c r="A37" i="37"/>
  <c r="A34" i="37"/>
  <c r="A38" i="37"/>
  <c r="AS29" i="37"/>
  <c r="AS36" i="37"/>
  <c r="AR29" i="37"/>
  <c r="AR36" i="37"/>
  <c r="AQ29" i="37"/>
  <c r="AQ36" i="37"/>
  <c r="AP29" i="37"/>
  <c r="AP36" i="37"/>
  <c r="AO29" i="37"/>
  <c r="AO36" i="37"/>
  <c r="AN29" i="37"/>
  <c r="AN36" i="37"/>
  <c r="AM29" i="37"/>
  <c r="AM36" i="37"/>
  <c r="A36" i="37"/>
  <c r="AS28" i="37"/>
  <c r="AS35" i="37"/>
  <c r="AR28" i="37"/>
  <c r="AR35" i="37"/>
  <c r="AQ28" i="37"/>
  <c r="AQ35" i="37"/>
  <c r="AP28" i="37"/>
  <c r="AP35" i="37"/>
  <c r="AO28" i="37"/>
  <c r="AO35" i="37"/>
  <c r="AN28" i="37"/>
  <c r="AN35" i="37"/>
  <c r="AM28" i="37"/>
  <c r="AM35" i="37"/>
  <c r="A35" i="37"/>
  <c r="AS32" i="37"/>
  <c r="AR32" i="37"/>
  <c r="AQ32" i="37"/>
  <c r="AP32" i="37"/>
  <c r="AO32" i="37"/>
  <c r="AN32" i="37"/>
  <c r="AM32" i="37"/>
  <c r="AS31" i="37"/>
  <c r="AR31" i="37"/>
  <c r="AQ31" i="37"/>
  <c r="AP31" i="37"/>
  <c r="AO31" i="37"/>
  <c r="AN31" i="37"/>
  <c r="AM31" i="37"/>
  <c r="AS25" i="37"/>
  <c r="AS26" i="37"/>
  <c r="AR25" i="37"/>
  <c r="AR26" i="37"/>
  <c r="AQ25" i="37"/>
  <c r="AQ26" i="37"/>
  <c r="AP25" i="37"/>
  <c r="AP26" i="37"/>
  <c r="AO25" i="37"/>
  <c r="AO26" i="37"/>
  <c r="AN25" i="37"/>
  <c r="AN26" i="37"/>
  <c r="AM25" i="37"/>
  <c r="AM26" i="37"/>
  <c r="A25" i="37"/>
  <c r="A22" i="37"/>
  <c r="A26" i="37"/>
  <c r="AS17" i="37"/>
  <c r="AS24" i="37"/>
  <c r="AR17" i="37"/>
  <c r="AR24" i="37"/>
  <c r="AQ17" i="37"/>
  <c r="AQ24" i="37"/>
  <c r="AP17" i="37"/>
  <c r="AP24" i="37"/>
  <c r="AO17" i="37"/>
  <c r="AO24" i="37"/>
  <c r="AN17" i="37"/>
  <c r="AN24" i="37"/>
  <c r="AM17" i="37"/>
  <c r="AM24" i="37"/>
  <c r="A24" i="37"/>
  <c r="AS16" i="37"/>
  <c r="AS23" i="37"/>
  <c r="AR16" i="37"/>
  <c r="AR23" i="37"/>
  <c r="AQ16" i="37"/>
  <c r="AQ23" i="37"/>
  <c r="AP16" i="37"/>
  <c r="AP23" i="37"/>
  <c r="AO16" i="37"/>
  <c r="AO23" i="37"/>
  <c r="AN16" i="37"/>
  <c r="AN23" i="37"/>
  <c r="AM16" i="37"/>
  <c r="AM23" i="37"/>
  <c r="A23" i="37"/>
  <c r="AS20" i="37"/>
  <c r="AR20" i="37"/>
  <c r="AQ20" i="37"/>
  <c r="AP20" i="37"/>
  <c r="AO20" i="37"/>
  <c r="AN20" i="37"/>
  <c r="AM20" i="37"/>
  <c r="AS19" i="37"/>
  <c r="AR19" i="37"/>
  <c r="AQ19" i="37"/>
  <c r="AP19" i="37"/>
  <c r="AO19" i="37"/>
  <c r="AN19" i="37"/>
  <c r="AM19" i="37"/>
  <c r="AS13" i="37"/>
  <c r="AS14" i="37"/>
  <c r="AR13" i="37"/>
  <c r="AR14" i="37"/>
  <c r="AQ13" i="37"/>
  <c r="AQ14" i="37"/>
  <c r="AP13" i="37"/>
  <c r="AP14" i="37"/>
  <c r="AO13" i="37"/>
  <c r="AO14" i="37"/>
  <c r="AN13" i="37"/>
  <c r="AN14" i="37"/>
  <c r="AM13" i="37"/>
  <c r="AM14" i="37"/>
  <c r="A13" i="37"/>
  <c r="A10" i="37"/>
  <c r="A14" i="37"/>
  <c r="AS5" i="37"/>
  <c r="AS12" i="37"/>
  <c r="AR5" i="37"/>
  <c r="AR12" i="37"/>
  <c r="AQ5" i="37"/>
  <c r="AQ12" i="37"/>
  <c r="AP5" i="37"/>
  <c r="AP12" i="37"/>
  <c r="AO5" i="37"/>
  <c r="AO12" i="37"/>
  <c r="AN5" i="37"/>
  <c r="AN12" i="37"/>
  <c r="AM5" i="37"/>
  <c r="AM12" i="37"/>
  <c r="A12" i="37"/>
  <c r="AS4" i="37"/>
  <c r="AS11" i="37"/>
  <c r="AR4" i="37"/>
  <c r="AR11" i="37"/>
  <c r="AQ4" i="37"/>
  <c r="AQ11" i="37"/>
  <c r="AP4" i="37"/>
  <c r="AP11" i="37"/>
  <c r="AO4" i="37"/>
  <c r="AO11" i="37"/>
  <c r="AN4" i="37"/>
  <c r="AN11" i="37"/>
  <c r="AM4" i="37"/>
  <c r="AM11" i="37"/>
  <c r="A11" i="37"/>
  <c r="AS8" i="37"/>
  <c r="AR8" i="37"/>
  <c r="AQ8" i="37"/>
  <c r="AP8" i="37"/>
  <c r="AO8" i="37"/>
  <c r="AN8" i="37"/>
  <c r="AM8" i="37"/>
  <c r="AS7" i="37"/>
  <c r="AR7" i="37"/>
  <c r="AQ7" i="37"/>
  <c r="AP7" i="37"/>
  <c r="AO7" i="37"/>
  <c r="AN7" i="37"/>
  <c r="AM7" i="37"/>
  <c r="A7" i="37"/>
  <c r="K250" i="2"/>
  <c r="K251" i="2"/>
  <c r="K252" i="2"/>
  <c r="K253" i="2"/>
  <c r="E243" i="2"/>
  <c r="K243" i="2"/>
  <c r="E242" i="2"/>
  <c r="K242" i="2"/>
  <c r="E241" i="2"/>
  <c r="K241" i="2"/>
  <c r="E239" i="2"/>
  <c r="K239" i="2"/>
  <c r="E240" i="2"/>
  <c r="K240" i="2"/>
  <c r="E230" i="2"/>
  <c r="K230" i="2"/>
  <c r="E231" i="2"/>
  <c r="K231" i="2"/>
  <c r="E232" i="2"/>
  <c r="K232" i="2"/>
  <c r="E233" i="2"/>
  <c r="K233" i="2"/>
  <c r="E215" i="2"/>
  <c r="K215" i="2"/>
  <c r="E216" i="2"/>
  <c r="K216" i="2"/>
  <c r="E217" i="2"/>
  <c r="K217" i="2"/>
  <c r="E218" i="2"/>
  <c r="K218" i="2"/>
  <c r="E219" i="2"/>
  <c r="K219" i="2"/>
  <c r="E220" i="2"/>
  <c r="K220" i="2"/>
  <c r="E221" i="2"/>
  <c r="K221" i="2"/>
  <c r="E222" i="2"/>
  <c r="K222" i="2"/>
  <c r="E223" i="2"/>
  <c r="K223" i="2"/>
  <c r="A186" i="35"/>
  <c r="AQ10" i="33"/>
  <c r="AR10" i="33"/>
  <c r="A58" i="33"/>
  <c r="A106" i="33"/>
  <c r="AQ214" i="33"/>
  <c r="AR214" i="33"/>
  <c r="AQ286" i="33"/>
  <c r="AR286" i="33"/>
  <c r="A370" i="33"/>
  <c r="A358" i="33"/>
  <c r="A346" i="33"/>
  <c r="A334" i="33"/>
  <c r="A322" i="33"/>
  <c r="A382" i="33"/>
  <c r="A394" i="33"/>
  <c r="A310" i="33"/>
  <c r="A298" i="33"/>
  <c r="A286" i="33"/>
  <c r="B401" i="33"/>
  <c r="A401" i="33"/>
  <c r="AP388" i="33"/>
  <c r="AQ388" i="33"/>
  <c r="AR388" i="33"/>
  <c r="AP389" i="33"/>
  <c r="AQ389" i="33"/>
  <c r="AR389" i="33"/>
  <c r="AP391" i="33"/>
  <c r="AQ391" i="33"/>
  <c r="AR391" i="33"/>
  <c r="AP392" i="33"/>
  <c r="AQ392" i="33"/>
  <c r="AR392" i="33"/>
  <c r="AP395" i="33"/>
  <c r="AQ395" i="33"/>
  <c r="AR395" i="33"/>
  <c r="A395" i="33"/>
  <c r="AP396" i="33"/>
  <c r="AQ396" i="33"/>
  <c r="AR396" i="33"/>
  <c r="A396" i="33"/>
  <c r="AP397" i="33"/>
  <c r="AQ397" i="33"/>
  <c r="AR397" i="33"/>
  <c r="A397" i="33"/>
  <c r="A398" i="33"/>
  <c r="AP398" i="33"/>
  <c r="AQ398" i="33"/>
  <c r="AR398" i="33"/>
  <c r="AP376" i="33"/>
  <c r="AP383" i="33"/>
  <c r="AQ376" i="33"/>
  <c r="AQ383" i="33"/>
  <c r="AR376" i="33"/>
  <c r="AR383" i="33"/>
  <c r="AP377" i="33"/>
  <c r="AP384" i="33"/>
  <c r="AQ377" i="33"/>
  <c r="AQ384" i="33"/>
  <c r="AR377" i="33"/>
  <c r="AR384" i="33"/>
  <c r="AP385" i="33"/>
  <c r="AQ385" i="33"/>
  <c r="AR385" i="33"/>
  <c r="AP386" i="33"/>
  <c r="AQ386" i="33"/>
  <c r="AR386" i="33"/>
  <c r="AP379" i="33"/>
  <c r="AQ379" i="33"/>
  <c r="AR379" i="33"/>
  <c r="AP380" i="33"/>
  <c r="AQ380" i="33"/>
  <c r="AR380" i="33"/>
  <c r="A383" i="33"/>
  <c r="A384" i="33"/>
  <c r="A385" i="33"/>
  <c r="A386" i="33"/>
  <c r="A122" i="35"/>
  <c r="AP3" i="35"/>
  <c r="AQ3" i="35"/>
  <c r="AR3" i="35"/>
  <c r="AS3" i="35"/>
  <c r="AT3" i="35"/>
  <c r="AU3" i="35"/>
  <c r="AV3" i="35"/>
  <c r="AW3" i="35"/>
  <c r="AX3" i="35"/>
  <c r="A206" i="35"/>
  <c r="AO1" i="36"/>
  <c r="AP1" i="36"/>
  <c r="AQ1" i="36"/>
  <c r="AR1" i="36"/>
  <c r="AS1" i="36"/>
  <c r="AP220" i="33"/>
  <c r="AP227" i="33"/>
  <c r="AQ220" i="33"/>
  <c r="AQ227" i="33"/>
  <c r="AR220" i="33"/>
  <c r="AR227" i="33"/>
  <c r="AP244" i="33"/>
  <c r="AP251" i="33"/>
  <c r="AQ244" i="33"/>
  <c r="AQ251" i="33"/>
  <c r="AR244" i="33"/>
  <c r="AR251" i="33"/>
  <c r="AM1" i="34"/>
  <c r="AN1" i="34"/>
  <c r="AO1" i="34"/>
  <c r="AP1" i="34"/>
  <c r="AQ1" i="34"/>
  <c r="AR1" i="34"/>
  <c r="AS1" i="34"/>
  <c r="AM32" i="34"/>
  <c r="AN37" i="34"/>
  <c r="AN38" i="34"/>
  <c r="AP41" i="34"/>
  <c r="AP48" i="34"/>
  <c r="AP232" i="33"/>
  <c r="AP239" i="33"/>
  <c r="AQ232" i="33"/>
  <c r="AQ239" i="33"/>
  <c r="AR232" i="33"/>
  <c r="AR239" i="33"/>
  <c r="A239" i="33"/>
  <c r="AM79" i="34"/>
  <c r="AM80" i="34"/>
  <c r="AM83" i="34"/>
  <c r="AM84" i="34"/>
  <c r="AM85" i="34"/>
  <c r="AM86" i="34"/>
  <c r="AM88" i="34"/>
  <c r="AM89" i="34"/>
  <c r="AM91" i="34"/>
  <c r="AM92" i="34"/>
  <c r="AM95" i="34"/>
  <c r="AM96" i="34"/>
  <c r="AM97" i="34"/>
  <c r="AM98" i="34"/>
  <c r="AM100" i="34"/>
  <c r="AM101" i="34"/>
  <c r="AM103" i="34"/>
  <c r="AM104" i="34"/>
  <c r="AM107" i="34"/>
  <c r="AM108" i="34"/>
  <c r="AM109" i="34"/>
  <c r="AM110" i="34"/>
  <c r="AM112" i="34"/>
  <c r="AM113" i="34"/>
  <c r="AM115" i="34"/>
  <c r="AM116" i="34"/>
  <c r="AM119" i="34"/>
  <c r="AM120" i="34"/>
  <c r="AM121" i="34"/>
  <c r="AM122" i="34"/>
  <c r="AM124" i="34"/>
  <c r="AM125" i="34"/>
  <c r="AM127" i="34"/>
  <c r="AM128" i="34"/>
  <c r="AM131" i="34"/>
  <c r="AM132" i="34"/>
  <c r="AM133" i="34"/>
  <c r="AM134" i="34"/>
  <c r="AM136" i="34"/>
  <c r="AM137" i="34"/>
  <c r="AM139" i="34"/>
  <c r="AM140" i="34"/>
  <c r="AM143" i="34"/>
  <c r="AM144" i="34"/>
  <c r="AM145" i="34"/>
  <c r="AM146" i="34"/>
  <c r="AM148" i="34"/>
  <c r="AM149" i="34"/>
  <c r="AM151" i="34"/>
  <c r="AM152" i="34"/>
  <c r="AM155" i="34"/>
  <c r="AM156" i="34"/>
  <c r="AM157" i="34"/>
  <c r="AM158" i="34"/>
  <c r="AM160" i="34"/>
  <c r="AM161" i="34"/>
  <c r="AM163" i="34"/>
  <c r="AM164" i="34"/>
  <c r="AM167" i="34"/>
  <c r="AM168" i="34"/>
  <c r="AM169" i="34"/>
  <c r="AM170" i="34"/>
  <c r="AM172" i="34"/>
  <c r="AM173" i="34"/>
  <c r="AM175" i="34"/>
  <c r="AM176" i="34"/>
  <c r="AM179" i="34"/>
  <c r="AM180" i="34"/>
  <c r="AM181" i="34"/>
  <c r="AM182" i="34"/>
  <c r="AM184" i="34"/>
  <c r="AM185" i="34"/>
  <c r="AM187" i="34"/>
  <c r="AM188" i="34"/>
  <c r="AM191" i="34"/>
  <c r="AM192" i="34"/>
  <c r="AM193" i="34"/>
  <c r="AM194" i="34"/>
  <c r="AM196" i="34"/>
  <c r="AM197" i="34"/>
  <c r="AM199" i="34"/>
  <c r="AM200" i="34"/>
  <c r="AM203" i="34"/>
  <c r="AM204" i="34"/>
  <c r="AM205" i="34"/>
  <c r="AM206" i="34"/>
  <c r="AM208" i="34"/>
  <c r="AM209" i="34"/>
  <c r="AM211" i="34"/>
  <c r="AM212" i="34"/>
  <c r="AM215" i="34"/>
  <c r="AM216" i="34"/>
  <c r="AM217" i="34"/>
  <c r="AM218" i="34"/>
  <c r="AM220" i="34"/>
  <c r="AM221" i="34"/>
  <c r="AM223" i="34"/>
  <c r="AM224" i="34"/>
  <c r="AM227" i="34"/>
  <c r="AM228" i="34"/>
  <c r="AM229" i="34"/>
  <c r="AM230" i="34"/>
  <c r="AM232" i="34"/>
  <c r="AM233" i="34"/>
  <c r="AM235" i="34"/>
  <c r="AM236" i="34"/>
  <c r="AM239" i="34"/>
  <c r="AM240" i="34"/>
  <c r="AM241" i="34"/>
  <c r="AM242" i="34"/>
  <c r="AM244" i="34"/>
  <c r="AM245" i="34"/>
  <c r="AM247" i="34"/>
  <c r="AM248" i="34"/>
  <c r="AM251" i="34"/>
  <c r="AM252" i="34"/>
  <c r="AM253" i="34"/>
  <c r="AM254" i="34"/>
  <c r="AM256" i="34"/>
  <c r="AM257" i="34"/>
  <c r="AM259" i="34"/>
  <c r="AM260" i="34"/>
  <c r="AM263" i="34"/>
  <c r="AM264" i="34"/>
  <c r="AM265" i="34"/>
  <c r="AM266" i="34"/>
  <c r="AM71" i="34"/>
  <c r="AM72" i="34"/>
  <c r="AM73" i="34"/>
  <c r="AM74" i="34"/>
  <c r="AM76" i="34"/>
  <c r="AM77" i="34"/>
  <c r="AM67" i="34"/>
  <c r="AM68" i="34"/>
  <c r="AM59" i="34"/>
  <c r="AM60" i="34"/>
  <c r="AM61" i="34"/>
  <c r="AM62" i="34"/>
  <c r="AM64" i="34"/>
  <c r="AM65" i="34"/>
  <c r="AM55" i="34"/>
  <c r="AM56" i="34"/>
  <c r="AM40" i="34"/>
  <c r="AM47" i="34"/>
  <c r="AM52" i="34"/>
  <c r="AM53" i="34"/>
  <c r="AM28" i="34"/>
  <c r="AM35" i="34"/>
  <c r="AM29" i="34"/>
  <c r="AM36" i="34"/>
  <c r="AM16" i="34"/>
  <c r="AM23" i="34"/>
  <c r="AN16" i="34"/>
  <c r="AN23" i="34"/>
  <c r="AO16" i="34"/>
  <c r="AO23" i="34"/>
  <c r="AP16" i="34"/>
  <c r="AP23" i="34"/>
  <c r="AQ16" i="34"/>
  <c r="AQ23" i="34"/>
  <c r="AR16" i="34"/>
  <c r="AR23" i="34"/>
  <c r="AS16" i="34"/>
  <c r="AS23" i="34"/>
  <c r="A23" i="34"/>
  <c r="AM25" i="34"/>
  <c r="AM26" i="34"/>
  <c r="AM4" i="34"/>
  <c r="AM11" i="34"/>
  <c r="AM5" i="34"/>
  <c r="AM12" i="34"/>
  <c r="AM13" i="34"/>
  <c r="AM14" i="34"/>
  <c r="AM7" i="34"/>
  <c r="AM8" i="34"/>
  <c r="AP235" i="36"/>
  <c r="AQ241" i="36"/>
  <c r="AQ242" i="36"/>
  <c r="AR241" i="36"/>
  <c r="AR242" i="36"/>
  <c r="AP253" i="36"/>
  <c r="AP254" i="36"/>
  <c r="AS37" i="36"/>
  <c r="AS38" i="36"/>
  <c r="D133" i="2"/>
  <c r="C133" i="2"/>
  <c r="AP193" i="36"/>
  <c r="AP194" i="36"/>
  <c r="AQ193" i="36"/>
  <c r="AQ194" i="36"/>
  <c r="AO205" i="36"/>
  <c r="AO206" i="36"/>
  <c r="AP205" i="36"/>
  <c r="AP206" i="36"/>
  <c r="AR199" i="36"/>
  <c r="AS199" i="36"/>
  <c r="AO212" i="36"/>
  <c r="AR217" i="36"/>
  <c r="AR218" i="36"/>
  <c r="AO223" i="36"/>
  <c r="AP223" i="36"/>
  <c r="AQ229" i="36"/>
  <c r="AQ230" i="36"/>
  <c r="AO140" i="36"/>
  <c r="AP137" i="36"/>
  <c r="AP144" i="36"/>
  <c r="AS139" i="36"/>
  <c r="AR151" i="36"/>
  <c r="AS152" i="36"/>
  <c r="AO161" i="36"/>
  <c r="AO168" i="36"/>
  <c r="AR169" i="36"/>
  <c r="AS161" i="36"/>
  <c r="AS168" i="36"/>
  <c r="AO176" i="36"/>
  <c r="AR173" i="36"/>
  <c r="AR180" i="36"/>
  <c r="AO91" i="36"/>
  <c r="AP109" i="36"/>
  <c r="AP110" i="36"/>
  <c r="AS101" i="36"/>
  <c r="AS108" i="36"/>
  <c r="AS116" i="36"/>
  <c r="AO128" i="36"/>
  <c r="AP128" i="36"/>
  <c r="AS133" i="36"/>
  <c r="AS134" i="36"/>
  <c r="AQ44" i="36"/>
  <c r="AR43" i="36"/>
  <c r="AP65" i="36"/>
  <c r="AP72" i="36"/>
  <c r="AQ65" i="36"/>
  <c r="AQ72" i="36"/>
  <c r="AR73" i="36"/>
  <c r="AR74" i="36"/>
  <c r="AO80" i="36"/>
  <c r="AP185" i="33"/>
  <c r="AP192" i="33"/>
  <c r="AQ188" i="33"/>
  <c r="AP164" i="33"/>
  <c r="AR173" i="33"/>
  <c r="AR180" i="33"/>
  <c r="AP73" i="33"/>
  <c r="AP74" i="33"/>
  <c r="AQ65" i="33"/>
  <c r="AQ72" i="33"/>
  <c r="AP92" i="33"/>
  <c r="AR89" i="33"/>
  <c r="AR96" i="33"/>
  <c r="AP19" i="33"/>
  <c r="AR31" i="33"/>
  <c r="AQ44" i="33"/>
  <c r="AN263" i="34"/>
  <c r="AO263" i="34"/>
  <c r="AP263" i="34"/>
  <c r="AQ263" i="34"/>
  <c r="AR263" i="34"/>
  <c r="AS263" i="34"/>
  <c r="AN264" i="34"/>
  <c r="AO264" i="34"/>
  <c r="AP264" i="34"/>
  <c r="AQ264" i="34"/>
  <c r="AR264" i="34"/>
  <c r="AS264" i="34"/>
  <c r="AN265" i="34"/>
  <c r="AO265" i="34"/>
  <c r="AP265" i="34"/>
  <c r="AQ265" i="34"/>
  <c r="AR265" i="34"/>
  <c r="AS265" i="34"/>
  <c r="AN266" i="34"/>
  <c r="AO266" i="34"/>
  <c r="AP266" i="34"/>
  <c r="AQ266" i="34"/>
  <c r="AR266" i="34"/>
  <c r="AS266" i="34"/>
  <c r="AN259" i="34"/>
  <c r="AO259" i="34"/>
  <c r="AP259" i="34"/>
  <c r="AQ259" i="34"/>
  <c r="AR259" i="34"/>
  <c r="AS259" i="34"/>
  <c r="AN260" i="34"/>
  <c r="AO260" i="34"/>
  <c r="AP260" i="34"/>
  <c r="AQ260" i="34"/>
  <c r="AR260" i="34"/>
  <c r="AS260" i="34"/>
  <c r="AN251" i="34"/>
  <c r="AO251" i="34"/>
  <c r="AP251" i="34"/>
  <c r="AQ251" i="34"/>
  <c r="AR251" i="34"/>
  <c r="AS251" i="34"/>
  <c r="AN252" i="34"/>
  <c r="AO252" i="34"/>
  <c r="AP252" i="34"/>
  <c r="AQ252" i="34"/>
  <c r="AR252" i="34"/>
  <c r="AS252" i="34"/>
  <c r="AN253" i="34"/>
  <c r="AO253" i="34"/>
  <c r="AP253" i="34"/>
  <c r="AQ253" i="34"/>
  <c r="AR253" i="34"/>
  <c r="AS253" i="34"/>
  <c r="AN254" i="34"/>
  <c r="AO254" i="34"/>
  <c r="AP254" i="34"/>
  <c r="AQ254" i="34"/>
  <c r="AR254" i="34"/>
  <c r="AS254" i="34"/>
  <c r="AN256" i="34"/>
  <c r="AO256" i="34"/>
  <c r="AP256" i="34"/>
  <c r="AQ256" i="34"/>
  <c r="AR256" i="34"/>
  <c r="AS256" i="34"/>
  <c r="AN257" i="34"/>
  <c r="AO257" i="34"/>
  <c r="AP257" i="34"/>
  <c r="AQ257" i="34"/>
  <c r="AR257" i="34"/>
  <c r="AS257" i="34"/>
  <c r="AN247" i="34"/>
  <c r="AO247" i="34"/>
  <c r="AP247" i="34"/>
  <c r="AQ247" i="34"/>
  <c r="AR247" i="34"/>
  <c r="AS247" i="34"/>
  <c r="AN248" i="34"/>
  <c r="AO248" i="34"/>
  <c r="AP248" i="34"/>
  <c r="AQ248" i="34"/>
  <c r="AR248" i="34"/>
  <c r="AS248" i="34"/>
  <c r="AN244" i="34"/>
  <c r="AO244" i="34"/>
  <c r="AP244" i="34"/>
  <c r="AQ244" i="34"/>
  <c r="AR244" i="34"/>
  <c r="AS244" i="34"/>
  <c r="AN245" i="34"/>
  <c r="AO245" i="34"/>
  <c r="AP245" i="34"/>
  <c r="AQ245" i="34"/>
  <c r="AR245" i="34"/>
  <c r="AS245" i="34"/>
  <c r="AP280" i="33"/>
  <c r="AP287" i="33"/>
  <c r="AQ280" i="33"/>
  <c r="AQ287" i="33"/>
  <c r="AR280" i="33"/>
  <c r="AR287" i="33"/>
  <c r="AP281" i="33"/>
  <c r="AP288" i="33"/>
  <c r="AQ281" i="33"/>
  <c r="AQ288" i="33"/>
  <c r="AR281" i="33"/>
  <c r="AR288" i="33"/>
  <c r="AP283" i="33"/>
  <c r="AQ283" i="33"/>
  <c r="AR283" i="33"/>
  <c r="AP284" i="33"/>
  <c r="AQ284" i="33"/>
  <c r="AR284" i="33"/>
  <c r="AP289" i="33"/>
  <c r="AP290" i="33"/>
  <c r="AQ289" i="33"/>
  <c r="AQ290" i="33"/>
  <c r="AR289" i="33"/>
  <c r="AR290" i="33"/>
  <c r="AP293" i="33"/>
  <c r="AP300" i="33"/>
  <c r="AR296" i="33"/>
  <c r="AP292" i="33"/>
  <c r="AP299" i="33"/>
  <c r="AQ292" i="33"/>
  <c r="AQ299" i="33"/>
  <c r="AR292" i="33"/>
  <c r="AR299" i="33"/>
  <c r="AP296" i="33"/>
  <c r="AQ301" i="33"/>
  <c r="AQ302" i="33"/>
  <c r="AR301" i="33"/>
  <c r="AR302" i="33"/>
  <c r="AQ313" i="33"/>
  <c r="AQ314" i="33"/>
  <c r="AR305" i="33"/>
  <c r="AR312" i="33"/>
  <c r="AP304" i="33"/>
  <c r="AP311" i="33"/>
  <c r="AQ304" i="33"/>
  <c r="AQ311" i="33"/>
  <c r="AR304" i="33"/>
  <c r="AQ307" i="33"/>
  <c r="AR307" i="33"/>
  <c r="AR311" i="33"/>
  <c r="AP316" i="33"/>
  <c r="AQ316" i="33"/>
  <c r="AQ323" i="33"/>
  <c r="AR316" i="33"/>
  <c r="AP323" i="33"/>
  <c r="AR323" i="33"/>
  <c r="AP328" i="33"/>
  <c r="AP335" i="33"/>
  <c r="AQ328" i="33"/>
  <c r="AQ335" i="33"/>
  <c r="AR328" i="33"/>
  <c r="AR335" i="33"/>
  <c r="AP329" i="33"/>
  <c r="AP336" i="33"/>
  <c r="AQ329" i="33"/>
  <c r="AQ336" i="33"/>
  <c r="AR331" i="33"/>
  <c r="AP332" i="33"/>
  <c r="AR332" i="33"/>
  <c r="AQ337" i="33"/>
  <c r="AQ338" i="33"/>
  <c r="AR337" i="33"/>
  <c r="AR338" i="33"/>
  <c r="AQ341" i="33"/>
  <c r="AQ348" i="33"/>
  <c r="AQ344" i="33"/>
  <c r="AP340" i="33"/>
  <c r="AQ340" i="33"/>
  <c r="AQ347" i="33"/>
  <c r="AR340" i="33"/>
  <c r="AR347" i="33"/>
  <c r="AQ343" i="33"/>
  <c r="AR344" i="33"/>
  <c r="AP347" i="33"/>
  <c r="AP349" i="33"/>
  <c r="AP350" i="33"/>
  <c r="AR349" i="33"/>
  <c r="AR350" i="33"/>
  <c r="AP355" i="33"/>
  <c r="AP352" i="33"/>
  <c r="AP359" i="33"/>
  <c r="AQ352" i="33"/>
  <c r="AQ359" i="33"/>
  <c r="AR352" i="33"/>
  <c r="AR359" i="33"/>
  <c r="AP353" i="33"/>
  <c r="AP360" i="33"/>
  <c r="AQ353" i="33"/>
  <c r="AQ360" i="33"/>
  <c r="AQ355" i="33"/>
  <c r="AQ356" i="33"/>
  <c r="AR356" i="33"/>
  <c r="AP361" i="33"/>
  <c r="AP362" i="33"/>
  <c r="AQ361" i="33"/>
  <c r="AQ362" i="33"/>
  <c r="AP368" i="33"/>
  <c r="AQ365" i="33"/>
  <c r="AR373" i="33"/>
  <c r="AR374" i="33"/>
  <c r="AR367" i="33"/>
  <c r="AP364" i="33"/>
  <c r="AP371" i="33"/>
  <c r="AQ364" i="33"/>
  <c r="AQ371" i="33"/>
  <c r="AR364" i="33"/>
  <c r="AR371" i="33"/>
  <c r="AP367" i="33"/>
  <c r="AQ372" i="33"/>
  <c r="AP208" i="33"/>
  <c r="AP215" i="33"/>
  <c r="AQ208" i="33"/>
  <c r="AQ215" i="33"/>
  <c r="AR208" i="33"/>
  <c r="AR215" i="33"/>
  <c r="AR269" i="33"/>
  <c r="AR276" i="33"/>
  <c r="AP268" i="33"/>
  <c r="AP275" i="33"/>
  <c r="AQ268" i="33"/>
  <c r="AQ275" i="33"/>
  <c r="AR268" i="33"/>
  <c r="AR275" i="33"/>
  <c r="AP269" i="33"/>
  <c r="AP276" i="33"/>
  <c r="AQ269" i="33"/>
  <c r="AQ276" i="33"/>
  <c r="AP277" i="33"/>
  <c r="AP278" i="33"/>
  <c r="AP271" i="33"/>
  <c r="AQ271" i="33"/>
  <c r="AP272" i="33"/>
  <c r="AP259" i="33"/>
  <c r="AP256" i="33"/>
  <c r="AP263" i="33"/>
  <c r="AQ256" i="33"/>
  <c r="AQ263" i="33"/>
  <c r="AR256" i="33"/>
  <c r="AR263" i="33"/>
  <c r="AQ257" i="33"/>
  <c r="AQ264" i="33"/>
  <c r="AR257" i="33"/>
  <c r="AR264" i="33"/>
  <c r="AQ265" i="33"/>
  <c r="AQ266" i="33"/>
  <c r="AR265" i="33"/>
  <c r="AR266" i="33"/>
  <c r="AQ259" i="33"/>
  <c r="AR259" i="33"/>
  <c r="AQ260" i="33"/>
  <c r="AR260" i="33"/>
  <c r="AP247" i="33"/>
  <c r="AQ248" i="33"/>
  <c r="AP245" i="33"/>
  <c r="AP252" i="33"/>
  <c r="AR245" i="33"/>
  <c r="AR252" i="33"/>
  <c r="AP253" i="33"/>
  <c r="AP254" i="33"/>
  <c r="AR241" i="33"/>
  <c r="AR242" i="33"/>
  <c r="AP233" i="33"/>
  <c r="AP240" i="33"/>
  <c r="AP235" i="33"/>
  <c r="AR235" i="33"/>
  <c r="AP236" i="33"/>
  <c r="AR236" i="33"/>
  <c r="AP221" i="33"/>
  <c r="AP228" i="33"/>
  <c r="AR221" i="33"/>
  <c r="AR228" i="33"/>
  <c r="AR229" i="33"/>
  <c r="AR230" i="33"/>
  <c r="AP229" i="33"/>
  <c r="AP230" i="33"/>
  <c r="AP223" i="33"/>
  <c r="AP224" i="33"/>
  <c r="AQ224" i="33"/>
  <c r="AR224" i="33"/>
  <c r="AP209" i="33"/>
  <c r="AP216" i="33"/>
  <c r="AQ209" i="33"/>
  <c r="AQ216" i="33"/>
  <c r="AR209" i="33"/>
  <c r="AR216" i="33"/>
  <c r="AP217" i="33"/>
  <c r="AP218" i="33"/>
  <c r="AQ217" i="33"/>
  <c r="AQ218" i="33"/>
  <c r="AR217" i="33"/>
  <c r="AR218" i="33"/>
  <c r="AP211" i="33"/>
  <c r="AQ211" i="33"/>
  <c r="AR211" i="33"/>
  <c r="AP212" i="33"/>
  <c r="AQ212" i="33"/>
  <c r="AR212" i="33"/>
  <c r="AS37" i="34"/>
  <c r="AS38" i="34"/>
  <c r="AP44" i="34"/>
  <c r="AN4" i="34"/>
  <c r="AN11" i="34"/>
  <c r="AO4" i="34"/>
  <c r="AO11" i="34"/>
  <c r="AP4" i="34"/>
  <c r="AP11" i="34"/>
  <c r="AQ4" i="34"/>
  <c r="AQ11" i="34"/>
  <c r="AR4" i="34"/>
  <c r="AR11" i="34"/>
  <c r="AS4" i="34"/>
  <c r="AS11" i="34"/>
  <c r="AN5" i="34"/>
  <c r="AN12" i="34"/>
  <c r="AO5" i="34"/>
  <c r="AO12" i="34"/>
  <c r="AP5" i="34"/>
  <c r="AP12" i="34"/>
  <c r="AQ5" i="34"/>
  <c r="AQ12" i="34"/>
  <c r="AR5" i="34"/>
  <c r="AR12" i="34"/>
  <c r="AS5" i="34"/>
  <c r="AS12" i="34"/>
  <c r="AN7" i="34"/>
  <c r="AO7" i="34"/>
  <c r="AP7" i="34"/>
  <c r="AQ7" i="34"/>
  <c r="AR7" i="34"/>
  <c r="AS7" i="34"/>
  <c r="AN8" i="34"/>
  <c r="AO8" i="34"/>
  <c r="AP8" i="34"/>
  <c r="AQ8" i="34"/>
  <c r="AR8" i="34"/>
  <c r="AS8" i="34"/>
  <c r="AN13" i="34"/>
  <c r="AN14" i="34"/>
  <c r="AO13" i="34"/>
  <c r="AO14" i="34"/>
  <c r="AP13" i="34"/>
  <c r="AP14" i="34"/>
  <c r="AQ13" i="34"/>
  <c r="AQ14" i="34"/>
  <c r="AR13" i="34"/>
  <c r="AR14" i="34"/>
  <c r="AS13" i="34"/>
  <c r="AS14" i="34"/>
  <c r="AO25" i="34"/>
  <c r="AO26" i="34"/>
  <c r="AS17" i="34"/>
  <c r="AS24" i="34"/>
  <c r="AS20" i="34"/>
  <c r="AP37" i="34"/>
  <c r="AP38" i="34"/>
  <c r="AS32" i="34"/>
  <c r="AN28" i="34"/>
  <c r="AO28" i="34"/>
  <c r="AO35" i="34"/>
  <c r="AP28" i="34"/>
  <c r="AP35" i="34"/>
  <c r="AQ28" i="34"/>
  <c r="AQ35" i="34"/>
  <c r="AR28" i="34"/>
  <c r="AS28" i="34"/>
  <c r="AS35" i="34"/>
  <c r="AN35" i="34"/>
  <c r="AR35" i="34"/>
  <c r="AS44" i="34"/>
  <c r="AN40" i="34"/>
  <c r="AN47" i="34"/>
  <c r="AO40" i="34"/>
  <c r="AO47" i="34"/>
  <c r="AP40" i="34"/>
  <c r="AP47" i="34"/>
  <c r="AQ40" i="34"/>
  <c r="AQ47" i="34"/>
  <c r="AR40" i="34"/>
  <c r="AR47" i="34"/>
  <c r="AS40" i="34"/>
  <c r="AS47" i="34"/>
  <c r="AQ49" i="34"/>
  <c r="AQ50" i="34"/>
  <c r="AS49" i="34"/>
  <c r="AS50" i="34"/>
  <c r="AN52" i="34"/>
  <c r="AO52" i="34"/>
  <c r="AP52" i="34"/>
  <c r="AQ52" i="34"/>
  <c r="AR52" i="34"/>
  <c r="AS52" i="34"/>
  <c r="AN53" i="34"/>
  <c r="AO53" i="34"/>
  <c r="AP53" i="34"/>
  <c r="AQ53" i="34"/>
  <c r="AR53" i="34"/>
  <c r="AS53" i="34"/>
  <c r="AN55" i="34"/>
  <c r="AO55" i="34"/>
  <c r="AP55" i="34"/>
  <c r="AQ55" i="34"/>
  <c r="AR55" i="34"/>
  <c r="AS55" i="34"/>
  <c r="AN56" i="34"/>
  <c r="AO56" i="34"/>
  <c r="AP56" i="34"/>
  <c r="AQ56" i="34"/>
  <c r="AR56" i="34"/>
  <c r="AS56" i="34"/>
  <c r="AN59" i="34"/>
  <c r="AO59" i="34"/>
  <c r="AP59" i="34"/>
  <c r="AQ59" i="34"/>
  <c r="AR59" i="34"/>
  <c r="AS59" i="34"/>
  <c r="AN60" i="34"/>
  <c r="AO60" i="34"/>
  <c r="AP60" i="34"/>
  <c r="AQ60" i="34"/>
  <c r="AR60" i="34"/>
  <c r="AS60" i="34"/>
  <c r="AN61" i="34"/>
  <c r="AO61" i="34"/>
  <c r="AP61" i="34"/>
  <c r="AQ61" i="34"/>
  <c r="AR61" i="34"/>
  <c r="AS61" i="34"/>
  <c r="AN62" i="34"/>
  <c r="AO62" i="34"/>
  <c r="AP62" i="34"/>
  <c r="AQ62" i="34"/>
  <c r="AR62" i="34"/>
  <c r="AS62" i="34"/>
  <c r="AN64" i="34"/>
  <c r="AO64" i="34"/>
  <c r="AP64" i="34"/>
  <c r="AQ64" i="34"/>
  <c r="AR64" i="34"/>
  <c r="AS64" i="34"/>
  <c r="AN65" i="34"/>
  <c r="AO65" i="34"/>
  <c r="AP65" i="34"/>
  <c r="AQ65" i="34"/>
  <c r="AR65" i="34"/>
  <c r="AS65" i="34"/>
  <c r="AN67" i="34"/>
  <c r="AO67" i="34"/>
  <c r="AP67" i="34"/>
  <c r="AQ67" i="34"/>
  <c r="AR67" i="34"/>
  <c r="AS67" i="34"/>
  <c r="AN68" i="34"/>
  <c r="AO68" i="34"/>
  <c r="AP68" i="34"/>
  <c r="AQ68" i="34"/>
  <c r="AR68" i="34"/>
  <c r="AS68" i="34"/>
  <c r="AN71" i="34"/>
  <c r="AO71" i="34"/>
  <c r="AP71" i="34"/>
  <c r="AQ71" i="34"/>
  <c r="AR71" i="34"/>
  <c r="AS71" i="34"/>
  <c r="AN72" i="34"/>
  <c r="AO72" i="34"/>
  <c r="AP72" i="34"/>
  <c r="AQ72" i="34"/>
  <c r="AR72" i="34"/>
  <c r="AS72" i="34"/>
  <c r="AN73" i="34"/>
  <c r="AO73" i="34"/>
  <c r="AP73" i="34"/>
  <c r="AQ73" i="34"/>
  <c r="AR73" i="34"/>
  <c r="AS73" i="34"/>
  <c r="AN74" i="34"/>
  <c r="AO74" i="34"/>
  <c r="AP74" i="34"/>
  <c r="AQ74" i="34"/>
  <c r="AR74" i="34"/>
  <c r="AS74" i="34"/>
  <c r="AN76" i="34"/>
  <c r="AO76" i="34"/>
  <c r="AP76" i="34"/>
  <c r="AQ76" i="34"/>
  <c r="AR76" i="34"/>
  <c r="AS76" i="34"/>
  <c r="AN77" i="34"/>
  <c r="AO77" i="34"/>
  <c r="AP77" i="34"/>
  <c r="AQ77" i="34"/>
  <c r="AR77" i="34"/>
  <c r="AS77" i="34"/>
  <c r="AN79" i="34"/>
  <c r="AO79" i="34"/>
  <c r="AP79" i="34"/>
  <c r="AQ79" i="34"/>
  <c r="AR79" i="34"/>
  <c r="AS79" i="34"/>
  <c r="AN80" i="34"/>
  <c r="AO80" i="34"/>
  <c r="AP80" i="34"/>
  <c r="AQ80" i="34"/>
  <c r="AR80" i="34"/>
  <c r="AS80" i="34"/>
  <c r="AN83" i="34"/>
  <c r="AO83" i="34"/>
  <c r="AP83" i="34"/>
  <c r="AQ83" i="34"/>
  <c r="AR83" i="34"/>
  <c r="AS83" i="34"/>
  <c r="AN84" i="34"/>
  <c r="AO84" i="34"/>
  <c r="AP84" i="34"/>
  <c r="AQ84" i="34"/>
  <c r="AR84" i="34"/>
  <c r="AS84" i="34"/>
  <c r="AN85" i="34"/>
  <c r="AO85" i="34"/>
  <c r="AP85" i="34"/>
  <c r="AQ85" i="34"/>
  <c r="AR85" i="34"/>
  <c r="AS85" i="34"/>
  <c r="AN86" i="34"/>
  <c r="AO86" i="34"/>
  <c r="AP86" i="34"/>
  <c r="AQ86" i="34"/>
  <c r="AR86" i="34"/>
  <c r="AS86" i="34"/>
  <c r="AN88" i="34"/>
  <c r="AO88" i="34"/>
  <c r="AP88" i="34"/>
  <c r="AQ88" i="34"/>
  <c r="AR88" i="34"/>
  <c r="AS88" i="34"/>
  <c r="AN89" i="34"/>
  <c r="AO89" i="34"/>
  <c r="AP89" i="34"/>
  <c r="AQ89" i="34"/>
  <c r="AR89" i="34"/>
  <c r="AS89" i="34"/>
  <c r="AN91" i="34"/>
  <c r="AO91" i="34"/>
  <c r="AP91" i="34"/>
  <c r="AQ91" i="34"/>
  <c r="AR91" i="34"/>
  <c r="AS91" i="34"/>
  <c r="AN92" i="34"/>
  <c r="AO92" i="34"/>
  <c r="AP92" i="34"/>
  <c r="AQ92" i="34"/>
  <c r="AR92" i="34"/>
  <c r="AS92" i="34"/>
  <c r="AN95" i="34"/>
  <c r="AO95" i="34"/>
  <c r="AP95" i="34"/>
  <c r="AQ95" i="34"/>
  <c r="AR95" i="34"/>
  <c r="AS95" i="34"/>
  <c r="AN96" i="34"/>
  <c r="AO96" i="34"/>
  <c r="AP96" i="34"/>
  <c r="AQ96" i="34"/>
  <c r="AR96" i="34"/>
  <c r="AS96" i="34"/>
  <c r="AN97" i="34"/>
  <c r="AO97" i="34"/>
  <c r="AP97" i="34"/>
  <c r="AQ97" i="34"/>
  <c r="AR97" i="34"/>
  <c r="AS97" i="34"/>
  <c r="AN98" i="34"/>
  <c r="AO98" i="34"/>
  <c r="AP98" i="34"/>
  <c r="AQ98" i="34"/>
  <c r="AR98" i="34"/>
  <c r="AS98" i="34"/>
  <c r="AN100" i="34"/>
  <c r="AO100" i="34"/>
  <c r="AP100" i="34"/>
  <c r="AQ100" i="34"/>
  <c r="AR100" i="34"/>
  <c r="AS100" i="34"/>
  <c r="AN101" i="34"/>
  <c r="AO101" i="34"/>
  <c r="AP101" i="34"/>
  <c r="AQ101" i="34"/>
  <c r="AR101" i="34"/>
  <c r="AS101" i="34"/>
  <c r="AN103" i="34"/>
  <c r="AO103" i="34"/>
  <c r="AP103" i="34"/>
  <c r="AQ103" i="34"/>
  <c r="AR103" i="34"/>
  <c r="AS103" i="34"/>
  <c r="AN104" i="34"/>
  <c r="AO104" i="34"/>
  <c r="AP104" i="34"/>
  <c r="AQ104" i="34"/>
  <c r="AR104" i="34"/>
  <c r="AS104" i="34"/>
  <c r="AN107" i="34"/>
  <c r="AO107" i="34"/>
  <c r="AP107" i="34"/>
  <c r="AQ107" i="34"/>
  <c r="AR107" i="34"/>
  <c r="AS107" i="34"/>
  <c r="AN108" i="34"/>
  <c r="AO108" i="34"/>
  <c r="AP108" i="34"/>
  <c r="AQ108" i="34"/>
  <c r="AR108" i="34"/>
  <c r="AS108" i="34"/>
  <c r="AN109" i="34"/>
  <c r="AO109" i="34"/>
  <c r="AP109" i="34"/>
  <c r="AQ109" i="34"/>
  <c r="AR109" i="34"/>
  <c r="AS109" i="34"/>
  <c r="AN110" i="34"/>
  <c r="AO110" i="34"/>
  <c r="AP110" i="34"/>
  <c r="AQ110" i="34"/>
  <c r="AR110" i="34"/>
  <c r="AS110" i="34"/>
  <c r="AN112" i="34"/>
  <c r="AO112" i="34"/>
  <c r="AP112" i="34"/>
  <c r="AQ112" i="34"/>
  <c r="AR112" i="34"/>
  <c r="AS112" i="34"/>
  <c r="AN113" i="34"/>
  <c r="AO113" i="34"/>
  <c r="AP113" i="34"/>
  <c r="AQ113" i="34"/>
  <c r="AR113" i="34"/>
  <c r="AS113" i="34"/>
  <c r="AN115" i="34"/>
  <c r="AO115" i="34"/>
  <c r="AP115" i="34"/>
  <c r="AQ115" i="34"/>
  <c r="AR115" i="34"/>
  <c r="AS115" i="34"/>
  <c r="AN116" i="34"/>
  <c r="AO116" i="34"/>
  <c r="AP116" i="34"/>
  <c r="AQ116" i="34"/>
  <c r="AR116" i="34"/>
  <c r="AS116" i="34"/>
  <c r="AN119" i="34"/>
  <c r="AO119" i="34"/>
  <c r="AP119" i="34"/>
  <c r="AQ119" i="34"/>
  <c r="AR119" i="34"/>
  <c r="AS119" i="34"/>
  <c r="AN120" i="34"/>
  <c r="AO120" i="34"/>
  <c r="AP120" i="34"/>
  <c r="AQ120" i="34"/>
  <c r="AR120" i="34"/>
  <c r="AS120" i="34"/>
  <c r="AN121" i="34"/>
  <c r="AO121" i="34"/>
  <c r="AP121" i="34"/>
  <c r="AQ121" i="34"/>
  <c r="AR121" i="34"/>
  <c r="AS121" i="34"/>
  <c r="AN122" i="34"/>
  <c r="AO122" i="34"/>
  <c r="AP122" i="34"/>
  <c r="AQ122" i="34"/>
  <c r="AR122" i="34"/>
  <c r="AS122" i="34"/>
  <c r="AN124" i="34"/>
  <c r="AO124" i="34"/>
  <c r="AP124" i="34"/>
  <c r="AQ124" i="34"/>
  <c r="AR124" i="34"/>
  <c r="AS124" i="34"/>
  <c r="AN125" i="34"/>
  <c r="AO125" i="34"/>
  <c r="AP125" i="34"/>
  <c r="AQ125" i="34"/>
  <c r="AR125" i="34"/>
  <c r="AS125" i="34"/>
  <c r="AN127" i="34"/>
  <c r="AO127" i="34"/>
  <c r="AP127" i="34"/>
  <c r="AQ127" i="34"/>
  <c r="AR127" i="34"/>
  <c r="AS127" i="34"/>
  <c r="AN128" i="34"/>
  <c r="AO128" i="34"/>
  <c r="AP128" i="34"/>
  <c r="AQ128" i="34"/>
  <c r="AR128" i="34"/>
  <c r="AS128" i="34"/>
  <c r="AN131" i="34"/>
  <c r="AO131" i="34"/>
  <c r="AP131" i="34"/>
  <c r="AQ131" i="34"/>
  <c r="AR131" i="34"/>
  <c r="AS131" i="34"/>
  <c r="AN132" i="34"/>
  <c r="AO132" i="34"/>
  <c r="AP132" i="34"/>
  <c r="AQ132" i="34"/>
  <c r="AR132" i="34"/>
  <c r="AS132" i="34"/>
  <c r="AN133" i="34"/>
  <c r="AO133" i="34"/>
  <c r="AP133" i="34"/>
  <c r="AQ133" i="34"/>
  <c r="AR133" i="34"/>
  <c r="AS133" i="34"/>
  <c r="AN134" i="34"/>
  <c r="AO134" i="34"/>
  <c r="AP134" i="34"/>
  <c r="AQ134" i="34"/>
  <c r="AR134" i="34"/>
  <c r="AS134" i="34"/>
  <c r="AN136" i="34"/>
  <c r="AO136" i="34"/>
  <c r="AP136" i="34"/>
  <c r="AQ136" i="34"/>
  <c r="AR136" i="34"/>
  <c r="AS136" i="34"/>
  <c r="AN137" i="34"/>
  <c r="AO137" i="34"/>
  <c r="AP137" i="34"/>
  <c r="AQ137" i="34"/>
  <c r="AR137" i="34"/>
  <c r="AS137" i="34"/>
  <c r="AN139" i="34"/>
  <c r="AO139" i="34"/>
  <c r="AP139" i="34"/>
  <c r="AQ139" i="34"/>
  <c r="AR139" i="34"/>
  <c r="AS139" i="34"/>
  <c r="AN140" i="34"/>
  <c r="AO140" i="34"/>
  <c r="AP140" i="34"/>
  <c r="AQ140" i="34"/>
  <c r="AR140" i="34"/>
  <c r="AS140" i="34"/>
  <c r="AN143" i="34"/>
  <c r="AO143" i="34"/>
  <c r="AP143" i="34"/>
  <c r="AQ143" i="34"/>
  <c r="AR143" i="34"/>
  <c r="AS143" i="34"/>
  <c r="AN144" i="34"/>
  <c r="AO144" i="34"/>
  <c r="AP144" i="34"/>
  <c r="AQ144" i="34"/>
  <c r="AR144" i="34"/>
  <c r="AS144" i="34"/>
  <c r="AN145" i="34"/>
  <c r="AO145" i="34"/>
  <c r="AP145" i="34"/>
  <c r="AQ145" i="34"/>
  <c r="AR145" i="34"/>
  <c r="AS145" i="34"/>
  <c r="AN146" i="34"/>
  <c r="AO146" i="34"/>
  <c r="AP146" i="34"/>
  <c r="AQ146" i="34"/>
  <c r="AR146" i="34"/>
  <c r="AS146" i="34"/>
  <c r="AN148" i="34"/>
  <c r="AO148" i="34"/>
  <c r="AP148" i="34"/>
  <c r="AQ148" i="34"/>
  <c r="AR148" i="34"/>
  <c r="AS148" i="34"/>
  <c r="AN149" i="34"/>
  <c r="AO149" i="34"/>
  <c r="AP149" i="34"/>
  <c r="AQ149" i="34"/>
  <c r="AR149" i="34"/>
  <c r="AS149" i="34"/>
  <c r="AN151" i="34"/>
  <c r="AO151" i="34"/>
  <c r="AP151" i="34"/>
  <c r="AQ151" i="34"/>
  <c r="AR151" i="34"/>
  <c r="AS151" i="34"/>
  <c r="AN152" i="34"/>
  <c r="AO152" i="34"/>
  <c r="AP152" i="34"/>
  <c r="AQ152" i="34"/>
  <c r="AR152" i="34"/>
  <c r="AS152" i="34"/>
  <c r="AN155" i="34"/>
  <c r="AO155" i="34"/>
  <c r="AP155" i="34"/>
  <c r="AQ155" i="34"/>
  <c r="AR155" i="34"/>
  <c r="AS155" i="34"/>
  <c r="AN156" i="34"/>
  <c r="AO156" i="34"/>
  <c r="AP156" i="34"/>
  <c r="AQ156" i="34"/>
  <c r="AR156" i="34"/>
  <c r="AS156" i="34"/>
  <c r="AN157" i="34"/>
  <c r="AO157" i="34"/>
  <c r="AP157" i="34"/>
  <c r="AQ157" i="34"/>
  <c r="AR157" i="34"/>
  <c r="AS157" i="34"/>
  <c r="AN158" i="34"/>
  <c r="AO158" i="34"/>
  <c r="AP158" i="34"/>
  <c r="AQ158" i="34"/>
  <c r="AR158" i="34"/>
  <c r="AS158" i="34"/>
  <c r="AN160" i="34"/>
  <c r="AO160" i="34"/>
  <c r="AP160" i="34"/>
  <c r="AQ160" i="34"/>
  <c r="AR160" i="34"/>
  <c r="AS160" i="34"/>
  <c r="AN161" i="34"/>
  <c r="AO161" i="34"/>
  <c r="AP161" i="34"/>
  <c r="AQ161" i="34"/>
  <c r="AR161" i="34"/>
  <c r="AS161" i="34"/>
  <c r="AN163" i="34"/>
  <c r="AO163" i="34"/>
  <c r="AP163" i="34"/>
  <c r="AQ163" i="34"/>
  <c r="AR163" i="34"/>
  <c r="AS163" i="34"/>
  <c r="AN164" i="34"/>
  <c r="AO164" i="34"/>
  <c r="AP164" i="34"/>
  <c r="AQ164" i="34"/>
  <c r="AR164" i="34"/>
  <c r="AS164" i="34"/>
  <c r="AN167" i="34"/>
  <c r="AO167" i="34"/>
  <c r="AP167" i="34"/>
  <c r="AQ167" i="34"/>
  <c r="AR167" i="34"/>
  <c r="AS167" i="34"/>
  <c r="AN168" i="34"/>
  <c r="AO168" i="34"/>
  <c r="AP168" i="34"/>
  <c r="AQ168" i="34"/>
  <c r="AR168" i="34"/>
  <c r="AS168" i="34"/>
  <c r="AN169" i="34"/>
  <c r="AO169" i="34"/>
  <c r="AP169" i="34"/>
  <c r="AQ169" i="34"/>
  <c r="AR169" i="34"/>
  <c r="AS169" i="34"/>
  <c r="AN170" i="34"/>
  <c r="AO170" i="34"/>
  <c r="AP170" i="34"/>
  <c r="AQ170" i="34"/>
  <c r="AR170" i="34"/>
  <c r="AS170" i="34"/>
  <c r="AN172" i="34"/>
  <c r="AO172" i="34"/>
  <c r="AP172" i="34"/>
  <c r="AQ172" i="34"/>
  <c r="AR172" i="34"/>
  <c r="AS172" i="34"/>
  <c r="AN173" i="34"/>
  <c r="AO173" i="34"/>
  <c r="AP173" i="34"/>
  <c r="AQ173" i="34"/>
  <c r="AR173" i="34"/>
  <c r="AS173" i="34"/>
  <c r="AN175" i="34"/>
  <c r="AO175" i="34"/>
  <c r="AP175" i="34"/>
  <c r="AQ175" i="34"/>
  <c r="AR175" i="34"/>
  <c r="AS175" i="34"/>
  <c r="AN176" i="34"/>
  <c r="AO176" i="34"/>
  <c r="AP176" i="34"/>
  <c r="AQ176" i="34"/>
  <c r="AR176" i="34"/>
  <c r="AS176" i="34"/>
  <c r="AN179" i="34"/>
  <c r="AO179" i="34"/>
  <c r="AP179" i="34"/>
  <c r="AQ179" i="34"/>
  <c r="AR179" i="34"/>
  <c r="AS179" i="34"/>
  <c r="A179" i="34"/>
  <c r="AN180" i="34"/>
  <c r="AO180" i="34"/>
  <c r="AP180" i="34"/>
  <c r="AQ180" i="34"/>
  <c r="AR180" i="34"/>
  <c r="AS180" i="34"/>
  <c r="AN181" i="34"/>
  <c r="AO181" i="34"/>
  <c r="AP181" i="34"/>
  <c r="AQ181" i="34"/>
  <c r="AR181" i="34"/>
  <c r="AS181" i="34"/>
  <c r="AN182" i="34"/>
  <c r="AO182" i="34"/>
  <c r="AP182" i="34"/>
  <c r="AQ182" i="34"/>
  <c r="AR182" i="34"/>
  <c r="AS182" i="34"/>
  <c r="AN184" i="34"/>
  <c r="AO184" i="34"/>
  <c r="AP184" i="34"/>
  <c r="AQ184" i="34"/>
  <c r="AR184" i="34"/>
  <c r="AS184" i="34"/>
  <c r="AN185" i="34"/>
  <c r="AO185" i="34"/>
  <c r="AP185" i="34"/>
  <c r="AQ185" i="34"/>
  <c r="AR185" i="34"/>
  <c r="AS185" i="34"/>
  <c r="AN187" i="34"/>
  <c r="AO187" i="34"/>
  <c r="AP187" i="34"/>
  <c r="AQ187" i="34"/>
  <c r="AR187" i="34"/>
  <c r="AS187" i="34"/>
  <c r="AN188" i="34"/>
  <c r="AO188" i="34"/>
  <c r="AP188" i="34"/>
  <c r="AQ188" i="34"/>
  <c r="AR188" i="34"/>
  <c r="AS188" i="34"/>
  <c r="AN191" i="34"/>
  <c r="AO191" i="34"/>
  <c r="AP191" i="34"/>
  <c r="AQ191" i="34"/>
  <c r="AR191" i="34"/>
  <c r="AS191" i="34"/>
  <c r="AN192" i="34"/>
  <c r="AO192" i="34"/>
  <c r="AP192" i="34"/>
  <c r="AQ192" i="34"/>
  <c r="AR192" i="34"/>
  <c r="AS192" i="34"/>
  <c r="AN193" i="34"/>
  <c r="AO193" i="34"/>
  <c r="AP193" i="34"/>
  <c r="AQ193" i="34"/>
  <c r="AR193" i="34"/>
  <c r="AS193" i="34"/>
  <c r="AN194" i="34"/>
  <c r="AO194" i="34"/>
  <c r="AP194" i="34"/>
  <c r="AQ194" i="34"/>
  <c r="AR194" i="34"/>
  <c r="AS194" i="34"/>
  <c r="AN196" i="34"/>
  <c r="AO196" i="34"/>
  <c r="AP196" i="34"/>
  <c r="AQ196" i="34"/>
  <c r="AR196" i="34"/>
  <c r="AS196" i="34"/>
  <c r="AN197" i="34"/>
  <c r="AO197" i="34"/>
  <c r="AP197" i="34"/>
  <c r="AQ197" i="34"/>
  <c r="AR197" i="34"/>
  <c r="AS197" i="34"/>
  <c r="AN199" i="34"/>
  <c r="AO199" i="34"/>
  <c r="AP199" i="34"/>
  <c r="AQ199" i="34"/>
  <c r="AR199" i="34"/>
  <c r="AS199" i="34"/>
  <c r="AN200" i="34"/>
  <c r="AO200" i="34"/>
  <c r="AP200" i="34"/>
  <c r="AQ200" i="34"/>
  <c r="AR200" i="34"/>
  <c r="AS200" i="34"/>
  <c r="AN203" i="34"/>
  <c r="AO203" i="34"/>
  <c r="AP203" i="34"/>
  <c r="AQ203" i="34"/>
  <c r="AR203" i="34"/>
  <c r="AS203" i="34"/>
  <c r="AN204" i="34"/>
  <c r="AO204" i="34"/>
  <c r="AP204" i="34"/>
  <c r="AQ204" i="34"/>
  <c r="AR204" i="34"/>
  <c r="AS204" i="34"/>
  <c r="AN205" i="34"/>
  <c r="AO205" i="34"/>
  <c r="AP205" i="34"/>
  <c r="AQ205" i="34"/>
  <c r="AR205" i="34"/>
  <c r="AS205" i="34"/>
  <c r="AN206" i="34"/>
  <c r="AO206" i="34"/>
  <c r="AP206" i="34"/>
  <c r="AQ206" i="34"/>
  <c r="AR206" i="34"/>
  <c r="AS206" i="34"/>
  <c r="AN208" i="34"/>
  <c r="AO208" i="34"/>
  <c r="AP208" i="34"/>
  <c r="AQ208" i="34"/>
  <c r="AR208" i="34"/>
  <c r="AS208" i="34"/>
  <c r="AN209" i="34"/>
  <c r="AO209" i="34"/>
  <c r="AP209" i="34"/>
  <c r="AQ209" i="34"/>
  <c r="AR209" i="34"/>
  <c r="AS209" i="34"/>
  <c r="AN211" i="34"/>
  <c r="AO211" i="34"/>
  <c r="AP211" i="34"/>
  <c r="AQ211" i="34"/>
  <c r="AR211" i="34"/>
  <c r="AS211" i="34"/>
  <c r="AN212" i="34"/>
  <c r="AO212" i="34"/>
  <c r="AP212" i="34"/>
  <c r="AQ212" i="34"/>
  <c r="AR212" i="34"/>
  <c r="AS212" i="34"/>
  <c r="AN215" i="34"/>
  <c r="AO215" i="34"/>
  <c r="AP215" i="34"/>
  <c r="AQ215" i="34"/>
  <c r="AR215" i="34"/>
  <c r="AS215" i="34"/>
  <c r="AN216" i="34"/>
  <c r="AO216" i="34"/>
  <c r="AP216" i="34"/>
  <c r="AQ216" i="34"/>
  <c r="AR216" i="34"/>
  <c r="AS216" i="34"/>
  <c r="AN217" i="34"/>
  <c r="AO217" i="34"/>
  <c r="AP217" i="34"/>
  <c r="AQ217" i="34"/>
  <c r="AR217" i="34"/>
  <c r="AS217" i="34"/>
  <c r="AN218" i="34"/>
  <c r="AO218" i="34"/>
  <c r="AP218" i="34"/>
  <c r="AQ218" i="34"/>
  <c r="AR218" i="34"/>
  <c r="AS218" i="34"/>
  <c r="AN220" i="34"/>
  <c r="AO220" i="34"/>
  <c r="AP220" i="34"/>
  <c r="AQ220" i="34"/>
  <c r="AR220" i="34"/>
  <c r="AS220" i="34"/>
  <c r="AN221" i="34"/>
  <c r="AO221" i="34"/>
  <c r="AP221" i="34"/>
  <c r="AQ221" i="34"/>
  <c r="AR221" i="34"/>
  <c r="AS221" i="34"/>
  <c r="AN223" i="34"/>
  <c r="AO223" i="34"/>
  <c r="AP223" i="34"/>
  <c r="AQ223" i="34"/>
  <c r="AR223" i="34"/>
  <c r="AS223" i="34"/>
  <c r="AN224" i="34"/>
  <c r="AO224" i="34"/>
  <c r="AP224" i="34"/>
  <c r="AQ224" i="34"/>
  <c r="AR224" i="34"/>
  <c r="AS224" i="34"/>
  <c r="AN227" i="34"/>
  <c r="AO227" i="34"/>
  <c r="AP227" i="34"/>
  <c r="AQ227" i="34"/>
  <c r="AR227" i="34"/>
  <c r="AS227" i="34"/>
  <c r="AN228" i="34"/>
  <c r="AO228" i="34"/>
  <c r="AP228" i="34"/>
  <c r="AQ228" i="34"/>
  <c r="AR228" i="34"/>
  <c r="AS228" i="34"/>
  <c r="AN229" i="34"/>
  <c r="AO229" i="34"/>
  <c r="AP229" i="34"/>
  <c r="AQ229" i="34"/>
  <c r="AR229" i="34"/>
  <c r="AS229" i="34"/>
  <c r="AN230" i="34"/>
  <c r="AO230" i="34"/>
  <c r="AP230" i="34"/>
  <c r="AQ230" i="34"/>
  <c r="AR230" i="34"/>
  <c r="AS230" i="34"/>
  <c r="AN232" i="34"/>
  <c r="AO232" i="34"/>
  <c r="AP232" i="34"/>
  <c r="AQ232" i="34"/>
  <c r="AR232" i="34"/>
  <c r="AS232" i="34"/>
  <c r="AN233" i="34"/>
  <c r="AO233" i="34"/>
  <c r="AP233" i="34"/>
  <c r="AQ233" i="34"/>
  <c r="AR233" i="34"/>
  <c r="AS233" i="34"/>
  <c r="AN235" i="34"/>
  <c r="AO235" i="34"/>
  <c r="AP235" i="34"/>
  <c r="AQ235" i="34"/>
  <c r="AR235" i="34"/>
  <c r="AS235" i="34"/>
  <c r="AN236" i="34"/>
  <c r="AO236" i="34"/>
  <c r="AP236" i="34"/>
  <c r="AQ236" i="34"/>
  <c r="AR236" i="34"/>
  <c r="AS236" i="34"/>
  <c r="AN239" i="34"/>
  <c r="AO239" i="34"/>
  <c r="AP239" i="34"/>
  <c r="AQ239" i="34"/>
  <c r="AR239" i="34"/>
  <c r="AS239" i="34"/>
  <c r="AN240" i="34"/>
  <c r="AO240" i="34"/>
  <c r="AP240" i="34"/>
  <c r="AQ240" i="34"/>
  <c r="AR240" i="34"/>
  <c r="AS240" i="34"/>
  <c r="AN241" i="34"/>
  <c r="AO241" i="34"/>
  <c r="AP241" i="34"/>
  <c r="AQ241" i="34"/>
  <c r="AR241" i="34"/>
  <c r="AS241" i="34"/>
  <c r="AN242" i="34"/>
  <c r="AO242" i="34"/>
  <c r="AP242" i="34"/>
  <c r="AQ242" i="34"/>
  <c r="AR242" i="34"/>
  <c r="AS242" i="34"/>
  <c r="AP32" i="34"/>
  <c r="AN44" i="34"/>
  <c r="AN43" i="34"/>
  <c r="AN41" i="34"/>
  <c r="AN48" i="34"/>
  <c r="AS43" i="34"/>
  <c r="AR44" i="34"/>
  <c r="AR49" i="34"/>
  <c r="AR50" i="34"/>
  <c r="AP25" i="34"/>
  <c r="AP26" i="34"/>
  <c r="AP17" i="34"/>
  <c r="AP24" i="34"/>
  <c r="AS41" i="34"/>
  <c r="AS48" i="34"/>
  <c r="AO17" i="34"/>
  <c r="AO24" i="34"/>
  <c r="AN17" i="34"/>
  <c r="AN24" i="34"/>
  <c r="AN20" i="34"/>
  <c r="AS29" i="34"/>
  <c r="AS36" i="34"/>
  <c r="AS31" i="34"/>
  <c r="AQ37" i="34"/>
  <c r="AQ38" i="34"/>
  <c r="AP67" i="33"/>
  <c r="AQ73" i="33"/>
  <c r="AQ74" i="33"/>
  <c r="AR65" i="33"/>
  <c r="AR72" i="33"/>
  <c r="AP115" i="33"/>
  <c r="AQ113" i="33"/>
  <c r="AQ120" i="33"/>
  <c r="AQ127" i="33"/>
  <c r="AQ137" i="33"/>
  <c r="AQ144" i="33"/>
  <c r="AR139" i="33"/>
  <c r="AQ164" i="33"/>
  <c r="AR161" i="33"/>
  <c r="AR168" i="33"/>
  <c r="AP193" i="33"/>
  <c r="AP194" i="33"/>
  <c r="AR101" i="33"/>
  <c r="AR108" i="33"/>
  <c r="AP32" i="33"/>
  <c r="AR32" i="33"/>
  <c r="AP10" i="35"/>
  <c r="AP11" i="35"/>
  <c r="AP12" i="35"/>
  <c r="AP13" i="35"/>
  <c r="AP20" i="35"/>
  <c r="AP21" i="35"/>
  <c r="AP22" i="35"/>
  <c r="AP23" i="35"/>
  <c r="AP30" i="35"/>
  <c r="AP31" i="35"/>
  <c r="AP32" i="35"/>
  <c r="AP33" i="35"/>
  <c r="AP40" i="35"/>
  <c r="AP41" i="35"/>
  <c r="AP42" i="35"/>
  <c r="AP43" i="35"/>
  <c r="AP50" i="35"/>
  <c r="AP51" i="35"/>
  <c r="AP52" i="35"/>
  <c r="AP53" i="35"/>
  <c r="AP60" i="35"/>
  <c r="AP61" i="35"/>
  <c r="AP62" i="35"/>
  <c r="AP63" i="35"/>
  <c r="AP70" i="35"/>
  <c r="AP71" i="35"/>
  <c r="AP72" i="35"/>
  <c r="AP73" i="35"/>
  <c r="AP80" i="35"/>
  <c r="AP81" i="35"/>
  <c r="AP82" i="35"/>
  <c r="AP83" i="35"/>
  <c r="AP90" i="35"/>
  <c r="AP91" i="35"/>
  <c r="AP92" i="35"/>
  <c r="AP93" i="35"/>
  <c r="AP100" i="35"/>
  <c r="AP101" i="35"/>
  <c r="AP102" i="35"/>
  <c r="AP103" i="35"/>
  <c r="AP110" i="35"/>
  <c r="AP111" i="35"/>
  <c r="AP112" i="35"/>
  <c r="AP113" i="35"/>
  <c r="AP121" i="35"/>
  <c r="AP122" i="35"/>
  <c r="AP123" i="35"/>
  <c r="AP130" i="35"/>
  <c r="AP131" i="35"/>
  <c r="AP132" i="35"/>
  <c r="AP133" i="35"/>
  <c r="AP140" i="35"/>
  <c r="AP141" i="35"/>
  <c r="AP142" i="35"/>
  <c r="AP143" i="35"/>
  <c r="AP150" i="35"/>
  <c r="AP151" i="35"/>
  <c r="AP152" i="35"/>
  <c r="AP153" i="35"/>
  <c r="AP161" i="35"/>
  <c r="AP162" i="35"/>
  <c r="AP163" i="35"/>
  <c r="AP164" i="35"/>
  <c r="AP165" i="35"/>
  <c r="AP173" i="35"/>
  <c r="AP174" i="35"/>
  <c r="AP175" i="35"/>
  <c r="AP176" i="35"/>
  <c r="AP177" i="35"/>
  <c r="AP184" i="35"/>
  <c r="AP185" i="35"/>
  <c r="AP186" i="35"/>
  <c r="AP187" i="35"/>
  <c r="AP194" i="35"/>
  <c r="AP195" i="35"/>
  <c r="AP196" i="35"/>
  <c r="AP197" i="35"/>
  <c r="AP205" i="35"/>
  <c r="AP206" i="35"/>
  <c r="AP207" i="35"/>
  <c r="AP208" i="35"/>
  <c r="AP209" i="35"/>
  <c r="AP217" i="35"/>
  <c r="AP218" i="35"/>
  <c r="AP219" i="35"/>
  <c r="AP220" i="35"/>
  <c r="AP221" i="35"/>
  <c r="AP1" i="33"/>
  <c r="AQ1" i="33"/>
  <c r="AR1" i="33"/>
  <c r="AP76" i="33"/>
  <c r="AP83" i="33"/>
  <c r="AQ76" i="33"/>
  <c r="AQ83" i="33"/>
  <c r="AR76" i="33"/>
  <c r="AR83" i="33"/>
  <c r="AP88" i="33"/>
  <c r="AP95" i="33"/>
  <c r="AQ88" i="33"/>
  <c r="AQ95" i="33"/>
  <c r="AR88" i="33"/>
  <c r="AR95" i="33"/>
  <c r="AO4" i="36"/>
  <c r="AO11" i="36"/>
  <c r="AP4" i="36"/>
  <c r="AP11" i="36"/>
  <c r="AQ4" i="36"/>
  <c r="AQ11" i="36"/>
  <c r="AR4" i="36"/>
  <c r="AR11" i="36"/>
  <c r="AS4" i="36"/>
  <c r="AS11" i="36"/>
  <c r="AO5" i="36"/>
  <c r="AO12" i="36"/>
  <c r="AP5" i="36"/>
  <c r="AP12" i="36"/>
  <c r="AQ5" i="36"/>
  <c r="AQ12" i="36"/>
  <c r="AR5" i="36"/>
  <c r="AR12" i="36"/>
  <c r="AS5" i="36"/>
  <c r="AS12" i="36"/>
  <c r="AO7" i="36"/>
  <c r="AP7" i="36"/>
  <c r="AQ7" i="36"/>
  <c r="AR7" i="36"/>
  <c r="AS7" i="36"/>
  <c r="AO8" i="36"/>
  <c r="AP8" i="36"/>
  <c r="AQ8" i="36"/>
  <c r="AR8" i="36"/>
  <c r="AS8" i="36"/>
  <c r="AO13" i="36"/>
  <c r="AO14" i="36"/>
  <c r="AP13" i="36"/>
  <c r="AP14" i="36"/>
  <c r="AQ13" i="36"/>
  <c r="AQ14" i="36"/>
  <c r="AR13" i="36"/>
  <c r="AR14" i="36"/>
  <c r="AS13" i="36"/>
  <c r="AS14" i="36"/>
  <c r="AO16" i="36"/>
  <c r="AO23" i="36"/>
  <c r="AP16" i="36"/>
  <c r="AP23" i="36"/>
  <c r="AQ16" i="36"/>
  <c r="AQ23" i="36"/>
  <c r="AR16" i="36"/>
  <c r="AR23" i="36"/>
  <c r="AS16" i="36"/>
  <c r="AS23" i="36"/>
  <c r="AO28" i="36"/>
  <c r="AO35" i="36"/>
  <c r="AP28" i="36"/>
  <c r="AP35" i="36"/>
  <c r="AQ28" i="36"/>
  <c r="AQ35" i="36"/>
  <c r="AR28" i="36"/>
  <c r="AR35" i="36"/>
  <c r="AS28" i="36"/>
  <c r="AS35" i="36"/>
  <c r="AO40" i="36"/>
  <c r="AO47" i="36"/>
  <c r="AP40" i="36"/>
  <c r="AP47" i="36"/>
  <c r="AQ40" i="36"/>
  <c r="AQ47" i="36"/>
  <c r="AR40" i="36"/>
  <c r="AR47" i="36"/>
  <c r="AS40" i="36"/>
  <c r="AS47" i="36"/>
  <c r="AO52" i="36"/>
  <c r="AO59" i="36"/>
  <c r="AP52" i="36"/>
  <c r="AP59" i="36"/>
  <c r="AQ52" i="36"/>
  <c r="AQ59" i="36"/>
  <c r="AR52" i="36"/>
  <c r="AR59" i="36"/>
  <c r="AS52" i="36"/>
  <c r="AS59" i="36"/>
  <c r="AO64" i="36"/>
  <c r="AO71" i="36"/>
  <c r="AP64" i="36"/>
  <c r="AP71" i="36"/>
  <c r="AQ64" i="36"/>
  <c r="AQ71" i="36"/>
  <c r="AR64" i="36"/>
  <c r="AR71" i="36"/>
  <c r="AS64" i="36"/>
  <c r="AS71" i="36"/>
  <c r="AO76" i="36"/>
  <c r="AO83" i="36"/>
  <c r="AP76" i="36"/>
  <c r="AP83" i="36"/>
  <c r="AQ76" i="36"/>
  <c r="AQ83" i="36"/>
  <c r="AR76" i="36"/>
  <c r="AR83" i="36"/>
  <c r="AS76" i="36"/>
  <c r="AS83" i="36"/>
  <c r="AO88" i="36"/>
  <c r="AO95" i="36"/>
  <c r="AP88" i="36"/>
  <c r="AP95" i="36"/>
  <c r="AQ88" i="36"/>
  <c r="AQ95" i="36"/>
  <c r="AR88" i="36"/>
  <c r="AR95" i="36"/>
  <c r="AS88" i="36"/>
  <c r="AS95" i="36"/>
  <c r="AO100" i="36"/>
  <c r="AO107" i="36"/>
  <c r="AP100" i="36"/>
  <c r="AP107" i="36"/>
  <c r="AQ100" i="36"/>
  <c r="AQ107" i="36"/>
  <c r="AR100" i="36"/>
  <c r="AR107" i="36"/>
  <c r="AS100" i="36"/>
  <c r="AS107" i="36"/>
  <c r="AO112" i="36"/>
  <c r="AO119" i="36"/>
  <c r="AP112" i="36"/>
  <c r="AP119" i="36"/>
  <c r="AQ112" i="36"/>
  <c r="AQ119" i="36"/>
  <c r="AR112" i="36"/>
  <c r="AR119" i="36"/>
  <c r="AS112" i="36"/>
  <c r="AS119" i="36"/>
  <c r="AO124" i="36"/>
  <c r="AO131" i="36"/>
  <c r="AP124" i="36"/>
  <c r="AP131" i="36"/>
  <c r="AQ124" i="36"/>
  <c r="AQ131" i="36"/>
  <c r="AR124" i="36"/>
  <c r="AR131" i="36"/>
  <c r="AS124" i="36"/>
  <c r="AS131" i="36"/>
  <c r="AO136" i="36"/>
  <c r="AO143" i="36"/>
  <c r="AP136" i="36"/>
  <c r="AP143" i="36"/>
  <c r="AQ136" i="36"/>
  <c r="AQ143" i="36"/>
  <c r="AR136" i="36"/>
  <c r="AR143" i="36"/>
  <c r="AS136" i="36"/>
  <c r="AS143" i="36"/>
  <c r="AO148" i="36"/>
  <c r="AO155" i="36"/>
  <c r="AP148" i="36"/>
  <c r="AP155" i="36"/>
  <c r="AQ148" i="36"/>
  <c r="AQ155" i="36"/>
  <c r="AR148" i="36"/>
  <c r="AR155" i="36"/>
  <c r="AS148" i="36"/>
  <c r="AS155" i="36"/>
  <c r="AO160" i="36"/>
  <c r="AO167" i="36"/>
  <c r="AP160" i="36"/>
  <c r="AP167" i="36"/>
  <c r="AQ160" i="36"/>
  <c r="AQ167" i="36"/>
  <c r="AR160" i="36"/>
  <c r="AR167" i="36"/>
  <c r="AS160" i="36"/>
  <c r="AS167" i="36"/>
  <c r="AO172" i="36"/>
  <c r="AO179" i="36"/>
  <c r="AP172" i="36"/>
  <c r="AP179" i="36"/>
  <c r="AQ172" i="36"/>
  <c r="AQ179" i="36"/>
  <c r="AR172" i="36"/>
  <c r="AR179" i="36"/>
  <c r="AS172" i="36"/>
  <c r="AS179" i="36"/>
  <c r="AO184" i="36"/>
  <c r="AO191" i="36"/>
  <c r="AP184" i="36"/>
  <c r="AP191" i="36"/>
  <c r="AQ184" i="36"/>
  <c r="AQ191" i="36"/>
  <c r="AR184" i="36"/>
  <c r="AR191" i="36"/>
  <c r="AS184" i="36"/>
  <c r="AS191" i="36"/>
  <c r="AO196" i="36"/>
  <c r="AO203" i="36"/>
  <c r="AP196" i="36"/>
  <c r="AP203" i="36"/>
  <c r="AQ196" i="36"/>
  <c r="AQ203" i="36"/>
  <c r="AR196" i="36"/>
  <c r="AR203" i="36"/>
  <c r="AS196" i="36"/>
  <c r="AS203" i="36"/>
  <c r="AO208" i="36"/>
  <c r="AO215" i="36"/>
  <c r="AP208" i="36"/>
  <c r="AP215" i="36"/>
  <c r="AQ208" i="36"/>
  <c r="AQ215" i="36"/>
  <c r="AR208" i="36"/>
  <c r="AR215" i="36"/>
  <c r="AS208" i="36"/>
  <c r="AS215" i="36"/>
  <c r="AO220" i="36"/>
  <c r="AO227" i="36"/>
  <c r="AP220" i="36"/>
  <c r="AP227" i="36"/>
  <c r="AQ220" i="36"/>
  <c r="AQ227" i="36"/>
  <c r="AR220" i="36"/>
  <c r="AR227" i="36"/>
  <c r="AS220" i="36"/>
  <c r="AS227" i="36"/>
  <c r="AO232" i="36"/>
  <c r="AO239" i="36"/>
  <c r="AO240" i="36"/>
  <c r="AP232" i="36"/>
  <c r="AP239" i="36"/>
  <c r="AP240" i="36"/>
  <c r="AQ232" i="36"/>
  <c r="AQ239" i="36"/>
  <c r="AQ240" i="36"/>
  <c r="AR232" i="36"/>
  <c r="AR239" i="36"/>
  <c r="AR240" i="36"/>
  <c r="AS232" i="36"/>
  <c r="AS239" i="36"/>
  <c r="AS240" i="36"/>
  <c r="AO233" i="36"/>
  <c r="AP233" i="36"/>
  <c r="AQ233" i="36"/>
  <c r="AR233" i="36"/>
  <c r="AS233" i="36"/>
  <c r="AO234" i="36"/>
  <c r="AP234" i="36"/>
  <c r="AQ234" i="36"/>
  <c r="AR234" i="36"/>
  <c r="AS234" i="36"/>
  <c r="AO244" i="36"/>
  <c r="AO251" i="36"/>
  <c r="AO252" i="36"/>
  <c r="AP244" i="36"/>
  <c r="AP251" i="36"/>
  <c r="AP252" i="36"/>
  <c r="AQ244" i="36"/>
  <c r="AQ251" i="36"/>
  <c r="AQ252" i="36"/>
  <c r="AR244" i="36"/>
  <c r="AR251" i="36"/>
  <c r="AR252" i="36"/>
  <c r="AS244" i="36"/>
  <c r="AS251" i="36"/>
  <c r="AS252" i="36"/>
  <c r="AO245" i="36"/>
  <c r="AP245" i="36"/>
  <c r="AQ245" i="36"/>
  <c r="AR245" i="36"/>
  <c r="AS245" i="36"/>
  <c r="AO246" i="36"/>
  <c r="AP246" i="36"/>
  <c r="AQ246" i="36"/>
  <c r="AR246" i="36"/>
  <c r="AS246" i="36"/>
  <c r="AP28" i="33"/>
  <c r="AP35" i="33"/>
  <c r="AQ28" i="33"/>
  <c r="AQ35" i="33"/>
  <c r="AR28" i="33"/>
  <c r="AR35" i="33"/>
  <c r="A35" i="33"/>
  <c r="AP40" i="33"/>
  <c r="AP47" i="33"/>
  <c r="AQ40" i="33"/>
  <c r="AQ47" i="33"/>
  <c r="AR40" i="33"/>
  <c r="AR47" i="33"/>
  <c r="AP160" i="33"/>
  <c r="AP167" i="33"/>
  <c r="AQ160" i="33"/>
  <c r="AQ167" i="33"/>
  <c r="AR160" i="33"/>
  <c r="AR167" i="33"/>
  <c r="AQ217" i="35"/>
  <c r="AR217" i="35"/>
  <c r="AS217" i="35"/>
  <c r="AT217" i="35"/>
  <c r="AU217" i="35"/>
  <c r="AV217" i="35"/>
  <c r="AW217" i="35"/>
  <c r="AX217" i="35"/>
  <c r="AQ218" i="35"/>
  <c r="AR218" i="35"/>
  <c r="AS218" i="35"/>
  <c r="AT218" i="35"/>
  <c r="AU218" i="35"/>
  <c r="AV218" i="35"/>
  <c r="AW218" i="35"/>
  <c r="AX218" i="35"/>
  <c r="AQ219" i="35"/>
  <c r="AR219" i="35"/>
  <c r="AS219" i="35"/>
  <c r="AT219" i="35"/>
  <c r="AU219" i="35"/>
  <c r="AV219" i="35"/>
  <c r="AW219" i="35"/>
  <c r="AX219" i="35"/>
  <c r="AQ220" i="35"/>
  <c r="AQ221" i="35"/>
  <c r="AR220" i="35"/>
  <c r="AR221" i="35"/>
  <c r="AS220" i="35"/>
  <c r="AS221" i="35"/>
  <c r="AT220" i="35"/>
  <c r="AT221" i="35"/>
  <c r="AU220" i="35"/>
  <c r="AU221" i="35"/>
  <c r="AV220" i="35"/>
  <c r="AV221" i="35"/>
  <c r="AW220" i="35"/>
  <c r="AW221" i="35"/>
  <c r="AX220" i="35"/>
  <c r="AX221" i="35"/>
  <c r="A339" i="33"/>
  <c r="A340" i="33"/>
  <c r="A351" i="33"/>
  <c r="A363" i="33"/>
  <c r="A352" i="33"/>
  <c r="A364" i="33"/>
  <c r="A292" i="33"/>
  <c r="A304" i="33"/>
  <c r="A316" i="33"/>
  <c r="A291" i="33"/>
  <c r="A303" i="33"/>
  <c r="A315" i="33"/>
  <c r="AP52" i="33"/>
  <c r="AP59" i="33"/>
  <c r="AQ52" i="33"/>
  <c r="AQ59" i="33"/>
  <c r="AR52" i="33"/>
  <c r="AR59" i="33"/>
  <c r="AQ53" i="33"/>
  <c r="AQ60" i="33"/>
  <c r="AR53" i="33"/>
  <c r="AR60" i="33"/>
  <c r="AQ61" i="33"/>
  <c r="AQ62" i="33"/>
  <c r="AR61" i="33"/>
  <c r="AR62" i="33"/>
  <c r="AP4" i="33"/>
  <c r="AP11" i="33"/>
  <c r="AQ4" i="33"/>
  <c r="AQ11" i="33"/>
  <c r="AR4" i="33"/>
  <c r="AR11" i="33"/>
  <c r="AP5" i="33"/>
  <c r="AP12" i="33"/>
  <c r="AQ5" i="33"/>
  <c r="AQ12" i="33"/>
  <c r="AR5" i="33"/>
  <c r="AR12" i="33"/>
  <c r="AP13" i="33"/>
  <c r="AP14" i="33"/>
  <c r="AQ13" i="33"/>
  <c r="AQ14" i="33"/>
  <c r="AR13" i="33"/>
  <c r="AR14" i="33"/>
  <c r="AP16" i="33"/>
  <c r="AP23" i="33"/>
  <c r="AQ16" i="33"/>
  <c r="AQ23" i="33"/>
  <c r="AR16" i="33"/>
  <c r="AR23" i="33"/>
  <c r="AP29" i="33"/>
  <c r="AP36" i="33"/>
  <c r="AQ29" i="33"/>
  <c r="AQ36" i="33"/>
  <c r="AP37" i="33"/>
  <c r="AP38" i="33"/>
  <c r="AQ37" i="33"/>
  <c r="AQ38" i="33"/>
  <c r="AP64" i="33"/>
  <c r="AP71" i="33"/>
  <c r="AQ64" i="33"/>
  <c r="AQ71" i="33"/>
  <c r="AR64" i="33"/>
  <c r="AR71" i="33"/>
  <c r="AP89" i="33"/>
  <c r="AP96" i="33"/>
  <c r="AP97" i="33"/>
  <c r="AP98" i="33"/>
  <c r="AP100" i="33"/>
  <c r="AP107" i="33"/>
  <c r="AQ100" i="33"/>
  <c r="AQ107" i="33"/>
  <c r="AR100" i="33"/>
  <c r="AR107" i="33"/>
  <c r="AQ109" i="33"/>
  <c r="AQ110" i="33"/>
  <c r="AP112" i="33"/>
  <c r="AP119" i="33"/>
  <c r="AQ112" i="33"/>
  <c r="AQ119" i="33"/>
  <c r="AR112" i="33"/>
  <c r="AR119" i="33"/>
  <c r="A119" i="33"/>
  <c r="AP124" i="33"/>
  <c r="AP131" i="33"/>
  <c r="AQ124" i="33"/>
  <c r="AQ131" i="33"/>
  <c r="AR124" i="33"/>
  <c r="AR131" i="33"/>
  <c r="AP125" i="33"/>
  <c r="AP132" i="33"/>
  <c r="AQ125" i="33"/>
  <c r="AQ132" i="33"/>
  <c r="AQ133" i="33"/>
  <c r="AQ134" i="33"/>
  <c r="AP136" i="33"/>
  <c r="AP143" i="33"/>
  <c r="AQ136" i="33"/>
  <c r="AQ143" i="33"/>
  <c r="AR136" i="33"/>
  <c r="AR143" i="33"/>
  <c r="AQ145" i="33"/>
  <c r="AQ146" i="33"/>
  <c r="AP148" i="33"/>
  <c r="AP155" i="33"/>
  <c r="AQ148" i="33"/>
  <c r="AQ155" i="33"/>
  <c r="AR148" i="33"/>
  <c r="AR155" i="33"/>
  <c r="AQ149" i="33"/>
  <c r="AQ156" i="33"/>
  <c r="AR149" i="33"/>
  <c r="AR156" i="33"/>
  <c r="AQ157" i="33"/>
  <c r="AQ158" i="33"/>
  <c r="AR157" i="33"/>
  <c r="AR158" i="33"/>
  <c r="AQ161" i="33"/>
  <c r="AQ168" i="33"/>
  <c r="AP169" i="33"/>
  <c r="AP170" i="33"/>
  <c r="AQ169" i="33"/>
  <c r="AQ170" i="33"/>
  <c r="AP172" i="33"/>
  <c r="AP179" i="33"/>
  <c r="AQ172" i="33"/>
  <c r="AQ179" i="33"/>
  <c r="AR172" i="33"/>
  <c r="AR179" i="33"/>
  <c r="AP184" i="33"/>
  <c r="AP191" i="33"/>
  <c r="AQ184" i="33"/>
  <c r="AQ191" i="33"/>
  <c r="AR184" i="33"/>
  <c r="AR191" i="33"/>
  <c r="AR185" i="33"/>
  <c r="AR192" i="33"/>
  <c r="AR193" i="33"/>
  <c r="AR194" i="33"/>
  <c r="AP196" i="33"/>
  <c r="AP203" i="33"/>
  <c r="AQ196" i="33"/>
  <c r="AQ203" i="33"/>
  <c r="AR196" i="33"/>
  <c r="AR203" i="33"/>
  <c r="AX62" i="35"/>
  <c r="AX63" i="35"/>
  <c r="AW62" i="35"/>
  <c r="AW63" i="35"/>
  <c r="AV62" i="35"/>
  <c r="AV63" i="35"/>
  <c r="AU62" i="35"/>
  <c r="AU63" i="35"/>
  <c r="AT62" i="35"/>
  <c r="AT63" i="35"/>
  <c r="AS62" i="35"/>
  <c r="AS63" i="35"/>
  <c r="AR62" i="35"/>
  <c r="AR63" i="35"/>
  <c r="AQ62" i="35"/>
  <c r="AQ63" i="35"/>
  <c r="AX61" i="35"/>
  <c r="AW61" i="35"/>
  <c r="AV61" i="35"/>
  <c r="AU61" i="35"/>
  <c r="AT61" i="35"/>
  <c r="AS61" i="35"/>
  <c r="AR61" i="35"/>
  <c r="AQ61" i="35"/>
  <c r="AX60" i="35"/>
  <c r="AW60" i="35"/>
  <c r="AV60" i="35"/>
  <c r="AU60" i="35"/>
  <c r="AT60" i="35"/>
  <c r="AS60" i="35"/>
  <c r="AR60" i="35"/>
  <c r="AQ60" i="35"/>
  <c r="AX52" i="35"/>
  <c r="AX53" i="35"/>
  <c r="AV52" i="35"/>
  <c r="AV53" i="35"/>
  <c r="AU52" i="35"/>
  <c r="AU53" i="35"/>
  <c r="AT52" i="35"/>
  <c r="AT53" i="35"/>
  <c r="AR52" i="35"/>
  <c r="AR53" i="35"/>
  <c r="AW52" i="35"/>
  <c r="AW53" i="35"/>
  <c r="AS52" i="35"/>
  <c r="AS53" i="35"/>
  <c r="AQ52" i="35"/>
  <c r="AQ53" i="35"/>
  <c r="AX51" i="35"/>
  <c r="AW51" i="35"/>
  <c r="AV51" i="35"/>
  <c r="AU51" i="35"/>
  <c r="AT51" i="35"/>
  <c r="AS51" i="35"/>
  <c r="AR51" i="35"/>
  <c r="AQ51" i="35"/>
  <c r="AX50" i="35"/>
  <c r="AW50" i="35"/>
  <c r="AV50" i="35"/>
  <c r="AU50" i="35"/>
  <c r="AT50" i="35"/>
  <c r="AS50" i="35"/>
  <c r="AR50" i="35"/>
  <c r="AQ50" i="35"/>
  <c r="AX42" i="35"/>
  <c r="AX43" i="35"/>
  <c r="AW42" i="35"/>
  <c r="AW43" i="35"/>
  <c r="AV42" i="35"/>
  <c r="AV43" i="35"/>
  <c r="AU42" i="35"/>
  <c r="AU43" i="35"/>
  <c r="AT42" i="35"/>
  <c r="AT43" i="35"/>
  <c r="AS42" i="35"/>
  <c r="AS43" i="35"/>
  <c r="AR42" i="35"/>
  <c r="AR43" i="35"/>
  <c r="AQ42" i="35"/>
  <c r="AQ43" i="35"/>
  <c r="AX41" i="35"/>
  <c r="AW41" i="35"/>
  <c r="AV41" i="35"/>
  <c r="AU41" i="35"/>
  <c r="AT41" i="35"/>
  <c r="AS41" i="35"/>
  <c r="AR41" i="35"/>
  <c r="AQ41" i="35"/>
  <c r="AX40" i="35"/>
  <c r="AW40" i="35"/>
  <c r="AV40" i="35"/>
  <c r="AU40" i="35"/>
  <c r="AT40" i="35"/>
  <c r="AS40" i="35"/>
  <c r="AR40" i="35"/>
  <c r="AQ40" i="35"/>
  <c r="AX32" i="35"/>
  <c r="AX33" i="35"/>
  <c r="AW32" i="35"/>
  <c r="AW33" i="35"/>
  <c r="AV32" i="35"/>
  <c r="AV33" i="35"/>
  <c r="AU32" i="35"/>
  <c r="AU33" i="35"/>
  <c r="AT32" i="35"/>
  <c r="AT33" i="35"/>
  <c r="AS32" i="35"/>
  <c r="AS33" i="35"/>
  <c r="AR32" i="35"/>
  <c r="AR33" i="35"/>
  <c r="AQ32" i="35"/>
  <c r="AQ33" i="35"/>
  <c r="AX31" i="35"/>
  <c r="AW31" i="35"/>
  <c r="AV31" i="35"/>
  <c r="AU31" i="35"/>
  <c r="AT31" i="35"/>
  <c r="AS31" i="35"/>
  <c r="AR31" i="35"/>
  <c r="AQ31" i="35"/>
  <c r="AX30" i="35"/>
  <c r="AW30" i="35"/>
  <c r="AV30" i="35"/>
  <c r="AU30" i="35"/>
  <c r="AT30" i="35"/>
  <c r="AS30" i="35"/>
  <c r="AR30" i="35"/>
  <c r="AQ30" i="35"/>
  <c r="V2" i="2"/>
  <c r="AR151" i="33"/>
  <c r="AQ10" i="35"/>
  <c r="AR10" i="35"/>
  <c r="AS10" i="35"/>
  <c r="AT10" i="35"/>
  <c r="AU10" i="35"/>
  <c r="AV10" i="35"/>
  <c r="AW10" i="35"/>
  <c r="AX10" i="35"/>
  <c r="AQ11" i="35"/>
  <c r="AR11" i="35"/>
  <c r="AS11" i="35"/>
  <c r="AT11" i="35"/>
  <c r="AU11" i="35"/>
  <c r="AV11" i="35"/>
  <c r="AW11" i="35"/>
  <c r="AX11" i="35"/>
  <c r="AQ12" i="35"/>
  <c r="AQ13" i="35"/>
  <c r="AR12" i="35"/>
  <c r="AR13" i="35"/>
  <c r="AS12" i="35"/>
  <c r="AS13" i="35"/>
  <c r="AT12" i="35"/>
  <c r="AT13" i="35"/>
  <c r="AU12" i="35"/>
  <c r="AU13" i="35"/>
  <c r="AV12" i="35"/>
  <c r="AV13" i="35"/>
  <c r="AW12" i="35"/>
  <c r="AW13" i="35"/>
  <c r="AX12" i="35"/>
  <c r="AX13" i="35"/>
  <c r="AQ20" i="35"/>
  <c r="AR20" i="35"/>
  <c r="AS20" i="35"/>
  <c r="AT20" i="35"/>
  <c r="AU20" i="35"/>
  <c r="AV20" i="35"/>
  <c r="AW20" i="35"/>
  <c r="AX20" i="35"/>
  <c r="AQ21" i="35"/>
  <c r="AR21" i="35"/>
  <c r="AS21" i="35"/>
  <c r="AT21" i="35"/>
  <c r="AU21" i="35"/>
  <c r="AV21" i="35"/>
  <c r="AW21" i="35"/>
  <c r="AX21" i="35"/>
  <c r="AQ22" i="35"/>
  <c r="AQ23" i="35"/>
  <c r="AR22" i="35"/>
  <c r="AR23" i="35"/>
  <c r="AS22" i="35"/>
  <c r="AS23" i="35"/>
  <c r="AT22" i="35"/>
  <c r="AT23" i="35"/>
  <c r="AU22" i="35"/>
  <c r="AU23" i="35"/>
  <c r="AV22" i="35"/>
  <c r="AV23" i="35"/>
  <c r="AW22" i="35"/>
  <c r="AW23" i="35"/>
  <c r="AX22" i="35"/>
  <c r="AX23" i="35"/>
  <c r="AQ70" i="35"/>
  <c r="AR70" i="35"/>
  <c r="AS70" i="35"/>
  <c r="AT70" i="35"/>
  <c r="AU70" i="35"/>
  <c r="AV70" i="35"/>
  <c r="AW70" i="35"/>
  <c r="AX70" i="35"/>
  <c r="AQ71" i="35"/>
  <c r="AR71" i="35"/>
  <c r="AS71" i="35"/>
  <c r="AT71" i="35"/>
  <c r="AU71" i="35"/>
  <c r="AV71" i="35"/>
  <c r="AW71" i="35"/>
  <c r="AX71" i="35"/>
  <c r="AQ72" i="35"/>
  <c r="AQ73" i="35"/>
  <c r="AR72" i="35"/>
  <c r="AR73" i="35"/>
  <c r="AS72" i="35"/>
  <c r="AS73" i="35"/>
  <c r="AT72" i="35"/>
  <c r="AT73" i="35"/>
  <c r="AU72" i="35"/>
  <c r="AU73" i="35"/>
  <c r="AV72" i="35"/>
  <c r="AV73" i="35"/>
  <c r="AW72" i="35"/>
  <c r="AW73" i="35"/>
  <c r="AX72" i="35"/>
  <c r="AX73" i="35"/>
  <c r="AQ80" i="35"/>
  <c r="AR80" i="35"/>
  <c r="AS80" i="35"/>
  <c r="AT80" i="35"/>
  <c r="AU80" i="35"/>
  <c r="AV80" i="35"/>
  <c r="AW80" i="35"/>
  <c r="AX80" i="35"/>
  <c r="AQ81" i="35"/>
  <c r="AR81" i="35"/>
  <c r="AS81" i="35"/>
  <c r="AT81" i="35"/>
  <c r="AU81" i="35"/>
  <c r="AV81" i="35"/>
  <c r="AW81" i="35"/>
  <c r="AX81" i="35"/>
  <c r="AQ82" i="35"/>
  <c r="AQ83" i="35"/>
  <c r="AR82" i="35"/>
  <c r="AR83" i="35"/>
  <c r="AS82" i="35"/>
  <c r="AS83" i="35"/>
  <c r="AT82" i="35"/>
  <c r="AT83" i="35"/>
  <c r="AU82" i="35"/>
  <c r="AU83" i="35"/>
  <c r="AV82" i="35"/>
  <c r="AV83" i="35"/>
  <c r="AW82" i="35"/>
  <c r="AW83" i="35"/>
  <c r="AX82" i="35"/>
  <c r="AX83" i="35"/>
  <c r="AQ90" i="35"/>
  <c r="AR90" i="35"/>
  <c r="AS90" i="35"/>
  <c r="AT90" i="35"/>
  <c r="AU90" i="35"/>
  <c r="AV90" i="35"/>
  <c r="AW90" i="35"/>
  <c r="AX90" i="35"/>
  <c r="AQ91" i="35"/>
  <c r="AR91" i="35"/>
  <c r="AS91" i="35"/>
  <c r="AT91" i="35"/>
  <c r="AU91" i="35"/>
  <c r="AV91" i="35"/>
  <c r="AW91" i="35"/>
  <c r="AX91" i="35"/>
  <c r="AQ92" i="35"/>
  <c r="AQ93" i="35"/>
  <c r="AR92" i="35"/>
  <c r="AR93" i="35"/>
  <c r="AS92" i="35"/>
  <c r="AS93" i="35"/>
  <c r="AT92" i="35"/>
  <c r="AT93" i="35"/>
  <c r="AU92" i="35"/>
  <c r="AU93" i="35"/>
  <c r="AV92" i="35"/>
  <c r="AV93" i="35"/>
  <c r="AW92" i="35"/>
  <c r="AW93" i="35"/>
  <c r="AX92" i="35"/>
  <c r="AX93" i="35"/>
  <c r="AQ100" i="35"/>
  <c r="AR100" i="35"/>
  <c r="AS100" i="35"/>
  <c r="AT100" i="35"/>
  <c r="AU100" i="35"/>
  <c r="AV100" i="35"/>
  <c r="AW100" i="35"/>
  <c r="AX100" i="35"/>
  <c r="AQ101" i="35"/>
  <c r="AR101" i="35"/>
  <c r="AS101" i="35"/>
  <c r="AT101" i="35"/>
  <c r="AU101" i="35"/>
  <c r="AV101" i="35"/>
  <c r="AW101" i="35"/>
  <c r="AX101" i="35"/>
  <c r="AQ102" i="35"/>
  <c r="AQ103" i="35"/>
  <c r="AR102" i="35"/>
  <c r="AR103" i="35"/>
  <c r="AS102" i="35"/>
  <c r="AS103" i="35"/>
  <c r="AT102" i="35"/>
  <c r="AT103" i="35"/>
  <c r="AU102" i="35"/>
  <c r="AU103" i="35"/>
  <c r="AV102" i="35"/>
  <c r="AV103" i="35"/>
  <c r="AW102" i="35"/>
  <c r="AW103" i="35"/>
  <c r="AX102" i="35"/>
  <c r="AX103" i="35"/>
  <c r="AQ110" i="35"/>
  <c r="AR110" i="35"/>
  <c r="AS110" i="35"/>
  <c r="AT110" i="35"/>
  <c r="AU110" i="35"/>
  <c r="AV110" i="35"/>
  <c r="AW110" i="35"/>
  <c r="AX110" i="35"/>
  <c r="AQ111" i="35"/>
  <c r="AR111" i="35"/>
  <c r="AS111" i="35"/>
  <c r="AT111" i="35"/>
  <c r="AU111" i="35"/>
  <c r="AV111" i="35"/>
  <c r="AW111" i="35"/>
  <c r="AX111" i="35"/>
  <c r="AQ112" i="35"/>
  <c r="AQ113" i="35"/>
  <c r="AR112" i="35"/>
  <c r="AR113" i="35"/>
  <c r="AS112" i="35"/>
  <c r="AS113" i="35"/>
  <c r="AT112" i="35"/>
  <c r="AT113" i="35"/>
  <c r="AU112" i="35"/>
  <c r="AU113" i="35"/>
  <c r="AV112" i="35"/>
  <c r="AV113" i="35"/>
  <c r="AW112" i="35"/>
  <c r="AW113" i="35"/>
  <c r="AX112" i="35"/>
  <c r="AX113" i="35"/>
  <c r="AQ121" i="35"/>
  <c r="AR121" i="35"/>
  <c r="AS121" i="35"/>
  <c r="AT121" i="35"/>
  <c r="AU121" i="35"/>
  <c r="AV121" i="35"/>
  <c r="AW121" i="35"/>
  <c r="AX121" i="35"/>
  <c r="AQ122" i="35"/>
  <c r="AQ123" i="35"/>
  <c r="AR122" i="35"/>
  <c r="AR123" i="35"/>
  <c r="AS122" i="35"/>
  <c r="AS123" i="35"/>
  <c r="AT122" i="35"/>
  <c r="AT123" i="35"/>
  <c r="AU122" i="35"/>
  <c r="AU123" i="35"/>
  <c r="AV122" i="35"/>
  <c r="AV123" i="35"/>
  <c r="AW122" i="35"/>
  <c r="AW123" i="35"/>
  <c r="AX122" i="35"/>
  <c r="AX123" i="35"/>
  <c r="AQ130" i="35"/>
  <c r="AR130" i="35"/>
  <c r="AS130" i="35"/>
  <c r="AT130" i="35"/>
  <c r="AU130" i="35"/>
  <c r="AV130" i="35"/>
  <c r="AW130" i="35"/>
  <c r="AX130" i="35"/>
  <c r="AQ131" i="35"/>
  <c r="AR131" i="35"/>
  <c r="AS131" i="35"/>
  <c r="AT131" i="35"/>
  <c r="AU131" i="35"/>
  <c r="AV131" i="35"/>
  <c r="AW131" i="35"/>
  <c r="AX131" i="35"/>
  <c r="AQ132" i="35"/>
  <c r="AQ133" i="35"/>
  <c r="AR132" i="35"/>
  <c r="AR133" i="35"/>
  <c r="AS132" i="35"/>
  <c r="AS133" i="35"/>
  <c r="AT132" i="35"/>
  <c r="AT133" i="35"/>
  <c r="AU132" i="35"/>
  <c r="AU133" i="35"/>
  <c r="AV132" i="35"/>
  <c r="AV133" i="35"/>
  <c r="AW132" i="35"/>
  <c r="AW133" i="35"/>
  <c r="AX132" i="35"/>
  <c r="AX133" i="35"/>
  <c r="AQ140" i="35"/>
  <c r="AR140" i="35"/>
  <c r="AS140" i="35"/>
  <c r="AT140" i="35"/>
  <c r="AU140" i="35"/>
  <c r="AV140" i="35"/>
  <c r="AW140" i="35"/>
  <c r="AX140" i="35"/>
  <c r="AQ141" i="35"/>
  <c r="AR141" i="35"/>
  <c r="AS141" i="35"/>
  <c r="AT141" i="35"/>
  <c r="AU141" i="35"/>
  <c r="AV141" i="35"/>
  <c r="AW141" i="35"/>
  <c r="AX141" i="35"/>
  <c r="AQ142" i="35"/>
  <c r="AQ143" i="35"/>
  <c r="AR142" i="35"/>
  <c r="AR143" i="35"/>
  <c r="AS142" i="35"/>
  <c r="AS143" i="35"/>
  <c r="AT142" i="35"/>
  <c r="AT143" i="35"/>
  <c r="AU142" i="35"/>
  <c r="AU143" i="35"/>
  <c r="AV142" i="35"/>
  <c r="AV143" i="35"/>
  <c r="AW142" i="35"/>
  <c r="AW143" i="35"/>
  <c r="AX142" i="35"/>
  <c r="AX143" i="35"/>
  <c r="AQ150" i="35"/>
  <c r="AR150" i="35"/>
  <c r="AS150" i="35"/>
  <c r="AT150" i="35"/>
  <c r="AU150" i="35"/>
  <c r="AV150" i="35"/>
  <c r="AW150" i="35"/>
  <c r="AX150" i="35"/>
  <c r="AQ151" i="35"/>
  <c r="AR151" i="35"/>
  <c r="AS151" i="35"/>
  <c r="AT151" i="35"/>
  <c r="AU151" i="35"/>
  <c r="AV151" i="35"/>
  <c r="AW151" i="35"/>
  <c r="AX151" i="35"/>
  <c r="AQ152" i="35"/>
  <c r="AQ153" i="35"/>
  <c r="AR152" i="35"/>
  <c r="AR153" i="35"/>
  <c r="AS152" i="35"/>
  <c r="AS153" i="35"/>
  <c r="AT152" i="35"/>
  <c r="AT153" i="35"/>
  <c r="AU152" i="35"/>
  <c r="AU153" i="35"/>
  <c r="AV152" i="35"/>
  <c r="AV153" i="35"/>
  <c r="AW152" i="35"/>
  <c r="AW153" i="35"/>
  <c r="AX152" i="35"/>
  <c r="AX153" i="35"/>
  <c r="AQ161" i="35"/>
  <c r="AR161" i="35"/>
  <c r="AS161" i="35"/>
  <c r="AT161" i="35"/>
  <c r="AU161" i="35"/>
  <c r="AV161" i="35"/>
  <c r="AW161" i="35"/>
  <c r="AX161" i="35"/>
  <c r="AQ162" i="35"/>
  <c r="AR162" i="35"/>
  <c r="AS162" i="35"/>
  <c r="AT162" i="35"/>
  <c r="AU162" i="35"/>
  <c r="AV162" i="35"/>
  <c r="AW162" i="35"/>
  <c r="AX162" i="35"/>
  <c r="AQ163" i="35"/>
  <c r="AR163" i="35"/>
  <c r="AS163" i="35"/>
  <c r="AT163" i="35"/>
  <c r="AU163" i="35"/>
  <c r="AV163" i="35"/>
  <c r="AW163" i="35"/>
  <c r="AX163" i="35"/>
  <c r="AQ164" i="35"/>
  <c r="AQ165" i="35"/>
  <c r="AR164" i="35"/>
  <c r="AR165" i="35"/>
  <c r="AS164" i="35"/>
  <c r="AS165" i="35"/>
  <c r="AT164" i="35"/>
  <c r="AT165" i="35"/>
  <c r="AU164" i="35"/>
  <c r="AU165" i="35"/>
  <c r="AV164" i="35"/>
  <c r="AV165" i="35"/>
  <c r="AW164" i="35"/>
  <c r="AW165" i="35"/>
  <c r="AX164" i="35"/>
  <c r="AX165" i="35"/>
  <c r="AQ173" i="35"/>
  <c r="AR173" i="35"/>
  <c r="AS173" i="35"/>
  <c r="AT173" i="35"/>
  <c r="AU173" i="35"/>
  <c r="AV173" i="35"/>
  <c r="AW173" i="35"/>
  <c r="AX173" i="35"/>
  <c r="AQ174" i="35"/>
  <c r="AR174" i="35"/>
  <c r="AS174" i="35"/>
  <c r="AT174" i="35"/>
  <c r="AU174" i="35"/>
  <c r="AV174" i="35"/>
  <c r="AW174" i="35"/>
  <c r="AX174" i="35"/>
  <c r="AQ175" i="35"/>
  <c r="AR175" i="35"/>
  <c r="AS175" i="35"/>
  <c r="AT175" i="35"/>
  <c r="AU175" i="35"/>
  <c r="AV175" i="35"/>
  <c r="AW175" i="35"/>
  <c r="AX175" i="35"/>
  <c r="AQ176" i="35"/>
  <c r="AQ177" i="35"/>
  <c r="AR176" i="35"/>
  <c r="AR177" i="35"/>
  <c r="AS176" i="35"/>
  <c r="AS177" i="35"/>
  <c r="AT176" i="35"/>
  <c r="AT177" i="35"/>
  <c r="AU176" i="35"/>
  <c r="AU177" i="35"/>
  <c r="AV176" i="35"/>
  <c r="AV177" i="35"/>
  <c r="AW176" i="35"/>
  <c r="AW177" i="35"/>
  <c r="AX176" i="35"/>
  <c r="AX177" i="35"/>
  <c r="AQ184" i="35"/>
  <c r="AR184" i="35"/>
  <c r="AS184" i="35"/>
  <c r="AT184" i="35"/>
  <c r="AU184" i="35"/>
  <c r="AV184" i="35"/>
  <c r="AW184" i="35"/>
  <c r="AX184" i="35"/>
  <c r="AQ185" i="35"/>
  <c r="AR185" i="35"/>
  <c r="AS185" i="35"/>
  <c r="AT185" i="35"/>
  <c r="AU185" i="35"/>
  <c r="AV185" i="35"/>
  <c r="AW185" i="35"/>
  <c r="AX185" i="35"/>
  <c r="AQ186" i="35"/>
  <c r="AQ187" i="35"/>
  <c r="AR186" i="35"/>
  <c r="AR187" i="35"/>
  <c r="AS186" i="35"/>
  <c r="AS187" i="35"/>
  <c r="AT186" i="35"/>
  <c r="AT187" i="35"/>
  <c r="AU186" i="35"/>
  <c r="AU187" i="35"/>
  <c r="AV186" i="35"/>
  <c r="AV187" i="35"/>
  <c r="AW186" i="35"/>
  <c r="AW187" i="35"/>
  <c r="AX186" i="35"/>
  <c r="AX187" i="35"/>
  <c r="AQ194" i="35"/>
  <c r="AR194" i="35"/>
  <c r="AS194" i="35"/>
  <c r="AT194" i="35"/>
  <c r="AU194" i="35"/>
  <c r="AV194" i="35"/>
  <c r="AW194" i="35"/>
  <c r="AX194" i="35"/>
  <c r="AQ195" i="35"/>
  <c r="AR195" i="35"/>
  <c r="AS195" i="35"/>
  <c r="AT195" i="35"/>
  <c r="AU195" i="35"/>
  <c r="AV195" i="35"/>
  <c r="AW195" i="35"/>
  <c r="AX195" i="35"/>
  <c r="AQ196" i="35"/>
  <c r="AQ197" i="35"/>
  <c r="AR196" i="35"/>
  <c r="AR197" i="35"/>
  <c r="AS196" i="35"/>
  <c r="AS197" i="35"/>
  <c r="AT196" i="35"/>
  <c r="AT197" i="35"/>
  <c r="AU196" i="35"/>
  <c r="AU197" i="35"/>
  <c r="AV196" i="35"/>
  <c r="AV197" i="35"/>
  <c r="AW196" i="35"/>
  <c r="AW197" i="35"/>
  <c r="AX196" i="35"/>
  <c r="AX197" i="35"/>
  <c r="AQ205" i="35"/>
  <c r="AR205" i="35"/>
  <c r="AS205" i="35"/>
  <c r="AT205" i="35"/>
  <c r="AU205" i="35"/>
  <c r="AV205" i="35"/>
  <c r="AW205" i="35"/>
  <c r="AX205" i="35"/>
  <c r="AQ206" i="35"/>
  <c r="AR206" i="35"/>
  <c r="AS206" i="35"/>
  <c r="AT206" i="35"/>
  <c r="AU206" i="35"/>
  <c r="AV206" i="35"/>
  <c r="AW206" i="35"/>
  <c r="AX206" i="35"/>
  <c r="AQ207" i="35"/>
  <c r="AR207" i="35"/>
  <c r="AS207" i="35"/>
  <c r="AT207" i="35"/>
  <c r="AU207" i="35"/>
  <c r="AV207" i="35"/>
  <c r="AW207" i="35"/>
  <c r="AX207" i="35"/>
  <c r="AQ208" i="35"/>
  <c r="AQ209" i="35"/>
  <c r="AR208" i="35"/>
  <c r="AR209" i="35"/>
  <c r="AS208" i="35"/>
  <c r="AS209" i="35"/>
  <c r="AT208" i="35"/>
  <c r="AT209" i="35"/>
  <c r="AU208" i="35"/>
  <c r="AU209" i="35"/>
  <c r="AV208" i="35"/>
  <c r="AV209" i="35"/>
  <c r="AW208" i="35"/>
  <c r="AW209" i="35"/>
  <c r="AX208" i="35"/>
  <c r="AX209" i="35"/>
  <c r="X1" i="2"/>
  <c r="AR7" i="33"/>
  <c r="AR8" i="33"/>
  <c r="AR128" i="33"/>
  <c r="AP7" i="33"/>
  <c r="AQ7" i="33"/>
  <c r="AP8" i="33"/>
  <c r="AQ8" i="33"/>
  <c r="AR104" i="33"/>
  <c r="AR152" i="33"/>
  <c r="AQ32" i="33"/>
  <c r="AQ31" i="33"/>
  <c r="AQ56" i="33"/>
  <c r="AQ152" i="33"/>
  <c r="AQ151" i="33"/>
  <c r="AR188" i="33"/>
  <c r="AR187" i="33"/>
  <c r="AQ55" i="33"/>
  <c r="AQ163" i="33"/>
  <c r="AP91" i="33"/>
  <c r="AP127" i="33"/>
  <c r="AQ67" i="33"/>
  <c r="AQ68" i="33"/>
  <c r="AR55" i="33"/>
  <c r="AR56" i="33"/>
  <c r="AO116" i="36"/>
  <c r="AQ37" i="36"/>
  <c r="AQ38" i="36"/>
  <c r="AR176" i="33"/>
  <c r="AR175" i="33"/>
  <c r="AR181" i="33"/>
  <c r="AR182" i="33"/>
  <c r="AR49" i="36"/>
  <c r="AR50" i="36"/>
  <c r="AP151" i="33"/>
  <c r="AP152" i="33"/>
  <c r="AP121" i="36"/>
  <c r="AP122" i="36"/>
  <c r="AR161" i="36"/>
  <c r="AR168" i="36"/>
  <c r="AP25" i="36"/>
  <c r="AP26" i="36"/>
  <c r="AP32" i="36"/>
  <c r="AP37" i="36"/>
  <c r="AP38" i="36"/>
  <c r="AS89" i="36"/>
  <c r="AS96" i="36"/>
  <c r="AO32" i="36"/>
  <c r="AO67" i="36"/>
  <c r="AQ236" i="36"/>
  <c r="AQ235" i="36"/>
  <c r="AO175" i="36"/>
  <c r="AO73" i="36"/>
  <c r="AO74" i="36"/>
  <c r="AO68" i="36"/>
  <c r="AO65" i="36"/>
  <c r="AO72" i="36"/>
  <c r="AP41" i="36"/>
  <c r="AP48" i="36"/>
  <c r="AP241" i="36"/>
  <c r="AP242" i="36"/>
  <c r="AQ89" i="36"/>
  <c r="AQ96" i="36"/>
  <c r="AP139" i="36"/>
  <c r="AQ101" i="36"/>
  <c r="AQ108" i="36"/>
  <c r="AO188" i="36"/>
  <c r="AQ128" i="33"/>
  <c r="AR145" i="33"/>
  <c r="AR146" i="33"/>
  <c r="AP49" i="33"/>
  <c r="AP50" i="33"/>
  <c r="AP116" i="33"/>
  <c r="AP31" i="33"/>
  <c r="AP121" i="33"/>
  <c r="AP122" i="33"/>
  <c r="AR37" i="33"/>
  <c r="AR38" i="33"/>
  <c r="AP43" i="33"/>
  <c r="AP113" i="33"/>
  <c r="AP120" i="33"/>
  <c r="AR205" i="33"/>
  <c r="AR206" i="33"/>
  <c r="AR140" i="33"/>
  <c r="AQ115" i="33"/>
  <c r="AR137" i="33"/>
  <c r="AR144" i="33"/>
  <c r="AP41" i="33"/>
  <c r="AP48" i="33"/>
  <c r="AP161" i="33"/>
  <c r="AP168" i="33"/>
  <c r="AP44" i="33"/>
  <c r="AQ116" i="33"/>
  <c r="AR68" i="33"/>
  <c r="AR73" i="33"/>
  <c r="AR74" i="33"/>
  <c r="AR67" i="33"/>
  <c r="AR163" i="33"/>
  <c r="AP205" i="33"/>
  <c r="AP206" i="33"/>
  <c r="AP200" i="33"/>
  <c r="AP197" i="33"/>
  <c r="AP204" i="33"/>
  <c r="AP56" i="33"/>
  <c r="AP55" i="33"/>
  <c r="AP53" i="33"/>
  <c r="AP60" i="33"/>
  <c r="AQ79" i="33"/>
  <c r="AQ173" i="33"/>
  <c r="AQ180" i="33"/>
  <c r="AQ181" i="33"/>
  <c r="AQ182" i="33"/>
  <c r="AQ175" i="33"/>
  <c r="AR19" i="33"/>
  <c r="AR25" i="33"/>
  <c r="AR26" i="33"/>
  <c r="AQ176" i="33"/>
  <c r="AQ139" i="33"/>
  <c r="AQ140" i="33"/>
  <c r="AR20" i="33"/>
  <c r="AQ200" i="33"/>
  <c r="AQ205" i="33"/>
  <c r="AQ206" i="33"/>
  <c r="AQ199" i="33"/>
  <c r="AP79" i="33"/>
  <c r="AR29" i="33"/>
  <c r="AR36" i="33"/>
  <c r="AR17" i="33"/>
  <c r="AR24" i="33"/>
  <c r="AP61" i="33"/>
  <c r="AP62" i="33"/>
  <c r="AP140" i="33"/>
  <c r="AP145" i="33"/>
  <c r="AP146" i="33"/>
  <c r="AR169" i="33"/>
  <c r="AR170" i="33"/>
  <c r="AR197" i="33"/>
  <c r="AR204" i="33"/>
  <c r="AR200" i="33"/>
  <c r="AP139" i="33"/>
  <c r="AP80" i="33"/>
  <c r="AR85" i="33"/>
  <c r="AR86" i="33"/>
  <c r="AQ77" i="33"/>
  <c r="AQ84" i="33"/>
  <c r="AR91" i="33"/>
  <c r="AR97" i="33"/>
  <c r="AR98" i="33"/>
  <c r="AR92" i="33"/>
  <c r="AP65" i="33"/>
  <c r="AP72" i="33"/>
  <c r="AP68" i="33"/>
  <c r="AR164" i="33"/>
  <c r="AP137" i="33"/>
  <c r="AP144" i="33"/>
  <c r="AP77" i="33"/>
  <c r="AP84" i="33"/>
  <c r="AR77" i="33"/>
  <c r="AR84" i="33"/>
  <c r="AR80" i="33"/>
  <c r="AR79" i="33"/>
  <c r="AP199" i="33"/>
  <c r="AR103" i="33"/>
  <c r="AQ121" i="33"/>
  <c r="AQ122" i="33"/>
  <c r="AR109" i="33"/>
  <c r="AR110" i="33"/>
  <c r="AP188" i="33"/>
  <c r="AQ97" i="33"/>
  <c r="AQ98" i="33"/>
  <c r="AS79" i="36"/>
  <c r="AR277" i="33"/>
  <c r="AR278" i="33"/>
  <c r="AR272" i="33"/>
  <c r="AO37" i="34"/>
  <c r="AO38" i="34"/>
  <c r="AO29" i="34"/>
  <c r="AO36" i="34"/>
  <c r="AQ41" i="34"/>
  <c r="AQ48" i="34"/>
  <c r="AR20" i="34"/>
  <c r="AR317" i="33"/>
  <c r="AR324" i="33"/>
  <c r="AP325" i="33"/>
  <c r="AP326" i="33"/>
  <c r="AP320" i="33"/>
  <c r="AP317" i="33"/>
  <c r="AP324" i="33"/>
  <c r="AQ80" i="33"/>
  <c r="AQ85" i="33"/>
  <c r="AQ86" i="33"/>
  <c r="AP319" i="33"/>
  <c r="AP85" i="33"/>
  <c r="AP86" i="33"/>
  <c r="AN25" i="34"/>
  <c r="AN26" i="34"/>
  <c r="AN19" i="34"/>
  <c r="AR368" i="33"/>
  <c r="AR365" i="33"/>
  <c r="AR372" i="33"/>
  <c r="AP373" i="33"/>
  <c r="AP374" i="33"/>
  <c r="AP248" i="33"/>
  <c r="AQ272" i="33"/>
  <c r="AM17" i="34"/>
  <c r="AM24" i="34"/>
  <c r="AM19" i="34"/>
  <c r="AR43" i="34"/>
  <c r="AP241" i="33"/>
  <c r="AP242" i="33"/>
  <c r="AR343" i="33"/>
  <c r="AR341" i="33"/>
  <c r="AR348" i="33"/>
  <c r="AQ277" i="33"/>
  <c r="AQ278" i="33"/>
  <c r="AP365" i="33"/>
  <c r="AP372" i="33"/>
  <c r="AP356" i="33"/>
  <c r="AR41" i="34"/>
  <c r="AR48" i="34"/>
  <c r="AR295" i="33"/>
  <c r="AR233" i="33"/>
  <c r="AR240" i="33"/>
  <c r="AQ296" i="33"/>
  <c r="AQ293" i="33"/>
  <c r="AQ300" i="33"/>
  <c r="AQ332" i="33"/>
  <c r="AQ331" i="33"/>
  <c r="AP295" i="33"/>
  <c r="AP301" i="33"/>
  <c r="AP302" i="33"/>
  <c r="AP331" i="33"/>
  <c r="AR293" i="33"/>
  <c r="AR300" i="33"/>
  <c r="AM20" i="34"/>
  <c r="AM37" i="34"/>
  <c r="AM38" i="34"/>
  <c r="AM31" i="34"/>
  <c r="AS224" i="36"/>
  <c r="A17" i="35"/>
  <c r="A82" i="35"/>
  <c r="A196" i="35"/>
  <c r="A194" i="35"/>
  <c r="A197" i="35"/>
  <c r="A142" i="35"/>
  <c r="A192" i="35"/>
  <c r="A140" i="35"/>
  <c r="A132" i="35"/>
  <c r="A161" i="35"/>
  <c r="U2" i="35"/>
  <c r="A185" i="35"/>
  <c r="A164" i="35"/>
  <c r="A165" i="35"/>
  <c r="A42" i="35"/>
  <c r="A162" i="35"/>
  <c r="A152" i="35"/>
  <c r="A22" i="35"/>
  <c r="A23" i="35"/>
  <c r="A158" i="35"/>
  <c r="A141" i="35"/>
  <c r="A111" i="35"/>
  <c r="A118" i="35"/>
  <c r="A138" i="35"/>
  <c r="A128" i="35"/>
  <c r="A131" i="35"/>
  <c r="A130" i="35"/>
  <c r="A195" i="35"/>
  <c r="A182" i="35"/>
  <c r="A176" i="35"/>
  <c r="A62" i="35"/>
  <c r="A102" i="35"/>
  <c r="A52" i="35"/>
  <c r="A12" i="35"/>
  <c r="A72" i="35"/>
  <c r="A71" i="35"/>
  <c r="A92" i="35"/>
  <c r="A31" i="35"/>
  <c r="A27" i="35"/>
  <c r="A100" i="35"/>
  <c r="A11" i="35"/>
  <c r="A41" i="35"/>
  <c r="A91" i="35"/>
  <c r="A101" i="35"/>
  <c r="A103" i="35"/>
  <c r="A98" i="35"/>
  <c r="A61" i="35"/>
  <c r="A51" i="35"/>
  <c r="A60" i="35"/>
  <c r="A63" i="35"/>
  <c r="AP77" i="36"/>
  <c r="AP84" i="36"/>
  <c r="AP80" i="36"/>
  <c r="AP79" i="36"/>
  <c r="AP85" i="36"/>
  <c r="AP86" i="36"/>
  <c r="AO92" i="36"/>
  <c r="AO97" i="36"/>
  <c r="AO98" i="36"/>
  <c r="AO89" i="36"/>
  <c r="AO96" i="36"/>
  <c r="AR200" i="36"/>
  <c r="AR205" i="36"/>
  <c r="AR206" i="36"/>
  <c r="AO224" i="36"/>
  <c r="AO229" i="36"/>
  <c r="AO230" i="36"/>
  <c r="AO221" i="36"/>
  <c r="AO228" i="36"/>
  <c r="AS137" i="36"/>
  <c r="AS144" i="36"/>
  <c r="AS145" i="36"/>
  <c r="AS146" i="36"/>
  <c r="AS140" i="36"/>
  <c r="AS248" i="36"/>
  <c r="AQ199" i="36"/>
  <c r="AQ205" i="36"/>
  <c r="AQ206" i="36"/>
  <c r="AQ197" i="36"/>
  <c r="AQ204" i="36"/>
  <c r="AQ200" i="36"/>
  <c r="AR164" i="36"/>
  <c r="AR170" i="36"/>
  <c r="AQ56" i="36"/>
  <c r="AP91" i="36"/>
  <c r="AP97" i="36"/>
  <c r="AP98" i="36"/>
  <c r="AQ169" i="36"/>
  <c r="AQ170" i="36"/>
  <c r="AQ164" i="36"/>
  <c r="AQ163" i="36"/>
  <c r="AQ161" i="36"/>
  <c r="AQ168" i="36"/>
  <c r="AR104" i="36"/>
  <c r="AS32" i="36"/>
  <c r="AS31" i="36"/>
  <c r="AQ73" i="36"/>
  <c r="AQ74" i="36"/>
  <c r="AS41" i="36"/>
  <c r="AS48" i="36"/>
  <c r="AS44" i="36"/>
  <c r="AR140" i="36"/>
  <c r="AR137" i="36"/>
  <c r="AR144" i="36"/>
  <c r="AR247" i="36"/>
  <c r="AR253" i="36"/>
  <c r="AR254" i="36"/>
  <c r="AR248" i="36"/>
  <c r="AP133" i="36"/>
  <c r="AP134" i="36"/>
  <c r="AP53" i="36"/>
  <c r="AP60" i="36"/>
  <c r="AS103" i="36"/>
  <c r="AS109" i="36"/>
  <c r="AS110" i="36"/>
  <c r="AQ145" i="36"/>
  <c r="AQ146" i="36"/>
  <c r="AQ187" i="36"/>
  <c r="AQ185" i="36"/>
  <c r="AQ192" i="36"/>
  <c r="AQ188" i="36"/>
  <c r="AS104" i="36"/>
  <c r="AP173" i="33"/>
  <c r="AP180" i="33"/>
  <c r="AP181" i="33"/>
  <c r="AP182" i="33"/>
  <c r="AP175" i="33"/>
  <c r="AP176" i="33"/>
  <c r="AP257" i="33"/>
  <c r="AP264" i="33"/>
  <c r="AP260" i="33"/>
  <c r="AP265" i="33"/>
  <c r="AP266" i="33"/>
  <c r="AQ103" i="33"/>
  <c r="AQ101" i="33"/>
  <c r="AQ108" i="33"/>
  <c r="AQ104" i="33"/>
  <c r="AQ20" i="33"/>
  <c r="AQ25" i="33"/>
  <c r="AQ26" i="33"/>
  <c r="AQ17" i="33"/>
  <c r="AQ24" i="33"/>
  <c r="AQ19" i="33"/>
  <c r="AR44" i="33"/>
  <c r="AR43" i="33"/>
  <c r="AR41" i="33"/>
  <c r="AR48" i="33"/>
  <c r="AR49" i="33"/>
  <c r="AR50" i="33"/>
  <c r="AQ197" i="33"/>
  <c r="AQ204" i="33"/>
  <c r="AQ325" i="33"/>
  <c r="AQ326" i="33"/>
  <c r="AQ319" i="33"/>
  <c r="AQ320" i="33"/>
  <c r="A10" i="33"/>
  <c r="AR253" i="33"/>
  <c r="AR254" i="33"/>
  <c r="AR247" i="33"/>
  <c r="AR248" i="33"/>
  <c r="AP103" i="33"/>
  <c r="AP104" i="33"/>
  <c r="AP109" i="33"/>
  <c r="AP110" i="33"/>
  <c r="AP101" i="33"/>
  <c r="AP108" i="33"/>
  <c r="AQ317" i="33"/>
  <c r="AQ324" i="33"/>
  <c r="AR115" i="33"/>
  <c r="AR116" i="33"/>
  <c r="AR113" i="33"/>
  <c r="AR120" i="33"/>
  <c r="AP17" i="33"/>
  <c r="AP24" i="33"/>
  <c r="AP20" i="33"/>
  <c r="AP25" i="33"/>
  <c r="AP26" i="33"/>
  <c r="AR121" i="33"/>
  <c r="AR122" i="33"/>
  <c r="AQ49" i="33"/>
  <c r="AQ50" i="33"/>
  <c r="AQ43" i="33"/>
  <c r="AQ41" i="33"/>
  <c r="AQ48" i="33"/>
  <c r="AQ235" i="33"/>
  <c r="AQ241" i="33"/>
  <c r="AQ242" i="33"/>
  <c r="AQ233" i="33"/>
  <c r="AQ240" i="33"/>
  <c r="AQ236" i="33"/>
  <c r="AQ185" i="33"/>
  <c r="AQ192" i="33"/>
  <c r="AQ193" i="33"/>
  <c r="AQ194" i="33"/>
  <c r="A214" i="33"/>
  <c r="AR271" i="33"/>
  <c r="AQ229" i="33"/>
  <c r="AQ230" i="33"/>
  <c r="AR355" i="33"/>
  <c r="AR361" i="33"/>
  <c r="AR362" i="33"/>
  <c r="AR353" i="33"/>
  <c r="AR360" i="33"/>
  <c r="AR125" i="33"/>
  <c r="AR132" i="33"/>
  <c r="AR127" i="33"/>
  <c r="AR223" i="33"/>
  <c r="AQ367" i="33"/>
  <c r="AQ368" i="33"/>
  <c r="AQ187" i="33"/>
  <c r="AP187" i="33"/>
  <c r="AQ253" i="33"/>
  <c r="AQ254" i="33"/>
  <c r="AQ245" i="33"/>
  <c r="AQ252" i="33"/>
  <c r="AQ247" i="33"/>
  <c r="AR313" i="33"/>
  <c r="AR314" i="33"/>
  <c r="AR308" i="33"/>
  <c r="AP341" i="33"/>
  <c r="AP348" i="33"/>
  <c r="AP343" i="33"/>
  <c r="AQ223" i="33"/>
  <c r="AQ308" i="33"/>
  <c r="AQ305" i="33"/>
  <c r="AQ312" i="33"/>
  <c r="AP308" i="33"/>
  <c r="AP307" i="33"/>
  <c r="AP313" i="33"/>
  <c r="AP314" i="33"/>
  <c r="AP305" i="33"/>
  <c r="AP312" i="33"/>
  <c r="AR133" i="33"/>
  <c r="AR134" i="33"/>
  <c r="AQ373" i="33"/>
  <c r="AQ374" i="33"/>
  <c r="AP337" i="33"/>
  <c r="AP338" i="33"/>
  <c r="AQ295" i="33"/>
  <c r="AQ89" i="33"/>
  <c r="AQ96" i="33"/>
  <c r="AQ91" i="33"/>
  <c r="AQ92" i="33"/>
  <c r="AP128" i="33"/>
  <c r="AP133" i="33"/>
  <c r="AP134" i="33"/>
  <c r="AP163" i="33"/>
  <c r="AP344" i="33"/>
  <c r="AR319" i="33"/>
  <c r="AR320" i="33"/>
  <c r="AR325" i="33"/>
  <c r="AR326" i="33"/>
  <c r="AP157" i="33"/>
  <c r="AP158" i="33"/>
  <c r="AP149" i="33"/>
  <c r="AP156" i="33"/>
  <c r="AQ349" i="33"/>
  <c r="AQ350" i="33"/>
  <c r="AQ221" i="33"/>
  <c r="AQ228" i="33"/>
  <c r="AR199" i="33"/>
  <c r="AR329" i="33"/>
  <c r="AR336" i="33"/>
  <c r="A84" i="33"/>
  <c r="A23" i="33"/>
  <c r="AN31" i="34"/>
  <c r="AS25" i="34"/>
  <c r="AS26" i="34"/>
  <c r="AS19" i="34"/>
  <c r="AO49" i="34"/>
  <c r="AO50" i="34"/>
  <c r="AO43" i="34"/>
  <c r="AO44" i="34"/>
  <c r="AO41" i="34"/>
  <c r="AO48" i="34"/>
  <c r="AQ32" i="34"/>
  <c r="AP19" i="34"/>
  <c r="AN29" i="34"/>
  <c r="AN36" i="34"/>
  <c r="AQ29" i="34"/>
  <c r="AQ36" i="34"/>
  <c r="AR17" i="34"/>
  <c r="AR24" i="34"/>
  <c r="AR19" i="34"/>
  <c r="AR25" i="34"/>
  <c r="AR26" i="34"/>
  <c r="AQ31" i="34"/>
  <c r="AO19" i="34"/>
  <c r="AO20" i="34"/>
  <c r="A10" i="34"/>
  <c r="A143" i="35"/>
  <c r="O2" i="35"/>
  <c r="A133" i="35"/>
  <c r="A226" i="33"/>
  <c r="A288" i="33"/>
  <c r="A94" i="34"/>
  <c r="A132" i="34"/>
  <c r="A94" i="33"/>
  <c r="A311" i="33"/>
  <c r="A299" i="33"/>
  <c r="A178" i="33"/>
  <c r="A359" i="33"/>
  <c r="A371" i="33"/>
  <c r="A283" i="33"/>
  <c r="A372" i="33"/>
  <c r="A331" i="33"/>
  <c r="A300" i="33"/>
  <c r="A323" i="33"/>
  <c r="A82" i="33"/>
  <c r="A324" i="33"/>
  <c r="A373" i="33"/>
  <c r="A374" i="33"/>
  <c r="A347" i="33"/>
  <c r="A335" i="33"/>
  <c r="A360" i="33"/>
  <c r="A287" i="33"/>
  <c r="A348" i="33"/>
  <c r="A312" i="33"/>
  <c r="A336" i="33"/>
  <c r="A361" i="33"/>
  <c r="A362" i="33"/>
  <c r="A349" i="33"/>
  <c r="A350" i="33"/>
  <c r="A313" i="33"/>
  <c r="A314" i="33"/>
  <c r="A337" i="33"/>
  <c r="A338" i="33"/>
  <c r="A289" i="33"/>
  <c r="A290" i="33"/>
  <c r="A301" i="33"/>
  <c r="A302" i="33"/>
  <c r="A325" i="33"/>
  <c r="A326" i="33"/>
  <c r="AO127" i="36"/>
  <c r="AO103" i="36"/>
  <c r="AO125" i="36"/>
  <c r="AO132" i="36"/>
  <c r="AP199" i="36"/>
  <c r="AS163" i="36"/>
  <c r="AP200" i="36"/>
  <c r="AP176" i="36"/>
  <c r="AP175" i="36"/>
  <c r="AQ29" i="36"/>
  <c r="AQ36" i="36"/>
  <c r="AQ31" i="36"/>
  <c r="AR91" i="36"/>
  <c r="AR97" i="36"/>
  <c r="AR98" i="36"/>
  <c r="AS197" i="36"/>
  <c r="AS204" i="36"/>
  <c r="AQ41" i="36"/>
  <c r="AQ48" i="36"/>
  <c r="AQ43" i="36"/>
  <c r="AQ49" i="36"/>
  <c r="AQ50" i="36"/>
  <c r="AQ97" i="36"/>
  <c r="AQ98" i="36"/>
  <c r="AQ91" i="36"/>
  <c r="AP197" i="36"/>
  <c r="AP204" i="36"/>
  <c r="AO109" i="36"/>
  <c r="AO110" i="36"/>
  <c r="AQ92" i="36"/>
  <c r="AR41" i="36"/>
  <c r="AR48" i="36"/>
  <c r="AR44" i="36"/>
  <c r="AR163" i="36"/>
  <c r="AQ32" i="36"/>
  <c r="AP49" i="36"/>
  <c r="AP50" i="36"/>
  <c r="AS43" i="36"/>
  <c r="AS49" i="36"/>
  <c r="AS50" i="36"/>
  <c r="AQ77" i="36"/>
  <c r="AQ84" i="36"/>
  <c r="AQ85" i="36"/>
  <c r="AQ86" i="36"/>
  <c r="AQ61" i="36"/>
  <c r="AQ62" i="36"/>
  <c r="AQ53" i="36"/>
  <c r="AQ60" i="36"/>
  <c r="AQ55" i="36"/>
  <c r="AQ103" i="36"/>
  <c r="AQ104" i="36"/>
  <c r="AS173" i="36"/>
  <c r="AS180" i="36"/>
  <c r="AS181" i="36"/>
  <c r="AS182" i="36"/>
  <c r="AP236" i="36"/>
  <c r="AP55" i="36"/>
  <c r="AP61" i="36"/>
  <c r="AP62" i="36"/>
  <c r="AP56" i="36"/>
  <c r="AO185" i="36"/>
  <c r="AO192" i="36"/>
  <c r="AO193" i="36"/>
  <c r="AO194" i="36"/>
  <c r="AO187" i="36"/>
  <c r="AS185" i="36"/>
  <c r="AS192" i="36"/>
  <c r="AS188" i="36"/>
  <c r="AR56" i="36"/>
  <c r="AR55" i="36"/>
  <c r="AR61" i="36"/>
  <c r="AR62" i="36"/>
  <c r="AR127" i="36"/>
  <c r="AR128" i="36"/>
  <c r="AO164" i="36"/>
  <c r="AO163" i="36"/>
  <c r="AO169" i="36"/>
  <c r="AO170" i="36"/>
  <c r="AS61" i="36"/>
  <c r="AS62" i="36"/>
  <c r="AS55" i="36"/>
  <c r="AS56" i="36"/>
  <c r="AQ211" i="36"/>
  <c r="AQ212" i="36"/>
  <c r="AQ209" i="36"/>
  <c r="AQ216" i="36"/>
  <c r="AQ217" i="36"/>
  <c r="AQ218" i="36"/>
  <c r="AR185" i="36"/>
  <c r="AR192" i="36"/>
  <c r="AR188" i="36"/>
  <c r="AR211" i="36"/>
  <c r="AR103" i="36"/>
  <c r="AR109" i="36"/>
  <c r="AR110" i="36"/>
  <c r="AS193" i="36"/>
  <c r="AS194" i="36"/>
  <c r="AQ149" i="36"/>
  <c r="AQ156" i="36"/>
  <c r="AR221" i="36"/>
  <c r="AR228" i="36"/>
  <c r="AR224" i="36"/>
  <c r="AO77" i="36"/>
  <c r="AO84" i="36"/>
  <c r="AO133" i="36"/>
  <c r="AO134" i="36"/>
  <c r="AP101" i="36"/>
  <c r="AP108" i="36"/>
  <c r="AP103" i="36"/>
  <c r="AQ175" i="36"/>
  <c r="AQ176" i="36"/>
  <c r="AO79" i="36"/>
  <c r="AP149" i="36"/>
  <c r="AP156" i="36"/>
  <c r="AP157" i="36"/>
  <c r="AP158" i="36"/>
  <c r="AO85" i="36"/>
  <c r="AO86" i="36"/>
  <c r="AR53" i="36"/>
  <c r="AR60" i="36"/>
  <c r="AS77" i="36"/>
  <c r="AS84" i="36"/>
  <c r="E133" i="2"/>
  <c r="AP224" i="36"/>
  <c r="AR197" i="36"/>
  <c r="AR204" i="36"/>
  <c r="AP221" i="36"/>
  <c r="AP228" i="36"/>
  <c r="AO151" i="36"/>
  <c r="AO157" i="36"/>
  <c r="AO158" i="36"/>
  <c r="AO152" i="36"/>
  <c r="AO149" i="36"/>
  <c r="AO156" i="36"/>
  <c r="AS73" i="36"/>
  <c r="AS74" i="36"/>
  <c r="AS65" i="36"/>
  <c r="AS72" i="36"/>
  <c r="AQ248" i="36"/>
  <c r="AQ247" i="36"/>
  <c r="AQ253" i="36"/>
  <c r="AQ254" i="36"/>
  <c r="AS20" i="36"/>
  <c r="AS17" i="36"/>
  <c r="AS24" i="36"/>
  <c r="AS19" i="36"/>
  <c r="AR116" i="36"/>
  <c r="AR115" i="36"/>
  <c r="AR121" i="36"/>
  <c r="AR122" i="36"/>
  <c r="AR113" i="36"/>
  <c r="AR120" i="36"/>
  <c r="AR31" i="36"/>
  <c r="AR37" i="36"/>
  <c r="AR38" i="36"/>
  <c r="AR32" i="36"/>
  <c r="AR29" i="36"/>
  <c r="AR36" i="36"/>
  <c r="AR25" i="36"/>
  <c r="AR26" i="36"/>
  <c r="AO199" i="36"/>
  <c r="AS67" i="36"/>
  <c r="AQ19" i="36"/>
  <c r="AO197" i="36"/>
  <c r="AO204" i="36"/>
  <c r="AS68" i="36"/>
  <c r="AO247" i="36"/>
  <c r="AO253" i="36"/>
  <c r="AO254" i="36"/>
  <c r="AO248" i="36"/>
  <c r="AS25" i="36"/>
  <c r="AS26" i="36"/>
  <c r="AO200" i="36"/>
  <c r="AQ17" i="36"/>
  <c r="AQ24" i="36"/>
  <c r="AS115" i="36"/>
  <c r="AO49" i="36"/>
  <c r="AO50" i="36"/>
  <c r="AO44" i="36"/>
  <c r="AO41" i="36"/>
  <c r="AO48" i="36"/>
  <c r="AO43" i="36"/>
  <c r="AS211" i="36"/>
  <c r="AS217" i="36"/>
  <c r="AS218" i="36"/>
  <c r="AS209" i="36"/>
  <c r="AS216" i="36"/>
  <c r="AS212" i="36"/>
  <c r="AP247" i="36"/>
  <c r="AS29" i="36"/>
  <c r="AS36" i="36"/>
  <c r="A10" i="36"/>
  <c r="AQ25" i="36"/>
  <c r="AQ26" i="36"/>
  <c r="AQ20" i="36"/>
  <c r="AP248" i="36"/>
  <c r="AP20" i="36"/>
  <c r="AP19" i="36"/>
  <c r="AP17" i="36"/>
  <c r="AP24" i="36"/>
  <c r="AO25" i="36"/>
  <c r="AO26" i="36"/>
  <c r="AO19" i="36"/>
  <c r="AO17" i="36"/>
  <c r="AO24" i="36"/>
  <c r="AO20" i="36"/>
  <c r="AR209" i="36"/>
  <c r="AR216" i="36"/>
  <c r="AR212" i="36"/>
  <c r="AQ133" i="36"/>
  <c r="AQ134" i="36"/>
  <c r="AQ125" i="36"/>
  <c r="AQ132" i="36"/>
  <c r="AQ127" i="36"/>
  <c r="AQ128" i="36"/>
  <c r="AO29" i="36"/>
  <c r="AO36" i="36"/>
  <c r="AO37" i="36"/>
  <c r="AO38" i="36"/>
  <c r="AO31" i="36"/>
  <c r="AS241" i="36"/>
  <c r="AS242" i="36"/>
  <c r="AS236" i="36"/>
  <c r="AS235" i="36"/>
  <c r="AR176" i="36"/>
  <c r="AR175" i="36"/>
  <c r="AR181" i="36"/>
  <c r="AR182" i="36"/>
  <c r="AP217" i="36"/>
  <c r="AP218" i="36"/>
  <c r="AP211" i="36"/>
  <c r="AP209" i="36"/>
  <c r="AP216" i="36"/>
  <c r="AP212" i="36"/>
  <c r="AS187" i="36"/>
  <c r="AR235" i="36"/>
  <c r="AR236" i="36"/>
  <c r="AR187" i="36"/>
  <c r="AR193" i="36"/>
  <c r="AR194" i="36"/>
  <c r="AO101" i="36"/>
  <c r="AO108" i="36"/>
  <c r="AO104" i="36"/>
  <c r="AP181" i="36"/>
  <c r="AP182" i="36"/>
  <c r="AP173" i="36"/>
  <c r="AP180" i="36"/>
  <c r="AQ152" i="36"/>
  <c r="AQ151" i="36"/>
  <c r="AQ157" i="36"/>
  <c r="AQ158" i="36"/>
  <c r="AS221" i="36"/>
  <c r="AS228" i="36"/>
  <c r="AS229" i="36"/>
  <c r="AS230" i="36"/>
  <c r="AS223" i="36"/>
  <c r="AO173" i="36"/>
  <c r="AO180" i="36"/>
  <c r="AO181" i="36"/>
  <c r="AO182" i="36"/>
  <c r="AR223" i="36"/>
  <c r="AR229" i="36"/>
  <c r="AR230" i="36"/>
  <c r="AP104" i="36"/>
  <c r="AQ181" i="36"/>
  <c r="AQ182" i="36"/>
  <c r="AQ173" i="36"/>
  <c r="AQ180" i="36"/>
  <c r="AS85" i="36"/>
  <c r="AS86" i="36"/>
  <c r="AS80" i="36"/>
  <c r="AQ115" i="36"/>
  <c r="AQ113" i="36"/>
  <c r="AQ120" i="36"/>
  <c r="AP115" i="36"/>
  <c r="AP116" i="36"/>
  <c r="AP113" i="36"/>
  <c r="AP120" i="36"/>
  <c r="AS91" i="36"/>
  <c r="AS92" i="36"/>
  <c r="AS97" i="36"/>
  <c r="AS98" i="36"/>
  <c r="AR92" i="36"/>
  <c r="AR89" i="36"/>
  <c r="AR96" i="36"/>
  <c r="AQ109" i="36"/>
  <c r="AQ110" i="36"/>
  <c r="AS127" i="36"/>
  <c r="AS128" i="36"/>
  <c r="AS125" i="36"/>
  <c r="AS132" i="36"/>
  <c r="A203" i="33"/>
  <c r="A167" i="33"/>
  <c r="AO56" i="36"/>
  <c r="AO55" i="36"/>
  <c r="AO61" i="36"/>
  <c r="AO62" i="36"/>
  <c r="AO53" i="36"/>
  <c r="AO60" i="36"/>
  <c r="A60" i="33"/>
  <c r="A121" i="33"/>
  <c r="AM44" i="34"/>
  <c r="AM41" i="34"/>
  <c r="AM48" i="34"/>
  <c r="AM49" i="34"/>
  <c r="AM50" i="34"/>
  <c r="AM43" i="34"/>
  <c r="A72" i="33"/>
  <c r="A96" i="33"/>
  <c r="AR133" i="36"/>
  <c r="AR134" i="36"/>
  <c r="AR125" i="36"/>
  <c r="AR132" i="36"/>
  <c r="A214" i="34"/>
  <c r="A120" i="33"/>
  <c r="A118" i="33"/>
  <c r="AR65" i="36"/>
  <c r="AR72" i="36"/>
  <c r="AR67" i="36"/>
  <c r="AR68" i="36"/>
  <c r="A262" i="34"/>
  <c r="A215" i="34"/>
  <c r="A130" i="33"/>
  <c r="AQ68" i="36"/>
  <c r="AQ67" i="36"/>
  <c r="A95" i="33"/>
  <c r="A107" i="33"/>
  <c r="AQ17" i="34"/>
  <c r="AQ24" i="34"/>
  <c r="AQ19" i="34"/>
  <c r="AQ25" i="34"/>
  <c r="AQ26" i="34"/>
  <c r="AQ20" i="34"/>
  <c r="AS205" i="36"/>
  <c r="AS206" i="36"/>
  <c r="AS200" i="36"/>
  <c r="AR31" i="34"/>
  <c r="AR32" i="34"/>
  <c r="AR37" i="34"/>
  <c r="AR38" i="34"/>
  <c r="AR29" i="34"/>
  <c r="AR36" i="34"/>
  <c r="A73" i="33"/>
  <c r="A70" i="33"/>
  <c r="A74" i="33"/>
  <c r="AO241" i="36"/>
  <c r="AO242" i="36"/>
  <c r="AO236" i="36"/>
  <c r="AO235" i="36"/>
  <c r="AP140" i="36"/>
  <c r="AP145" i="36"/>
  <c r="AP146" i="36"/>
  <c r="AS253" i="36"/>
  <c r="AS254" i="36"/>
  <c r="AS247" i="36"/>
  <c r="AO139" i="36"/>
  <c r="AO145" i="36"/>
  <c r="AO146" i="36"/>
  <c r="AO137" i="36"/>
  <c r="AO144" i="36"/>
  <c r="A59" i="34"/>
  <c r="A263" i="33"/>
  <c r="AS157" i="36"/>
  <c r="AS158" i="36"/>
  <c r="AS151" i="36"/>
  <c r="AS149" i="36"/>
  <c r="AS156" i="36"/>
  <c r="A12" i="33"/>
  <c r="AO121" i="36"/>
  <c r="AO122" i="36"/>
  <c r="AO115" i="36"/>
  <c r="AO113" i="36"/>
  <c r="AO120" i="36"/>
  <c r="A70" i="34"/>
  <c r="A47" i="34"/>
  <c r="AR101" i="36"/>
  <c r="AR108" i="36"/>
  <c r="AP89" i="36"/>
  <c r="AP96" i="36"/>
  <c r="AP92" i="36"/>
  <c r="AR149" i="36"/>
  <c r="AR156" i="36"/>
  <c r="AR152" i="36"/>
  <c r="AR157" i="36"/>
  <c r="AR158" i="36"/>
  <c r="AP127" i="36"/>
  <c r="AP125" i="36"/>
  <c r="AP132" i="36"/>
  <c r="AP73" i="36"/>
  <c r="AP74" i="36"/>
  <c r="AP68" i="36"/>
  <c r="AP67" i="36"/>
  <c r="AP151" i="36"/>
  <c r="AS169" i="36"/>
  <c r="AS170" i="36"/>
  <c r="AS164" i="36"/>
  <c r="AR20" i="36"/>
  <c r="AR17" i="36"/>
  <c r="AR24" i="36"/>
  <c r="AR19" i="36"/>
  <c r="AQ223" i="36"/>
  <c r="AQ224" i="36"/>
  <c r="AQ221" i="36"/>
  <c r="AQ228" i="36"/>
  <c r="A133" i="34"/>
  <c r="AP43" i="36"/>
  <c r="AR85" i="36"/>
  <c r="AR86" i="36"/>
  <c r="AR77" i="36"/>
  <c r="AR84" i="36"/>
  <c r="AR79" i="36"/>
  <c r="AR80" i="36"/>
  <c r="AP161" i="36"/>
  <c r="AP168" i="36"/>
  <c r="AP163" i="36"/>
  <c r="AP169" i="36"/>
  <c r="AP170" i="36"/>
  <c r="AP164" i="36"/>
  <c r="AO217" i="36"/>
  <c r="AO218" i="36"/>
  <c r="AO209" i="36"/>
  <c r="AO216" i="36"/>
  <c r="AO211" i="36"/>
  <c r="AP31" i="36"/>
  <c r="AP29" i="36"/>
  <c r="AP36" i="36"/>
  <c r="AP43" i="34"/>
  <c r="AP49" i="34"/>
  <c r="AP50" i="34"/>
  <c r="AO31" i="34"/>
  <c r="AO32" i="34"/>
  <c r="AP152" i="36"/>
  <c r="AN32" i="34"/>
  <c r="AQ79" i="36"/>
  <c r="AQ80" i="36"/>
  <c r="AS53" i="36"/>
  <c r="AS60" i="36"/>
  <c r="AS113" i="36"/>
  <c r="AS120" i="36"/>
  <c r="AS121" i="36"/>
  <c r="AS122" i="36"/>
  <c r="AP229" i="36"/>
  <c r="AP230" i="36"/>
  <c r="AQ43" i="34"/>
  <c r="AQ44" i="34"/>
  <c r="AP31" i="34"/>
  <c r="AP29" i="34"/>
  <c r="AP36" i="34"/>
  <c r="AP44" i="36"/>
  <c r="AQ116" i="36"/>
  <c r="AQ121" i="36"/>
  <c r="AQ122" i="36"/>
  <c r="AS175" i="36"/>
  <c r="AS176" i="36"/>
  <c r="AR145" i="36"/>
  <c r="AR146" i="36"/>
  <c r="AR139" i="36"/>
  <c r="AP20" i="34"/>
  <c r="AQ140" i="36"/>
  <c r="AQ139" i="36"/>
  <c r="AQ137" i="36"/>
  <c r="AQ144" i="36"/>
  <c r="AP187" i="36"/>
  <c r="AP185" i="36"/>
  <c r="AP192" i="36"/>
  <c r="AP188" i="36"/>
  <c r="A275" i="33"/>
  <c r="A107" i="34"/>
  <c r="AN49" i="34"/>
  <c r="AN50" i="34"/>
  <c r="A202" i="33"/>
  <c r="A155" i="34"/>
  <c r="A71" i="33"/>
  <c r="A155" i="33"/>
  <c r="A83" i="33"/>
  <c r="A251" i="34"/>
  <c r="A55" i="33"/>
  <c r="A184" i="35"/>
  <c r="W2" i="35"/>
  <c r="A274" i="33"/>
  <c r="W2" i="2"/>
  <c r="Y1" i="2"/>
  <c r="X2" i="2"/>
  <c r="A130" i="36"/>
  <c r="A227" i="34"/>
  <c r="A226" i="34"/>
  <c r="A251" i="33"/>
  <c r="A156" i="33"/>
  <c r="A34" i="33"/>
  <c r="A178" i="36"/>
  <c r="A227" i="33"/>
  <c r="A46" i="33"/>
  <c r="A11" i="33"/>
  <c r="A215" i="33"/>
  <c r="A61" i="33"/>
  <c r="A62" i="33"/>
  <c r="A192" i="34"/>
  <c r="A239" i="34"/>
  <c r="A84" i="34"/>
  <c r="A229" i="33"/>
  <c r="A230" i="33"/>
  <c r="A154" i="33"/>
  <c r="A263" i="34"/>
  <c r="A131" i="33"/>
  <c r="A58" i="34"/>
  <c r="A13" i="33"/>
  <c r="A14" i="33"/>
  <c r="A166" i="33"/>
  <c r="A180" i="33"/>
  <c r="A71" i="34"/>
  <c r="A22" i="34"/>
  <c r="A191" i="34"/>
  <c r="A120" i="34"/>
  <c r="A168" i="33"/>
  <c r="A262" i="33"/>
  <c r="A259" i="33"/>
  <c r="A48" i="33"/>
  <c r="A252" i="33"/>
  <c r="A190" i="33"/>
  <c r="A250" i="33"/>
  <c r="A216" i="34"/>
  <c r="A95" i="34"/>
  <c r="A85" i="33"/>
  <c r="A86" i="33"/>
  <c r="A228" i="33"/>
  <c r="A187" i="35"/>
  <c r="A190" i="34"/>
  <c r="A252" i="34"/>
  <c r="A179" i="33"/>
  <c r="A191" i="33"/>
  <c r="A96" i="34"/>
  <c r="A97" i="33"/>
  <c r="A98" i="33"/>
  <c r="A264" i="34"/>
  <c r="A108" i="34"/>
  <c r="A216" i="33"/>
  <c r="A59" i="33"/>
  <c r="A144" i="34"/>
  <c r="A276" i="33"/>
  <c r="A122" i="33"/>
  <c r="A47" i="33"/>
  <c r="A203" i="34"/>
  <c r="Z1" i="2"/>
  <c r="Y2" i="2"/>
  <c r="A191" i="36"/>
  <c r="A12" i="36"/>
  <c r="A132" i="36"/>
  <c r="A11" i="36"/>
  <c r="C134" i="2"/>
  <c r="D134" i="2"/>
  <c r="E134" i="2"/>
  <c r="A155" i="36"/>
  <c r="A154" i="36"/>
  <c r="A95" i="36"/>
  <c r="A228" i="34"/>
  <c r="A226" i="36"/>
  <c r="A180" i="34"/>
  <c r="A70" i="36"/>
  <c r="A109" i="34"/>
  <c r="A35" i="34"/>
  <c r="A145" i="34"/>
  <c r="A238" i="33"/>
  <c r="A211" i="33"/>
  <c r="A400" i="33"/>
  <c r="A118" i="34"/>
  <c r="A399" i="33"/>
  <c r="A402" i="33"/>
  <c r="A142" i="33"/>
  <c r="B399" i="33"/>
  <c r="A131" i="34"/>
  <c r="A205" i="33"/>
  <c r="A206" i="33"/>
  <c r="A119" i="34"/>
  <c r="A11" i="34"/>
  <c r="A204" i="33"/>
  <c r="A46" i="34"/>
  <c r="A34" i="34"/>
  <c r="A7" i="34"/>
  <c r="A169" i="33"/>
  <c r="A170" i="33"/>
  <c r="A265" i="34"/>
  <c r="A266" i="34"/>
  <c r="A106" i="34"/>
  <c r="A143" i="33"/>
  <c r="A156" i="34"/>
  <c r="A181" i="33"/>
  <c r="A182" i="33"/>
  <c r="A24" i="34"/>
  <c r="A85" i="34"/>
  <c r="A97" i="34"/>
  <c r="A98" i="34"/>
  <c r="A250" i="34"/>
  <c r="A229" i="34"/>
  <c r="A230" i="34"/>
  <c r="A142" i="34"/>
  <c r="A167" i="34"/>
  <c r="A178" i="34"/>
  <c r="A277" i="33"/>
  <c r="A278" i="33"/>
  <c r="A22" i="33"/>
  <c r="A7" i="33"/>
  <c r="A217" i="34"/>
  <c r="A218" i="34"/>
  <c r="A133" i="33"/>
  <c r="A134" i="33"/>
  <c r="A83" i="34"/>
  <c r="A94" i="36"/>
  <c r="A168" i="34"/>
  <c r="B400" i="33"/>
  <c r="A240" i="34"/>
  <c r="A108" i="33"/>
  <c r="A264" i="33"/>
  <c r="A238" i="34"/>
  <c r="A253" i="33"/>
  <c r="A254" i="33"/>
  <c r="A49" i="33"/>
  <c r="A50" i="33"/>
  <c r="A132" i="33"/>
  <c r="A121" i="34"/>
  <c r="A82" i="34"/>
  <c r="A55" i="34"/>
  <c r="A217" i="33"/>
  <c r="A218" i="33"/>
  <c r="A25" i="34"/>
  <c r="A26" i="34"/>
  <c r="A241" i="34"/>
  <c r="A242" i="34"/>
  <c r="A157" i="33"/>
  <c r="A158" i="33"/>
  <c r="A193" i="34"/>
  <c r="A194" i="34"/>
  <c r="A181" i="34"/>
  <c r="A182" i="34"/>
  <c r="A166" i="34"/>
  <c r="A253" i="34"/>
  <c r="A254" i="34"/>
  <c r="B2" i="33"/>
  <c r="A36" i="33"/>
  <c r="Z2" i="2"/>
  <c r="AA1" i="2"/>
  <c r="A34" i="36"/>
  <c r="A131" i="36"/>
  <c r="A83" i="36"/>
  <c r="A118" i="36"/>
  <c r="A107" i="36"/>
  <c r="A167" i="36"/>
  <c r="A35" i="36"/>
  <c r="A227" i="36"/>
  <c r="A166" i="36"/>
  <c r="A142" i="36"/>
  <c r="A82" i="36"/>
  <c r="A250" i="36"/>
  <c r="A22" i="36"/>
  <c r="A46" i="36"/>
  <c r="A215" i="36"/>
  <c r="A157" i="34"/>
  <c r="A204" i="34"/>
  <c r="A144" i="33"/>
  <c r="A190" i="36"/>
  <c r="A36" i="34"/>
  <c r="A12" i="34"/>
  <c r="A130" i="34"/>
  <c r="A134" i="34"/>
  <c r="A143" i="34"/>
  <c r="A86" i="34"/>
  <c r="A110" i="34"/>
  <c r="A24" i="33"/>
  <c r="A202" i="36"/>
  <c r="A240" i="33"/>
  <c r="A37" i="33"/>
  <c r="A38" i="33"/>
  <c r="A146" i="34"/>
  <c r="A106" i="36"/>
  <c r="A169" i="34"/>
  <c r="A170" i="34"/>
  <c r="B402" i="33"/>
  <c r="A238" i="36"/>
  <c r="A192" i="33"/>
  <c r="A48" i="34"/>
  <c r="A214" i="36"/>
  <c r="A58" i="36"/>
  <c r="A36" i="36"/>
  <c r="A91" i="36"/>
  <c r="A265" i="33"/>
  <c r="A266" i="33"/>
  <c r="A122" i="34"/>
  <c r="A154" i="34"/>
  <c r="A151" i="34"/>
  <c r="A109" i="33"/>
  <c r="A110" i="33"/>
  <c r="A202" i="34"/>
  <c r="A199" i="34"/>
  <c r="AB1" i="2"/>
  <c r="AA2" i="2"/>
  <c r="A13" i="36"/>
  <c r="A14" i="36"/>
  <c r="A139" i="36"/>
  <c r="A43" i="36"/>
  <c r="A203" i="36"/>
  <c r="A240" i="36"/>
  <c r="A143" i="36"/>
  <c r="A119" i="36"/>
  <c r="B2" i="36"/>
  <c r="A239" i="36"/>
  <c r="A145" i="33"/>
  <c r="A146" i="33"/>
  <c r="A103" i="34"/>
  <c r="A241" i="33"/>
  <c r="A242" i="33"/>
  <c r="A205" i="34"/>
  <c r="A206" i="34"/>
  <c r="A13" i="34"/>
  <c r="A14" i="34"/>
  <c r="A158" i="34"/>
  <c r="A49" i="34"/>
  <c r="A50" i="34"/>
  <c r="A228" i="36"/>
  <c r="A37" i="34"/>
  <c r="A38" i="34"/>
  <c r="A25" i="33"/>
  <c r="A26" i="33"/>
  <c r="A193" i="33"/>
  <c r="A194" i="33"/>
  <c r="A187" i="36"/>
  <c r="A108" i="36"/>
  <c r="A216" i="36"/>
  <c r="A192" i="36"/>
  <c r="AB2" i="2"/>
  <c r="AC1" i="2"/>
  <c r="A179" i="36"/>
  <c r="A144" i="36"/>
  <c r="A217" i="36"/>
  <c r="A218" i="36"/>
  <c r="A133" i="36"/>
  <c r="A134" i="36"/>
  <c r="A229" i="36"/>
  <c r="A230" i="36"/>
  <c r="AC2" i="2"/>
  <c r="AD1" i="2"/>
  <c r="AD2" i="2"/>
  <c r="A37" i="36"/>
  <c r="A38" i="36"/>
  <c r="A181" i="36"/>
  <c r="A182" i="36"/>
  <c r="A180" i="36"/>
  <c r="A251" i="36"/>
  <c r="A120" i="36"/>
  <c r="A85" i="36"/>
  <c r="A86" i="36"/>
  <c r="A157" i="36"/>
  <c r="A158" i="36"/>
  <c r="A84" i="36"/>
  <c r="A156" i="36"/>
  <c r="A252" i="36"/>
  <c r="A168" i="36"/>
  <c r="A169" i="36"/>
  <c r="A170" i="36"/>
  <c r="A253" i="36"/>
  <c r="A254" i="36"/>
  <c r="A193" i="36"/>
  <c r="A194" i="36"/>
  <c r="A145" i="36"/>
  <c r="A146" i="36"/>
  <c r="A109" i="36"/>
  <c r="A110" i="36"/>
  <c r="A23" i="36"/>
  <c r="A121" i="36"/>
  <c r="A122" i="36"/>
  <c r="A96" i="36"/>
  <c r="A97" i="36"/>
  <c r="A98" i="36"/>
  <c r="A204" i="36"/>
  <c r="A24" i="36"/>
  <c r="A241" i="36"/>
  <c r="A242" i="36"/>
  <c r="A25" i="36"/>
  <c r="A26" i="36"/>
  <c r="A205" i="36"/>
  <c r="A206" i="36"/>
  <c r="A81" i="35"/>
  <c r="E130" i="2"/>
  <c r="F130" i="2"/>
  <c r="K130" i="2"/>
  <c r="A78" i="35"/>
  <c r="E129" i="2"/>
  <c r="F129" i="2"/>
  <c r="K129" i="2"/>
  <c r="Q2" i="35"/>
  <c r="E180" i="2"/>
  <c r="F180" i="2"/>
  <c r="K180" i="2"/>
  <c r="A40" i="35"/>
  <c r="S2" i="35"/>
  <c r="E188" i="2"/>
  <c r="F188" i="2"/>
  <c r="A151" i="35"/>
  <c r="A150" i="35"/>
  <c r="A153" i="35"/>
  <c r="A147" i="35"/>
  <c r="A163" i="35"/>
  <c r="U209" i="35"/>
  <c r="A80" i="35"/>
  <c r="A113" i="35"/>
  <c r="M2" i="35"/>
  <c r="A10" i="35"/>
  <c r="A43" i="35"/>
  <c r="F128" i="2"/>
  <c r="N2" i="35"/>
  <c r="A123" i="35"/>
  <c r="K179" i="2"/>
  <c r="F158" i="2"/>
  <c r="T2" i="35"/>
  <c r="A53" i="35"/>
  <c r="K103" i="2"/>
  <c r="K2" i="35"/>
  <c r="A83" i="35"/>
  <c r="P2" i="35"/>
  <c r="A13" i="35"/>
  <c r="F187" i="2"/>
  <c r="K188" i="2"/>
  <c r="A7" i="35"/>
  <c r="A48" i="35"/>
  <c r="A70" i="35"/>
  <c r="J2" i="35"/>
  <c r="A90" i="35"/>
  <c r="E23" i="2"/>
  <c r="F23" i="2"/>
  <c r="A170" i="35"/>
  <c r="A220" i="35"/>
  <c r="H2" i="35"/>
  <c r="A205" i="35"/>
  <c r="Y2" i="35"/>
  <c r="A209" i="35"/>
  <c r="K23" i="2"/>
  <c r="K47" i="2"/>
  <c r="F46" i="2"/>
  <c r="F28" i="2"/>
  <c r="K28" i="2"/>
  <c r="K7" i="2"/>
  <c r="F6" i="2"/>
  <c r="A217" i="35"/>
  <c r="A173" i="35"/>
  <c r="Y209" i="35"/>
  <c r="L2" i="35"/>
  <c r="A93" i="35"/>
  <c r="A73" i="35"/>
  <c r="K56" i="2"/>
  <c r="A177" i="35"/>
  <c r="V2" i="35"/>
  <c r="A221" i="35"/>
  <c r="X2" i="35"/>
  <c r="F2" i="2"/>
  <c r="F1" i="2"/>
  <c r="AB60" i="34"/>
  <c r="AB61" i="34"/>
  <c r="AB62" i="34"/>
  <c r="Z60" i="34"/>
  <c r="AA60" i="34"/>
  <c r="AA61" i="34"/>
  <c r="AA62" i="34"/>
  <c r="AB72" i="34"/>
  <c r="AB73" i="34"/>
  <c r="AB74" i="34"/>
  <c r="Z72" i="34"/>
  <c r="AA72" i="34"/>
  <c r="AA73" i="34"/>
  <c r="AA74" i="34"/>
  <c r="AB60" i="37"/>
  <c r="AB61" i="37"/>
  <c r="AB62" i="37"/>
  <c r="AC60" i="37"/>
  <c r="AC61" i="37"/>
  <c r="AC62" i="37"/>
  <c r="AB72" i="37"/>
  <c r="AB73" i="37"/>
  <c r="AB74" i="37"/>
  <c r="AC72" i="37"/>
  <c r="AC73" i="37"/>
  <c r="AC74" i="37"/>
  <c r="AB84" i="37"/>
  <c r="AB85" i="37"/>
  <c r="AB86" i="37"/>
  <c r="AC84" i="37"/>
  <c r="AC85" i="37"/>
  <c r="AC86" i="37"/>
  <c r="AB96" i="37"/>
  <c r="AB97" i="37"/>
  <c r="AB98" i="37"/>
  <c r="AC96" i="37"/>
  <c r="AC97" i="37"/>
  <c r="AC98" i="37"/>
  <c r="AB108" i="37"/>
  <c r="AB109" i="37"/>
  <c r="AB110" i="37"/>
  <c r="AC108" i="37"/>
  <c r="AC109" i="37"/>
  <c r="AC110" i="37"/>
  <c r="AB120" i="37"/>
  <c r="AB121" i="37"/>
  <c r="AB122" i="37"/>
  <c r="AC120" i="37"/>
  <c r="AC121" i="37"/>
  <c r="AC122" i="37"/>
  <c r="AB132" i="37"/>
  <c r="AB133" i="37"/>
  <c r="AB134" i="37"/>
  <c r="AC132" i="37"/>
  <c r="AC133" i="37"/>
  <c r="AC134" i="37"/>
  <c r="Z60" i="37"/>
  <c r="AA60" i="37"/>
  <c r="AA61" i="37"/>
  <c r="AA62" i="37"/>
  <c r="Z72" i="37"/>
  <c r="AA72" i="37"/>
  <c r="AA73" i="37"/>
  <c r="AA74" i="37"/>
  <c r="Z84" i="37"/>
  <c r="AA84" i="37"/>
  <c r="AA85" i="37"/>
  <c r="AA86" i="37"/>
  <c r="Z96" i="37"/>
  <c r="AA96" i="37"/>
  <c r="AA97" i="37"/>
  <c r="AA98" i="37"/>
  <c r="Z108" i="37"/>
  <c r="AA108" i="37"/>
  <c r="AA109" i="37"/>
  <c r="AA110" i="37"/>
  <c r="Z120" i="37"/>
  <c r="AA120" i="37"/>
  <c r="AA121" i="37"/>
  <c r="AA122" i="37"/>
  <c r="Z132" i="37"/>
  <c r="AA132" i="37"/>
  <c r="AA133" i="37"/>
  <c r="AA134" i="37"/>
  <c r="X145" i="39"/>
  <c r="X146" i="39"/>
  <c r="W145" i="39"/>
  <c r="Z73" i="34"/>
  <c r="A72" i="34"/>
  <c r="Z61" i="34"/>
  <c r="A60" i="34"/>
  <c r="Z133" i="37"/>
  <c r="A132" i="37"/>
  <c r="Z121" i="37"/>
  <c r="A120" i="37"/>
  <c r="Z109" i="37"/>
  <c r="A108" i="37"/>
  <c r="Z97" i="37"/>
  <c r="A96" i="37"/>
  <c r="Z85" i="37"/>
  <c r="A84" i="37"/>
  <c r="Z73" i="37"/>
  <c r="A72" i="37"/>
  <c r="Z61" i="37"/>
  <c r="A60" i="37"/>
  <c r="W146" i="39"/>
  <c r="A145" i="39"/>
  <c r="A146" i="39"/>
  <c r="Z62" i="34"/>
  <c r="A61" i="34"/>
  <c r="A62" i="34"/>
  <c r="Z74" i="34"/>
  <c r="A73" i="34"/>
  <c r="A74" i="34"/>
  <c r="Z62" i="37"/>
  <c r="A61" i="37"/>
  <c r="A62" i="37"/>
  <c r="Z74" i="37"/>
  <c r="A73" i="37"/>
  <c r="A74" i="37"/>
  <c r="Z86" i="37"/>
  <c r="A85" i="37"/>
  <c r="A86" i="37"/>
  <c r="Z98" i="37"/>
  <c r="A97" i="37"/>
  <c r="A98" i="37"/>
  <c r="Z110" i="37"/>
  <c r="A109" i="37"/>
  <c r="A110" i="37"/>
  <c r="Z122" i="37"/>
  <c r="A121" i="37"/>
  <c r="A122" i="37"/>
  <c r="Z134" i="37"/>
  <c r="A133" i="37"/>
  <c r="A134" i="37"/>
</calcChain>
</file>

<file path=xl/sharedStrings.xml><?xml version="1.0" encoding="utf-8"?>
<sst xmlns="http://schemas.openxmlformats.org/spreadsheetml/2006/main" count="3463" uniqueCount="433">
  <si>
    <t>日付</t>
  </si>
  <si>
    <t>鹿屋</t>
    <rPh sb="0" eb="2">
      <t>カノヤ</t>
    </rPh>
    <phoneticPr fontId="2"/>
  </si>
  <si>
    <t>100円</t>
  </si>
  <si>
    <t>BUZZ＃１</t>
    <phoneticPr fontId="2"/>
  </si>
  <si>
    <t>プライズ</t>
  </si>
  <si>
    <t>投入残</t>
  </si>
  <si>
    <t>機械合計</t>
  </si>
  <si>
    <t>補充</t>
  </si>
  <si>
    <t>単価</t>
  </si>
  <si>
    <t>月間予想</t>
    <rPh sb="0" eb="4">
      <t>ゲッカンヨソウ</t>
    </rPh>
    <phoneticPr fontId="2"/>
  </si>
  <si>
    <t>景品名</t>
    <rPh sb="0" eb="2">
      <t>ケイヒン</t>
    </rPh>
    <rPh sb="2" eb="3">
      <t>メイ</t>
    </rPh>
    <phoneticPr fontId="2"/>
  </si>
  <si>
    <t>サンリオホワイトMC</t>
  </si>
  <si>
    <t>ポメラニアン</t>
  </si>
  <si>
    <t>電ブル</t>
  </si>
  <si>
    <t>設定</t>
  </si>
  <si>
    <t>百差</t>
    <rPh sb="0" eb="1">
      <t>ヒャク</t>
    </rPh>
    <phoneticPr fontId="2"/>
  </si>
  <si>
    <t>P差</t>
    <phoneticPr fontId="2"/>
  </si>
  <si>
    <t>払出</t>
  </si>
  <si>
    <t>払出額</t>
  </si>
  <si>
    <t>=</t>
  </si>
  <si>
    <t>原価率</t>
  </si>
  <si>
    <t/>
  </si>
  <si>
    <t>ジャグラーボタン</t>
  </si>
  <si>
    <t>モンチッチAirPodsケース</t>
  </si>
  <si>
    <t>スンスンフェイスポーチ</t>
  </si>
  <si>
    <t>アングリー</t>
  </si>
  <si>
    <t>たまごっちマスコット</t>
  </si>
  <si>
    <t>AIモンスター</t>
  </si>
  <si>
    <t>BUZZ＃2</t>
    <phoneticPr fontId="2"/>
  </si>
  <si>
    <t>モンチッチキーケース</t>
  </si>
  <si>
    <t>BUZZ＃2</t>
  </si>
  <si>
    <t>柴犬たまご</t>
  </si>
  <si>
    <t>ラブブKH</t>
  </si>
  <si>
    <t>パステルケーキ</t>
  </si>
  <si>
    <t>ラブブMC</t>
  </si>
  <si>
    <t>BUZZ＃3</t>
    <phoneticPr fontId="2"/>
  </si>
  <si>
    <t>ジャグラーイヤホン</t>
  </si>
  <si>
    <t>BUZZ＃3</t>
  </si>
  <si>
    <t>PRO4</t>
  </si>
  <si>
    <t>ガンキーホルダー</t>
  </si>
  <si>
    <t>ゲームアーク</t>
  </si>
  <si>
    <t>ヨヨ　バースデイ</t>
  </si>
  <si>
    <t>サンリオブレスレット</t>
  </si>
  <si>
    <t>サンリオチャーム付スイーツ</t>
  </si>
  <si>
    <t>BUZZ＃4</t>
  </si>
  <si>
    <t>ギャルキティマスコット</t>
  </si>
  <si>
    <t>BUZZ＃4</t>
    <phoneticPr fontId="2"/>
  </si>
  <si>
    <t>サンリオボアキーケース</t>
  </si>
  <si>
    <t>アンパンマンマスコット</t>
  </si>
  <si>
    <t>キティ豹柄バンスクリップ</t>
  </si>
  <si>
    <t>キティストーンマスコット</t>
  </si>
  <si>
    <t>ジャリクレ＃１</t>
    <phoneticPr fontId="2"/>
  </si>
  <si>
    <t>モンチッチマスコット</t>
  </si>
  <si>
    <t>ジャリクレ＃１</t>
  </si>
  <si>
    <t>サンリオバンズクリップ</t>
  </si>
  <si>
    <t>キティフェイスポーチ</t>
  </si>
  <si>
    <t>ゲームスティック</t>
  </si>
  <si>
    <t>BUZZミニ＃1</t>
    <phoneticPr fontId="2"/>
  </si>
  <si>
    <t>サムエル（箱無し）</t>
  </si>
  <si>
    <t>BUZZミニ＃2</t>
    <phoneticPr fontId="2"/>
  </si>
  <si>
    <t>ボンボンドロップ</t>
  </si>
  <si>
    <t>都城</t>
    <rPh sb="0" eb="2">
      <t>ミヤコノジョウ</t>
    </rPh>
    <phoneticPr fontId="2"/>
  </si>
  <si>
    <t>サンリオフェイスポーチ</t>
  </si>
  <si>
    <t>ミニデジタルカメラ</t>
  </si>
  <si>
    <t>スライム</t>
  </si>
  <si>
    <t>PRO4イヤホン</t>
  </si>
  <si>
    <t>サンリオヒョウ柄キーケース</t>
  </si>
  <si>
    <t>キティバンスクリップ</t>
  </si>
  <si>
    <t>ラブブマスコット</t>
  </si>
  <si>
    <t>ジャグラーサウンドボタン</t>
  </si>
  <si>
    <t>ヤヤ　バースデイ</t>
  </si>
  <si>
    <t>ギャルキティフェイスポーチ</t>
  </si>
  <si>
    <t>サミュエル</t>
  </si>
  <si>
    <t>サンリオ着ぐるみマスコット</t>
  </si>
  <si>
    <t>BUZZミニ＃3</t>
    <phoneticPr fontId="2"/>
  </si>
  <si>
    <t>ルララ</t>
  </si>
  <si>
    <t>BUZZミニ＃4</t>
    <phoneticPr fontId="2"/>
  </si>
  <si>
    <t>ボンドロ</t>
  </si>
  <si>
    <t>霧島</t>
    <rPh sb="0" eb="2">
      <t>キリシマ</t>
    </rPh>
    <phoneticPr fontId="2"/>
  </si>
  <si>
    <t>BUZZミニ</t>
    <phoneticPr fontId="2"/>
  </si>
  <si>
    <t>設定</t>
    <phoneticPr fontId="2"/>
  </si>
  <si>
    <t>BUZZミニ#2</t>
    <phoneticPr fontId="2"/>
  </si>
  <si>
    <t>サンリオマスコット</t>
  </si>
  <si>
    <t>クリスタル</t>
    <phoneticPr fontId="2"/>
  </si>
  <si>
    <t>ピクミンMC</t>
  </si>
  <si>
    <t>ジャグラーフラッシュボタンミニ</t>
  </si>
  <si>
    <t>ぶるりんピンキーブラック</t>
  </si>
  <si>
    <t>モフサンド</t>
  </si>
  <si>
    <t>ギャルキティMC</t>
  </si>
  <si>
    <t>スンスン　フェイスポーチ</t>
  </si>
  <si>
    <t>サンリオクリップピン</t>
  </si>
  <si>
    <t>プチFG</t>
  </si>
  <si>
    <t>番長ボタン</t>
  </si>
  <si>
    <t>NICI</t>
  </si>
  <si>
    <t>ラブブKC</t>
  </si>
  <si>
    <t>バーバーカット</t>
    <phoneticPr fontId="2"/>
  </si>
  <si>
    <t>プライズA</t>
    <phoneticPr fontId="2"/>
  </si>
  <si>
    <t>プライズB</t>
    <phoneticPr fontId="2"/>
  </si>
  <si>
    <t>プライズC</t>
    <phoneticPr fontId="2"/>
  </si>
  <si>
    <t>ボンボンドロップシール</t>
  </si>
  <si>
    <t>A景品</t>
  </si>
  <si>
    <t>宇宿</t>
    <rPh sb="0" eb="2">
      <t>ウスキ</t>
    </rPh>
    <phoneticPr fontId="2"/>
  </si>
  <si>
    <t>モンチッチMC</t>
  </si>
  <si>
    <t>アングリーベア</t>
  </si>
  <si>
    <t>サンリオチャーム付ブレス</t>
  </si>
  <si>
    <t>BUZZミニ＃１</t>
    <phoneticPr fontId="2"/>
  </si>
  <si>
    <t>サンリオキーケース</t>
  </si>
  <si>
    <t>スンスンポーチ</t>
  </si>
  <si>
    <t>BUZZ＃6</t>
    <phoneticPr fontId="2"/>
  </si>
  <si>
    <t>北斗サウンドボタン</t>
  </si>
  <si>
    <t>キティストーン</t>
  </si>
  <si>
    <t>液晶付きカメラ</t>
  </si>
  <si>
    <t>北斗ボタン</t>
  </si>
  <si>
    <t>川内</t>
    <rPh sb="0" eb="2">
      <t>センダイ</t>
    </rPh>
    <phoneticPr fontId="2"/>
  </si>
  <si>
    <t>ギャルキティケース</t>
  </si>
  <si>
    <t>　サンリオブレスレット</t>
  </si>
  <si>
    <t>ジャグラーサウンドフラッシュボタン</t>
  </si>
  <si>
    <t>ギャルキティ</t>
  </si>
  <si>
    <t>AIモンスターシール</t>
  </si>
  <si>
    <t>ピクミンマスコット</t>
  </si>
  <si>
    <t>サンリオバニティポーチ</t>
  </si>
  <si>
    <t>BUZZミニ＃２</t>
    <phoneticPr fontId="2"/>
  </si>
  <si>
    <t>サンリオがま口</t>
  </si>
  <si>
    <t>ジャリクレ＃２</t>
  </si>
  <si>
    <t>ラブブMCレインボー</t>
  </si>
  <si>
    <t>サンリオヘアクリップ</t>
  </si>
  <si>
    <t>100円１P</t>
    <phoneticPr fontId="2"/>
  </si>
  <si>
    <t>トライデッキ</t>
    <phoneticPr fontId="2"/>
  </si>
  <si>
    <t>2P</t>
    <phoneticPr fontId="2"/>
  </si>
  <si>
    <t>トータル</t>
    <phoneticPr fontId="2"/>
  </si>
  <si>
    <t>中央</t>
    <rPh sb="0" eb="2">
      <t>チュウオウ</t>
    </rPh>
    <phoneticPr fontId="2"/>
  </si>
  <si>
    <t>BUZZ＃1</t>
    <phoneticPr fontId="2"/>
  </si>
  <si>
    <t>サンリオスイーツ</t>
  </si>
  <si>
    <t>柴犬スクイーズ</t>
  </si>
  <si>
    <t>天文館</t>
    <rPh sb="0" eb="3">
      <t>テンモンカン</t>
    </rPh>
    <phoneticPr fontId="2"/>
  </si>
  <si>
    <t>電ブルキュート</t>
  </si>
  <si>
    <t>宇宿①</t>
    <rPh sb="0" eb="2">
      <t>ウスキ</t>
    </rPh>
    <phoneticPr fontId="2"/>
  </si>
  <si>
    <t>宇宿②</t>
    <rPh sb="0" eb="2">
      <t>ウスキ</t>
    </rPh>
    <phoneticPr fontId="2"/>
  </si>
  <si>
    <t>霧島①</t>
    <rPh sb="0" eb="2">
      <t>キリシマ</t>
    </rPh>
    <phoneticPr fontId="2"/>
  </si>
  <si>
    <t>霧島②</t>
    <rPh sb="0" eb="2">
      <t>キリシマ</t>
    </rPh>
    <phoneticPr fontId="2"/>
  </si>
  <si>
    <t>霧島500</t>
    <rPh sb="0" eb="2">
      <t>キリシマ</t>
    </rPh>
    <phoneticPr fontId="2"/>
  </si>
  <si>
    <t>川内①</t>
    <phoneticPr fontId="2"/>
  </si>
  <si>
    <t>川内②</t>
  </si>
  <si>
    <t>川内500</t>
    <phoneticPr fontId="2"/>
  </si>
  <si>
    <t>都城①</t>
    <rPh sb="0" eb="2">
      <t>ミヤコノジョウ</t>
    </rPh>
    <phoneticPr fontId="2"/>
  </si>
  <si>
    <t>都城②</t>
    <rPh sb="0" eb="2">
      <t>ミヤコノジョウ</t>
    </rPh>
    <phoneticPr fontId="2"/>
  </si>
  <si>
    <t>鹿屋①</t>
    <rPh sb="0" eb="2">
      <t>カノヤ</t>
    </rPh>
    <phoneticPr fontId="8"/>
  </si>
  <si>
    <t>鹿屋②</t>
    <rPh sb="0" eb="2">
      <t>カノヤ</t>
    </rPh>
    <phoneticPr fontId="8"/>
  </si>
  <si>
    <t>鹿屋500</t>
    <rPh sb="0" eb="2">
      <t>カノヤ</t>
    </rPh>
    <phoneticPr fontId="8"/>
  </si>
  <si>
    <t>菊陽②</t>
  </si>
  <si>
    <t>合志</t>
  </si>
  <si>
    <t>南熊本</t>
    <rPh sb="0" eb="3">
      <t>ミナミクマモト</t>
    </rPh>
    <phoneticPr fontId="2"/>
  </si>
  <si>
    <t>下通</t>
  </si>
  <si>
    <t>今宿</t>
  </si>
  <si>
    <t>今宿➁</t>
  </si>
  <si>
    <t>八代</t>
  </si>
  <si>
    <t>佐世保</t>
  </si>
  <si>
    <t>別府</t>
  </si>
  <si>
    <t>行橋</t>
  </si>
  <si>
    <t>光吉</t>
  </si>
  <si>
    <t>進捗</t>
    <rPh sb="0" eb="2">
      <t>シンチョク</t>
    </rPh>
    <phoneticPr fontId="2"/>
  </si>
  <si>
    <t>1000円</t>
    <phoneticPr fontId="2"/>
  </si>
  <si>
    <t>ティアラ</t>
    <phoneticPr fontId="2"/>
  </si>
  <si>
    <t>カプセル</t>
    <phoneticPr fontId="2"/>
  </si>
  <si>
    <t>払出No</t>
    <rPh sb="0" eb="2">
      <t>ハライダシ</t>
    </rPh>
    <phoneticPr fontId="2"/>
  </si>
  <si>
    <t>備考</t>
    <rPh sb="0" eb="2">
      <t>ビコウ</t>
    </rPh>
    <phoneticPr fontId="2"/>
  </si>
  <si>
    <t>千差</t>
    <rPh sb="0" eb="1">
      <t>セン</t>
    </rPh>
    <phoneticPr fontId="2"/>
  </si>
  <si>
    <t>CP上差</t>
    <rPh sb="2" eb="3">
      <t>ウエ</t>
    </rPh>
    <phoneticPr fontId="2"/>
  </si>
  <si>
    <t>2000円</t>
  </si>
  <si>
    <t>2000GATCHA</t>
  </si>
  <si>
    <t>1000GATCHA</t>
    <phoneticPr fontId="2"/>
  </si>
  <si>
    <t>100円</t>
    <phoneticPr fontId="2"/>
  </si>
  <si>
    <t>500GATCHA</t>
    <phoneticPr fontId="2"/>
  </si>
  <si>
    <t>上</t>
    <rPh sb="0" eb="1">
      <t>ウエ</t>
    </rPh>
    <phoneticPr fontId="2"/>
  </si>
  <si>
    <t>下</t>
    <rPh sb="0" eb="1">
      <t>シタ</t>
    </rPh>
    <phoneticPr fontId="2"/>
  </si>
  <si>
    <t>菊陽</t>
    <rPh sb="0" eb="2">
      <t>キクヨウ</t>
    </rPh>
    <phoneticPr fontId="2"/>
  </si>
  <si>
    <t>ガチャコロ</t>
    <phoneticPr fontId="2"/>
  </si>
  <si>
    <t>カプセル上</t>
    <rPh sb="4" eb="5">
      <t>ウエ</t>
    </rPh>
    <phoneticPr fontId="2"/>
  </si>
  <si>
    <t>カプセル下</t>
    <rPh sb="4" eb="5">
      <t>シタ</t>
    </rPh>
    <phoneticPr fontId="2"/>
  </si>
  <si>
    <t>CP下差</t>
    <rPh sb="2" eb="3">
      <t>シタ</t>
    </rPh>
    <phoneticPr fontId="2"/>
  </si>
  <si>
    <t>合志</t>
    <rPh sb="0" eb="2">
      <t>コウシ</t>
    </rPh>
    <phoneticPr fontId="2"/>
  </si>
  <si>
    <t>下通</t>
    <rPh sb="0" eb="2">
      <t>シモドオリ</t>
    </rPh>
    <phoneticPr fontId="2"/>
  </si>
  <si>
    <t>ロッカー</t>
    <phoneticPr fontId="2"/>
  </si>
  <si>
    <t>キーケース</t>
  </si>
  <si>
    <t>BUZZ＃1</t>
  </si>
  <si>
    <t>サンリオバンズ</t>
  </si>
  <si>
    <t>ケーキSQ</t>
  </si>
  <si>
    <t>サンリオボア</t>
  </si>
  <si>
    <t>海外シール</t>
  </si>
  <si>
    <t>しば犬たまご</t>
  </si>
  <si>
    <t>たまごっちMC</t>
  </si>
  <si>
    <t>セサミ＃１</t>
    <phoneticPr fontId="2"/>
  </si>
  <si>
    <t>じゃがりこ財布</t>
  </si>
  <si>
    <t>セサミ＃１</t>
  </si>
  <si>
    <t>サンリオキャラクターズ</t>
  </si>
  <si>
    <t>セサミ＃２</t>
    <phoneticPr fontId="2"/>
  </si>
  <si>
    <t>ファー</t>
  </si>
  <si>
    <t>ベビー</t>
  </si>
  <si>
    <t>セサミ＃3</t>
    <phoneticPr fontId="2"/>
  </si>
  <si>
    <t>手錠</t>
  </si>
  <si>
    <t>セサミ＃3</t>
  </si>
  <si>
    <t>ピクセルサングラス</t>
  </si>
  <si>
    <t>セサミ＃4</t>
    <phoneticPr fontId="2"/>
  </si>
  <si>
    <t>しんちゃんアソート</t>
  </si>
  <si>
    <t>セサミ＃4</t>
  </si>
  <si>
    <t>AIモンスターMC</t>
  </si>
  <si>
    <t>忍者めし</t>
  </si>
  <si>
    <t>キティミラー</t>
  </si>
  <si>
    <t>BUZZスリム</t>
    <phoneticPr fontId="2"/>
  </si>
  <si>
    <t>BUZZスリム</t>
  </si>
  <si>
    <t>naitang</t>
  </si>
  <si>
    <t>ジャグラーフラッシュボタン</t>
  </si>
  <si>
    <t>サンリオっキーケース</t>
  </si>
  <si>
    <t>AIラバー</t>
  </si>
  <si>
    <t>南熊本</t>
  </si>
  <si>
    <t>管理番号</t>
    <rPh sb="0" eb="2">
      <t>カンリ</t>
    </rPh>
    <rPh sb="2" eb="4">
      <t>バンゴウ</t>
    </rPh>
    <phoneticPr fontId="2"/>
  </si>
  <si>
    <t>前回M</t>
    <rPh sb="0" eb="1">
      <t>ゼン</t>
    </rPh>
    <phoneticPr fontId="2"/>
  </si>
  <si>
    <t>今回M</t>
    <phoneticPr fontId="2"/>
  </si>
  <si>
    <t>枚数</t>
    <rPh sb="0" eb="2">
      <t>マイスウ</t>
    </rPh>
    <phoneticPr fontId="2"/>
  </si>
  <si>
    <t>千</t>
  </si>
  <si>
    <t>五百</t>
  </si>
  <si>
    <t>百</t>
  </si>
  <si>
    <t>金額</t>
    <rPh sb="0" eb="2">
      <t>キンガク</t>
    </rPh>
    <phoneticPr fontId="2"/>
  </si>
  <si>
    <t>立替</t>
    <phoneticPr fontId="2"/>
  </si>
  <si>
    <t>総額</t>
    <rPh sb="0" eb="2">
      <t>ソウガク</t>
    </rPh>
    <phoneticPr fontId="2"/>
  </si>
  <si>
    <t>機械名</t>
    <rPh sb="0" eb="2">
      <t>キカイ</t>
    </rPh>
    <rPh sb="2" eb="3">
      <t>メイ</t>
    </rPh>
    <phoneticPr fontId="2"/>
  </si>
  <si>
    <t>定休</t>
    <rPh sb="0" eb="2">
      <t>テイキュウキュウ</t>
    </rPh>
    <phoneticPr fontId="2"/>
  </si>
  <si>
    <t>熊本</t>
    <rPh sb="0" eb="2">
      <t>クマモト</t>
    </rPh>
    <phoneticPr fontId="2"/>
  </si>
  <si>
    <t>菊陽</t>
  </si>
  <si>
    <t>森本</t>
  </si>
  <si>
    <t>月金</t>
  </si>
  <si>
    <t>万</t>
    <rPh sb="0" eb="1">
      <t>マン</t>
    </rPh>
    <phoneticPr fontId="2"/>
  </si>
  <si>
    <t>ポケクレマルチ</t>
  </si>
  <si>
    <t>清田畑本</t>
    <phoneticPr fontId="2"/>
  </si>
  <si>
    <t>5千</t>
    <rPh sb="1" eb="2">
      <t>セン</t>
    </rPh>
    <phoneticPr fontId="2"/>
  </si>
  <si>
    <t>中村</t>
  </si>
  <si>
    <t>土日</t>
  </si>
  <si>
    <t>千</t>
    <rPh sb="0" eb="1">
      <t>セン</t>
    </rPh>
    <phoneticPr fontId="2"/>
  </si>
  <si>
    <t>立岩</t>
  </si>
  <si>
    <t>ティアラ</t>
  </si>
  <si>
    <t>川内</t>
  </si>
  <si>
    <t>岡</t>
  </si>
  <si>
    <t>BUZZ1</t>
  </si>
  <si>
    <t>R2068</t>
  </si>
  <si>
    <t>甲斐</t>
  </si>
  <si>
    <t>中央</t>
  </si>
  <si>
    <t>宇宿</t>
  </si>
  <si>
    <t>上鍋</t>
  </si>
  <si>
    <t>月木</t>
  </si>
  <si>
    <t>持留</t>
  </si>
  <si>
    <t>鹿児島</t>
    <rPh sb="0" eb="3">
      <t>カゴシマ</t>
    </rPh>
    <phoneticPr fontId="2"/>
  </si>
  <si>
    <t>R2069</t>
  </si>
  <si>
    <t>松清</t>
  </si>
  <si>
    <t>トリプルクレーン</t>
  </si>
  <si>
    <t>都城</t>
  </si>
  <si>
    <t>高野</t>
    <rPh sb="0" eb="2">
      <t>タカノ</t>
    </rPh>
    <phoneticPr fontId="2"/>
  </si>
  <si>
    <t>ジャリクレ</t>
  </si>
  <si>
    <t>堀田伊藤</t>
    <rPh sb="0" eb="2">
      <t>ホッタ</t>
    </rPh>
    <rPh sb="2" eb="4">
      <t>イトウ</t>
    </rPh>
    <phoneticPr fontId="2"/>
  </si>
  <si>
    <t>Dプラ</t>
  </si>
  <si>
    <t>芹澤</t>
    <rPh sb="0" eb="2">
      <t>セリザワ</t>
    </rPh>
    <phoneticPr fontId="2"/>
  </si>
  <si>
    <t>Buzzミニ</t>
    <phoneticPr fontId="2"/>
  </si>
  <si>
    <t>R2078</t>
  </si>
  <si>
    <t>尾崎</t>
    <rPh sb="0" eb="2">
      <t>オザキ</t>
    </rPh>
    <phoneticPr fontId="2"/>
  </si>
  <si>
    <t>R2079</t>
  </si>
  <si>
    <t>延岡</t>
    <rPh sb="0" eb="2">
      <t>ノベオカ</t>
    </rPh>
    <phoneticPr fontId="2"/>
  </si>
  <si>
    <t>中田中山</t>
    <rPh sb="0" eb="2">
      <t>ナカタ</t>
    </rPh>
    <rPh sb="2" eb="4">
      <t>ナカヤマ</t>
    </rPh>
    <phoneticPr fontId="2"/>
  </si>
  <si>
    <t>物販ガチャ200</t>
    <rPh sb="0" eb="2">
      <t>ブッパン</t>
    </rPh>
    <phoneticPr fontId="2"/>
  </si>
  <si>
    <t>BP0318</t>
  </si>
  <si>
    <t>八代</t>
    <phoneticPr fontId="2"/>
  </si>
  <si>
    <t>中村米村</t>
    <phoneticPr fontId="2"/>
  </si>
  <si>
    <t>BP0328</t>
  </si>
  <si>
    <t>八女</t>
  </si>
  <si>
    <t>梅野</t>
  </si>
  <si>
    <t>佐賀</t>
  </si>
  <si>
    <t>柴田</t>
  </si>
  <si>
    <t>浜町</t>
  </si>
  <si>
    <t>田尻</t>
  </si>
  <si>
    <t>時津</t>
    <phoneticPr fontId="2"/>
  </si>
  <si>
    <t>平戸</t>
  </si>
  <si>
    <t>火</t>
  </si>
  <si>
    <t>ガムガチャ100</t>
  </si>
  <si>
    <t>GB0139</t>
  </si>
  <si>
    <t>大村</t>
    <phoneticPr fontId="2"/>
  </si>
  <si>
    <t>芹口</t>
  </si>
  <si>
    <t>GB0303</t>
  </si>
  <si>
    <t>R2014</t>
    <phoneticPr fontId="2"/>
  </si>
  <si>
    <t>佐世保</t>
    <phoneticPr fontId="2"/>
  </si>
  <si>
    <t>臼井</t>
  </si>
  <si>
    <t>GB0555</t>
  </si>
  <si>
    <t>両替機</t>
  </si>
  <si>
    <t>メーター</t>
  </si>
  <si>
    <t>GB0771</t>
  </si>
  <si>
    <t>集金時実数</t>
  </si>
  <si>
    <t>セサミW1</t>
  </si>
  <si>
    <t>R1005</t>
  </si>
  <si>
    <t>集金後</t>
  </si>
  <si>
    <t>セサミW2</t>
  </si>
  <si>
    <t>R1006</t>
  </si>
  <si>
    <t>セサミW3</t>
  </si>
  <si>
    <t>R1052</t>
  </si>
  <si>
    <t>セサミW4</t>
  </si>
  <si>
    <t>R1053</t>
  </si>
  <si>
    <t>セサミW1</t>
    <phoneticPr fontId="2"/>
  </si>
  <si>
    <t>R1005</t>
    <phoneticPr fontId="2"/>
  </si>
  <si>
    <t>クリスタル</t>
  </si>
  <si>
    <t>R2001</t>
  </si>
  <si>
    <t>R2013</t>
  </si>
  <si>
    <t>セサミW2</t>
    <phoneticPr fontId="2"/>
  </si>
  <si>
    <t>R1006</t>
    <phoneticPr fontId="2"/>
  </si>
  <si>
    <t>R2014</t>
  </si>
  <si>
    <t>R2031</t>
  </si>
  <si>
    <t>セサミW3</t>
    <phoneticPr fontId="2"/>
  </si>
  <si>
    <t>R1052</t>
    <phoneticPr fontId="2"/>
  </si>
  <si>
    <t>R2034</t>
  </si>
  <si>
    <t>R2035</t>
  </si>
  <si>
    <t>セサミW4</t>
    <phoneticPr fontId="2"/>
  </si>
  <si>
    <t>R1053</t>
    <phoneticPr fontId="2"/>
  </si>
  <si>
    <t>BUZZ２</t>
  </si>
  <si>
    <t>R2036</t>
  </si>
  <si>
    <t>R2037</t>
  </si>
  <si>
    <t>BUZZ2</t>
    <phoneticPr fontId="2"/>
  </si>
  <si>
    <t>R2054</t>
    <phoneticPr fontId="2"/>
  </si>
  <si>
    <t>BUZZ2</t>
  </si>
  <si>
    <t>Ｒ2038</t>
  </si>
  <si>
    <t>Buzzミニ</t>
  </si>
  <si>
    <t>R2039</t>
  </si>
  <si>
    <t>R2040</t>
  </si>
  <si>
    <t>R2041</t>
  </si>
  <si>
    <t>アンパンマンライド</t>
  </si>
  <si>
    <t>R2042</t>
  </si>
  <si>
    <t>R2044</t>
  </si>
  <si>
    <t>R2055</t>
    <phoneticPr fontId="2"/>
  </si>
  <si>
    <t>R2045</t>
  </si>
  <si>
    <t>R2046</t>
  </si>
  <si>
    <t>BUZZ3</t>
  </si>
  <si>
    <t>R2048</t>
  </si>
  <si>
    <t>BUZZ4</t>
  </si>
  <si>
    <t>R2049</t>
  </si>
  <si>
    <t>R2058</t>
    <phoneticPr fontId="2"/>
  </si>
  <si>
    <t>バーバーカット</t>
  </si>
  <si>
    <t>R2050</t>
  </si>
  <si>
    <t>R2054</t>
  </si>
  <si>
    <t>R2055</t>
  </si>
  <si>
    <t>R2057</t>
  </si>
  <si>
    <t>R2062</t>
    <phoneticPr fontId="2"/>
  </si>
  <si>
    <t>R2058</t>
  </si>
  <si>
    <t>R2059</t>
  </si>
  <si>
    <t>R2060</t>
  </si>
  <si>
    <t>Ｒ2061</t>
  </si>
  <si>
    <t>R2062</t>
  </si>
  <si>
    <t>ジャリクレ＃1</t>
  </si>
  <si>
    <t>Ｒ2063</t>
  </si>
  <si>
    <t>Ｒ2064</t>
  </si>
  <si>
    <t>Ｒ2065</t>
  </si>
  <si>
    <t>Ｒ2066</t>
  </si>
  <si>
    <t>ジャリクレ＃2</t>
  </si>
  <si>
    <t>Ｒ2067</t>
  </si>
  <si>
    <t>R2070</t>
  </si>
  <si>
    <t>BUZZ6</t>
  </si>
  <si>
    <t>R2071</t>
  </si>
  <si>
    <t>BUZZ3</t>
    <phoneticPr fontId="2"/>
  </si>
  <si>
    <t>R2072</t>
  </si>
  <si>
    <t>R2073</t>
  </si>
  <si>
    <t>トライデッキ</t>
  </si>
  <si>
    <t>R2074</t>
  </si>
  <si>
    <t>R2075</t>
  </si>
  <si>
    <t>R2076</t>
  </si>
  <si>
    <t>BUZZ4</t>
    <phoneticPr fontId="2"/>
  </si>
  <si>
    <t>R2077</t>
  </si>
  <si>
    <t>R6001</t>
  </si>
  <si>
    <t>BUZZ6</t>
    <phoneticPr fontId="2"/>
  </si>
  <si>
    <t>R6002</t>
  </si>
  <si>
    <t>R6003</t>
  </si>
  <si>
    <t>R6004</t>
  </si>
  <si>
    <t>Buzzミニ1</t>
  </si>
  <si>
    <t>R6005</t>
  </si>
  <si>
    <t>Buzzミニ2</t>
  </si>
  <si>
    <t>R6006</t>
  </si>
  <si>
    <t>Buzzミニ3</t>
  </si>
  <si>
    <t>R6007</t>
  </si>
  <si>
    <t>Buzzミニ4</t>
  </si>
  <si>
    <t>R6008</t>
  </si>
  <si>
    <t>ガチャコロ</t>
  </si>
  <si>
    <t>1000GATCHA</t>
  </si>
  <si>
    <t>500GATCHA</t>
  </si>
  <si>
    <t>R2031</t>
    <phoneticPr fontId="2"/>
  </si>
  <si>
    <t>ジャリクレ＃1</t>
    <phoneticPr fontId="2"/>
  </si>
  <si>
    <t>ジャリクレ＃2</t>
    <phoneticPr fontId="2"/>
  </si>
  <si>
    <t>霧島</t>
  </si>
  <si>
    <t>体力測定</t>
    <rPh sb="0" eb="4">
      <t>タイリョクソクテイ</t>
    </rPh>
    <phoneticPr fontId="2"/>
  </si>
  <si>
    <t>アンパンマン</t>
    <phoneticPr fontId="2"/>
  </si>
  <si>
    <t>かくれんぼ大作戦</t>
    <rPh sb="5" eb="8">
      <t>ダイサクセン</t>
    </rPh>
    <phoneticPr fontId="2"/>
  </si>
  <si>
    <t>アンパンマン</t>
  </si>
  <si>
    <t>Buzzミニ1</t>
    <phoneticPr fontId="2"/>
  </si>
  <si>
    <t>日商</t>
    <rPh sb="0" eb="2">
      <t>ニッショウ</t>
    </rPh>
    <phoneticPr fontId="2"/>
  </si>
  <si>
    <t>霧島隼人</t>
    <rPh sb="0" eb="4">
      <t>キリシマハヤト</t>
    </rPh>
    <phoneticPr fontId="2"/>
  </si>
  <si>
    <t>ポケクレマルチ</t>
    <phoneticPr fontId="2"/>
  </si>
  <si>
    <t>トリプルクレーン</t>
    <phoneticPr fontId="2"/>
  </si>
  <si>
    <t>ジャリクレ</t>
    <phoneticPr fontId="2"/>
  </si>
  <si>
    <t>BP0318</t>
    <phoneticPr fontId="2"/>
  </si>
  <si>
    <t>BP0328</t>
    <phoneticPr fontId="2"/>
  </si>
  <si>
    <t>ガムガチャ100</t>
    <phoneticPr fontId="2"/>
  </si>
  <si>
    <t>GB0303</t>
    <phoneticPr fontId="2"/>
  </si>
  <si>
    <t>GB0555</t>
    <phoneticPr fontId="2"/>
  </si>
  <si>
    <t>BP0763</t>
    <phoneticPr fontId="2"/>
  </si>
  <si>
    <t>GB0771</t>
    <phoneticPr fontId="2"/>
  </si>
  <si>
    <t>1000円ガチャ</t>
    <rPh sb="4" eb="5">
      <t>エン</t>
    </rPh>
    <phoneticPr fontId="2"/>
  </si>
  <si>
    <t>BP1025</t>
    <phoneticPr fontId="2"/>
  </si>
  <si>
    <t>BP1027</t>
    <phoneticPr fontId="2"/>
  </si>
  <si>
    <t>GB0139</t>
    <phoneticPr fontId="2"/>
  </si>
  <si>
    <t>バタースクイーズ</t>
  </si>
  <si>
    <t>キティサンダルキーホルダー</t>
  </si>
  <si>
    <t>バターSQ</t>
  </si>
  <si>
    <t>GAMETWS</t>
  </si>
  <si>
    <t>ラブブ風キーホルダー</t>
  </si>
  <si>
    <t>1000円ガチャ</t>
    <phoneticPr fontId="2"/>
  </si>
  <si>
    <t>ドン・キホーテ南熊本店</t>
    <phoneticPr fontId="2"/>
  </si>
  <si>
    <t>ドン・キホーテ下通店　</t>
    <rPh sb="0" eb="4">
      <t>ドン・キホーテシモ</t>
    </rPh>
    <phoneticPr fontId="2"/>
  </si>
  <si>
    <t>下通り店</t>
    <rPh sb="3" eb="4">
      <t>テn</t>
    </rPh>
    <phoneticPr fontId="2"/>
  </si>
  <si>
    <t>ドン・キホーテ合志店</t>
    <rPh sb="7" eb="10">
      <t>コウシテン</t>
    </rPh>
    <phoneticPr fontId="2"/>
  </si>
  <si>
    <t>MEGAドン・キホーテ菊陽店</t>
    <rPh sb="11" eb="14">
      <t>キクヨウ</t>
    </rPh>
    <phoneticPr fontId="2"/>
  </si>
  <si>
    <t>ドン・キホーテ鹿児島宇宿店</t>
    <phoneticPr fontId="2"/>
  </si>
  <si>
    <t>ドン・キホーテ鹿児島中央一番街店</t>
    <phoneticPr fontId="2"/>
  </si>
  <si>
    <t>ドン・キホーテ天文館店</t>
    <phoneticPr fontId="2"/>
  </si>
  <si>
    <t>ドン・キホーテ薩摩川内店</t>
    <rPh sb="7" eb="12">
      <t>サツマセn</t>
    </rPh>
    <phoneticPr fontId="2"/>
  </si>
  <si>
    <t>MEGAドン・キホーテ霧島隼人店</t>
    <rPh sb="11" eb="16">
      <t>キリシマ</t>
    </rPh>
    <phoneticPr fontId="2"/>
  </si>
  <si>
    <t>MEGAドン・キホーテ鹿屋店</t>
    <rPh sb="11" eb="14">
      <t>カノヤ</t>
    </rPh>
    <phoneticPr fontId="2"/>
  </si>
  <si>
    <t>MEGAドン・キホーテ都城店</t>
    <rPh sb="11" eb="14">
      <t>ミヤ</t>
    </rPh>
    <phoneticPr fontId="2"/>
  </si>
  <si>
    <t>２千円ガチャ</t>
    <phoneticPr fontId="2"/>
  </si>
  <si>
    <t>集金</t>
    <rPh sb="0" eb="2">
      <t>シュウキn</t>
    </rPh>
    <phoneticPr fontId="2"/>
  </si>
  <si>
    <t>集金</t>
  </si>
  <si>
    <t>サンリオ</t>
  </si>
  <si>
    <t>サンリオスイーツマスコット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</si>
</sst>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¥&quot;#,##0;[Red]&quot;¥&quot;\-#,##0"/>
    <numFmt numFmtId="176" formatCode="m/d;@"/>
    <numFmt numFmtId="177" formatCode="aaa"/>
    <numFmt numFmtId="178" formatCode="0_);[Red]\(0\)"/>
    <numFmt numFmtId="179" formatCode="yyyy/m/d/aaa"/>
    <numFmt numFmtId="180" formatCode="m/d/aaa"/>
    <numFmt numFmtId="181" formatCode="d;@"/>
  </numFmts>
  <fonts count="21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name val="Meiryo UI"/>
      <family val="3"/>
      <charset val="128"/>
    </font>
    <font>
      <sz val="8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6"/>
      <color theme="1"/>
      <name val="Meiryo UI"/>
      <family val="3"/>
      <charset val="128"/>
    </font>
    <font>
      <sz val="8"/>
      <color theme="1"/>
      <name val="ＭＳ Ｐゴシック"/>
      <family val="3"/>
      <charset val="128"/>
    </font>
    <font>
      <b/>
      <sz val="10"/>
      <color theme="1"/>
      <name val="Meiryo UI"/>
      <family val="3"/>
      <charset val="128"/>
    </font>
    <font>
      <sz val="8"/>
      <color theme="1"/>
      <name val="Meiryo"/>
      <family val="3"/>
      <charset val="128"/>
    </font>
    <font>
      <u/>
      <sz val="10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theme="1"/>
      <name val="MS Gothic"/>
      <family val="2"/>
      <charset val="128"/>
    </font>
    <font>
      <sz val="11"/>
      <color rgb="FF000000"/>
      <name val="MS Gothic"/>
      <family val="2"/>
      <charset val="128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rgb="FFC5E0B3"/>
      </patternFill>
    </fill>
    <fill>
      <patternFill patternType="solid">
        <fgColor theme="9" tint="0.39997558519241921"/>
        <bgColor rgb="FFFBE4D5"/>
      </patternFill>
    </fill>
    <fill>
      <patternFill patternType="solid">
        <fgColor theme="4" tint="0.39997558519241921"/>
        <bgColor rgb="FFFBE4D5"/>
      </patternFill>
    </fill>
    <fill>
      <patternFill patternType="solid">
        <fgColor theme="8" tint="0.79998168889431442"/>
        <bgColor rgb="FFFBE4D5"/>
      </patternFill>
    </fill>
  </fills>
  <borders count="1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505050"/>
      </top>
      <bottom style="double">
        <color rgb="FF50505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1"/>
    <xf numFmtId="0" fontId="1" fillId="0" borderId="1">
      <alignment vertical="center"/>
    </xf>
    <xf numFmtId="9" fontId="3" fillId="0" borderId="1" applyFont="0" applyFill="0" applyBorder="0" applyAlignment="0" applyProtection="0">
      <alignment vertical="center"/>
    </xf>
    <xf numFmtId="38" fontId="3" fillId="0" borderId="1" applyFont="0" applyFill="0" applyBorder="0" applyAlignment="0" applyProtection="0">
      <alignment vertical="center"/>
    </xf>
    <xf numFmtId="0" fontId="3" fillId="0" borderId="1"/>
    <xf numFmtId="38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439">
    <xf numFmtId="0" fontId="0" fillId="0" borderId="0" xfId="0" applyAlignment="1">
      <alignment vertical="center"/>
    </xf>
    <xf numFmtId="0" fontId="5" fillId="0" borderId="1" xfId="5" applyFont="1"/>
    <xf numFmtId="9" fontId="5" fillId="7" borderId="13" xfId="5" applyNumberFormat="1" applyFont="1" applyFill="1" applyBorder="1" applyAlignment="1">
      <alignment vertical="center"/>
    </xf>
    <xf numFmtId="38" fontId="5" fillId="7" borderId="13" xfId="5" applyNumberFormat="1" applyFont="1" applyFill="1" applyBorder="1" applyAlignment="1">
      <alignment horizontal="center" vertical="center"/>
    </xf>
    <xf numFmtId="10" fontId="5" fillId="0" borderId="14" xfId="3" applyNumberFormat="1" applyFont="1" applyBorder="1" applyAlignment="1">
      <alignment vertical="center"/>
    </xf>
    <xf numFmtId="38" fontId="5" fillId="7" borderId="15" xfId="5" applyNumberFormat="1" applyFont="1" applyFill="1" applyBorder="1" applyAlignment="1">
      <alignment vertical="center"/>
    </xf>
    <xf numFmtId="38" fontId="5" fillId="7" borderId="15" xfId="5" applyNumberFormat="1" applyFont="1" applyFill="1" applyBorder="1" applyAlignment="1">
      <alignment horizontal="center" vertical="center"/>
    </xf>
    <xf numFmtId="38" fontId="5" fillId="0" borderId="16" xfId="5" applyNumberFormat="1" applyFont="1" applyBorder="1" applyAlignment="1">
      <alignment vertical="center"/>
    </xf>
    <xf numFmtId="38" fontId="5" fillId="0" borderId="15" xfId="5" applyNumberFormat="1" applyFont="1" applyBorder="1" applyAlignment="1">
      <alignment vertical="center"/>
    </xf>
    <xf numFmtId="38" fontId="5" fillId="0" borderId="15" xfId="5" applyNumberFormat="1" applyFont="1" applyBorder="1" applyAlignment="1">
      <alignment horizontal="center" vertical="center"/>
    </xf>
    <xf numFmtId="38" fontId="5" fillId="0" borderId="17" xfId="4" applyFont="1" applyBorder="1" applyAlignment="1">
      <alignment shrinkToFit="1"/>
    </xf>
    <xf numFmtId="0" fontId="5" fillId="0" borderId="1" xfId="5" applyFont="1" applyAlignment="1">
      <alignment shrinkToFit="1"/>
    </xf>
    <xf numFmtId="9" fontId="5" fillId="0" borderId="15" xfId="5" applyNumberFormat="1" applyFont="1" applyBorder="1" applyAlignment="1">
      <alignment vertical="center" shrinkToFit="1"/>
    </xf>
    <xf numFmtId="38" fontId="5" fillId="0" borderId="15" xfId="5" applyNumberFormat="1" applyFont="1" applyBorder="1" applyAlignment="1">
      <alignment horizontal="center" vertical="center" shrinkToFit="1"/>
    </xf>
    <xf numFmtId="38" fontId="5" fillId="0" borderId="16" xfId="5" applyNumberFormat="1" applyFont="1" applyBorder="1" applyAlignment="1">
      <alignment horizontal="center" vertical="center"/>
    </xf>
    <xf numFmtId="0" fontId="5" fillId="0" borderId="17" xfId="5" applyFont="1" applyBorder="1" applyAlignment="1">
      <alignment horizontal="center"/>
    </xf>
    <xf numFmtId="0" fontId="6" fillId="4" borderId="17" xfId="5" applyFont="1" applyFill="1" applyBorder="1" applyAlignment="1">
      <alignment vertical="center"/>
    </xf>
    <xf numFmtId="178" fontId="5" fillId="0" borderId="17" xfId="5" applyNumberFormat="1" applyFont="1" applyBorder="1" applyAlignment="1">
      <alignment horizontal="center" vertical="center"/>
    </xf>
    <xf numFmtId="9" fontId="5" fillId="7" borderId="15" xfId="5" applyNumberFormat="1" applyFont="1" applyFill="1" applyBorder="1" applyAlignment="1">
      <alignment vertical="center"/>
    </xf>
    <xf numFmtId="10" fontId="5" fillId="0" borderId="16" xfId="3" applyNumberFormat="1" applyFont="1" applyBorder="1" applyAlignment="1">
      <alignment vertical="center"/>
    </xf>
    <xf numFmtId="38" fontId="5" fillId="0" borderId="18" xfId="5" applyNumberFormat="1" applyFont="1" applyBorder="1" applyAlignment="1">
      <alignment vertical="center"/>
    </xf>
    <xf numFmtId="38" fontId="5" fillId="0" borderId="18" xfId="5" applyNumberFormat="1" applyFont="1" applyBorder="1" applyAlignment="1">
      <alignment horizontal="center" vertical="center"/>
    </xf>
    <xf numFmtId="178" fontId="5" fillId="0" borderId="19" xfId="5" applyNumberFormat="1" applyFont="1" applyBorder="1" applyAlignment="1">
      <alignment horizontal="center" vertical="center"/>
    </xf>
    <xf numFmtId="9" fontId="5" fillId="7" borderId="7" xfId="5" applyNumberFormat="1" applyFont="1" applyFill="1" applyBorder="1" applyAlignment="1">
      <alignment vertical="center"/>
    </xf>
    <xf numFmtId="38" fontId="5" fillId="7" borderId="7" xfId="5" applyNumberFormat="1" applyFont="1" applyFill="1" applyBorder="1" applyAlignment="1">
      <alignment horizontal="center" vertical="center"/>
    </xf>
    <xf numFmtId="10" fontId="5" fillId="0" borderId="5" xfId="3" applyNumberFormat="1" applyFont="1" applyBorder="1" applyAlignment="1">
      <alignment vertical="center"/>
    </xf>
    <xf numFmtId="38" fontId="5" fillId="7" borderId="2" xfId="5" applyNumberFormat="1" applyFont="1" applyFill="1" applyBorder="1" applyAlignment="1">
      <alignment vertical="center"/>
    </xf>
    <xf numFmtId="38" fontId="5" fillId="7" borderId="2" xfId="5" applyNumberFormat="1" applyFont="1" applyFill="1" applyBorder="1" applyAlignment="1">
      <alignment horizontal="center" vertical="center"/>
    </xf>
    <xf numFmtId="38" fontId="5" fillId="0" borderId="8" xfId="5" applyNumberFormat="1" applyFont="1" applyBorder="1" applyAlignment="1">
      <alignment vertical="center"/>
    </xf>
    <xf numFmtId="38" fontId="5" fillId="0" borderId="2" xfId="5" applyNumberFormat="1" applyFont="1" applyBorder="1" applyAlignment="1">
      <alignment vertical="center"/>
    </xf>
    <xf numFmtId="38" fontId="5" fillId="0" borderId="2" xfId="5" applyNumberFormat="1" applyFont="1" applyBorder="1" applyAlignment="1">
      <alignment horizontal="center" vertical="center"/>
    </xf>
    <xf numFmtId="38" fontId="5" fillId="0" borderId="9" xfId="4" applyFont="1" applyBorder="1" applyAlignment="1">
      <alignment shrinkToFit="1"/>
    </xf>
    <xf numFmtId="9" fontId="5" fillId="0" borderId="2" xfId="5" applyNumberFormat="1" applyFont="1" applyBorder="1" applyAlignment="1">
      <alignment vertical="center" shrinkToFit="1"/>
    </xf>
    <xf numFmtId="38" fontId="5" fillId="0" borderId="2" xfId="5" applyNumberFormat="1" applyFont="1" applyBorder="1" applyAlignment="1">
      <alignment horizontal="center" vertical="center" shrinkToFit="1"/>
    </xf>
    <xf numFmtId="0" fontId="5" fillId="0" borderId="9" xfId="5" applyFont="1" applyBorder="1"/>
    <xf numFmtId="38" fontId="5" fillId="0" borderId="4" xfId="5" applyNumberFormat="1" applyFont="1" applyBorder="1" applyAlignment="1">
      <alignment vertical="center"/>
    </xf>
    <xf numFmtId="38" fontId="5" fillId="0" borderId="8" xfId="5" applyNumberFormat="1" applyFont="1" applyBorder="1" applyAlignment="1">
      <alignment horizontal="center" vertical="center"/>
    </xf>
    <xf numFmtId="0" fontId="6" fillId="4" borderId="10" xfId="5" applyFont="1" applyFill="1" applyBorder="1" applyAlignment="1">
      <alignment vertical="center"/>
    </xf>
    <xf numFmtId="38" fontId="5" fillId="0" borderId="11" xfId="5" applyNumberFormat="1" applyFont="1" applyBorder="1" applyAlignment="1">
      <alignment vertical="center"/>
    </xf>
    <xf numFmtId="38" fontId="5" fillId="0" borderId="11" xfId="5" applyNumberFormat="1" applyFont="1" applyBorder="1" applyAlignment="1">
      <alignment horizontal="center" vertical="center"/>
    </xf>
    <xf numFmtId="178" fontId="5" fillId="0" borderId="12" xfId="5" applyNumberFormat="1" applyFont="1" applyBorder="1" applyAlignment="1">
      <alignment horizontal="center" vertical="center"/>
    </xf>
    <xf numFmtId="0" fontId="5" fillId="0" borderId="9" xfId="5" applyFont="1" applyBorder="1" applyAlignment="1">
      <alignment horizontal="center"/>
    </xf>
    <xf numFmtId="38" fontId="5" fillId="0" borderId="4" xfId="5" applyNumberFormat="1" applyFont="1" applyBorder="1" applyAlignment="1">
      <alignment horizontal="center" vertical="center"/>
    </xf>
    <xf numFmtId="178" fontId="5" fillId="0" borderId="9" xfId="5" applyNumberFormat="1" applyFont="1" applyBorder="1" applyAlignment="1">
      <alignment horizontal="center" vertical="center"/>
    </xf>
    <xf numFmtId="9" fontId="5" fillId="7" borderId="2" xfId="5" applyNumberFormat="1" applyFont="1" applyFill="1" applyBorder="1" applyAlignment="1">
      <alignment vertical="center"/>
    </xf>
    <xf numFmtId="178" fontId="5" fillId="0" borderId="3" xfId="5" applyNumberFormat="1" applyFont="1" applyBorder="1" applyAlignment="1">
      <alignment vertical="center"/>
    </xf>
    <xf numFmtId="38" fontId="5" fillId="0" borderId="3" xfId="4" applyFont="1" applyBorder="1" applyAlignment="1">
      <alignment horizontal="center" vertical="center"/>
    </xf>
    <xf numFmtId="38" fontId="5" fillId="0" borderId="1" xfId="5" applyNumberFormat="1" applyFont="1"/>
    <xf numFmtId="180" fontId="5" fillId="0" borderId="2" xfId="5" applyNumberFormat="1" applyFont="1" applyBorder="1" applyAlignment="1">
      <alignment vertical="center"/>
    </xf>
    <xf numFmtId="179" fontId="5" fillId="0" borderId="2" xfId="5" applyNumberFormat="1" applyFont="1" applyBorder="1" applyAlignment="1">
      <alignment horizontal="center" vertical="center"/>
    </xf>
    <xf numFmtId="38" fontId="5" fillId="0" borderId="1" xfId="4" applyFont="1" applyAlignment="1">
      <alignment vertical="center"/>
    </xf>
    <xf numFmtId="0" fontId="7" fillId="0" borderId="1" xfId="5" applyFont="1"/>
    <xf numFmtId="9" fontId="5" fillId="6" borderId="7" xfId="5" applyNumberFormat="1" applyFont="1" applyFill="1" applyBorder="1" applyAlignment="1">
      <alignment vertical="center"/>
    </xf>
    <xf numFmtId="38" fontId="5" fillId="6" borderId="7" xfId="5" applyNumberFormat="1" applyFont="1" applyFill="1" applyBorder="1" applyAlignment="1">
      <alignment horizontal="center" vertical="center"/>
    </xf>
    <xf numFmtId="38" fontId="5" fillId="6" borderId="2" xfId="5" applyNumberFormat="1" applyFont="1" applyFill="1" applyBorder="1" applyAlignment="1">
      <alignment vertical="center"/>
    </xf>
    <xf numFmtId="38" fontId="5" fillId="6" borderId="2" xfId="5" applyNumberFormat="1" applyFont="1" applyFill="1" applyBorder="1" applyAlignment="1">
      <alignment horizontal="center" vertical="center"/>
    </xf>
    <xf numFmtId="0" fontId="6" fillId="4" borderId="10" xfId="5" applyFont="1" applyFill="1" applyBorder="1" applyAlignment="1">
      <alignment vertical="center" shrinkToFit="1"/>
    </xf>
    <xf numFmtId="9" fontId="5" fillId="6" borderId="13" xfId="5" applyNumberFormat="1" applyFont="1" applyFill="1" applyBorder="1" applyAlignment="1">
      <alignment vertical="center"/>
    </xf>
    <xf numFmtId="38" fontId="5" fillId="6" borderId="13" xfId="5" applyNumberFormat="1" applyFont="1" applyFill="1" applyBorder="1" applyAlignment="1">
      <alignment horizontal="center" vertical="center"/>
    </xf>
    <xf numFmtId="38" fontId="5" fillId="6" borderId="15" xfId="5" applyNumberFormat="1" applyFont="1" applyFill="1" applyBorder="1" applyAlignment="1">
      <alignment vertical="center"/>
    </xf>
    <xf numFmtId="38" fontId="5" fillId="6" borderId="15" xfId="5" applyNumberFormat="1" applyFont="1" applyFill="1" applyBorder="1" applyAlignment="1">
      <alignment horizontal="center" vertical="center"/>
    </xf>
    <xf numFmtId="0" fontId="6" fillId="4" borderId="17" xfId="5" applyFont="1" applyFill="1" applyBorder="1" applyAlignment="1">
      <alignment vertical="center" shrinkToFit="1"/>
    </xf>
    <xf numFmtId="9" fontId="5" fillId="6" borderId="15" xfId="5" applyNumberFormat="1" applyFont="1" applyFill="1" applyBorder="1" applyAlignment="1">
      <alignment vertical="center"/>
    </xf>
    <xf numFmtId="9" fontId="5" fillId="5" borderId="2" xfId="5" applyNumberFormat="1" applyFont="1" applyFill="1" applyBorder="1" applyAlignment="1">
      <alignment vertical="center" shrinkToFit="1"/>
    </xf>
    <xf numFmtId="38" fontId="5" fillId="5" borderId="4" xfId="5" applyNumberFormat="1" applyFont="1" applyFill="1" applyBorder="1" applyAlignment="1">
      <alignment vertical="center"/>
    </xf>
    <xf numFmtId="38" fontId="5" fillId="5" borderId="2" xfId="5" applyNumberFormat="1" applyFont="1" applyFill="1" applyBorder="1" applyAlignment="1">
      <alignment vertical="center"/>
    </xf>
    <xf numFmtId="38" fontId="5" fillId="5" borderId="11" xfId="5" applyNumberFormat="1" applyFont="1" applyFill="1" applyBorder="1" applyAlignment="1">
      <alignment vertical="center"/>
    </xf>
    <xf numFmtId="9" fontId="5" fillId="5" borderId="7" xfId="5" applyNumberFormat="1" applyFont="1" applyFill="1" applyBorder="1" applyAlignment="1">
      <alignment vertical="center"/>
    </xf>
    <xf numFmtId="9" fontId="5" fillId="5" borderId="2" xfId="5" applyNumberFormat="1" applyFont="1" applyFill="1" applyBorder="1" applyAlignment="1">
      <alignment vertical="center"/>
    </xf>
    <xf numFmtId="0" fontId="7" fillId="0" borderId="1" xfId="1" applyFont="1"/>
    <xf numFmtId="38" fontId="10" fillId="0" borderId="1" xfId="6" applyFont="1" applyBorder="1" applyAlignment="1"/>
    <xf numFmtId="38" fontId="7" fillId="0" borderId="1" xfId="6" applyFont="1" applyBorder="1" applyAlignment="1"/>
    <xf numFmtId="0" fontId="9" fillId="0" borderId="1" xfId="5" applyFont="1"/>
    <xf numFmtId="38" fontId="5" fillId="5" borderId="18" xfId="5" applyNumberFormat="1" applyFont="1" applyFill="1" applyBorder="1" applyAlignment="1">
      <alignment vertical="center"/>
    </xf>
    <xf numFmtId="38" fontId="5" fillId="5" borderId="15" xfId="5" applyNumberFormat="1" applyFont="1" applyFill="1" applyBorder="1" applyAlignment="1">
      <alignment vertical="center"/>
    </xf>
    <xf numFmtId="9" fontId="5" fillId="5" borderId="15" xfId="5" applyNumberFormat="1" applyFont="1" applyFill="1" applyBorder="1" applyAlignment="1">
      <alignment vertical="center" shrinkToFit="1"/>
    </xf>
    <xf numFmtId="9" fontId="5" fillId="5" borderId="15" xfId="5" applyNumberFormat="1" applyFont="1" applyFill="1" applyBorder="1" applyAlignment="1">
      <alignment vertical="center"/>
    </xf>
    <xf numFmtId="9" fontId="5" fillId="5" borderId="13" xfId="5" applyNumberFormat="1" applyFont="1" applyFill="1" applyBorder="1" applyAlignment="1">
      <alignment vertical="center"/>
    </xf>
    <xf numFmtId="38" fontId="9" fillId="0" borderId="1" xfId="6" applyFont="1" applyFill="1" applyBorder="1" applyAlignment="1">
      <alignment vertical="center"/>
    </xf>
    <xf numFmtId="0" fontId="4" fillId="0" borderId="0" xfId="0" applyFont="1" applyAlignment="1">
      <alignment vertical="center"/>
    </xf>
    <xf numFmtId="38" fontId="4" fillId="0" borderId="0" xfId="0" applyNumberFormat="1" applyFont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38" fontId="4" fillId="0" borderId="1" xfId="0" applyNumberFormat="1" applyFont="1" applyBorder="1" applyAlignment="1">
      <alignment vertical="center"/>
    </xf>
    <xf numFmtId="38" fontId="11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9" fontId="9" fillId="0" borderId="4" xfId="5" applyNumberFormat="1" applyFont="1" applyBorder="1" applyAlignment="1">
      <alignment horizontal="center" vertical="center"/>
    </xf>
    <xf numFmtId="180" fontId="9" fillId="0" borderId="4" xfId="5" applyNumberFormat="1" applyFont="1" applyBorder="1" applyAlignment="1">
      <alignment vertical="center"/>
    </xf>
    <xf numFmtId="38" fontId="12" fillId="2" borderId="1" xfId="0" applyNumberFormat="1" applyFont="1" applyFill="1" applyBorder="1" applyAlignment="1">
      <alignment horizontal="center" vertical="center"/>
    </xf>
    <xf numFmtId="38" fontId="5" fillId="8" borderId="1" xfId="0" applyNumberFormat="1" applyFont="1" applyFill="1" applyBorder="1" applyAlignment="1">
      <alignment horizontal="center" vertical="center"/>
    </xf>
    <xf numFmtId="38" fontId="5" fillId="9" borderId="1" xfId="0" applyNumberFormat="1" applyFont="1" applyFill="1" applyBorder="1" applyAlignment="1">
      <alignment horizontal="center" vertical="center"/>
    </xf>
    <xf numFmtId="0" fontId="5" fillId="0" borderId="0" xfId="5" applyFont="1" applyBorder="1"/>
    <xf numFmtId="0" fontId="5" fillId="0" borderId="0" xfId="5" applyFont="1" applyBorder="1" applyAlignment="1">
      <alignment shrinkToFit="1"/>
    </xf>
    <xf numFmtId="38" fontId="4" fillId="0" borderId="1" xfId="0" applyNumberFormat="1" applyFont="1" applyBorder="1" applyAlignment="1">
      <alignment vertical="center" shrinkToFit="1"/>
    </xf>
    <xf numFmtId="38" fontId="5" fillId="7" borderId="24" xfId="5" applyNumberFormat="1" applyFont="1" applyFill="1" applyBorder="1" applyAlignment="1">
      <alignment horizontal="center" vertical="center"/>
    </xf>
    <xf numFmtId="9" fontId="5" fillId="7" borderId="24" xfId="5" applyNumberFormat="1" applyFont="1" applyFill="1" applyBorder="1" applyAlignment="1">
      <alignment vertical="center"/>
    </xf>
    <xf numFmtId="178" fontId="5" fillId="0" borderId="25" xfId="5" applyNumberFormat="1" applyFont="1" applyBorder="1" applyAlignment="1">
      <alignment horizontal="center" vertical="center"/>
    </xf>
    <xf numFmtId="38" fontId="5" fillId="0" borderId="26" xfId="5" applyNumberFormat="1" applyFont="1" applyBorder="1" applyAlignment="1">
      <alignment horizontal="center" vertical="center"/>
    </xf>
    <xf numFmtId="38" fontId="5" fillId="0" borderId="26" xfId="5" applyNumberFormat="1" applyFont="1" applyBorder="1" applyAlignment="1">
      <alignment vertical="center"/>
    </xf>
    <xf numFmtId="0" fontId="5" fillId="3" borderId="9" xfId="5" applyFont="1" applyFill="1" applyBorder="1"/>
    <xf numFmtId="38" fontId="5" fillId="3" borderId="9" xfId="4" applyFont="1" applyFill="1" applyBorder="1" applyAlignment="1">
      <alignment shrinkToFit="1"/>
    </xf>
    <xf numFmtId="38" fontId="7" fillId="0" borderId="0" xfId="6" applyFont="1" applyAlignment="1"/>
    <xf numFmtId="38" fontId="7" fillId="0" borderId="1" xfId="1" applyNumberFormat="1" applyFont="1"/>
    <xf numFmtId="38" fontId="12" fillId="10" borderId="0" xfId="0" applyNumberFormat="1" applyFont="1" applyFill="1" applyAlignment="1">
      <alignment horizontal="center" vertical="center"/>
    </xf>
    <xf numFmtId="38" fontId="12" fillId="10" borderId="1" xfId="0" applyNumberFormat="1" applyFont="1" applyFill="1" applyBorder="1" applyAlignment="1">
      <alignment horizontal="center" vertical="center"/>
    </xf>
    <xf numFmtId="38" fontId="5" fillId="10" borderId="1" xfId="0" applyNumberFormat="1" applyFont="1" applyFill="1" applyBorder="1" applyAlignment="1">
      <alignment horizontal="center" vertical="center"/>
    </xf>
    <xf numFmtId="38" fontId="5" fillId="0" borderId="0" xfId="6" applyFont="1" applyAlignment="1"/>
    <xf numFmtId="9" fontId="5" fillId="5" borderId="24" xfId="5" applyNumberFormat="1" applyFont="1" applyFill="1" applyBorder="1" applyAlignment="1">
      <alignment vertical="center"/>
    </xf>
    <xf numFmtId="38" fontId="5" fillId="5" borderId="26" xfId="5" applyNumberFormat="1" applyFont="1" applyFill="1" applyBorder="1" applyAlignment="1">
      <alignment vertical="center"/>
    </xf>
    <xf numFmtId="0" fontId="7" fillId="0" borderId="0" xfId="1" applyFont="1" applyBorder="1"/>
    <xf numFmtId="38" fontId="5" fillId="5" borderId="3" xfId="5" applyNumberFormat="1" applyFont="1" applyFill="1" applyBorder="1" applyAlignment="1">
      <alignment vertical="center"/>
    </xf>
    <xf numFmtId="38" fontId="5" fillId="11" borderId="1" xfId="0" applyNumberFormat="1" applyFont="1" applyFill="1" applyBorder="1" applyAlignment="1">
      <alignment horizontal="center" vertical="center"/>
    </xf>
    <xf numFmtId="38" fontId="5" fillId="11" borderId="0" xfId="0" applyNumberFormat="1" applyFont="1" applyFill="1" applyAlignment="1">
      <alignment horizontal="center" vertical="center"/>
    </xf>
    <xf numFmtId="178" fontId="5" fillId="5" borderId="3" xfId="5" applyNumberFormat="1" applyFont="1" applyFill="1" applyBorder="1" applyAlignment="1">
      <alignment vertical="center"/>
    </xf>
    <xf numFmtId="38" fontId="5" fillId="3" borderId="18" xfId="5" applyNumberFormat="1" applyFont="1" applyFill="1" applyBorder="1" applyAlignment="1">
      <alignment vertical="center"/>
    </xf>
    <xf numFmtId="38" fontId="5" fillId="3" borderId="15" xfId="5" applyNumberFormat="1" applyFont="1" applyFill="1" applyBorder="1" applyAlignment="1">
      <alignment vertical="center"/>
    </xf>
    <xf numFmtId="9" fontId="5" fillId="3" borderId="15" xfId="5" applyNumberFormat="1" applyFont="1" applyFill="1" applyBorder="1" applyAlignment="1">
      <alignment vertical="center" shrinkToFit="1"/>
    </xf>
    <xf numFmtId="9" fontId="5" fillId="3" borderId="15" xfId="5" applyNumberFormat="1" applyFont="1" applyFill="1" applyBorder="1" applyAlignment="1">
      <alignment vertical="center"/>
    </xf>
    <xf numFmtId="9" fontId="5" fillId="3" borderId="13" xfId="5" applyNumberFormat="1" applyFont="1" applyFill="1" applyBorder="1" applyAlignment="1">
      <alignment vertical="center"/>
    </xf>
    <xf numFmtId="38" fontId="5" fillId="3" borderId="11" xfId="5" applyNumberFormat="1" applyFont="1" applyFill="1" applyBorder="1" applyAlignment="1">
      <alignment vertical="center"/>
    </xf>
    <xf numFmtId="38" fontId="5" fillId="3" borderId="2" xfId="5" applyNumberFormat="1" applyFont="1" applyFill="1" applyBorder="1" applyAlignment="1">
      <alignment vertical="center"/>
    </xf>
    <xf numFmtId="9" fontId="5" fillId="3" borderId="2" xfId="5" applyNumberFormat="1" applyFont="1" applyFill="1" applyBorder="1" applyAlignment="1">
      <alignment vertical="center" shrinkToFit="1"/>
    </xf>
    <xf numFmtId="9" fontId="5" fillId="3" borderId="7" xfId="5" applyNumberFormat="1" applyFont="1" applyFill="1" applyBorder="1" applyAlignment="1">
      <alignment vertical="center"/>
    </xf>
    <xf numFmtId="38" fontId="5" fillId="3" borderId="3" xfId="5" applyNumberFormat="1" applyFont="1" applyFill="1" applyBorder="1" applyAlignment="1">
      <alignment vertical="center"/>
    </xf>
    <xf numFmtId="178" fontId="5" fillId="6" borderId="3" xfId="5" applyNumberFormat="1" applyFont="1" applyFill="1" applyBorder="1" applyAlignment="1">
      <alignment vertical="center"/>
    </xf>
    <xf numFmtId="38" fontId="5" fillId="6" borderId="11" xfId="5" applyNumberFormat="1" applyFont="1" applyFill="1" applyBorder="1" applyAlignment="1">
      <alignment vertical="center"/>
    </xf>
    <xf numFmtId="38" fontId="5" fillId="6" borderId="4" xfId="5" applyNumberFormat="1" applyFont="1" applyFill="1" applyBorder="1" applyAlignment="1">
      <alignment vertical="center"/>
    </xf>
    <xf numFmtId="9" fontId="5" fillId="6" borderId="2" xfId="5" applyNumberFormat="1" applyFont="1" applyFill="1" applyBorder="1" applyAlignment="1">
      <alignment vertical="center" shrinkToFit="1"/>
    </xf>
    <xf numFmtId="38" fontId="5" fillId="6" borderId="18" xfId="5" applyNumberFormat="1" applyFont="1" applyFill="1" applyBorder="1" applyAlignment="1">
      <alignment vertical="center"/>
    </xf>
    <xf numFmtId="9" fontId="5" fillId="6" borderId="15" xfId="5" applyNumberFormat="1" applyFont="1" applyFill="1" applyBorder="1" applyAlignment="1">
      <alignment vertical="center" shrinkToFit="1"/>
    </xf>
    <xf numFmtId="9" fontId="5" fillId="6" borderId="2" xfId="5" applyNumberFormat="1" applyFont="1" applyFill="1" applyBorder="1" applyAlignment="1">
      <alignment vertical="center"/>
    </xf>
    <xf numFmtId="9" fontId="5" fillId="6" borderId="24" xfId="5" applyNumberFormat="1" applyFont="1" applyFill="1" applyBorder="1" applyAlignment="1">
      <alignment vertical="center"/>
    </xf>
    <xf numFmtId="38" fontId="5" fillId="6" borderId="26" xfId="5" applyNumberFormat="1" applyFont="1" applyFill="1" applyBorder="1" applyAlignment="1">
      <alignment vertical="center"/>
    </xf>
    <xf numFmtId="38" fontId="4" fillId="0" borderId="29" xfId="0" applyNumberFormat="1" applyFont="1" applyBorder="1" applyAlignment="1">
      <alignment vertical="center" shrinkToFit="1"/>
    </xf>
    <xf numFmtId="38" fontId="4" fillId="0" borderId="30" xfId="0" applyNumberFormat="1" applyFont="1" applyBorder="1" applyAlignment="1">
      <alignment vertical="center"/>
    </xf>
    <xf numFmtId="38" fontId="4" fillId="0" borderId="3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shrinkToFit="1"/>
    </xf>
    <xf numFmtId="0" fontId="11" fillId="0" borderId="1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38" fontId="11" fillId="0" borderId="1" xfId="0" applyNumberFormat="1" applyFont="1" applyBorder="1" applyAlignment="1">
      <alignment horizontal="left" vertical="center"/>
    </xf>
    <xf numFmtId="38" fontId="5" fillId="0" borderId="1" xfId="0" applyNumberFormat="1" applyFont="1" applyBorder="1" applyAlignment="1">
      <alignment vertical="center"/>
    </xf>
    <xf numFmtId="38" fontId="11" fillId="0" borderId="30" xfId="0" applyNumberFormat="1" applyFont="1" applyBorder="1" applyAlignment="1">
      <alignment vertical="center"/>
    </xf>
    <xf numFmtId="38" fontId="4" fillId="0" borderId="32" xfId="0" applyNumberFormat="1" applyFont="1" applyBorder="1" applyAlignment="1">
      <alignment vertical="center" shrinkToFit="1"/>
    </xf>
    <xf numFmtId="38" fontId="4" fillId="0" borderId="33" xfId="0" applyNumberFormat="1" applyFont="1" applyBorder="1" applyAlignment="1">
      <alignment vertical="center"/>
    </xf>
    <xf numFmtId="38" fontId="11" fillId="0" borderId="33" xfId="0" applyNumberFormat="1" applyFont="1" applyBorder="1" applyAlignment="1">
      <alignment vertical="center"/>
    </xf>
    <xf numFmtId="38" fontId="4" fillId="0" borderId="34" xfId="0" applyNumberFormat="1" applyFont="1" applyBorder="1" applyAlignment="1">
      <alignment vertical="center"/>
    </xf>
    <xf numFmtId="0" fontId="4" fillId="0" borderId="35" xfId="0" applyFont="1" applyBorder="1" applyAlignment="1">
      <alignment vertical="center" shrinkToFit="1"/>
    </xf>
    <xf numFmtId="38" fontId="4" fillId="0" borderId="36" xfId="0" applyNumberFormat="1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38" fontId="4" fillId="0" borderId="38" xfId="0" applyNumberFormat="1" applyFont="1" applyBorder="1" applyAlignment="1">
      <alignment vertical="center" shrinkToFit="1"/>
    </xf>
    <xf numFmtId="38" fontId="4" fillId="0" borderId="39" xfId="0" applyNumberFormat="1" applyFont="1" applyBorder="1" applyAlignment="1">
      <alignment vertical="center"/>
    </xf>
    <xf numFmtId="38" fontId="11" fillId="0" borderId="39" xfId="0" applyNumberFormat="1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4" fillId="0" borderId="38" xfId="0" applyFont="1" applyBorder="1" applyAlignment="1">
      <alignment vertical="center" shrinkToFit="1"/>
    </xf>
    <xf numFmtId="38" fontId="4" fillId="0" borderId="41" xfId="0" applyNumberFormat="1" applyFont="1" applyBorder="1" applyAlignment="1">
      <alignment vertical="center" shrinkToFit="1"/>
    </xf>
    <xf numFmtId="38" fontId="4" fillId="0" borderId="42" xfId="0" applyNumberFormat="1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38" fontId="4" fillId="0" borderId="44" xfId="0" applyNumberFormat="1" applyFont="1" applyBorder="1" applyAlignment="1">
      <alignment vertical="center"/>
    </xf>
    <xf numFmtId="38" fontId="11" fillId="0" borderId="44" xfId="0" applyNumberFormat="1" applyFont="1" applyBorder="1" applyAlignment="1">
      <alignment vertical="center"/>
    </xf>
    <xf numFmtId="38" fontId="4" fillId="0" borderId="45" xfId="0" applyNumberFormat="1" applyFont="1" applyBorder="1" applyAlignment="1">
      <alignment vertical="center" shrinkToFit="1"/>
    </xf>
    <xf numFmtId="38" fontId="4" fillId="0" borderId="46" xfId="0" applyNumberFormat="1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38" fontId="4" fillId="0" borderId="47" xfId="0" applyNumberFormat="1" applyFont="1" applyBorder="1" applyAlignment="1">
      <alignment vertical="center" shrinkToFit="1"/>
    </xf>
    <xf numFmtId="38" fontId="4" fillId="0" borderId="48" xfId="0" applyNumberFormat="1" applyFont="1" applyBorder="1" applyAlignment="1">
      <alignment vertical="center"/>
    </xf>
    <xf numFmtId="38" fontId="11" fillId="0" borderId="48" xfId="0" applyNumberFormat="1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38" fontId="4" fillId="0" borderId="49" xfId="0" applyNumberFormat="1" applyFont="1" applyBorder="1" applyAlignment="1">
      <alignment vertical="center"/>
    </xf>
    <xf numFmtId="38" fontId="4" fillId="0" borderId="35" xfId="0" applyNumberFormat="1" applyFont="1" applyBorder="1" applyAlignment="1">
      <alignment vertical="center" shrinkToFit="1"/>
    </xf>
    <xf numFmtId="38" fontId="11" fillId="0" borderId="37" xfId="0" applyNumberFormat="1" applyFont="1" applyBorder="1" applyAlignment="1">
      <alignment vertical="center"/>
    </xf>
    <xf numFmtId="38" fontId="11" fillId="0" borderId="40" xfId="0" applyNumberFormat="1" applyFont="1" applyBorder="1" applyAlignment="1">
      <alignment vertical="center"/>
    </xf>
    <xf numFmtId="38" fontId="11" fillId="0" borderId="43" xfId="0" applyNumberFormat="1" applyFont="1" applyBorder="1" applyAlignment="1">
      <alignment vertical="center"/>
    </xf>
    <xf numFmtId="38" fontId="4" fillId="0" borderId="50" xfId="0" applyNumberFormat="1" applyFont="1" applyBorder="1" applyAlignment="1">
      <alignment vertical="center"/>
    </xf>
    <xf numFmtId="38" fontId="11" fillId="0" borderId="51" xfId="0" applyNumberFormat="1" applyFont="1" applyBorder="1" applyAlignment="1">
      <alignment vertical="center"/>
    </xf>
    <xf numFmtId="38" fontId="11" fillId="0" borderId="52" xfId="0" applyNumberFormat="1" applyFont="1" applyBorder="1" applyAlignment="1">
      <alignment vertical="center"/>
    </xf>
    <xf numFmtId="38" fontId="11" fillId="0" borderId="53" xfId="0" applyNumberFormat="1" applyFont="1" applyBorder="1" applyAlignment="1">
      <alignment vertical="center"/>
    </xf>
    <xf numFmtId="38" fontId="4" fillId="0" borderId="54" xfId="0" applyNumberFormat="1" applyFont="1" applyBorder="1" applyAlignment="1">
      <alignment vertical="center" shrinkToFit="1"/>
    </xf>
    <xf numFmtId="0" fontId="4" fillId="0" borderId="55" xfId="0" applyFont="1" applyBorder="1" applyAlignment="1">
      <alignment vertical="center" shrinkToFit="1"/>
    </xf>
    <xf numFmtId="38" fontId="4" fillId="0" borderId="56" xfId="0" applyNumberFormat="1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38" fontId="4" fillId="0" borderId="57" xfId="0" applyNumberFormat="1" applyFont="1" applyBorder="1" applyAlignment="1">
      <alignment vertical="center"/>
    </xf>
    <xf numFmtId="0" fontId="11" fillId="0" borderId="58" xfId="0" applyFont="1" applyBorder="1" applyAlignment="1">
      <alignment vertical="center"/>
    </xf>
    <xf numFmtId="0" fontId="11" fillId="0" borderId="59" xfId="0" applyFont="1" applyBorder="1" applyAlignment="1">
      <alignment vertical="center"/>
    </xf>
    <xf numFmtId="38" fontId="4" fillId="0" borderId="59" xfId="0" applyNumberFormat="1" applyFont="1" applyBorder="1" applyAlignment="1">
      <alignment vertical="center"/>
    </xf>
    <xf numFmtId="38" fontId="4" fillId="0" borderId="60" xfId="0" applyNumberFormat="1" applyFont="1" applyBorder="1" applyAlignment="1">
      <alignment vertical="center"/>
    </xf>
    <xf numFmtId="38" fontId="4" fillId="0" borderId="61" xfId="0" applyNumberFormat="1" applyFont="1" applyBorder="1" applyAlignment="1">
      <alignment vertical="center" shrinkToFit="1"/>
    </xf>
    <xf numFmtId="38" fontId="4" fillId="0" borderId="62" xfId="0" applyNumberFormat="1" applyFont="1" applyBorder="1" applyAlignment="1">
      <alignment vertical="center"/>
    </xf>
    <xf numFmtId="38" fontId="4" fillId="0" borderId="63" xfId="0" applyNumberFormat="1" applyFont="1" applyBorder="1" applyAlignment="1">
      <alignment vertical="center" shrinkToFit="1"/>
    </xf>
    <xf numFmtId="38" fontId="4" fillId="0" borderId="64" xfId="0" applyNumberFormat="1" applyFont="1" applyBorder="1" applyAlignment="1">
      <alignment vertical="center" shrinkToFit="1"/>
    </xf>
    <xf numFmtId="38" fontId="4" fillId="0" borderId="65" xfId="0" applyNumberFormat="1" applyFont="1" applyBorder="1" applyAlignment="1">
      <alignment vertical="center" shrinkToFit="1"/>
    </xf>
    <xf numFmtId="38" fontId="4" fillId="0" borderId="66" xfId="0" applyNumberFormat="1" applyFont="1" applyBorder="1" applyAlignment="1">
      <alignment vertical="center" shrinkToFit="1"/>
    </xf>
    <xf numFmtId="0" fontId="4" fillId="0" borderId="65" xfId="0" applyFont="1" applyBorder="1" applyAlignment="1">
      <alignment vertical="center" shrinkToFit="1"/>
    </xf>
    <xf numFmtId="0" fontId="4" fillId="0" borderId="67" xfId="0" applyFont="1" applyBorder="1" applyAlignment="1">
      <alignment vertical="center" shrinkToFit="1"/>
    </xf>
    <xf numFmtId="38" fontId="4" fillId="0" borderId="68" xfId="0" applyNumberFormat="1" applyFont="1" applyBorder="1" applyAlignment="1">
      <alignment vertical="center" shrinkToFit="1"/>
    </xf>
    <xf numFmtId="38" fontId="4" fillId="0" borderId="69" xfId="0" applyNumberFormat="1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38" fontId="11" fillId="0" borderId="69" xfId="0" applyNumberFormat="1" applyFont="1" applyBorder="1" applyAlignment="1">
      <alignment vertical="center"/>
    </xf>
    <xf numFmtId="38" fontId="11" fillId="0" borderId="70" xfId="0" applyNumberFormat="1" applyFont="1" applyBorder="1" applyAlignment="1">
      <alignment vertical="center"/>
    </xf>
    <xf numFmtId="38" fontId="4" fillId="0" borderId="71" xfId="0" applyNumberFormat="1" applyFont="1" applyBorder="1" applyAlignment="1">
      <alignment vertical="center"/>
    </xf>
    <xf numFmtId="38" fontId="11" fillId="0" borderId="57" xfId="0" applyNumberFormat="1" applyFont="1" applyBorder="1" applyAlignment="1">
      <alignment vertical="center"/>
    </xf>
    <xf numFmtId="38" fontId="11" fillId="0" borderId="58" xfId="0" applyNumberFormat="1" applyFont="1" applyBorder="1" applyAlignment="1">
      <alignment vertical="center"/>
    </xf>
    <xf numFmtId="38" fontId="11" fillId="0" borderId="59" xfId="0" applyNumberFormat="1" applyFont="1" applyBorder="1" applyAlignment="1">
      <alignment vertical="center"/>
    </xf>
    <xf numFmtId="38" fontId="4" fillId="0" borderId="68" xfId="0" applyNumberFormat="1" applyFont="1" applyBorder="1" applyAlignment="1">
      <alignment vertical="center"/>
    </xf>
    <xf numFmtId="0" fontId="4" fillId="0" borderId="72" xfId="0" applyFont="1" applyBorder="1" applyAlignment="1">
      <alignment vertical="center" shrinkToFit="1"/>
    </xf>
    <xf numFmtId="0" fontId="4" fillId="0" borderId="59" xfId="0" applyFont="1" applyBorder="1" applyAlignment="1">
      <alignment vertical="center"/>
    </xf>
    <xf numFmtId="38" fontId="4" fillId="0" borderId="73" xfId="0" applyNumberFormat="1" applyFont="1" applyBorder="1" applyAlignment="1">
      <alignment vertical="center"/>
    </xf>
    <xf numFmtId="38" fontId="4" fillId="0" borderId="70" xfId="0" applyNumberFormat="1" applyFont="1" applyBorder="1" applyAlignment="1">
      <alignment vertical="center"/>
    </xf>
    <xf numFmtId="38" fontId="11" fillId="0" borderId="56" xfId="0" applyNumberFormat="1" applyFont="1" applyBorder="1" applyAlignment="1">
      <alignment vertical="center"/>
    </xf>
    <xf numFmtId="38" fontId="4" fillId="0" borderId="75" xfId="0" applyNumberFormat="1" applyFont="1" applyBorder="1" applyAlignment="1">
      <alignment vertical="center"/>
    </xf>
    <xf numFmtId="38" fontId="4" fillId="0" borderId="72" xfId="0" applyNumberFormat="1" applyFont="1" applyBorder="1" applyAlignment="1">
      <alignment vertical="center" shrinkToFit="1"/>
    </xf>
    <xf numFmtId="38" fontId="11" fillId="0" borderId="76" xfId="0" applyNumberFormat="1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38" fontId="4" fillId="0" borderId="73" xfId="0" applyNumberFormat="1" applyFont="1" applyBorder="1" applyAlignment="1">
      <alignment vertical="center" shrinkToFit="1"/>
    </xf>
    <xf numFmtId="0" fontId="4" fillId="0" borderId="70" xfId="0" applyFont="1" applyBorder="1" applyAlignment="1">
      <alignment vertical="center"/>
    </xf>
    <xf numFmtId="38" fontId="11" fillId="0" borderId="77" xfId="0" applyNumberFormat="1" applyFont="1" applyBorder="1" applyAlignment="1">
      <alignment vertical="center"/>
    </xf>
    <xf numFmtId="38" fontId="11" fillId="0" borderId="78" xfId="0" applyNumberFormat="1" applyFont="1" applyBorder="1" applyAlignment="1">
      <alignment vertical="center"/>
    </xf>
    <xf numFmtId="0" fontId="4" fillId="0" borderId="75" xfId="0" applyFont="1" applyBorder="1" applyAlignment="1">
      <alignment vertical="center"/>
    </xf>
    <xf numFmtId="38" fontId="11" fillId="0" borderId="79" xfId="0" applyNumberFormat="1" applyFont="1" applyBorder="1" applyAlignment="1">
      <alignment vertical="center"/>
    </xf>
    <xf numFmtId="38" fontId="4" fillId="0" borderId="55" xfId="0" applyNumberFormat="1" applyFont="1" applyBorder="1" applyAlignment="1">
      <alignment vertical="center"/>
    </xf>
    <xf numFmtId="38" fontId="4" fillId="0" borderId="67" xfId="0" applyNumberFormat="1" applyFont="1" applyBorder="1" applyAlignment="1">
      <alignment vertical="center"/>
    </xf>
    <xf numFmtId="0" fontId="4" fillId="0" borderId="80" xfId="0" applyFont="1" applyBorder="1" applyAlignment="1">
      <alignment vertical="center" shrinkToFit="1"/>
    </xf>
    <xf numFmtId="0" fontId="11" fillId="0" borderId="48" xfId="0" applyFont="1" applyBorder="1" applyAlignment="1">
      <alignment vertical="center"/>
    </xf>
    <xf numFmtId="0" fontId="11" fillId="0" borderId="75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11" fillId="0" borderId="51" xfId="0" applyFont="1" applyBorder="1" applyAlignment="1">
      <alignment vertical="center"/>
    </xf>
    <xf numFmtId="38" fontId="11" fillId="0" borderId="81" xfId="0" applyNumberFormat="1" applyFont="1" applyBorder="1" applyAlignment="1">
      <alignment vertical="center"/>
    </xf>
    <xf numFmtId="0" fontId="11" fillId="0" borderId="57" xfId="0" applyFont="1" applyBorder="1" applyAlignment="1">
      <alignment vertical="center"/>
    </xf>
    <xf numFmtId="0" fontId="4" fillId="0" borderId="82" xfId="0" applyFont="1" applyBorder="1" applyAlignment="1">
      <alignment vertical="center" shrinkToFit="1"/>
    </xf>
    <xf numFmtId="0" fontId="11" fillId="0" borderId="46" xfId="0" applyFont="1" applyBorder="1" applyAlignment="1">
      <alignment vertical="center"/>
    </xf>
    <xf numFmtId="0" fontId="11" fillId="0" borderId="37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38" fontId="4" fillId="0" borderId="80" xfId="0" applyNumberFormat="1" applyFont="1" applyBorder="1" applyAlignment="1">
      <alignment vertical="center"/>
    </xf>
    <xf numFmtId="38" fontId="4" fillId="0" borderId="61" xfId="0" applyNumberFormat="1" applyFont="1" applyBorder="1" applyAlignment="1">
      <alignment vertical="center"/>
    </xf>
    <xf numFmtId="38" fontId="4" fillId="0" borderId="64" xfId="0" applyNumberFormat="1" applyFont="1" applyBorder="1" applyAlignment="1">
      <alignment vertical="center"/>
    </xf>
    <xf numFmtId="0" fontId="4" fillId="0" borderId="73" xfId="0" applyFont="1" applyBorder="1" applyAlignment="1">
      <alignment vertical="center" shrinkToFit="1"/>
    </xf>
    <xf numFmtId="0" fontId="11" fillId="0" borderId="70" xfId="0" applyFont="1" applyBorder="1" applyAlignment="1">
      <alignment vertical="center"/>
    </xf>
    <xf numFmtId="0" fontId="4" fillId="0" borderId="71" xfId="0" applyFont="1" applyBorder="1" applyAlignment="1">
      <alignment vertical="center"/>
    </xf>
    <xf numFmtId="38" fontId="4" fillId="0" borderId="65" xfId="0" applyNumberFormat="1" applyFont="1" applyBorder="1" applyAlignment="1">
      <alignment vertical="center"/>
    </xf>
    <xf numFmtId="0" fontId="11" fillId="0" borderId="74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11" fillId="0" borderId="53" xfId="0" applyFont="1" applyBorder="1" applyAlignment="1">
      <alignment vertical="center"/>
    </xf>
    <xf numFmtId="0" fontId="11" fillId="0" borderId="79" xfId="0" applyFont="1" applyBorder="1" applyAlignment="1">
      <alignment vertical="center"/>
    </xf>
    <xf numFmtId="0" fontId="11" fillId="0" borderId="76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66" xfId="0" applyFont="1" applyBorder="1" applyAlignment="1">
      <alignment vertical="center"/>
    </xf>
    <xf numFmtId="0" fontId="4" fillId="0" borderId="61" xfId="0" applyFont="1" applyBorder="1" applyAlignment="1">
      <alignment vertical="center"/>
    </xf>
    <xf numFmtId="0" fontId="4" fillId="0" borderId="80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72" xfId="0" applyFont="1" applyBorder="1" applyAlignment="1">
      <alignment vertical="center"/>
    </xf>
    <xf numFmtId="0" fontId="4" fillId="0" borderId="68" xfId="0" applyFont="1" applyBorder="1" applyAlignment="1">
      <alignment vertical="center" shrinkToFit="1"/>
    </xf>
    <xf numFmtId="0" fontId="11" fillId="0" borderId="69" xfId="0" applyFont="1" applyBorder="1" applyAlignment="1">
      <alignment vertical="center"/>
    </xf>
    <xf numFmtId="38" fontId="4" fillId="0" borderId="84" xfId="0" applyNumberFormat="1" applyFont="1" applyBorder="1" applyAlignment="1">
      <alignment vertical="center"/>
    </xf>
    <xf numFmtId="38" fontId="4" fillId="0" borderId="85" xfId="0" applyNumberFormat="1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38" fontId="4" fillId="0" borderId="87" xfId="0" applyNumberFormat="1" applyFont="1" applyBorder="1" applyAlignment="1">
      <alignment vertical="center"/>
    </xf>
    <xf numFmtId="38" fontId="4" fillId="0" borderId="88" xfId="0" applyNumberFormat="1" applyFont="1" applyBorder="1" applyAlignment="1">
      <alignment vertical="center"/>
    </xf>
    <xf numFmtId="38" fontId="4" fillId="0" borderId="89" xfId="0" applyNumberFormat="1" applyFont="1" applyBorder="1" applyAlignment="1">
      <alignment vertical="center"/>
    </xf>
    <xf numFmtId="38" fontId="4" fillId="0" borderId="90" xfId="0" applyNumberFormat="1" applyFont="1" applyBorder="1" applyAlignment="1">
      <alignment vertical="center"/>
    </xf>
    <xf numFmtId="38" fontId="4" fillId="0" borderId="91" xfId="0" applyNumberFormat="1" applyFont="1" applyBorder="1" applyAlignment="1">
      <alignment vertical="center"/>
    </xf>
    <xf numFmtId="38" fontId="4" fillId="0" borderId="92" xfId="0" applyNumberFormat="1" applyFont="1" applyBorder="1" applyAlignment="1">
      <alignment vertical="center"/>
    </xf>
    <xf numFmtId="38" fontId="4" fillId="0" borderId="93" xfId="0" applyNumberFormat="1" applyFont="1" applyBorder="1" applyAlignment="1">
      <alignment vertical="center"/>
    </xf>
    <xf numFmtId="38" fontId="4" fillId="0" borderId="86" xfId="0" applyNumberFormat="1" applyFont="1" applyBorder="1" applyAlignment="1">
      <alignment vertical="center"/>
    </xf>
    <xf numFmtId="38" fontId="4" fillId="0" borderId="94" xfId="0" applyNumberFormat="1" applyFont="1" applyBorder="1" applyAlignment="1">
      <alignment vertical="center"/>
    </xf>
    <xf numFmtId="38" fontId="4" fillId="0" borderId="95" xfId="0" applyNumberFormat="1" applyFont="1" applyBorder="1" applyAlignment="1">
      <alignment vertical="center"/>
    </xf>
    <xf numFmtId="38" fontId="4" fillId="0" borderId="96" xfId="0" applyNumberFormat="1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38" fontId="4" fillId="0" borderId="97" xfId="0" applyNumberFormat="1" applyFont="1" applyBorder="1" applyAlignment="1">
      <alignment vertical="center"/>
    </xf>
    <xf numFmtId="0" fontId="4" fillId="0" borderId="95" xfId="0" applyFont="1" applyBorder="1" applyAlignment="1">
      <alignment vertical="center"/>
    </xf>
    <xf numFmtId="0" fontId="4" fillId="0" borderId="94" xfId="0" applyFont="1" applyBorder="1" applyAlignment="1">
      <alignment vertical="center"/>
    </xf>
    <xf numFmtId="0" fontId="4" fillId="0" borderId="91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89" xfId="0" applyFont="1" applyBorder="1" applyAlignment="1">
      <alignment vertical="center"/>
    </xf>
    <xf numFmtId="0" fontId="4" fillId="0" borderId="90" xfId="0" applyFont="1" applyBorder="1" applyAlignment="1">
      <alignment vertical="center"/>
    </xf>
    <xf numFmtId="0" fontId="4" fillId="0" borderId="96" xfId="0" applyFont="1" applyBorder="1" applyAlignment="1">
      <alignment vertical="center"/>
    </xf>
    <xf numFmtId="0" fontId="4" fillId="0" borderId="93" xfId="0" applyFont="1" applyBorder="1" applyAlignment="1">
      <alignment vertical="center"/>
    </xf>
    <xf numFmtId="38" fontId="4" fillId="0" borderId="98" xfId="0" applyNumberFormat="1" applyFont="1" applyBorder="1" applyAlignment="1">
      <alignment vertical="center"/>
    </xf>
    <xf numFmtId="0" fontId="4" fillId="0" borderId="99" xfId="0" applyFont="1" applyBorder="1" applyAlignment="1">
      <alignment vertical="center"/>
    </xf>
    <xf numFmtId="38" fontId="4" fillId="0" borderId="100" xfId="0" applyNumberFormat="1" applyFont="1" applyBorder="1" applyAlignment="1">
      <alignment vertical="center"/>
    </xf>
    <xf numFmtId="38" fontId="4" fillId="0" borderId="101" xfId="0" applyNumberFormat="1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38" fontId="4" fillId="0" borderId="102" xfId="0" applyNumberFormat="1" applyFont="1" applyBorder="1" applyAlignment="1">
      <alignment vertical="center"/>
    </xf>
    <xf numFmtId="38" fontId="4" fillId="0" borderId="103" xfId="0" applyNumberFormat="1" applyFont="1" applyBorder="1" applyAlignment="1">
      <alignment vertical="center"/>
    </xf>
    <xf numFmtId="0" fontId="4" fillId="0" borderId="74" xfId="0" applyFont="1" applyBorder="1" applyAlignment="1">
      <alignment vertical="center"/>
    </xf>
    <xf numFmtId="0" fontId="4" fillId="0" borderId="102" xfId="0" applyFont="1" applyBorder="1" applyAlignment="1">
      <alignment vertical="center"/>
    </xf>
    <xf numFmtId="38" fontId="4" fillId="0" borderId="104" xfId="0" applyNumberFormat="1" applyFont="1" applyBorder="1" applyAlignment="1">
      <alignment vertical="center"/>
    </xf>
    <xf numFmtId="0" fontId="4" fillId="0" borderId="105" xfId="0" applyFont="1" applyBorder="1" applyAlignment="1">
      <alignment vertical="center"/>
    </xf>
    <xf numFmtId="38" fontId="4" fillId="0" borderId="105" xfId="0" applyNumberFormat="1" applyFont="1" applyBorder="1" applyAlignment="1">
      <alignment vertical="center"/>
    </xf>
    <xf numFmtId="38" fontId="4" fillId="0" borderId="74" xfId="0" applyNumberFormat="1" applyFont="1" applyBorder="1" applyAlignment="1">
      <alignment vertical="center"/>
    </xf>
    <xf numFmtId="38" fontId="4" fillId="0" borderId="58" xfId="0" applyNumberFormat="1" applyFont="1" applyBorder="1" applyAlignment="1">
      <alignment vertical="center"/>
    </xf>
    <xf numFmtId="0" fontId="4" fillId="0" borderId="78" xfId="0" applyFont="1" applyBorder="1" applyAlignment="1">
      <alignment vertical="center"/>
    </xf>
    <xf numFmtId="38" fontId="4" fillId="0" borderId="106" xfId="0" applyNumberFormat="1" applyFont="1" applyBorder="1" applyAlignment="1">
      <alignment vertical="center"/>
    </xf>
    <xf numFmtId="38" fontId="4" fillId="0" borderId="107" xfId="0" applyNumberFormat="1" applyFont="1" applyBorder="1" applyAlignment="1">
      <alignment vertical="center"/>
    </xf>
    <xf numFmtId="38" fontId="4" fillId="0" borderId="78" xfId="0" applyNumberFormat="1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101" xfId="0" applyFont="1" applyBorder="1" applyAlignment="1">
      <alignment vertical="center"/>
    </xf>
    <xf numFmtId="0" fontId="13" fillId="0" borderId="102" xfId="0" applyFont="1" applyBorder="1" applyAlignment="1">
      <alignment vertical="center"/>
    </xf>
    <xf numFmtId="0" fontId="4" fillId="0" borderId="103" xfId="0" applyFont="1" applyBorder="1" applyAlignment="1">
      <alignment vertical="center"/>
    </xf>
    <xf numFmtId="0" fontId="4" fillId="0" borderId="106" xfId="0" applyFont="1" applyBorder="1" applyAlignment="1">
      <alignment vertical="center"/>
    </xf>
    <xf numFmtId="0" fontId="4" fillId="0" borderId="104" xfId="0" applyFont="1" applyBorder="1" applyAlignment="1">
      <alignment vertical="center"/>
    </xf>
    <xf numFmtId="38" fontId="4" fillId="0" borderId="12" xfId="0" applyNumberFormat="1" applyFont="1" applyBorder="1" applyAlignment="1">
      <alignment vertical="center"/>
    </xf>
    <xf numFmtId="38" fontId="4" fillId="0" borderId="108" xfId="0" applyNumberFormat="1" applyFont="1" applyBorder="1" applyAlignment="1">
      <alignment vertical="center"/>
    </xf>
    <xf numFmtId="38" fontId="4" fillId="0" borderId="109" xfId="0" applyNumberFormat="1" applyFont="1" applyBorder="1" applyAlignment="1">
      <alignment vertical="center"/>
    </xf>
    <xf numFmtId="38" fontId="4" fillId="0" borderId="9" xfId="0" applyNumberFormat="1" applyFont="1" applyBorder="1" applyAlignment="1">
      <alignment vertical="center"/>
    </xf>
    <xf numFmtId="38" fontId="4" fillId="0" borderId="110" xfId="0" applyNumberFormat="1" applyFont="1" applyBorder="1" applyAlignment="1">
      <alignment vertical="center"/>
    </xf>
    <xf numFmtId="38" fontId="4" fillId="0" borderId="29" xfId="0" applyNumberFormat="1" applyFont="1" applyBorder="1" applyAlignment="1">
      <alignment vertical="center"/>
    </xf>
    <xf numFmtId="38" fontId="4" fillId="0" borderId="32" xfId="0" applyNumberFormat="1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111" xfId="0" applyFont="1" applyBorder="1" applyAlignment="1">
      <alignment vertical="center"/>
    </xf>
    <xf numFmtId="38" fontId="4" fillId="0" borderId="112" xfId="0" applyNumberFormat="1" applyFont="1" applyBorder="1" applyAlignment="1">
      <alignment vertical="center"/>
    </xf>
    <xf numFmtId="38" fontId="4" fillId="0" borderId="63" xfId="0" applyNumberFormat="1" applyFont="1" applyBorder="1" applyAlignment="1">
      <alignment vertical="center"/>
    </xf>
    <xf numFmtId="38" fontId="4" fillId="0" borderId="113" xfId="0" applyNumberFormat="1" applyFont="1" applyBorder="1" applyAlignment="1">
      <alignment vertical="center"/>
    </xf>
    <xf numFmtId="38" fontId="4" fillId="0" borderId="114" xfId="0" applyNumberFormat="1" applyFont="1" applyBorder="1" applyAlignment="1">
      <alignment vertical="center"/>
    </xf>
    <xf numFmtId="38" fontId="4" fillId="0" borderId="66" xfId="0" applyNumberFormat="1" applyFont="1" applyBorder="1" applyAlignment="1">
      <alignment vertical="center"/>
    </xf>
    <xf numFmtId="38" fontId="4" fillId="0" borderId="83" xfId="0" applyNumberFormat="1" applyFont="1" applyBorder="1" applyAlignment="1">
      <alignment vertical="center"/>
    </xf>
    <xf numFmtId="38" fontId="4" fillId="0" borderId="115" xfId="0" applyNumberFormat="1" applyFont="1" applyBorder="1" applyAlignment="1">
      <alignment vertical="center"/>
    </xf>
    <xf numFmtId="38" fontId="4" fillId="0" borderId="116" xfId="0" applyNumberFormat="1" applyFont="1" applyBorder="1" applyAlignment="1">
      <alignment vertical="center"/>
    </xf>
    <xf numFmtId="38" fontId="4" fillId="0" borderId="111" xfId="0" applyNumberFormat="1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10" xfId="0" applyFont="1" applyBorder="1" applyAlignment="1">
      <alignment horizontal="center" vertical="center"/>
    </xf>
    <xf numFmtId="38" fontId="4" fillId="0" borderId="72" xfId="0" applyNumberFormat="1" applyFont="1" applyBorder="1" applyAlignment="1">
      <alignment vertical="center"/>
    </xf>
    <xf numFmtId="38" fontId="4" fillId="0" borderId="117" xfId="0" applyNumberFormat="1" applyFont="1" applyBorder="1" applyAlignment="1">
      <alignment vertical="center"/>
    </xf>
    <xf numFmtId="0" fontId="4" fillId="0" borderId="115" xfId="0" applyFont="1" applyBorder="1" applyAlignment="1">
      <alignment vertical="center"/>
    </xf>
    <xf numFmtId="38" fontId="4" fillId="0" borderId="82" xfId="0" applyNumberFormat="1" applyFont="1" applyBorder="1" applyAlignment="1">
      <alignment vertical="center"/>
    </xf>
    <xf numFmtId="38" fontId="4" fillId="0" borderId="118" xfId="0" applyNumberFormat="1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12" xfId="0" applyFont="1" applyBorder="1" applyAlignment="1">
      <alignment vertical="center"/>
    </xf>
    <xf numFmtId="0" fontId="4" fillId="0" borderId="113" xfId="0" applyFont="1" applyBorder="1" applyAlignment="1">
      <alignment vertical="center"/>
    </xf>
    <xf numFmtId="0" fontId="4" fillId="0" borderId="114" xfId="0" applyFont="1" applyBorder="1" applyAlignment="1">
      <alignment vertical="center"/>
    </xf>
    <xf numFmtId="0" fontId="4" fillId="0" borderId="117" xfId="0" applyFont="1" applyBorder="1" applyAlignment="1">
      <alignment vertical="center"/>
    </xf>
    <xf numFmtId="0" fontId="4" fillId="0" borderId="110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116" xfId="0" applyFont="1" applyBorder="1" applyAlignment="1">
      <alignment vertical="center"/>
    </xf>
    <xf numFmtId="38" fontId="5" fillId="0" borderId="1" xfId="0" applyNumberFormat="1" applyFont="1" applyBorder="1" applyAlignment="1">
      <alignment vertical="center" shrinkToFit="1"/>
    </xf>
    <xf numFmtId="38" fontId="5" fillId="0" borderId="30" xfId="0" applyNumberFormat="1" applyFont="1" applyBorder="1" applyAlignment="1">
      <alignment vertical="center" shrinkToFit="1"/>
    </xf>
    <xf numFmtId="38" fontId="5" fillId="0" borderId="33" xfId="0" applyNumberFormat="1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38" fontId="5" fillId="0" borderId="36" xfId="0" applyNumberFormat="1" applyFont="1" applyBorder="1" applyAlignment="1">
      <alignment vertical="center" shrinkToFit="1"/>
    </xf>
    <xf numFmtId="38" fontId="5" fillId="0" borderId="39" xfId="0" applyNumberFormat="1" applyFont="1" applyBorder="1" applyAlignment="1">
      <alignment vertical="center" shrinkToFit="1"/>
    </xf>
    <xf numFmtId="38" fontId="5" fillId="0" borderId="42" xfId="0" applyNumberFormat="1" applyFont="1" applyBorder="1" applyAlignment="1">
      <alignment vertical="center" shrinkToFit="1"/>
    </xf>
    <xf numFmtId="0" fontId="5" fillId="0" borderId="50" xfId="0" applyFont="1" applyBorder="1" applyAlignment="1">
      <alignment vertical="center" shrinkToFit="1"/>
    </xf>
    <xf numFmtId="38" fontId="5" fillId="0" borderId="48" xfId="0" applyNumberFormat="1" applyFont="1" applyBorder="1" applyAlignment="1">
      <alignment vertical="center" shrinkToFit="1"/>
    </xf>
    <xf numFmtId="38" fontId="5" fillId="0" borderId="46" xfId="0" applyNumberFormat="1" applyFont="1" applyBorder="1" applyAlignment="1">
      <alignment vertical="center" shrinkToFit="1"/>
    </xf>
    <xf numFmtId="0" fontId="5" fillId="0" borderId="48" xfId="0" applyFont="1" applyBorder="1" applyAlignment="1">
      <alignment vertical="center" shrinkToFit="1"/>
    </xf>
    <xf numFmtId="38" fontId="5" fillId="0" borderId="69" xfId="0" applyNumberFormat="1" applyFont="1" applyBorder="1" applyAlignment="1">
      <alignment vertical="center" shrinkToFit="1"/>
    </xf>
    <xf numFmtId="38" fontId="5" fillId="0" borderId="56" xfId="0" applyNumberFormat="1" applyFont="1" applyBorder="1" applyAlignment="1">
      <alignment vertical="center" shrinkToFit="1"/>
    </xf>
    <xf numFmtId="38" fontId="5" fillId="0" borderId="69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6" xfId="0" applyFont="1" applyBorder="1" applyAlignment="1">
      <alignment vertical="center" shrinkToFit="1"/>
    </xf>
    <xf numFmtId="0" fontId="5" fillId="0" borderId="39" xfId="0" applyFont="1" applyBorder="1" applyAlignment="1">
      <alignment vertical="center" shrinkToFit="1"/>
    </xf>
    <xf numFmtId="38" fontId="5" fillId="0" borderId="59" xfId="0" applyNumberFormat="1" applyFont="1" applyBorder="1" applyAlignment="1">
      <alignment vertical="center" shrinkToFit="1"/>
    </xf>
    <xf numFmtId="38" fontId="5" fillId="0" borderId="70" xfId="0" applyNumberFormat="1" applyFont="1" applyBorder="1" applyAlignment="1">
      <alignment vertical="center" shrinkToFit="1"/>
    </xf>
    <xf numFmtId="38" fontId="5" fillId="0" borderId="56" xfId="0" applyNumberFormat="1" applyFont="1" applyBorder="1" applyAlignment="1">
      <alignment vertical="center"/>
    </xf>
    <xf numFmtId="38" fontId="5" fillId="0" borderId="50" xfId="0" applyNumberFormat="1" applyFont="1" applyBorder="1" applyAlignment="1">
      <alignment vertical="center"/>
    </xf>
    <xf numFmtId="0" fontId="5" fillId="0" borderId="75" xfId="0" applyFont="1" applyBorder="1" applyAlignment="1">
      <alignment vertical="center" shrinkToFit="1"/>
    </xf>
    <xf numFmtId="0" fontId="5" fillId="0" borderId="49" xfId="0" applyFont="1" applyBorder="1" applyAlignment="1">
      <alignment vertical="center" shrinkToFit="1"/>
    </xf>
    <xf numFmtId="38" fontId="5" fillId="0" borderId="75" xfId="0" applyNumberFormat="1" applyFont="1" applyBorder="1" applyAlignment="1">
      <alignment vertical="center"/>
    </xf>
    <xf numFmtId="38" fontId="5" fillId="0" borderId="36" xfId="0" applyNumberFormat="1" applyFont="1" applyBorder="1" applyAlignment="1">
      <alignment vertical="center"/>
    </xf>
    <xf numFmtId="38" fontId="5" fillId="0" borderId="42" xfId="0" applyNumberFormat="1" applyFont="1" applyBorder="1" applyAlignment="1">
      <alignment vertical="center"/>
    </xf>
    <xf numFmtId="0" fontId="5" fillId="0" borderId="70" xfId="0" applyFont="1" applyBorder="1" applyAlignment="1">
      <alignment vertical="center" shrinkToFit="1"/>
    </xf>
    <xf numFmtId="38" fontId="5" fillId="0" borderId="48" xfId="0" applyNumberFormat="1" applyFont="1" applyBorder="1" applyAlignment="1">
      <alignment vertical="center"/>
    </xf>
    <xf numFmtId="38" fontId="5" fillId="0" borderId="70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59" xfId="0" applyFont="1" applyBorder="1" applyAlignment="1">
      <alignment vertical="center" shrinkToFit="1"/>
    </xf>
    <xf numFmtId="0" fontId="5" fillId="0" borderId="46" xfId="0" applyFont="1" applyBorder="1" applyAlignment="1">
      <alignment vertical="center" shrinkToFit="1"/>
    </xf>
    <xf numFmtId="0" fontId="5" fillId="0" borderId="42" xfId="0" applyFont="1" applyBorder="1" applyAlignment="1">
      <alignment vertical="center" shrinkToFit="1"/>
    </xf>
    <xf numFmtId="0" fontId="5" fillId="0" borderId="50" xfId="0" applyFont="1" applyBorder="1" applyAlignment="1">
      <alignment vertical="center"/>
    </xf>
    <xf numFmtId="0" fontId="5" fillId="0" borderId="75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69" xfId="0" applyFont="1" applyBorder="1" applyAlignment="1">
      <alignment vertical="center" shrinkToFit="1"/>
    </xf>
    <xf numFmtId="0" fontId="5" fillId="0" borderId="1" xfId="0" applyFont="1" applyBorder="1" applyAlignment="1">
      <alignment vertical="center" shrinkToFit="1"/>
    </xf>
    <xf numFmtId="38" fontId="5" fillId="0" borderId="0" xfId="0" applyNumberFormat="1" applyFont="1" applyAlignment="1">
      <alignment vertical="center" shrinkToFit="1"/>
    </xf>
    <xf numFmtId="38" fontId="4" fillId="0" borderId="0" xfId="6" applyFont="1" applyAlignment="1">
      <alignment vertical="center"/>
    </xf>
    <xf numFmtId="9" fontId="4" fillId="0" borderId="1" xfId="7" applyFont="1" applyBorder="1" applyAlignment="1">
      <alignment vertical="center"/>
    </xf>
    <xf numFmtId="38" fontId="5" fillId="3" borderId="4" xfId="5" applyNumberFormat="1" applyFont="1" applyFill="1" applyBorder="1" applyAlignment="1">
      <alignment vertical="center"/>
    </xf>
    <xf numFmtId="9" fontId="5" fillId="3" borderId="2" xfId="5" applyNumberFormat="1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77" fontId="15" fillId="0" borderId="0" xfId="0" applyNumberFormat="1" applyFont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0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27" xfId="0" applyFont="1" applyBorder="1" applyAlignment="1">
      <alignment vertical="center"/>
    </xf>
    <xf numFmtId="20" fontId="15" fillId="0" borderId="27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0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3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2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20" fontId="15" fillId="0" borderId="6" xfId="0" applyNumberFormat="1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20" fontId="15" fillId="0" borderId="22" xfId="0" applyNumberFormat="1" applyFont="1" applyBorder="1" applyAlignment="1">
      <alignment horizontal="center" vertical="center"/>
    </xf>
    <xf numFmtId="176" fontId="15" fillId="0" borderId="22" xfId="0" applyNumberFormat="1" applyFont="1" applyBorder="1" applyAlignment="1">
      <alignment horizontal="center" vertical="center"/>
    </xf>
    <xf numFmtId="38" fontId="15" fillId="0" borderId="1" xfId="0" applyNumberFormat="1" applyFont="1" applyBorder="1" applyAlignment="1">
      <alignment vertical="center"/>
    </xf>
    <xf numFmtId="38" fontId="15" fillId="0" borderId="0" xfId="0" applyNumberFormat="1" applyFont="1" applyAlignment="1">
      <alignment vertical="center"/>
    </xf>
    <xf numFmtId="38" fontId="15" fillId="3" borderId="1" xfId="0" applyNumberFormat="1" applyFont="1" applyFill="1" applyBorder="1" applyAlignment="1">
      <alignment vertical="center"/>
    </xf>
    <xf numFmtId="38" fontId="15" fillId="3" borderId="0" xfId="0" applyNumberFormat="1" applyFont="1" applyFill="1" applyAlignment="1">
      <alignment vertical="center"/>
    </xf>
    <xf numFmtId="38" fontId="15" fillId="0" borderId="1" xfId="0" applyNumberFormat="1" applyFont="1" applyBorder="1" applyAlignment="1">
      <alignment horizontal="center" vertical="center"/>
    </xf>
    <xf numFmtId="38" fontId="5" fillId="0" borderId="1" xfId="4" applyFont="1" applyBorder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7" fillId="0" borderId="59" xfId="0" applyFont="1" applyBorder="1" applyAlignment="1">
      <alignment vertical="center" shrinkToFit="1"/>
    </xf>
    <xf numFmtId="0" fontId="17" fillId="0" borderId="46" xfId="0" applyFont="1" applyBorder="1" applyAlignment="1">
      <alignment vertical="center" shrinkToFit="1"/>
    </xf>
    <xf numFmtId="0" fontId="17" fillId="0" borderId="36" xfId="0" applyFont="1" applyBorder="1" applyAlignment="1">
      <alignment vertical="center" shrinkToFit="1"/>
    </xf>
    <xf numFmtId="0" fontId="17" fillId="0" borderId="42" xfId="0" applyFont="1" applyBorder="1" applyAlignment="1">
      <alignment vertical="center" shrinkToFit="1"/>
    </xf>
    <xf numFmtId="0" fontId="17" fillId="0" borderId="75" xfId="0" applyFont="1" applyBorder="1" applyAlignment="1">
      <alignment vertical="center" shrinkToFit="1"/>
    </xf>
    <xf numFmtId="0" fontId="17" fillId="0" borderId="50" xfId="0" applyFont="1" applyBorder="1" applyAlignment="1">
      <alignment vertical="center" shrinkToFit="1"/>
    </xf>
    <xf numFmtId="0" fontId="17" fillId="0" borderId="20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75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17" fillId="0" borderId="48" xfId="0" applyFont="1" applyBorder="1" applyAlignment="1">
      <alignment vertical="center"/>
    </xf>
    <xf numFmtId="0" fontId="17" fillId="0" borderId="70" xfId="0" applyFont="1" applyBorder="1" applyAlignment="1">
      <alignment vertical="center" shrinkToFit="1"/>
    </xf>
    <xf numFmtId="0" fontId="15" fillId="3" borderId="20" xfId="0" applyFont="1" applyFill="1" applyBorder="1" applyAlignment="1">
      <alignment horizontal="center" vertical="center"/>
    </xf>
    <xf numFmtId="180" fontId="5" fillId="5" borderId="2" xfId="5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6" fontId="4" fillId="0" borderId="112" xfId="0" applyNumberFormat="1" applyFont="1" applyBorder="1" applyAlignment="1">
      <alignment vertical="center"/>
    </xf>
  </cellXfs>
  <cellStyles count="8">
    <cellStyle name="パーセント" xfId="7" builtinId="5"/>
    <cellStyle name="パーセント 2" xfId="3" xr:uid="{E7C91BFF-44E4-458B-99D5-6EC0D8A9043B}"/>
    <cellStyle name="桁区切り" xfId="6" builtinId="6"/>
    <cellStyle name="桁区切り 2" xfId="4" xr:uid="{AC9FDEE1-8FA9-4D91-AF9B-C1469AF53988}"/>
    <cellStyle name="標準" xfId="0" builtinId="0"/>
    <cellStyle name="標準 2" xfId="1" xr:uid="{54393D08-B48C-4FDA-A8F4-095286B17836}"/>
    <cellStyle name="標準 2 2" xfId="2" xr:uid="{5DCD0585-1090-45C3-898C-26C55DDFA39E}"/>
    <cellStyle name="標準 2 2 2" xfId="5" xr:uid="{057410F9-5A28-4D4C-8B91-09C1D22E4948}"/>
  </cellStyles>
  <dxfs count="1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景品DB-style" pivot="0" count="3" xr9:uid="{00000000-0011-0000-FFFF-FFFF00000000}">
      <tableStyleElement type="headerRow" dxfId="151"/>
      <tableStyleElement type="firstRowStripe" dxfId="150"/>
      <tableStyleElement type="secondRowStripe" dxfId="1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4775-C9BE-42CF-8AD3-CAFF7A0EF1FD}">
  <dimension ref="A1:AT267"/>
  <sheetViews>
    <sheetView zoomScale="110" zoomScaleNormal="110" workbookViewId="0">
      <pane xSplit="2" ySplit="2" topLeftCell="Z232" activePane="bottomRight" state="frozen"/>
      <selection pane="topRight" activeCell="C11" sqref="C11"/>
      <selection pane="bottomLeft" activeCell="C11" sqref="C11"/>
      <selection pane="bottomRight" activeCell="AC263" sqref="AC263"/>
    </sheetView>
  </sheetViews>
  <sheetFormatPr baseColWidth="10" defaultColWidth="10.83203125" defaultRowHeight="11"/>
  <cols>
    <col min="1" max="1" width="11.5" style="1" customWidth="1"/>
    <col min="2" max="2" width="7.33203125" style="1" customWidth="1"/>
    <col min="3" max="3" width="8.1640625" style="1" customWidth="1"/>
    <col min="4" max="4" width="8.1640625" style="93" customWidth="1"/>
    <col min="5" max="39" width="8.6640625" style="93" customWidth="1"/>
    <col min="40" max="40" width="8.6640625" style="1" customWidth="1"/>
    <col min="41" max="45" width="8.1640625" style="1" customWidth="1"/>
    <col min="46" max="16384" width="10.83203125" style="1"/>
  </cols>
  <sheetData>
    <row r="1" spans="1:46">
      <c r="A1" s="50">
        <f>SUM(A57,A69,A81,A93,A9,A21,A33,A45,A201,A213,A225,A237,A105,A117,A129,A141,A153,A165,A177,A189,A249,A261)</f>
        <v>1307300</v>
      </c>
      <c r="B1" s="49" t="s">
        <v>0</v>
      </c>
      <c r="C1" s="48">
        <v>46067</v>
      </c>
      <c r="D1" s="48">
        <f t="shared" ref="D1:AL1" si="0">C1+1</f>
        <v>46068</v>
      </c>
      <c r="E1" s="48">
        <f t="shared" si="0"/>
        <v>46069</v>
      </c>
      <c r="F1" s="48">
        <f t="shared" si="0"/>
        <v>46070</v>
      </c>
      <c r="G1" s="48">
        <f t="shared" si="0"/>
        <v>46071</v>
      </c>
      <c r="H1" s="48">
        <f t="shared" si="0"/>
        <v>46072</v>
      </c>
      <c r="I1" s="48">
        <f t="shared" si="0"/>
        <v>46073</v>
      </c>
      <c r="J1" s="48">
        <f t="shared" si="0"/>
        <v>46074</v>
      </c>
      <c r="K1" s="48">
        <f t="shared" si="0"/>
        <v>46075</v>
      </c>
      <c r="L1" s="48">
        <f t="shared" si="0"/>
        <v>46076</v>
      </c>
      <c r="M1" s="48">
        <f t="shared" si="0"/>
        <v>46077</v>
      </c>
      <c r="N1" s="48">
        <f t="shared" si="0"/>
        <v>46078</v>
      </c>
      <c r="O1" s="48">
        <f t="shared" si="0"/>
        <v>46079</v>
      </c>
      <c r="P1" s="48">
        <f t="shared" si="0"/>
        <v>46080</v>
      </c>
      <c r="Q1" s="48">
        <f t="shared" si="0"/>
        <v>46081</v>
      </c>
      <c r="R1" s="48">
        <f t="shared" si="0"/>
        <v>46082</v>
      </c>
      <c r="S1" s="48">
        <f t="shared" si="0"/>
        <v>46083</v>
      </c>
      <c r="T1" s="48">
        <f t="shared" si="0"/>
        <v>46084</v>
      </c>
      <c r="U1" s="48">
        <f t="shared" si="0"/>
        <v>46085</v>
      </c>
      <c r="V1" s="48">
        <f t="shared" si="0"/>
        <v>46086</v>
      </c>
      <c r="W1" s="48">
        <f t="shared" si="0"/>
        <v>46087</v>
      </c>
      <c r="X1" s="48">
        <f t="shared" si="0"/>
        <v>46088</v>
      </c>
      <c r="Y1" s="48">
        <f t="shared" si="0"/>
        <v>46089</v>
      </c>
      <c r="Z1" s="48">
        <f t="shared" si="0"/>
        <v>46090</v>
      </c>
      <c r="AA1" s="48">
        <f t="shared" si="0"/>
        <v>46091</v>
      </c>
      <c r="AB1" s="48">
        <f t="shared" si="0"/>
        <v>46092</v>
      </c>
      <c r="AC1" s="48">
        <f t="shared" si="0"/>
        <v>46093</v>
      </c>
      <c r="AD1" s="48">
        <f t="shared" si="0"/>
        <v>46094</v>
      </c>
      <c r="AE1" s="48">
        <f t="shared" si="0"/>
        <v>46095</v>
      </c>
      <c r="AF1" s="48">
        <f t="shared" si="0"/>
        <v>46096</v>
      </c>
      <c r="AG1" s="48">
        <f t="shared" si="0"/>
        <v>46097</v>
      </c>
      <c r="AH1" s="48">
        <f t="shared" si="0"/>
        <v>46098</v>
      </c>
      <c r="AI1" s="48">
        <f t="shared" si="0"/>
        <v>46099</v>
      </c>
      <c r="AJ1" s="48">
        <f t="shared" si="0"/>
        <v>46100</v>
      </c>
      <c r="AK1" s="48">
        <f t="shared" si="0"/>
        <v>46101</v>
      </c>
      <c r="AL1" s="48">
        <f t="shared" si="0"/>
        <v>46102</v>
      </c>
      <c r="AM1" s="48">
        <f t="shared" ref="AM1" si="1">AL1+1</f>
        <v>46103</v>
      </c>
      <c r="AN1" s="48">
        <f t="shared" ref="AN1" si="2">AM1+1</f>
        <v>46104</v>
      </c>
      <c r="AO1" s="48">
        <f t="shared" ref="AO1" si="3">AN1+1</f>
        <v>46105</v>
      </c>
      <c r="AP1" s="48">
        <f t="shared" ref="AP1" si="4">AO1+1</f>
        <v>46106</v>
      </c>
      <c r="AQ1" s="48">
        <f t="shared" ref="AQ1" si="5">AP1+1</f>
        <v>46107</v>
      </c>
      <c r="AR1" s="48">
        <f t="shared" ref="AR1" si="6">AQ1+1</f>
        <v>46108</v>
      </c>
      <c r="AS1" s="48">
        <f t="shared" ref="AS1" si="7">AR1+1</f>
        <v>46109</v>
      </c>
    </row>
    <row r="2" spans="1:46" ht="12" thickBot="1">
      <c r="A2" s="108"/>
      <c r="B2" s="46">
        <f>SUM(C2:AO2)</f>
        <v>13073</v>
      </c>
      <c r="C2" s="115">
        <v>0</v>
      </c>
      <c r="D2" s="45">
        <f t="shared" ref="D2:AL2" si="8">SUM(D58,D70,D82,D94,D10,D22,D34,D46,D202,D214,D226,D238,D190,D178,D166,D154,D142,D130,D118,D106,D250,D262)</f>
        <v>0</v>
      </c>
      <c r="E2" s="45">
        <f t="shared" si="8"/>
        <v>1732</v>
      </c>
      <c r="F2" s="126">
        <f t="shared" si="8"/>
        <v>0</v>
      </c>
      <c r="G2" s="45">
        <f t="shared" si="8"/>
        <v>0</v>
      </c>
      <c r="H2" s="45">
        <f t="shared" si="8"/>
        <v>828</v>
      </c>
      <c r="I2" s="126">
        <f t="shared" si="8"/>
        <v>0</v>
      </c>
      <c r="J2" s="45">
        <f t="shared" si="8"/>
        <v>0</v>
      </c>
      <c r="K2" s="45">
        <f t="shared" si="8"/>
        <v>2045</v>
      </c>
      <c r="L2" s="126">
        <f t="shared" si="8"/>
        <v>0</v>
      </c>
      <c r="M2" s="45">
        <f t="shared" si="8"/>
        <v>0</v>
      </c>
      <c r="N2" s="45">
        <f t="shared" si="8"/>
        <v>0</v>
      </c>
      <c r="O2" s="45">
        <f t="shared" si="8"/>
        <v>1303</v>
      </c>
      <c r="P2" s="126">
        <f t="shared" si="8"/>
        <v>0</v>
      </c>
      <c r="Q2" s="45">
        <f t="shared" si="8"/>
        <v>0</v>
      </c>
      <c r="R2" s="45">
        <f t="shared" si="8"/>
        <v>1803</v>
      </c>
      <c r="S2" s="45">
        <f t="shared" si="8"/>
        <v>0</v>
      </c>
      <c r="T2" s="45">
        <f t="shared" si="8"/>
        <v>0</v>
      </c>
      <c r="U2" s="45">
        <f t="shared" si="8"/>
        <v>0</v>
      </c>
      <c r="V2" s="45">
        <f t="shared" si="8"/>
        <v>1103</v>
      </c>
      <c r="W2" s="45">
        <f t="shared" si="8"/>
        <v>0</v>
      </c>
      <c r="X2" s="45">
        <f t="shared" si="8"/>
        <v>0</v>
      </c>
      <c r="Y2" s="45">
        <f t="shared" si="8"/>
        <v>1676</v>
      </c>
      <c r="Z2" s="45">
        <f t="shared" si="8"/>
        <v>0</v>
      </c>
      <c r="AA2" s="45">
        <f t="shared" si="8"/>
        <v>0</v>
      </c>
      <c r="AB2" s="45">
        <f t="shared" si="8"/>
        <v>0</v>
      </c>
      <c r="AC2" s="45">
        <f t="shared" si="8"/>
        <v>995</v>
      </c>
      <c r="AD2" s="45">
        <f t="shared" si="8"/>
        <v>0</v>
      </c>
      <c r="AE2" s="45">
        <f t="shared" si="8"/>
        <v>0</v>
      </c>
      <c r="AF2" s="45">
        <f t="shared" si="8"/>
        <v>1588</v>
      </c>
      <c r="AG2" s="45">
        <f t="shared" si="8"/>
        <v>0</v>
      </c>
      <c r="AH2" s="45">
        <f t="shared" si="8"/>
        <v>0</v>
      </c>
      <c r="AI2" s="45">
        <f t="shared" si="8"/>
        <v>0</v>
      </c>
      <c r="AJ2" s="45">
        <f t="shared" si="8"/>
        <v>0</v>
      </c>
      <c r="AK2" s="45">
        <f t="shared" si="8"/>
        <v>0</v>
      </c>
      <c r="AL2" s="45">
        <f t="shared" si="8"/>
        <v>0</v>
      </c>
      <c r="AM2" s="45">
        <f t="shared" ref="AM2:AS2" si="9">SUM(AM58,AM70,AM82,AM94,AM10,AM22,AM34,AM46,AM202,AM214,AM226,AM238,AM190,AM178,AM166,AM154,AM142,AM130,AM118,AM106,AM250,AM262)</f>
        <v>0</v>
      </c>
      <c r="AN2" s="45">
        <f t="shared" si="9"/>
        <v>0</v>
      </c>
      <c r="AO2" s="45">
        <f t="shared" si="9"/>
        <v>0</v>
      </c>
      <c r="AP2" s="45">
        <f t="shared" si="9"/>
        <v>0</v>
      </c>
      <c r="AQ2" s="45">
        <f t="shared" si="9"/>
        <v>0</v>
      </c>
      <c r="AR2" s="45">
        <f t="shared" si="9"/>
        <v>0</v>
      </c>
      <c r="AS2" s="45">
        <f t="shared" si="9"/>
        <v>0</v>
      </c>
    </row>
    <row r="3" spans="1:46">
      <c r="A3" s="22" t="s">
        <v>1</v>
      </c>
      <c r="B3" s="21" t="s">
        <v>2</v>
      </c>
      <c r="C3" s="20">
        <v>3924</v>
      </c>
      <c r="D3" s="20">
        <v>3924</v>
      </c>
      <c r="E3" s="20">
        <v>3943</v>
      </c>
      <c r="F3" s="130">
        <v>3943</v>
      </c>
      <c r="G3" s="20">
        <v>3943</v>
      </c>
      <c r="H3" s="20">
        <v>3948</v>
      </c>
      <c r="I3" s="20">
        <v>3948</v>
      </c>
      <c r="J3" s="20">
        <v>3948</v>
      </c>
      <c r="K3" s="20">
        <v>3987</v>
      </c>
      <c r="L3" s="20">
        <v>3987</v>
      </c>
      <c r="M3" s="20">
        <v>3987</v>
      </c>
      <c r="N3" s="20">
        <v>3987</v>
      </c>
      <c r="O3" s="20">
        <v>4004</v>
      </c>
      <c r="P3" s="20">
        <v>4004</v>
      </c>
      <c r="Q3" s="20">
        <v>4004</v>
      </c>
      <c r="R3" s="20">
        <v>4018</v>
      </c>
      <c r="S3" s="20">
        <v>4018</v>
      </c>
      <c r="T3" s="20">
        <v>4018</v>
      </c>
      <c r="U3" s="20">
        <v>4018</v>
      </c>
      <c r="V3" s="20">
        <v>4048</v>
      </c>
      <c r="W3" s="20">
        <v>4048</v>
      </c>
      <c r="X3" s="20">
        <v>4048</v>
      </c>
      <c r="Y3" s="20">
        <v>4108</v>
      </c>
      <c r="Z3" s="20">
        <v>4108</v>
      </c>
      <c r="AA3" s="20">
        <v>4108</v>
      </c>
      <c r="AB3" s="20">
        <v>4108</v>
      </c>
      <c r="AC3" s="20">
        <v>4136</v>
      </c>
      <c r="AD3" s="20">
        <v>4136</v>
      </c>
      <c r="AE3" s="20">
        <v>4136</v>
      </c>
      <c r="AF3" s="20">
        <v>4177</v>
      </c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6">
      <c r="A4" s="16" t="s">
        <v>3</v>
      </c>
      <c r="B4" s="9" t="s">
        <v>4</v>
      </c>
      <c r="C4" s="74">
        <v>285</v>
      </c>
      <c r="D4" s="8">
        <f>IF(D3="","",C4)</f>
        <v>285</v>
      </c>
      <c r="E4" s="8">
        <v>286</v>
      </c>
      <c r="F4" s="59">
        <f t="shared" ref="F4:Q4" si="10">IF(F3="","",E4)</f>
        <v>286</v>
      </c>
      <c r="G4" s="8">
        <f t="shared" si="10"/>
        <v>286</v>
      </c>
      <c r="H4" s="8">
        <f t="shared" si="10"/>
        <v>286</v>
      </c>
      <c r="I4" s="59">
        <f t="shared" si="10"/>
        <v>286</v>
      </c>
      <c r="J4" s="8">
        <f t="shared" si="10"/>
        <v>286</v>
      </c>
      <c r="K4" s="8">
        <f t="shared" si="10"/>
        <v>286</v>
      </c>
      <c r="L4" s="59">
        <f t="shared" si="10"/>
        <v>286</v>
      </c>
      <c r="M4" s="8">
        <f t="shared" si="10"/>
        <v>286</v>
      </c>
      <c r="N4" s="8">
        <f t="shared" si="10"/>
        <v>286</v>
      </c>
      <c r="O4" s="8">
        <f t="shared" si="10"/>
        <v>286</v>
      </c>
      <c r="P4" s="59">
        <f t="shared" si="10"/>
        <v>286</v>
      </c>
      <c r="Q4" s="8">
        <f t="shared" si="10"/>
        <v>286</v>
      </c>
      <c r="R4" s="8">
        <v>287</v>
      </c>
      <c r="S4" s="8">
        <f t="shared" ref="S4:AL4" si="11">IF(S3="","",R4)</f>
        <v>287</v>
      </c>
      <c r="T4" s="8">
        <f t="shared" si="11"/>
        <v>287</v>
      </c>
      <c r="U4" s="8">
        <f t="shared" si="11"/>
        <v>287</v>
      </c>
      <c r="V4" s="8">
        <v>288</v>
      </c>
      <c r="W4" s="8">
        <f t="shared" si="11"/>
        <v>288</v>
      </c>
      <c r="X4" s="8">
        <f t="shared" si="11"/>
        <v>288</v>
      </c>
      <c r="Y4" s="8">
        <v>290</v>
      </c>
      <c r="Z4" s="8">
        <f t="shared" si="11"/>
        <v>290</v>
      </c>
      <c r="AA4" s="8">
        <f t="shared" si="11"/>
        <v>290</v>
      </c>
      <c r="AB4" s="8">
        <f t="shared" si="11"/>
        <v>290</v>
      </c>
      <c r="AC4" s="8">
        <f t="shared" si="11"/>
        <v>290</v>
      </c>
      <c r="AD4" s="8">
        <f t="shared" si="11"/>
        <v>290</v>
      </c>
      <c r="AE4" s="8">
        <f t="shared" si="11"/>
        <v>290</v>
      </c>
      <c r="AF4" s="8">
        <f t="shared" si="11"/>
        <v>290</v>
      </c>
      <c r="AG4" s="8" t="str">
        <f t="shared" si="11"/>
        <v/>
      </c>
      <c r="AH4" s="8" t="str">
        <f t="shared" si="11"/>
        <v/>
      </c>
      <c r="AI4" s="8" t="str">
        <f t="shared" si="11"/>
        <v/>
      </c>
      <c r="AJ4" s="8" t="str">
        <f t="shared" si="11"/>
        <v/>
      </c>
      <c r="AK4" s="8" t="str">
        <f t="shared" si="11"/>
        <v/>
      </c>
      <c r="AL4" s="8" t="str">
        <f t="shared" si="11"/>
        <v/>
      </c>
      <c r="AM4" s="8" t="str">
        <f t="shared" ref="AM4:AS4" si="12">IF(AM3="","",AL4)</f>
        <v/>
      </c>
      <c r="AN4" s="8" t="str">
        <f t="shared" si="12"/>
        <v/>
      </c>
      <c r="AO4" s="8" t="str">
        <f t="shared" si="12"/>
        <v/>
      </c>
      <c r="AP4" s="8" t="str">
        <f t="shared" si="12"/>
        <v/>
      </c>
      <c r="AQ4" s="8" t="str">
        <f t="shared" si="12"/>
        <v/>
      </c>
      <c r="AR4" s="8" t="str">
        <f t="shared" si="12"/>
        <v/>
      </c>
      <c r="AS4" s="8" t="str">
        <f t="shared" si="12"/>
        <v/>
      </c>
    </row>
    <row r="5" spans="1:46">
      <c r="A5" s="15">
        <v>1</v>
      </c>
      <c r="B5" s="9" t="s">
        <v>5</v>
      </c>
      <c r="C5" s="74">
        <v>6</v>
      </c>
      <c r="D5" s="8">
        <f t="shared" ref="D5:Q5" si="13">IF(D3="","",(C5+C6))</f>
        <v>6</v>
      </c>
      <c r="E5" s="8">
        <f t="shared" si="13"/>
        <v>6</v>
      </c>
      <c r="F5" s="59">
        <f t="shared" si="13"/>
        <v>4</v>
      </c>
      <c r="G5" s="8">
        <f t="shared" si="13"/>
        <v>4</v>
      </c>
      <c r="H5" s="8">
        <f t="shared" si="13"/>
        <v>4</v>
      </c>
      <c r="I5" s="59">
        <f t="shared" si="13"/>
        <v>4</v>
      </c>
      <c r="J5" s="8">
        <f t="shared" si="13"/>
        <v>4</v>
      </c>
      <c r="K5" s="8">
        <f t="shared" si="13"/>
        <v>4</v>
      </c>
      <c r="L5" s="59">
        <f t="shared" si="13"/>
        <v>4</v>
      </c>
      <c r="M5" s="8">
        <f t="shared" si="13"/>
        <v>4</v>
      </c>
      <c r="N5" s="8">
        <f t="shared" si="13"/>
        <v>4</v>
      </c>
      <c r="O5" s="8">
        <f t="shared" si="13"/>
        <v>4</v>
      </c>
      <c r="P5" s="59">
        <f t="shared" si="13"/>
        <v>4</v>
      </c>
      <c r="Q5" s="8">
        <f t="shared" si="13"/>
        <v>4</v>
      </c>
      <c r="R5" s="8">
        <v>3</v>
      </c>
      <c r="S5" s="8">
        <f t="shared" ref="S5:AL5" si="14">IF(S3="","",(R5+R6))</f>
        <v>15</v>
      </c>
      <c r="T5" s="8">
        <f t="shared" si="14"/>
        <v>15</v>
      </c>
      <c r="U5" s="8">
        <f t="shared" si="14"/>
        <v>15</v>
      </c>
      <c r="V5" s="8">
        <v>14</v>
      </c>
      <c r="W5" s="8">
        <f t="shared" si="14"/>
        <v>14</v>
      </c>
      <c r="X5" s="8">
        <f t="shared" si="14"/>
        <v>14</v>
      </c>
      <c r="Y5" s="8">
        <v>12</v>
      </c>
      <c r="Z5" s="8">
        <f t="shared" si="14"/>
        <v>12</v>
      </c>
      <c r="AA5" s="8">
        <f t="shared" si="14"/>
        <v>12</v>
      </c>
      <c r="AB5" s="8">
        <f t="shared" si="14"/>
        <v>12</v>
      </c>
      <c r="AC5" s="8">
        <f t="shared" si="14"/>
        <v>12</v>
      </c>
      <c r="AD5" s="8">
        <f t="shared" si="14"/>
        <v>12</v>
      </c>
      <c r="AE5" s="8">
        <f t="shared" si="14"/>
        <v>12</v>
      </c>
      <c r="AF5" s="8">
        <f t="shared" si="14"/>
        <v>12</v>
      </c>
      <c r="AG5" s="8" t="str">
        <f t="shared" si="14"/>
        <v/>
      </c>
      <c r="AH5" s="8" t="str">
        <f t="shared" si="14"/>
        <v/>
      </c>
      <c r="AI5" s="8" t="str">
        <f t="shared" si="14"/>
        <v/>
      </c>
      <c r="AJ5" s="8" t="str">
        <f t="shared" si="14"/>
        <v/>
      </c>
      <c r="AK5" s="8" t="str">
        <f t="shared" si="14"/>
        <v/>
      </c>
      <c r="AL5" s="8" t="str">
        <f t="shared" si="14"/>
        <v/>
      </c>
      <c r="AM5" s="8" t="str">
        <f t="shared" ref="AM5:AS5" si="15">IF(AM3="","",(AL5+AL6))</f>
        <v/>
      </c>
      <c r="AN5" s="8" t="str">
        <f t="shared" si="15"/>
        <v/>
      </c>
      <c r="AO5" s="8" t="str">
        <f t="shared" si="15"/>
        <v/>
      </c>
      <c r="AP5" s="8" t="str">
        <f t="shared" si="15"/>
        <v/>
      </c>
      <c r="AQ5" s="8" t="str">
        <f t="shared" si="15"/>
        <v/>
      </c>
      <c r="AR5" s="8" t="str">
        <f t="shared" si="15"/>
        <v/>
      </c>
      <c r="AS5" s="8" t="str">
        <f t="shared" si="15"/>
        <v/>
      </c>
    </row>
    <row r="6" spans="1:46">
      <c r="A6" s="101" t="s">
        <v>6</v>
      </c>
      <c r="B6" s="9" t="s">
        <v>7</v>
      </c>
      <c r="C6" s="74"/>
      <c r="D6" s="8"/>
      <c r="E6" s="8">
        <v>-2</v>
      </c>
      <c r="F6" s="59"/>
      <c r="G6" s="8"/>
      <c r="H6" s="8"/>
      <c r="I6" s="59"/>
      <c r="J6" s="8"/>
      <c r="K6" s="8"/>
      <c r="L6" s="59"/>
      <c r="M6" s="8"/>
      <c r="N6" s="8"/>
      <c r="O6" s="8"/>
      <c r="P6" s="59"/>
      <c r="Q6" s="8"/>
      <c r="R6" s="8">
        <v>12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6">
      <c r="A7" s="102">
        <f>+(A10+A22+A34+A46)*100</f>
        <v>243100</v>
      </c>
      <c r="B7" s="9" t="s">
        <v>8</v>
      </c>
      <c r="C7" s="74">
        <v>500</v>
      </c>
      <c r="D7" s="8">
        <f t="shared" ref="D7:AL7" si="16">IF(D3="","",C7)</f>
        <v>500</v>
      </c>
      <c r="E7" s="8">
        <f t="shared" si="16"/>
        <v>500</v>
      </c>
      <c r="F7" s="59">
        <f t="shared" si="16"/>
        <v>500</v>
      </c>
      <c r="G7" s="8">
        <f t="shared" si="16"/>
        <v>500</v>
      </c>
      <c r="H7" s="8">
        <f t="shared" si="16"/>
        <v>500</v>
      </c>
      <c r="I7" s="59">
        <f t="shared" si="16"/>
        <v>500</v>
      </c>
      <c r="J7" s="8">
        <f t="shared" si="16"/>
        <v>500</v>
      </c>
      <c r="K7" s="8">
        <f t="shared" si="16"/>
        <v>500</v>
      </c>
      <c r="L7" s="59">
        <f t="shared" si="16"/>
        <v>500</v>
      </c>
      <c r="M7" s="8">
        <f t="shared" si="16"/>
        <v>500</v>
      </c>
      <c r="N7" s="8">
        <f t="shared" si="16"/>
        <v>500</v>
      </c>
      <c r="O7" s="8">
        <f t="shared" si="16"/>
        <v>500</v>
      </c>
      <c r="P7" s="59">
        <f t="shared" si="16"/>
        <v>500</v>
      </c>
      <c r="Q7" s="8">
        <f t="shared" si="16"/>
        <v>500</v>
      </c>
      <c r="R7" s="8">
        <f t="shared" si="16"/>
        <v>500</v>
      </c>
      <c r="S7" s="8">
        <f t="shared" si="16"/>
        <v>500</v>
      </c>
      <c r="T7" s="8">
        <f t="shared" si="16"/>
        <v>500</v>
      </c>
      <c r="U7" s="8">
        <f t="shared" si="16"/>
        <v>500</v>
      </c>
      <c r="V7" s="8">
        <f t="shared" si="16"/>
        <v>500</v>
      </c>
      <c r="W7" s="8">
        <f t="shared" si="16"/>
        <v>500</v>
      </c>
      <c r="X7" s="8">
        <f t="shared" si="16"/>
        <v>500</v>
      </c>
      <c r="Y7" s="8">
        <f t="shared" si="16"/>
        <v>500</v>
      </c>
      <c r="Z7" s="8">
        <f t="shared" si="16"/>
        <v>500</v>
      </c>
      <c r="AA7" s="8">
        <f t="shared" si="16"/>
        <v>500</v>
      </c>
      <c r="AB7" s="8">
        <f t="shared" si="16"/>
        <v>500</v>
      </c>
      <c r="AC7" s="8">
        <f t="shared" si="16"/>
        <v>500</v>
      </c>
      <c r="AD7" s="8">
        <f t="shared" si="16"/>
        <v>500</v>
      </c>
      <c r="AE7" s="8">
        <f t="shared" si="16"/>
        <v>500</v>
      </c>
      <c r="AF7" s="8">
        <f t="shared" si="16"/>
        <v>500</v>
      </c>
      <c r="AG7" s="8" t="str">
        <f t="shared" si="16"/>
        <v/>
      </c>
      <c r="AH7" s="8" t="str">
        <f t="shared" si="16"/>
        <v/>
      </c>
      <c r="AI7" s="8" t="str">
        <f t="shared" si="16"/>
        <v/>
      </c>
      <c r="AJ7" s="8" t="str">
        <f t="shared" si="16"/>
        <v/>
      </c>
      <c r="AK7" s="8" t="str">
        <f t="shared" si="16"/>
        <v/>
      </c>
      <c r="AL7" s="8" t="str">
        <f t="shared" si="16"/>
        <v/>
      </c>
      <c r="AM7" s="8" t="str">
        <f t="shared" ref="AM7:AS7" si="17">IF(AM3="","",AL7)</f>
        <v/>
      </c>
      <c r="AN7" s="8" t="str">
        <f t="shared" si="17"/>
        <v/>
      </c>
      <c r="AO7" s="8" t="str">
        <f t="shared" si="17"/>
        <v/>
      </c>
      <c r="AP7" s="8" t="str">
        <f t="shared" si="17"/>
        <v/>
      </c>
      <c r="AQ7" s="8" t="str">
        <f t="shared" si="17"/>
        <v/>
      </c>
      <c r="AR7" s="8" t="str">
        <f t="shared" si="17"/>
        <v/>
      </c>
      <c r="AS7" s="8" t="str">
        <f t="shared" si="17"/>
        <v/>
      </c>
    </row>
    <row r="8" spans="1:46" s="94" customFormat="1">
      <c r="A8" s="14" t="s">
        <v>9</v>
      </c>
      <c r="B8" s="13" t="s">
        <v>10</v>
      </c>
      <c r="C8" s="75" t="s">
        <v>11</v>
      </c>
      <c r="D8" s="12" t="str">
        <f>IF(D3="","",C8)</f>
        <v>サンリオホワイトMC</v>
      </c>
      <c r="E8" s="12" t="s">
        <v>12</v>
      </c>
      <c r="F8" s="131" t="str">
        <f t="shared" ref="F8:Q8" si="18">IF(F3="","",E8)</f>
        <v>ポメラニアン</v>
      </c>
      <c r="G8" s="12" t="str">
        <f t="shared" si="18"/>
        <v>ポメラニアン</v>
      </c>
      <c r="H8" s="12" t="str">
        <f t="shared" si="18"/>
        <v>ポメラニアン</v>
      </c>
      <c r="I8" s="131" t="str">
        <f t="shared" si="18"/>
        <v>ポメラニアン</v>
      </c>
      <c r="J8" s="12" t="str">
        <f t="shared" si="18"/>
        <v>ポメラニアン</v>
      </c>
      <c r="K8" s="12" t="str">
        <f t="shared" si="18"/>
        <v>ポメラニアン</v>
      </c>
      <c r="L8" s="131" t="str">
        <f t="shared" si="18"/>
        <v>ポメラニアン</v>
      </c>
      <c r="M8" s="12" t="str">
        <f t="shared" si="18"/>
        <v>ポメラニアン</v>
      </c>
      <c r="N8" s="12" t="str">
        <f t="shared" si="18"/>
        <v>ポメラニアン</v>
      </c>
      <c r="O8" s="12" t="str">
        <f t="shared" si="18"/>
        <v>ポメラニアン</v>
      </c>
      <c r="P8" s="131" t="str">
        <f t="shared" si="18"/>
        <v>ポメラニアン</v>
      </c>
      <c r="Q8" s="12" t="str">
        <f t="shared" si="18"/>
        <v>ポメラニアン</v>
      </c>
      <c r="R8" s="12" t="s">
        <v>13</v>
      </c>
      <c r="S8" s="12" t="str">
        <f t="shared" ref="S8:AL8" si="19">IF(S3="","",R8)</f>
        <v>電ブル</v>
      </c>
      <c r="T8" s="12" t="str">
        <f t="shared" si="19"/>
        <v>電ブル</v>
      </c>
      <c r="U8" s="12" t="str">
        <f t="shared" si="19"/>
        <v>電ブル</v>
      </c>
      <c r="V8" s="12" t="str">
        <f t="shared" si="19"/>
        <v>電ブル</v>
      </c>
      <c r="W8" s="12" t="str">
        <f t="shared" si="19"/>
        <v>電ブル</v>
      </c>
      <c r="X8" s="12" t="str">
        <f t="shared" si="19"/>
        <v>電ブル</v>
      </c>
      <c r="Y8" s="12" t="str">
        <f t="shared" si="19"/>
        <v>電ブル</v>
      </c>
      <c r="Z8" s="12" t="str">
        <f t="shared" si="19"/>
        <v>電ブル</v>
      </c>
      <c r="AA8" s="12" t="str">
        <f t="shared" si="19"/>
        <v>電ブル</v>
      </c>
      <c r="AB8" s="12" t="str">
        <f t="shared" si="19"/>
        <v>電ブル</v>
      </c>
      <c r="AC8" s="12" t="str">
        <f t="shared" si="19"/>
        <v>電ブル</v>
      </c>
      <c r="AD8" s="12" t="str">
        <f t="shared" si="19"/>
        <v>電ブル</v>
      </c>
      <c r="AE8" s="12" t="str">
        <f t="shared" si="19"/>
        <v>電ブル</v>
      </c>
      <c r="AF8" s="12" t="str">
        <f t="shared" si="19"/>
        <v>電ブル</v>
      </c>
      <c r="AG8" s="12" t="str">
        <f t="shared" si="19"/>
        <v/>
      </c>
      <c r="AH8" s="12" t="str">
        <f t="shared" si="19"/>
        <v/>
      </c>
      <c r="AI8" s="12" t="str">
        <f t="shared" si="19"/>
        <v/>
      </c>
      <c r="AJ8" s="12" t="str">
        <f t="shared" si="19"/>
        <v/>
      </c>
      <c r="AK8" s="12" t="str">
        <f t="shared" si="19"/>
        <v/>
      </c>
      <c r="AL8" s="12" t="str">
        <f t="shared" si="19"/>
        <v/>
      </c>
      <c r="AM8" s="12" t="str">
        <f t="shared" ref="AM8:AS8" si="20">IF(AM3="","",AL8)</f>
        <v/>
      </c>
      <c r="AN8" s="12" t="str">
        <f t="shared" si="20"/>
        <v/>
      </c>
      <c r="AO8" s="12" t="str">
        <f t="shared" si="20"/>
        <v/>
      </c>
      <c r="AP8" s="12" t="str">
        <f t="shared" si="20"/>
        <v/>
      </c>
      <c r="AQ8" s="12" t="str">
        <f t="shared" si="20"/>
        <v/>
      </c>
      <c r="AR8" s="12" t="str">
        <f t="shared" si="20"/>
        <v/>
      </c>
      <c r="AS8" s="12" t="str">
        <f t="shared" si="20"/>
        <v/>
      </c>
      <c r="AT8" s="11"/>
    </row>
    <row r="9" spans="1:46">
      <c r="A9" s="7">
        <f>AVERAGE(C10:AS10)*30*100</f>
        <v>25300</v>
      </c>
      <c r="B9" s="9" t="s">
        <v>14</v>
      </c>
      <c r="C9" s="74"/>
      <c r="D9" s="8"/>
      <c r="E9" s="8"/>
      <c r="F9" s="59"/>
      <c r="G9" s="8"/>
      <c r="H9" s="8"/>
      <c r="I9" s="59"/>
      <c r="J9" s="8"/>
      <c r="K9" s="8"/>
      <c r="L9" s="59"/>
      <c r="M9" s="8"/>
      <c r="N9" s="8"/>
      <c r="O9" s="8"/>
      <c r="P9" s="5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6">
      <c r="A10" s="7">
        <f>SUM(C10:AS10)</f>
        <v>253</v>
      </c>
      <c r="B10" s="6" t="s">
        <v>15</v>
      </c>
      <c r="C10" s="74">
        <v>0</v>
      </c>
      <c r="D10" s="5">
        <f t="shared" ref="D10:AL10" si="21">IF(D3="","",D3-C3)</f>
        <v>0</v>
      </c>
      <c r="E10" s="5">
        <f t="shared" si="21"/>
        <v>19</v>
      </c>
      <c r="F10" s="59">
        <f t="shared" si="21"/>
        <v>0</v>
      </c>
      <c r="G10" s="5">
        <f t="shared" si="21"/>
        <v>0</v>
      </c>
      <c r="H10" s="5">
        <f t="shared" si="21"/>
        <v>5</v>
      </c>
      <c r="I10" s="59">
        <f t="shared" si="21"/>
        <v>0</v>
      </c>
      <c r="J10" s="5">
        <f t="shared" si="21"/>
        <v>0</v>
      </c>
      <c r="K10" s="5">
        <f t="shared" si="21"/>
        <v>39</v>
      </c>
      <c r="L10" s="59">
        <f t="shared" si="21"/>
        <v>0</v>
      </c>
      <c r="M10" s="5">
        <f t="shared" si="21"/>
        <v>0</v>
      </c>
      <c r="N10" s="5">
        <f t="shared" si="21"/>
        <v>0</v>
      </c>
      <c r="O10" s="5">
        <f t="shared" si="21"/>
        <v>17</v>
      </c>
      <c r="P10" s="59">
        <f t="shared" si="21"/>
        <v>0</v>
      </c>
      <c r="Q10" s="5">
        <f t="shared" si="21"/>
        <v>0</v>
      </c>
      <c r="R10" s="5">
        <f t="shared" si="21"/>
        <v>14</v>
      </c>
      <c r="S10" s="5">
        <f t="shared" si="21"/>
        <v>0</v>
      </c>
      <c r="T10" s="5">
        <f t="shared" si="21"/>
        <v>0</v>
      </c>
      <c r="U10" s="5">
        <f t="shared" si="21"/>
        <v>0</v>
      </c>
      <c r="V10" s="5">
        <f t="shared" si="21"/>
        <v>30</v>
      </c>
      <c r="W10" s="5">
        <f t="shared" si="21"/>
        <v>0</v>
      </c>
      <c r="X10" s="5">
        <f t="shared" si="21"/>
        <v>0</v>
      </c>
      <c r="Y10" s="5">
        <f t="shared" si="21"/>
        <v>60</v>
      </c>
      <c r="Z10" s="5">
        <f t="shared" si="21"/>
        <v>0</v>
      </c>
      <c r="AA10" s="5">
        <f t="shared" si="21"/>
        <v>0</v>
      </c>
      <c r="AB10" s="5">
        <f t="shared" si="21"/>
        <v>0</v>
      </c>
      <c r="AC10" s="5">
        <f t="shared" si="21"/>
        <v>28</v>
      </c>
      <c r="AD10" s="5">
        <f t="shared" si="21"/>
        <v>0</v>
      </c>
      <c r="AE10" s="5">
        <f t="shared" si="21"/>
        <v>0</v>
      </c>
      <c r="AF10" s="5">
        <f t="shared" si="21"/>
        <v>41</v>
      </c>
      <c r="AG10" s="5" t="str">
        <f t="shared" si="21"/>
        <v/>
      </c>
      <c r="AH10" s="5" t="str">
        <f t="shared" si="21"/>
        <v/>
      </c>
      <c r="AI10" s="5" t="str">
        <f t="shared" si="21"/>
        <v/>
      </c>
      <c r="AJ10" s="5" t="str">
        <f t="shared" si="21"/>
        <v/>
      </c>
      <c r="AK10" s="5" t="str">
        <f t="shared" si="21"/>
        <v/>
      </c>
      <c r="AL10" s="5" t="str">
        <f t="shared" si="21"/>
        <v/>
      </c>
      <c r="AM10" s="5" t="str">
        <f t="shared" ref="AM10:AS10" si="22">IF(AM3="","",AM3-AL3)</f>
        <v/>
      </c>
      <c r="AN10" s="5" t="str">
        <f t="shared" si="22"/>
        <v/>
      </c>
      <c r="AO10" s="5" t="str">
        <f t="shared" si="22"/>
        <v/>
      </c>
      <c r="AP10" s="5" t="str">
        <f t="shared" si="22"/>
        <v/>
      </c>
      <c r="AQ10" s="5" t="str">
        <f t="shared" si="22"/>
        <v/>
      </c>
      <c r="AR10" s="5" t="str">
        <f t="shared" si="22"/>
        <v/>
      </c>
      <c r="AS10" s="5" t="str">
        <f t="shared" si="22"/>
        <v/>
      </c>
    </row>
    <row r="11" spans="1:46">
      <c r="A11" s="7">
        <f>SUM(C11:AS11)</f>
        <v>5</v>
      </c>
      <c r="B11" s="6" t="s">
        <v>16</v>
      </c>
      <c r="C11" s="74">
        <v>0</v>
      </c>
      <c r="D11" s="5">
        <f t="shared" ref="D11:AL11" si="23">IF(D4="","",D4-C4)</f>
        <v>0</v>
      </c>
      <c r="E11" s="5">
        <f t="shared" si="23"/>
        <v>1</v>
      </c>
      <c r="F11" s="59">
        <f t="shared" si="23"/>
        <v>0</v>
      </c>
      <c r="G11" s="5">
        <f t="shared" si="23"/>
        <v>0</v>
      </c>
      <c r="H11" s="5">
        <f t="shared" si="23"/>
        <v>0</v>
      </c>
      <c r="I11" s="59">
        <f t="shared" si="23"/>
        <v>0</v>
      </c>
      <c r="J11" s="5">
        <f t="shared" si="23"/>
        <v>0</v>
      </c>
      <c r="K11" s="5">
        <f t="shared" si="23"/>
        <v>0</v>
      </c>
      <c r="L11" s="59">
        <f t="shared" si="23"/>
        <v>0</v>
      </c>
      <c r="M11" s="5">
        <f t="shared" si="23"/>
        <v>0</v>
      </c>
      <c r="N11" s="5">
        <f t="shared" si="23"/>
        <v>0</v>
      </c>
      <c r="O11" s="5">
        <f t="shared" si="23"/>
        <v>0</v>
      </c>
      <c r="P11" s="59">
        <f t="shared" si="23"/>
        <v>0</v>
      </c>
      <c r="Q11" s="5">
        <f t="shared" si="23"/>
        <v>0</v>
      </c>
      <c r="R11" s="5">
        <f t="shared" si="23"/>
        <v>1</v>
      </c>
      <c r="S11" s="5">
        <f t="shared" si="23"/>
        <v>0</v>
      </c>
      <c r="T11" s="5">
        <f t="shared" si="23"/>
        <v>0</v>
      </c>
      <c r="U11" s="5">
        <f t="shared" si="23"/>
        <v>0</v>
      </c>
      <c r="V11" s="5">
        <f t="shared" si="23"/>
        <v>1</v>
      </c>
      <c r="W11" s="5">
        <f t="shared" si="23"/>
        <v>0</v>
      </c>
      <c r="X11" s="5">
        <f t="shared" si="23"/>
        <v>0</v>
      </c>
      <c r="Y11" s="5">
        <f t="shared" si="23"/>
        <v>2</v>
      </c>
      <c r="Z11" s="5">
        <f t="shared" si="23"/>
        <v>0</v>
      </c>
      <c r="AA11" s="5">
        <f t="shared" si="23"/>
        <v>0</v>
      </c>
      <c r="AB11" s="5">
        <f t="shared" si="23"/>
        <v>0</v>
      </c>
      <c r="AC11" s="5">
        <f t="shared" si="23"/>
        <v>0</v>
      </c>
      <c r="AD11" s="5">
        <f t="shared" si="23"/>
        <v>0</v>
      </c>
      <c r="AE11" s="5">
        <f t="shared" si="23"/>
        <v>0</v>
      </c>
      <c r="AF11" s="5">
        <f t="shared" si="23"/>
        <v>0</v>
      </c>
      <c r="AG11" s="5" t="str">
        <f t="shared" si="23"/>
        <v/>
      </c>
      <c r="AH11" s="5" t="str">
        <f t="shared" si="23"/>
        <v/>
      </c>
      <c r="AI11" s="5" t="str">
        <f t="shared" si="23"/>
        <v/>
      </c>
      <c r="AJ11" s="5" t="str">
        <f t="shared" si="23"/>
        <v/>
      </c>
      <c r="AK11" s="5" t="str">
        <f t="shared" si="23"/>
        <v/>
      </c>
      <c r="AL11" s="5" t="str">
        <f t="shared" si="23"/>
        <v/>
      </c>
      <c r="AM11" s="5" t="str">
        <f t="shared" ref="AM11:AS11" si="24">IF(AM4="","",AM4-AL4)</f>
        <v/>
      </c>
      <c r="AN11" s="5" t="str">
        <f t="shared" si="24"/>
        <v/>
      </c>
      <c r="AO11" s="5" t="str">
        <f t="shared" si="24"/>
        <v/>
      </c>
      <c r="AP11" s="5" t="str">
        <f t="shared" si="24"/>
        <v/>
      </c>
      <c r="AQ11" s="5" t="str">
        <f t="shared" si="24"/>
        <v/>
      </c>
      <c r="AR11" s="5" t="str">
        <f t="shared" si="24"/>
        <v/>
      </c>
      <c r="AS11" s="5" t="str">
        <f t="shared" si="24"/>
        <v/>
      </c>
    </row>
    <row r="12" spans="1:46">
      <c r="A12" s="7">
        <f>SUM(C12:AS12)</f>
        <v>4</v>
      </c>
      <c r="B12" s="6" t="s">
        <v>17</v>
      </c>
      <c r="C12" s="74">
        <v>0</v>
      </c>
      <c r="D12" s="5">
        <f t="shared" ref="D12:AL12" si="25">IF(D5="","",C5+C6-D5)</f>
        <v>0</v>
      </c>
      <c r="E12" s="5">
        <f t="shared" si="25"/>
        <v>0</v>
      </c>
      <c r="F12" s="59">
        <f t="shared" si="25"/>
        <v>0</v>
      </c>
      <c r="G12" s="5">
        <f t="shared" si="25"/>
        <v>0</v>
      </c>
      <c r="H12" s="5">
        <f t="shared" si="25"/>
        <v>0</v>
      </c>
      <c r="I12" s="59">
        <f t="shared" si="25"/>
        <v>0</v>
      </c>
      <c r="J12" s="5">
        <f t="shared" si="25"/>
        <v>0</v>
      </c>
      <c r="K12" s="5">
        <f t="shared" si="25"/>
        <v>0</v>
      </c>
      <c r="L12" s="59">
        <f t="shared" si="25"/>
        <v>0</v>
      </c>
      <c r="M12" s="5">
        <f t="shared" si="25"/>
        <v>0</v>
      </c>
      <c r="N12" s="5">
        <f t="shared" si="25"/>
        <v>0</v>
      </c>
      <c r="O12" s="5">
        <f t="shared" si="25"/>
        <v>0</v>
      </c>
      <c r="P12" s="59">
        <f t="shared" si="25"/>
        <v>0</v>
      </c>
      <c r="Q12" s="5">
        <f t="shared" si="25"/>
        <v>0</v>
      </c>
      <c r="R12" s="5">
        <f t="shared" si="25"/>
        <v>1</v>
      </c>
      <c r="S12" s="5">
        <f t="shared" si="25"/>
        <v>0</v>
      </c>
      <c r="T12" s="5">
        <f t="shared" si="25"/>
        <v>0</v>
      </c>
      <c r="U12" s="5">
        <f t="shared" si="25"/>
        <v>0</v>
      </c>
      <c r="V12" s="5">
        <f t="shared" si="25"/>
        <v>1</v>
      </c>
      <c r="W12" s="5">
        <f t="shared" si="25"/>
        <v>0</v>
      </c>
      <c r="X12" s="5">
        <f t="shared" si="25"/>
        <v>0</v>
      </c>
      <c r="Y12" s="5">
        <f t="shared" si="25"/>
        <v>2</v>
      </c>
      <c r="Z12" s="5">
        <f t="shared" si="25"/>
        <v>0</v>
      </c>
      <c r="AA12" s="5">
        <f t="shared" si="25"/>
        <v>0</v>
      </c>
      <c r="AB12" s="5">
        <f t="shared" si="25"/>
        <v>0</v>
      </c>
      <c r="AC12" s="5">
        <f t="shared" si="25"/>
        <v>0</v>
      </c>
      <c r="AD12" s="5">
        <f t="shared" si="25"/>
        <v>0</v>
      </c>
      <c r="AE12" s="5">
        <f t="shared" si="25"/>
        <v>0</v>
      </c>
      <c r="AF12" s="5">
        <f t="shared" si="25"/>
        <v>0</v>
      </c>
      <c r="AG12" s="5" t="str">
        <f t="shared" si="25"/>
        <v/>
      </c>
      <c r="AH12" s="5" t="str">
        <f t="shared" si="25"/>
        <v/>
      </c>
      <c r="AI12" s="5" t="str">
        <f t="shared" si="25"/>
        <v/>
      </c>
      <c r="AJ12" s="5" t="str">
        <f t="shared" si="25"/>
        <v/>
      </c>
      <c r="AK12" s="5" t="str">
        <f t="shared" si="25"/>
        <v/>
      </c>
      <c r="AL12" s="5" t="str">
        <f t="shared" si="25"/>
        <v/>
      </c>
      <c r="AM12" s="5" t="str">
        <f t="shared" ref="AM12:AS12" si="26">IF(AM5="","",AL5+AL6-AM5)</f>
        <v/>
      </c>
      <c r="AN12" s="5" t="str">
        <f t="shared" si="26"/>
        <v/>
      </c>
      <c r="AO12" s="5" t="str">
        <f t="shared" si="26"/>
        <v/>
      </c>
      <c r="AP12" s="5" t="str">
        <f t="shared" si="26"/>
        <v/>
      </c>
      <c r="AQ12" s="5" t="str">
        <f t="shared" si="26"/>
        <v/>
      </c>
      <c r="AR12" s="5" t="str">
        <f t="shared" si="26"/>
        <v/>
      </c>
      <c r="AS12" s="5" t="str">
        <f t="shared" si="26"/>
        <v/>
      </c>
    </row>
    <row r="13" spans="1:46">
      <c r="A13" s="7">
        <f>SUM(C13:AS13)</f>
        <v>2000</v>
      </c>
      <c r="B13" s="6" t="s">
        <v>18</v>
      </c>
      <c r="C13" s="74">
        <v>0</v>
      </c>
      <c r="D13" s="5">
        <f t="shared" ref="D13:AL13" si="27">IF(D3="","",D12*D7)</f>
        <v>0</v>
      </c>
      <c r="E13" s="5">
        <f t="shared" si="27"/>
        <v>0</v>
      </c>
      <c r="F13" s="59">
        <f t="shared" si="27"/>
        <v>0</v>
      </c>
      <c r="G13" s="5">
        <f t="shared" si="27"/>
        <v>0</v>
      </c>
      <c r="H13" s="5">
        <f t="shared" si="27"/>
        <v>0</v>
      </c>
      <c r="I13" s="59">
        <f t="shared" si="27"/>
        <v>0</v>
      </c>
      <c r="J13" s="5">
        <f t="shared" si="27"/>
        <v>0</v>
      </c>
      <c r="K13" s="5">
        <f t="shared" si="27"/>
        <v>0</v>
      </c>
      <c r="L13" s="59">
        <f t="shared" si="27"/>
        <v>0</v>
      </c>
      <c r="M13" s="5">
        <f t="shared" si="27"/>
        <v>0</v>
      </c>
      <c r="N13" s="5">
        <f t="shared" si="27"/>
        <v>0</v>
      </c>
      <c r="O13" s="5">
        <f t="shared" si="27"/>
        <v>0</v>
      </c>
      <c r="P13" s="59">
        <f t="shared" si="27"/>
        <v>0</v>
      </c>
      <c r="Q13" s="5">
        <f t="shared" si="27"/>
        <v>0</v>
      </c>
      <c r="R13" s="5">
        <f t="shared" si="27"/>
        <v>500</v>
      </c>
      <c r="S13" s="5">
        <f t="shared" si="27"/>
        <v>0</v>
      </c>
      <c r="T13" s="5">
        <f t="shared" si="27"/>
        <v>0</v>
      </c>
      <c r="U13" s="5">
        <f t="shared" si="27"/>
        <v>0</v>
      </c>
      <c r="V13" s="5">
        <f t="shared" si="27"/>
        <v>500</v>
      </c>
      <c r="W13" s="5">
        <f t="shared" si="27"/>
        <v>0</v>
      </c>
      <c r="X13" s="5">
        <f t="shared" si="27"/>
        <v>0</v>
      </c>
      <c r="Y13" s="5">
        <f t="shared" si="27"/>
        <v>1000</v>
      </c>
      <c r="Z13" s="5">
        <f t="shared" si="27"/>
        <v>0</v>
      </c>
      <c r="AA13" s="5">
        <f t="shared" si="27"/>
        <v>0</v>
      </c>
      <c r="AB13" s="5">
        <f t="shared" si="27"/>
        <v>0</v>
      </c>
      <c r="AC13" s="5">
        <f t="shared" si="27"/>
        <v>0</v>
      </c>
      <c r="AD13" s="5">
        <f t="shared" si="27"/>
        <v>0</v>
      </c>
      <c r="AE13" s="5">
        <f t="shared" si="27"/>
        <v>0</v>
      </c>
      <c r="AF13" s="5">
        <f t="shared" si="27"/>
        <v>0</v>
      </c>
      <c r="AG13" s="5" t="str">
        <f t="shared" si="27"/>
        <v/>
      </c>
      <c r="AH13" s="5" t="str">
        <f t="shared" si="27"/>
        <v/>
      </c>
      <c r="AI13" s="5" t="str">
        <f t="shared" si="27"/>
        <v/>
      </c>
      <c r="AJ13" s="5" t="str">
        <f t="shared" si="27"/>
        <v/>
      </c>
      <c r="AK13" s="5" t="str">
        <f t="shared" si="27"/>
        <v/>
      </c>
      <c r="AL13" s="5" t="str">
        <f t="shared" si="27"/>
        <v/>
      </c>
      <c r="AM13" s="5" t="str">
        <f t="shared" ref="AM13:AS13" si="28">IF(AM3="","",AM12*AM7)</f>
        <v/>
      </c>
      <c r="AN13" s="5" t="str">
        <f t="shared" si="28"/>
        <v/>
      </c>
      <c r="AO13" s="5" t="str">
        <f t="shared" si="28"/>
        <v/>
      </c>
      <c r="AP13" s="5" t="str">
        <f t="shared" si="28"/>
        <v/>
      </c>
      <c r="AQ13" s="5" t="str">
        <f t="shared" si="28"/>
        <v/>
      </c>
      <c r="AR13" s="5" t="str">
        <f t="shared" si="28"/>
        <v/>
      </c>
      <c r="AS13" s="5" t="str">
        <f t="shared" si="28"/>
        <v/>
      </c>
      <c r="AT13" s="1" t="s">
        <v>19</v>
      </c>
    </row>
    <row r="14" spans="1:46" ht="12" thickBot="1">
      <c r="A14" s="4">
        <f>IF(A13="","",A13/(A10*100))</f>
        <v>7.9051383399209488E-2</v>
      </c>
      <c r="B14" s="6" t="s">
        <v>20</v>
      </c>
      <c r="C14" s="76" t="s">
        <v>21</v>
      </c>
      <c r="D14" s="18" t="str">
        <f t="shared" ref="D14:AL14" si="29">IF(D13="","",IF(D13=0,"",D13/(D10*100)))</f>
        <v/>
      </c>
      <c r="E14" s="18" t="str">
        <f t="shared" si="29"/>
        <v/>
      </c>
      <c r="F14" s="62" t="str">
        <f t="shared" si="29"/>
        <v/>
      </c>
      <c r="G14" s="18" t="str">
        <f t="shared" si="29"/>
        <v/>
      </c>
      <c r="H14" s="18" t="str">
        <f t="shared" si="29"/>
        <v/>
      </c>
      <c r="I14" s="62" t="str">
        <f t="shared" si="29"/>
        <v/>
      </c>
      <c r="J14" s="18" t="str">
        <f t="shared" si="29"/>
        <v/>
      </c>
      <c r="K14" s="18" t="str">
        <f t="shared" si="29"/>
        <v/>
      </c>
      <c r="L14" s="62" t="str">
        <f t="shared" si="29"/>
        <v/>
      </c>
      <c r="M14" s="18" t="str">
        <f t="shared" si="29"/>
        <v/>
      </c>
      <c r="N14" s="18" t="str">
        <f t="shared" si="29"/>
        <v/>
      </c>
      <c r="O14" s="18" t="str">
        <f t="shared" si="29"/>
        <v/>
      </c>
      <c r="P14" s="62" t="str">
        <f t="shared" si="29"/>
        <v/>
      </c>
      <c r="Q14" s="18" t="str">
        <f t="shared" si="29"/>
        <v/>
      </c>
      <c r="R14" s="18">
        <f t="shared" si="29"/>
        <v>0.35714285714285715</v>
      </c>
      <c r="S14" s="18" t="str">
        <f t="shared" si="29"/>
        <v/>
      </c>
      <c r="T14" s="18" t="str">
        <f t="shared" si="29"/>
        <v/>
      </c>
      <c r="U14" s="18" t="str">
        <f t="shared" si="29"/>
        <v/>
      </c>
      <c r="V14" s="18">
        <f t="shared" si="29"/>
        <v>0.16666666666666666</v>
      </c>
      <c r="W14" s="18" t="str">
        <f t="shared" si="29"/>
        <v/>
      </c>
      <c r="X14" s="18" t="str">
        <f t="shared" si="29"/>
        <v/>
      </c>
      <c r="Y14" s="18">
        <f t="shared" si="29"/>
        <v>0.16666666666666666</v>
      </c>
      <c r="Z14" s="18" t="str">
        <f t="shared" si="29"/>
        <v/>
      </c>
      <c r="AA14" s="18" t="str">
        <f t="shared" si="29"/>
        <v/>
      </c>
      <c r="AB14" s="18" t="str">
        <f t="shared" si="29"/>
        <v/>
      </c>
      <c r="AC14" s="18" t="str">
        <f t="shared" si="29"/>
        <v/>
      </c>
      <c r="AD14" s="18" t="str">
        <f t="shared" si="29"/>
        <v/>
      </c>
      <c r="AE14" s="18" t="str">
        <f t="shared" si="29"/>
        <v/>
      </c>
      <c r="AF14" s="18" t="str">
        <f t="shared" si="29"/>
        <v/>
      </c>
      <c r="AG14" s="18" t="str">
        <f t="shared" si="29"/>
        <v/>
      </c>
      <c r="AH14" s="18" t="str">
        <f t="shared" si="29"/>
        <v/>
      </c>
      <c r="AI14" s="18" t="str">
        <f t="shared" si="29"/>
        <v/>
      </c>
      <c r="AJ14" s="18" t="str">
        <f t="shared" si="29"/>
        <v/>
      </c>
      <c r="AK14" s="18" t="str">
        <f t="shared" si="29"/>
        <v/>
      </c>
      <c r="AL14" s="18" t="str">
        <f t="shared" si="29"/>
        <v/>
      </c>
      <c r="AM14" s="18" t="str">
        <f t="shared" ref="AM14:AS14" si="30">IF(AM13="","",IF(AM13=0,"",AM13/(AM10*100)))</f>
        <v/>
      </c>
      <c r="AN14" s="18" t="str">
        <f t="shared" si="30"/>
        <v/>
      </c>
      <c r="AO14" s="18" t="str">
        <f t="shared" si="30"/>
        <v/>
      </c>
      <c r="AP14" s="18" t="str">
        <f t="shared" si="30"/>
        <v/>
      </c>
      <c r="AQ14" s="18" t="str">
        <f t="shared" si="30"/>
        <v/>
      </c>
      <c r="AR14" s="18" t="str">
        <f t="shared" si="30"/>
        <v/>
      </c>
      <c r="AS14" s="18" t="str">
        <f t="shared" si="30"/>
        <v/>
      </c>
    </row>
    <row r="15" spans="1:46">
      <c r="A15" s="17" t="s">
        <v>1</v>
      </c>
      <c r="B15" s="9" t="s">
        <v>2</v>
      </c>
      <c r="C15" s="74">
        <v>6732</v>
      </c>
      <c r="D15" s="8">
        <f>IF(D3="","",C15)</f>
        <v>6732</v>
      </c>
      <c r="E15" s="8">
        <v>6742</v>
      </c>
      <c r="F15" s="59">
        <f>IF(F3="","",E15)</f>
        <v>6742</v>
      </c>
      <c r="G15" s="8">
        <f>IF(G3="","",F15)</f>
        <v>6742</v>
      </c>
      <c r="H15" s="8">
        <v>6752</v>
      </c>
      <c r="I15" s="59">
        <f>IF(I3="","",H15)</f>
        <v>6752</v>
      </c>
      <c r="J15" s="8">
        <f>IF(J3="","",I15)</f>
        <v>6752</v>
      </c>
      <c r="K15" s="8">
        <v>6761</v>
      </c>
      <c r="L15" s="59">
        <f>IF(L3="","",K15)</f>
        <v>6761</v>
      </c>
      <c r="M15" s="8">
        <f>IF(M3="","",L15)</f>
        <v>6761</v>
      </c>
      <c r="N15" s="8">
        <f>IF(N3="","",M15)</f>
        <v>6761</v>
      </c>
      <c r="O15" s="8">
        <v>6869</v>
      </c>
      <c r="P15" s="59">
        <f>IF(P3="","",O15)</f>
        <v>6869</v>
      </c>
      <c r="Q15" s="8">
        <f>IF(Q3="","",P15)</f>
        <v>6869</v>
      </c>
      <c r="R15" s="8">
        <v>6960</v>
      </c>
      <c r="S15" s="8">
        <f t="shared" ref="S15:AL15" si="31">IF(S3="","",R15)</f>
        <v>6960</v>
      </c>
      <c r="T15" s="8">
        <f t="shared" si="31"/>
        <v>6960</v>
      </c>
      <c r="U15" s="8">
        <f t="shared" si="31"/>
        <v>6960</v>
      </c>
      <c r="V15" s="8">
        <v>7005</v>
      </c>
      <c r="W15" s="8">
        <f t="shared" si="31"/>
        <v>7005</v>
      </c>
      <c r="X15" s="8">
        <f t="shared" si="31"/>
        <v>7005</v>
      </c>
      <c r="Y15" s="8">
        <v>7076</v>
      </c>
      <c r="Z15" s="8">
        <f t="shared" si="31"/>
        <v>7076</v>
      </c>
      <c r="AA15" s="8">
        <f t="shared" si="31"/>
        <v>7076</v>
      </c>
      <c r="AB15" s="8">
        <f t="shared" si="31"/>
        <v>7076</v>
      </c>
      <c r="AC15" s="8">
        <v>7148</v>
      </c>
      <c r="AD15" s="8">
        <f t="shared" si="31"/>
        <v>7148</v>
      </c>
      <c r="AE15" s="8">
        <f t="shared" si="31"/>
        <v>7148</v>
      </c>
      <c r="AF15" s="8">
        <v>7181</v>
      </c>
      <c r="AG15" s="8" t="str">
        <f t="shared" si="31"/>
        <v/>
      </c>
      <c r="AH15" s="8" t="str">
        <f t="shared" si="31"/>
        <v/>
      </c>
      <c r="AI15" s="8" t="str">
        <f t="shared" si="31"/>
        <v/>
      </c>
      <c r="AJ15" s="8" t="str">
        <f t="shared" si="31"/>
        <v/>
      </c>
      <c r="AK15" s="8" t="str">
        <f t="shared" si="31"/>
        <v/>
      </c>
      <c r="AL15" s="8" t="str">
        <f t="shared" si="31"/>
        <v/>
      </c>
      <c r="AM15" s="8" t="str">
        <f t="shared" ref="AM15:AS15" si="32">IF(AM3="","",AL15)</f>
        <v/>
      </c>
      <c r="AN15" s="8" t="str">
        <f t="shared" si="32"/>
        <v/>
      </c>
      <c r="AO15" s="8" t="str">
        <f t="shared" si="32"/>
        <v/>
      </c>
      <c r="AP15" s="8" t="str">
        <f t="shared" si="32"/>
        <v/>
      </c>
      <c r="AQ15" s="8" t="str">
        <f t="shared" si="32"/>
        <v/>
      </c>
      <c r="AR15" s="8" t="str">
        <f t="shared" si="32"/>
        <v/>
      </c>
      <c r="AS15" s="8" t="str">
        <f t="shared" si="32"/>
        <v/>
      </c>
    </row>
    <row r="16" spans="1:46">
      <c r="A16" s="16" t="s">
        <v>3</v>
      </c>
      <c r="B16" s="9" t="s">
        <v>4</v>
      </c>
      <c r="C16" s="74">
        <v>301</v>
      </c>
      <c r="D16" s="8">
        <f t="shared" ref="D16:J16" si="33">IF(D3="","",C16)</f>
        <v>301</v>
      </c>
      <c r="E16" s="8">
        <f t="shared" si="33"/>
        <v>301</v>
      </c>
      <c r="F16" s="59">
        <f t="shared" si="33"/>
        <v>301</v>
      </c>
      <c r="G16" s="8">
        <f t="shared" si="33"/>
        <v>301</v>
      </c>
      <c r="H16" s="8">
        <f t="shared" si="33"/>
        <v>301</v>
      </c>
      <c r="I16" s="59">
        <f t="shared" si="33"/>
        <v>301</v>
      </c>
      <c r="J16" s="8">
        <f t="shared" si="33"/>
        <v>301</v>
      </c>
      <c r="K16" s="8">
        <v>302</v>
      </c>
      <c r="L16" s="59">
        <f>IF(L3="","",K16)</f>
        <v>302</v>
      </c>
      <c r="M16" s="8">
        <f>IF(M3="","",L16)</f>
        <v>302</v>
      </c>
      <c r="N16" s="8">
        <f>IF(N3="","",M16)</f>
        <v>302</v>
      </c>
      <c r="O16" s="8">
        <v>304</v>
      </c>
      <c r="P16" s="59">
        <f>IF(P3="","",O16)</f>
        <v>304</v>
      </c>
      <c r="Q16" s="8">
        <f>IF(Q3="","",P16)</f>
        <v>304</v>
      </c>
      <c r="R16" s="8">
        <v>306</v>
      </c>
      <c r="S16" s="8">
        <f t="shared" ref="S16:AL16" si="34">IF(S3="","",R16)</f>
        <v>306</v>
      </c>
      <c r="T16" s="8">
        <f t="shared" si="34"/>
        <v>306</v>
      </c>
      <c r="U16" s="8">
        <f t="shared" si="34"/>
        <v>306</v>
      </c>
      <c r="V16" s="8">
        <v>307</v>
      </c>
      <c r="W16" s="8">
        <f t="shared" si="34"/>
        <v>307</v>
      </c>
      <c r="X16" s="8">
        <f t="shared" si="34"/>
        <v>307</v>
      </c>
      <c r="Y16" s="8">
        <v>310</v>
      </c>
      <c r="Z16" s="8">
        <f t="shared" si="34"/>
        <v>310</v>
      </c>
      <c r="AA16" s="8">
        <f t="shared" si="34"/>
        <v>310</v>
      </c>
      <c r="AB16" s="8">
        <f t="shared" si="34"/>
        <v>310</v>
      </c>
      <c r="AC16" s="8">
        <v>311</v>
      </c>
      <c r="AD16" s="8">
        <f t="shared" si="34"/>
        <v>311</v>
      </c>
      <c r="AE16" s="8">
        <f t="shared" si="34"/>
        <v>311</v>
      </c>
      <c r="AF16" s="8">
        <v>313</v>
      </c>
      <c r="AG16" s="8" t="str">
        <f t="shared" si="34"/>
        <v/>
      </c>
      <c r="AH16" s="8" t="str">
        <f t="shared" si="34"/>
        <v/>
      </c>
      <c r="AI16" s="8" t="str">
        <f t="shared" si="34"/>
        <v/>
      </c>
      <c r="AJ16" s="8" t="str">
        <f t="shared" si="34"/>
        <v/>
      </c>
      <c r="AK16" s="8" t="str">
        <f t="shared" si="34"/>
        <v/>
      </c>
      <c r="AL16" s="8" t="str">
        <f t="shared" si="34"/>
        <v/>
      </c>
      <c r="AM16" s="8" t="str">
        <f t="shared" ref="AM16:AS16" si="35">IF(AM3="","",AL16)</f>
        <v/>
      </c>
      <c r="AN16" s="8" t="str">
        <f t="shared" si="35"/>
        <v/>
      </c>
      <c r="AO16" s="8" t="str">
        <f t="shared" si="35"/>
        <v/>
      </c>
      <c r="AP16" s="8" t="str">
        <f t="shared" si="35"/>
        <v/>
      </c>
      <c r="AQ16" s="8" t="str">
        <f t="shared" si="35"/>
        <v/>
      </c>
      <c r="AR16" s="8" t="str">
        <f t="shared" si="35"/>
        <v/>
      </c>
      <c r="AS16" s="8" t="str">
        <f t="shared" si="35"/>
        <v/>
      </c>
    </row>
    <row r="17" spans="1:45">
      <c r="A17" s="15">
        <v>2</v>
      </c>
      <c r="B17" s="9" t="s">
        <v>5</v>
      </c>
      <c r="C17" s="74">
        <v>4</v>
      </c>
      <c r="D17" s="8">
        <f t="shared" ref="D17:J17" si="36">IF(D15="","",(C17+C18))</f>
        <v>4</v>
      </c>
      <c r="E17" s="8">
        <f t="shared" si="36"/>
        <v>4</v>
      </c>
      <c r="F17" s="59">
        <f t="shared" si="36"/>
        <v>5</v>
      </c>
      <c r="G17" s="8">
        <f t="shared" si="36"/>
        <v>5</v>
      </c>
      <c r="H17" s="8">
        <f t="shared" si="36"/>
        <v>5</v>
      </c>
      <c r="I17" s="59">
        <f t="shared" si="36"/>
        <v>5</v>
      </c>
      <c r="J17" s="8">
        <f t="shared" si="36"/>
        <v>5</v>
      </c>
      <c r="K17" s="8">
        <v>3</v>
      </c>
      <c r="L17" s="59">
        <f>IF(L15="","",(K17+K18))</f>
        <v>3</v>
      </c>
      <c r="M17" s="8">
        <f>IF(M15="","",(L17+L18))</f>
        <v>3</v>
      </c>
      <c r="N17" s="8">
        <f>IF(N15="","",(M17+M18))</f>
        <v>3</v>
      </c>
      <c r="O17" s="8">
        <v>2</v>
      </c>
      <c r="P17" s="59">
        <f>IF(P15="","",(O17+O18))</f>
        <v>2</v>
      </c>
      <c r="Q17" s="8">
        <f>IF(Q15="","",(P17+P18))</f>
        <v>2</v>
      </c>
      <c r="R17" s="8">
        <v>0</v>
      </c>
      <c r="S17" s="8">
        <f t="shared" ref="S17:AL17" si="37">IF(S15="","",(R17+R18))</f>
        <v>2</v>
      </c>
      <c r="T17" s="8">
        <f t="shared" si="37"/>
        <v>2</v>
      </c>
      <c r="U17" s="8">
        <f t="shared" si="37"/>
        <v>2</v>
      </c>
      <c r="V17" s="8">
        <f t="shared" si="37"/>
        <v>2</v>
      </c>
      <c r="W17" s="8">
        <f t="shared" si="37"/>
        <v>2</v>
      </c>
      <c r="X17" s="8">
        <f t="shared" si="37"/>
        <v>2</v>
      </c>
      <c r="Y17" s="8">
        <v>1</v>
      </c>
      <c r="Z17" s="8">
        <f t="shared" si="37"/>
        <v>3</v>
      </c>
      <c r="AA17" s="8">
        <f t="shared" si="37"/>
        <v>3</v>
      </c>
      <c r="AB17" s="8">
        <f t="shared" si="37"/>
        <v>3</v>
      </c>
      <c r="AC17" s="8">
        <f t="shared" si="37"/>
        <v>3</v>
      </c>
      <c r="AD17" s="8">
        <f t="shared" si="37"/>
        <v>3</v>
      </c>
      <c r="AE17" s="8">
        <f t="shared" si="37"/>
        <v>3</v>
      </c>
      <c r="AF17" s="8">
        <v>1</v>
      </c>
      <c r="AG17" s="8" t="str">
        <f t="shared" si="37"/>
        <v/>
      </c>
      <c r="AH17" s="8" t="str">
        <f t="shared" si="37"/>
        <v/>
      </c>
      <c r="AI17" s="8" t="str">
        <f t="shared" si="37"/>
        <v/>
      </c>
      <c r="AJ17" s="8" t="str">
        <f t="shared" si="37"/>
        <v/>
      </c>
      <c r="AK17" s="8" t="str">
        <f t="shared" si="37"/>
        <v/>
      </c>
      <c r="AL17" s="8" t="str">
        <f t="shared" si="37"/>
        <v/>
      </c>
      <c r="AM17" s="8" t="str">
        <f t="shared" ref="AM17:AS17" si="38">IF(AM15="","",(AL17+AL18))</f>
        <v/>
      </c>
      <c r="AN17" s="8" t="str">
        <f t="shared" si="38"/>
        <v/>
      </c>
      <c r="AO17" s="8" t="str">
        <f t="shared" si="38"/>
        <v/>
      </c>
      <c r="AP17" s="8" t="str">
        <f t="shared" si="38"/>
        <v/>
      </c>
      <c r="AQ17" s="8" t="str">
        <f t="shared" si="38"/>
        <v/>
      </c>
      <c r="AR17" s="8" t="str">
        <f t="shared" si="38"/>
        <v/>
      </c>
      <c r="AS17" s="8" t="str">
        <f t="shared" si="38"/>
        <v/>
      </c>
    </row>
    <row r="18" spans="1:45">
      <c r="A18" s="14"/>
      <c r="B18" s="9" t="s">
        <v>7</v>
      </c>
      <c r="C18" s="74"/>
      <c r="D18" s="8"/>
      <c r="E18" s="8">
        <v>1</v>
      </c>
      <c r="F18" s="59"/>
      <c r="G18" s="8"/>
      <c r="H18" s="8"/>
      <c r="I18" s="59"/>
      <c r="J18" s="8"/>
      <c r="K18" s="8"/>
      <c r="L18" s="59"/>
      <c r="M18" s="8"/>
      <c r="N18" s="8"/>
      <c r="O18" s="8"/>
      <c r="P18" s="59"/>
      <c r="Q18" s="8"/>
      <c r="R18" s="8">
        <v>2</v>
      </c>
      <c r="S18" s="8"/>
      <c r="T18" s="8"/>
      <c r="U18" s="8"/>
      <c r="V18" s="8"/>
      <c r="W18" s="8"/>
      <c r="X18" s="8"/>
      <c r="Y18" s="8">
        <v>2</v>
      </c>
      <c r="Z18" s="8"/>
      <c r="AA18" s="8"/>
      <c r="AB18" s="8"/>
      <c r="AC18" s="8"/>
      <c r="AD18" s="8"/>
      <c r="AE18" s="8"/>
      <c r="AF18" s="8">
        <v>2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>
      <c r="A19" s="7"/>
      <c r="B19" s="9" t="s">
        <v>8</v>
      </c>
      <c r="C19" s="74">
        <v>750</v>
      </c>
      <c r="D19" s="8">
        <f t="shared" ref="D19:AL19" si="39">IF(D15="","",C19)</f>
        <v>750</v>
      </c>
      <c r="E19" s="8">
        <f t="shared" si="39"/>
        <v>750</v>
      </c>
      <c r="F19" s="59">
        <f t="shared" si="39"/>
        <v>750</v>
      </c>
      <c r="G19" s="8">
        <f t="shared" si="39"/>
        <v>750</v>
      </c>
      <c r="H19" s="8">
        <f t="shared" si="39"/>
        <v>750</v>
      </c>
      <c r="I19" s="59">
        <f t="shared" si="39"/>
        <v>750</v>
      </c>
      <c r="J19" s="8">
        <f t="shared" si="39"/>
        <v>750</v>
      </c>
      <c r="K19" s="8">
        <f t="shared" si="39"/>
        <v>750</v>
      </c>
      <c r="L19" s="59">
        <f t="shared" si="39"/>
        <v>750</v>
      </c>
      <c r="M19" s="8">
        <f t="shared" si="39"/>
        <v>750</v>
      </c>
      <c r="N19" s="8">
        <f t="shared" si="39"/>
        <v>750</v>
      </c>
      <c r="O19" s="8">
        <f t="shared" si="39"/>
        <v>750</v>
      </c>
      <c r="P19" s="59">
        <f t="shared" si="39"/>
        <v>750</v>
      </c>
      <c r="Q19" s="8">
        <f t="shared" si="39"/>
        <v>750</v>
      </c>
      <c r="R19" s="8">
        <f t="shared" si="39"/>
        <v>750</v>
      </c>
      <c r="S19" s="8">
        <f t="shared" si="39"/>
        <v>750</v>
      </c>
      <c r="T19" s="8">
        <f t="shared" si="39"/>
        <v>750</v>
      </c>
      <c r="U19" s="8">
        <f t="shared" si="39"/>
        <v>750</v>
      </c>
      <c r="V19" s="8">
        <f t="shared" si="39"/>
        <v>750</v>
      </c>
      <c r="W19" s="8">
        <f t="shared" si="39"/>
        <v>750</v>
      </c>
      <c r="X19" s="8">
        <f t="shared" si="39"/>
        <v>750</v>
      </c>
      <c r="Y19" s="8">
        <f t="shared" si="39"/>
        <v>750</v>
      </c>
      <c r="Z19" s="8">
        <f t="shared" si="39"/>
        <v>750</v>
      </c>
      <c r="AA19" s="8">
        <f t="shared" si="39"/>
        <v>750</v>
      </c>
      <c r="AB19" s="8">
        <f t="shared" si="39"/>
        <v>750</v>
      </c>
      <c r="AC19" s="8">
        <f t="shared" si="39"/>
        <v>750</v>
      </c>
      <c r="AD19" s="8">
        <f t="shared" si="39"/>
        <v>750</v>
      </c>
      <c r="AE19" s="8">
        <f t="shared" si="39"/>
        <v>750</v>
      </c>
      <c r="AF19" s="8">
        <f t="shared" si="39"/>
        <v>750</v>
      </c>
      <c r="AG19" s="8" t="str">
        <f t="shared" si="39"/>
        <v/>
      </c>
      <c r="AH19" s="8" t="str">
        <f t="shared" si="39"/>
        <v/>
      </c>
      <c r="AI19" s="8" t="str">
        <f t="shared" si="39"/>
        <v/>
      </c>
      <c r="AJ19" s="8" t="str">
        <f t="shared" si="39"/>
        <v/>
      </c>
      <c r="AK19" s="8" t="str">
        <f t="shared" si="39"/>
        <v/>
      </c>
      <c r="AL19" s="8" t="str">
        <f t="shared" si="39"/>
        <v/>
      </c>
      <c r="AM19" s="8" t="str">
        <f t="shared" ref="AM19:AS19" si="40">IF(AM15="","",AL19)</f>
        <v/>
      </c>
      <c r="AN19" s="8" t="str">
        <f t="shared" si="40"/>
        <v/>
      </c>
      <c r="AO19" s="8" t="str">
        <f t="shared" si="40"/>
        <v/>
      </c>
      <c r="AP19" s="8" t="str">
        <f t="shared" si="40"/>
        <v/>
      </c>
      <c r="AQ19" s="8" t="str">
        <f t="shared" si="40"/>
        <v/>
      </c>
      <c r="AR19" s="8" t="str">
        <f t="shared" si="40"/>
        <v/>
      </c>
      <c r="AS19" s="8" t="str">
        <f t="shared" si="40"/>
        <v/>
      </c>
    </row>
    <row r="20" spans="1:45" s="94" customFormat="1">
      <c r="A20" s="14" t="s">
        <v>9</v>
      </c>
      <c r="B20" s="13" t="s">
        <v>10</v>
      </c>
      <c r="C20" s="75" t="s">
        <v>22</v>
      </c>
      <c r="D20" s="12" t="str">
        <f>IF(D15="","",C20)</f>
        <v>ジャグラーボタン</v>
      </c>
      <c r="E20" s="12" t="s">
        <v>23</v>
      </c>
      <c r="F20" s="131" t="str">
        <f>IF(F15="","",E20)</f>
        <v>モンチッチAirPodsケース</v>
      </c>
      <c r="G20" s="12" t="str">
        <f>IF(G15="","",F20)</f>
        <v>モンチッチAirPodsケース</v>
      </c>
      <c r="H20" s="12" t="str">
        <f>IF(H15="","",G20)</f>
        <v>モンチッチAirPodsケース</v>
      </c>
      <c r="I20" s="131" t="str">
        <f>IF(I15="","",H20)</f>
        <v>モンチッチAirPodsケース</v>
      </c>
      <c r="J20" s="12" t="str">
        <f>IF(J15="","",I20)</f>
        <v>モンチッチAirPodsケース</v>
      </c>
      <c r="K20" s="12" t="s">
        <v>24</v>
      </c>
      <c r="L20" s="131" t="str">
        <f t="shared" ref="L20:AL20" si="41">IF(L15="","",K20)</f>
        <v>スンスンフェイスポーチ</v>
      </c>
      <c r="M20" s="12" t="str">
        <f t="shared" si="41"/>
        <v>スンスンフェイスポーチ</v>
      </c>
      <c r="N20" s="12" t="str">
        <f t="shared" si="41"/>
        <v>スンスンフェイスポーチ</v>
      </c>
      <c r="O20" s="12" t="str">
        <f t="shared" si="41"/>
        <v>スンスンフェイスポーチ</v>
      </c>
      <c r="P20" s="131" t="str">
        <f t="shared" si="41"/>
        <v>スンスンフェイスポーチ</v>
      </c>
      <c r="Q20" s="12" t="str">
        <f t="shared" si="41"/>
        <v>スンスンフェイスポーチ</v>
      </c>
      <c r="R20" s="12" t="str">
        <f t="shared" si="41"/>
        <v>スンスンフェイスポーチ</v>
      </c>
      <c r="S20" s="12" t="str">
        <f t="shared" si="41"/>
        <v>スンスンフェイスポーチ</v>
      </c>
      <c r="T20" s="12" t="str">
        <f t="shared" si="41"/>
        <v>スンスンフェイスポーチ</v>
      </c>
      <c r="U20" s="12" t="str">
        <f t="shared" si="41"/>
        <v>スンスンフェイスポーチ</v>
      </c>
      <c r="V20" s="12" t="str">
        <f t="shared" si="41"/>
        <v>スンスンフェイスポーチ</v>
      </c>
      <c r="W20" s="12" t="str">
        <f t="shared" si="41"/>
        <v>スンスンフェイスポーチ</v>
      </c>
      <c r="X20" s="12" t="str">
        <f t="shared" si="41"/>
        <v>スンスンフェイスポーチ</v>
      </c>
      <c r="Y20" s="12" t="str">
        <f t="shared" si="41"/>
        <v>スンスンフェイスポーチ</v>
      </c>
      <c r="Z20" s="12" t="str">
        <f t="shared" si="41"/>
        <v>スンスンフェイスポーチ</v>
      </c>
      <c r="AA20" s="12" t="str">
        <f t="shared" si="41"/>
        <v>スンスンフェイスポーチ</v>
      </c>
      <c r="AB20" s="12" t="str">
        <f t="shared" si="41"/>
        <v>スンスンフェイスポーチ</v>
      </c>
      <c r="AC20" s="12" t="str">
        <f t="shared" si="41"/>
        <v>スンスンフェイスポーチ</v>
      </c>
      <c r="AD20" s="12" t="str">
        <f t="shared" si="41"/>
        <v>スンスンフェイスポーチ</v>
      </c>
      <c r="AE20" s="12" t="str">
        <f t="shared" si="41"/>
        <v>スンスンフェイスポーチ</v>
      </c>
      <c r="AF20" s="12" t="str">
        <f t="shared" si="41"/>
        <v>スンスンフェイスポーチ</v>
      </c>
      <c r="AG20" s="12" t="str">
        <f t="shared" si="41"/>
        <v/>
      </c>
      <c r="AH20" s="12" t="str">
        <f t="shared" si="41"/>
        <v/>
      </c>
      <c r="AI20" s="12" t="str">
        <f t="shared" si="41"/>
        <v/>
      </c>
      <c r="AJ20" s="12" t="str">
        <f t="shared" si="41"/>
        <v/>
      </c>
      <c r="AK20" s="12" t="str">
        <f t="shared" si="41"/>
        <v/>
      </c>
      <c r="AL20" s="12" t="str">
        <f t="shared" si="41"/>
        <v/>
      </c>
      <c r="AM20" s="12" t="str">
        <f t="shared" ref="AM20:AS20" si="42">IF(AM15="","",AL20)</f>
        <v/>
      </c>
      <c r="AN20" s="12" t="str">
        <f t="shared" si="42"/>
        <v/>
      </c>
      <c r="AO20" s="12" t="str">
        <f t="shared" si="42"/>
        <v/>
      </c>
      <c r="AP20" s="12" t="str">
        <f t="shared" si="42"/>
        <v/>
      </c>
      <c r="AQ20" s="12" t="str">
        <f t="shared" si="42"/>
        <v/>
      </c>
      <c r="AR20" s="12" t="str">
        <f t="shared" si="42"/>
        <v/>
      </c>
      <c r="AS20" s="12" t="str">
        <f t="shared" si="42"/>
        <v/>
      </c>
    </row>
    <row r="21" spans="1:45">
      <c r="A21" s="7">
        <f>AVERAGE(C22:AS22)*30*100</f>
        <v>44900</v>
      </c>
      <c r="B21" s="9" t="s">
        <v>14</v>
      </c>
      <c r="C21" s="74"/>
      <c r="D21" s="8"/>
      <c r="E21" s="8"/>
      <c r="F21" s="59"/>
      <c r="G21" s="8"/>
      <c r="H21" s="8"/>
      <c r="I21" s="59"/>
      <c r="J21" s="8"/>
      <c r="K21" s="8"/>
      <c r="L21" s="59"/>
      <c r="M21" s="8"/>
      <c r="N21" s="8"/>
      <c r="O21" s="8"/>
      <c r="P21" s="5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>
      <c r="A22" s="7">
        <f>SUM(C22:AS22)</f>
        <v>449</v>
      </c>
      <c r="B22" s="6" t="s">
        <v>15</v>
      </c>
      <c r="C22" s="74">
        <v>0</v>
      </c>
      <c r="D22" s="5">
        <f t="shared" ref="D22:AL22" si="43">IF(D15="","",D15-C15)</f>
        <v>0</v>
      </c>
      <c r="E22" s="5">
        <f t="shared" si="43"/>
        <v>10</v>
      </c>
      <c r="F22" s="59">
        <f t="shared" si="43"/>
        <v>0</v>
      </c>
      <c r="G22" s="5">
        <f t="shared" si="43"/>
        <v>0</v>
      </c>
      <c r="H22" s="5">
        <f t="shared" si="43"/>
        <v>10</v>
      </c>
      <c r="I22" s="59">
        <f t="shared" si="43"/>
        <v>0</v>
      </c>
      <c r="J22" s="5">
        <f t="shared" si="43"/>
        <v>0</v>
      </c>
      <c r="K22" s="5">
        <f t="shared" si="43"/>
        <v>9</v>
      </c>
      <c r="L22" s="59">
        <f t="shared" si="43"/>
        <v>0</v>
      </c>
      <c r="M22" s="5">
        <f t="shared" si="43"/>
        <v>0</v>
      </c>
      <c r="N22" s="5">
        <f t="shared" si="43"/>
        <v>0</v>
      </c>
      <c r="O22" s="5">
        <f t="shared" si="43"/>
        <v>108</v>
      </c>
      <c r="P22" s="59">
        <f t="shared" si="43"/>
        <v>0</v>
      </c>
      <c r="Q22" s="5">
        <f t="shared" si="43"/>
        <v>0</v>
      </c>
      <c r="R22" s="5">
        <f t="shared" si="43"/>
        <v>91</v>
      </c>
      <c r="S22" s="5">
        <f t="shared" si="43"/>
        <v>0</v>
      </c>
      <c r="T22" s="5">
        <f t="shared" si="43"/>
        <v>0</v>
      </c>
      <c r="U22" s="5">
        <f t="shared" si="43"/>
        <v>0</v>
      </c>
      <c r="V22" s="5">
        <f t="shared" si="43"/>
        <v>45</v>
      </c>
      <c r="W22" s="5">
        <f t="shared" si="43"/>
        <v>0</v>
      </c>
      <c r="X22" s="5">
        <f t="shared" si="43"/>
        <v>0</v>
      </c>
      <c r="Y22" s="5">
        <f t="shared" si="43"/>
        <v>71</v>
      </c>
      <c r="Z22" s="5">
        <f t="shared" si="43"/>
        <v>0</v>
      </c>
      <c r="AA22" s="5">
        <f t="shared" si="43"/>
        <v>0</v>
      </c>
      <c r="AB22" s="5">
        <f t="shared" si="43"/>
        <v>0</v>
      </c>
      <c r="AC22" s="5">
        <f t="shared" si="43"/>
        <v>72</v>
      </c>
      <c r="AD22" s="5">
        <f t="shared" si="43"/>
        <v>0</v>
      </c>
      <c r="AE22" s="5">
        <f t="shared" si="43"/>
        <v>0</v>
      </c>
      <c r="AF22" s="5">
        <f t="shared" si="43"/>
        <v>33</v>
      </c>
      <c r="AG22" s="5" t="str">
        <f t="shared" si="43"/>
        <v/>
      </c>
      <c r="AH22" s="5" t="str">
        <f t="shared" si="43"/>
        <v/>
      </c>
      <c r="AI22" s="5" t="str">
        <f t="shared" si="43"/>
        <v/>
      </c>
      <c r="AJ22" s="5" t="str">
        <f t="shared" si="43"/>
        <v/>
      </c>
      <c r="AK22" s="5" t="str">
        <f t="shared" si="43"/>
        <v/>
      </c>
      <c r="AL22" s="5" t="str">
        <f t="shared" si="43"/>
        <v/>
      </c>
      <c r="AM22" s="5" t="str">
        <f t="shared" ref="AM22:AS22" si="44">IF(AM15="","",AM15-AL15)</f>
        <v/>
      </c>
      <c r="AN22" s="5" t="str">
        <f t="shared" si="44"/>
        <v/>
      </c>
      <c r="AO22" s="5" t="str">
        <f t="shared" si="44"/>
        <v/>
      </c>
      <c r="AP22" s="5" t="str">
        <f t="shared" si="44"/>
        <v/>
      </c>
      <c r="AQ22" s="5" t="str">
        <f t="shared" si="44"/>
        <v/>
      </c>
      <c r="AR22" s="5" t="str">
        <f t="shared" si="44"/>
        <v/>
      </c>
      <c r="AS22" s="5" t="str">
        <f t="shared" si="44"/>
        <v/>
      </c>
    </row>
    <row r="23" spans="1:45">
      <c r="A23" s="7">
        <f>SUM(C23:AS23)</f>
        <v>12</v>
      </c>
      <c r="B23" s="6" t="s">
        <v>16</v>
      </c>
      <c r="C23" s="74">
        <v>0</v>
      </c>
      <c r="D23" s="5">
        <f t="shared" ref="D23:AL23" si="45">IF(D16="","",D16-C16)</f>
        <v>0</v>
      </c>
      <c r="E23" s="5">
        <f t="shared" si="45"/>
        <v>0</v>
      </c>
      <c r="F23" s="59">
        <f t="shared" si="45"/>
        <v>0</v>
      </c>
      <c r="G23" s="5">
        <f t="shared" si="45"/>
        <v>0</v>
      </c>
      <c r="H23" s="5">
        <f t="shared" si="45"/>
        <v>0</v>
      </c>
      <c r="I23" s="59">
        <f t="shared" si="45"/>
        <v>0</v>
      </c>
      <c r="J23" s="5">
        <f t="shared" si="45"/>
        <v>0</v>
      </c>
      <c r="K23" s="5">
        <f t="shared" si="45"/>
        <v>1</v>
      </c>
      <c r="L23" s="59">
        <f t="shared" si="45"/>
        <v>0</v>
      </c>
      <c r="M23" s="5">
        <f t="shared" si="45"/>
        <v>0</v>
      </c>
      <c r="N23" s="5">
        <f t="shared" si="45"/>
        <v>0</v>
      </c>
      <c r="O23" s="5">
        <f t="shared" si="45"/>
        <v>2</v>
      </c>
      <c r="P23" s="59">
        <f t="shared" si="45"/>
        <v>0</v>
      </c>
      <c r="Q23" s="5">
        <f t="shared" si="45"/>
        <v>0</v>
      </c>
      <c r="R23" s="5">
        <f t="shared" si="45"/>
        <v>2</v>
      </c>
      <c r="S23" s="5">
        <f t="shared" si="45"/>
        <v>0</v>
      </c>
      <c r="T23" s="5">
        <f t="shared" si="45"/>
        <v>0</v>
      </c>
      <c r="U23" s="5">
        <f t="shared" si="45"/>
        <v>0</v>
      </c>
      <c r="V23" s="5">
        <f t="shared" si="45"/>
        <v>1</v>
      </c>
      <c r="W23" s="5">
        <f t="shared" si="45"/>
        <v>0</v>
      </c>
      <c r="X23" s="5">
        <f t="shared" si="45"/>
        <v>0</v>
      </c>
      <c r="Y23" s="5">
        <f t="shared" si="45"/>
        <v>3</v>
      </c>
      <c r="Z23" s="5">
        <f t="shared" si="45"/>
        <v>0</v>
      </c>
      <c r="AA23" s="5">
        <f t="shared" si="45"/>
        <v>0</v>
      </c>
      <c r="AB23" s="5">
        <f t="shared" si="45"/>
        <v>0</v>
      </c>
      <c r="AC23" s="5">
        <f t="shared" si="45"/>
        <v>1</v>
      </c>
      <c r="AD23" s="5">
        <f t="shared" si="45"/>
        <v>0</v>
      </c>
      <c r="AE23" s="5">
        <f t="shared" si="45"/>
        <v>0</v>
      </c>
      <c r="AF23" s="5">
        <f t="shared" si="45"/>
        <v>2</v>
      </c>
      <c r="AG23" s="5" t="str">
        <f t="shared" si="45"/>
        <v/>
      </c>
      <c r="AH23" s="5" t="str">
        <f t="shared" si="45"/>
        <v/>
      </c>
      <c r="AI23" s="5" t="str">
        <f t="shared" si="45"/>
        <v/>
      </c>
      <c r="AJ23" s="5" t="str">
        <f t="shared" si="45"/>
        <v/>
      </c>
      <c r="AK23" s="5" t="str">
        <f t="shared" si="45"/>
        <v/>
      </c>
      <c r="AL23" s="5" t="str">
        <f t="shared" si="45"/>
        <v/>
      </c>
      <c r="AM23" s="5" t="str">
        <f t="shared" ref="AM23:AS23" si="46">IF(AM16="","",AM16-AL16)</f>
        <v/>
      </c>
      <c r="AN23" s="5" t="str">
        <f t="shared" si="46"/>
        <v/>
      </c>
      <c r="AO23" s="5" t="str">
        <f t="shared" si="46"/>
        <v/>
      </c>
      <c r="AP23" s="5" t="str">
        <f t="shared" si="46"/>
        <v/>
      </c>
      <c r="AQ23" s="5" t="str">
        <f t="shared" si="46"/>
        <v/>
      </c>
      <c r="AR23" s="5" t="str">
        <f t="shared" si="46"/>
        <v/>
      </c>
      <c r="AS23" s="5" t="str">
        <f t="shared" si="46"/>
        <v/>
      </c>
    </row>
    <row r="24" spans="1:45">
      <c r="A24" s="7">
        <f>SUM(C24:AS24)</f>
        <v>8</v>
      </c>
      <c r="B24" s="6" t="s">
        <v>17</v>
      </c>
      <c r="C24" s="74">
        <v>0</v>
      </c>
      <c r="D24" s="5">
        <f t="shared" ref="D24:AL24" si="47">IF(D17="","",C17+C18-D17)</f>
        <v>0</v>
      </c>
      <c r="E24" s="5">
        <f t="shared" si="47"/>
        <v>0</v>
      </c>
      <c r="F24" s="59">
        <f t="shared" si="47"/>
        <v>0</v>
      </c>
      <c r="G24" s="5">
        <f t="shared" si="47"/>
        <v>0</v>
      </c>
      <c r="H24" s="5">
        <f t="shared" si="47"/>
        <v>0</v>
      </c>
      <c r="I24" s="59">
        <f t="shared" si="47"/>
        <v>0</v>
      </c>
      <c r="J24" s="5">
        <f t="shared" si="47"/>
        <v>0</v>
      </c>
      <c r="K24" s="5">
        <f t="shared" si="47"/>
        <v>2</v>
      </c>
      <c r="L24" s="59">
        <f t="shared" si="47"/>
        <v>0</v>
      </c>
      <c r="M24" s="5">
        <f t="shared" si="47"/>
        <v>0</v>
      </c>
      <c r="N24" s="5">
        <f t="shared" si="47"/>
        <v>0</v>
      </c>
      <c r="O24" s="5">
        <f t="shared" si="47"/>
        <v>1</v>
      </c>
      <c r="P24" s="59">
        <f t="shared" si="47"/>
        <v>0</v>
      </c>
      <c r="Q24" s="5">
        <f t="shared" si="47"/>
        <v>0</v>
      </c>
      <c r="R24" s="5">
        <f t="shared" si="47"/>
        <v>2</v>
      </c>
      <c r="S24" s="5">
        <f t="shared" si="47"/>
        <v>0</v>
      </c>
      <c r="T24" s="5">
        <f t="shared" si="47"/>
        <v>0</v>
      </c>
      <c r="U24" s="5">
        <f t="shared" si="47"/>
        <v>0</v>
      </c>
      <c r="V24" s="5">
        <f t="shared" si="47"/>
        <v>0</v>
      </c>
      <c r="W24" s="5">
        <f t="shared" si="47"/>
        <v>0</v>
      </c>
      <c r="X24" s="5">
        <f t="shared" si="47"/>
        <v>0</v>
      </c>
      <c r="Y24" s="5">
        <f t="shared" si="47"/>
        <v>1</v>
      </c>
      <c r="Z24" s="5">
        <f t="shared" si="47"/>
        <v>0</v>
      </c>
      <c r="AA24" s="5">
        <f t="shared" si="47"/>
        <v>0</v>
      </c>
      <c r="AB24" s="5">
        <f t="shared" si="47"/>
        <v>0</v>
      </c>
      <c r="AC24" s="5">
        <f t="shared" si="47"/>
        <v>0</v>
      </c>
      <c r="AD24" s="5">
        <f t="shared" si="47"/>
        <v>0</v>
      </c>
      <c r="AE24" s="5">
        <f t="shared" si="47"/>
        <v>0</v>
      </c>
      <c r="AF24" s="5">
        <f t="shared" si="47"/>
        <v>2</v>
      </c>
      <c r="AG24" s="5" t="str">
        <f t="shared" si="47"/>
        <v/>
      </c>
      <c r="AH24" s="5" t="str">
        <f t="shared" si="47"/>
        <v/>
      </c>
      <c r="AI24" s="5" t="str">
        <f t="shared" si="47"/>
        <v/>
      </c>
      <c r="AJ24" s="5" t="str">
        <f t="shared" si="47"/>
        <v/>
      </c>
      <c r="AK24" s="5" t="str">
        <f t="shared" si="47"/>
        <v/>
      </c>
      <c r="AL24" s="5" t="str">
        <f t="shared" si="47"/>
        <v/>
      </c>
      <c r="AM24" s="5" t="str">
        <f t="shared" ref="AM24:AS24" si="48">IF(AM17="","",AL17+AL18-AM17)</f>
        <v/>
      </c>
      <c r="AN24" s="5" t="str">
        <f t="shared" si="48"/>
        <v/>
      </c>
      <c r="AO24" s="5" t="str">
        <f t="shared" si="48"/>
        <v/>
      </c>
      <c r="AP24" s="5" t="str">
        <f t="shared" si="48"/>
        <v/>
      </c>
      <c r="AQ24" s="5" t="str">
        <f t="shared" si="48"/>
        <v/>
      </c>
      <c r="AR24" s="5" t="str">
        <f t="shared" si="48"/>
        <v/>
      </c>
      <c r="AS24" s="5" t="str">
        <f t="shared" si="48"/>
        <v/>
      </c>
    </row>
    <row r="25" spans="1:45">
      <c r="A25" s="7">
        <f>SUM(C25:AS25)</f>
        <v>6000</v>
      </c>
      <c r="B25" s="6" t="s">
        <v>18</v>
      </c>
      <c r="C25" s="74">
        <v>0</v>
      </c>
      <c r="D25" s="5">
        <f t="shared" ref="D25:AL25" si="49">IF(D15="","",D24*D19)</f>
        <v>0</v>
      </c>
      <c r="E25" s="5">
        <f t="shared" si="49"/>
        <v>0</v>
      </c>
      <c r="F25" s="59">
        <f t="shared" si="49"/>
        <v>0</v>
      </c>
      <c r="G25" s="5">
        <f t="shared" si="49"/>
        <v>0</v>
      </c>
      <c r="H25" s="5">
        <f t="shared" si="49"/>
        <v>0</v>
      </c>
      <c r="I25" s="59">
        <f t="shared" si="49"/>
        <v>0</v>
      </c>
      <c r="J25" s="5">
        <f t="shared" si="49"/>
        <v>0</v>
      </c>
      <c r="K25" s="5">
        <f t="shared" si="49"/>
        <v>1500</v>
      </c>
      <c r="L25" s="59">
        <f t="shared" si="49"/>
        <v>0</v>
      </c>
      <c r="M25" s="5">
        <f t="shared" si="49"/>
        <v>0</v>
      </c>
      <c r="N25" s="5">
        <f t="shared" si="49"/>
        <v>0</v>
      </c>
      <c r="O25" s="5">
        <f t="shared" si="49"/>
        <v>750</v>
      </c>
      <c r="P25" s="59">
        <f t="shared" si="49"/>
        <v>0</v>
      </c>
      <c r="Q25" s="5">
        <f t="shared" si="49"/>
        <v>0</v>
      </c>
      <c r="R25" s="5">
        <f t="shared" si="49"/>
        <v>1500</v>
      </c>
      <c r="S25" s="5">
        <f t="shared" si="49"/>
        <v>0</v>
      </c>
      <c r="T25" s="5">
        <f t="shared" si="49"/>
        <v>0</v>
      </c>
      <c r="U25" s="5">
        <f t="shared" si="49"/>
        <v>0</v>
      </c>
      <c r="V25" s="5">
        <f t="shared" si="49"/>
        <v>0</v>
      </c>
      <c r="W25" s="5">
        <f t="shared" si="49"/>
        <v>0</v>
      </c>
      <c r="X25" s="5">
        <f t="shared" si="49"/>
        <v>0</v>
      </c>
      <c r="Y25" s="5">
        <f t="shared" si="49"/>
        <v>750</v>
      </c>
      <c r="Z25" s="5">
        <f t="shared" si="49"/>
        <v>0</v>
      </c>
      <c r="AA25" s="5">
        <f t="shared" si="49"/>
        <v>0</v>
      </c>
      <c r="AB25" s="5">
        <f t="shared" si="49"/>
        <v>0</v>
      </c>
      <c r="AC25" s="5">
        <f t="shared" si="49"/>
        <v>0</v>
      </c>
      <c r="AD25" s="5">
        <f t="shared" si="49"/>
        <v>0</v>
      </c>
      <c r="AE25" s="5">
        <f t="shared" si="49"/>
        <v>0</v>
      </c>
      <c r="AF25" s="5">
        <f t="shared" si="49"/>
        <v>1500</v>
      </c>
      <c r="AG25" s="5" t="str">
        <f t="shared" si="49"/>
        <v/>
      </c>
      <c r="AH25" s="5" t="str">
        <f t="shared" si="49"/>
        <v/>
      </c>
      <c r="AI25" s="5" t="str">
        <f t="shared" si="49"/>
        <v/>
      </c>
      <c r="AJ25" s="5" t="str">
        <f t="shared" si="49"/>
        <v/>
      </c>
      <c r="AK25" s="5" t="str">
        <f t="shared" si="49"/>
        <v/>
      </c>
      <c r="AL25" s="5" t="str">
        <f t="shared" si="49"/>
        <v/>
      </c>
      <c r="AM25" s="5" t="str">
        <f t="shared" ref="AM25:AS25" si="50">IF(AM15="","",AM24*AM19)</f>
        <v/>
      </c>
      <c r="AN25" s="5" t="str">
        <f t="shared" si="50"/>
        <v/>
      </c>
      <c r="AO25" s="5" t="str">
        <f t="shared" si="50"/>
        <v/>
      </c>
      <c r="AP25" s="5" t="str">
        <f t="shared" si="50"/>
        <v/>
      </c>
      <c r="AQ25" s="5" t="str">
        <f t="shared" si="50"/>
        <v/>
      </c>
      <c r="AR25" s="5" t="str">
        <f t="shared" si="50"/>
        <v/>
      </c>
      <c r="AS25" s="5" t="str">
        <f t="shared" si="50"/>
        <v/>
      </c>
    </row>
    <row r="26" spans="1:45" ht="12" thickBot="1">
      <c r="A26" s="4">
        <f>IF(A25="","",A25/(A22*100))</f>
        <v>0.133630289532294</v>
      </c>
      <c r="B26" s="6" t="s">
        <v>20</v>
      </c>
      <c r="C26" s="76" t="s">
        <v>21</v>
      </c>
      <c r="D26" s="18" t="str">
        <f t="shared" ref="D26:AL26" si="51">IF(D25="","",IF(D25=0,"",D25/(D22*100)))</f>
        <v/>
      </c>
      <c r="E26" s="18" t="str">
        <f t="shared" si="51"/>
        <v/>
      </c>
      <c r="F26" s="62" t="str">
        <f t="shared" si="51"/>
        <v/>
      </c>
      <c r="G26" s="18" t="str">
        <f t="shared" si="51"/>
        <v/>
      </c>
      <c r="H26" s="18" t="str">
        <f t="shared" si="51"/>
        <v/>
      </c>
      <c r="I26" s="62" t="str">
        <f t="shared" si="51"/>
        <v/>
      </c>
      <c r="J26" s="18" t="str">
        <f t="shared" si="51"/>
        <v/>
      </c>
      <c r="K26" s="18">
        <f t="shared" si="51"/>
        <v>1.6666666666666667</v>
      </c>
      <c r="L26" s="62" t="str">
        <f t="shared" si="51"/>
        <v/>
      </c>
      <c r="M26" s="18" t="str">
        <f t="shared" si="51"/>
        <v/>
      </c>
      <c r="N26" s="18" t="str">
        <f t="shared" si="51"/>
        <v/>
      </c>
      <c r="O26" s="18">
        <f t="shared" si="51"/>
        <v>6.9444444444444448E-2</v>
      </c>
      <c r="P26" s="62" t="str">
        <f t="shared" si="51"/>
        <v/>
      </c>
      <c r="Q26" s="18" t="str">
        <f t="shared" si="51"/>
        <v/>
      </c>
      <c r="R26" s="18">
        <f t="shared" si="51"/>
        <v>0.16483516483516483</v>
      </c>
      <c r="S26" s="18" t="str">
        <f t="shared" si="51"/>
        <v/>
      </c>
      <c r="T26" s="18" t="str">
        <f t="shared" si="51"/>
        <v/>
      </c>
      <c r="U26" s="18" t="str">
        <f t="shared" si="51"/>
        <v/>
      </c>
      <c r="V26" s="18" t="str">
        <f t="shared" si="51"/>
        <v/>
      </c>
      <c r="W26" s="18" t="str">
        <f t="shared" si="51"/>
        <v/>
      </c>
      <c r="X26" s="18" t="str">
        <f t="shared" si="51"/>
        <v/>
      </c>
      <c r="Y26" s="18">
        <f t="shared" si="51"/>
        <v>0.10563380281690141</v>
      </c>
      <c r="Z26" s="18" t="str">
        <f t="shared" si="51"/>
        <v/>
      </c>
      <c r="AA26" s="18" t="str">
        <f t="shared" si="51"/>
        <v/>
      </c>
      <c r="AB26" s="18" t="str">
        <f t="shared" si="51"/>
        <v/>
      </c>
      <c r="AC26" s="18" t="str">
        <f t="shared" si="51"/>
        <v/>
      </c>
      <c r="AD26" s="18" t="str">
        <f t="shared" si="51"/>
        <v/>
      </c>
      <c r="AE26" s="18" t="str">
        <f t="shared" si="51"/>
        <v/>
      </c>
      <c r="AF26" s="18">
        <f t="shared" si="51"/>
        <v>0.45454545454545453</v>
      </c>
      <c r="AG26" s="18" t="str">
        <f t="shared" si="51"/>
        <v/>
      </c>
      <c r="AH26" s="18" t="str">
        <f t="shared" si="51"/>
        <v/>
      </c>
      <c r="AI26" s="18" t="str">
        <f t="shared" si="51"/>
        <v/>
      </c>
      <c r="AJ26" s="18" t="str">
        <f t="shared" si="51"/>
        <v/>
      </c>
      <c r="AK26" s="18" t="str">
        <f t="shared" si="51"/>
        <v/>
      </c>
      <c r="AL26" s="18" t="str">
        <f t="shared" si="51"/>
        <v/>
      </c>
      <c r="AM26" s="18" t="str">
        <f t="shared" ref="AM26:AS26" si="52">IF(AM25="","",IF(AM25=0,"",AM25/(AM22*100)))</f>
        <v/>
      </c>
      <c r="AN26" s="18" t="str">
        <f t="shared" si="52"/>
        <v/>
      </c>
      <c r="AO26" s="18" t="str">
        <f t="shared" si="52"/>
        <v/>
      </c>
      <c r="AP26" s="18" t="str">
        <f t="shared" si="52"/>
        <v/>
      </c>
      <c r="AQ26" s="18" t="str">
        <f t="shared" si="52"/>
        <v/>
      </c>
      <c r="AR26" s="18" t="str">
        <f t="shared" si="52"/>
        <v/>
      </c>
      <c r="AS26" s="18" t="str">
        <f t="shared" si="52"/>
        <v/>
      </c>
    </row>
    <row r="27" spans="1:45">
      <c r="A27" s="17" t="s">
        <v>1</v>
      </c>
      <c r="B27" s="9" t="s">
        <v>2</v>
      </c>
      <c r="C27" s="74">
        <v>4029</v>
      </c>
      <c r="D27" s="8">
        <f>IF(D3="","",C27)</f>
        <v>4029</v>
      </c>
      <c r="E27" s="8">
        <v>4043</v>
      </c>
      <c r="F27" s="59">
        <f>IF(F3="","",E27)</f>
        <v>4043</v>
      </c>
      <c r="G27" s="8">
        <f>IF(G3="","",F27)</f>
        <v>4043</v>
      </c>
      <c r="H27" s="8">
        <v>4136</v>
      </c>
      <c r="I27" s="59">
        <f>IF(I3="","",H27)</f>
        <v>4136</v>
      </c>
      <c r="J27" s="8">
        <f>IF(J3="","",I27)</f>
        <v>4136</v>
      </c>
      <c r="K27" s="8">
        <v>4251</v>
      </c>
      <c r="L27" s="59">
        <f>IF(L3="","",K27)</f>
        <v>4251</v>
      </c>
      <c r="M27" s="8">
        <f>IF(M3="","",L27)</f>
        <v>4251</v>
      </c>
      <c r="N27" s="8">
        <f>IF(N3="","",M27)</f>
        <v>4251</v>
      </c>
      <c r="O27" s="8">
        <v>4333</v>
      </c>
      <c r="P27" s="59">
        <f>IF(P3="","",O27)</f>
        <v>4333</v>
      </c>
      <c r="Q27" s="8">
        <f>IF(Q3="","",P27)</f>
        <v>4333</v>
      </c>
      <c r="R27" s="8">
        <v>4617</v>
      </c>
      <c r="S27" s="8">
        <f t="shared" ref="S27:AL27" si="53">IF(S3="","",R27)</f>
        <v>4617</v>
      </c>
      <c r="T27" s="8">
        <f t="shared" si="53"/>
        <v>4617</v>
      </c>
      <c r="U27" s="8">
        <f t="shared" si="53"/>
        <v>4617</v>
      </c>
      <c r="V27" s="8">
        <v>4698</v>
      </c>
      <c r="W27" s="8">
        <f t="shared" si="53"/>
        <v>4698</v>
      </c>
      <c r="X27" s="8">
        <f t="shared" si="53"/>
        <v>4698</v>
      </c>
      <c r="Y27" s="8">
        <v>4871</v>
      </c>
      <c r="Z27" s="8">
        <f t="shared" si="53"/>
        <v>4871</v>
      </c>
      <c r="AA27" s="8">
        <f t="shared" si="53"/>
        <v>4871</v>
      </c>
      <c r="AB27" s="8">
        <f t="shared" si="53"/>
        <v>4871</v>
      </c>
      <c r="AC27" s="8">
        <v>5113</v>
      </c>
      <c r="AD27" s="8">
        <f t="shared" si="53"/>
        <v>5113</v>
      </c>
      <c r="AE27" s="8">
        <f t="shared" si="53"/>
        <v>5113</v>
      </c>
      <c r="AF27" s="8">
        <v>5273</v>
      </c>
      <c r="AG27" s="8" t="str">
        <f t="shared" si="53"/>
        <v/>
      </c>
      <c r="AH27" s="8" t="str">
        <f t="shared" si="53"/>
        <v/>
      </c>
      <c r="AI27" s="8" t="str">
        <f t="shared" si="53"/>
        <v/>
      </c>
      <c r="AJ27" s="8" t="str">
        <f t="shared" si="53"/>
        <v/>
      </c>
      <c r="AK27" s="8" t="str">
        <f t="shared" si="53"/>
        <v/>
      </c>
      <c r="AL27" s="8" t="str">
        <f t="shared" si="53"/>
        <v/>
      </c>
      <c r="AM27" s="8" t="str">
        <f t="shared" ref="AM27:AS27" si="54">IF(AM3="","",AL27)</f>
        <v/>
      </c>
      <c r="AN27" s="8" t="str">
        <f t="shared" si="54"/>
        <v/>
      </c>
      <c r="AO27" s="8" t="str">
        <f t="shared" si="54"/>
        <v/>
      </c>
      <c r="AP27" s="8" t="str">
        <f t="shared" si="54"/>
        <v/>
      </c>
      <c r="AQ27" s="8" t="str">
        <f t="shared" si="54"/>
        <v/>
      </c>
      <c r="AR27" s="8" t="str">
        <f t="shared" si="54"/>
        <v/>
      </c>
      <c r="AS27" s="8" t="str">
        <f t="shared" si="54"/>
        <v/>
      </c>
    </row>
    <row r="28" spans="1:45">
      <c r="A28" s="16" t="s">
        <v>3</v>
      </c>
      <c r="B28" s="9" t="s">
        <v>4</v>
      </c>
      <c r="C28" s="74">
        <v>366</v>
      </c>
      <c r="D28" s="8">
        <f>IF(D3="","",C28)</f>
        <v>366</v>
      </c>
      <c r="E28" s="8">
        <v>367</v>
      </c>
      <c r="F28" s="59">
        <f>IF(F3="","",E28)</f>
        <v>367</v>
      </c>
      <c r="G28" s="8">
        <f>IF(G3="","",F28)</f>
        <v>367</v>
      </c>
      <c r="H28" s="8">
        <v>369</v>
      </c>
      <c r="I28" s="59">
        <f>IF(I3="","",H28)</f>
        <v>369</v>
      </c>
      <c r="J28" s="8">
        <f>IF(J3="","",I28)</f>
        <v>369</v>
      </c>
      <c r="K28" s="8">
        <v>371</v>
      </c>
      <c r="L28" s="59">
        <f>IF(L3="","",K28)</f>
        <v>371</v>
      </c>
      <c r="M28" s="8">
        <f>IF(M3="","",L28)</f>
        <v>371</v>
      </c>
      <c r="N28" s="8">
        <f>IF(N3="","",M28)</f>
        <v>371</v>
      </c>
      <c r="O28" s="8">
        <v>374</v>
      </c>
      <c r="P28" s="59">
        <f>IF(P3="","",O28)</f>
        <v>374</v>
      </c>
      <c r="Q28" s="8">
        <f>IF(Q3="","",P28)</f>
        <v>374</v>
      </c>
      <c r="R28" s="8">
        <v>375</v>
      </c>
      <c r="S28" s="8">
        <f t="shared" ref="S28:AL28" si="55">IF(S3="","",R28)</f>
        <v>375</v>
      </c>
      <c r="T28" s="8">
        <f t="shared" si="55"/>
        <v>375</v>
      </c>
      <c r="U28" s="8">
        <f t="shared" si="55"/>
        <v>375</v>
      </c>
      <c r="V28" s="8">
        <f t="shared" si="55"/>
        <v>375</v>
      </c>
      <c r="W28" s="8">
        <f t="shared" si="55"/>
        <v>375</v>
      </c>
      <c r="X28" s="8">
        <f t="shared" si="55"/>
        <v>375</v>
      </c>
      <c r="Y28" s="8">
        <v>376</v>
      </c>
      <c r="Z28" s="8">
        <f t="shared" si="55"/>
        <v>376</v>
      </c>
      <c r="AA28" s="8">
        <f t="shared" si="55"/>
        <v>376</v>
      </c>
      <c r="AB28" s="8">
        <f t="shared" si="55"/>
        <v>376</v>
      </c>
      <c r="AC28" s="8">
        <v>377</v>
      </c>
      <c r="AD28" s="8">
        <f t="shared" si="55"/>
        <v>377</v>
      </c>
      <c r="AE28" s="8">
        <f t="shared" si="55"/>
        <v>377</v>
      </c>
      <c r="AF28" s="8">
        <v>378</v>
      </c>
      <c r="AG28" s="8" t="str">
        <f t="shared" si="55"/>
        <v/>
      </c>
      <c r="AH28" s="8" t="str">
        <f t="shared" si="55"/>
        <v/>
      </c>
      <c r="AI28" s="8" t="str">
        <f t="shared" si="55"/>
        <v/>
      </c>
      <c r="AJ28" s="8" t="str">
        <f t="shared" si="55"/>
        <v/>
      </c>
      <c r="AK28" s="8" t="str">
        <f t="shared" si="55"/>
        <v/>
      </c>
      <c r="AL28" s="8" t="str">
        <f t="shared" si="55"/>
        <v/>
      </c>
      <c r="AM28" s="8" t="str">
        <f t="shared" ref="AM28:AS28" si="56">IF(AM3="","",AL28)</f>
        <v/>
      </c>
      <c r="AN28" s="8" t="str">
        <f t="shared" si="56"/>
        <v/>
      </c>
      <c r="AO28" s="8" t="str">
        <f t="shared" si="56"/>
        <v/>
      </c>
      <c r="AP28" s="8" t="str">
        <f t="shared" si="56"/>
        <v/>
      </c>
      <c r="AQ28" s="8" t="str">
        <f t="shared" si="56"/>
        <v/>
      </c>
      <c r="AR28" s="8" t="str">
        <f t="shared" si="56"/>
        <v/>
      </c>
      <c r="AS28" s="8" t="str">
        <f t="shared" si="56"/>
        <v/>
      </c>
    </row>
    <row r="29" spans="1:45">
      <c r="A29" s="15">
        <v>3</v>
      </c>
      <c r="B29" s="9" t="s">
        <v>5</v>
      </c>
      <c r="C29" s="74">
        <v>29</v>
      </c>
      <c r="D29" s="8">
        <f>IF(D27="","",(C29+C30))</f>
        <v>29</v>
      </c>
      <c r="E29" s="8">
        <v>28</v>
      </c>
      <c r="F29" s="59">
        <f>IF(F27="","",(E29+E30))</f>
        <v>9</v>
      </c>
      <c r="G29" s="8">
        <f>IF(G27="","",(F29+F30))</f>
        <v>9</v>
      </c>
      <c r="H29" s="8">
        <v>7</v>
      </c>
      <c r="I29" s="59">
        <f>IF(I27="","",(H29+H30))</f>
        <v>10</v>
      </c>
      <c r="J29" s="8">
        <f>IF(J27="","",(I29+I30))</f>
        <v>10</v>
      </c>
      <c r="K29" s="8">
        <v>8</v>
      </c>
      <c r="L29" s="59">
        <f>IF(L27="","",(K29+K30))</f>
        <v>10</v>
      </c>
      <c r="M29" s="8">
        <f>IF(M27="","",(L29+L30))</f>
        <v>10</v>
      </c>
      <c r="N29" s="8">
        <f>IF(N27="","",(M29+M30))</f>
        <v>10</v>
      </c>
      <c r="O29" s="8">
        <v>7</v>
      </c>
      <c r="P29" s="59">
        <f t="shared" ref="P29:AL29" si="57">IF(P27="","",(O29+O30))</f>
        <v>9</v>
      </c>
      <c r="Q29" s="8">
        <f t="shared" si="57"/>
        <v>9</v>
      </c>
      <c r="R29" s="8">
        <f t="shared" si="57"/>
        <v>9</v>
      </c>
      <c r="S29" s="8">
        <f t="shared" si="57"/>
        <v>9</v>
      </c>
      <c r="T29" s="8">
        <f t="shared" si="57"/>
        <v>9</v>
      </c>
      <c r="U29" s="8">
        <f t="shared" si="57"/>
        <v>9</v>
      </c>
      <c r="V29" s="8">
        <f t="shared" si="57"/>
        <v>9</v>
      </c>
      <c r="W29" s="8">
        <f t="shared" si="57"/>
        <v>9</v>
      </c>
      <c r="X29" s="8">
        <f t="shared" si="57"/>
        <v>9</v>
      </c>
      <c r="Y29" s="8">
        <v>8</v>
      </c>
      <c r="Z29" s="8">
        <f t="shared" si="57"/>
        <v>9</v>
      </c>
      <c r="AA29" s="8">
        <f t="shared" si="57"/>
        <v>9</v>
      </c>
      <c r="AB29" s="8">
        <f t="shared" si="57"/>
        <v>9</v>
      </c>
      <c r="AC29" s="8">
        <v>8</v>
      </c>
      <c r="AD29" s="8">
        <f t="shared" si="57"/>
        <v>8</v>
      </c>
      <c r="AE29" s="8">
        <f t="shared" si="57"/>
        <v>8</v>
      </c>
      <c r="AF29" s="8">
        <v>7</v>
      </c>
      <c r="AG29" s="8" t="str">
        <f t="shared" si="57"/>
        <v/>
      </c>
      <c r="AH29" s="8" t="str">
        <f t="shared" si="57"/>
        <v/>
      </c>
      <c r="AI29" s="8" t="str">
        <f t="shared" si="57"/>
        <v/>
      </c>
      <c r="AJ29" s="8" t="str">
        <f t="shared" si="57"/>
        <v/>
      </c>
      <c r="AK29" s="8" t="str">
        <f t="shared" si="57"/>
        <v/>
      </c>
      <c r="AL29" s="8" t="str">
        <f t="shared" si="57"/>
        <v/>
      </c>
      <c r="AM29" s="8" t="str">
        <f t="shared" ref="AM29:AS29" si="58">IF(AM27="","",(AL29+AL30))</f>
        <v/>
      </c>
      <c r="AN29" s="8" t="str">
        <f t="shared" si="58"/>
        <v/>
      </c>
      <c r="AO29" s="8" t="str">
        <f t="shared" si="58"/>
        <v/>
      </c>
      <c r="AP29" s="8" t="str">
        <f t="shared" si="58"/>
        <v/>
      </c>
      <c r="AQ29" s="8" t="str">
        <f t="shared" si="58"/>
        <v/>
      </c>
      <c r="AR29" s="8" t="str">
        <f t="shared" si="58"/>
        <v/>
      </c>
      <c r="AS29" s="8" t="str">
        <f t="shared" si="58"/>
        <v/>
      </c>
    </row>
    <row r="30" spans="1:45">
      <c r="A30" s="14"/>
      <c r="B30" s="9" t="s">
        <v>7</v>
      </c>
      <c r="C30" s="74"/>
      <c r="D30" s="8"/>
      <c r="E30" s="8">
        <v>-19</v>
      </c>
      <c r="F30" s="59"/>
      <c r="G30" s="8"/>
      <c r="H30" s="8">
        <v>3</v>
      </c>
      <c r="I30" s="59"/>
      <c r="J30" s="8"/>
      <c r="K30" s="8">
        <v>2</v>
      </c>
      <c r="L30" s="59"/>
      <c r="M30" s="8"/>
      <c r="N30" s="8"/>
      <c r="O30" s="8">
        <v>2</v>
      </c>
      <c r="P30" s="59"/>
      <c r="Q30" s="8"/>
      <c r="R30" s="8"/>
      <c r="S30" s="8"/>
      <c r="T30" s="8"/>
      <c r="U30" s="8"/>
      <c r="V30" s="8"/>
      <c r="W30" s="8"/>
      <c r="X30" s="8"/>
      <c r="Y30" s="8">
        <v>1</v>
      </c>
      <c r="Z30" s="8"/>
      <c r="AA30" s="8"/>
      <c r="AB30" s="8"/>
      <c r="AC30" s="8"/>
      <c r="AD30" s="8"/>
      <c r="AE30" s="8"/>
      <c r="AF30" s="8">
        <v>1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>
      <c r="A31" s="7"/>
      <c r="B31" s="9" t="s">
        <v>8</v>
      </c>
      <c r="C31" s="74">
        <v>450</v>
      </c>
      <c r="D31" s="8">
        <f t="shared" ref="D31:AL31" si="59">IF(D27="","",C31)</f>
        <v>450</v>
      </c>
      <c r="E31" s="8">
        <f t="shared" si="59"/>
        <v>450</v>
      </c>
      <c r="F31" s="59">
        <f t="shared" si="59"/>
        <v>450</v>
      </c>
      <c r="G31" s="8">
        <f t="shared" si="59"/>
        <v>450</v>
      </c>
      <c r="H31" s="8">
        <f t="shared" si="59"/>
        <v>450</v>
      </c>
      <c r="I31" s="59">
        <f t="shared" si="59"/>
        <v>450</v>
      </c>
      <c r="J31" s="8">
        <f t="shared" si="59"/>
        <v>450</v>
      </c>
      <c r="K31" s="8">
        <f t="shared" si="59"/>
        <v>450</v>
      </c>
      <c r="L31" s="59">
        <f t="shared" si="59"/>
        <v>450</v>
      </c>
      <c r="M31" s="8">
        <f t="shared" si="59"/>
        <v>450</v>
      </c>
      <c r="N31" s="8">
        <f t="shared" si="59"/>
        <v>450</v>
      </c>
      <c r="O31" s="8">
        <f t="shared" si="59"/>
        <v>450</v>
      </c>
      <c r="P31" s="59">
        <f t="shared" si="59"/>
        <v>450</v>
      </c>
      <c r="Q31" s="8">
        <f t="shared" si="59"/>
        <v>450</v>
      </c>
      <c r="R31" s="8">
        <f t="shared" si="59"/>
        <v>450</v>
      </c>
      <c r="S31" s="8">
        <f t="shared" si="59"/>
        <v>450</v>
      </c>
      <c r="T31" s="8">
        <f t="shared" si="59"/>
        <v>450</v>
      </c>
      <c r="U31" s="8">
        <f t="shared" si="59"/>
        <v>450</v>
      </c>
      <c r="V31" s="8">
        <f t="shared" si="59"/>
        <v>450</v>
      </c>
      <c r="W31" s="8">
        <f t="shared" si="59"/>
        <v>450</v>
      </c>
      <c r="X31" s="8">
        <f t="shared" si="59"/>
        <v>450</v>
      </c>
      <c r="Y31" s="8">
        <f t="shared" si="59"/>
        <v>450</v>
      </c>
      <c r="Z31" s="8">
        <f t="shared" si="59"/>
        <v>450</v>
      </c>
      <c r="AA31" s="8">
        <f t="shared" si="59"/>
        <v>450</v>
      </c>
      <c r="AB31" s="8">
        <f t="shared" si="59"/>
        <v>450</v>
      </c>
      <c r="AC31" s="8">
        <f t="shared" si="59"/>
        <v>450</v>
      </c>
      <c r="AD31" s="8">
        <f t="shared" si="59"/>
        <v>450</v>
      </c>
      <c r="AE31" s="8">
        <f t="shared" si="59"/>
        <v>450</v>
      </c>
      <c r="AF31" s="8">
        <f t="shared" si="59"/>
        <v>450</v>
      </c>
      <c r="AG31" s="8" t="str">
        <f t="shared" si="59"/>
        <v/>
      </c>
      <c r="AH31" s="8" t="str">
        <f t="shared" si="59"/>
        <v/>
      </c>
      <c r="AI31" s="8" t="str">
        <f t="shared" si="59"/>
        <v/>
      </c>
      <c r="AJ31" s="8" t="str">
        <f t="shared" si="59"/>
        <v/>
      </c>
      <c r="AK31" s="8" t="str">
        <f t="shared" si="59"/>
        <v/>
      </c>
      <c r="AL31" s="8" t="str">
        <f t="shared" si="59"/>
        <v/>
      </c>
      <c r="AM31" s="8" t="str">
        <f t="shared" ref="AM31:AS31" si="60">IF(AM27="","",AL31)</f>
        <v/>
      </c>
      <c r="AN31" s="8" t="str">
        <f t="shared" si="60"/>
        <v/>
      </c>
      <c r="AO31" s="8" t="str">
        <f t="shared" si="60"/>
        <v/>
      </c>
      <c r="AP31" s="8" t="str">
        <f t="shared" si="60"/>
        <v/>
      </c>
      <c r="AQ31" s="8" t="str">
        <f t="shared" si="60"/>
        <v/>
      </c>
      <c r="AR31" s="8" t="str">
        <f t="shared" si="60"/>
        <v/>
      </c>
      <c r="AS31" s="8" t="str">
        <f t="shared" si="60"/>
        <v/>
      </c>
    </row>
    <row r="32" spans="1:45" s="94" customFormat="1">
      <c r="A32" s="14" t="s">
        <v>9</v>
      </c>
      <c r="B32" s="13" t="s">
        <v>10</v>
      </c>
      <c r="C32" s="75" t="s">
        <v>25</v>
      </c>
      <c r="D32" s="12" t="str">
        <f>IF(D27="","",C32)</f>
        <v>アングリー</v>
      </c>
      <c r="E32" s="12" t="s">
        <v>26</v>
      </c>
      <c r="F32" s="131" t="str">
        <f t="shared" ref="F32:AL32" si="61">IF(F27="","",E32)</f>
        <v>たまごっちマスコット</v>
      </c>
      <c r="G32" s="12" t="str">
        <f t="shared" si="61"/>
        <v>たまごっちマスコット</v>
      </c>
      <c r="H32" s="12" t="str">
        <f t="shared" si="61"/>
        <v>たまごっちマスコット</v>
      </c>
      <c r="I32" s="131" t="str">
        <f t="shared" si="61"/>
        <v>たまごっちマスコット</v>
      </c>
      <c r="J32" s="12" t="str">
        <f t="shared" si="61"/>
        <v>たまごっちマスコット</v>
      </c>
      <c r="K32" s="12" t="str">
        <f t="shared" si="61"/>
        <v>たまごっちマスコット</v>
      </c>
      <c r="L32" s="131" t="str">
        <f t="shared" si="61"/>
        <v>たまごっちマスコット</v>
      </c>
      <c r="M32" s="12" t="str">
        <f t="shared" si="61"/>
        <v>たまごっちマスコット</v>
      </c>
      <c r="N32" s="12" t="str">
        <f t="shared" si="61"/>
        <v>たまごっちマスコット</v>
      </c>
      <c r="O32" s="12" t="str">
        <f t="shared" si="61"/>
        <v>たまごっちマスコット</v>
      </c>
      <c r="P32" s="131" t="str">
        <f t="shared" si="61"/>
        <v>たまごっちマスコット</v>
      </c>
      <c r="Q32" s="12" t="str">
        <f t="shared" si="61"/>
        <v>たまごっちマスコット</v>
      </c>
      <c r="R32" s="12" t="str">
        <f t="shared" si="61"/>
        <v>たまごっちマスコット</v>
      </c>
      <c r="S32" s="12" t="str">
        <f t="shared" si="61"/>
        <v>たまごっちマスコット</v>
      </c>
      <c r="T32" s="12" t="str">
        <f t="shared" si="61"/>
        <v>たまごっちマスコット</v>
      </c>
      <c r="U32" s="12" t="str">
        <f t="shared" si="61"/>
        <v>たまごっちマスコット</v>
      </c>
      <c r="V32" s="12" t="str">
        <f t="shared" si="61"/>
        <v>たまごっちマスコット</v>
      </c>
      <c r="W32" s="12" t="str">
        <f t="shared" si="61"/>
        <v>たまごっちマスコット</v>
      </c>
      <c r="X32" s="12" t="str">
        <f t="shared" si="61"/>
        <v>たまごっちマスコット</v>
      </c>
      <c r="Y32" s="12" t="str">
        <f t="shared" si="61"/>
        <v>たまごっちマスコット</v>
      </c>
      <c r="Z32" s="12" t="str">
        <f t="shared" si="61"/>
        <v>たまごっちマスコット</v>
      </c>
      <c r="AA32" s="12" t="str">
        <f t="shared" si="61"/>
        <v>たまごっちマスコット</v>
      </c>
      <c r="AB32" s="12" t="str">
        <f t="shared" si="61"/>
        <v>たまごっちマスコット</v>
      </c>
      <c r="AC32" s="12" t="str">
        <f t="shared" si="61"/>
        <v>たまごっちマスコット</v>
      </c>
      <c r="AD32" s="12" t="str">
        <f t="shared" si="61"/>
        <v>たまごっちマスコット</v>
      </c>
      <c r="AE32" s="12" t="str">
        <f t="shared" si="61"/>
        <v>たまごっちマスコット</v>
      </c>
      <c r="AF32" s="12" t="str">
        <f t="shared" si="61"/>
        <v>たまごっちマスコット</v>
      </c>
      <c r="AG32" s="12" t="str">
        <f t="shared" si="61"/>
        <v/>
      </c>
      <c r="AH32" s="12" t="str">
        <f t="shared" si="61"/>
        <v/>
      </c>
      <c r="AI32" s="12" t="str">
        <f t="shared" si="61"/>
        <v/>
      </c>
      <c r="AJ32" s="12" t="str">
        <f t="shared" si="61"/>
        <v/>
      </c>
      <c r="AK32" s="12" t="str">
        <f t="shared" si="61"/>
        <v/>
      </c>
      <c r="AL32" s="12" t="str">
        <f t="shared" si="61"/>
        <v/>
      </c>
      <c r="AM32" s="12" t="str">
        <f t="shared" ref="AM32:AS32" si="62">IF(AM27="","",AL32)</f>
        <v/>
      </c>
      <c r="AN32" s="12" t="str">
        <f t="shared" si="62"/>
        <v/>
      </c>
      <c r="AO32" s="12" t="str">
        <f t="shared" si="62"/>
        <v/>
      </c>
      <c r="AP32" s="12" t="str">
        <f t="shared" si="62"/>
        <v/>
      </c>
      <c r="AQ32" s="12" t="str">
        <f t="shared" si="62"/>
        <v/>
      </c>
      <c r="AR32" s="12" t="str">
        <f t="shared" si="62"/>
        <v/>
      </c>
      <c r="AS32" s="12" t="str">
        <f t="shared" si="62"/>
        <v/>
      </c>
    </row>
    <row r="33" spans="1:45">
      <c r="A33" s="7">
        <f>AVERAGE(C34:AS34)*30*100</f>
        <v>124400</v>
      </c>
      <c r="B33" s="9" t="s">
        <v>14</v>
      </c>
      <c r="C33" s="74"/>
      <c r="D33" s="8"/>
      <c r="E33" s="8"/>
      <c r="F33" s="59"/>
      <c r="G33" s="8"/>
      <c r="H33" s="8"/>
      <c r="I33" s="59"/>
      <c r="J33" s="8"/>
      <c r="K33" s="8"/>
      <c r="L33" s="59"/>
      <c r="M33" s="8"/>
      <c r="N33" s="8"/>
      <c r="O33" s="8"/>
      <c r="P33" s="5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>
      <c r="A34" s="7">
        <f>SUM(C34:AS34)</f>
        <v>1244</v>
      </c>
      <c r="B34" s="6" t="s">
        <v>15</v>
      </c>
      <c r="C34" s="74">
        <v>0</v>
      </c>
      <c r="D34" s="5">
        <f t="shared" ref="D34:AL34" si="63">IF(D27="","",D27-C27)</f>
        <v>0</v>
      </c>
      <c r="E34" s="5">
        <f t="shared" si="63"/>
        <v>14</v>
      </c>
      <c r="F34" s="59">
        <f t="shared" si="63"/>
        <v>0</v>
      </c>
      <c r="G34" s="5">
        <f t="shared" si="63"/>
        <v>0</v>
      </c>
      <c r="H34" s="5">
        <f t="shared" si="63"/>
        <v>93</v>
      </c>
      <c r="I34" s="59">
        <f t="shared" si="63"/>
        <v>0</v>
      </c>
      <c r="J34" s="5">
        <f t="shared" si="63"/>
        <v>0</v>
      </c>
      <c r="K34" s="5">
        <f t="shared" si="63"/>
        <v>115</v>
      </c>
      <c r="L34" s="59">
        <f t="shared" si="63"/>
        <v>0</v>
      </c>
      <c r="M34" s="5">
        <f t="shared" si="63"/>
        <v>0</v>
      </c>
      <c r="N34" s="5">
        <f t="shared" si="63"/>
        <v>0</v>
      </c>
      <c r="O34" s="5">
        <f t="shared" si="63"/>
        <v>82</v>
      </c>
      <c r="P34" s="59">
        <f t="shared" si="63"/>
        <v>0</v>
      </c>
      <c r="Q34" s="5">
        <f t="shared" si="63"/>
        <v>0</v>
      </c>
      <c r="R34" s="5">
        <f t="shared" si="63"/>
        <v>284</v>
      </c>
      <c r="S34" s="5">
        <f t="shared" si="63"/>
        <v>0</v>
      </c>
      <c r="T34" s="5">
        <f t="shared" si="63"/>
        <v>0</v>
      </c>
      <c r="U34" s="5">
        <f t="shared" si="63"/>
        <v>0</v>
      </c>
      <c r="V34" s="5">
        <f t="shared" si="63"/>
        <v>81</v>
      </c>
      <c r="W34" s="5">
        <f t="shared" si="63"/>
        <v>0</v>
      </c>
      <c r="X34" s="5">
        <f t="shared" si="63"/>
        <v>0</v>
      </c>
      <c r="Y34" s="5">
        <f t="shared" si="63"/>
        <v>173</v>
      </c>
      <c r="Z34" s="5">
        <f t="shared" si="63"/>
        <v>0</v>
      </c>
      <c r="AA34" s="5">
        <f t="shared" si="63"/>
        <v>0</v>
      </c>
      <c r="AB34" s="5">
        <f t="shared" si="63"/>
        <v>0</v>
      </c>
      <c r="AC34" s="5">
        <f t="shared" si="63"/>
        <v>242</v>
      </c>
      <c r="AD34" s="5">
        <f t="shared" si="63"/>
        <v>0</v>
      </c>
      <c r="AE34" s="5">
        <f t="shared" si="63"/>
        <v>0</v>
      </c>
      <c r="AF34" s="5">
        <f t="shared" si="63"/>
        <v>160</v>
      </c>
      <c r="AG34" s="5" t="str">
        <f t="shared" si="63"/>
        <v/>
      </c>
      <c r="AH34" s="5" t="str">
        <f t="shared" si="63"/>
        <v/>
      </c>
      <c r="AI34" s="5" t="str">
        <f t="shared" si="63"/>
        <v/>
      </c>
      <c r="AJ34" s="5" t="str">
        <f t="shared" si="63"/>
        <v/>
      </c>
      <c r="AK34" s="5" t="str">
        <f t="shared" si="63"/>
        <v/>
      </c>
      <c r="AL34" s="5" t="str">
        <f t="shared" si="63"/>
        <v/>
      </c>
      <c r="AM34" s="5" t="str">
        <f t="shared" ref="AM34:AS34" si="64">IF(AM27="","",AM27-AL27)</f>
        <v/>
      </c>
      <c r="AN34" s="5" t="str">
        <f t="shared" si="64"/>
        <v/>
      </c>
      <c r="AO34" s="5" t="str">
        <f t="shared" si="64"/>
        <v/>
      </c>
      <c r="AP34" s="5" t="str">
        <f t="shared" si="64"/>
        <v/>
      </c>
      <c r="AQ34" s="5" t="str">
        <f t="shared" si="64"/>
        <v/>
      </c>
      <c r="AR34" s="5" t="str">
        <f t="shared" si="64"/>
        <v/>
      </c>
      <c r="AS34" s="5" t="str">
        <f t="shared" si="64"/>
        <v/>
      </c>
    </row>
    <row r="35" spans="1:45">
      <c r="A35" s="7">
        <f>SUM(C35:AS35)</f>
        <v>12</v>
      </c>
      <c r="B35" s="6" t="s">
        <v>16</v>
      </c>
      <c r="C35" s="74">
        <v>0</v>
      </c>
      <c r="D35" s="5">
        <f t="shared" ref="D35:AL35" si="65">IF(D28="","",D28-C28)</f>
        <v>0</v>
      </c>
      <c r="E35" s="5">
        <f t="shared" si="65"/>
        <v>1</v>
      </c>
      <c r="F35" s="59">
        <f t="shared" si="65"/>
        <v>0</v>
      </c>
      <c r="G35" s="5">
        <f t="shared" si="65"/>
        <v>0</v>
      </c>
      <c r="H35" s="5">
        <f t="shared" si="65"/>
        <v>2</v>
      </c>
      <c r="I35" s="59">
        <f t="shared" si="65"/>
        <v>0</v>
      </c>
      <c r="J35" s="5">
        <f t="shared" si="65"/>
        <v>0</v>
      </c>
      <c r="K35" s="5">
        <f t="shared" si="65"/>
        <v>2</v>
      </c>
      <c r="L35" s="59">
        <f t="shared" si="65"/>
        <v>0</v>
      </c>
      <c r="M35" s="5">
        <f t="shared" si="65"/>
        <v>0</v>
      </c>
      <c r="N35" s="5">
        <f t="shared" si="65"/>
        <v>0</v>
      </c>
      <c r="O35" s="5">
        <f t="shared" si="65"/>
        <v>3</v>
      </c>
      <c r="P35" s="59">
        <f t="shared" si="65"/>
        <v>0</v>
      </c>
      <c r="Q35" s="5">
        <f t="shared" si="65"/>
        <v>0</v>
      </c>
      <c r="R35" s="5">
        <f t="shared" si="65"/>
        <v>1</v>
      </c>
      <c r="S35" s="5">
        <f t="shared" si="65"/>
        <v>0</v>
      </c>
      <c r="T35" s="5">
        <f t="shared" si="65"/>
        <v>0</v>
      </c>
      <c r="U35" s="5">
        <f t="shared" si="65"/>
        <v>0</v>
      </c>
      <c r="V35" s="5">
        <f t="shared" si="65"/>
        <v>0</v>
      </c>
      <c r="W35" s="5">
        <f t="shared" si="65"/>
        <v>0</v>
      </c>
      <c r="X35" s="5">
        <f t="shared" si="65"/>
        <v>0</v>
      </c>
      <c r="Y35" s="5">
        <f t="shared" si="65"/>
        <v>1</v>
      </c>
      <c r="Z35" s="5">
        <f t="shared" si="65"/>
        <v>0</v>
      </c>
      <c r="AA35" s="5">
        <f t="shared" si="65"/>
        <v>0</v>
      </c>
      <c r="AB35" s="5">
        <f t="shared" si="65"/>
        <v>0</v>
      </c>
      <c r="AC35" s="5">
        <f t="shared" si="65"/>
        <v>1</v>
      </c>
      <c r="AD35" s="5">
        <f t="shared" si="65"/>
        <v>0</v>
      </c>
      <c r="AE35" s="5">
        <f t="shared" si="65"/>
        <v>0</v>
      </c>
      <c r="AF35" s="5">
        <f t="shared" si="65"/>
        <v>1</v>
      </c>
      <c r="AG35" s="5" t="str">
        <f t="shared" si="65"/>
        <v/>
      </c>
      <c r="AH35" s="5" t="str">
        <f t="shared" si="65"/>
        <v/>
      </c>
      <c r="AI35" s="5" t="str">
        <f t="shared" si="65"/>
        <v/>
      </c>
      <c r="AJ35" s="5" t="str">
        <f t="shared" si="65"/>
        <v/>
      </c>
      <c r="AK35" s="5" t="str">
        <f t="shared" si="65"/>
        <v/>
      </c>
      <c r="AL35" s="5" t="str">
        <f t="shared" si="65"/>
        <v/>
      </c>
      <c r="AM35" s="5" t="str">
        <f t="shared" ref="AM35:AS35" si="66">IF(AM28="","",AM28-AL28)</f>
        <v/>
      </c>
      <c r="AN35" s="5" t="str">
        <f t="shared" si="66"/>
        <v/>
      </c>
      <c r="AO35" s="5" t="str">
        <f t="shared" si="66"/>
        <v/>
      </c>
      <c r="AP35" s="5" t="str">
        <f t="shared" si="66"/>
        <v/>
      </c>
      <c r="AQ35" s="5" t="str">
        <f t="shared" si="66"/>
        <v/>
      </c>
      <c r="AR35" s="5" t="str">
        <f t="shared" si="66"/>
        <v/>
      </c>
      <c r="AS35" s="5" t="str">
        <f t="shared" si="66"/>
        <v/>
      </c>
    </row>
    <row r="36" spans="1:45">
      <c r="A36" s="7">
        <f>SUM(C36:AS36)</f>
        <v>11</v>
      </c>
      <c r="B36" s="6" t="s">
        <v>17</v>
      </c>
      <c r="C36" s="74">
        <v>0</v>
      </c>
      <c r="D36" s="5">
        <f t="shared" ref="D36:AL36" si="67">IF(D29="","",C29+C30-D29)</f>
        <v>0</v>
      </c>
      <c r="E36" s="5">
        <f t="shared" si="67"/>
        <v>1</v>
      </c>
      <c r="F36" s="59">
        <f t="shared" si="67"/>
        <v>0</v>
      </c>
      <c r="G36" s="5">
        <f t="shared" si="67"/>
        <v>0</v>
      </c>
      <c r="H36" s="5">
        <f t="shared" si="67"/>
        <v>2</v>
      </c>
      <c r="I36" s="59">
        <f t="shared" si="67"/>
        <v>0</v>
      </c>
      <c r="J36" s="5">
        <f t="shared" si="67"/>
        <v>0</v>
      </c>
      <c r="K36" s="5">
        <f t="shared" si="67"/>
        <v>2</v>
      </c>
      <c r="L36" s="59">
        <f t="shared" si="67"/>
        <v>0</v>
      </c>
      <c r="M36" s="5">
        <f t="shared" si="67"/>
        <v>0</v>
      </c>
      <c r="N36" s="5">
        <f t="shared" si="67"/>
        <v>0</v>
      </c>
      <c r="O36" s="5">
        <f t="shared" si="67"/>
        <v>3</v>
      </c>
      <c r="P36" s="59">
        <f t="shared" si="67"/>
        <v>0</v>
      </c>
      <c r="Q36" s="5">
        <f t="shared" si="67"/>
        <v>0</v>
      </c>
      <c r="R36" s="5">
        <f t="shared" si="67"/>
        <v>0</v>
      </c>
      <c r="S36" s="5">
        <f t="shared" si="67"/>
        <v>0</v>
      </c>
      <c r="T36" s="5">
        <f t="shared" si="67"/>
        <v>0</v>
      </c>
      <c r="U36" s="5">
        <f t="shared" si="67"/>
        <v>0</v>
      </c>
      <c r="V36" s="5">
        <f t="shared" si="67"/>
        <v>0</v>
      </c>
      <c r="W36" s="5">
        <f t="shared" si="67"/>
        <v>0</v>
      </c>
      <c r="X36" s="5">
        <f t="shared" si="67"/>
        <v>0</v>
      </c>
      <c r="Y36" s="5">
        <f t="shared" si="67"/>
        <v>1</v>
      </c>
      <c r="Z36" s="5">
        <f t="shared" si="67"/>
        <v>0</v>
      </c>
      <c r="AA36" s="5">
        <f t="shared" si="67"/>
        <v>0</v>
      </c>
      <c r="AB36" s="5">
        <f t="shared" si="67"/>
        <v>0</v>
      </c>
      <c r="AC36" s="5">
        <f t="shared" si="67"/>
        <v>1</v>
      </c>
      <c r="AD36" s="5">
        <f t="shared" si="67"/>
        <v>0</v>
      </c>
      <c r="AE36" s="5">
        <f t="shared" si="67"/>
        <v>0</v>
      </c>
      <c r="AF36" s="5">
        <f t="shared" si="67"/>
        <v>1</v>
      </c>
      <c r="AG36" s="5" t="str">
        <f t="shared" si="67"/>
        <v/>
      </c>
      <c r="AH36" s="5" t="str">
        <f t="shared" si="67"/>
        <v/>
      </c>
      <c r="AI36" s="5" t="str">
        <f t="shared" si="67"/>
        <v/>
      </c>
      <c r="AJ36" s="5" t="str">
        <f t="shared" si="67"/>
        <v/>
      </c>
      <c r="AK36" s="5" t="str">
        <f t="shared" si="67"/>
        <v/>
      </c>
      <c r="AL36" s="5" t="str">
        <f t="shared" si="67"/>
        <v/>
      </c>
      <c r="AM36" s="5" t="str">
        <f t="shared" ref="AM36:AS36" si="68">IF(AM29="","",AL29+AL30-AM29)</f>
        <v/>
      </c>
      <c r="AN36" s="5" t="str">
        <f t="shared" si="68"/>
        <v/>
      </c>
      <c r="AO36" s="5" t="str">
        <f t="shared" si="68"/>
        <v/>
      </c>
      <c r="AP36" s="5" t="str">
        <f t="shared" si="68"/>
        <v/>
      </c>
      <c r="AQ36" s="5" t="str">
        <f t="shared" si="68"/>
        <v/>
      </c>
      <c r="AR36" s="5" t="str">
        <f t="shared" si="68"/>
        <v/>
      </c>
      <c r="AS36" s="5" t="str">
        <f t="shared" si="68"/>
        <v/>
      </c>
    </row>
    <row r="37" spans="1:45">
      <c r="A37" s="7">
        <f>SUM(C37:AS37)</f>
        <v>4950</v>
      </c>
      <c r="B37" s="6" t="s">
        <v>18</v>
      </c>
      <c r="C37" s="74">
        <v>0</v>
      </c>
      <c r="D37" s="5">
        <f t="shared" ref="D37:AL37" si="69">IF(D27="","",D36*D31)</f>
        <v>0</v>
      </c>
      <c r="E37" s="5">
        <f t="shared" si="69"/>
        <v>450</v>
      </c>
      <c r="F37" s="59">
        <f t="shared" si="69"/>
        <v>0</v>
      </c>
      <c r="G37" s="5">
        <f t="shared" si="69"/>
        <v>0</v>
      </c>
      <c r="H37" s="5">
        <f t="shared" si="69"/>
        <v>900</v>
      </c>
      <c r="I37" s="59">
        <f t="shared" si="69"/>
        <v>0</v>
      </c>
      <c r="J37" s="5">
        <f t="shared" si="69"/>
        <v>0</v>
      </c>
      <c r="K37" s="5">
        <f t="shared" si="69"/>
        <v>900</v>
      </c>
      <c r="L37" s="59">
        <f t="shared" si="69"/>
        <v>0</v>
      </c>
      <c r="M37" s="5">
        <f t="shared" si="69"/>
        <v>0</v>
      </c>
      <c r="N37" s="5">
        <f t="shared" si="69"/>
        <v>0</v>
      </c>
      <c r="O37" s="5">
        <f t="shared" si="69"/>
        <v>1350</v>
      </c>
      <c r="P37" s="59">
        <f t="shared" si="69"/>
        <v>0</v>
      </c>
      <c r="Q37" s="5">
        <f t="shared" si="69"/>
        <v>0</v>
      </c>
      <c r="R37" s="5">
        <f t="shared" si="69"/>
        <v>0</v>
      </c>
      <c r="S37" s="5">
        <f t="shared" si="69"/>
        <v>0</v>
      </c>
      <c r="T37" s="5">
        <f t="shared" si="69"/>
        <v>0</v>
      </c>
      <c r="U37" s="5">
        <f t="shared" si="69"/>
        <v>0</v>
      </c>
      <c r="V37" s="5">
        <f t="shared" si="69"/>
        <v>0</v>
      </c>
      <c r="W37" s="5">
        <f t="shared" si="69"/>
        <v>0</v>
      </c>
      <c r="X37" s="5">
        <f t="shared" si="69"/>
        <v>0</v>
      </c>
      <c r="Y37" s="5">
        <f t="shared" si="69"/>
        <v>450</v>
      </c>
      <c r="Z37" s="5">
        <f t="shared" si="69"/>
        <v>0</v>
      </c>
      <c r="AA37" s="5">
        <f t="shared" si="69"/>
        <v>0</v>
      </c>
      <c r="AB37" s="5">
        <f t="shared" si="69"/>
        <v>0</v>
      </c>
      <c r="AC37" s="5">
        <f t="shared" si="69"/>
        <v>450</v>
      </c>
      <c r="AD37" s="5">
        <f t="shared" si="69"/>
        <v>0</v>
      </c>
      <c r="AE37" s="5">
        <f t="shared" si="69"/>
        <v>0</v>
      </c>
      <c r="AF37" s="5">
        <f t="shared" si="69"/>
        <v>450</v>
      </c>
      <c r="AG37" s="5" t="str">
        <f t="shared" si="69"/>
        <v/>
      </c>
      <c r="AH37" s="5" t="str">
        <f t="shared" si="69"/>
        <v/>
      </c>
      <c r="AI37" s="5" t="str">
        <f t="shared" si="69"/>
        <v/>
      </c>
      <c r="AJ37" s="5" t="str">
        <f t="shared" si="69"/>
        <v/>
      </c>
      <c r="AK37" s="5" t="str">
        <f t="shared" si="69"/>
        <v/>
      </c>
      <c r="AL37" s="5" t="str">
        <f t="shared" si="69"/>
        <v/>
      </c>
      <c r="AM37" s="5" t="str">
        <f t="shared" ref="AM37:AS37" si="70">IF(AM27="","",AM36*AM31)</f>
        <v/>
      </c>
      <c r="AN37" s="5" t="str">
        <f t="shared" si="70"/>
        <v/>
      </c>
      <c r="AO37" s="5" t="str">
        <f t="shared" si="70"/>
        <v/>
      </c>
      <c r="AP37" s="5" t="str">
        <f t="shared" si="70"/>
        <v/>
      </c>
      <c r="AQ37" s="5" t="str">
        <f t="shared" si="70"/>
        <v/>
      </c>
      <c r="AR37" s="5" t="str">
        <f t="shared" si="70"/>
        <v/>
      </c>
      <c r="AS37" s="5" t="str">
        <f t="shared" si="70"/>
        <v/>
      </c>
    </row>
    <row r="38" spans="1:45" ht="12" thickBot="1">
      <c r="A38" s="4">
        <f>IF(A37="","",A37/(A34*100))</f>
        <v>3.9790996784565914E-2</v>
      </c>
      <c r="B38" s="6" t="s">
        <v>20</v>
      </c>
      <c r="C38" s="76" t="s">
        <v>21</v>
      </c>
      <c r="D38" s="18" t="str">
        <f t="shared" ref="D38:AL38" si="71">IF(D37="","",IF(D37=0,"",D37/(D34*100)))</f>
        <v/>
      </c>
      <c r="E38" s="18">
        <f t="shared" si="71"/>
        <v>0.32142857142857145</v>
      </c>
      <c r="F38" s="62" t="str">
        <f t="shared" si="71"/>
        <v/>
      </c>
      <c r="G38" s="18" t="str">
        <f t="shared" si="71"/>
        <v/>
      </c>
      <c r="H38" s="18">
        <f t="shared" si="71"/>
        <v>9.6774193548387094E-2</v>
      </c>
      <c r="I38" s="62" t="str">
        <f t="shared" si="71"/>
        <v/>
      </c>
      <c r="J38" s="18" t="str">
        <f t="shared" si="71"/>
        <v/>
      </c>
      <c r="K38" s="18">
        <f t="shared" si="71"/>
        <v>7.8260869565217397E-2</v>
      </c>
      <c r="L38" s="62" t="str">
        <f t="shared" si="71"/>
        <v/>
      </c>
      <c r="M38" s="18" t="str">
        <f t="shared" si="71"/>
        <v/>
      </c>
      <c r="N38" s="18" t="str">
        <f t="shared" si="71"/>
        <v/>
      </c>
      <c r="O38" s="18">
        <f t="shared" si="71"/>
        <v>0.16463414634146342</v>
      </c>
      <c r="P38" s="62" t="str">
        <f t="shared" si="71"/>
        <v/>
      </c>
      <c r="Q38" s="18" t="str">
        <f t="shared" si="71"/>
        <v/>
      </c>
      <c r="R38" s="18" t="str">
        <f t="shared" si="71"/>
        <v/>
      </c>
      <c r="S38" s="18" t="str">
        <f t="shared" si="71"/>
        <v/>
      </c>
      <c r="T38" s="18" t="str">
        <f t="shared" si="71"/>
        <v/>
      </c>
      <c r="U38" s="18" t="str">
        <f t="shared" si="71"/>
        <v/>
      </c>
      <c r="V38" s="18" t="str">
        <f t="shared" si="71"/>
        <v/>
      </c>
      <c r="W38" s="18" t="str">
        <f t="shared" si="71"/>
        <v/>
      </c>
      <c r="X38" s="18" t="str">
        <f t="shared" si="71"/>
        <v/>
      </c>
      <c r="Y38" s="18">
        <f t="shared" si="71"/>
        <v>2.6011560693641619E-2</v>
      </c>
      <c r="Z38" s="18" t="str">
        <f t="shared" si="71"/>
        <v/>
      </c>
      <c r="AA38" s="18" t="str">
        <f t="shared" si="71"/>
        <v/>
      </c>
      <c r="AB38" s="18" t="str">
        <f t="shared" si="71"/>
        <v/>
      </c>
      <c r="AC38" s="18">
        <f t="shared" si="71"/>
        <v>1.859504132231405E-2</v>
      </c>
      <c r="AD38" s="18" t="str">
        <f t="shared" si="71"/>
        <v/>
      </c>
      <c r="AE38" s="18" t="str">
        <f t="shared" si="71"/>
        <v/>
      </c>
      <c r="AF38" s="18">
        <f t="shared" si="71"/>
        <v>2.8125000000000001E-2</v>
      </c>
      <c r="AG38" s="18" t="str">
        <f t="shared" si="71"/>
        <v/>
      </c>
      <c r="AH38" s="18" t="str">
        <f t="shared" si="71"/>
        <v/>
      </c>
      <c r="AI38" s="18" t="str">
        <f t="shared" si="71"/>
        <v/>
      </c>
      <c r="AJ38" s="18" t="str">
        <f t="shared" si="71"/>
        <v/>
      </c>
      <c r="AK38" s="18" t="str">
        <f t="shared" si="71"/>
        <v/>
      </c>
      <c r="AL38" s="18" t="str">
        <f t="shared" si="71"/>
        <v/>
      </c>
      <c r="AM38" s="18" t="str">
        <f t="shared" ref="AM38:AS38" si="72">IF(AM37="","",IF(AM37=0,"",AM37/(AM34*100)))</f>
        <v/>
      </c>
      <c r="AN38" s="18" t="str">
        <f t="shared" si="72"/>
        <v/>
      </c>
      <c r="AO38" s="18" t="str">
        <f t="shared" si="72"/>
        <v/>
      </c>
      <c r="AP38" s="18" t="str">
        <f t="shared" si="72"/>
        <v/>
      </c>
      <c r="AQ38" s="18" t="str">
        <f t="shared" si="72"/>
        <v/>
      </c>
      <c r="AR38" s="18" t="str">
        <f t="shared" si="72"/>
        <v/>
      </c>
      <c r="AS38" s="18" t="str">
        <f t="shared" si="72"/>
        <v/>
      </c>
    </row>
    <row r="39" spans="1:45">
      <c r="A39" s="17" t="s">
        <v>1</v>
      </c>
      <c r="B39" s="9" t="s">
        <v>2</v>
      </c>
      <c r="C39" s="74">
        <v>8984</v>
      </c>
      <c r="D39" s="8">
        <f>IF(D3="","",C39)</f>
        <v>8984</v>
      </c>
      <c r="E39" s="8">
        <v>9026</v>
      </c>
      <c r="F39" s="59">
        <f>IF(F3="","",E39)</f>
        <v>9026</v>
      </c>
      <c r="G39" s="8">
        <f>IF(G3="","",F39)</f>
        <v>9026</v>
      </c>
      <c r="H39" s="8">
        <v>9037</v>
      </c>
      <c r="I39" s="59">
        <f>IF(I3="","",H39)</f>
        <v>9037</v>
      </c>
      <c r="J39" s="8">
        <f>IF(J3="","",I39)</f>
        <v>9037</v>
      </c>
      <c r="K39" s="8">
        <v>9161</v>
      </c>
      <c r="L39" s="59">
        <f>IF(L3="","",K39)</f>
        <v>9161</v>
      </c>
      <c r="M39" s="8">
        <f>IF(M3="","",L39)</f>
        <v>9161</v>
      </c>
      <c r="N39" s="8">
        <f>IF(N3="","",M39)</f>
        <v>9161</v>
      </c>
      <c r="O39" s="8">
        <v>9191</v>
      </c>
      <c r="P39" s="59">
        <f>IF(P3="","",O39)</f>
        <v>9191</v>
      </c>
      <c r="Q39" s="8">
        <f>IF(Q3="","",P39)</f>
        <v>9191</v>
      </c>
      <c r="R39" s="8">
        <v>9247</v>
      </c>
      <c r="S39" s="8">
        <f t="shared" ref="S39:AL39" si="73">IF(S3="","",R39)</f>
        <v>9247</v>
      </c>
      <c r="T39" s="8">
        <f t="shared" si="73"/>
        <v>9247</v>
      </c>
      <c r="U39" s="8">
        <f t="shared" si="73"/>
        <v>9247</v>
      </c>
      <c r="V39" s="8">
        <v>9261</v>
      </c>
      <c r="W39" s="8">
        <f t="shared" si="73"/>
        <v>9261</v>
      </c>
      <c r="X39" s="8">
        <f t="shared" si="73"/>
        <v>9261</v>
      </c>
      <c r="Y39" s="8">
        <v>9379</v>
      </c>
      <c r="Z39" s="8">
        <f t="shared" si="73"/>
        <v>9379</v>
      </c>
      <c r="AA39" s="8">
        <f t="shared" si="73"/>
        <v>9379</v>
      </c>
      <c r="AB39" s="8">
        <f t="shared" si="73"/>
        <v>9379</v>
      </c>
      <c r="AC39" s="8">
        <v>9398</v>
      </c>
      <c r="AD39" s="8">
        <f t="shared" si="73"/>
        <v>9398</v>
      </c>
      <c r="AE39" s="8">
        <f t="shared" si="73"/>
        <v>9398</v>
      </c>
      <c r="AF39" s="8">
        <v>9469</v>
      </c>
      <c r="AG39" s="8" t="str">
        <f t="shared" si="73"/>
        <v/>
      </c>
      <c r="AH39" s="8" t="str">
        <f t="shared" si="73"/>
        <v/>
      </c>
      <c r="AI39" s="8" t="str">
        <f t="shared" si="73"/>
        <v/>
      </c>
      <c r="AJ39" s="8" t="str">
        <f t="shared" si="73"/>
        <v/>
      </c>
      <c r="AK39" s="8" t="str">
        <f t="shared" si="73"/>
        <v/>
      </c>
      <c r="AL39" s="8" t="str">
        <f t="shared" si="73"/>
        <v/>
      </c>
      <c r="AM39" s="8" t="str">
        <f t="shared" ref="AM39:AS39" si="74">IF(AM3="","",AL39)</f>
        <v/>
      </c>
      <c r="AN39" s="8" t="str">
        <f t="shared" si="74"/>
        <v/>
      </c>
      <c r="AO39" s="8" t="str">
        <f t="shared" si="74"/>
        <v/>
      </c>
      <c r="AP39" s="8" t="str">
        <f t="shared" si="74"/>
        <v/>
      </c>
      <c r="AQ39" s="8" t="str">
        <f t="shared" si="74"/>
        <v/>
      </c>
      <c r="AR39" s="8" t="str">
        <f t="shared" si="74"/>
        <v/>
      </c>
      <c r="AS39" s="8" t="str">
        <f t="shared" si="74"/>
        <v/>
      </c>
    </row>
    <row r="40" spans="1:45">
      <c r="A40" s="16" t="s">
        <v>3</v>
      </c>
      <c r="B40" s="9" t="s">
        <v>4</v>
      </c>
      <c r="C40" s="74">
        <v>520</v>
      </c>
      <c r="D40" s="8">
        <f>IF(D3="","",C40)</f>
        <v>520</v>
      </c>
      <c r="E40" s="8">
        <v>525</v>
      </c>
      <c r="F40" s="59">
        <f>IF(F3="","",E40)</f>
        <v>525</v>
      </c>
      <c r="G40" s="8">
        <f>IF(G3="","",F40)</f>
        <v>525</v>
      </c>
      <c r="H40" s="8">
        <v>526</v>
      </c>
      <c r="I40" s="59">
        <f>IF(I3="","",H40)</f>
        <v>526</v>
      </c>
      <c r="J40" s="8">
        <f>IF(J3="","",I40)</f>
        <v>526</v>
      </c>
      <c r="K40" s="8">
        <v>534</v>
      </c>
      <c r="L40" s="59">
        <f>IF(L3="","",K40)</f>
        <v>534</v>
      </c>
      <c r="M40" s="8">
        <f>IF(M3="","",L40)</f>
        <v>534</v>
      </c>
      <c r="N40" s="8">
        <f>IF(N3="","",M40)</f>
        <v>534</v>
      </c>
      <c r="O40" s="8">
        <v>538</v>
      </c>
      <c r="P40" s="59">
        <f>IF(P3="","",O40)</f>
        <v>538</v>
      </c>
      <c r="Q40" s="8">
        <f>IF(Q3="","",P40)</f>
        <v>538</v>
      </c>
      <c r="R40" s="8">
        <v>543</v>
      </c>
      <c r="S40" s="8">
        <f t="shared" ref="S40:AL40" si="75">IF(S3="","",R40)</f>
        <v>543</v>
      </c>
      <c r="T40" s="8">
        <f t="shared" si="75"/>
        <v>543</v>
      </c>
      <c r="U40" s="8">
        <f t="shared" si="75"/>
        <v>543</v>
      </c>
      <c r="V40" s="8">
        <v>547</v>
      </c>
      <c r="W40" s="8">
        <f t="shared" si="75"/>
        <v>547</v>
      </c>
      <c r="X40" s="8">
        <f t="shared" si="75"/>
        <v>547</v>
      </c>
      <c r="Y40" s="8">
        <v>550</v>
      </c>
      <c r="Z40" s="8">
        <f t="shared" si="75"/>
        <v>550</v>
      </c>
      <c r="AA40" s="8">
        <f t="shared" si="75"/>
        <v>550</v>
      </c>
      <c r="AB40" s="8">
        <f t="shared" si="75"/>
        <v>550</v>
      </c>
      <c r="AC40" s="8">
        <v>553</v>
      </c>
      <c r="AD40" s="8">
        <f t="shared" si="75"/>
        <v>553</v>
      </c>
      <c r="AE40" s="8">
        <f t="shared" si="75"/>
        <v>553</v>
      </c>
      <c r="AF40" s="8">
        <v>556</v>
      </c>
      <c r="AG40" s="8" t="str">
        <f t="shared" si="75"/>
        <v/>
      </c>
      <c r="AH40" s="8" t="str">
        <f t="shared" si="75"/>
        <v/>
      </c>
      <c r="AI40" s="8" t="str">
        <f t="shared" si="75"/>
        <v/>
      </c>
      <c r="AJ40" s="8" t="str">
        <f t="shared" si="75"/>
        <v/>
      </c>
      <c r="AK40" s="8" t="str">
        <f t="shared" si="75"/>
        <v/>
      </c>
      <c r="AL40" s="8" t="str">
        <f t="shared" si="75"/>
        <v/>
      </c>
      <c r="AM40" s="8" t="str">
        <f t="shared" ref="AM40:AS40" si="76">IF(AM3="","",AL40)</f>
        <v/>
      </c>
      <c r="AN40" s="8" t="str">
        <f t="shared" si="76"/>
        <v/>
      </c>
      <c r="AO40" s="8" t="str">
        <f t="shared" si="76"/>
        <v/>
      </c>
      <c r="AP40" s="8" t="str">
        <f t="shared" si="76"/>
        <v/>
      </c>
      <c r="AQ40" s="8" t="str">
        <f t="shared" si="76"/>
        <v/>
      </c>
      <c r="AR40" s="8" t="str">
        <f t="shared" si="76"/>
        <v/>
      </c>
      <c r="AS40" s="8" t="str">
        <f t="shared" si="76"/>
        <v/>
      </c>
    </row>
    <row r="41" spans="1:45">
      <c r="A41" s="15">
        <v>4</v>
      </c>
      <c r="B41" s="9" t="s">
        <v>5</v>
      </c>
      <c r="C41" s="74">
        <v>57</v>
      </c>
      <c r="D41" s="8">
        <f>IF(D39="","",(C41+C42))</f>
        <v>57</v>
      </c>
      <c r="E41" s="8">
        <v>52</v>
      </c>
      <c r="F41" s="59">
        <f>IF(F39="","",(E41+E42))</f>
        <v>72</v>
      </c>
      <c r="G41" s="8">
        <f>IF(G39="","",(F41+F42))</f>
        <v>72</v>
      </c>
      <c r="H41" s="8">
        <v>71</v>
      </c>
      <c r="I41" s="59">
        <f>IF(I39="","",(H41+H42))</f>
        <v>71</v>
      </c>
      <c r="J41" s="8">
        <f>IF(J39="","",(I41+I42))</f>
        <v>71</v>
      </c>
      <c r="K41" s="8">
        <v>63</v>
      </c>
      <c r="L41" s="59">
        <f>IF(L39="","",(K41+K42))</f>
        <v>103</v>
      </c>
      <c r="M41" s="8">
        <f>IF(M39="","",(L41+L42))</f>
        <v>103</v>
      </c>
      <c r="N41" s="8">
        <f>IF(N39="","",(M41+M42))</f>
        <v>103</v>
      </c>
      <c r="O41" s="8">
        <v>99</v>
      </c>
      <c r="P41" s="59">
        <f>IF(P39="","",(O41+O42))</f>
        <v>99</v>
      </c>
      <c r="Q41" s="8">
        <f>IF(Q39="","",(P41+P42))</f>
        <v>99</v>
      </c>
      <c r="R41" s="8">
        <v>94</v>
      </c>
      <c r="S41" s="8">
        <f t="shared" ref="S41:AL41" si="77">IF(S39="","",(R41+R42))</f>
        <v>94</v>
      </c>
      <c r="T41" s="8">
        <f t="shared" si="77"/>
        <v>94</v>
      </c>
      <c r="U41" s="8">
        <f t="shared" si="77"/>
        <v>94</v>
      </c>
      <c r="V41" s="8">
        <v>90</v>
      </c>
      <c r="W41" s="8">
        <f t="shared" si="77"/>
        <v>90</v>
      </c>
      <c r="X41" s="8">
        <f t="shared" si="77"/>
        <v>90</v>
      </c>
      <c r="Y41" s="8">
        <v>87</v>
      </c>
      <c r="Z41" s="8">
        <f t="shared" si="77"/>
        <v>87</v>
      </c>
      <c r="AA41" s="8">
        <f t="shared" si="77"/>
        <v>87</v>
      </c>
      <c r="AB41" s="8">
        <f t="shared" si="77"/>
        <v>87</v>
      </c>
      <c r="AC41" s="8">
        <v>84</v>
      </c>
      <c r="AD41" s="8">
        <f t="shared" si="77"/>
        <v>84</v>
      </c>
      <c r="AE41" s="8">
        <f t="shared" si="77"/>
        <v>84</v>
      </c>
      <c r="AF41" s="8">
        <v>81</v>
      </c>
      <c r="AG41" s="8" t="str">
        <f t="shared" si="77"/>
        <v/>
      </c>
      <c r="AH41" s="8" t="str">
        <f t="shared" si="77"/>
        <v/>
      </c>
      <c r="AI41" s="8" t="str">
        <f t="shared" si="77"/>
        <v/>
      </c>
      <c r="AJ41" s="8" t="str">
        <f t="shared" si="77"/>
        <v/>
      </c>
      <c r="AK41" s="8" t="str">
        <f t="shared" si="77"/>
        <v/>
      </c>
      <c r="AL41" s="8" t="str">
        <f t="shared" si="77"/>
        <v/>
      </c>
      <c r="AM41" s="8" t="str">
        <f t="shared" ref="AM41:AS41" si="78">IF(AM39="","",(AL41+AL42))</f>
        <v/>
      </c>
      <c r="AN41" s="8" t="str">
        <f t="shared" si="78"/>
        <v/>
      </c>
      <c r="AO41" s="8" t="str">
        <f t="shared" si="78"/>
        <v/>
      </c>
      <c r="AP41" s="8" t="str">
        <f t="shared" si="78"/>
        <v/>
      </c>
      <c r="AQ41" s="8" t="str">
        <f t="shared" si="78"/>
        <v/>
      </c>
      <c r="AR41" s="8" t="str">
        <f t="shared" si="78"/>
        <v/>
      </c>
      <c r="AS41" s="8" t="str">
        <f t="shared" si="78"/>
        <v/>
      </c>
    </row>
    <row r="42" spans="1:45">
      <c r="A42" s="14"/>
      <c r="B42" s="9" t="s">
        <v>7</v>
      </c>
      <c r="C42" s="74"/>
      <c r="D42" s="8"/>
      <c r="E42" s="8">
        <v>20</v>
      </c>
      <c r="F42" s="59"/>
      <c r="G42" s="8"/>
      <c r="H42" s="8"/>
      <c r="I42" s="59"/>
      <c r="J42" s="8"/>
      <c r="K42" s="8">
        <v>40</v>
      </c>
      <c r="L42" s="59"/>
      <c r="M42" s="8"/>
      <c r="N42" s="8"/>
      <c r="O42" s="8"/>
      <c r="P42" s="5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>
      <c r="A43" s="7"/>
      <c r="B43" s="9" t="s">
        <v>8</v>
      </c>
      <c r="C43" s="74">
        <v>150</v>
      </c>
      <c r="D43" s="8">
        <f t="shared" ref="D43:AL43" si="79">IF(D39="","",C43)</f>
        <v>150</v>
      </c>
      <c r="E43" s="8">
        <f t="shared" si="79"/>
        <v>150</v>
      </c>
      <c r="F43" s="59">
        <f t="shared" si="79"/>
        <v>150</v>
      </c>
      <c r="G43" s="8">
        <f t="shared" si="79"/>
        <v>150</v>
      </c>
      <c r="H43" s="8">
        <f t="shared" si="79"/>
        <v>150</v>
      </c>
      <c r="I43" s="59">
        <f t="shared" si="79"/>
        <v>150</v>
      </c>
      <c r="J43" s="8">
        <f t="shared" si="79"/>
        <v>150</v>
      </c>
      <c r="K43" s="8">
        <f t="shared" si="79"/>
        <v>150</v>
      </c>
      <c r="L43" s="59">
        <f t="shared" si="79"/>
        <v>150</v>
      </c>
      <c r="M43" s="8">
        <f t="shared" si="79"/>
        <v>150</v>
      </c>
      <c r="N43" s="8">
        <f t="shared" si="79"/>
        <v>150</v>
      </c>
      <c r="O43" s="8">
        <f t="shared" si="79"/>
        <v>150</v>
      </c>
      <c r="P43" s="59">
        <f t="shared" si="79"/>
        <v>150</v>
      </c>
      <c r="Q43" s="8">
        <f t="shared" si="79"/>
        <v>150</v>
      </c>
      <c r="R43" s="8">
        <f t="shared" si="79"/>
        <v>150</v>
      </c>
      <c r="S43" s="8">
        <f t="shared" si="79"/>
        <v>150</v>
      </c>
      <c r="T43" s="8">
        <f t="shared" si="79"/>
        <v>150</v>
      </c>
      <c r="U43" s="8">
        <f t="shared" si="79"/>
        <v>150</v>
      </c>
      <c r="V43" s="8">
        <f t="shared" si="79"/>
        <v>150</v>
      </c>
      <c r="W43" s="8">
        <f t="shared" si="79"/>
        <v>150</v>
      </c>
      <c r="X43" s="8">
        <f t="shared" si="79"/>
        <v>150</v>
      </c>
      <c r="Y43" s="8">
        <f t="shared" si="79"/>
        <v>150</v>
      </c>
      <c r="Z43" s="8">
        <f t="shared" si="79"/>
        <v>150</v>
      </c>
      <c r="AA43" s="8">
        <f t="shared" si="79"/>
        <v>150</v>
      </c>
      <c r="AB43" s="8">
        <f t="shared" si="79"/>
        <v>150</v>
      </c>
      <c r="AC43" s="8">
        <f t="shared" si="79"/>
        <v>150</v>
      </c>
      <c r="AD43" s="8">
        <f t="shared" si="79"/>
        <v>150</v>
      </c>
      <c r="AE43" s="8">
        <f t="shared" si="79"/>
        <v>150</v>
      </c>
      <c r="AF43" s="8">
        <f t="shared" si="79"/>
        <v>150</v>
      </c>
      <c r="AG43" s="8" t="str">
        <f t="shared" si="79"/>
        <v/>
      </c>
      <c r="AH43" s="8" t="str">
        <f t="shared" si="79"/>
        <v/>
      </c>
      <c r="AI43" s="8" t="str">
        <f t="shared" si="79"/>
        <v/>
      </c>
      <c r="AJ43" s="8" t="str">
        <f t="shared" si="79"/>
        <v/>
      </c>
      <c r="AK43" s="8" t="str">
        <f t="shared" si="79"/>
        <v/>
      </c>
      <c r="AL43" s="8" t="str">
        <f t="shared" si="79"/>
        <v/>
      </c>
      <c r="AM43" s="8" t="str">
        <f t="shared" ref="AM43:AS43" si="80">IF(AM39="","",AL43)</f>
        <v/>
      </c>
      <c r="AN43" s="8" t="str">
        <f t="shared" si="80"/>
        <v/>
      </c>
      <c r="AO43" s="8" t="str">
        <f t="shared" si="80"/>
        <v/>
      </c>
      <c r="AP43" s="8" t="str">
        <f t="shared" si="80"/>
        <v/>
      </c>
      <c r="AQ43" s="8" t="str">
        <f t="shared" si="80"/>
        <v/>
      </c>
      <c r="AR43" s="8" t="str">
        <f t="shared" si="80"/>
        <v/>
      </c>
      <c r="AS43" s="8" t="str">
        <f t="shared" si="80"/>
        <v/>
      </c>
    </row>
    <row r="44" spans="1:45" s="94" customFormat="1">
      <c r="A44" s="14" t="s">
        <v>9</v>
      </c>
      <c r="B44" s="13" t="s">
        <v>10</v>
      </c>
      <c r="C44" s="75" t="s">
        <v>27</v>
      </c>
      <c r="D44" s="12" t="str">
        <f t="shared" ref="D44:AL44" si="81">IF(D39="","",C44)</f>
        <v>AIモンスター</v>
      </c>
      <c r="E44" s="12" t="str">
        <f t="shared" si="81"/>
        <v>AIモンスター</v>
      </c>
      <c r="F44" s="131" t="str">
        <f t="shared" si="81"/>
        <v>AIモンスター</v>
      </c>
      <c r="G44" s="12" t="str">
        <f t="shared" si="81"/>
        <v>AIモンスター</v>
      </c>
      <c r="H44" s="12" t="str">
        <f t="shared" si="81"/>
        <v>AIモンスター</v>
      </c>
      <c r="I44" s="131" t="str">
        <f t="shared" si="81"/>
        <v>AIモンスター</v>
      </c>
      <c r="J44" s="12" t="str">
        <f t="shared" si="81"/>
        <v>AIモンスター</v>
      </c>
      <c r="K44" s="12" t="str">
        <f t="shared" si="81"/>
        <v>AIモンスター</v>
      </c>
      <c r="L44" s="131" t="str">
        <f t="shared" si="81"/>
        <v>AIモンスター</v>
      </c>
      <c r="M44" s="12" t="str">
        <f t="shared" si="81"/>
        <v>AIモンスター</v>
      </c>
      <c r="N44" s="12" t="str">
        <f t="shared" si="81"/>
        <v>AIモンスター</v>
      </c>
      <c r="O44" s="12" t="str">
        <f t="shared" si="81"/>
        <v>AIモンスター</v>
      </c>
      <c r="P44" s="131" t="str">
        <f t="shared" si="81"/>
        <v>AIモンスター</v>
      </c>
      <c r="Q44" s="12" t="str">
        <f t="shared" si="81"/>
        <v>AIモンスター</v>
      </c>
      <c r="R44" s="12" t="str">
        <f t="shared" si="81"/>
        <v>AIモンスター</v>
      </c>
      <c r="S44" s="12" t="str">
        <f t="shared" si="81"/>
        <v>AIモンスター</v>
      </c>
      <c r="T44" s="12" t="str">
        <f t="shared" si="81"/>
        <v>AIモンスター</v>
      </c>
      <c r="U44" s="12" t="str">
        <f t="shared" si="81"/>
        <v>AIモンスター</v>
      </c>
      <c r="V44" s="12" t="str">
        <f t="shared" si="81"/>
        <v>AIモンスター</v>
      </c>
      <c r="W44" s="12" t="str">
        <f t="shared" si="81"/>
        <v>AIモンスター</v>
      </c>
      <c r="X44" s="12" t="str">
        <f t="shared" si="81"/>
        <v>AIモンスター</v>
      </c>
      <c r="Y44" s="12" t="str">
        <f t="shared" si="81"/>
        <v>AIモンスター</v>
      </c>
      <c r="Z44" s="12" t="str">
        <f t="shared" si="81"/>
        <v>AIモンスター</v>
      </c>
      <c r="AA44" s="12" t="str">
        <f t="shared" si="81"/>
        <v>AIモンスター</v>
      </c>
      <c r="AB44" s="12" t="str">
        <f t="shared" si="81"/>
        <v>AIモンスター</v>
      </c>
      <c r="AC44" s="12" t="str">
        <f t="shared" si="81"/>
        <v>AIモンスター</v>
      </c>
      <c r="AD44" s="12" t="str">
        <f t="shared" si="81"/>
        <v>AIモンスター</v>
      </c>
      <c r="AE44" s="12" t="str">
        <f t="shared" si="81"/>
        <v>AIモンスター</v>
      </c>
      <c r="AF44" s="12" t="str">
        <f t="shared" si="81"/>
        <v>AIモンスター</v>
      </c>
      <c r="AG44" s="12" t="str">
        <f t="shared" si="81"/>
        <v/>
      </c>
      <c r="AH44" s="12" t="str">
        <f t="shared" si="81"/>
        <v/>
      </c>
      <c r="AI44" s="12" t="str">
        <f t="shared" si="81"/>
        <v/>
      </c>
      <c r="AJ44" s="12" t="str">
        <f t="shared" si="81"/>
        <v/>
      </c>
      <c r="AK44" s="12" t="str">
        <f t="shared" si="81"/>
        <v/>
      </c>
      <c r="AL44" s="12" t="str">
        <f t="shared" si="81"/>
        <v/>
      </c>
      <c r="AM44" s="12" t="str">
        <f t="shared" ref="AM44:AS44" si="82">IF(AM39="","",AL44)</f>
        <v/>
      </c>
      <c r="AN44" s="12" t="str">
        <f t="shared" si="82"/>
        <v/>
      </c>
      <c r="AO44" s="12" t="str">
        <f t="shared" si="82"/>
        <v/>
      </c>
      <c r="AP44" s="12" t="str">
        <f t="shared" si="82"/>
        <v/>
      </c>
      <c r="AQ44" s="12" t="str">
        <f t="shared" si="82"/>
        <v/>
      </c>
      <c r="AR44" s="12" t="str">
        <f t="shared" si="82"/>
        <v/>
      </c>
      <c r="AS44" s="12" t="str">
        <f t="shared" si="82"/>
        <v/>
      </c>
    </row>
    <row r="45" spans="1:45">
      <c r="A45" s="7">
        <f>AVERAGE(C46:AS46)*30*100</f>
        <v>48500.000000000007</v>
      </c>
      <c r="B45" s="9" t="s">
        <v>14</v>
      </c>
      <c r="C45" s="74"/>
      <c r="D45" s="8"/>
      <c r="E45" s="8"/>
      <c r="F45" s="59"/>
      <c r="G45" s="8"/>
      <c r="H45" s="8"/>
      <c r="I45" s="59"/>
      <c r="J45" s="8"/>
      <c r="K45" s="8"/>
      <c r="L45" s="59"/>
      <c r="M45" s="8"/>
      <c r="N45" s="8"/>
      <c r="O45" s="8"/>
      <c r="P45" s="59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>
      <c r="A46" s="7">
        <f>SUM(C46:AS46)</f>
        <v>485</v>
      </c>
      <c r="B46" s="6" t="s">
        <v>15</v>
      </c>
      <c r="C46" s="74">
        <v>0</v>
      </c>
      <c r="D46" s="5">
        <f t="shared" ref="D46:AL46" si="83">IF(D39="","",D39-C39)</f>
        <v>0</v>
      </c>
      <c r="E46" s="5">
        <f t="shared" si="83"/>
        <v>42</v>
      </c>
      <c r="F46" s="59">
        <f t="shared" si="83"/>
        <v>0</v>
      </c>
      <c r="G46" s="5">
        <f t="shared" si="83"/>
        <v>0</v>
      </c>
      <c r="H46" s="5">
        <f t="shared" si="83"/>
        <v>11</v>
      </c>
      <c r="I46" s="59">
        <f t="shared" si="83"/>
        <v>0</v>
      </c>
      <c r="J46" s="5">
        <f t="shared" si="83"/>
        <v>0</v>
      </c>
      <c r="K46" s="5">
        <f t="shared" si="83"/>
        <v>124</v>
      </c>
      <c r="L46" s="59">
        <f t="shared" si="83"/>
        <v>0</v>
      </c>
      <c r="M46" s="5">
        <f t="shared" si="83"/>
        <v>0</v>
      </c>
      <c r="N46" s="5">
        <f t="shared" si="83"/>
        <v>0</v>
      </c>
      <c r="O46" s="5">
        <f t="shared" si="83"/>
        <v>30</v>
      </c>
      <c r="P46" s="59">
        <f t="shared" si="83"/>
        <v>0</v>
      </c>
      <c r="Q46" s="5">
        <f t="shared" si="83"/>
        <v>0</v>
      </c>
      <c r="R46" s="5">
        <f t="shared" si="83"/>
        <v>56</v>
      </c>
      <c r="S46" s="5">
        <f t="shared" si="83"/>
        <v>0</v>
      </c>
      <c r="T46" s="5">
        <f t="shared" si="83"/>
        <v>0</v>
      </c>
      <c r="U46" s="5">
        <f t="shared" si="83"/>
        <v>0</v>
      </c>
      <c r="V46" s="5">
        <f t="shared" si="83"/>
        <v>14</v>
      </c>
      <c r="W46" s="5">
        <f t="shared" si="83"/>
        <v>0</v>
      </c>
      <c r="X46" s="5">
        <f t="shared" si="83"/>
        <v>0</v>
      </c>
      <c r="Y46" s="5">
        <f t="shared" si="83"/>
        <v>118</v>
      </c>
      <c r="Z46" s="5">
        <f t="shared" si="83"/>
        <v>0</v>
      </c>
      <c r="AA46" s="5">
        <f t="shared" si="83"/>
        <v>0</v>
      </c>
      <c r="AB46" s="5">
        <f t="shared" si="83"/>
        <v>0</v>
      </c>
      <c r="AC46" s="5">
        <f t="shared" si="83"/>
        <v>19</v>
      </c>
      <c r="AD46" s="5">
        <f t="shared" si="83"/>
        <v>0</v>
      </c>
      <c r="AE46" s="5">
        <f t="shared" si="83"/>
        <v>0</v>
      </c>
      <c r="AF46" s="5">
        <f t="shared" si="83"/>
        <v>71</v>
      </c>
      <c r="AG46" s="5" t="str">
        <f t="shared" si="83"/>
        <v/>
      </c>
      <c r="AH46" s="5" t="str">
        <f t="shared" si="83"/>
        <v/>
      </c>
      <c r="AI46" s="5" t="str">
        <f t="shared" si="83"/>
        <v/>
      </c>
      <c r="AJ46" s="5" t="str">
        <f t="shared" si="83"/>
        <v/>
      </c>
      <c r="AK46" s="5" t="str">
        <f t="shared" si="83"/>
        <v/>
      </c>
      <c r="AL46" s="5" t="str">
        <f t="shared" si="83"/>
        <v/>
      </c>
      <c r="AM46" s="5" t="str">
        <f t="shared" ref="AM46:AS46" si="84">IF(AM39="","",AM39-AL39)</f>
        <v/>
      </c>
      <c r="AN46" s="5" t="str">
        <f t="shared" si="84"/>
        <v/>
      </c>
      <c r="AO46" s="5" t="str">
        <f t="shared" si="84"/>
        <v/>
      </c>
      <c r="AP46" s="5" t="str">
        <f t="shared" si="84"/>
        <v/>
      </c>
      <c r="AQ46" s="5" t="str">
        <f t="shared" si="84"/>
        <v/>
      </c>
      <c r="AR46" s="5" t="str">
        <f t="shared" si="84"/>
        <v/>
      </c>
      <c r="AS46" s="5" t="str">
        <f t="shared" si="84"/>
        <v/>
      </c>
    </row>
    <row r="47" spans="1:45">
      <c r="A47" s="7">
        <f>SUM(C47:AS47)</f>
        <v>36</v>
      </c>
      <c r="B47" s="6" t="s">
        <v>16</v>
      </c>
      <c r="C47" s="74">
        <v>0</v>
      </c>
      <c r="D47" s="5">
        <f t="shared" ref="D47:AL47" si="85">IF(D40="","",D40-C40)</f>
        <v>0</v>
      </c>
      <c r="E47" s="5">
        <f t="shared" si="85"/>
        <v>5</v>
      </c>
      <c r="F47" s="59">
        <f t="shared" si="85"/>
        <v>0</v>
      </c>
      <c r="G47" s="5">
        <f t="shared" si="85"/>
        <v>0</v>
      </c>
      <c r="H47" s="5">
        <f t="shared" si="85"/>
        <v>1</v>
      </c>
      <c r="I47" s="59">
        <f t="shared" si="85"/>
        <v>0</v>
      </c>
      <c r="J47" s="5">
        <f t="shared" si="85"/>
        <v>0</v>
      </c>
      <c r="K47" s="5">
        <f t="shared" si="85"/>
        <v>8</v>
      </c>
      <c r="L47" s="59">
        <f t="shared" si="85"/>
        <v>0</v>
      </c>
      <c r="M47" s="5">
        <f t="shared" si="85"/>
        <v>0</v>
      </c>
      <c r="N47" s="5">
        <f t="shared" si="85"/>
        <v>0</v>
      </c>
      <c r="O47" s="5">
        <f t="shared" si="85"/>
        <v>4</v>
      </c>
      <c r="P47" s="59">
        <f t="shared" si="85"/>
        <v>0</v>
      </c>
      <c r="Q47" s="5">
        <f t="shared" si="85"/>
        <v>0</v>
      </c>
      <c r="R47" s="5">
        <f t="shared" si="85"/>
        <v>5</v>
      </c>
      <c r="S47" s="5">
        <f t="shared" si="85"/>
        <v>0</v>
      </c>
      <c r="T47" s="5">
        <f t="shared" si="85"/>
        <v>0</v>
      </c>
      <c r="U47" s="5">
        <f t="shared" si="85"/>
        <v>0</v>
      </c>
      <c r="V47" s="5">
        <f t="shared" si="85"/>
        <v>4</v>
      </c>
      <c r="W47" s="5">
        <f t="shared" si="85"/>
        <v>0</v>
      </c>
      <c r="X47" s="5">
        <f t="shared" si="85"/>
        <v>0</v>
      </c>
      <c r="Y47" s="5">
        <f t="shared" si="85"/>
        <v>3</v>
      </c>
      <c r="Z47" s="5">
        <f t="shared" si="85"/>
        <v>0</v>
      </c>
      <c r="AA47" s="5">
        <f t="shared" si="85"/>
        <v>0</v>
      </c>
      <c r="AB47" s="5">
        <f t="shared" si="85"/>
        <v>0</v>
      </c>
      <c r="AC47" s="5">
        <f t="shared" si="85"/>
        <v>3</v>
      </c>
      <c r="AD47" s="5">
        <f t="shared" si="85"/>
        <v>0</v>
      </c>
      <c r="AE47" s="5">
        <f t="shared" si="85"/>
        <v>0</v>
      </c>
      <c r="AF47" s="5">
        <f t="shared" si="85"/>
        <v>3</v>
      </c>
      <c r="AG47" s="5" t="str">
        <f t="shared" si="85"/>
        <v/>
      </c>
      <c r="AH47" s="5" t="str">
        <f t="shared" si="85"/>
        <v/>
      </c>
      <c r="AI47" s="5" t="str">
        <f t="shared" si="85"/>
        <v/>
      </c>
      <c r="AJ47" s="5" t="str">
        <f t="shared" si="85"/>
        <v/>
      </c>
      <c r="AK47" s="5" t="str">
        <f t="shared" si="85"/>
        <v/>
      </c>
      <c r="AL47" s="5" t="str">
        <f t="shared" si="85"/>
        <v/>
      </c>
      <c r="AM47" s="5" t="str">
        <f t="shared" ref="AM47:AS47" si="86">IF(AM40="","",AM40-AL40)</f>
        <v/>
      </c>
      <c r="AN47" s="5" t="str">
        <f t="shared" si="86"/>
        <v/>
      </c>
      <c r="AO47" s="5" t="str">
        <f t="shared" si="86"/>
        <v/>
      </c>
      <c r="AP47" s="5" t="str">
        <f t="shared" si="86"/>
        <v/>
      </c>
      <c r="AQ47" s="5" t="str">
        <f t="shared" si="86"/>
        <v/>
      </c>
      <c r="AR47" s="5" t="str">
        <f t="shared" si="86"/>
        <v/>
      </c>
      <c r="AS47" s="5" t="str">
        <f t="shared" si="86"/>
        <v/>
      </c>
    </row>
    <row r="48" spans="1:45">
      <c r="A48" s="7">
        <f>SUM(C48:AS48)</f>
        <v>36</v>
      </c>
      <c r="B48" s="6" t="s">
        <v>17</v>
      </c>
      <c r="C48" s="74">
        <v>0</v>
      </c>
      <c r="D48" s="5">
        <f t="shared" ref="D48:AL48" si="87">IF(D41="","",C41+C42-D41)</f>
        <v>0</v>
      </c>
      <c r="E48" s="5">
        <f t="shared" si="87"/>
        <v>5</v>
      </c>
      <c r="F48" s="59">
        <f t="shared" si="87"/>
        <v>0</v>
      </c>
      <c r="G48" s="5">
        <f t="shared" si="87"/>
        <v>0</v>
      </c>
      <c r="H48" s="5">
        <f t="shared" si="87"/>
        <v>1</v>
      </c>
      <c r="I48" s="59">
        <f t="shared" si="87"/>
        <v>0</v>
      </c>
      <c r="J48" s="5">
        <f t="shared" si="87"/>
        <v>0</v>
      </c>
      <c r="K48" s="5">
        <f t="shared" si="87"/>
        <v>8</v>
      </c>
      <c r="L48" s="59">
        <f t="shared" si="87"/>
        <v>0</v>
      </c>
      <c r="M48" s="5">
        <f t="shared" si="87"/>
        <v>0</v>
      </c>
      <c r="N48" s="5">
        <f t="shared" si="87"/>
        <v>0</v>
      </c>
      <c r="O48" s="5">
        <f t="shared" si="87"/>
        <v>4</v>
      </c>
      <c r="P48" s="59">
        <f t="shared" si="87"/>
        <v>0</v>
      </c>
      <c r="Q48" s="5">
        <f t="shared" si="87"/>
        <v>0</v>
      </c>
      <c r="R48" s="5">
        <f t="shared" si="87"/>
        <v>5</v>
      </c>
      <c r="S48" s="5">
        <f t="shared" si="87"/>
        <v>0</v>
      </c>
      <c r="T48" s="5">
        <f t="shared" si="87"/>
        <v>0</v>
      </c>
      <c r="U48" s="5">
        <f t="shared" si="87"/>
        <v>0</v>
      </c>
      <c r="V48" s="5">
        <f t="shared" si="87"/>
        <v>4</v>
      </c>
      <c r="W48" s="5">
        <f t="shared" si="87"/>
        <v>0</v>
      </c>
      <c r="X48" s="5">
        <f t="shared" si="87"/>
        <v>0</v>
      </c>
      <c r="Y48" s="5">
        <f t="shared" si="87"/>
        <v>3</v>
      </c>
      <c r="Z48" s="5">
        <f t="shared" si="87"/>
        <v>0</v>
      </c>
      <c r="AA48" s="5">
        <f t="shared" si="87"/>
        <v>0</v>
      </c>
      <c r="AB48" s="5">
        <f t="shared" si="87"/>
        <v>0</v>
      </c>
      <c r="AC48" s="5">
        <f t="shared" si="87"/>
        <v>3</v>
      </c>
      <c r="AD48" s="5">
        <f t="shared" si="87"/>
        <v>0</v>
      </c>
      <c r="AE48" s="5">
        <f t="shared" si="87"/>
        <v>0</v>
      </c>
      <c r="AF48" s="5">
        <f t="shared" si="87"/>
        <v>3</v>
      </c>
      <c r="AG48" s="5" t="str">
        <f t="shared" si="87"/>
        <v/>
      </c>
      <c r="AH48" s="5" t="str">
        <f t="shared" si="87"/>
        <v/>
      </c>
      <c r="AI48" s="5" t="str">
        <f t="shared" si="87"/>
        <v/>
      </c>
      <c r="AJ48" s="5" t="str">
        <f t="shared" si="87"/>
        <v/>
      </c>
      <c r="AK48" s="5" t="str">
        <f t="shared" si="87"/>
        <v/>
      </c>
      <c r="AL48" s="5" t="str">
        <f t="shared" si="87"/>
        <v/>
      </c>
      <c r="AM48" s="5" t="str">
        <f t="shared" ref="AM48:AS48" si="88">IF(AM41="","",AL41+AL42-AM41)</f>
        <v/>
      </c>
      <c r="AN48" s="5" t="str">
        <f t="shared" si="88"/>
        <v/>
      </c>
      <c r="AO48" s="5" t="str">
        <f t="shared" si="88"/>
        <v/>
      </c>
      <c r="AP48" s="5" t="str">
        <f t="shared" si="88"/>
        <v/>
      </c>
      <c r="AQ48" s="5" t="str">
        <f t="shared" si="88"/>
        <v/>
      </c>
      <c r="AR48" s="5" t="str">
        <f t="shared" si="88"/>
        <v/>
      </c>
      <c r="AS48" s="5" t="str">
        <f t="shared" si="88"/>
        <v/>
      </c>
    </row>
    <row r="49" spans="1:45">
      <c r="A49" s="7">
        <f>SUM(C49:AS49)</f>
        <v>5400</v>
      </c>
      <c r="B49" s="6" t="s">
        <v>18</v>
      </c>
      <c r="C49" s="74">
        <v>0</v>
      </c>
      <c r="D49" s="5">
        <f t="shared" ref="D49:AL49" si="89">IF(D39="","",D48*D43)</f>
        <v>0</v>
      </c>
      <c r="E49" s="5">
        <f t="shared" si="89"/>
        <v>750</v>
      </c>
      <c r="F49" s="59">
        <f t="shared" si="89"/>
        <v>0</v>
      </c>
      <c r="G49" s="5">
        <f t="shared" si="89"/>
        <v>0</v>
      </c>
      <c r="H49" s="5">
        <f t="shared" si="89"/>
        <v>150</v>
      </c>
      <c r="I49" s="59">
        <f t="shared" si="89"/>
        <v>0</v>
      </c>
      <c r="J49" s="5">
        <f t="shared" si="89"/>
        <v>0</v>
      </c>
      <c r="K49" s="5">
        <f t="shared" si="89"/>
        <v>1200</v>
      </c>
      <c r="L49" s="59">
        <f t="shared" si="89"/>
        <v>0</v>
      </c>
      <c r="M49" s="5">
        <f t="shared" si="89"/>
        <v>0</v>
      </c>
      <c r="N49" s="5">
        <f t="shared" si="89"/>
        <v>0</v>
      </c>
      <c r="O49" s="5">
        <f t="shared" si="89"/>
        <v>600</v>
      </c>
      <c r="P49" s="59">
        <f t="shared" si="89"/>
        <v>0</v>
      </c>
      <c r="Q49" s="5">
        <f t="shared" si="89"/>
        <v>0</v>
      </c>
      <c r="R49" s="5">
        <f t="shared" si="89"/>
        <v>750</v>
      </c>
      <c r="S49" s="5">
        <f t="shared" si="89"/>
        <v>0</v>
      </c>
      <c r="T49" s="5">
        <f t="shared" si="89"/>
        <v>0</v>
      </c>
      <c r="U49" s="5">
        <f t="shared" si="89"/>
        <v>0</v>
      </c>
      <c r="V49" s="5">
        <f t="shared" si="89"/>
        <v>600</v>
      </c>
      <c r="W49" s="5">
        <f t="shared" si="89"/>
        <v>0</v>
      </c>
      <c r="X49" s="5">
        <f t="shared" si="89"/>
        <v>0</v>
      </c>
      <c r="Y49" s="5">
        <f t="shared" si="89"/>
        <v>450</v>
      </c>
      <c r="Z49" s="5">
        <f t="shared" si="89"/>
        <v>0</v>
      </c>
      <c r="AA49" s="5">
        <f t="shared" si="89"/>
        <v>0</v>
      </c>
      <c r="AB49" s="5">
        <f t="shared" si="89"/>
        <v>0</v>
      </c>
      <c r="AC49" s="5">
        <f t="shared" si="89"/>
        <v>450</v>
      </c>
      <c r="AD49" s="5">
        <f t="shared" si="89"/>
        <v>0</v>
      </c>
      <c r="AE49" s="5">
        <f t="shared" si="89"/>
        <v>0</v>
      </c>
      <c r="AF49" s="5">
        <f t="shared" si="89"/>
        <v>450</v>
      </c>
      <c r="AG49" s="5" t="str">
        <f t="shared" si="89"/>
        <v/>
      </c>
      <c r="AH49" s="5" t="str">
        <f t="shared" si="89"/>
        <v/>
      </c>
      <c r="AI49" s="5" t="str">
        <f t="shared" si="89"/>
        <v/>
      </c>
      <c r="AJ49" s="5" t="str">
        <f t="shared" si="89"/>
        <v/>
      </c>
      <c r="AK49" s="5" t="str">
        <f t="shared" si="89"/>
        <v/>
      </c>
      <c r="AL49" s="5" t="str">
        <f t="shared" si="89"/>
        <v/>
      </c>
      <c r="AM49" s="5" t="str">
        <f t="shared" ref="AM49:AS49" si="90">IF(AM39="","",AM48*AM43)</f>
        <v/>
      </c>
      <c r="AN49" s="5" t="str">
        <f t="shared" si="90"/>
        <v/>
      </c>
      <c r="AO49" s="5" t="str">
        <f t="shared" si="90"/>
        <v/>
      </c>
      <c r="AP49" s="5" t="str">
        <f t="shared" si="90"/>
        <v/>
      </c>
      <c r="AQ49" s="5" t="str">
        <f t="shared" si="90"/>
        <v/>
      </c>
      <c r="AR49" s="5" t="str">
        <f t="shared" si="90"/>
        <v/>
      </c>
      <c r="AS49" s="5" t="str">
        <f t="shared" si="90"/>
        <v/>
      </c>
    </row>
    <row r="50" spans="1:45" ht="12" thickBot="1">
      <c r="A50" s="4">
        <f>IF(A49="","",A49/(A46*100))</f>
        <v>0.11134020618556702</v>
      </c>
      <c r="B50" s="3" t="s">
        <v>20</v>
      </c>
      <c r="C50" s="77" t="s">
        <v>21</v>
      </c>
      <c r="D50" s="2" t="str">
        <f t="shared" ref="D50:AL50" si="91">IF(D49="","",IF(D49=0,"",D49/(D46*100)))</f>
        <v/>
      </c>
      <c r="E50" s="2">
        <f t="shared" si="91"/>
        <v>0.17857142857142858</v>
      </c>
      <c r="F50" s="57" t="str">
        <f t="shared" si="91"/>
        <v/>
      </c>
      <c r="G50" s="2" t="str">
        <f t="shared" si="91"/>
        <v/>
      </c>
      <c r="H50" s="2">
        <f t="shared" si="91"/>
        <v>0.13636363636363635</v>
      </c>
      <c r="I50" s="57" t="str">
        <f t="shared" si="91"/>
        <v/>
      </c>
      <c r="J50" s="2" t="str">
        <f t="shared" si="91"/>
        <v/>
      </c>
      <c r="K50" s="2">
        <f t="shared" si="91"/>
        <v>9.6774193548387094E-2</v>
      </c>
      <c r="L50" s="57" t="str">
        <f t="shared" si="91"/>
        <v/>
      </c>
      <c r="M50" s="2" t="str">
        <f t="shared" si="91"/>
        <v/>
      </c>
      <c r="N50" s="2" t="str">
        <f t="shared" si="91"/>
        <v/>
      </c>
      <c r="O50" s="2">
        <f t="shared" si="91"/>
        <v>0.2</v>
      </c>
      <c r="P50" s="57" t="str">
        <f t="shared" si="91"/>
        <v/>
      </c>
      <c r="Q50" s="2" t="str">
        <f t="shared" si="91"/>
        <v/>
      </c>
      <c r="R50" s="2">
        <f t="shared" si="91"/>
        <v>0.13392857142857142</v>
      </c>
      <c r="S50" s="2" t="str">
        <f t="shared" si="91"/>
        <v/>
      </c>
      <c r="T50" s="2" t="str">
        <f t="shared" si="91"/>
        <v/>
      </c>
      <c r="U50" s="2" t="str">
        <f t="shared" si="91"/>
        <v/>
      </c>
      <c r="V50" s="2">
        <f t="shared" si="91"/>
        <v>0.42857142857142855</v>
      </c>
      <c r="W50" s="2" t="str">
        <f t="shared" si="91"/>
        <v/>
      </c>
      <c r="X50" s="2" t="str">
        <f t="shared" si="91"/>
        <v/>
      </c>
      <c r="Y50" s="2">
        <f t="shared" si="91"/>
        <v>3.8135593220338986E-2</v>
      </c>
      <c r="Z50" s="2" t="str">
        <f t="shared" si="91"/>
        <v/>
      </c>
      <c r="AA50" s="2" t="str">
        <f t="shared" si="91"/>
        <v/>
      </c>
      <c r="AB50" s="2" t="str">
        <f t="shared" si="91"/>
        <v/>
      </c>
      <c r="AC50" s="2">
        <f t="shared" si="91"/>
        <v>0.23684210526315788</v>
      </c>
      <c r="AD50" s="2" t="str">
        <f t="shared" si="91"/>
        <v/>
      </c>
      <c r="AE50" s="2" t="str">
        <f t="shared" si="91"/>
        <v/>
      </c>
      <c r="AF50" s="2">
        <f t="shared" si="91"/>
        <v>6.3380281690140844E-2</v>
      </c>
      <c r="AG50" s="2" t="str">
        <f t="shared" si="91"/>
        <v/>
      </c>
      <c r="AH50" s="2" t="str">
        <f t="shared" si="91"/>
        <v/>
      </c>
      <c r="AI50" s="2" t="str">
        <f t="shared" si="91"/>
        <v/>
      </c>
      <c r="AJ50" s="2" t="str">
        <f t="shared" si="91"/>
        <v/>
      </c>
      <c r="AK50" s="2" t="str">
        <f t="shared" si="91"/>
        <v/>
      </c>
      <c r="AL50" s="2" t="str">
        <f t="shared" si="91"/>
        <v/>
      </c>
      <c r="AM50" s="2" t="str">
        <f t="shared" ref="AM50:AS50" si="92">IF(AM49="","",IF(AM49=0,"",AM49/(AM46*100)))</f>
        <v/>
      </c>
      <c r="AN50" s="2" t="str">
        <f t="shared" si="92"/>
        <v/>
      </c>
      <c r="AO50" s="2" t="str">
        <f t="shared" si="92"/>
        <v/>
      </c>
      <c r="AP50" s="2" t="str">
        <f t="shared" si="92"/>
        <v/>
      </c>
      <c r="AQ50" s="2" t="str">
        <f t="shared" si="92"/>
        <v/>
      </c>
      <c r="AR50" s="2" t="str">
        <f t="shared" si="92"/>
        <v/>
      </c>
      <c r="AS50" s="2" t="str">
        <f t="shared" si="92"/>
        <v/>
      </c>
    </row>
    <row r="51" spans="1:45">
      <c r="A51" s="17" t="s">
        <v>1</v>
      </c>
      <c r="B51" s="39" t="s">
        <v>2</v>
      </c>
      <c r="C51" s="66">
        <v>13131</v>
      </c>
      <c r="D51" s="38">
        <f>IF(D$3="","",C51)</f>
        <v>13131</v>
      </c>
      <c r="E51" s="38">
        <v>13191</v>
      </c>
      <c r="F51" s="127">
        <f>IF(F$3="","",E51)</f>
        <v>13191</v>
      </c>
      <c r="G51" s="38">
        <f>IF(G$3="","",F51)</f>
        <v>13191</v>
      </c>
      <c r="H51" s="38">
        <v>13201</v>
      </c>
      <c r="I51" s="127">
        <f>IF(I$3="","",H51)</f>
        <v>13201</v>
      </c>
      <c r="J51" s="38">
        <f>IF(J$3="","",I51)</f>
        <v>13201</v>
      </c>
      <c r="K51" s="38">
        <v>13288</v>
      </c>
      <c r="L51" s="127">
        <f t="shared" ref="L51:N52" si="93">IF(L$3="","",K51)</f>
        <v>13288</v>
      </c>
      <c r="M51" s="38">
        <f t="shared" si="93"/>
        <v>13288</v>
      </c>
      <c r="N51" s="38">
        <f t="shared" si="93"/>
        <v>13288</v>
      </c>
      <c r="O51" s="38">
        <v>13324</v>
      </c>
      <c r="P51" s="127">
        <f>IF(P$3="","",O51)</f>
        <v>13324</v>
      </c>
      <c r="Q51" s="38">
        <f>IF(Q$3="","",P51)</f>
        <v>13324</v>
      </c>
      <c r="R51" s="38">
        <v>13436</v>
      </c>
      <c r="S51" s="38">
        <f t="shared" ref="S51:AL51" si="94">IF(S$3="","",R51)</f>
        <v>13436</v>
      </c>
      <c r="T51" s="38">
        <f t="shared" si="94"/>
        <v>13436</v>
      </c>
      <c r="U51" s="38">
        <f t="shared" si="94"/>
        <v>13436</v>
      </c>
      <c r="V51" s="38">
        <v>13456</v>
      </c>
      <c r="W51" s="38">
        <f t="shared" si="94"/>
        <v>13456</v>
      </c>
      <c r="X51" s="38">
        <f t="shared" si="94"/>
        <v>13456</v>
      </c>
      <c r="Y51" s="38">
        <v>13496</v>
      </c>
      <c r="Z51" s="38">
        <f t="shared" si="94"/>
        <v>13496</v>
      </c>
      <c r="AA51" s="38">
        <f t="shared" si="94"/>
        <v>13496</v>
      </c>
      <c r="AB51" s="38">
        <f t="shared" si="94"/>
        <v>13496</v>
      </c>
      <c r="AC51" s="38">
        <v>13510</v>
      </c>
      <c r="AD51" s="38">
        <f t="shared" si="94"/>
        <v>13510</v>
      </c>
      <c r="AE51" s="38">
        <f t="shared" si="94"/>
        <v>13510</v>
      </c>
      <c r="AF51" s="38">
        <v>13557</v>
      </c>
      <c r="AG51" s="38" t="str">
        <f t="shared" si="94"/>
        <v/>
      </c>
      <c r="AH51" s="38" t="str">
        <f t="shared" si="94"/>
        <v/>
      </c>
      <c r="AI51" s="38" t="str">
        <f t="shared" si="94"/>
        <v/>
      </c>
      <c r="AJ51" s="38" t="str">
        <f t="shared" si="94"/>
        <v/>
      </c>
      <c r="AK51" s="38" t="str">
        <f t="shared" si="94"/>
        <v/>
      </c>
      <c r="AL51" s="38" t="str">
        <f t="shared" si="94"/>
        <v/>
      </c>
      <c r="AM51" s="38" t="str">
        <f t="shared" ref="AM51:AS51" si="95">IF(AM$3="","",AL51)</f>
        <v/>
      </c>
      <c r="AN51" s="38" t="str">
        <f t="shared" si="95"/>
        <v/>
      </c>
      <c r="AO51" s="38" t="str">
        <f t="shared" si="95"/>
        <v/>
      </c>
      <c r="AP51" s="38" t="str">
        <f t="shared" si="95"/>
        <v/>
      </c>
      <c r="AQ51" s="38" t="str">
        <f t="shared" si="95"/>
        <v/>
      </c>
      <c r="AR51" s="38" t="str">
        <f t="shared" si="95"/>
        <v/>
      </c>
      <c r="AS51" s="38" t="str">
        <f t="shared" si="95"/>
        <v/>
      </c>
    </row>
    <row r="52" spans="1:45">
      <c r="A52" s="16" t="s">
        <v>28</v>
      </c>
      <c r="B52" s="30" t="s">
        <v>4</v>
      </c>
      <c r="C52" s="65">
        <v>318</v>
      </c>
      <c r="D52" s="29">
        <f>IF(D$3="","",C52)</f>
        <v>318</v>
      </c>
      <c r="E52" s="29">
        <v>319</v>
      </c>
      <c r="F52" s="54">
        <f>IF(F$3="","",E52)</f>
        <v>319</v>
      </c>
      <c r="G52" s="29">
        <f>IF(G$3="","",F52)</f>
        <v>319</v>
      </c>
      <c r="H52" s="29">
        <f>IF(H$3="","",G52)</f>
        <v>319</v>
      </c>
      <c r="I52" s="54">
        <f>IF(I$3="","",H52)</f>
        <v>319</v>
      </c>
      <c r="J52" s="29">
        <f>IF(J$3="","",I52)</f>
        <v>319</v>
      </c>
      <c r="K52" s="29">
        <f>IF(K$3="","",J52)</f>
        <v>319</v>
      </c>
      <c r="L52" s="54">
        <f t="shared" si="93"/>
        <v>319</v>
      </c>
      <c r="M52" s="29">
        <f t="shared" si="93"/>
        <v>319</v>
      </c>
      <c r="N52" s="29">
        <f t="shared" si="93"/>
        <v>319</v>
      </c>
      <c r="O52" s="29">
        <v>320</v>
      </c>
      <c r="P52" s="54">
        <f>IF(P$3="","",O52)</f>
        <v>320</v>
      </c>
      <c r="Q52" s="29">
        <f>IF(Q$3="","",P52)</f>
        <v>320</v>
      </c>
      <c r="R52" s="29">
        <v>322</v>
      </c>
      <c r="S52" s="29">
        <f t="shared" ref="S52:AL52" si="96">IF(S$3="","",R52)</f>
        <v>322</v>
      </c>
      <c r="T52" s="29">
        <f t="shared" si="96"/>
        <v>322</v>
      </c>
      <c r="U52" s="29">
        <f t="shared" si="96"/>
        <v>322</v>
      </c>
      <c r="V52" s="29">
        <f t="shared" si="96"/>
        <v>322</v>
      </c>
      <c r="W52" s="29">
        <f t="shared" si="96"/>
        <v>322</v>
      </c>
      <c r="X52" s="29">
        <f t="shared" si="96"/>
        <v>322</v>
      </c>
      <c r="Y52" s="29">
        <f t="shared" si="96"/>
        <v>322</v>
      </c>
      <c r="Z52" s="29">
        <f t="shared" si="96"/>
        <v>322</v>
      </c>
      <c r="AA52" s="29">
        <f t="shared" si="96"/>
        <v>322</v>
      </c>
      <c r="AB52" s="29">
        <f t="shared" si="96"/>
        <v>322</v>
      </c>
      <c r="AC52" s="29">
        <v>323</v>
      </c>
      <c r="AD52" s="29">
        <f t="shared" si="96"/>
        <v>323</v>
      </c>
      <c r="AE52" s="29">
        <f t="shared" si="96"/>
        <v>323</v>
      </c>
      <c r="AF52" s="29">
        <v>325</v>
      </c>
      <c r="AG52" s="29" t="str">
        <f t="shared" si="96"/>
        <v/>
      </c>
      <c r="AH52" s="29" t="str">
        <f t="shared" si="96"/>
        <v/>
      </c>
      <c r="AI52" s="29" t="str">
        <f t="shared" si="96"/>
        <v/>
      </c>
      <c r="AJ52" s="29" t="str">
        <f t="shared" si="96"/>
        <v/>
      </c>
      <c r="AK52" s="29" t="str">
        <f t="shared" si="96"/>
        <v/>
      </c>
      <c r="AL52" s="29" t="str">
        <f t="shared" si="96"/>
        <v/>
      </c>
      <c r="AM52" s="29" t="str">
        <f t="shared" ref="AM52:AS52" si="97">IF(AM$3="","",AL52)</f>
        <v/>
      </c>
      <c r="AN52" s="29" t="str">
        <f t="shared" si="97"/>
        <v/>
      </c>
      <c r="AO52" s="29" t="str">
        <f t="shared" si="97"/>
        <v/>
      </c>
      <c r="AP52" s="29" t="str">
        <f t="shared" si="97"/>
        <v/>
      </c>
      <c r="AQ52" s="29" t="str">
        <f t="shared" si="97"/>
        <v/>
      </c>
      <c r="AR52" s="29" t="str">
        <f t="shared" si="97"/>
        <v/>
      </c>
      <c r="AS52" s="29" t="str">
        <f t="shared" si="97"/>
        <v/>
      </c>
    </row>
    <row r="53" spans="1:45">
      <c r="A53" s="15">
        <v>1</v>
      </c>
      <c r="B53" s="30" t="s">
        <v>5</v>
      </c>
      <c r="C53" s="65">
        <v>8</v>
      </c>
      <c r="D53" s="29">
        <f>IF(D$3="","",(C53+C54))</f>
        <v>8</v>
      </c>
      <c r="E53" s="29">
        <v>6</v>
      </c>
      <c r="F53" s="54">
        <f t="shared" ref="F53:N53" si="98">IF(F$3="","",(E53+E54))</f>
        <v>9</v>
      </c>
      <c r="G53" s="29">
        <f t="shared" si="98"/>
        <v>9</v>
      </c>
      <c r="H53" s="29">
        <f t="shared" si="98"/>
        <v>9</v>
      </c>
      <c r="I53" s="54">
        <f t="shared" si="98"/>
        <v>9</v>
      </c>
      <c r="J53" s="29">
        <f t="shared" si="98"/>
        <v>9</v>
      </c>
      <c r="K53" s="29">
        <f t="shared" si="98"/>
        <v>9</v>
      </c>
      <c r="L53" s="54">
        <f t="shared" si="98"/>
        <v>9</v>
      </c>
      <c r="M53" s="29">
        <f t="shared" si="98"/>
        <v>9</v>
      </c>
      <c r="N53" s="29">
        <f t="shared" si="98"/>
        <v>9</v>
      </c>
      <c r="O53" s="29">
        <v>8</v>
      </c>
      <c r="P53" s="54">
        <f>IF(P$3="","",(O53+O54))</f>
        <v>8</v>
      </c>
      <c r="Q53" s="29">
        <f>IF(Q$3="","",(P53+P54))</f>
        <v>8</v>
      </c>
      <c r="R53" s="29">
        <v>6</v>
      </c>
      <c r="S53" s="29">
        <f t="shared" ref="S53:AL53" si="99">IF(S$3="","",(R53+R54))</f>
        <v>6</v>
      </c>
      <c r="T53" s="29">
        <f t="shared" si="99"/>
        <v>6</v>
      </c>
      <c r="U53" s="29">
        <f t="shared" si="99"/>
        <v>6</v>
      </c>
      <c r="V53" s="29">
        <f t="shared" si="99"/>
        <v>6</v>
      </c>
      <c r="W53" s="29">
        <f t="shared" si="99"/>
        <v>6</v>
      </c>
      <c r="X53" s="29">
        <f t="shared" si="99"/>
        <v>6</v>
      </c>
      <c r="Y53" s="29">
        <f t="shared" si="99"/>
        <v>6</v>
      </c>
      <c r="Z53" s="29">
        <f t="shared" si="99"/>
        <v>6</v>
      </c>
      <c r="AA53" s="29">
        <f t="shared" si="99"/>
        <v>6</v>
      </c>
      <c r="AB53" s="29">
        <f t="shared" si="99"/>
        <v>6</v>
      </c>
      <c r="AC53" s="29">
        <v>5</v>
      </c>
      <c r="AD53" s="29">
        <f t="shared" si="99"/>
        <v>5</v>
      </c>
      <c r="AE53" s="29">
        <f t="shared" si="99"/>
        <v>5</v>
      </c>
      <c r="AF53" s="29">
        <v>3</v>
      </c>
      <c r="AG53" s="29" t="str">
        <f t="shared" si="99"/>
        <v/>
      </c>
      <c r="AH53" s="29" t="str">
        <f t="shared" si="99"/>
        <v/>
      </c>
      <c r="AI53" s="29" t="str">
        <f t="shared" si="99"/>
        <v/>
      </c>
      <c r="AJ53" s="29" t="str">
        <f t="shared" si="99"/>
        <v/>
      </c>
      <c r="AK53" s="29" t="str">
        <f t="shared" si="99"/>
        <v/>
      </c>
      <c r="AL53" s="29" t="str">
        <f t="shared" si="99"/>
        <v/>
      </c>
      <c r="AM53" s="29" t="str">
        <f t="shared" ref="AM53:AS53" si="100">IF(AM$3="","",(AL53+AL54))</f>
        <v/>
      </c>
      <c r="AN53" s="29" t="str">
        <f t="shared" si="100"/>
        <v/>
      </c>
      <c r="AO53" s="29" t="str">
        <f t="shared" si="100"/>
        <v/>
      </c>
      <c r="AP53" s="29" t="str">
        <f t="shared" si="100"/>
        <v/>
      </c>
      <c r="AQ53" s="29" t="str">
        <f t="shared" si="100"/>
        <v/>
      </c>
      <c r="AR53" s="29" t="str">
        <f t="shared" si="100"/>
        <v/>
      </c>
      <c r="AS53" s="29" t="str">
        <f t="shared" si="100"/>
        <v/>
      </c>
    </row>
    <row r="54" spans="1:45">
      <c r="A54" s="101" t="s">
        <v>6</v>
      </c>
      <c r="B54" s="30" t="s">
        <v>7</v>
      </c>
      <c r="C54" s="65"/>
      <c r="D54" s="29"/>
      <c r="E54" s="29">
        <v>3</v>
      </c>
      <c r="F54" s="54"/>
      <c r="G54" s="29"/>
      <c r="H54" s="29"/>
      <c r="I54" s="54"/>
      <c r="J54" s="29"/>
      <c r="K54" s="29"/>
      <c r="L54" s="54"/>
      <c r="M54" s="29"/>
      <c r="N54" s="29"/>
      <c r="O54" s="29"/>
      <c r="P54" s="54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 spans="1:45">
      <c r="A55" s="102">
        <f>+(A58+A70+A82+A94)*100</f>
        <v>189400</v>
      </c>
      <c r="B55" s="30" t="s">
        <v>8</v>
      </c>
      <c r="C55" s="64">
        <v>750</v>
      </c>
      <c r="D55" s="35">
        <f t="shared" ref="D55:AL55" si="101">IF(D$3="","",C55)</f>
        <v>750</v>
      </c>
      <c r="E55" s="35">
        <f t="shared" si="101"/>
        <v>750</v>
      </c>
      <c r="F55" s="128">
        <f t="shared" si="101"/>
        <v>750</v>
      </c>
      <c r="G55" s="35">
        <f t="shared" si="101"/>
        <v>750</v>
      </c>
      <c r="H55" s="35">
        <f t="shared" si="101"/>
        <v>750</v>
      </c>
      <c r="I55" s="128">
        <f t="shared" si="101"/>
        <v>750</v>
      </c>
      <c r="J55" s="35">
        <f t="shared" si="101"/>
        <v>750</v>
      </c>
      <c r="K55" s="35">
        <f t="shared" si="101"/>
        <v>750</v>
      </c>
      <c r="L55" s="128">
        <f t="shared" si="101"/>
        <v>750</v>
      </c>
      <c r="M55" s="35">
        <f t="shared" si="101"/>
        <v>750</v>
      </c>
      <c r="N55" s="35">
        <f t="shared" si="101"/>
        <v>750</v>
      </c>
      <c r="O55" s="35">
        <f t="shared" si="101"/>
        <v>750</v>
      </c>
      <c r="P55" s="128">
        <f t="shared" si="101"/>
        <v>750</v>
      </c>
      <c r="Q55" s="35">
        <f t="shared" si="101"/>
        <v>750</v>
      </c>
      <c r="R55" s="35">
        <f t="shared" si="101"/>
        <v>750</v>
      </c>
      <c r="S55" s="35">
        <f t="shared" si="101"/>
        <v>750</v>
      </c>
      <c r="T55" s="35">
        <f t="shared" si="101"/>
        <v>750</v>
      </c>
      <c r="U55" s="35">
        <f t="shared" si="101"/>
        <v>750</v>
      </c>
      <c r="V55" s="35">
        <f t="shared" si="101"/>
        <v>750</v>
      </c>
      <c r="W55" s="35">
        <f t="shared" si="101"/>
        <v>750</v>
      </c>
      <c r="X55" s="35">
        <f t="shared" si="101"/>
        <v>750</v>
      </c>
      <c r="Y55" s="35">
        <f t="shared" si="101"/>
        <v>750</v>
      </c>
      <c r="Z55" s="35">
        <f t="shared" si="101"/>
        <v>750</v>
      </c>
      <c r="AA55" s="35">
        <f t="shared" si="101"/>
        <v>750</v>
      </c>
      <c r="AB55" s="35">
        <f t="shared" si="101"/>
        <v>750</v>
      </c>
      <c r="AC55" s="35">
        <f t="shared" si="101"/>
        <v>750</v>
      </c>
      <c r="AD55" s="35">
        <f t="shared" si="101"/>
        <v>750</v>
      </c>
      <c r="AE55" s="35">
        <f t="shared" si="101"/>
        <v>750</v>
      </c>
      <c r="AF55" s="35">
        <f t="shared" si="101"/>
        <v>750</v>
      </c>
      <c r="AG55" s="35" t="str">
        <f t="shared" si="101"/>
        <v/>
      </c>
      <c r="AH55" s="35" t="str">
        <f t="shared" si="101"/>
        <v/>
      </c>
      <c r="AI55" s="35" t="str">
        <f t="shared" si="101"/>
        <v/>
      </c>
      <c r="AJ55" s="35" t="str">
        <f t="shared" si="101"/>
        <v/>
      </c>
      <c r="AK55" s="35" t="str">
        <f t="shared" si="101"/>
        <v/>
      </c>
      <c r="AL55" s="35" t="str">
        <f t="shared" si="101"/>
        <v/>
      </c>
      <c r="AM55" s="35" t="str">
        <f t="shared" ref="AM55:AS55" si="102">IF(AM$3="","",AL55)</f>
        <v/>
      </c>
      <c r="AN55" s="35" t="str">
        <f t="shared" si="102"/>
        <v/>
      </c>
      <c r="AO55" s="35" t="str">
        <f t="shared" si="102"/>
        <v/>
      </c>
      <c r="AP55" s="35" t="str">
        <f t="shared" si="102"/>
        <v/>
      </c>
      <c r="AQ55" s="35" t="str">
        <f t="shared" si="102"/>
        <v/>
      </c>
      <c r="AR55" s="35" t="str">
        <f t="shared" si="102"/>
        <v/>
      </c>
      <c r="AS55" s="35" t="str">
        <f t="shared" si="102"/>
        <v/>
      </c>
    </row>
    <row r="56" spans="1:45" s="11" customFormat="1">
      <c r="A56" s="14" t="s">
        <v>9</v>
      </c>
      <c r="B56" s="33" t="s">
        <v>10</v>
      </c>
      <c r="C56" s="63" t="s">
        <v>29</v>
      </c>
      <c r="D56" s="32" t="str">
        <f t="shared" ref="D56:AL56" si="103">IF(D$3="","",C56)</f>
        <v>モンチッチキーケース</v>
      </c>
      <c r="E56" s="32" t="str">
        <f t="shared" si="103"/>
        <v>モンチッチキーケース</v>
      </c>
      <c r="F56" s="129" t="str">
        <f t="shared" si="103"/>
        <v>モンチッチキーケース</v>
      </c>
      <c r="G56" s="32" t="str">
        <f t="shared" si="103"/>
        <v>モンチッチキーケース</v>
      </c>
      <c r="H56" s="32" t="str">
        <f t="shared" si="103"/>
        <v>モンチッチキーケース</v>
      </c>
      <c r="I56" s="129" t="str">
        <f t="shared" si="103"/>
        <v>モンチッチキーケース</v>
      </c>
      <c r="J56" s="32" t="str">
        <f t="shared" si="103"/>
        <v>モンチッチキーケース</v>
      </c>
      <c r="K56" s="32" t="str">
        <f t="shared" si="103"/>
        <v>モンチッチキーケース</v>
      </c>
      <c r="L56" s="129" t="str">
        <f t="shared" si="103"/>
        <v>モンチッチキーケース</v>
      </c>
      <c r="M56" s="32" t="str">
        <f t="shared" si="103"/>
        <v>モンチッチキーケース</v>
      </c>
      <c r="N56" s="32" t="str">
        <f t="shared" si="103"/>
        <v>モンチッチキーケース</v>
      </c>
      <c r="O56" s="32" t="str">
        <f t="shared" si="103"/>
        <v>モンチッチキーケース</v>
      </c>
      <c r="P56" s="129" t="str">
        <f t="shared" si="103"/>
        <v>モンチッチキーケース</v>
      </c>
      <c r="Q56" s="32" t="str">
        <f t="shared" si="103"/>
        <v>モンチッチキーケース</v>
      </c>
      <c r="R56" s="32" t="str">
        <f t="shared" si="103"/>
        <v>モンチッチキーケース</v>
      </c>
      <c r="S56" s="32" t="str">
        <f t="shared" si="103"/>
        <v>モンチッチキーケース</v>
      </c>
      <c r="T56" s="32" t="str">
        <f t="shared" si="103"/>
        <v>モンチッチキーケース</v>
      </c>
      <c r="U56" s="32" t="str">
        <f t="shared" si="103"/>
        <v>モンチッチキーケース</v>
      </c>
      <c r="V56" s="32" t="str">
        <f t="shared" si="103"/>
        <v>モンチッチキーケース</v>
      </c>
      <c r="W56" s="32" t="str">
        <f t="shared" si="103"/>
        <v>モンチッチキーケース</v>
      </c>
      <c r="X56" s="32" t="str">
        <f t="shared" si="103"/>
        <v>モンチッチキーケース</v>
      </c>
      <c r="Y56" s="32" t="str">
        <f t="shared" si="103"/>
        <v>モンチッチキーケース</v>
      </c>
      <c r="Z56" s="32" t="str">
        <f t="shared" si="103"/>
        <v>モンチッチキーケース</v>
      </c>
      <c r="AA56" s="32" t="str">
        <f t="shared" si="103"/>
        <v>モンチッチキーケース</v>
      </c>
      <c r="AB56" s="32" t="str">
        <f t="shared" si="103"/>
        <v>モンチッチキーケース</v>
      </c>
      <c r="AC56" s="32" t="str">
        <f t="shared" si="103"/>
        <v>モンチッチキーケース</v>
      </c>
      <c r="AD56" s="32" t="str">
        <f t="shared" si="103"/>
        <v>モンチッチキーケース</v>
      </c>
      <c r="AE56" s="32" t="str">
        <f t="shared" si="103"/>
        <v>モンチッチキーケース</v>
      </c>
      <c r="AF56" s="32" t="str">
        <f t="shared" si="103"/>
        <v>モンチッチキーケース</v>
      </c>
      <c r="AG56" s="32" t="str">
        <f t="shared" si="103"/>
        <v/>
      </c>
      <c r="AH56" s="32" t="str">
        <f t="shared" si="103"/>
        <v/>
      </c>
      <c r="AI56" s="32" t="str">
        <f t="shared" si="103"/>
        <v/>
      </c>
      <c r="AJ56" s="32" t="str">
        <f t="shared" si="103"/>
        <v/>
      </c>
      <c r="AK56" s="32" t="str">
        <f t="shared" si="103"/>
        <v/>
      </c>
      <c r="AL56" s="32" t="str">
        <f t="shared" si="103"/>
        <v/>
      </c>
      <c r="AM56" s="32" t="str">
        <f t="shared" ref="AM56:AS56" si="104">IF(AM$3="","",AL56)</f>
        <v/>
      </c>
      <c r="AN56" s="32" t="str">
        <f t="shared" si="104"/>
        <v/>
      </c>
      <c r="AO56" s="32" t="str">
        <f t="shared" si="104"/>
        <v/>
      </c>
      <c r="AP56" s="32" t="str">
        <f t="shared" si="104"/>
        <v/>
      </c>
      <c r="AQ56" s="32" t="str">
        <f t="shared" si="104"/>
        <v/>
      </c>
      <c r="AR56" s="32" t="str">
        <f t="shared" si="104"/>
        <v/>
      </c>
      <c r="AS56" s="32" t="str">
        <f t="shared" si="104"/>
        <v/>
      </c>
    </row>
    <row r="57" spans="1:45">
      <c r="A57" s="7">
        <f>AVERAGE(C58:AS58)*30*100</f>
        <v>42600</v>
      </c>
      <c r="B57" s="30" t="s">
        <v>14</v>
      </c>
      <c r="C57" s="65"/>
      <c r="D57" s="29"/>
      <c r="E57" s="29"/>
      <c r="F57" s="54"/>
      <c r="G57" s="29"/>
      <c r="H57" s="29"/>
      <c r="I57" s="54"/>
      <c r="J57" s="29"/>
      <c r="K57" s="29"/>
      <c r="L57" s="54"/>
      <c r="M57" s="29"/>
      <c r="N57" s="29"/>
      <c r="O57" s="29"/>
      <c r="P57" s="54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spans="1:45">
      <c r="A58" s="7">
        <f>SUM(C58:AS58)</f>
        <v>426</v>
      </c>
      <c r="B58" s="27" t="s">
        <v>15</v>
      </c>
      <c r="C58" s="65">
        <v>0</v>
      </c>
      <c r="D58" s="26">
        <f t="shared" ref="D58:AL58" si="105">IF(D$3="","",D51-C51)</f>
        <v>0</v>
      </c>
      <c r="E58" s="26">
        <f t="shared" si="105"/>
        <v>60</v>
      </c>
      <c r="F58" s="54">
        <f t="shared" si="105"/>
        <v>0</v>
      </c>
      <c r="G58" s="26">
        <f t="shared" si="105"/>
        <v>0</v>
      </c>
      <c r="H58" s="26">
        <f t="shared" si="105"/>
        <v>10</v>
      </c>
      <c r="I58" s="54">
        <f t="shared" si="105"/>
        <v>0</v>
      </c>
      <c r="J58" s="26">
        <f t="shared" si="105"/>
        <v>0</v>
      </c>
      <c r="K58" s="26">
        <f t="shared" si="105"/>
        <v>87</v>
      </c>
      <c r="L58" s="54">
        <f t="shared" si="105"/>
        <v>0</v>
      </c>
      <c r="M58" s="26">
        <f t="shared" si="105"/>
        <v>0</v>
      </c>
      <c r="N58" s="26">
        <f t="shared" si="105"/>
        <v>0</v>
      </c>
      <c r="O58" s="26">
        <f t="shared" si="105"/>
        <v>36</v>
      </c>
      <c r="P58" s="54">
        <f t="shared" si="105"/>
        <v>0</v>
      </c>
      <c r="Q58" s="26">
        <f t="shared" si="105"/>
        <v>0</v>
      </c>
      <c r="R58" s="26">
        <f t="shared" si="105"/>
        <v>112</v>
      </c>
      <c r="S58" s="26">
        <f t="shared" si="105"/>
        <v>0</v>
      </c>
      <c r="T58" s="26">
        <f t="shared" si="105"/>
        <v>0</v>
      </c>
      <c r="U58" s="26">
        <f t="shared" si="105"/>
        <v>0</v>
      </c>
      <c r="V58" s="26">
        <f t="shared" si="105"/>
        <v>20</v>
      </c>
      <c r="W58" s="26">
        <f t="shared" si="105"/>
        <v>0</v>
      </c>
      <c r="X58" s="26">
        <f t="shared" si="105"/>
        <v>0</v>
      </c>
      <c r="Y58" s="26">
        <f t="shared" si="105"/>
        <v>40</v>
      </c>
      <c r="Z58" s="26">
        <f t="shared" si="105"/>
        <v>0</v>
      </c>
      <c r="AA58" s="26">
        <f t="shared" si="105"/>
        <v>0</v>
      </c>
      <c r="AB58" s="26">
        <f t="shared" si="105"/>
        <v>0</v>
      </c>
      <c r="AC58" s="26">
        <f t="shared" si="105"/>
        <v>14</v>
      </c>
      <c r="AD58" s="26">
        <f t="shared" si="105"/>
        <v>0</v>
      </c>
      <c r="AE58" s="26">
        <f t="shared" si="105"/>
        <v>0</v>
      </c>
      <c r="AF58" s="26">
        <f t="shared" si="105"/>
        <v>47</v>
      </c>
      <c r="AG58" s="26" t="str">
        <f t="shared" si="105"/>
        <v/>
      </c>
      <c r="AH58" s="26" t="str">
        <f t="shared" si="105"/>
        <v/>
      </c>
      <c r="AI58" s="26" t="str">
        <f t="shared" si="105"/>
        <v/>
      </c>
      <c r="AJ58" s="26" t="str">
        <f t="shared" si="105"/>
        <v/>
      </c>
      <c r="AK58" s="26" t="str">
        <f t="shared" si="105"/>
        <v/>
      </c>
      <c r="AL58" s="26" t="str">
        <f t="shared" si="105"/>
        <v/>
      </c>
      <c r="AM58" s="26" t="str">
        <f t="shared" ref="AM58:AS58" si="106">IF(AM$3="","",AM51-AL51)</f>
        <v/>
      </c>
      <c r="AN58" s="26" t="str">
        <f t="shared" si="106"/>
        <v/>
      </c>
      <c r="AO58" s="26" t="str">
        <f t="shared" si="106"/>
        <v/>
      </c>
      <c r="AP58" s="26" t="str">
        <f t="shared" si="106"/>
        <v/>
      </c>
      <c r="AQ58" s="26" t="str">
        <f t="shared" si="106"/>
        <v/>
      </c>
      <c r="AR58" s="26" t="str">
        <f t="shared" si="106"/>
        <v/>
      </c>
      <c r="AS58" s="26" t="str">
        <f t="shared" si="106"/>
        <v/>
      </c>
    </row>
    <row r="59" spans="1:45">
      <c r="A59" s="7">
        <f>SUM(C59:AS59)</f>
        <v>7</v>
      </c>
      <c r="B59" s="27" t="s">
        <v>16</v>
      </c>
      <c r="C59" s="65">
        <v>0</v>
      </c>
      <c r="D59" s="26">
        <f t="shared" ref="D59:AL59" si="107">IF(D$3="","",D52-C52)</f>
        <v>0</v>
      </c>
      <c r="E59" s="26">
        <f t="shared" si="107"/>
        <v>1</v>
      </c>
      <c r="F59" s="54">
        <f t="shared" si="107"/>
        <v>0</v>
      </c>
      <c r="G59" s="26">
        <f t="shared" si="107"/>
        <v>0</v>
      </c>
      <c r="H59" s="26">
        <f t="shared" si="107"/>
        <v>0</v>
      </c>
      <c r="I59" s="54">
        <f t="shared" si="107"/>
        <v>0</v>
      </c>
      <c r="J59" s="26">
        <f t="shared" si="107"/>
        <v>0</v>
      </c>
      <c r="K59" s="26">
        <f t="shared" si="107"/>
        <v>0</v>
      </c>
      <c r="L59" s="54">
        <f t="shared" si="107"/>
        <v>0</v>
      </c>
      <c r="M59" s="26">
        <f t="shared" si="107"/>
        <v>0</v>
      </c>
      <c r="N59" s="26">
        <f t="shared" si="107"/>
        <v>0</v>
      </c>
      <c r="O59" s="26">
        <f t="shared" si="107"/>
        <v>1</v>
      </c>
      <c r="P59" s="54">
        <f t="shared" si="107"/>
        <v>0</v>
      </c>
      <c r="Q59" s="26">
        <f t="shared" si="107"/>
        <v>0</v>
      </c>
      <c r="R59" s="26">
        <f t="shared" si="107"/>
        <v>2</v>
      </c>
      <c r="S59" s="26">
        <f t="shared" si="107"/>
        <v>0</v>
      </c>
      <c r="T59" s="26">
        <f t="shared" si="107"/>
        <v>0</v>
      </c>
      <c r="U59" s="26">
        <f t="shared" si="107"/>
        <v>0</v>
      </c>
      <c r="V59" s="26">
        <f t="shared" si="107"/>
        <v>0</v>
      </c>
      <c r="W59" s="26">
        <f t="shared" si="107"/>
        <v>0</v>
      </c>
      <c r="X59" s="26">
        <f t="shared" si="107"/>
        <v>0</v>
      </c>
      <c r="Y59" s="26">
        <f t="shared" si="107"/>
        <v>0</v>
      </c>
      <c r="Z59" s="26">
        <f t="shared" si="107"/>
        <v>0</v>
      </c>
      <c r="AA59" s="26">
        <f t="shared" si="107"/>
        <v>0</v>
      </c>
      <c r="AB59" s="26">
        <f t="shared" si="107"/>
        <v>0</v>
      </c>
      <c r="AC59" s="26">
        <f t="shared" si="107"/>
        <v>1</v>
      </c>
      <c r="AD59" s="26">
        <f t="shared" si="107"/>
        <v>0</v>
      </c>
      <c r="AE59" s="26">
        <f t="shared" si="107"/>
        <v>0</v>
      </c>
      <c r="AF59" s="26">
        <f t="shared" si="107"/>
        <v>2</v>
      </c>
      <c r="AG59" s="26" t="str">
        <f t="shared" si="107"/>
        <v/>
      </c>
      <c r="AH59" s="26" t="str">
        <f t="shared" si="107"/>
        <v/>
      </c>
      <c r="AI59" s="26" t="str">
        <f t="shared" si="107"/>
        <v/>
      </c>
      <c r="AJ59" s="26" t="str">
        <f t="shared" si="107"/>
        <v/>
      </c>
      <c r="AK59" s="26" t="str">
        <f t="shared" si="107"/>
        <v/>
      </c>
      <c r="AL59" s="26" t="str">
        <f t="shared" si="107"/>
        <v/>
      </c>
      <c r="AM59" s="26" t="str">
        <f t="shared" ref="AM59:AS59" si="108">IF(AM$3="","",AM52-AL52)</f>
        <v/>
      </c>
      <c r="AN59" s="26" t="str">
        <f t="shared" si="108"/>
        <v/>
      </c>
      <c r="AO59" s="26" t="str">
        <f t="shared" si="108"/>
        <v/>
      </c>
      <c r="AP59" s="26" t="str">
        <f t="shared" si="108"/>
        <v/>
      </c>
      <c r="AQ59" s="26" t="str">
        <f t="shared" si="108"/>
        <v/>
      </c>
      <c r="AR59" s="26" t="str">
        <f t="shared" si="108"/>
        <v/>
      </c>
      <c r="AS59" s="26" t="str">
        <f t="shared" si="108"/>
        <v/>
      </c>
    </row>
    <row r="60" spans="1:45">
      <c r="A60" s="7">
        <f>SUM(C60:AS60)</f>
        <v>8</v>
      </c>
      <c r="B60" s="27" t="s">
        <v>17</v>
      </c>
      <c r="C60" s="65">
        <v>0</v>
      </c>
      <c r="D60" s="26">
        <f t="shared" ref="D60:AL60" si="109">IF(D$3="","",C53+C54-D53)</f>
        <v>0</v>
      </c>
      <c r="E60" s="26">
        <f t="shared" si="109"/>
        <v>2</v>
      </c>
      <c r="F60" s="54">
        <f t="shared" si="109"/>
        <v>0</v>
      </c>
      <c r="G60" s="26">
        <f t="shared" si="109"/>
        <v>0</v>
      </c>
      <c r="H60" s="26">
        <f t="shared" si="109"/>
        <v>0</v>
      </c>
      <c r="I60" s="54">
        <f t="shared" si="109"/>
        <v>0</v>
      </c>
      <c r="J60" s="26">
        <f t="shared" si="109"/>
        <v>0</v>
      </c>
      <c r="K60" s="26">
        <f t="shared" si="109"/>
        <v>0</v>
      </c>
      <c r="L60" s="54">
        <f t="shared" si="109"/>
        <v>0</v>
      </c>
      <c r="M60" s="26">
        <f t="shared" si="109"/>
        <v>0</v>
      </c>
      <c r="N60" s="26">
        <f t="shared" si="109"/>
        <v>0</v>
      </c>
      <c r="O60" s="26">
        <f t="shared" si="109"/>
        <v>1</v>
      </c>
      <c r="P60" s="54">
        <f t="shared" si="109"/>
        <v>0</v>
      </c>
      <c r="Q60" s="26">
        <f t="shared" si="109"/>
        <v>0</v>
      </c>
      <c r="R60" s="26">
        <f t="shared" si="109"/>
        <v>2</v>
      </c>
      <c r="S60" s="26">
        <f t="shared" si="109"/>
        <v>0</v>
      </c>
      <c r="T60" s="26">
        <f t="shared" si="109"/>
        <v>0</v>
      </c>
      <c r="U60" s="26">
        <f t="shared" si="109"/>
        <v>0</v>
      </c>
      <c r="V60" s="26">
        <f t="shared" si="109"/>
        <v>0</v>
      </c>
      <c r="W60" s="26">
        <f t="shared" si="109"/>
        <v>0</v>
      </c>
      <c r="X60" s="26">
        <f t="shared" si="109"/>
        <v>0</v>
      </c>
      <c r="Y60" s="26">
        <f t="shared" si="109"/>
        <v>0</v>
      </c>
      <c r="Z60" s="26">
        <f t="shared" si="109"/>
        <v>0</v>
      </c>
      <c r="AA60" s="26">
        <f t="shared" si="109"/>
        <v>0</v>
      </c>
      <c r="AB60" s="26">
        <f t="shared" si="109"/>
        <v>0</v>
      </c>
      <c r="AC60" s="26">
        <f t="shared" si="109"/>
        <v>1</v>
      </c>
      <c r="AD60" s="26">
        <f t="shared" si="109"/>
        <v>0</v>
      </c>
      <c r="AE60" s="26">
        <f t="shared" si="109"/>
        <v>0</v>
      </c>
      <c r="AF60" s="26">
        <f t="shared" si="109"/>
        <v>2</v>
      </c>
      <c r="AG60" s="26" t="str">
        <f t="shared" si="109"/>
        <v/>
      </c>
      <c r="AH60" s="26" t="str">
        <f t="shared" si="109"/>
        <v/>
      </c>
      <c r="AI60" s="26" t="str">
        <f t="shared" si="109"/>
        <v/>
      </c>
      <c r="AJ60" s="26" t="str">
        <f t="shared" si="109"/>
        <v/>
      </c>
      <c r="AK60" s="26" t="str">
        <f t="shared" si="109"/>
        <v/>
      </c>
      <c r="AL60" s="26" t="str">
        <f t="shared" si="109"/>
        <v/>
      </c>
      <c r="AM60" s="26" t="str">
        <f t="shared" ref="AM60:AS60" si="110">IF(AM$3="","",AL53+AL54-AM53)</f>
        <v/>
      </c>
      <c r="AN60" s="26" t="str">
        <f t="shared" si="110"/>
        <v/>
      </c>
      <c r="AO60" s="26" t="str">
        <f t="shared" si="110"/>
        <v/>
      </c>
      <c r="AP60" s="26" t="str">
        <f t="shared" si="110"/>
        <v/>
      </c>
      <c r="AQ60" s="26" t="str">
        <f t="shared" si="110"/>
        <v/>
      </c>
      <c r="AR60" s="26" t="str">
        <f t="shared" si="110"/>
        <v/>
      </c>
      <c r="AS60" s="26" t="str">
        <f t="shared" si="110"/>
        <v/>
      </c>
    </row>
    <row r="61" spans="1:45">
      <c r="A61" s="7">
        <f>SUM(C61:AS61)</f>
        <v>6000</v>
      </c>
      <c r="B61" s="27" t="s">
        <v>18</v>
      </c>
      <c r="C61" s="65">
        <v>0</v>
      </c>
      <c r="D61" s="26">
        <f t="shared" ref="D61:AL61" si="111">IF(D$3="","",D60*D55)</f>
        <v>0</v>
      </c>
      <c r="E61" s="26">
        <f t="shared" si="111"/>
        <v>1500</v>
      </c>
      <c r="F61" s="54">
        <f t="shared" si="111"/>
        <v>0</v>
      </c>
      <c r="G61" s="26">
        <f t="shared" si="111"/>
        <v>0</v>
      </c>
      <c r="H61" s="26">
        <f t="shared" si="111"/>
        <v>0</v>
      </c>
      <c r="I61" s="54">
        <f t="shared" si="111"/>
        <v>0</v>
      </c>
      <c r="J61" s="26">
        <f t="shared" si="111"/>
        <v>0</v>
      </c>
      <c r="K61" s="26">
        <f t="shared" si="111"/>
        <v>0</v>
      </c>
      <c r="L61" s="54">
        <f t="shared" si="111"/>
        <v>0</v>
      </c>
      <c r="M61" s="26">
        <f t="shared" si="111"/>
        <v>0</v>
      </c>
      <c r="N61" s="26">
        <f t="shared" si="111"/>
        <v>0</v>
      </c>
      <c r="O61" s="26">
        <f t="shared" si="111"/>
        <v>750</v>
      </c>
      <c r="P61" s="54">
        <f t="shared" si="111"/>
        <v>0</v>
      </c>
      <c r="Q61" s="26">
        <f t="shared" si="111"/>
        <v>0</v>
      </c>
      <c r="R61" s="26">
        <f t="shared" si="111"/>
        <v>1500</v>
      </c>
      <c r="S61" s="26">
        <f t="shared" si="111"/>
        <v>0</v>
      </c>
      <c r="T61" s="26">
        <f t="shared" si="111"/>
        <v>0</v>
      </c>
      <c r="U61" s="26">
        <f t="shared" si="111"/>
        <v>0</v>
      </c>
      <c r="V61" s="26">
        <f t="shared" si="111"/>
        <v>0</v>
      </c>
      <c r="W61" s="26">
        <f t="shared" si="111"/>
        <v>0</v>
      </c>
      <c r="X61" s="26">
        <f t="shared" si="111"/>
        <v>0</v>
      </c>
      <c r="Y61" s="26">
        <f t="shared" si="111"/>
        <v>0</v>
      </c>
      <c r="Z61" s="26">
        <f t="shared" si="111"/>
        <v>0</v>
      </c>
      <c r="AA61" s="26">
        <f t="shared" si="111"/>
        <v>0</v>
      </c>
      <c r="AB61" s="26">
        <f t="shared" si="111"/>
        <v>0</v>
      </c>
      <c r="AC61" s="26">
        <f t="shared" si="111"/>
        <v>750</v>
      </c>
      <c r="AD61" s="26">
        <f t="shared" si="111"/>
        <v>0</v>
      </c>
      <c r="AE61" s="26">
        <f t="shared" si="111"/>
        <v>0</v>
      </c>
      <c r="AF61" s="26">
        <f t="shared" si="111"/>
        <v>1500</v>
      </c>
      <c r="AG61" s="26" t="str">
        <f t="shared" si="111"/>
        <v/>
      </c>
      <c r="AH61" s="26" t="str">
        <f t="shared" si="111"/>
        <v/>
      </c>
      <c r="AI61" s="26" t="str">
        <f t="shared" si="111"/>
        <v/>
      </c>
      <c r="AJ61" s="26" t="str">
        <f t="shared" si="111"/>
        <v/>
      </c>
      <c r="AK61" s="26" t="str">
        <f t="shared" si="111"/>
        <v/>
      </c>
      <c r="AL61" s="26" t="str">
        <f t="shared" si="111"/>
        <v/>
      </c>
      <c r="AM61" s="26" t="str">
        <f t="shared" ref="AM61:AS61" si="112">IF(AM$3="","",AM60*AM55)</f>
        <v/>
      </c>
      <c r="AN61" s="26" t="str">
        <f t="shared" si="112"/>
        <v/>
      </c>
      <c r="AO61" s="26" t="str">
        <f t="shared" si="112"/>
        <v/>
      </c>
      <c r="AP61" s="26" t="str">
        <f t="shared" si="112"/>
        <v/>
      </c>
      <c r="AQ61" s="26" t="str">
        <f t="shared" si="112"/>
        <v/>
      </c>
      <c r="AR61" s="26" t="str">
        <f t="shared" si="112"/>
        <v/>
      </c>
      <c r="AS61" s="26" t="str">
        <f t="shared" si="112"/>
        <v/>
      </c>
    </row>
    <row r="62" spans="1:45" ht="12" thickBot="1">
      <c r="A62" s="4">
        <f>IF(A61="","",A61/(A58*100))</f>
        <v>0.14084507042253522</v>
      </c>
      <c r="B62" s="27" t="s">
        <v>20</v>
      </c>
      <c r="C62" s="68" t="s">
        <v>21</v>
      </c>
      <c r="D62" s="44" t="str">
        <f t="shared" ref="D62:AL62" si="113">IF(D$3="","",IF(D61=0,"",D61/(D58*100)))</f>
        <v/>
      </c>
      <c r="E62" s="44">
        <f t="shared" si="113"/>
        <v>0.25</v>
      </c>
      <c r="F62" s="132" t="str">
        <f t="shared" si="113"/>
        <v/>
      </c>
      <c r="G62" s="44" t="str">
        <f t="shared" si="113"/>
        <v/>
      </c>
      <c r="H62" s="44" t="str">
        <f t="shared" si="113"/>
        <v/>
      </c>
      <c r="I62" s="132" t="str">
        <f t="shared" si="113"/>
        <v/>
      </c>
      <c r="J62" s="44" t="str">
        <f t="shared" si="113"/>
        <v/>
      </c>
      <c r="K62" s="44" t="str">
        <f t="shared" si="113"/>
        <v/>
      </c>
      <c r="L62" s="132" t="str">
        <f t="shared" si="113"/>
        <v/>
      </c>
      <c r="M62" s="44" t="str">
        <f t="shared" si="113"/>
        <v/>
      </c>
      <c r="N62" s="44" t="str">
        <f t="shared" si="113"/>
        <v/>
      </c>
      <c r="O62" s="44">
        <f t="shared" si="113"/>
        <v>0.20833333333333334</v>
      </c>
      <c r="P62" s="132" t="str">
        <f t="shared" si="113"/>
        <v/>
      </c>
      <c r="Q62" s="44" t="str">
        <f t="shared" si="113"/>
        <v/>
      </c>
      <c r="R62" s="44">
        <f t="shared" si="113"/>
        <v>0.13392857142857142</v>
      </c>
      <c r="S62" s="44" t="str">
        <f t="shared" si="113"/>
        <v/>
      </c>
      <c r="T62" s="44" t="str">
        <f t="shared" si="113"/>
        <v/>
      </c>
      <c r="U62" s="44" t="str">
        <f t="shared" si="113"/>
        <v/>
      </c>
      <c r="V62" s="44" t="str">
        <f t="shared" si="113"/>
        <v/>
      </c>
      <c r="W62" s="44" t="str">
        <f t="shared" si="113"/>
        <v/>
      </c>
      <c r="X62" s="44" t="str">
        <f t="shared" si="113"/>
        <v/>
      </c>
      <c r="Y62" s="44" t="str">
        <f t="shared" si="113"/>
        <v/>
      </c>
      <c r="Z62" s="44" t="str">
        <f t="shared" si="113"/>
        <v/>
      </c>
      <c r="AA62" s="44" t="str">
        <f t="shared" si="113"/>
        <v/>
      </c>
      <c r="AB62" s="44" t="str">
        <f t="shared" si="113"/>
        <v/>
      </c>
      <c r="AC62" s="44">
        <f t="shared" si="113"/>
        <v>0.5357142857142857</v>
      </c>
      <c r="AD62" s="44" t="str">
        <f t="shared" si="113"/>
        <v/>
      </c>
      <c r="AE62" s="44" t="str">
        <f t="shared" si="113"/>
        <v/>
      </c>
      <c r="AF62" s="44">
        <f t="shared" si="113"/>
        <v>0.31914893617021278</v>
      </c>
      <c r="AG62" s="44" t="str">
        <f t="shared" si="113"/>
        <v/>
      </c>
      <c r="AH62" s="44" t="str">
        <f t="shared" si="113"/>
        <v/>
      </c>
      <c r="AI62" s="44" t="str">
        <f t="shared" si="113"/>
        <v/>
      </c>
      <c r="AJ62" s="44" t="str">
        <f t="shared" si="113"/>
        <v/>
      </c>
      <c r="AK62" s="44" t="str">
        <f t="shared" si="113"/>
        <v/>
      </c>
      <c r="AL62" s="44" t="str">
        <f t="shared" si="113"/>
        <v/>
      </c>
      <c r="AM62" s="44" t="str">
        <f t="shared" ref="AM62:AS62" si="114">IF(AM$3="","",IF(AM61=0,"",AM61/(AM58*100)))</f>
        <v/>
      </c>
      <c r="AN62" s="44" t="str">
        <f t="shared" si="114"/>
        <v/>
      </c>
      <c r="AO62" s="44" t="str">
        <f t="shared" si="114"/>
        <v/>
      </c>
      <c r="AP62" s="44" t="str">
        <f t="shared" si="114"/>
        <v/>
      </c>
      <c r="AQ62" s="44" t="str">
        <f t="shared" si="114"/>
        <v/>
      </c>
      <c r="AR62" s="44" t="str">
        <f t="shared" si="114"/>
        <v/>
      </c>
      <c r="AS62" s="44" t="str">
        <f t="shared" si="114"/>
        <v/>
      </c>
    </row>
    <row r="63" spans="1:45">
      <c r="A63" s="17" t="s">
        <v>1</v>
      </c>
      <c r="B63" s="42" t="s">
        <v>2</v>
      </c>
      <c r="C63" s="64">
        <v>13723</v>
      </c>
      <c r="D63" s="35">
        <f>IF(D$3="","",C63)</f>
        <v>13723</v>
      </c>
      <c r="E63" s="35">
        <v>13747</v>
      </c>
      <c r="F63" s="128">
        <f>IF(F$3="","",E63)</f>
        <v>13747</v>
      </c>
      <c r="G63" s="35">
        <f>IF(G$3="","",F63)</f>
        <v>13747</v>
      </c>
      <c r="H63" s="35">
        <v>13761</v>
      </c>
      <c r="I63" s="128">
        <f>IF(I$3="","",H63)</f>
        <v>13761</v>
      </c>
      <c r="J63" s="35">
        <f>IF(J$3="","",I63)</f>
        <v>13761</v>
      </c>
      <c r="K63" s="35">
        <v>13798</v>
      </c>
      <c r="L63" s="128">
        <f t="shared" ref="L63:N64" si="115">IF(L$3="","",K63)</f>
        <v>13798</v>
      </c>
      <c r="M63" s="35">
        <f t="shared" si="115"/>
        <v>13798</v>
      </c>
      <c r="N63" s="35">
        <f t="shared" si="115"/>
        <v>13798</v>
      </c>
      <c r="O63" s="35">
        <v>13824</v>
      </c>
      <c r="P63" s="128">
        <f>IF(P$3="","",O63)</f>
        <v>13824</v>
      </c>
      <c r="Q63" s="35">
        <f>IF(Q$3="","",P63)</f>
        <v>13824</v>
      </c>
      <c r="R63" s="35">
        <v>13848</v>
      </c>
      <c r="S63" s="35">
        <f t="shared" ref="S63:AL63" si="116">IF(S$3="","",R63)</f>
        <v>13848</v>
      </c>
      <c r="T63" s="35">
        <f t="shared" si="116"/>
        <v>13848</v>
      </c>
      <c r="U63" s="35">
        <f t="shared" si="116"/>
        <v>13848</v>
      </c>
      <c r="V63" s="35">
        <v>13870</v>
      </c>
      <c r="W63" s="35">
        <f t="shared" si="116"/>
        <v>13870</v>
      </c>
      <c r="X63" s="35">
        <f t="shared" si="116"/>
        <v>13870</v>
      </c>
      <c r="Y63" s="35">
        <v>13912</v>
      </c>
      <c r="Z63" s="35">
        <f t="shared" si="116"/>
        <v>13912</v>
      </c>
      <c r="AA63" s="35">
        <f t="shared" si="116"/>
        <v>13912</v>
      </c>
      <c r="AB63" s="35">
        <f t="shared" si="116"/>
        <v>13912</v>
      </c>
      <c r="AC63" s="35">
        <v>13930</v>
      </c>
      <c r="AD63" s="35">
        <f t="shared" si="116"/>
        <v>13930</v>
      </c>
      <c r="AE63" s="35">
        <f t="shared" si="116"/>
        <v>13930</v>
      </c>
      <c r="AF63" s="35">
        <v>13959</v>
      </c>
      <c r="AG63" s="35" t="str">
        <f t="shared" si="116"/>
        <v/>
      </c>
      <c r="AH63" s="35" t="str">
        <f t="shared" si="116"/>
        <v/>
      </c>
      <c r="AI63" s="35" t="str">
        <f t="shared" si="116"/>
        <v/>
      </c>
      <c r="AJ63" s="35" t="str">
        <f t="shared" si="116"/>
        <v/>
      </c>
      <c r="AK63" s="35" t="str">
        <f t="shared" si="116"/>
        <v/>
      </c>
      <c r="AL63" s="35" t="str">
        <f t="shared" si="116"/>
        <v/>
      </c>
      <c r="AM63" s="35" t="str">
        <f t="shared" ref="AM63:AS63" si="117">IF(AM$3="","",AL63)</f>
        <v/>
      </c>
      <c r="AN63" s="35" t="str">
        <f t="shared" si="117"/>
        <v/>
      </c>
      <c r="AO63" s="35" t="str">
        <f t="shared" si="117"/>
        <v/>
      </c>
      <c r="AP63" s="35" t="str">
        <f t="shared" si="117"/>
        <v/>
      </c>
      <c r="AQ63" s="35" t="str">
        <f t="shared" si="117"/>
        <v/>
      </c>
      <c r="AR63" s="35" t="str">
        <f t="shared" si="117"/>
        <v/>
      </c>
      <c r="AS63" s="35" t="str">
        <f t="shared" si="117"/>
        <v/>
      </c>
    </row>
    <row r="64" spans="1:45">
      <c r="A64" s="16" t="s">
        <v>30</v>
      </c>
      <c r="B64" s="30" t="s">
        <v>4</v>
      </c>
      <c r="C64" s="65">
        <v>358</v>
      </c>
      <c r="D64" s="29">
        <f>IF(D$3="","",C64)</f>
        <v>358</v>
      </c>
      <c r="E64" s="29">
        <v>360</v>
      </c>
      <c r="F64" s="54">
        <f>IF(F$3="","",E64)</f>
        <v>360</v>
      </c>
      <c r="G64" s="29">
        <f>IF(G$3="","",F64)</f>
        <v>360</v>
      </c>
      <c r="H64" s="29">
        <v>363</v>
      </c>
      <c r="I64" s="54">
        <f>IF(I$3="","",H64)</f>
        <v>363</v>
      </c>
      <c r="J64" s="29">
        <f>IF(J$3="","",I64)</f>
        <v>363</v>
      </c>
      <c r="K64" s="29">
        <f>IF(K$3="","",J64)</f>
        <v>363</v>
      </c>
      <c r="L64" s="54">
        <f t="shared" si="115"/>
        <v>363</v>
      </c>
      <c r="M64" s="29">
        <f t="shared" si="115"/>
        <v>363</v>
      </c>
      <c r="N64" s="29">
        <f t="shared" si="115"/>
        <v>363</v>
      </c>
      <c r="O64" s="29">
        <v>372</v>
      </c>
      <c r="P64" s="54">
        <f>IF(P$3="","",O64)</f>
        <v>372</v>
      </c>
      <c r="Q64" s="29">
        <f>IF(Q$3="","",P64)</f>
        <v>372</v>
      </c>
      <c r="R64" s="29">
        <f>IF(R$3="","",Q64)</f>
        <v>372</v>
      </c>
      <c r="S64" s="29">
        <f t="shared" ref="S64:AL64" si="118">IF(S$3="","",R64)</f>
        <v>372</v>
      </c>
      <c r="T64" s="29">
        <f t="shared" si="118"/>
        <v>372</v>
      </c>
      <c r="U64" s="29">
        <f t="shared" si="118"/>
        <v>372</v>
      </c>
      <c r="V64" s="29">
        <f t="shared" si="118"/>
        <v>372</v>
      </c>
      <c r="W64" s="29">
        <f t="shared" si="118"/>
        <v>372</v>
      </c>
      <c r="X64" s="29">
        <f t="shared" si="118"/>
        <v>372</v>
      </c>
      <c r="Y64" s="29">
        <v>375</v>
      </c>
      <c r="Z64" s="29">
        <f t="shared" si="118"/>
        <v>375</v>
      </c>
      <c r="AA64" s="29">
        <f t="shared" si="118"/>
        <v>375</v>
      </c>
      <c r="AB64" s="29">
        <f t="shared" si="118"/>
        <v>375</v>
      </c>
      <c r="AC64" s="29">
        <f t="shared" si="118"/>
        <v>375</v>
      </c>
      <c r="AD64" s="29">
        <f t="shared" si="118"/>
        <v>375</v>
      </c>
      <c r="AE64" s="29">
        <f t="shared" si="118"/>
        <v>375</v>
      </c>
      <c r="AF64" s="29">
        <v>377</v>
      </c>
      <c r="AG64" s="29" t="str">
        <f t="shared" si="118"/>
        <v/>
      </c>
      <c r="AH64" s="29" t="str">
        <f t="shared" si="118"/>
        <v/>
      </c>
      <c r="AI64" s="29" t="str">
        <f t="shared" si="118"/>
        <v/>
      </c>
      <c r="AJ64" s="29" t="str">
        <f t="shared" si="118"/>
        <v/>
      </c>
      <c r="AK64" s="29" t="str">
        <f t="shared" si="118"/>
        <v/>
      </c>
      <c r="AL64" s="29" t="str">
        <f t="shared" si="118"/>
        <v/>
      </c>
      <c r="AM64" s="29" t="str">
        <f t="shared" ref="AM64:AS64" si="119">IF(AM$3="","",AL64)</f>
        <v/>
      </c>
      <c r="AN64" s="29" t="str">
        <f t="shared" si="119"/>
        <v/>
      </c>
      <c r="AO64" s="29" t="str">
        <f t="shared" si="119"/>
        <v/>
      </c>
      <c r="AP64" s="29" t="str">
        <f t="shared" si="119"/>
        <v/>
      </c>
      <c r="AQ64" s="29" t="str">
        <f t="shared" si="119"/>
        <v/>
      </c>
      <c r="AR64" s="29" t="str">
        <f t="shared" si="119"/>
        <v/>
      </c>
      <c r="AS64" s="29" t="str">
        <f t="shared" si="119"/>
        <v/>
      </c>
    </row>
    <row r="65" spans="1:45">
      <c r="A65" s="15">
        <v>2</v>
      </c>
      <c r="B65" s="30" t="s">
        <v>5</v>
      </c>
      <c r="C65" s="65">
        <v>7</v>
      </c>
      <c r="D65" s="29">
        <f>IF(D$3="","",(C65+C66))</f>
        <v>7</v>
      </c>
      <c r="E65" s="29">
        <v>4</v>
      </c>
      <c r="F65" s="54">
        <f>IF(F$3="","",(E65+E66))</f>
        <v>7</v>
      </c>
      <c r="G65" s="29">
        <f>IF(G$3="","",(F65+F66))</f>
        <v>7</v>
      </c>
      <c r="H65" s="29">
        <v>3</v>
      </c>
      <c r="I65" s="54">
        <f>IF(I$3="","",(H65+H66))</f>
        <v>3</v>
      </c>
      <c r="J65" s="29">
        <f>IF(J$3="","",(I65+I66))</f>
        <v>3</v>
      </c>
      <c r="K65" s="29">
        <v>2</v>
      </c>
      <c r="L65" s="54">
        <f>IF(L$3="","",(K65+K66))</f>
        <v>10</v>
      </c>
      <c r="M65" s="29">
        <f>IF(M$3="","",(L65+L66))</f>
        <v>10</v>
      </c>
      <c r="N65" s="29">
        <f>IF(N$3="","",(M65+M66))</f>
        <v>10</v>
      </c>
      <c r="O65" s="29">
        <v>5</v>
      </c>
      <c r="P65" s="54">
        <f t="shared" ref="P65:AL65" si="120">IF(P$3="","",(O65+O66))</f>
        <v>9</v>
      </c>
      <c r="Q65" s="29">
        <f t="shared" si="120"/>
        <v>9</v>
      </c>
      <c r="R65" s="29">
        <f t="shared" si="120"/>
        <v>9</v>
      </c>
      <c r="S65" s="29">
        <f t="shared" si="120"/>
        <v>9</v>
      </c>
      <c r="T65" s="29">
        <f t="shared" si="120"/>
        <v>9</v>
      </c>
      <c r="U65" s="29">
        <f t="shared" si="120"/>
        <v>9</v>
      </c>
      <c r="V65" s="29">
        <f t="shared" si="120"/>
        <v>9</v>
      </c>
      <c r="W65" s="29">
        <f t="shared" si="120"/>
        <v>9</v>
      </c>
      <c r="X65" s="29">
        <f t="shared" si="120"/>
        <v>9</v>
      </c>
      <c r="Y65" s="29">
        <v>3</v>
      </c>
      <c r="Z65" s="29">
        <f t="shared" si="120"/>
        <v>8</v>
      </c>
      <c r="AA65" s="29">
        <f t="shared" si="120"/>
        <v>8</v>
      </c>
      <c r="AB65" s="29">
        <f t="shared" si="120"/>
        <v>8</v>
      </c>
      <c r="AC65" s="29">
        <f t="shared" si="120"/>
        <v>8</v>
      </c>
      <c r="AD65" s="29">
        <f t="shared" si="120"/>
        <v>8</v>
      </c>
      <c r="AE65" s="29">
        <f t="shared" si="120"/>
        <v>8</v>
      </c>
      <c r="AF65" s="29">
        <v>4</v>
      </c>
      <c r="AG65" s="29" t="str">
        <f t="shared" si="120"/>
        <v/>
      </c>
      <c r="AH65" s="29" t="str">
        <f t="shared" si="120"/>
        <v/>
      </c>
      <c r="AI65" s="29" t="str">
        <f t="shared" si="120"/>
        <v/>
      </c>
      <c r="AJ65" s="29" t="str">
        <f t="shared" si="120"/>
        <v/>
      </c>
      <c r="AK65" s="29" t="str">
        <f t="shared" si="120"/>
        <v/>
      </c>
      <c r="AL65" s="29" t="str">
        <f t="shared" si="120"/>
        <v/>
      </c>
      <c r="AM65" s="29" t="str">
        <f t="shared" ref="AM65:AS65" si="121">IF(AM$3="","",(AL65+AL66))</f>
        <v/>
      </c>
      <c r="AN65" s="29" t="str">
        <f t="shared" si="121"/>
        <v/>
      </c>
      <c r="AO65" s="29" t="str">
        <f t="shared" si="121"/>
        <v/>
      </c>
      <c r="AP65" s="29" t="str">
        <f t="shared" si="121"/>
        <v/>
      </c>
      <c r="AQ65" s="29" t="str">
        <f t="shared" si="121"/>
        <v/>
      </c>
      <c r="AR65" s="29" t="str">
        <f t="shared" si="121"/>
        <v/>
      </c>
      <c r="AS65" s="29" t="str">
        <f t="shared" si="121"/>
        <v/>
      </c>
    </row>
    <row r="66" spans="1:45">
      <c r="A66" s="14"/>
      <c r="B66" s="30" t="s">
        <v>7</v>
      </c>
      <c r="C66" s="65"/>
      <c r="D66" s="29"/>
      <c r="E66" s="29">
        <v>3</v>
      </c>
      <c r="F66" s="54"/>
      <c r="G66" s="29"/>
      <c r="H66" s="29"/>
      <c r="I66" s="54"/>
      <c r="J66" s="29"/>
      <c r="K66" s="29">
        <v>8</v>
      </c>
      <c r="L66" s="54"/>
      <c r="M66" s="29"/>
      <c r="N66" s="29"/>
      <c r="O66" s="29">
        <v>4</v>
      </c>
      <c r="P66" s="54"/>
      <c r="Q66" s="29"/>
      <c r="R66" s="29"/>
      <c r="S66" s="29"/>
      <c r="T66" s="29"/>
      <c r="U66" s="29"/>
      <c r="V66" s="29"/>
      <c r="W66" s="29"/>
      <c r="X66" s="29"/>
      <c r="Y66" s="29">
        <v>5</v>
      </c>
      <c r="Z66" s="29"/>
      <c r="AA66" s="29"/>
      <c r="AB66" s="29"/>
      <c r="AC66" s="29"/>
      <c r="AD66" s="29"/>
      <c r="AE66" s="29"/>
      <c r="AF66" s="29">
        <v>4</v>
      </c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spans="1:45">
      <c r="A67" s="7"/>
      <c r="B67" s="30" t="s">
        <v>8</v>
      </c>
      <c r="C67" s="64">
        <v>800</v>
      </c>
      <c r="D67" s="35">
        <f t="shared" ref="D67:AL67" si="122">IF(D$3="","",C67)</f>
        <v>800</v>
      </c>
      <c r="E67" s="35">
        <f t="shared" si="122"/>
        <v>800</v>
      </c>
      <c r="F67" s="128">
        <f t="shared" si="122"/>
        <v>800</v>
      </c>
      <c r="G67" s="35">
        <f t="shared" si="122"/>
        <v>800</v>
      </c>
      <c r="H67" s="35">
        <f t="shared" si="122"/>
        <v>800</v>
      </c>
      <c r="I67" s="128">
        <f t="shared" si="122"/>
        <v>800</v>
      </c>
      <c r="J67" s="35">
        <f t="shared" si="122"/>
        <v>800</v>
      </c>
      <c r="K67" s="35">
        <f t="shared" si="122"/>
        <v>800</v>
      </c>
      <c r="L67" s="128">
        <f t="shared" si="122"/>
        <v>800</v>
      </c>
      <c r="M67" s="35">
        <f t="shared" si="122"/>
        <v>800</v>
      </c>
      <c r="N67" s="35">
        <f t="shared" si="122"/>
        <v>800</v>
      </c>
      <c r="O67" s="35">
        <f t="shared" si="122"/>
        <v>800</v>
      </c>
      <c r="P67" s="128">
        <f t="shared" si="122"/>
        <v>800</v>
      </c>
      <c r="Q67" s="35">
        <f t="shared" si="122"/>
        <v>800</v>
      </c>
      <c r="R67" s="35">
        <f t="shared" si="122"/>
        <v>800</v>
      </c>
      <c r="S67" s="35">
        <f t="shared" si="122"/>
        <v>800</v>
      </c>
      <c r="T67" s="35">
        <f t="shared" si="122"/>
        <v>800</v>
      </c>
      <c r="U67" s="35">
        <f t="shared" si="122"/>
        <v>800</v>
      </c>
      <c r="V67" s="35">
        <f t="shared" si="122"/>
        <v>800</v>
      </c>
      <c r="W67" s="35">
        <f t="shared" si="122"/>
        <v>800</v>
      </c>
      <c r="X67" s="35">
        <f t="shared" si="122"/>
        <v>800</v>
      </c>
      <c r="Y67" s="35">
        <f t="shared" si="122"/>
        <v>800</v>
      </c>
      <c r="Z67" s="35">
        <f t="shared" si="122"/>
        <v>800</v>
      </c>
      <c r="AA67" s="35">
        <f t="shared" si="122"/>
        <v>800</v>
      </c>
      <c r="AB67" s="35">
        <f t="shared" si="122"/>
        <v>800</v>
      </c>
      <c r="AC67" s="35">
        <f t="shared" si="122"/>
        <v>800</v>
      </c>
      <c r="AD67" s="35">
        <f t="shared" si="122"/>
        <v>800</v>
      </c>
      <c r="AE67" s="35">
        <f t="shared" si="122"/>
        <v>800</v>
      </c>
      <c r="AF67" s="35">
        <f t="shared" si="122"/>
        <v>800</v>
      </c>
      <c r="AG67" s="35" t="str">
        <f t="shared" si="122"/>
        <v/>
      </c>
      <c r="AH67" s="35" t="str">
        <f t="shared" si="122"/>
        <v/>
      </c>
      <c r="AI67" s="35" t="str">
        <f t="shared" si="122"/>
        <v/>
      </c>
      <c r="AJ67" s="35" t="str">
        <f t="shared" si="122"/>
        <v/>
      </c>
      <c r="AK67" s="35" t="str">
        <f t="shared" si="122"/>
        <v/>
      </c>
      <c r="AL67" s="35" t="str">
        <f t="shared" si="122"/>
        <v/>
      </c>
      <c r="AM67" s="35" t="str">
        <f t="shared" ref="AM67:AS67" si="123">IF(AM$3="","",AL67)</f>
        <v/>
      </c>
      <c r="AN67" s="35" t="str">
        <f t="shared" si="123"/>
        <v/>
      </c>
      <c r="AO67" s="35" t="str">
        <f t="shared" si="123"/>
        <v/>
      </c>
      <c r="AP67" s="35" t="str">
        <f t="shared" si="123"/>
        <v/>
      </c>
      <c r="AQ67" s="35" t="str">
        <f t="shared" si="123"/>
        <v/>
      </c>
      <c r="AR67" s="35" t="str">
        <f t="shared" si="123"/>
        <v/>
      </c>
      <c r="AS67" s="35" t="str">
        <f t="shared" si="123"/>
        <v/>
      </c>
    </row>
    <row r="68" spans="1:45" s="11" customFormat="1">
      <c r="A68" s="14" t="s">
        <v>9</v>
      </c>
      <c r="B68" s="33" t="s">
        <v>10</v>
      </c>
      <c r="C68" s="63" t="s">
        <v>31</v>
      </c>
      <c r="D68" s="32" t="str">
        <f t="shared" ref="D68:AL68" si="124">IF(D$3="","",C68)</f>
        <v>柴犬たまご</v>
      </c>
      <c r="E68" s="32" t="str">
        <f t="shared" si="124"/>
        <v>柴犬たまご</v>
      </c>
      <c r="F68" s="129" t="str">
        <f t="shared" si="124"/>
        <v>柴犬たまご</v>
      </c>
      <c r="G68" s="32" t="str">
        <f t="shared" si="124"/>
        <v>柴犬たまご</v>
      </c>
      <c r="H68" s="32" t="str">
        <f t="shared" si="124"/>
        <v>柴犬たまご</v>
      </c>
      <c r="I68" s="129" t="str">
        <f t="shared" si="124"/>
        <v>柴犬たまご</v>
      </c>
      <c r="J68" s="32" t="str">
        <f t="shared" si="124"/>
        <v>柴犬たまご</v>
      </c>
      <c r="K68" s="32" t="str">
        <f t="shared" si="124"/>
        <v>柴犬たまご</v>
      </c>
      <c r="L68" s="129" t="str">
        <f t="shared" si="124"/>
        <v>柴犬たまご</v>
      </c>
      <c r="M68" s="32" t="str">
        <f t="shared" si="124"/>
        <v>柴犬たまご</v>
      </c>
      <c r="N68" s="32" t="str">
        <f t="shared" si="124"/>
        <v>柴犬たまご</v>
      </c>
      <c r="O68" s="32" t="str">
        <f t="shared" si="124"/>
        <v>柴犬たまご</v>
      </c>
      <c r="P68" s="129" t="str">
        <f t="shared" si="124"/>
        <v>柴犬たまご</v>
      </c>
      <c r="Q68" s="32" t="str">
        <f t="shared" si="124"/>
        <v>柴犬たまご</v>
      </c>
      <c r="R68" s="32" t="str">
        <f t="shared" si="124"/>
        <v>柴犬たまご</v>
      </c>
      <c r="S68" s="32" t="str">
        <f t="shared" si="124"/>
        <v>柴犬たまご</v>
      </c>
      <c r="T68" s="32" t="str">
        <f t="shared" si="124"/>
        <v>柴犬たまご</v>
      </c>
      <c r="U68" s="32" t="str">
        <f t="shared" si="124"/>
        <v>柴犬たまご</v>
      </c>
      <c r="V68" s="32" t="str">
        <f t="shared" si="124"/>
        <v>柴犬たまご</v>
      </c>
      <c r="W68" s="32" t="str">
        <f t="shared" si="124"/>
        <v>柴犬たまご</v>
      </c>
      <c r="X68" s="32" t="str">
        <f t="shared" si="124"/>
        <v>柴犬たまご</v>
      </c>
      <c r="Y68" s="32" t="str">
        <f t="shared" si="124"/>
        <v>柴犬たまご</v>
      </c>
      <c r="Z68" s="32" t="str">
        <f t="shared" si="124"/>
        <v>柴犬たまご</v>
      </c>
      <c r="AA68" s="32" t="str">
        <f t="shared" si="124"/>
        <v>柴犬たまご</v>
      </c>
      <c r="AB68" s="32" t="str">
        <f t="shared" si="124"/>
        <v>柴犬たまご</v>
      </c>
      <c r="AC68" s="32" t="str">
        <f t="shared" si="124"/>
        <v>柴犬たまご</v>
      </c>
      <c r="AD68" s="32" t="str">
        <f t="shared" si="124"/>
        <v>柴犬たまご</v>
      </c>
      <c r="AE68" s="32" t="str">
        <f t="shared" si="124"/>
        <v>柴犬たまご</v>
      </c>
      <c r="AF68" s="32" t="str">
        <f t="shared" si="124"/>
        <v>柴犬たまご</v>
      </c>
      <c r="AG68" s="32" t="str">
        <f t="shared" si="124"/>
        <v/>
      </c>
      <c r="AH68" s="32" t="str">
        <f t="shared" si="124"/>
        <v/>
      </c>
      <c r="AI68" s="32" t="str">
        <f t="shared" si="124"/>
        <v/>
      </c>
      <c r="AJ68" s="32" t="str">
        <f t="shared" si="124"/>
        <v/>
      </c>
      <c r="AK68" s="32" t="str">
        <f t="shared" si="124"/>
        <v/>
      </c>
      <c r="AL68" s="32" t="str">
        <f t="shared" si="124"/>
        <v/>
      </c>
      <c r="AM68" s="32" t="str">
        <f t="shared" ref="AM68:AS68" si="125">IF(AM$3="","",AL68)</f>
        <v/>
      </c>
      <c r="AN68" s="32" t="str">
        <f t="shared" si="125"/>
        <v/>
      </c>
      <c r="AO68" s="32" t="str">
        <f t="shared" si="125"/>
        <v/>
      </c>
      <c r="AP68" s="32" t="str">
        <f t="shared" si="125"/>
        <v/>
      </c>
      <c r="AQ68" s="32" t="str">
        <f t="shared" si="125"/>
        <v/>
      </c>
      <c r="AR68" s="32" t="str">
        <f t="shared" si="125"/>
        <v/>
      </c>
      <c r="AS68" s="32" t="str">
        <f t="shared" si="125"/>
        <v/>
      </c>
    </row>
    <row r="69" spans="1:45">
      <c r="A69" s="7">
        <f>AVERAGE(C70:AS70)*30*100</f>
        <v>23600</v>
      </c>
      <c r="B69" s="30" t="s">
        <v>14</v>
      </c>
      <c r="C69" s="65"/>
      <c r="D69" s="29"/>
      <c r="E69" s="29"/>
      <c r="F69" s="54"/>
      <c r="G69" s="29"/>
      <c r="H69" s="29"/>
      <c r="I69" s="54"/>
      <c r="J69" s="29"/>
      <c r="K69" s="29"/>
      <c r="L69" s="54"/>
      <c r="M69" s="29"/>
      <c r="N69" s="29"/>
      <c r="O69" s="29"/>
      <c r="P69" s="54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 spans="1:45">
      <c r="A70" s="7">
        <f>SUM(C70:AS70)</f>
        <v>236</v>
      </c>
      <c r="B70" s="27" t="s">
        <v>15</v>
      </c>
      <c r="C70" s="65">
        <v>0</v>
      </c>
      <c r="D70" s="26">
        <f t="shared" ref="D70:AL70" si="126">IF(D$3="","",D63-C63)</f>
        <v>0</v>
      </c>
      <c r="E70" s="26">
        <f t="shared" si="126"/>
        <v>24</v>
      </c>
      <c r="F70" s="54">
        <f t="shared" si="126"/>
        <v>0</v>
      </c>
      <c r="G70" s="26">
        <f t="shared" si="126"/>
        <v>0</v>
      </c>
      <c r="H70" s="26">
        <f t="shared" si="126"/>
        <v>14</v>
      </c>
      <c r="I70" s="54">
        <f t="shared" si="126"/>
        <v>0</v>
      </c>
      <c r="J70" s="26">
        <f t="shared" si="126"/>
        <v>0</v>
      </c>
      <c r="K70" s="26">
        <f t="shared" si="126"/>
        <v>37</v>
      </c>
      <c r="L70" s="54">
        <f t="shared" si="126"/>
        <v>0</v>
      </c>
      <c r="M70" s="26">
        <f t="shared" si="126"/>
        <v>0</v>
      </c>
      <c r="N70" s="26">
        <f t="shared" si="126"/>
        <v>0</v>
      </c>
      <c r="O70" s="26">
        <f t="shared" si="126"/>
        <v>26</v>
      </c>
      <c r="P70" s="54">
        <f t="shared" si="126"/>
        <v>0</v>
      </c>
      <c r="Q70" s="26">
        <f t="shared" si="126"/>
        <v>0</v>
      </c>
      <c r="R70" s="26">
        <f t="shared" si="126"/>
        <v>24</v>
      </c>
      <c r="S70" s="26">
        <f t="shared" si="126"/>
        <v>0</v>
      </c>
      <c r="T70" s="26">
        <f t="shared" si="126"/>
        <v>0</v>
      </c>
      <c r="U70" s="26">
        <f t="shared" si="126"/>
        <v>0</v>
      </c>
      <c r="V70" s="26">
        <f t="shared" si="126"/>
        <v>22</v>
      </c>
      <c r="W70" s="26">
        <f t="shared" si="126"/>
        <v>0</v>
      </c>
      <c r="X70" s="26">
        <f t="shared" si="126"/>
        <v>0</v>
      </c>
      <c r="Y70" s="26">
        <f t="shared" si="126"/>
        <v>42</v>
      </c>
      <c r="Z70" s="26">
        <f t="shared" si="126"/>
        <v>0</v>
      </c>
      <c r="AA70" s="26">
        <f t="shared" si="126"/>
        <v>0</v>
      </c>
      <c r="AB70" s="26">
        <f t="shared" si="126"/>
        <v>0</v>
      </c>
      <c r="AC70" s="26">
        <f t="shared" si="126"/>
        <v>18</v>
      </c>
      <c r="AD70" s="26">
        <f t="shared" si="126"/>
        <v>0</v>
      </c>
      <c r="AE70" s="26">
        <f t="shared" si="126"/>
        <v>0</v>
      </c>
      <c r="AF70" s="26">
        <f t="shared" si="126"/>
        <v>29</v>
      </c>
      <c r="AG70" s="26" t="str">
        <f t="shared" si="126"/>
        <v/>
      </c>
      <c r="AH70" s="26" t="str">
        <f t="shared" si="126"/>
        <v/>
      </c>
      <c r="AI70" s="26" t="str">
        <f t="shared" si="126"/>
        <v/>
      </c>
      <c r="AJ70" s="26" t="str">
        <f t="shared" si="126"/>
        <v/>
      </c>
      <c r="AK70" s="26" t="str">
        <f t="shared" si="126"/>
        <v/>
      </c>
      <c r="AL70" s="26" t="str">
        <f t="shared" si="126"/>
        <v/>
      </c>
      <c r="AM70" s="26" t="str">
        <f t="shared" ref="AM70:AS70" si="127">IF(AM$3="","",AM63-AL63)</f>
        <v/>
      </c>
      <c r="AN70" s="26" t="str">
        <f t="shared" si="127"/>
        <v/>
      </c>
      <c r="AO70" s="26" t="str">
        <f t="shared" si="127"/>
        <v/>
      </c>
      <c r="AP70" s="26" t="str">
        <f t="shared" si="127"/>
        <v/>
      </c>
      <c r="AQ70" s="26" t="str">
        <f t="shared" si="127"/>
        <v/>
      </c>
      <c r="AR70" s="26" t="str">
        <f t="shared" si="127"/>
        <v/>
      </c>
      <c r="AS70" s="26" t="str">
        <f t="shared" si="127"/>
        <v/>
      </c>
    </row>
    <row r="71" spans="1:45">
      <c r="A71" s="7">
        <f>SUM(C71:AS71)</f>
        <v>19</v>
      </c>
      <c r="B71" s="27" t="s">
        <v>16</v>
      </c>
      <c r="C71" s="65">
        <v>0</v>
      </c>
      <c r="D71" s="26">
        <f t="shared" ref="D71:AL71" si="128">IF(D$3="","",D64-C64)</f>
        <v>0</v>
      </c>
      <c r="E71" s="26">
        <f t="shared" si="128"/>
        <v>2</v>
      </c>
      <c r="F71" s="54">
        <f t="shared" si="128"/>
        <v>0</v>
      </c>
      <c r="G71" s="26">
        <f t="shared" si="128"/>
        <v>0</v>
      </c>
      <c r="H71" s="26">
        <f t="shared" si="128"/>
        <v>3</v>
      </c>
      <c r="I71" s="54">
        <f t="shared" si="128"/>
        <v>0</v>
      </c>
      <c r="J71" s="26">
        <f t="shared" si="128"/>
        <v>0</v>
      </c>
      <c r="K71" s="26">
        <f t="shared" si="128"/>
        <v>0</v>
      </c>
      <c r="L71" s="54">
        <f t="shared" si="128"/>
        <v>0</v>
      </c>
      <c r="M71" s="26">
        <f t="shared" si="128"/>
        <v>0</v>
      </c>
      <c r="N71" s="26">
        <f t="shared" si="128"/>
        <v>0</v>
      </c>
      <c r="O71" s="26">
        <f t="shared" si="128"/>
        <v>9</v>
      </c>
      <c r="P71" s="54">
        <f t="shared" si="128"/>
        <v>0</v>
      </c>
      <c r="Q71" s="26">
        <f t="shared" si="128"/>
        <v>0</v>
      </c>
      <c r="R71" s="26">
        <f t="shared" si="128"/>
        <v>0</v>
      </c>
      <c r="S71" s="26">
        <f t="shared" si="128"/>
        <v>0</v>
      </c>
      <c r="T71" s="26">
        <f t="shared" si="128"/>
        <v>0</v>
      </c>
      <c r="U71" s="26">
        <f t="shared" si="128"/>
        <v>0</v>
      </c>
      <c r="V71" s="26">
        <f t="shared" si="128"/>
        <v>0</v>
      </c>
      <c r="W71" s="26">
        <f t="shared" si="128"/>
        <v>0</v>
      </c>
      <c r="X71" s="26">
        <f t="shared" si="128"/>
        <v>0</v>
      </c>
      <c r="Y71" s="26">
        <f t="shared" si="128"/>
        <v>3</v>
      </c>
      <c r="Z71" s="26">
        <f t="shared" si="128"/>
        <v>0</v>
      </c>
      <c r="AA71" s="26">
        <f t="shared" si="128"/>
        <v>0</v>
      </c>
      <c r="AB71" s="26">
        <f t="shared" si="128"/>
        <v>0</v>
      </c>
      <c r="AC71" s="26">
        <f t="shared" si="128"/>
        <v>0</v>
      </c>
      <c r="AD71" s="26">
        <f t="shared" si="128"/>
        <v>0</v>
      </c>
      <c r="AE71" s="26">
        <f t="shared" si="128"/>
        <v>0</v>
      </c>
      <c r="AF71" s="26">
        <f t="shared" si="128"/>
        <v>2</v>
      </c>
      <c r="AG71" s="26" t="str">
        <f t="shared" si="128"/>
        <v/>
      </c>
      <c r="AH71" s="26" t="str">
        <f t="shared" si="128"/>
        <v/>
      </c>
      <c r="AI71" s="26" t="str">
        <f t="shared" si="128"/>
        <v/>
      </c>
      <c r="AJ71" s="26" t="str">
        <f t="shared" si="128"/>
        <v/>
      </c>
      <c r="AK71" s="26" t="str">
        <f t="shared" si="128"/>
        <v/>
      </c>
      <c r="AL71" s="26" t="str">
        <f t="shared" si="128"/>
        <v/>
      </c>
      <c r="AM71" s="26" t="str">
        <f t="shared" ref="AM71:AS71" si="129">IF(AM$3="","",AM64-AL64)</f>
        <v/>
      </c>
      <c r="AN71" s="26" t="str">
        <f t="shared" si="129"/>
        <v/>
      </c>
      <c r="AO71" s="26" t="str">
        <f t="shared" si="129"/>
        <v/>
      </c>
      <c r="AP71" s="26" t="str">
        <f t="shared" si="129"/>
        <v/>
      </c>
      <c r="AQ71" s="26" t="str">
        <f t="shared" si="129"/>
        <v/>
      </c>
      <c r="AR71" s="26" t="str">
        <f t="shared" si="129"/>
        <v/>
      </c>
      <c r="AS71" s="26" t="str">
        <f t="shared" si="129"/>
        <v/>
      </c>
    </row>
    <row r="72" spans="1:45">
      <c r="A72" s="7">
        <f>SUM(C72:AS72)</f>
        <v>23</v>
      </c>
      <c r="B72" s="27" t="s">
        <v>17</v>
      </c>
      <c r="C72" s="65">
        <v>0</v>
      </c>
      <c r="D72" s="26">
        <f t="shared" ref="D72:AL72" si="130">IF(D$3="","",C65+C66-D65)</f>
        <v>0</v>
      </c>
      <c r="E72" s="26">
        <f t="shared" si="130"/>
        <v>3</v>
      </c>
      <c r="F72" s="54">
        <f t="shared" si="130"/>
        <v>0</v>
      </c>
      <c r="G72" s="26">
        <f t="shared" si="130"/>
        <v>0</v>
      </c>
      <c r="H72" s="26">
        <f t="shared" si="130"/>
        <v>4</v>
      </c>
      <c r="I72" s="54">
        <f t="shared" si="130"/>
        <v>0</v>
      </c>
      <c r="J72" s="26">
        <f t="shared" si="130"/>
        <v>0</v>
      </c>
      <c r="K72" s="26">
        <f t="shared" si="130"/>
        <v>1</v>
      </c>
      <c r="L72" s="54">
        <f t="shared" si="130"/>
        <v>0</v>
      </c>
      <c r="M72" s="26">
        <f t="shared" si="130"/>
        <v>0</v>
      </c>
      <c r="N72" s="26">
        <f t="shared" si="130"/>
        <v>0</v>
      </c>
      <c r="O72" s="26">
        <f t="shared" si="130"/>
        <v>5</v>
      </c>
      <c r="P72" s="54">
        <f t="shared" si="130"/>
        <v>0</v>
      </c>
      <c r="Q72" s="26">
        <f t="shared" si="130"/>
        <v>0</v>
      </c>
      <c r="R72" s="26">
        <f t="shared" si="130"/>
        <v>0</v>
      </c>
      <c r="S72" s="26">
        <f t="shared" si="130"/>
        <v>0</v>
      </c>
      <c r="T72" s="26">
        <f t="shared" si="130"/>
        <v>0</v>
      </c>
      <c r="U72" s="26">
        <f t="shared" si="130"/>
        <v>0</v>
      </c>
      <c r="V72" s="26">
        <f t="shared" si="130"/>
        <v>0</v>
      </c>
      <c r="W72" s="26">
        <f t="shared" si="130"/>
        <v>0</v>
      </c>
      <c r="X72" s="26">
        <f t="shared" si="130"/>
        <v>0</v>
      </c>
      <c r="Y72" s="26">
        <f t="shared" si="130"/>
        <v>6</v>
      </c>
      <c r="Z72" s="26">
        <f t="shared" si="130"/>
        <v>0</v>
      </c>
      <c r="AA72" s="26">
        <f t="shared" si="130"/>
        <v>0</v>
      </c>
      <c r="AB72" s="26">
        <f t="shared" si="130"/>
        <v>0</v>
      </c>
      <c r="AC72" s="26">
        <f t="shared" si="130"/>
        <v>0</v>
      </c>
      <c r="AD72" s="26">
        <f t="shared" si="130"/>
        <v>0</v>
      </c>
      <c r="AE72" s="26">
        <f t="shared" si="130"/>
        <v>0</v>
      </c>
      <c r="AF72" s="26">
        <f t="shared" si="130"/>
        <v>4</v>
      </c>
      <c r="AG72" s="26" t="str">
        <f t="shared" si="130"/>
        <v/>
      </c>
      <c r="AH72" s="26" t="str">
        <f t="shared" si="130"/>
        <v/>
      </c>
      <c r="AI72" s="26" t="str">
        <f t="shared" si="130"/>
        <v/>
      </c>
      <c r="AJ72" s="26" t="str">
        <f t="shared" si="130"/>
        <v/>
      </c>
      <c r="AK72" s="26" t="str">
        <f t="shared" si="130"/>
        <v/>
      </c>
      <c r="AL72" s="26" t="str">
        <f t="shared" si="130"/>
        <v/>
      </c>
      <c r="AM72" s="26" t="str">
        <f t="shared" ref="AM72:AS72" si="131">IF(AM$3="","",AL65+AL66-AM65)</f>
        <v/>
      </c>
      <c r="AN72" s="26" t="str">
        <f t="shared" si="131"/>
        <v/>
      </c>
      <c r="AO72" s="26" t="str">
        <f t="shared" si="131"/>
        <v/>
      </c>
      <c r="AP72" s="26" t="str">
        <f t="shared" si="131"/>
        <v/>
      </c>
      <c r="AQ72" s="26" t="str">
        <f t="shared" si="131"/>
        <v/>
      </c>
      <c r="AR72" s="26" t="str">
        <f t="shared" si="131"/>
        <v/>
      </c>
      <c r="AS72" s="26" t="str">
        <f t="shared" si="131"/>
        <v/>
      </c>
    </row>
    <row r="73" spans="1:45">
      <c r="A73" s="7">
        <f>SUM(C73:AS73)</f>
        <v>18400</v>
      </c>
      <c r="B73" s="27" t="s">
        <v>18</v>
      </c>
      <c r="C73" s="65">
        <v>0</v>
      </c>
      <c r="D73" s="26">
        <f t="shared" ref="D73:AL73" si="132">IF(D$3="","",D72*D67)</f>
        <v>0</v>
      </c>
      <c r="E73" s="26">
        <f t="shared" si="132"/>
        <v>2400</v>
      </c>
      <c r="F73" s="54">
        <f t="shared" si="132"/>
        <v>0</v>
      </c>
      <c r="G73" s="26">
        <f t="shared" si="132"/>
        <v>0</v>
      </c>
      <c r="H73" s="26">
        <f t="shared" si="132"/>
        <v>3200</v>
      </c>
      <c r="I73" s="54">
        <f t="shared" si="132"/>
        <v>0</v>
      </c>
      <c r="J73" s="26">
        <f t="shared" si="132"/>
        <v>0</v>
      </c>
      <c r="K73" s="26">
        <f t="shared" si="132"/>
        <v>800</v>
      </c>
      <c r="L73" s="54">
        <f t="shared" si="132"/>
        <v>0</v>
      </c>
      <c r="M73" s="26">
        <f t="shared" si="132"/>
        <v>0</v>
      </c>
      <c r="N73" s="26">
        <f t="shared" si="132"/>
        <v>0</v>
      </c>
      <c r="O73" s="26">
        <f t="shared" si="132"/>
        <v>4000</v>
      </c>
      <c r="P73" s="54">
        <f t="shared" si="132"/>
        <v>0</v>
      </c>
      <c r="Q73" s="26">
        <f t="shared" si="132"/>
        <v>0</v>
      </c>
      <c r="R73" s="26">
        <f t="shared" si="132"/>
        <v>0</v>
      </c>
      <c r="S73" s="26">
        <f t="shared" si="132"/>
        <v>0</v>
      </c>
      <c r="T73" s="26">
        <f t="shared" si="132"/>
        <v>0</v>
      </c>
      <c r="U73" s="26">
        <f t="shared" si="132"/>
        <v>0</v>
      </c>
      <c r="V73" s="26">
        <f t="shared" si="132"/>
        <v>0</v>
      </c>
      <c r="W73" s="26">
        <f t="shared" si="132"/>
        <v>0</v>
      </c>
      <c r="X73" s="26">
        <f t="shared" si="132"/>
        <v>0</v>
      </c>
      <c r="Y73" s="26">
        <f t="shared" si="132"/>
        <v>4800</v>
      </c>
      <c r="Z73" s="26">
        <f t="shared" si="132"/>
        <v>0</v>
      </c>
      <c r="AA73" s="26">
        <f t="shared" si="132"/>
        <v>0</v>
      </c>
      <c r="AB73" s="26">
        <f t="shared" si="132"/>
        <v>0</v>
      </c>
      <c r="AC73" s="26">
        <f t="shared" si="132"/>
        <v>0</v>
      </c>
      <c r="AD73" s="26">
        <f t="shared" si="132"/>
        <v>0</v>
      </c>
      <c r="AE73" s="26">
        <f t="shared" si="132"/>
        <v>0</v>
      </c>
      <c r="AF73" s="26">
        <f t="shared" si="132"/>
        <v>3200</v>
      </c>
      <c r="AG73" s="26" t="str">
        <f t="shared" si="132"/>
        <v/>
      </c>
      <c r="AH73" s="26" t="str">
        <f t="shared" si="132"/>
        <v/>
      </c>
      <c r="AI73" s="26" t="str">
        <f t="shared" si="132"/>
        <v/>
      </c>
      <c r="AJ73" s="26" t="str">
        <f t="shared" si="132"/>
        <v/>
      </c>
      <c r="AK73" s="26" t="str">
        <f t="shared" si="132"/>
        <v/>
      </c>
      <c r="AL73" s="26" t="str">
        <f t="shared" si="132"/>
        <v/>
      </c>
      <c r="AM73" s="26" t="str">
        <f t="shared" ref="AM73:AS73" si="133">IF(AM$3="","",AM72*AM67)</f>
        <v/>
      </c>
      <c r="AN73" s="26" t="str">
        <f t="shared" si="133"/>
        <v/>
      </c>
      <c r="AO73" s="26" t="str">
        <f t="shared" si="133"/>
        <v/>
      </c>
      <c r="AP73" s="26" t="str">
        <f t="shared" si="133"/>
        <v/>
      </c>
      <c r="AQ73" s="26" t="str">
        <f t="shared" si="133"/>
        <v/>
      </c>
      <c r="AR73" s="26" t="str">
        <f t="shared" si="133"/>
        <v/>
      </c>
      <c r="AS73" s="26" t="str">
        <f t="shared" si="133"/>
        <v/>
      </c>
    </row>
    <row r="74" spans="1:45" ht="12" thickBot="1">
      <c r="A74" s="4">
        <f>IF(A73="","",A73/(A70*100))</f>
        <v>0.77966101694915257</v>
      </c>
      <c r="B74" s="27" t="s">
        <v>20</v>
      </c>
      <c r="C74" s="68" t="s">
        <v>21</v>
      </c>
      <c r="D74" s="44" t="str">
        <f t="shared" ref="D74:AL74" si="134">IF(D$3="","",IF(D73=0,"",D73/(D70*100)))</f>
        <v/>
      </c>
      <c r="E74" s="44">
        <f t="shared" si="134"/>
        <v>1</v>
      </c>
      <c r="F74" s="132" t="str">
        <f t="shared" si="134"/>
        <v/>
      </c>
      <c r="G74" s="44" t="str">
        <f t="shared" si="134"/>
        <v/>
      </c>
      <c r="H74" s="44">
        <f t="shared" si="134"/>
        <v>2.2857142857142856</v>
      </c>
      <c r="I74" s="132" t="str">
        <f t="shared" si="134"/>
        <v/>
      </c>
      <c r="J74" s="44" t="str">
        <f t="shared" si="134"/>
        <v/>
      </c>
      <c r="K74" s="44">
        <f t="shared" si="134"/>
        <v>0.21621621621621623</v>
      </c>
      <c r="L74" s="132" t="str">
        <f t="shared" si="134"/>
        <v/>
      </c>
      <c r="M74" s="44" t="str">
        <f t="shared" si="134"/>
        <v/>
      </c>
      <c r="N74" s="44" t="str">
        <f t="shared" si="134"/>
        <v/>
      </c>
      <c r="O74" s="44">
        <f t="shared" si="134"/>
        <v>1.5384615384615385</v>
      </c>
      <c r="P74" s="132" t="str">
        <f t="shared" si="134"/>
        <v/>
      </c>
      <c r="Q74" s="44" t="str">
        <f t="shared" si="134"/>
        <v/>
      </c>
      <c r="R74" s="44" t="str">
        <f t="shared" si="134"/>
        <v/>
      </c>
      <c r="S74" s="44" t="str">
        <f t="shared" si="134"/>
        <v/>
      </c>
      <c r="T74" s="44" t="str">
        <f t="shared" si="134"/>
        <v/>
      </c>
      <c r="U74" s="44" t="str">
        <f t="shared" si="134"/>
        <v/>
      </c>
      <c r="V74" s="44" t="str">
        <f t="shared" si="134"/>
        <v/>
      </c>
      <c r="W74" s="44" t="str">
        <f t="shared" si="134"/>
        <v/>
      </c>
      <c r="X74" s="44" t="str">
        <f t="shared" si="134"/>
        <v/>
      </c>
      <c r="Y74" s="44">
        <f t="shared" si="134"/>
        <v>1.1428571428571428</v>
      </c>
      <c r="Z74" s="44" t="str">
        <f t="shared" si="134"/>
        <v/>
      </c>
      <c r="AA74" s="44" t="str">
        <f t="shared" si="134"/>
        <v/>
      </c>
      <c r="AB74" s="44" t="str">
        <f t="shared" si="134"/>
        <v/>
      </c>
      <c r="AC74" s="44" t="str">
        <f t="shared" si="134"/>
        <v/>
      </c>
      <c r="AD74" s="44" t="str">
        <f t="shared" si="134"/>
        <v/>
      </c>
      <c r="AE74" s="44" t="str">
        <f t="shared" si="134"/>
        <v/>
      </c>
      <c r="AF74" s="44">
        <f t="shared" si="134"/>
        <v>1.103448275862069</v>
      </c>
      <c r="AG74" s="44" t="str">
        <f t="shared" si="134"/>
        <v/>
      </c>
      <c r="AH74" s="44" t="str">
        <f t="shared" si="134"/>
        <v/>
      </c>
      <c r="AI74" s="44" t="str">
        <f t="shared" si="134"/>
        <v/>
      </c>
      <c r="AJ74" s="44" t="str">
        <f t="shared" si="134"/>
        <v/>
      </c>
      <c r="AK74" s="44" t="str">
        <f t="shared" si="134"/>
        <v/>
      </c>
      <c r="AL74" s="44" t="str">
        <f t="shared" si="134"/>
        <v/>
      </c>
      <c r="AM74" s="44" t="str">
        <f t="shared" ref="AM74:AS74" si="135">IF(AM$3="","",IF(AM73=0,"",AM73/(AM70*100)))</f>
        <v/>
      </c>
      <c r="AN74" s="44" t="str">
        <f t="shared" si="135"/>
        <v/>
      </c>
      <c r="AO74" s="44" t="str">
        <f t="shared" si="135"/>
        <v/>
      </c>
      <c r="AP74" s="44" t="str">
        <f t="shared" si="135"/>
        <v/>
      </c>
      <c r="AQ74" s="44" t="str">
        <f t="shared" si="135"/>
        <v/>
      </c>
      <c r="AR74" s="44" t="str">
        <f t="shared" si="135"/>
        <v/>
      </c>
      <c r="AS74" s="44" t="str">
        <f t="shared" si="135"/>
        <v/>
      </c>
    </row>
    <row r="75" spans="1:45">
      <c r="A75" s="17" t="s">
        <v>1</v>
      </c>
      <c r="B75" s="42" t="s">
        <v>2</v>
      </c>
      <c r="C75" s="64">
        <v>10537</v>
      </c>
      <c r="D75" s="35">
        <f>IF(D$3="","",C75)</f>
        <v>10537</v>
      </c>
      <c r="E75" s="35">
        <v>10574</v>
      </c>
      <c r="F75" s="128">
        <f>IF(F$3="","",E75)</f>
        <v>10574</v>
      </c>
      <c r="G75" s="35">
        <f>IF(G$3="","",F75)</f>
        <v>10574</v>
      </c>
      <c r="H75" s="35">
        <v>10598</v>
      </c>
      <c r="I75" s="128">
        <f>IF(I$3="","",H75)</f>
        <v>10598</v>
      </c>
      <c r="J75" s="35">
        <f>IF(J$3="","",I75)</f>
        <v>10598</v>
      </c>
      <c r="K75" s="35">
        <v>10771</v>
      </c>
      <c r="L75" s="128">
        <f t="shared" ref="L75:N76" si="136">IF(L$3="","",K75)</f>
        <v>10771</v>
      </c>
      <c r="M75" s="35">
        <f t="shared" si="136"/>
        <v>10771</v>
      </c>
      <c r="N75" s="35">
        <f t="shared" si="136"/>
        <v>10771</v>
      </c>
      <c r="O75" s="35">
        <v>10822</v>
      </c>
      <c r="P75" s="128">
        <f>IF(P$3="","",O75)</f>
        <v>10822</v>
      </c>
      <c r="Q75" s="35">
        <f>IF(Q$3="","",P75)</f>
        <v>10822</v>
      </c>
      <c r="R75" s="35">
        <v>10903</v>
      </c>
      <c r="S75" s="35">
        <f t="shared" ref="S75:AL75" si="137">IF(S$3="","",R75)</f>
        <v>10903</v>
      </c>
      <c r="T75" s="35">
        <f t="shared" si="137"/>
        <v>10903</v>
      </c>
      <c r="U75" s="35">
        <f t="shared" si="137"/>
        <v>10903</v>
      </c>
      <c r="V75" s="35">
        <v>10941</v>
      </c>
      <c r="W75" s="35">
        <f t="shared" si="137"/>
        <v>10941</v>
      </c>
      <c r="X75" s="35">
        <f t="shared" si="137"/>
        <v>10941</v>
      </c>
      <c r="Y75" s="35">
        <v>11060</v>
      </c>
      <c r="Z75" s="35">
        <f t="shared" si="137"/>
        <v>11060</v>
      </c>
      <c r="AA75" s="35">
        <f t="shared" si="137"/>
        <v>11060</v>
      </c>
      <c r="AB75" s="35">
        <f t="shared" si="137"/>
        <v>11060</v>
      </c>
      <c r="AC75" s="35">
        <v>11120</v>
      </c>
      <c r="AD75" s="35">
        <f t="shared" si="137"/>
        <v>11120</v>
      </c>
      <c r="AE75" s="35">
        <f t="shared" si="137"/>
        <v>11120</v>
      </c>
      <c r="AF75" s="35">
        <v>11238</v>
      </c>
      <c r="AG75" s="35" t="str">
        <f t="shared" si="137"/>
        <v/>
      </c>
      <c r="AH75" s="35" t="str">
        <f t="shared" si="137"/>
        <v/>
      </c>
      <c r="AI75" s="35" t="str">
        <f t="shared" si="137"/>
        <v/>
      </c>
      <c r="AJ75" s="35" t="str">
        <f t="shared" si="137"/>
        <v/>
      </c>
      <c r="AK75" s="35" t="str">
        <f t="shared" si="137"/>
        <v/>
      </c>
      <c r="AL75" s="35" t="str">
        <f t="shared" si="137"/>
        <v/>
      </c>
      <c r="AM75" s="35" t="str">
        <f t="shared" ref="AM75:AS75" si="138">IF(AM$3="","",AL75)</f>
        <v/>
      </c>
      <c r="AN75" s="35" t="str">
        <f t="shared" si="138"/>
        <v/>
      </c>
      <c r="AO75" s="35" t="str">
        <f t="shared" si="138"/>
        <v/>
      </c>
      <c r="AP75" s="35" t="str">
        <f t="shared" si="138"/>
        <v/>
      </c>
      <c r="AQ75" s="35" t="str">
        <f t="shared" si="138"/>
        <v/>
      </c>
      <c r="AR75" s="35" t="str">
        <f t="shared" si="138"/>
        <v/>
      </c>
      <c r="AS75" s="35" t="str">
        <f t="shared" si="138"/>
        <v/>
      </c>
    </row>
    <row r="76" spans="1:45">
      <c r="A76" s="16" t="s">
        <v>30</v>
      </c>
      <c r="B76" s="30" t="s">
        <v>4</v>
      </c>
      <c r="C76" s="65">
        <v>660</v>
      </c>
      <c r="D76" s="29">
        <f>IF(D$3="","",C76)</f>
        <v>660</v>
      </c>
      <c r="E76" s="29">
        <v>661</v>
      </c>
      <c r="F76" s="54">
        <f>IF(F$3="","",E76)</f>
        <v>661</v>
      </c>
      <c r="G76" s="29">
        <f>IF(G$3="","",F76)</f>
        <v>661</v>
      </c>
      <c r="H76" s="29">
        <f>IF(H$3="","",G76)</f>
        <v>661</v>
      </c>
      <c r="I76" s="54">
        <f>IF(I$3="","",H76)</f>
        <v>661</v>
      </c>
      <c r="J76" s="29">
        <f>IF(J$3="","",I76)</f>
        <v>661</v>
      </c>
      <c r="K76" s="29">
        <v>665</v>
      </c>
      <c r="L76" s="54">
        <f t="shared" si="136"/>
        <v>665</v>
      </c>
      <c r="M76" s="29">
        <f t="shared" si="136"/>
        <v>665</v>
      </c>
      <c r="N76" s="29">
        <f t="shared" si="136"/>
        <v>665</v>
      </c>
      <c r="O76" s="29">
        <v>666</v>
      </c>
      <c r="P76" s="54">
        <f>IF(P$3="","",O76)</f>
        <v>666</v>
      </c>
      <c r="Q76" s="29">
        <f>IF(Q$3="","",P76)</f>
        <v>666</v>
      </c>
      <c r="R76" s="29">
        <v>667</v>
      </c>
      <c r="S76" s="29">
        <f t="shared" ref="S76:AL76" si="139">IF(S$3="","",R76)</f>
        <v>667</v>
      </c>
      <c r="T76" s="29">
        <f t="shared" si="139"/>
        <v>667</v>
      </c>
      <c r="U76" s="29">
        <f t="shared" si="139"/>
        <v>667</v>
      </c>
      <c r="V76" s="29">
        <f t="shared" si="139"/>
        <v>667</v>
      </c>
      <c r="W76" s="29">
        <f t="shared" si="139"/>
        <v>667</v>
      </c>
      <c r="X76" s="29">
        <f t="shared" si="139"/>
        <v>667</v>
      </c>
      <c r="Y76" s="29">
        <f t="shared" si="139"/>
        <v>667</v>
      </c>
      <c r="Z76" s="29">
        <f t="shared" si="139"/>
        <v>667</v>
      </c>
      <c r="AA76" s="29">
        <f t="shared" si="139"/>
        <v>667</v>
      </c>
      <c r="AB76" s="29">
        <f t="shared" si="139"/>
        <v>667</v>
      </c>
      <c r="AC76" s="29">
        <f t="shared" si="139"/>
        <v>667</v>
      </c>
      <c r="AD76" s="29">
        <f t="shared" si="139"/>
        <v>667</v>
      </c>
      <c r="AE76" s="29">
        <f t="shared" si="139"/>
        <v>667</v>
      </c>
      <c r="AF76" s="29">
        <v>668</v>
      </c>
      <c r="AG76" s="29" t="str">
        <f t="shared" si="139"/>
        <v/>
      </c>
      <c r="AH76" s="29" t="str">
        <f t="shared" si="139"/>
        <v/>
      </c>
      <c r="AI76" s="29" t="str">
        <f t="shared" si="139"/>
        <v/>
      </c>
      <c r="AJ76" s="29" t="str">
        <f t="shared" si="139"/>
        <v/>
      </c>
      <c r="AK76" s="29" t="str">
        <f t="shared" si="139"/>
        <v/>
      </c>
      <c r="AL76" s="29" t="str">
        <f t="shared" si="139"/>
        <v/>
      </c>
      <c r="AM76" s="29" t="str">
        <f t="shared" ref="AM76:AS76" si="140">IF(AM$3="","",AL76)</f>
        <v/>
      </c>
      <c r="AN76" s="29" t="str">
        <f t="shared" si="140"/>
        <v/>
      </c>
      <c r="AO76" s="29" t="str">
        <f t="shared" si="140"/>
        <v/>
      </c>
      <c r="AP76" s="29" t="str">
        <f t="shared" si="140"/>
        <v/>
      </c>
      <c r="AQ76" s="29" t="str">
        <f t="shared" si="140"/>
        <v/>
      </c>
      <c r="AR76" s="29" t="str">
        <f t="shared" si="140"/>
        <v/>
      </c>
      <c r="AS76" s="29" t="str">
        <f t="shared" si="140"/>
        <v/>
      </c>
    </row>
    <row r="77" spans="1:45">
      <c r="A77" s="15">
        <v>3</v>
      </c>
      <c r="B77" s="30" t="s">
        <v>5</v>
      </c>
      <c r="C77" s="65">
        <v>28</v>
      </c>
      <c r="D77" s="29">
        <f>IF(D$3="","",(C77+C78))</f>
        <v>28</v>
      </c>
      <c r="E77" s="29">
        <v>27</v>
      </c>
      <c r="F77" s="54">
        <f>IF(F$3="","",(E77+E78))</f>
        <v>30</v>
      </c>
      <c r="G77" s="29">
        <f>IF(G$3="","",(F77+F78))</f>
        <v>30</v>
      </c>
      <c r="H77" s="29">
        <f>IF(H$3="","",(G77+G78))</f>
        <v>30</v>
      </c>
      <c r="I77" s="54">
        <f>IF(I$3="","",(H77+H78))</f>
        <v>4</v>
      </c>
      <c r="J77" s="29">
        <f>IF(J$3="","",(I77+I78))</f>
        <v>4</v>
      </c>
      <c r="K77" s="29">
        <v>1</v>
      </c>
      <c r="L77" s="54">
        <f>IF(L$3="","",(K77+K78))</f>
        <v>3</v>
      </c>
      <c r="M77" s="29">
        <f>IF(M$3="","",(L77+L78))</f>
        <v>3</v>
      </c>
      <c r="N77" s="29">
        <f>IF(N$3="","",(M77+M78))</f>
        <v>3</v>
      </c>
      <c r="O77" s="29">
        <v>2</v>
      </c>
      <c r="P77" s="54">
        <f>IF(P$3="","",(O77+O78))</f>
        <v>2</v>
      </c>
      <c r="Q77" s="29">
        <f>IF(Q$3="","",(P77+P78))</f>
        <v>2</v>
      </c>
      <c r="R77" s="29">
        <v>1</v>
      </c>
      <c r="S77" s="29">
        <f t="shared" ref="S77:AL77" si="141">IF(S$3="","",(R77+R78))</f>
        <v>3</v>
      </c>
      <c r="T77" s="29">
        <f t="shared" si="141"/>
        <v>3</v>
      </c>
      <c r="U77" s="29">
        <f t="shared" si="141"/>
        <v>3</v>
      </c>
      <c r="V77" s="29">
        <f t="shared" si="141"/>
        <v>3</v>
      </c>
      <c r="W77" s="29">
        <f t="shared" si="141"/>
        <v>3</v>
      </c>
      <c r="X77" s="29">
        <f t="shared" si="141"/>
        <v>3</v>
      </c>
      <c r="Y77" s="29">
        <f t="shared" si="141"/>
        <v>3</v>
      </c>
      <c r="Z77" s="29">
        <f t="shared" si="141"/>
        <v>3</v>
      </c>
      <c r="AA77" s="29">
        <f t="shared" si="141"/>
        <v>3</v>
      </c>
      <c r="AB77" s="29">
        <f t="shared" si="141"/>
        <v>3</v>
      </c>
      <c r="AC77" s="29">
        <f t="shared" si="141"/>
        <v>3</v>
      </c>
      <c r="AD77" s="29">
        <f t="shared" si="141"/>
        <v>3</v>
      </c>
      <c r="AE77" s="29">
        <f t="shared" si="141"/>
        <v>3</v>
      </c>
      <c r="AF77" s="29">
        <v>0</v>
      </c>
      <c r="AG77" s="29" t="str">
        <f t="shared" si="141"/>
        <v/>
      </c>
      <c r="AH77" s="29" t="str">
        <f t="shared" si="141"/>
        <v/>
      </c>
      <c r="AI77" s="29" t="str">
        <f t="shared" si="141"/>
        <v/>
      </c>
      <c r="AJ77" s="29" t="str">
        <f t="shared" si="141"/>
        <v/>
      </c>
      <c r="AK77" s="29" t="str">
        <f t="shared" si="141"/>
        <v/>
      </c>
      <c r="AL77" s="29" t="str">
        <f t="shared" si="141"/>
        <v/>
      </c>
      <c r="AM77" s="29" t="str">
        <f t="shared" ref="AM77:AS77" si="142">IF(AM$3="","",(AL77+AL78))</f>
        <v/>
      </c>
      <c r="AN77" s="29" t="str">
        <f t="shared" si="142"/>
        <v/>
      </c>
      <c r="AO77" s="29" t="str">
        <f t="shared" si="142"/>
        <v/>
      </c>
      <c r="AP77" s="29" t="str">
        <f t="shared" si="142"/>
        <v/>
      </c>
      <c r="AQ77" s="29" t="str">
        <f t="shared" si="142"/>
        <v/>
      </c>
      <c r="AR77" s="29" t="str">
        <f t="shared" si="142"/>
        <v/>
      </c>
      <c r="AS77" s="29" t="str">
        <f t="shared" si="142"/>
        <v/>
      </c>
    </row>
    <row r="78" spans="1:45">
      <c r="A78" s="14"/>
      <c r="B78" s="30" t="s">
        <v>7</v>
      </c>
      <c r="C78" s="65"/>
      <c r="D78" s="29"/>
      <c r="E78" s="29">
        <v>3</v>
      </c>
      <c r="F78" s="54"/>
      <c r="G78" s="29"/>
      <c r="H78" s="29">
        <v>-26</v>
      </c>
      <c r="I78" s="54"/>
      <c r="J78" s="29"/>
      <c r="K78" s="29">
        <v>2</v>
      </c>
      <c r="L78" s="54"/>
      <c r="M78" s="29"/>
      <c r="N78" s="29"/>
      <c r="O78" s="29"/>
      <c r="P78" s="54"/>
      <c r="Q78" s="29"/>
      <c r="R78" s="29">
        <v>2</v>
      </c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>
        <v>72</v>
      </c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 spans="1:45">
      <c r="A79" s="7"/>
      <c r="B79" s="30" t="s">
        <v>8</v>
      </c>
      <c r="C79" s="64">
        <v>150</v>
      </c>
      <c r="D79" s="35">
        <f t="shared" ref="D79:AL79" si="143">IF(D$3="","",C79)</f>
        <v>150</v>
      </c>
      <c r="E79" s="35">
        <f t="shared" si="143"/>
        <v>150</v>
      </c>
      <c r="F79" s="128">
        <f t="shared" si="143"/>
        <v>150</v>
      </c>
      <c r="G79" s="35">
        <f t="shared" si="143"/>
        <v>150</v>
      </c>
      <c r="H79" s="35">
        <f t="shared" si="143"/>
        <v>150</v>
      </c>
      <c r="I79" s="128">
        <f t="shared" si="143"/>
        <v>150</v>
      </c>
      <c r="J79" s="35">
        <f t="shared" si="143"/>
        <v>150</v>
      </c>
      <c r="K79" s="35">
        <f t="shared" si="143"/>
        <v>150</v>
      </c>
      <c r="L79" s="128">
        <f t="shared" si="143"/>
        <v>150</v>
      </c>
      <c r="M79" s="35">
        <f t="shared" si="143"/>
        <v>150</v>
      </c>
      <c r="N79" s="35">
        <f t="shared" si="143"/>
        <v>150</v>
      </c>
      <c r="O79" s="35">
        <f t="shared" si="143"/>
        <v>150</v>
      </c>
      <c r="P79" s="128">
        <f t="shared" si="143"/>
        <v>150</v>
      </c>
      <c r="Q79" s="35">
        <f t="shared" si="143"/>
        <v>150</v>
      </c>
      <c r="R79" s="35">
        <f t="shared" si="143"/>
        <v>150</v>
      </c>
      <c r="S79" s="35">
        <f t="shared" si="143"/>
        <v>150</v>
      </c>
      <c r="T79" s="35">
        <f t="shared" si="143"/>
        <v>150</v>
      </c>
      <c r="U79" s="35">
        <f t="shared" si="143"/>
        <v>150</v>
      </c>
      <c r="V79" s="35">
        <f t="shared" si="143"/>
        <v>150</v>
      </c>
      <c r="W79" s="35">
        <f t="shared" si="143"/>
        <v>150</v>
      </c>
      <c r="X79" s="35">
        <f t="shared" si="143"/>
        <v>150</v>
      </c>
      <c r="Y79" s="35">
        <f t="shared" si="143"/>
        <v>150</v>
      </c>
      <c r="Z79" s="35">
        <f t="shared" si="143"/>
        <v>150</v>
      </c>
      <c r="AA79" s="35">
        <f t="shared" si="143"/>
        <v>150</v>
      </c>
      <c r="AB79" s="35">
        <f t="shared" si="143"/>
        <v>150</v>
      </c>
      <c r="AC79" s="35">
        <f t="shared" si="143"/>
        <v>150</v>
      </c>
      <c r="AD79" s="35">
        <f t="shared" si="143"/>
        <v>150</v>
      </c>
      <c r="AE79" s="35">
        <f t="shared" si="143"/>
        <v>150</v>
      </c>
      <c r="AF79" s="35">
        <f t="shared" si="143"/>
        <v>150</v>
      </c>
      <c r="AG79" s="35" t="str">
        <f t="shared" si="143"/>
        <v/>
      </c>
      <c r="AH79" s="35" t="str">
        <f t="shared" si="143"/>
        <v/>
      </c>
      <c r="AI79" s="35" t="str">
        <f t="shared" si="143"/>
        <v/>
      </c>
      <c r="AJ79" s="35" t="str">
        <f t="shared" si="143"/>
        <v/>
      </c>
      <c r="AK79" s="35" t="str">
        <f t="shared" si="143"/>
        <v/>
      </c>
      <c r="AL79" s="35" t="str">
        <f t="shared" si="143"/>
        <v/>
      </c>
      <c r="AM79" s="35" t="str">
        <f t="shared" ref="AM79:AS79" si="144">IF(AM$3="","",AL79)</f>
        <v/>
      </c>
      <c r="AN79" s="35" t="str">
        <f t="shared" si="144"/>
        <v/>
      </c>
      <c r="AO79" s="35" t="str">
        <f t="shared" si="144"/>
        <v/>
      </c>
      <c r="AP79" s="35" t="str">
        <f t="shared" si="144"/>
        <v/>
      </c>
      <c r="AQ79" s="35" t="str">
        <f t="shared" si="144"/>
        <v/>
      </c>
      <c r="AR79" s="35" t="str">
        <f t="shared" si="144"/>
        <v/>
      </c>
      <c r="AS79" s="35" t="str">
        <f t="shared" si="144"/>
        <v/>
      </c>
    </row>
    <row r="80" spans="1:45" s="11" customFormat="1">
      <c r="A80" s="14" t="s">
        <v>9</v>
      </c>
      <c r="B80" s="33" t="s">
        <v>10</v>
      </c>
      <c r="C80" s="63" t="s">
        <v>32</v>
      </c>
      <c r="D80" s="32" t="str">
        <f>IF(D$3="","",C80)</f>
        <v>ラブブKH</v>
      </c>
      <c r="E80" s="32" t="str">
        <f>IF(E$3="","",D80)</f>
        <v>ラブブKH</v>
      </c>
      <c r="F80" s="129" t="str">
        <f>IF(F$3="","",E80)</f>
        <v>ラブブKH</v>
      </c>
      <c r="G80" s="32" t="str">
        <f>IF(G$3="","",F80)</f>
        <v>ラブブKH</v>
      </c>
      <c r="H80" s="32" t="s">
        <v>33</v>
      </c>
      <c r="I80" s="129" t="str">
        <f t="shared" ref="I80:AL80" si="145">IF(I$3="","",H80)</f>
        <v>パステルケーキ</v>
      </c>
      <c r="J80" s="32" t="str">
        <f t="shared" si="145"/>
        <v>パステルケーキ</v>
      </c>
      <c r="K80" s="32" t="str">
        <f t="shared" si="145"/>
        <v>パステルケーキ</v>
      </c>
      <c r="L80" s="129" t="str">
        <f t="shared" si="145"/>
        <v>パステルケーキ</v>
      </c>
      <c r="M80" s="32" t="str">
        <f t="shared" si="145"/>
        <v>パステルケーキ</v>
      </c>
      <c r="N80" s="32" t="str">
        <f t="shared" si="145"/>
        <v>パステルケーキ</v>
      </c>
      <c r="O80" s="32" t="str">
        <f t="shared" si="145"/>
        <v>パステルケーキ</v>
      </c>
      <c r="P80" s="129" t="str">
        <f t="shared" si="145"/>
        <v>パステルケーキ</v>
      </c>
      <c r="Q80" s="32" t="str">
        <f t="shared" si="145"/>
        <v>パステルケーキ</v>
      </c>
      <c r="R80" s="32" t="str">
        <f t="shared" si="145"/>
        <v>パステルケーキ</v>
      </c>
      <c r="S80" s="32" t="str">
        <f t="shared" si="145"/>
        <v>パステルケーキ</v>
      </c>
      <c r="T80" s="32" t="str">
        <f t="shared" si="145"/>
        <v>パステルケーキ</v>
      </c>
      <c r="U80" s="32" t="str">
        <f t="shared" si="145"/>
        <v>パステルケーキ</v>
      </c>
      <c r="V80" s="32" t="str">
        <f t="shared" si="145"/>
        <v>パステルケーキ</v>
      </c>
      <c r="W80" s="32" t="str">
        <f t="shared" si="145"/>
        <v>パステルケーキ</v>
      </c>
      <c r="X80" s="32" t="str">
        <f t="shared" si="145"/>
        <v>パステルケーキ</v>
      </c>
      <c r="Y80" s="32" t="str">
        <f t="shared" si="145"/>
        <v>パステルケーキ</v>
      </c>
      <c r="Z80" s="32" t="str">
        <f t="shared" si="145"/>
        <v>パステルケーキ</v>
      </c>
      <c r="AA80" s="32" t="str">
        <f t="shared" si="145"/>
        <v>パステルケーキ</v>
      </c>
      <c r="AB80" s="32" t="str">
        <f t="shared" si="145"/>
        <v>パステルケーキ</v>
      </c>
      <c r="AC80" s="32" t="str">
        <f t="shared" si="145"/>
        <v>パステルケーキ</v>
      </c>
      <c r="AD80" s="32" t="str">
        <f t="shared" si="145"/>
        <v>パステルケーキ</v>
      </c>
      <c r="AE80" s="32" t="str">
        <f t="shared" si="145"/>
        <v>パステルケーキ</v>
      </c>
      <c r="AF80" s="32" t="s">
        <v>414</v>
      </c>
      <c r="AG80" s="32" t="str">
        <f t="shared" si="145"/>
        <v/>
      </c>
      <c r="AH80" s="32" t="str">
        <f t="shared" si="145"/>
        <v/>
      </c>
      <c r="AI80" s="32" t="str">
        <f t="shared" si="145"/>
        <v/>
      </c>
      <c r="AJ80" s="32" t="str">
        <f t="shared" si="145"/>
        <v/>
      </c>
      <c r="AK80" s="32" t="str">
        <f t="shared" si="145"/>
        <v/>
      </c>
      <c r="AL80" s="32" t="str">
        <f t="shared" si="145"/>
        <v/>
      </c>
      <c r="AM80" s="32" t="str">
        <f t="shared" ref="AM80:AS80" si="146">IF(AM$3="","",AL80)</f>
        <v/>
      </c>
      <c r="AN80" s="32" t="str">
        <f t="shared" si="146"/>
        <v/>
      </c>
      <c r="AO80" s="32" t="str">
        <f t="shared" si="146"/>
        <v/>
      </c>
      <c r="AP80" s="32" t="str">
        <f t="shared" si="146"/>
        <v/>
      </c>
      <c r="AQ80" s="32" t="str">
        <f t="shared" si="146"/>
        <v/>
      </c>
      <c r="AR80" s="32" t="str">
        <f t="shared" si="146"/>
        <v/>
      </c>
      <c r="AS80" s="32" t="str">
        <f t="shared" si="146"/>
        <v/>
      </c>
    </row>
    <row r="81" spans="1:45">
      <c r="A81" s="7">
        <f>AVERAGE(C82:AS82)*30*100</f>
        <v>70100</v>
      </c>
      <c r="B81" s="30" t="s">
        <v>14</v>
      </c>
      <c r="C81" s="65"/>
      <c r="D81" s="29"/>
      <c r="E81" s="29"/>
      <c r="F81" s="54"/>
      <c r="G81" s="29"/>
      <c r="H81" s="29"/>
      <c r="I81" s="54"/>
      <c r="J81" s="29"/>
      <c r="K81" s="29"/>
      <c r="L81" s="54"/>
      <c r="M81" s="29"/>
      <c r="N81" s="29"/>
      <c r="O81" s="29"/>
      <c r="P81" s="54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 spans="1:45">
      <c r="A82" s="7">
        <f>SUM(C82:AS82)</f>
        <v>701</v>
      </c>
      <c r="B82" s="27" t="s">
        <v>15</v>
      </c>
      <c r="C82" s="65">
        <v>0</v>
      </c>
      <c r="D82" s="26">
        <f t="shared" ref="D82:AL82" si="147">IF(D$3="","",D75-C75)</f>
        <v>0</v>
      </c>
      <c r="E82" s="26">
        <f t="shared" si="147"/>
        <v>37</v>
      </c>
      <c r="F82" s="54">
        <f t="shared" si="147"/>
        <v>0</v>
      </c>
      <c r="G82" s="26">
        <f t="shared" si="147"/>
        <v>0</v>
      </c>
      <c r="H82" s="26">
        <f t="shared" si="147"/>
        <v>24</v>
      </c>
      <c r="I82" s="54">
        <f t="shared" si="147"/>
        <v>0</v>
      </c>
      <c r="J82" s="26">
        <f t="shared" si="147"/>
        <v>0</v>
      </c>
      <c r="K82" s="26">
        <f t="shared" si="147"/>
        <v>173</v>
      </c>
      <c r="L82" s="54">
        <f t="shared" si="147"/>
        <v>0</v>
      </c>
      <c r="M82" s="26">
        <f t="shared" si="147"/>
        <v>0</v>
      </c>
      <c r="N82" s="26">
        <f t="shared" si="147"/>
        <v>0</v>
      </c>
      <c r="O82" s="26">
        <f t="shared" si="147"/>
        <v>51</v>
      </c>
      <c r="P82" s="54">
        <f t="shared" si="147"/>
        <v>0</v>
      </c>
      <c r="Q82" s="26">
        <f t="shared" si="147"/>
        <v>0</v>
      </c>
      <c r="R82" s="26">
        <f t="shared" si="147"/>
        <v>81</v>
      </c>
      <c r="S82" s="26">
        <f t="shared" si="147"/>
        <v>0</v>
      </c>
      <c r="T82" s="26">
        <f t="shared" si="147"/>
        <v>0</v>
      </c>
      <c r="U82" s="26">
        <f t="shared" si="147"/>
        <v>0</v>
      </c>
      <c r="V82" s="26">
        <f t="shared" si="147"/>
        <v>38</v>
      </c>
      <c r="W82" s="26">
        <f t="shared" si="147"/>
        <v>0</v>
      </c>
      <c r="X82" s="26">
        <f t="shared" si="147"/>
        <v>0</v>
      </c>
      <c r="Y82" s="26">
        <f t="shared" si="147"/>
        <v>119</v>
      </c>
      <c r="Z82" s="26">
        <f t="shared" si="147"/>
        <v>0</v>
      </c>
      <c r="AA82" s="26">
        <f t="shared" si="147"/>
        <v>0</v>
      </c>
      <c r="AB82" s="26">
        <f t="shared" si="147"/>
        <v>0</v>
      </c>
      <c r="AC82" s="26">
        <f t="shared" si="147"/>
        <v>60</v>
      </c>
      <c r="AD82" s="26">
        <f t="shared" si="147"/>
        <v>0</v>
      </c>
      <c r="AE82" s="26">
        <f t="shared" si="147"/>
        <v>0</v>
      </c>
      <c r="AF82" s="26">
        <f t="shared" si="147"/>
        <v>118</v>
      </c>
      <c r="AG82" s="26" t="str">
        <f t="shared" si="147"/>
        <v/>
      </c>
      <c r="AH82" s="26" t="str">
        <f t="shared" si="147"/>
        <v/>
      </c>
      <c r="AI82" s="26" t="str">
        <f t="shared" si="147"/>
        <v/>
      </c>
      <c r="AJ82" s="26" t="str">
        <f t="shared" si="147"/>
        <v/>
      </c>
      <c r="AK82" s="26" t="str">
        <f t="shared" si="147"/>
        <v/>
      </c>
      <c r="AL82" s="26" t="str">
        <f t="shared" si="147"/>
        <v/>
      </c>
      <c r="AM82" s="26" t="str">
        <f t="shared" ref="AM82:AS82" si="148">IF(AM$3="","",AM75-AL75)</f>
        <v/>
      </c>
      <c r="AN82" s="26" t="str">
        <f t="shared" si="148"/>
        <v/>
      </c>
      <c r="AO82" s="26" t="str">
        <f t="shared" si="148"/>
        <v/>
      </c>
      <c r="AP82" s="26" t="str">
        <f t="shared" si="148"/>
        <v/>
      </c>
      <c r="AQ82" s="26" t="str">
        <f t="shared" si="148"/>
        <v/>
      </c>
      <c r="AR82" s="26" t="str">
        <f t="shared" si="148"/>
        <v/>
      </c>
      <c r="AS82" s="26" t="str">
        <f t="shared" si="148"/>
        <v/>
      </c>
    </row>
    <row r="83" spans="1:45">
      <c r="A83" s="7">
        <f>SUM(C83:AS83)</f>
        <v>8</v>
      </c>
      <c r="B83" s="27" t="s">
        <v>16</v>
      </c>
      <c r="C83" s="65">
        <v>0</v>
      </c>
      <c r="D83" s="26">
        <f t="shared" ref="D83:AL83" si="149">IF(D$3="","",D76-C76)</f>
        <v>0</v>
      </c>
      <c r="E83" s="26">
        <f t="shared" si="149"/>
        <v>1</v>
      </c>
      <c r="F83" s="54">
        <f t="shared" si="149"/>
        <v>0</v>
      </c>
      <c r="G83" s="26">
        <f t="shared" si="149"/>
        <v>0</v>
      </c>
      <c r="H83" s="26">
        <f t="shared" si="149"/>
        <v>0</v>
      </c>
      <c r="I83" s="54">
        <f t="shared" si="149"/>
        <v>0</v>
      </c>
      <c r="J83" s="26">
        <f t="shared" si="149"/>
        <v>0</v>
      </c>
      <c r="K83" s="26">
        <f t="shared" si="149"/>
        <v>4</v>
      </c>
      <c r="L83" s="54">
        <f t="shared" si="149"/>
        <v>0</v>
      </c>
      <c r="M83" s="26">
        <f t="shared" si="149"/>
        <v>0</v>
      </c>
      <c r="N83" s="26">
        <f t="shared" si="149"/>
        <v>0</v>
      </c>
      <c r="O83" s="26">
        <f t="shared" si="149"/>
        <v>1</v>
      </c>
      <c r="P83" s="54">
        <f t="shared" si="149"/>
        <v>0</v>
      </c>
      <c r="Q83" s="26">
        <f t="shared" si="149"/>
        <v>0</v>
      </c>
      <c r="R83" s="26">
        <f t="shared" si="149"/>
        <v>1</v>
      </c>
      <c r="S83" s="26">
        <f t="shared" si="149"/>
        <v>0</v>
      </c>
      <c r="T83" s="26">
        <f t="shared" si="149"/>
        <v>0</v>
      </c>
      <c r="U83" s="26">
        <f t="shared" si="149"/>
        <v>0</v>
      </c>
      <c r="V83" s="26">
        <f t="shared" si="149"/>
        <v>0</v>
      </c>
      <c r="W83" s="26">
        <f t="shared" si="149"/>
        <v>0</v>
      </c>
      <c r="X83" s="26">
        <f t="shared" si="149"/>
        <v>0</v>
      </c>
      <c r="Y83" s="26">
        <f t="shared" si="149"/>
        <v>0</v>
      </c>
      <c r="Z83" s="26">
        <f t="shared" si="149"/>
        <v>0</v>
      </c>
      <c r="AA83" s="26">
        <f t="shared" si="149"/>
        <v>0</v>
      </c>
      <c r="AB83" s="26">
        <f t="shared" si="149"/>
        <v>0</v>
      </c>
      <c r="AC83" s="26">
        <f t="shared" si="149"/>
        <v>0</v>
      </c>
      <c r="AD83" s="26">
        <f t="shared" si="149"/>
        <v>0</v>
      </c>
      <c r="AE83" s="26">
        <f t="shared" si="149"/>
        <v>0</v>
      </c>
      <c r="AF83" s="26">
        <f t="shared" si="149"/>
        <v>1</v>
      </c>
      <c r="AG83" s="26" t="str">
        <f t="shared" si="149"/>
        <v/>
      </c>
      <c r="AH83" s="26" t="str">
        <f t="shared" si="149"/>
        <v/>
      </c>
      <c r="AI83" s="26" t="str">
        <f t="shared" si="149"/>
        <v/>
      </c>
      <c r="AJ83" s="26" t="str">
        <f t="shared" si="149"/>
        <v/>
      </c>
      <c r="AK83" s="26" t="str">
        <f t="shared" si="149"/>
        <v/>
      </c>
      <c r="AL83" s="26" t="str">
        <f t="shared" si="149"/>
        <v/>
      </c>
      <c r="AM83" s="26" t="str">
        <f t="shared" ref="AM83:AS83" si="150">IF(AM$3="","",AM76-AL76)</f>
        <v/>
      </c>
      <c r="AN83" s="26" t="str">
        <f t="shared" si="150"/>
        <v/>
      </c>
      <c r="AO83" s="26" t="str">
        <f t="shared" si="150"/>
        <v/>
      </c>
      <c r="AP83" s="26" t="str">
        <f t="shared" si="150"/>
        <v/>
      </c>
      <c r="AQ83" s="26" t="str">
        <f t="shared" si="150"/>
        <v/>
      </c>
      <c r="AR83" s="26" t="str">
        <f t="shared" si="150"/>
        <v/>
      </c>
      <c r="AS83" s="26" t="str">
        <f t="shared" si="150"/>
        <v/>
      </c>
    </row>
    <row r="84" spans="1:45">
      <c r="A84" s="7">
        <f>SUM(C84:AS84)</f>
        <v>9</v>
      </c>
      <c r="B84" s="27" t="s">
        <v>17</v>
      </c>
      <c r="C84" s="65">
        <v>0</v>
      </c>
      <c r="D84" s="26">
        <f t="shared" ref="D84:AL84" si="151">IF(D$3="","",C77+C78-D77)</f>
        <v>0</v>
      </c>
      <c r="E84" s="26">
        <f t="shared" si="151"/>
        <v>1</v>
      </c>
      <c r="F84" s="54">
        <f t="shared" si="151"/>
        <v>0</v>
      </c>
      <c r="G84" s="26">
        <f t="shared" si="151"/>
        <v>0</v>
      </c>
      <c r="H84" s="26">
        <f t="shared" si="151"/>
        <v>0</v>
      </c>
      <c r="I84" s="54">
        <f t="shared" si="151"/>
        <v>0</v>
      </c>
      <c r="J84" s="26">
        <f t="shared" si="151"/>
        <v>0</v>
      </c>
      <c r="K84" s="26">
        <f t="shared" si="151"/>
        <v>3</v>
      </c>
      <c r="L84" s="54">
        <f t="shared" si="151"/>
        <v>0</v>
      </c>
      <c r="M84" s="26">
        <f t="shared" si="151"/>
        <v>0</v>
      </c>
      <c r="N84" s="26">
        <f t="shared" si="151"/>
        <v>0</v>
      </c>
      <c r="O84" s="26">
        <f t="shared" si="151"/>
        <v>1</v>
      </c>
      <c r="P84" s="54">
        <f t="shared" si="151"/>
        <v>0</v>
      </c>
      <c r="Q84" s="26">
        <f t="shared" si="151"/>
        <v>0</v>
      </c>
      <c r="R84" s="26">
        <f t="shared" si="151"/>
        <v>1</v>
      </c>
      <c r="S84" s="26">
        <f t="shared" si="151"/>
        <v>0</v>
      </c>
      <c r="T84" s="26">
        <f t="shared" si="151"/>
        <v>0</v>
      </c>
      <c r="U84" s="26">
        <f t="shared" si="151"/>
        <v>0</v>
      </c>
      <c r="V84" s="26">
        <f t="shared" si="151"/>
        <v>0</v>
      </c>
      <c r="W84" s="26">
        <f t="shared" si="151"/>
        <v>0</v>
      </c>
      <c r="X84" s="26">
        <f t="shared" si="151"/>
        <v>0</v>
      </c>
      <c r="Y84" s="26">
        <f t="shared" si="151"/>
        <v>0</v>
      </c>
      <c r="Z84" s="26">
        <f t="shared" si="151"/>
        <v>0</v>
      </c>
      <c r="AA84" s="26">
        <f t="shared" si="151"/>
        <v>0</v>
      </c>
      <c r="AB84" s="26">
        <f t="shared" si="151"/>
        <v>0</v>
      </c>
      <c r="AC84" s="26">
        <f t="shared" si="151"/>
        <v>0</v>
      </c>
      <c r="AD84" s="26">
        <f t="shared" si="151"/>
        <v>0</v>
      </c>
      <c r="AE84" s="26">
        <f t="shared" si="151"/>
        <v>0</v>
      </c>
      <c r="AF84" s="26">
        <f t="shared" si="151"/>
        <v>3</v>
      </c>
      <c r="AG84" s="26" t="str">
        <f t="shared" si="151"/>
        <v/>
      </c>
      <c r="AH84" s="26" t="str">
        <f t="shared" si="151"/>
        <v/>
      </c>
      <c r="AI84" s="26" t="str">
        <f t="shared" si="151"/>
        <v/>
      </c>
      <c r="AJ84" s="26" t="str">
        <f t="shared" si="151"/>
        <v/>
      </c>
      <c r="AK84" s="26" t="str">
        <f t="shared" si="151"/>
        <v/>
      </c>
      <c r="AL84" s="26" t="str">
        <f t="shared" si="151"/>
        <v/>
      </c>
      <c r="AM84" s="26" t="str">
        <f t="shared" ref="AM84:AS84" si="152">IF(AM$3="","",AL77+AL78-AM77)</f>
        <v/>
      </c>
      <c r="AN84" s="26" t="str">
        <f t="shared" si="152"/>
        <v/>
      </c>
      <c r="AO84" s="26" t="str">
        <f t="shared" si="152"/>
        <v/>
      </c>
      <c r="AP84" s="26" t="str">
        <f t="shared" si="152"/>
        <v/>
      </c>
      <c r="AQ84" s="26" t="str">
        <f t="shared" si="152"/>
        <v/>
      </c>
      <c r="AR84" s="26" t="str">
        <f t="shared" si="152"/>
        <v/>
      </c>
      <c r="AS84" s="26" t="str">
        <f t="shared" si="152"/>
        <v/>
      </c>
    </row>
    <row r="85" spans="1:45">
      <c r="A85" s="7">
        <f>SUM(C85:AS85)</f>
        <v>1350</v>
      </c>
      <c r="B85" s="27" t="s">
        <v>18</v>
      </c>
      <c r="C85" s="65">
        <v>0</v>
      </c>
      <c r="D85" s="26">
        <f t="shared" ref="D85:AL85" si="153">IF(D$3="","",D84*D79)</f>
        <v>0</v>
      </c>
      <c r="E85" s="26">
        <f t="shared" si="153"/>
        <v>150</v>
      </c>
      <c r="F85" s="54">
        <f t="shared" si="153"/>
        <v>0</v>
      </c>
      <c r="G85" s="26">
        <f t="shared" si="153"/>
        <v>0</v>
      </c>
      <c r="H85" s="26">
        <f t="shared" si="153"/>
        <v>0</v>
      </c>
      <c r="I85" s="54">
        <f t="shared" si="153"/>
        <v>0</v>
      </c>
      <c r="J85" s="26">
        <f t="shared" si="153"/>
        <v>0</v>
      </c>
      <c r="K85" s="26">
        <f t="shared" si="153"/>
        <v>450</v>
      </c>
      <c r="L85" s="54">
        <f t="shared" si="153"/>
        <v>0</v>
      </c>
      <c r="M85" s="26">
        <f t="shared" si="153"/>
        <v>0</v>
      </c>
      <c r="N85" s="26">
        <f t="shared" si="153"/>
        <v>0</v>
      </c>
      <c r="O85" s="26">
        <f t="shared" si="153"/>
        <v>150</v>
      </c>
      <c r="P85" s="54">
        <f t="shared" si="153"/>
        <v>0</v>
      </c>
      <c r="Q85" s="26">
        <f t="shared" si="153"/>
        <v>0</v>
      </c>
      <c r="R85" s="26">
        <f t="shared" si="153"/>
        <v>150</v>
      </c>
      <c r="S85" s="26">
        <f t="shared" si="153"/>
        <v>0</v>
      </c>
      <c r="T85" s="26">
        <f t="shared" si="153"/>
        <v>0</v>
      </c>
      <c r="U85" s="26">
        <f t="shared" si="153"/>
        <v>0</v>
      </c>
      <c r="V85" s="26">
        <f t="shared" si="153"/>
        <v>0</v>
      </c>
      <c r="W85" s="26">
        <f t="shared" si="153"/>
        <v>0</v>
      </c>
      <c r="X85" s="26">
        <f t="shared" si="153"/>
        <v>0</v>
      </c>
      <c r="Y85" s="26">
        <f t="shared" si="153"/>
        <v>0</v>
      </c>
      <c r="Z85" s="26">
        <f t="shared" si="153"/>
        <v>0</v>
      </c>
      <c r="AA85" s="26">
        <f t="shared" si="153"/>
        <v>0</v>
      </c>
      <c r="AB85" s="26">
        <f t="shared" si="153"/>
        <v>0</v>
      </c>
      <c r="AC85" s="26">
        <f t="shared" si="153"/>
        <v>0</v>
      </c>
      <c r="AD85" s="26">
        <f t="shared" si="153"/>
        <v>0</v>
      </c>
      <c r="AE85" s="26">
        <f t="shared" si="153"/>
        <v>0</v>
      </c>
      <c r="AF85" s="26">
        <f t="shared" si="153"/>
        <v>450</v>
      </c>
      <c r="AG85" s="26" t="str">
        <f t="shared" si="153"/>
        <v/>
      </c>
      <c r="AH85" s="26" t="str">
        <f t="shared" si="153"/>
        <v/>
      </c>
      <c r="AI85" s="26" t="str">
        <f t="shared" si="153"/>
        <v/>
      </c>
      <c r="AJ85" s="26" t="str">
        <f t="shared" si="153"/>
        <v/>
      </c>
      <c r="AK85" s="26" t="str">
        <f t="shared" si="153"/>
        <v/>
      </c>
      <c r="AL85" s="26" t="str">
        <f t="shared" si="153"/>
        <v/>
      </c>
      <c r="AM85" s="26" t="str">
        <f t="shared" ref="AM85:AS85" si="154">IF(AM$3="","",AM84*AM79)</f>
        <v/>
      </c>
      <c r="AN85" s="26" t="str">
        <f t="shared" si="154"/>
        <v/>
      </c>
      <c r="AO85" s="26" t="str">
        <f t="shared" si="154"/>
        <v/>
      </c>
      <c r="AP85" s="26" t="str">
        <f t="shared" si="154"/>
        <v/>
      </c>
      <c r="AQ85" s="26" t="str">
        <f t="shared" si="154"/>
        <v/>
      </c>
      <c r="AR85" s="26" t="str">
        <f t="shared" si="154"/>
        <v/>
      </c>
      <c r="AS85" s="26" t="str">
        <f t="shared" si="154"/>
        <v/>
      </c>
    </row>
    <row r="86" spans="1:45" ht="12" thickBot="1">
      <c r="A86" s="4">
        <f>IF(A85="","",A85/(A82*100))</f>
        <v>1.9258202567760341E-2</v>
      </c>
      <c r="B86" s="27" t="s">
        <v>20</v>
      </c>
      <c r="C86" s="68" t="s">
        <v>21</v>
      </c>
      <c r="D86" s="44" t="str">
        <f t="shared" ref="D86:AL86" si="155">IF(D$3="","",IF(D85=0,"",D85/(D82*100)))</f>
        <v/>
      </c>
      <c r="E86" s="44">
        <f t="shared" si="155"/>
        <v>4.0540540540540543E-2</v>
      </c>
      <c r="F86" s="132" t="str">
        <f t="shared" si="155"/>
        <v/>
      </c>
      <c r="G86" s="44" t="str">
        <f t="shared" si="155"/>
        <v/>
      </c>
      <c r="H86" s="44" t="str">
        <f t="shared" si="155"/>
        <v/>
      </c>
      <c r="I86" s="132" t="str">
        <f t="shared" si="155"/>
        <v/>
      </c>
      <c r="J86" s="44" t="str">
        <f t="shared" si="155"/>
        <v/>
      </c>
      <c r="K86" s="44">
        <f t="shared" si="155"/>
        <v>2.6011560693641619E-2</v>
      </c>
      <c r="L86" s="132" t="str">
        <f t="shared" si="155"/>
        <v/>
      </c>
      <c r="M86" s="44" t="str">
        <f t="shared" si="155"/>
        <v/>
      </c>
      <c r="N86" s="44" t="str">
        <f t="shared" si="155"/>
        <v/>
      </c>
      <c r="O86" s="44">
        <f t="shared" si="155"/>
        <v>2.9411764705882353E-2</v>
      </c>
      <c r="P86" s="132" t="str">
        <f t="shared" si="155"/>
        <v/>
      </c>
      <c r="Q86" s="44" t="str">
        <f t="shared" si="155"/>
        <v/>
      </c>
      <c r="R86" s="44">
        <f t="shared" si="155"/>
        <v>1.8518518518518517E-2</v>
      </c>
      <c r="S86" s="44" t="str">
        <f t="shared" si="155"/>
        <v/>
      </c>
      <c r="T86" s="44" t="str">
        <f t="shared" si="155"/>
        <v/>
      </c>
      <c r="U86" s="44" t="str">
        <f t="shared" si="155"/>
        <v/>
      </c>
      <c r="V86" s="44" t="str">
        <f t="shared" si="155"/>
        <v/>
      </c>
      <c r="W86" s="44" t="str">
        <f t="shared" si="155"/>
        <v/>
      </c>
      <c r="X86" s="44" t="str">
        <f t="shared" si="155"/>
        <v/>
      </c>
      <c r="Y86" s="44" t="str">
        <f t="shared" si="155"/>
        <v/>
      </c>
      <c r="Z86" s="44" t="str">
        <f t="shared" si="155"/>
        <v/>
      </c>
      <c r="AA86" s="44" t="str">
        <f t="shared" si="155"/>
        <v/>
      </c>
      <c r="AB86" s="44" t="str">
        <f t="shared" si="155"/>
        <v/>
      </c>
      <c r="AC86" s="44" t="str">
        <f t="shared" si="155"/>
        <v/>
      </c>
      <c r="AD86" s="44" t="str">
        <f t="shared" si="155"/>
        <v/>
      </c>
      <c r="AE86" s="44" t="str">
        <f t="shared" si="155"/>
        <v/>
      </c>
      <c r="AF86" s="44">
        <f t="shared" si="155"/>
        <v>3.8135593220338986E-2</v>
      </c>
      <c r="AG86" s="44" t="str">
        <f t="shared" si="155"/>
        <v/>
      </c>
      <c r="AH86" s="44" t="str">
        <f t="shared" si="155"/>
        <v/>
      </c>
      <c r="AI86" s="44" t="str">
        <f t="shared" si="155"/>
        <v/>
      </c>
      <c r="AJ86" s="44" t="str">
        <f t="shared" si="155"/>
        <v/>
      </c>
      <c r="AK86" s="44" t="str">
        <f t="shared" si="155"/>
        <v/>
      </c>
      <c r="AL86" s="44" t="str">
        <f t="shared" si="155"/>
        <v/>
      </c>
      <c r="AM86" s="44" t="str">
        <f t="shared" ref="AM86:AS86" si="156">IF(AM$3="","",IF(AM85=0,"",AM85/(AM82*100)))</f>
        <v/>
      </c>
      <c r="AN86" s="44" t="str">
        <f t="shared" si="156"/>
        <v/>
      </c>
      <c r="AO86" s="44" t="str">
        <f t="shared" si="156"/>
        <v/>
      </c>
      <c r="AP86" s="44" t="str">
        <f t="shared" si="156"/>
        <v/>
      </c>
      <c r="AQ86" s="44" t="str">
        <f t="shared" si="156"/>
        <v/>
      </c>
      <c r="AR86" s="44" t="str">
        <f t="shared" si="156"/>
        <v/>
      </c>
      <c r="AS86" s="44" t="str">
        <f t="shared" si="156"/>
        <v/>
      </c>
    </row>
    <row r="87" spans="1:45">
      <c r="A87" s="17" t="s">
        <v>1</v>
      </c>
      <c r="B87" s="42" t="s">
        <v>2</v>
      </c>
      <c r="C87" s="64">
        <v>17202</v>
      </c>
      <c r="D87" s="35">
        <f>IF(D$3="","",C87)</f>
        <v>17202</v>
      </c>
      <c r="E87" s="35">
        <v>17279</v>
      </c>
      <c r="F87" s="128">
        <f>IF(F$3="","",E87)</f>
        <v>17279</v>
      </c>
      <c r="G87" s="35">
        <f>IF(G$3="","",F87)</f>
        <v>17279</v>
      </c>
      <c r="H87" s="35">
        <v>17296</v>
      </c>
      <c r="I87" s="128">
        <f>IF(I$3="","",H87)</f>
        <v>17296</v>
      </c>
      <c r="J87" s="35">
        <f>IF(J$3="","",I87)</f>
        <v>17296</v>
      </c>
      <c r="K87" s="35">
        <v>17440</v>
      </c>
      <c r="L87" s="128">
        <f t="shared" ref="L87:N88" si="157">IF(L$3="","",K87)</f>
        <v>17440</v>
      </c>
      <c r="M87" s="35">
        <f t="shared" si="157"/>
        <v>17440</v>
      </c>
      <c r="N87" s="35">
        <f t="shared" si="157"/>
        <v>17440</v>
      </c>
      <c r="O87" s="35">
        <v>17464</v>
      </c>
      <c r="P87" s="128">
        <f>IF(P$3="","",O87)</f>
        <v>17464</v>
      </c>
      <c r="Q87" s="35">
        <f>IF(Q$3="","",P87)</f>
        <v>17464</v>
      </c>
      <c r="R87" s="35">
        <v>17499</v>
      </c>
      <c r="S87" s="35">
        <f t="shared" ref="S87:AL87" si="158">IF(S$3="","",R87)</f>
        <v>17499</v>
      </c>
      <c r="T87" s="35">
        <f t="shared" si="158"/>
        <v>17499</v>
      </c>
      <c r="U87" s="35">
        <f t="shared" si="158"/>
        <v>17499</v>
      </c>
      <c r="V87" s="35">
        <v>17553</v>
      </c>
      <c r="W87" s="35">
        <f t="shared" si="158"/>
        <v>17553</v>
      </c>
      <c r="X87" s="35">
        <f t="shared" si="158"/>
        <v>17553</v>
      </c>
      <c r="Y87" s="35">
        <v>17631</v>
      </c>
      <c r="Z87" s="35">
        <f t="shared" si="158"/>
        <v>17631</v>
      </c>
      <c r="AA87" s="35">
        <f t="shared" si="158"/>
        <v>17631</v>
      </c>
      <c r="AB87" s="35">
        <f t="shared" si="158"/>
        <v>17631</v>
      </c>
      <c r="AC87" s="35">
        <v>17648</v>
      </c>
      <c r="AD87" s="35">
        <f t="shared" si="158"/>
        <v>17648</v>
      </c>
      <c r="AE87" s="35">
        <f t="shared" si="158"/>
        <v>17648</v>
      </c>
      <c r="AF87" s="35">
        <v>17733</v>
      </c>
      <c r="AG87" s="35" t="str">
        <f t="shared" si="158"/>
        <v/>
      </c>
      <c r="AH87" s="35" t="str">
        <f t="shared" si="158"/>
        <v/>
      </c>
      <c r="AI87" s="35" t="str">
        <f t="shared" si="158"/>
        <v/>
      </c>
      <c r="AJ87" s="35" t="str">
        <f t="shared" si="158"/>
        <v/>
      </c>
      <c r="AK87" s="35" t="str">
        <f t="shared" si="158"/>
        <v/>
      </c>
      <c r="AL87" s="35" t="str">
        <f t="shared" si="158"/>
        <v/>
      </c>
      <c r="AM87" s="35" t="str">
        <f t="shared" ref="AM87:AS87" si="159">IF(AM$3="","",AL87)</f>
        <v/>
      </c>
      <c r="AN87" s="35" t="str">
        <f t="shared" si="159"/>
        <v/>
      </c>
      <c r="AO87" s="35" t="str">
        <f t="shared" si="159"/>
        <v/>
      </c>
      <c r="AP87" s="35" t="str">
        <f t="shared" si="159"/>
        <v/>
      </c>
      <c r="AQ87" s="35" t="str">
        <f t="shared" si="159"/>
        <v/>
      </c>
      <c r="AR87" s="35" t="str">
        <f t="shared" si="159"/>
        <v/>
      </c>
      <c r="AS87" s="35" t="str">
        <f t="shared" si="159"/>
        <v/>
      </c>
    </row>
    <row r="88" spans="1:45">
      <c r="A88" s="16" t="s">
        <v>30</v>
      </c>
      <c r="B88" s="30" t="s">
        <v>4</v>
      </c>
      <c r="C88" s="65">
        <v>616</v>
      </c>
      <c r="D88" s="29">
        <f>IF(D$3="","",C88)</f>
        <v>616</v>
      </c>
      <c r="E88" s="29">
        <f>IF(E$3="","",D88)</f>
        <v>616</v>
      </c>
      <c r="F88" s="54">
        <f>IF(F$3="","",E88)</f>
        <v>616</v>
      </c>
      <c r="G88" s="29">
        <f>IF(G$3="","",F88)</f>
        <v>616</v>
      </c>
      <c r="H88" s="29">
        <v>617</v>
      </c>
      <c r="I88" s="54">
        <f>IF(I$3="","",H88)</f>
        <v>617</v>
      </c>
      <c r="J88" s="29">
        <f>IF(J$3="","",I88)</f>
        <v>617</v>
      </c>
      <c r="K88" s="29">
        <v>619</v>
      </c>
      <c r="L88" s="54">
        <f t="shared" si="157"/>
        <v>619</v>
      </c>
      <c r="M88" s="29">
        <f t="shared" si="157"/>
        <v>619</v>
      </c>
      <c r="N88" s="29">
        <f t="shared" si="157"/>
        <v>619</v>
      </c>
      <c r="O88" s="29">
        <v>620</v>
      </c>
      <c r="P88" s="54">
        <f>IF(P$3="","",O88)</f>
        <v>620</v>
      </c>
      <c r="Q88" s="29">
        <f>IF(Q$3="","",P88)</f>
        <v>620</v>
      </c>
      <c r="R88" s="29">
        <v>621</v>
      </c>
      <c r="S88" s="29">
        <f t="shared" ref="S88:AL88" si="160">IF(S$3="","",R88)</f>
        <v>621</v>
      </c>
      <c r="T88" s="29">
        <f t="shared" si="160"/>
        <v>621</v>
      </c>
      <c r="U88" s="29">
        <f t="shared" si="160"/>
        <v>621</v>
      </c>
      <c r="V88" s="29">
        <v>622</v>
      </c>
      <c r="W88" s="29">
        <f t="shared" si="160"/>
        <v>622</v>
      </c>
      <c r="X88" s="29">
        <f t="shared" si="160"/>
        <v>622</v>
      </c>
      <c r="Y88" s="29">
        <f t="shared" si="160"/>
        <v>622</v>
      </c>
      <c r="Z88" s="29">
        <f t="shared" si="160"/>
        <v>622</v>
      </c>
      <c r="AA88" s="29">
        <f t="shared" si="160"/>
        <v>622</v>
      </c>
      <c r="AB88" s="29">
        <f t="shared" si="160"/>
        <v>622</v>
      </c>
      <c r="AC88" s="29">
        <f t="shared" si="160"/>
        <v>622</v>
      </c>
      <c r="AD88" s="29">
        <f t="shared" si="160"/>
        <v>622</v>
      </c>
      <c r="AE88" s="29">
        <f t="shared" si="160"/>
        <v>622</v>
      </c>
      <c r="AF88" s="29">
        <v>624</v>
      </c>
      <c r="AG88" s="29" t="str">
        <f t="shared" si="160"/>
        <v/>
      </c>
      <c r="AH88" s="29" t="str">
        <f t="shared" si="160"/>
        <v/>
      </c>
      <c r="AI88" s="29" t="str">
        <f t="shared" si="160"/>
        <v/>
      </c>
      <c r="AJ88" s="29" t="str">
        <f t="shared" si="160"/>
        <v/>
      </c>
      <c r="AK88" s="29" t="str">
        <f t="shared" si="160"/>
        <v/>
      </c>
      <c r="AL88" s="29" t="str">
        <f t="shared" si="160"/>
        <v/>
      </c>
      <c r="AM88" s="29" t="str">
        <f t="shared" ref="AM88:AS88" si="161">IF(AM$3="","",AL88)</f>
        <v/>
      </c>
      <c r="AN88" s="29" t="str">
        <f t="shared" si="161"/>
        <v/>
      </c>
      <c r="AO88" s="29" t="str">
        <f t="shared" si="161"/>
        <v/>
      </c>
      <c r="AP88" s="29" t="str">
        <f t="shared" si="161"/>
        <v/>
      </c>
      <c r="AQ88" s="29" t="str">
        <f t="shared" si="161"/>
        <v/>
      </c>
      <c r="AR88" s="29" t="str">
        <f t="shared" si="161"/>
        <v/>
      </c>
      <c r="AS88" s="29" t="str">
        <f t="shared" si="161"/>
        <v/>
      </c>
    </row>
    <row r="89" spans="1:45">
      <c r="A89" s="15">
        <v>4</v>
      </c>
      <c r="B89" s="30" t="s">
        <v>5</v>
      </c>
      <c r="C89" s="65">
        <v>7</v>
      </c>
      <c r="D89" s="29">
        <f>IF(D$3="","",(C89+C90))</f>
        <v>7</v>
      </c>
      <c r="E89" s="29">
        <f>IF(E$3="","",(D89+D90))</f>
        <v>7</v>
      </c>
      <c r="F89" s="54">
        <f>IF(F$3="","",(E89+E90))</f>
        <v>7</v>
      </c>
      <c r="G89" s="29">
        <f>IF(G$3="","",(F89+F90))</f>
        <v>7</v>
      </c>
      <c r="H89" s="29">
        <v>6</v>
      </c>
      <c r="I89" s="54">
        <f>IF(I$3="","",(H89+H90))</f>
        <v>6</v>
      </c>
      <c r="J89" s="29">
        <f>IF(J$3="","",(I89+I90))</f>
        <v>6</v>
      </c>
      <c r="K89" s="29">
        <v>4</v>
      </c>
      <c r="L89" s="54">
        <f>IF(L$3="","",(K89+K90))</f>
        <v>13</v>
      </c>
      <c r="M89" s="29">
        <f>IF(M$3="","",(L89+L90))</f>
        <v>13</v>
      </c>
      <c r="N89" s="29">
        <f>IF(N$3="","",(M89+M90))</f>
        <v>13</v>
      </c>
      <c r="O89" s="29">
        <v>12</v>
      </c>
      <c r="P89" s="54">
        <f>IF(P$3="","",(O89+O90))</f>
        <v>12</v>
      </c>
      <c r="Q89" s="29">
        <f>IF(Q$3="","",(P89+P90))</f>
        <v>12</v>
      </c>
      <c r="R89" s="29">
        <v>11</v>
      </c>
      <c r="S89" s="29">
        <f t="shared" ref="S89:AL89" si="162">IF(S$3="","",(R89+R90))</f>
        <v>11</v>
      </c>
      <c r="T89" s="29">
        <f t="shared" si="162"/>
        <v>11</v>
      </c>
      <c r="U89" s="29">
        <f t="shared" si="162"/>
        <v>11</v>
      </c>
      <c r="V89" s="29">
        <f t="shared" si="162"/>
        <v>11</v>
      </c>
      <c r="W89" s="29">
        <f t="shared" si="162"/>
        <v>11</v>
      </c>
      <c r="X89" s="29">
        <f t="shared" si="162"/>
        <v>11</v>
      </c>
      <c r="Y89" s="29">
        <f t="shared" si="162"/>
        <v>11</v>
      </c>
      <c r="Z89" s="29">
        <f t="shared" si="162"/>
        <v>11</v>
      </c>
      <c r="AA89" s="29">
        <f t="shared" si="162"/>
        <v>11</v>
      </c>
      <c r="AB89" s="29">
        <f t="shared" si="162"/>
        <v>11</v>
      </c>
      <c r="AC89" s="29">
        <f t="shared" si="162"/>
        <v>11</v>
      </c>
      <c r="AD89" s="29">
        <f t="shared" si="162"/>
        <v>11</v>
      </c>
      <c r="AE89" s="29">
        <f t="shared" si="162"/>
        <v>11</v>
      </c>
      <c r="AF89" s="29">
        <v>9</v>
      </c>
      <c r="AG89" s="29" t="str">
        <f t="shared" si="162"/>
        <v/>
      </c>
      <c r="AH89" s="29" t="str">
        <f t="shared" si="162"/>
        <v/>
      </c>
      <c r="AI89" s="29" t="str">
        <f t="shared" si="162"/>
        <v/>
      </c>
      <c r="AJ89" s="29" t="str">
        <f t="shared" si="162"/>
        <v/>
      </c>
      <c r="AK89" s="29" t="str">
        <f t="shared" si="162"/>
        <v/>
      </c>
      <c r="AL89" s="29" t="str">
        <f t="shared" si="162"/>
        <v/>
      </c>
      <c r="AM89" s="29" t="str">
        <f t="shared" ref="AM89:AS89" si="163">IF(AM$3="","",(AL89+AL90))</f>
        <v/>
      </c>
      <c r="AN89" s="29" t="str">
        <f t="shared" si="163"/>
        <v/>
      </c>
      <c r="AO89" s="29" t="str">
        <f t="shared" si="163"/>
        <v/>
      </c>
      <c r="AP89" s="29" t="str">
        <f t="shared" si="163"/>
        <v/>
      </c>
      <c r="AQ89" s="29" t="str">
        <f t="shared" si="163"/>
        <v/>
      </c>
      <c r="AR89" s="29" t="str">
        <f t="shared" si="163"/>
        <v/>
      </c>
      <c r="AS89" s="29" t="str">
        <f t="shared" si="163"/>
        <v/>
      </c>
    </row>
    <row r="90" spans="1:45">
      <c r="A90" s="14"/>
      <c r="B90" s="30" t="s">
        <v>7</v>
      </c>
      <c r="C90" s="65"/>
      <c r="D90" s="29"/>
      <c r="E90" s="29"/>
      <c r="F90" s="54"/>
      <c r="G90" s="29"/>
      <c r="H90" s="29"/>
      <c r="I90" s="54"/>
      <c r="J90" s="29"/>
      <c r="K90" s="29">
        <v>9</v>
      </c>
      <c r="L90" s="54"/>
      <c r="M90" s="29"/>
      <c r="N90" s="29"/>
      <c r="O90" s="29"/>
      <c r="P90" s="54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>
        <v>15</v>
      </c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 spans="1:45">
      <c r="A91" s="7"/>
      <c r="B91" s="30" t="s">
        <v>8</v>
      </c>
      <c r="C91" s="64">
        <v>400</v>
      </c>
      <c r="D91" s="35">
        <f t="shared" ref="D91:AL91" si="164">IF(D$3="","",C91)</f>
        <v>400</v>
      </c>
      <c r="E91" s="35">
        <f t="shared" si="164"/>
        <v>400</v>
      </c>
      <c r="F91" s="128">
        <f t="shared" si="164"/>
        <v>400</v>
      </c>
      <c r="G91" s="35">
        <f t="shared" si="164"/>
        <v>400</v>
      </c>
      <c r="H91" s="35">
        <f t="shared" si="164"/>
        <v>400</v>
      </c>
      <c r="I91" s="128">
        <f t="shared" si="164"/>
        <v>400</v>
      </c>
      <c r="J91" s="35">
        <f t="shared" si="164"/>
        <v>400</v>
      </c>
      <c r="K91" s="35">
        <f t="shared" si="164"/>
        <v>400</v>
      </c>
      <c r="L91" s="128">
        <f t="shared" si="164"/>
        <v>400</v>
      </c>
      <c r="M91" s="35">
        <f t="shared" si="164"/>
        <v>400</v>
      </c>
      <c r="N91" s="35">
        <f t="shared" si="164"/>
        <v>400</v>
      </c>
      <c r="O91" s="35">
        <f t="shared" si="164"/>
        <v>400</v>
      </c>
      <c r="P91" s="128">
        <f t="shared" si="164"/>
        <v>400</v>
      </c>
      <c r="Q91" s="35">
        <f t="shared" si="164"/>
        <v>400</v>
      </c>
      <c r="R91" s="35">
        <f t="shared" si="164"/>
        <v>400</v>
      </c>
      <c r="S91" s="35">
        <f t="shared" si="164"/>
        <v>400</v>
      </c>
      <c r="T91" s="35">
        <f t="shared" si="164"/>
        <v>400</v>
      </c>
      <c r="U91" s="35">
        <f t="shared" si="164"/>
        <v>400</v>
      </c>
      <c r="V91" s="35">
        <f t="shared" si="164"/>
        <v>400</v>
      </c>
      <c r="W91" s="35">
        <f t="shared" si="164"/>
        <v>400</v>
      </c>
      <c r="X91" s="35">
        <f t="shared" si="164"/>
        <v>400</v>
      </c>
      <c r="Y91" s="35">
        <f t="shared" si="164"/>
        <v>400</v>
      </c>
      <c r="Z91" s="35">
        <f t="shared" si="164"/>
        <v>400</v>
      </c>
      <c r="AA91" s="35">
        <f t="shared" si="164"/>
        <v>400</v>
      </c>
      <c r="AB91" s="35">
        <f t="shared" si="164"/>
        <v>400</v>
      </c>
      <c r="AC91" s="35">
        <f t="shared" si="164"/>
        <v>400</v>
      </c>
      <c r="AD91" s="35">
        <f t="shared" si="164"/>
        <v>400</v>
      </c>
      <c r="AE91" s="35">
        <f t="shared" si="164"/>
        <v>400</v>
      </c>
      <c r="AF91" s="35">
        <f t="shared" si="164"/>
        <v>400</v>
      </c>
      <c r="AG91" s="35" t="str">
        <f t="shared" si="164"/>
        <v/>
      </c>
      <c r="AH91" s="35" t="str">
        <f t="shared" si="164"/>
        <v/>
      </c>
      <c r="AI91" s="35" t="str">
        <f t="shared" si="164"/>
        <v/>
      </c>
      <c r="AJ91" s="35" t="str">
        <f t="shared" si="164"/>
        <v/>
      </c>
      <c r="AK91" s="35" t="str">
        <f t="shared" si="164"/>
        <v/>
      </c>
      <c r="AL91" s="35" t="str">
        <f t="shared" si="164"/>
        <v/>
      </c>
      <c r="AM91" s="35" t="str">
        <f t="shared" ref="AM91:AS91" si="165">IF(AM$3="","",AL91)</f>
        <v/>
      </c>
      <c r="AN91" s="35" t="str">
        <f t="shared" si="165"/>
        <v/>
      </c>
      <c r="AO91" s="35" t="str">
        <f t="shared" si="165"/>
        <v/>
      </c>
      <c r="AP91" s="35" t="str">
        <f t="shared" si="165"/>
        <v/>
      </c>
      <c r="AQ91" s="35" t="str">
        <f t="shared" si="165"/>
        <v/>
      </c>
      <c r="AR91" s="35" t="str">
        <f t="shared" si="165"/>
        <v/>
      </c>
      <c r="AS91" s="35" t="str">
        <f t="shared" si="165"/>
        <v/>
      </c>
    </row>
    <row r="92" spans="1:45" s="11" customFormat="1">
      <c r="A92" s="14" t="s">
        <v>9</v>
      </c>
      <c r="B92" s="33" t="s">
        <v>10</v>
      </c>
      <c r="C92" s="63" t="s">
        <v>34</v>
      </c>
      <c r="D92" s="32" t="str">
        <f t="shared" ref="D92:AL92" si="166">IF(D$3="","",C92)</f>
        <v>ラブブMC</v>
      </c>
      <c r="E92" s="32" t="str">
        <f t="shared" si="166"/>
        <v>ラブブMC</v>
      </c>
      <c r="F92" s="129" t="str">
        <f t="shared" si="166"/>
        <v>ラブブMC</v>
      </c>
      <c r="G92" s="32" t="str">
        <f t="shared" si="166"/>
        <v>ラブブMC</v>
      </c>
      <c r="H92" s="32" t="str">
        <f t="shared" si="166"/>
        <v>ラブブMC</v>
      </c>
      <c r="I92" s="129" t="str">
        <f t="shared" si="166"/>
        <v>ラブブMC</v>
      </c>
      <c r="J92" s="32" t="str">
        <f t="shared" si="166"/>
        <v>ラブブMC</v>
      </c>
      <c r="K92" s="32" t="str">
        <f t="shared" si="166"/>
        <v>ラブブMC</v>
      </c>
      <c r="L92" s="129" t="str">
        <f t="shared" si="166"/>
        <v>ラブブMC</v>
      </c>
      <c r="M92" s="32" t="str">
        <f t="shared" si="166"/>
        <v>ラブブMC</v>
      </c>
      <c r="N92" s="32" t="str">
        <f t="shared" si="166"/>
        <v>ラブブMC</v>
      </c>
      <c r="O92" s="32" t="str">
        <f t="shared" si="166"/>
        <v>ラブブMC</v>
      </c>
      <c r="P92" s="129" t="str">
        <f t="shared" si="166"/>
        <v>ラブブMC</v>
      </c>
      <c r="Q92" s="32" t="str">
        <f t="shared" si="166"/>
        <v>ラブブMC</v>
      </c>
      <c r="R92" s="32" t="str">
        <f t="shared" si="166"/>
        <v>ラブブMC</v>
      </c>
      <c r="S92" s="32" t="str">
        <f t="shared" si="166"/>
        <v>ラブブMC</v>
      </c>
      <c r="T92" s="32" t="str">
        <f t="shared" si="166"/>
        <v>ラブブMC</v>
      </c>
      <c r="U92" s="32" t="str">
        <f t="shared" si="166"/>
        <v>ラブブMC</v>
      </c>
      <c r="V92" s="32" t="str">
        <f t="shared" si="166"/>
        <v>ラブブMC</v>
      </c>
      <c r="W92" s="32" t="str">
        <f t="shared" si="166"/>
        <v>ラブブMC</v>
      </c>
      <c r="X92" s="32" t="str">
        <f t="shared" si="166"/>
        <v>ラブブMC</v>
      </c>
      <c r="Y92" s="32" t="str">
        <f t="shared" si="166"/>
        <v>ラブブMC</v>
      </c>
      <c r="Z92" s="32" t="str">
        <f t="shared" si="166"/>
        <v>ラブブMC</v>
      </c>
      <c r="AA92" s="32" t="str">
        <f t="shared" si="166"/>
        <v>ラブブMC</v>
      </c>
      <c r="AB92" s="32" t="str">
        <f t="shared" si="166"/>
        <v>ラブブMC</v>
      </c>
      <c r="AC92" s="32" t="str">
        <f t="shared" si="166"/>
        <v>ラブブMC</v>
      </c>
      <c r="AD92" s="32" t="str">
        <f t="shared" si="166"/>
        <v>ラブブMC</v>
      </c>
      <c r="AE92" s="32" t="str">
        <f t="shared" si="166"/>
        <v>ラブブMC</v>
      </c>
      <c r="AF92" s="32" t="str">
        <f t="shared" si="166"/>
        <v>ラブブMC</v>
      </c>
      <c r="AG92" s="32" t="str">
        <f t="shared" si="166"/>
        <v/>
      </c>
      <c r="AH92" s="32" t="str">
        <f t="shared" si="166"/>
        <v/>
      </c>
      <c r="AI92" s="32" t="str">
        <f t="shared" si="166"/>
        <v/>
      </c>
      <c r="AJ92" s="32" t="str">
        <f t="shared" si="166"/>
        <v/>
      </c>
      <c r="AK92" s="32" t="str">
        <f t="shared" si="166"/>
        <v/>
      </c>
      <c r="AL92" s="32" t="str">
        <f t="shared" si="166"/>
        <v/>
      </c>
      <c r="AM92" s="32" t="str">
        <f t="shared" ref="AM92:AS92" si="167">IF(AM$3="","",AL92)</f>
        <v/>
      </c>
      <c r="AN92" s="32" t="str">
        <f t="shared" si="167"/>
        <v/>
      </c>
      <c r="AO92" s="32" t="str">
        <f t="shared" si="167"/>
        <v/>
      </c>
      <c r="AP92" s="32" t="str">
        <f t="shared" si="167"/>
        <v/>
      </c>
      <c r="AQ92" s="32" t="str">
        <f t="shared" si="167"/>
        <v/>
      </c>
      <c r="AR92" s="32" t="str">
        <f t="shared" si="167"/>
        <v/>
      </c>
      <c r="AS92" s="32" t="str">
        <f t="shared" si="167"/>
        <v/>
      </c>
    </row>
    <row r="93" spans="1:45">
      <c r="A93" s="7">
        <f>AVERAGE(C94:AS94)*30*100</f>
        <v>53100</v>
      </c>
      <c r="B93" s="30" t="s">
        <v>14</v>
      </c>
      <c r="C93" s="65"/>
      <c r="D93" s="29"/>
      <c r="E93" s="29"/>
      <c r="F93" s="54"/>
      <c r="G93" s="29"/>
      <c r="H93" s="29"/>
      <c r="I93" s="54"/>
      <c r="J93" s="29"/>
      <c r="K93" s="29"/>
      <c r="L93" s="54"/>
      <c r="M93" s="29"/>
      <c r="N93" s="29"/>
      <c r="O93" s="29"/>
      <c r="P93" s="54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 spans="1:45">
      <c r="A94" s="7">
        <f>SUM(C94:AS94)</f>
        <v>531</v>
      </c>
      <c r="B94" s="27" t="s">
        <v>15</v>
      </c>
      <c r="C94" s="65">
        <v>0</v>
      </c>
      <c r="D94" s="26">
        <f t="shared" ref="D94:AL94" si="168">IF(D$3="","",D87-C87)</f>
        <v>0</v>
      </c>
      <c r="E94" s="26">
        <f t="shared" si="168"/>
        <v>77</v>
      </c>
      <c r="F94" s="54">
        <f t="shared" si="168"/>
        <v>0</v>
      </c>
      <c r="G94" s="26">
        <f t="shared" si="168"/>
        <v>0</v>
      </c>
      <c r="H94" s="26">
        <f t="shared" si="168"/>
        <v>17</v>
      </c>
      <c r="I94" s="54">
        <f t="shared" si="168"/>
        <v>0</v>
      </c>
      <c r="J94" s="26">
        <f t="shared" si="168"/>
        <v>0</v>
      </c>
      <c r="K94" s="26">
        <f t="shared" si="168"/>
        <v>144</v>
      </c>
      <c r="L94" s="54">
        <f t="shared" si="168"/>
        <v>0</v>
      </c>
      <c r="M94" s="26">
        <f t="shared" si="168"/>
        <v>0</v>
      </c>
      <c r="N94" s="26">
        <f t="shared" si="168"/>
        <v>0</v>
      </c>
      <c r="O94" s="26">
        <f t="shared" si="168"/>
        <v>24</v>
      </c>
      <c r="P94" s="54">
        <f t="shared" si="168"/>
        <v>0</v>
      </c>
      <c r="Q94" s="26">
        <f t="shared" si="168"/>
        <v>0</v>
      </c>
      <c r="R94" s="26">
        <f t="shared" si="168"/>
        <v>35</v>
      </c>
      <c r="S94" s="26">
        <f t="shared" si="168"/>
        <v>0</v>
      </c>
      <c r="T94" s="26">
        <f t="shared" si="168"/>
        <v>0</v>
      </c>
      <c r="U94" s="26">
        <f t="shared" si="168"/>
        <v>0</v>
      </c>
      <c r="V94" s="26">
        <f t="shared" si="168"/>
        <v>54</v>
      </c>
      <c r="W94" s="26">
        <f t="shared" si="168"/>
        <v>0</v>
      </c>
      <c r="X94" s="26">
        <f t="shared" si="168"/>
        <v>0</v>
      </c>
      <c r="Y94" s="26">
        <f t="shared" si="168"/>
        <v>78</v>
      </c>
      <c r="Z94" s="26">
        <f t="shared" si="168"/>
        <v>0</v>
      </c>
      <c r="AA94" s="26">
        <f t="shared" si="168"/>
        <v>0</v>
      </c>
      <c r="AB94" s="26">
        <f t="shared" si="168"/>
        <v>0</v>
      </c>
      <c r="AC94" s="26">
        <f t="shared" si="168"/>
        <v>17</v>
      </c>
      <c r="AD94" s="26">
        <f t="shared" si="168"/>
        <v>0</v>
      </c>
      <c r="AE94" s="26">
        <f t="shared" si="168"/>
        <v>0</v>
      </c>
      <c r="AF94" s="26">
        <f t="shared" si="168"/>
        <v>85</v>
      </c>
      <c r="AG94" s="26" t="str">
        <f t="shared" si="168"/>
        <v/>
      </c>
      <c r="AH94" s="26" t="str">
        <f t="shared" si="168"/>
        <v/>
      </c>
      <c r="AI94" s="26" t="str">
        <f t="shared" si="168"/>
        <v/>
      </c>
      <c r="AJ94" s="26" t="str">
        <f t="shared" si="168"/>
        <v/>
      </c>
      <c r="AK94" s="26" t="str">
        <f t="shared" si="168"/>
        <v/>
      </c>
      <c r="AL94" s="26" t="str">
        <f t="shared" si="168"/>
        <v/>
      </c>
      <c r="AM94" s="26" t="str">
        <f t="shared" ref="AM94:AS94" si="169">IF(AM$3="","",AM87-AL87)</f>
        <v/>
      </c>
      <c r="AN94" s="26" t="str">
        <f t="shared" si="169"/>
        <v/>
      </c>
      <c r="AO94" s="26" t="str">
        <f t="shared" si="169"/>
        <v/>
      </c>
      <c r="AP94" s="26" t="str">
        <f t="shared" si="169"/>
        <v/>
      </c>
      <c r="AQ94" s="26" t="str">
        <f t="shared" si="169"/>
        <v/>
      </c>
      <c r="AR94" s="26" t="str">
        <f t="shared" si="169"/>
        <v/>
      </c>
      <c r="AS94" s="26" t="str">
        <f t="shared" si="169"/>
        <v/>
      </c>
    </row>
    <row r="95" spans="1:45">
      <c r="A95" s="7">
        <f>SUM(C95:AS95)</f>
        <v>8</v>
      </c>
      <c r="B95" s="27" t="s">
        <v>16</v>
      </c>
      <c r="C95" s="65">
        <v>0</v>
      </c>
      <c r="D95" s="26">
        <f t="shared" ref="D95:AL95" si="170">IF(D$3="","",D88-C88)</f>
        <v>0</v>
      </c>
      <c r="E95" s="26">
        <f t="shared" si="170"/>
        <v>0</v>
      </c>
      <c r="F95" s="54">
        <f t="shared" si="170"/>
        <v>0</v>
      </c>
      <c r="G95" s="26">
        <f t="shared" si="170"/>
        <v>0</v>
      </c>
      <c r="H95" s="26">
        <f t="shared" si="170"/>
        <v>1</v>
      </c>
      <c r="I95" s="54">
        <f t="shared" si="170"/>
        <v>0</v>
      </c>
      <c r="J95" s="26">
        <f t="shared" si="170"/>
        <v>0</v>
      </c>
      <c r="K95" s="26">
        <f t="shared" si="170"/>
        <v>2</v>
      </c>
      <c r="L95" s="54">
        <f t="shared" si="170"/>
        <v>0</v>
      </c>
      <c r="M95" s="26">
        <f t="shared" si="170"/>
        <v>0</v>
      </c>
      <c r="N95" s="26">
        <f t="shared" si="170"/>
        <v>0</v>
      </c>
      <c r="O95" s="26">
        <f t="shared" si="170"/>
        <v>1</v>
      </c>
      <c r="P95" s="54">
        <f t="shared" si="170"/>
        <v>0</v>
      </c>
      <c r="Q95" s="26">
        <f t="shared" si="170"/>
        <v>0</v>
      </c>
      <c r="R95" s="26">
        <f t="shared" si="170"/>
        <v>1</v>
      </c>
      <c r="S95" s="26">
        <f t="shared" si="170"/>
        <v>0</v>
      </c>
      <c r="T95" s="26">
        <f t="shared" si="170"/>
        <v>0</v>
      </c>
      <c r="U95" s="26">
        <f t="shared" si="170"/>
        <v>0</v>
      </c>
      <c r="V95" s="26">
        <f t="shared" si="170"/>
        <v>1</v>
      </c>
      <c r="W95" s="26">
        <f t="shared" si="170"/>
        <v>0</v>
      </c>
      <c r="X95" s="26">
        <f t="shared" si="170"/>
        <v>0</v>
      </c>
      <c r="Y95" s="26">
        <f t="shared" si="170"/>
        <v>0</v>
      </c>
      <c r="Z95" s="26">
        <f t="shared" si="170"/>
        <v>0</v>
      </c>
      <c r="AA95" s="26">
        <f t="shared" si="170"/>
        <v>0</v>
      </c>
      <c r="AB95" s="26">
        <f t="shared" si="170"/>
        <v>0</v>
      </c>
      <c r="AC95" s="26">
        <f t="shared" si="170"/>
        <v>0</v>
      </c>
      <c r="AD95" s="26">
        <f t="shared" si="170"/>
        <v>0</v>
      </c>
      <c r="AE95" s="26">
        <f t="shared" si="170"/>
        <v>0</v>
      </c>
      <c r="AF95" s="26">
        <f t="shared" si="170"/>
        <v>2</v>
      </c>
      <c r="AG95" s="26" t="str">
        <f t="shared" si="170"/>
        <v/>
      </c>
      <c r="AH95" s="26" t="str">
        <f t="shared" si="170"/>
        <v/>
      </c>
      <c r="AI95" s="26" t="str">
        <f t="shared" si="170"/>
        <v/>
      </c>
      <c r="AJ95" s="26" t="str">
        <f t="shared" si="170"/>
        <v/>
      </c>
      <c r="AK95" s="26" t="str">
        <f t="shared" si="170"/>
        <v/>
      </c>
      <c r="AL95" s="26" t="str">
        <f t="shared" si="170"/>
        <v/>
      </c>
      <c r="AM95" s="26" t="str">
        <f t="shared" ref="AM95:AS95" si="171">IF(AM$3="","",AM88-AL88)</f>
        <v/>
      </c>
      <c r="AN95" s="26" t="str">
        <f t="shared" si="171"/>
        <v/>
      </c>
      <c r="AO95" s="26" t="str">
        <f t="shared" si="171"/>
        <v/>
      </c>
      <c r="AP95" s="26" t="str">
        <f t="shared" si="171"/>
        <v/>
      </c>
      <c r="AQ95" s="26" t="str">
        <f t="shared" si="171"/>
        <v/>
      </c>
      <c r="AR95" s="26" t="str">
        <f t="shared" si="171"/>
        <v/>
      </c>
      <c r="AS95" s="26" t="str">
        <f t="shared" si="171"/>
        <v/>
      </c>
    </row>
    <row r="96" spans="1:45">
      <c r="A96" s="7">
        <f>SUM(C96:AS96)</f>
        <v>7</v>
      </c>
      <c r="B96" s="27" t="s">
        <v>17</v>
      </c>
      <c r="C96" s="65">
        <v>0</v>
      </c>
      <c r="D96" s="26">
        <f t="shared" ref="D96:AL96" si="172">IF(D$3="","",C89+C90-D89)</f>
        <v>0</v>
      </c>
      <c r="E96" s="26">
        <f t="shared" si="172"/>
        <v>0</v>
      </c>
      <c r="F96" s="54">
        <f t="shared" si="172"/>
        <v>0</v>
      </c>
      <c r="G96" s="26">
        <f t="shared" si="172"/>
        <v>0</v>
      </c>
      <c r="H96" s="26">
        <f t="shared" si="172"/>
        <v>1</v>
      </c>
      <c r="I96" s="54">
        <f t="shared" si="172"/>
        <v>0</v>
      </c>
      <c r="J96" s="26">
        <f t="shared" si="172"/>
        <v>0</v>
      </c>
      <c r="K96" s="26">
        <f t="shared" si="172"/>
        <v>2</v>
      </c>
      <c r="L96" s="54">
        <f t="shared" si="172"/>
        <v>0</v>
      </c>
      <c r="M96" s="26">
        <f t="shared" si="172"/>
        <v>0</v>
      </c>
      <c r="N96" s="26">
        <f t="shared" si="172"/>
        <v>0</v>
      </c>
      <c r="O96" s="26">
        <f t="shared" si="172"/>
        <v>1</v>
      </c>
      <c r="P96" s="54">
        <f t="shared" si="172"/>
        <v>0</v>
      </c>
      <c r="Q96" s="26">
        <f t="shared" si="172"/>
        <v>0</v>
      </c>
      <c r="R96" s="26">
        <f t="shared" si="172"/>
        <v>1</v>
      </c>
      <c r="S96" s="26">
        <f t="shared" si="172"/>
        <v>0</v>
      </c>
      <c r="T96" s="26">
        <f t="shared" si="172"/>
        <v>0</v>
      </c>
      <c r="U96" s="26">
        <f t="shared" si="172"/>
        <v>0</v>
      </c>
      <c r="V96" s="26">
        <f t="shared" si="172"/>
        <v>0</v>
      </c>
      <c r="W96" s="26">
        <f t="shared" si="172"/>
        <v>0</v>
      </c>
      <c r="X96" s="26">
        <f t="shared" si="172"/>
        <v>0</v>
      </c>
      <c r="Y96" s="26">
        <f t="shared" si="172"/>
        <v>0</v>
      </c>
      <c r="Z96" s="26">
        <f t="shared" si="172"/>
        <v>0</v>
      </c>
      <c r="AA96" s="26">
        <f t="shared" si="172"/>
        <v>0</v>
      </c>
      <c r="AB96" s="26">
        <f t="shared" si="172"/>
        <v>0</v>
      </c>
      <c r="AC96" s="26">
        <f t="shared" si="172"/>
        <v>0</v>
      </c>
      <c r="AD96" s="26">
        <f t="shared" si="172"/>
        <v>0</v>
      </c>
      <c r="AE96" s="26">
        <f t="shared" si="172"/>
        <v>0</v>
      </c>
      <c r="AF96" s="26">
        <f t="shared" si="172"/>
        <v>2</v>
      </c>
      <c r="AG96" s="26" t="str">
        <f t="shared" si="172"/>
        <v/>
      </c>
      <c r="AH96" s="26" t="str">
        <f t="shared" si="172"/>
        <v/>
      </c>
      <c r="AI96" s="26" t="str">
        <f t="shared" si="172"/>
        <v/>
      </c>
      <c r="AJ96" s="26" t="str">
        <f t="shared" si="172"/>
        <v/>
      </c>
      <c r="AK96" s="26" t="str">
        <f t="shared" si="172"/>
        <v/>
      </c>
      <c r="AL96" s="26" t="str">
        <f t="shared" si="172"/>
        <v/>
      </c>
      <c r="AM96" s="26" t="str">
        <f t="shared" ref="AM96:AS96" si="173">IF(AM$3="","",AL89+AL90-AM89)</f>
        <v/>
      </c>
      <c r="AN96" s="26" t="str">
        <f t="shared" si="173"/>
        <v/>
      </c>
      <c r="AO96" s="26" t="str">
        <f t="shared" si="173"/>
        <v/>
      </c>
      <c r="AP96" s="26" t="str">
        <f t="shared" si="173"/>
        <v/>
      </c>
      <c r="AQ96" s="26" t="str">
        <f t="shared" si="173"/>
        <v/>
      </c>
      <c r="AR96" s="26" t="str">
        <f t="shared" si="173"/>
        <v/>
      </c>
      <c r="AS96" s="26" t="str">
        <f t="shared" si="173"/>
        <v/>
      </c>
    </row>
    <row r="97" spans="1:45">
      <c r="A97" s="7">
        <f>SUM(C97:AS97)</f>
        <v>2800</v>
      </c>
      <c r="B97" s="27" t="s">
        <v>18</v>
      </c>
      <c r="C97" s="65">
        <v>0</v>
      </c>
      <c r="D97" s="26">
        <f t="shared" ref="D97:AL97" si="174">IF(D$3="","",D96*D91)</f>
        <v>0</v>
      </c>
      <c r="E97" s="26">
        <f t="shared" si="174"/>
        <v>0</v>
      </c>
      <c r="F97" s="54">
        <f t="shared" si="174"/>
        <v>0</v>
      </c>
      <c r="G97" s="26">
        <f t="shared" si="174"/>
        <v>0</v>
      </c>
      <c r="H97" s="26">
        <f t="shared" si="174"/>
        <v>400</v>
      </c>
      <c r="I97" s="54">
        <f t="shared" si="174"/>
        <v>0</v>
      </c>
      <c r="J97" s="26">
        <f t="shared" si="174"/>
        <v>0</v>
      </c>
      <c r="K97" s="26">
        <f t="shared" si="174"/>
        <v>800</v>
      </c>
      <c r="L97" s="54">
        <f t="shared" si="174"/>
        <v>0</v>
      </c>
      <c r="M97" s="26">
        <f t="shared" si="174"/>
        <v>0</v>
      </c>
      <c r="N97" s="26">
        <f t="shared" si="174"/>
        <v>0</v>
      </c>
      <c r="O97" s="26">
        <f t="shared" si="174"/>
        <v>400</v>
      </c>
      <c r="P97" s="54">
        <f t="shared" si="174"/>
        <v>0</v>
      </c>
      <c r="Q97" s="26">
        <f t="shared" si="174"/>
        <v>0</v>
      </c>
      <c r="R97" s="26">
        <f t="shared" si="174"/>
        <v>400</v>
      </c>
      <c r="S97" s="26">
        <f t="shared" si="174"/>
        <v>0</v>
      </c>
      <c r="T97" s="26">
        <f t="shared" si="174"/>
        <v>0</v>
      </c>
      <c r="U97" s="26">
        <f t="shared" si="174"/>
        <v>0</v>
      </c>
      <c r="V97" s="26">
        <f t="shared" si="174"/>
        <v>0</v>
      </c>
      <c r="W97" s="26">
        <f t="shared" si="174"/>
        <v>0</v>
      </c>
      <c r="X97" s="26">
        <f t="shared" si="174"/>
        <v>0</v>
      </c>
      <c r="Y97" s="26">
        <f t="shared" si="174"/>
        <v>0</v>
      </c>
      <c r="Z97" s="26">
        <f t="shared" si="174"/>
        <v>0</v>
      </c>
      <c r="AA97" s="26">
        <f t="shared" si="174"/>
        <v>0</v>
      </c>
      <c r="AB97" s="26">
        <f t="shared" si="174"/>
        <v>0</v>
      </c>
      <c r="AC97" s="26">
        <f t="shared" si="174"/>
        <v>0</v>
      </c>
      <c r="AD97" s="26">
        <f t="shared" si="174"/>
        <v>0</v>
      </c>
      <c r="AE97" s="26">
        <f t="shared" si="174"/>
        <v>0</v>
      </c>
      <c r="AF97" s="26">
        <f t="shared" si="174"/>
        <v>800</v>
      </c>
      <c r="AG97" s="26" t="str">
        <f t="shared" si="174"/>
        <v/>
      </c>
      <c r="AH97" s="26" t="str">
        <f t="shared" si="174"/>
        <v/>
      </c>
      <c r="AI97" s="26" t="str">
        <f t="shared" si="174"/>
        <v/>
      </c>
      <c r="AJ97" s="26" t="str">
        <f t="shared" si="174"/>
        <v/>
      </c>
      <c r="AK97" s="26" t="str">
        <f t="shared" si="174"/>
        <v/>
      </c>
      <c r="AL97" s="26" t="str">
        <f t="shared" si="174"/>
        <v/>
      </c>
      <c r="AM97" s="26" t="str">
        <f t="shared" ref="AM97:AS97" si="175">IF(AM$3="","",AM96*AM91)</f>
        <v/>
      </c>
      <c r="AN97" s="26" t="str">
        <f t="shared" si="175"/>
        <v/>
      </c>
      <c r="AO97" s="26" t="str">
        <f t="shared" si="175"/>
        <v/>
      </c>
      <c r="AP97" s="26" t="str">
        <f t="shared" si="175"/>
        <v/>
      </c>
      <c r="AQ97" s="26" t="str">
        <f t="shared" si="175"/>
        <v/>
      </c>
      <c r="AR97" s="26" t="str">
        <f t="shared" si="175"/>
        <v/>
      </c>
      <c r="AS97" s="26" t="str">
        <f t="shared" si="175"/>
        <v/>
      </c>
    </row>
    <row r="98" spans="1:45" ht="12" thickBot="1">
      <c r="A98" s="4">
        <f>IF(A97="","",A97/(A94*100))</f>
        <v>5.2730696798493411E-2</v>
      </c>
      <c r="B98" s="24" t="s">
        <v>20</v>
      </c>
      <c r="C98" s="67" t="s">
        <v>21</v>
      </c>
      <c r="D98" s="23" t="str">
        <f t="shared" ref="D98:AL98" si="176">IF(D$3="","",IF(D97=0,"",D97/(D94*100)))</f>
        <v/>
      </c>
      <c r="E98" s="23" t="str">
        <f t="shared" si="176"/>
        <v/>
      </c>
      <c r="F98" s="52" t="str">
        <f t="shared" si="176"/>
        <v/>
      </c>
      <c r="G98" s="23" t="str">
        <f t="shared" si="176"/>
        <v/>
      </c>
      <c r="H98" s="23">
        <f t="shared" si="176"/>
        <v>0.23529411764705882</v>
      </c>
      <c r="I98" s="52" t="str">
        <f t="shared" si="176"/>
        <v/>
      </c>
      <c r="J98" s="23" t="str">
        <f t="shared" si="176"/>
        <v/>
      </c>
      <c r="K98" s="23">
        <f t="shared" si="176"/>
        <v>5.5555555555555552E-2</v>
      </c>
      <c r="L98" s="52" t="str">
        <f t="shared" si="176"/>
        <v/>
      </c>
      <c r="M98" s="23" t="str">
        <f t="shared" si="176"/>
        <v/>
      </c>
      <c r="N98" s="23" t="str">
        <f t="shared" si="176"/>
        <v/>
      </c>
      <c r="O98" s="23">
        <f t="shared" si="176"/>
        <v>0.16666666666666666</v>
      </c>
      <c r="P98" s="52" t="str">
        <f t="shared" si="176"/>
        <v/>
      </c>
      <c r="Q98" s="23" t="str">
        <f t="shared" si="176"/>
        <v/>
      </c>
      <c r="R98" s="23">
        <f t="shared" si="176"/>
        <v>0.11428571428571428</v>
      </c>
      <c r="S98" s="23" t="str">
        <f t="shared" si="176"/>
        <v/>
      </c>
      <c r="T98" s="23" t="str">
        <f t="shared" si="176"/>
        <v/>
      </c>
      <c r="U98" s="23" t="str">
        <f t="shared" si="176"/>
        <v/>
      </c>
      <c r="V98" s="23" t="str">
        <f t="shared" si="176"/>
        <v/>
      </c>
      <c r="W98" s="23" t="str">
        <f t="shared" si="176"/>
        <v/>
      </c>
      <c r="X98" s="23" t="str">
        <f t="shared" si="176"/>
        <v/>
      </c>
      <c r="Y98" s="23" t="str">
        <f t="shared" si="176"/>
        <v/>
      </c>
      <c r="Z98" s="23" t="str">
        <f t="shared" si="176"/>
        <v/>
      </c>
      <c r="AA98" s="23" t="str">
        <f t="shared" si="176"/>
        <v/>
      </c>
      <c r="AB98" s="23" t="str">
        <f t="shared" si="176"/>
        <v/>
      </c>
      <c r="AC98" s="23" t="str">
        <f t="shared" si="176"/>
        <v/>
      </c>
      <c r="AD98" s="23" t="str">
        <f t="shared" si="176"/>
        <v/>
      </c>
      <c r="AE98" s="23" t="str">
        <f t="shared" si="176"/>
        <v/>
      </c>
      <c r="AF98" s="23">
        <f t="shared" si="176"/>
        <v>9.4117647058823528E-2</v>
      </c>
      <c r="AG98" s="23" t="str">
        <f t="shared" si="176"/>
        <v/>
      </c>
      <c r="AH98" s="23" t="str">
        <f t="shared" si="176"/>
        <v/>
      </c>
      <c r="AI98" s="23" t="str">
        <f t="shared" si="176"/>
        <v/>
      </c>
      <c r="AJ98" s="23" t="str">
        <f t="shared" si="176"/>
        <v/>
      </c>
      <c r="AK98" s="23" t="str">
        <f t="shared" si="176"/>
        <v/>
      </c>
      <c r="AL98" s="23" t="str">
        <f t="shared" si="176"/>
        <v/>
      </c>
      <c r="AM98" s="23" t="str">
        <f t="shared" ref="AM98:AS98" si="177">IF(AM$3="","",IF(AM97=0,"",AM97/(AM94*100)))</f>
        <v/>
      </c>
      <c r="AN98" s="23" t="str">
        <f t="shared" si="177"/>
        <v/>
      </c>
      <c r="AO98" s="23" t="str">
        <f t="shared" si="177"/>
        <v/>
      </c>
      <c r="AP98" s="23" t="str">
        <f t="shared" si="177"/>
        <v/>
      </c>
      <c r="AQ98" s="23" t="str">
        <f t="shared" si="177"/>
        <v/>
      </c>
      <c r="AR98" s="23" t="str">
        <f t="shared" si="177"/>
        <v/>
      </c>
      <c r="AS98" s="23" t="str">
        <f t="shared" si="177"/>
        <v/>
      </c>
    </row>
    <row r="99" spans="1:45">
      <c r="A99" s="17" t="s">
        <v>1</v>
      </c>
      <c r="B99" s="39" t="s">
        <v>2</v>
      </c>
      <c r="C99" s="66">
        <v>2459</v>
      </c>
      <c r="D99" s="38">
        <f>IF(D$3="","",C99)</f>
        <v>2459</v>
      </c>
      <c r="E99" s="38">
        <v>2503</v>
      </c>
      <c r="F99" s="127">
        <f>IF(F$3="","",E99)</f>
        <v>2503</v>
      </c>
      <c r="G99" s="38">
        <f>IF(G$3="","",F99)</f>
        <v>2503</v>
      </c>
      <c r="H99" s="38">
        <v>2517</v>
      </c>
      <c r="I99" s="127">
        <f>IF(I$3="","",H99)</f>
        <v>2517</v>
      </c>
      <c r="J99" s="38">
        <f>IF(J$3="","",I99)</f>
        <v>2517</v>
      </c>
      <c r="K99" s="38">
        <v>2546</v>
      </c>
      <c r="L99" s="127">
        <f t="shared" ref="L99:N100" si="178">IF(L$3="","",K99)</f>
        <v>2546</v>
      </c>
      <c r="M99" s="38">
        <f t="shared" si="178"/>
        <v>2546</v>
      </c>
      <c r="N99" s="38">
        <f t="shared" si="178"/>
        <v>2546</v>
      </c>
      <c r="O99" s="38">
        <v>2563</v>
      </c>
      <c r="P99" s="127">
        <f>IF(P$3="","",O99)</f>
        <v>2563</v>
      </c>
      <c r="Q99" s="38">
        <f>IF(Q$3="","",P99)</f>
        <v>2563</v>
      </c>
      <c r="R99" s="38">
        <v>2646</v>
      </c>
      <c r="S99" s="38">
        <f t="shared" ref="S99:AL99" si="179">IF(S$3="","",R99)</f>
        <v>2646</v>
      </c>
      <c r="T99" s="38">
        <f t="shared" si="179"/>
        <v>2646</v>
      </c>
      <c r="U99" s="38">
        <f t="shared" si="179"/>
        <v>2646</v>
      </c>
      <c r="V99" s="38">
        <v>2668</v>
      </c>
      <c r="W99" s="38">
        <f t="shared" si="179"/>
        <v>2668</v>
      </c>
      <c r="X99" s="38">
        <f t="shared" si="179"/>
        <v>2668</v>
      </c>
      <c r="Y99" s="38">
        <v>2678</v>
      </c>
      <c r="Z99" s="38">
        <f t="shared" si="179"/>
        <v>2678</v>
      </c>
      <c r="AA99" s="38">
        <f t="shared" si="179"/>
        <v>2678</v>
      </c>
      <c r="AB99" s="38">
        <f t="shared" si="179"/>
        <v>2678</v>
      </c>
      <c r="AC99" s="38">
        <v>2729</v>
      </c>
      <c r="AD99" s="38">
        <f t="shared" si="179"/>
        <v>2729</v>
      </c>
      <c r="AE99" s="38">
        <f t="shared" si="179"/>
        <v>2729</v>
      </c>
      <c r="AF99" s="38">
        <v>2754</v>
      </c>
      <c r="AG99" s="38" t="str">
        <f t="shared" si="179"/>
        <v/>
      </c>
      <c r="AH99" s="38" t="str">
        <f t="shared" si="179"/>
        <v/>
      </c>
      <c r="AI99" s="38" t="str">
        <f t="shared" si="179"/>
        <v/>
      </c>
      <c r="AJ99" s="38" t="str">
        <f t="shared" si="179"/>
        <v/>
      </c>
      <c r="AK99" s="38" t="str">
        <f t="shared" si="179"/>
        <v/>
      </c>
      <c r="AL99" s="38" t="str">
        <f t="shared" si="179"/>
        <v/>
      </c>
      <c r="AM99" s="38" t="str">
        <f t="shared" ref="AM99:AS99" si="180">IF(AM$3="","",AL99)</f>
        <v/>
      </c>
      <c r="AN99" s="38" t="str">
        <f t="shared" si="180"/>
        <v/>
      </c>
      <c r="AO99" s="38" t="str">
        <f t="shared" si="180"/>
        <v/>
      </c>
      <c r="AP99" s="38" t="str">
        <f t="shared" si="180"/>
        <v/>
      </c>
      <c r="AQ99" s="38" t="str">
        <f t="shared" si="180"/>
        <v/>
      </c>
      <c r="AR99" s="38" t="str">
        <f t="shared" si="180"/>
        <v/>
      </c>
      <c r="AS99" s="38" t="str">
        <f t="shared" si="180"/>
        <v/>
      </c>
    </row>
    <row r="100" spans="1:45">
      <c r="A100" s="16" t="s">
        <v>35</v>
      </c>
      <c r="B100" s="30" t="s">
        <v>4</v>
      </c>
      <c r="C100" s="65">
        <v>45</v>
      </c>
      <c r="D100" s="29">
        <f>IF(D$3="","",C100)</f>
        <v>45</v>
      </c>
      <c r="E100" s="29">
        <f>IF(E$3="","",D100)</f>
        <v>45</v>
      </c>
      <c r="F100" s="54">
        <f>IF(F$3="","",E100)</f>
        <v>45</v>
      </c>
      <c r="G100" s="29">
        <f>IF(G$3="","",F100)</f>
        <v>45</v>
      </c>
      <c r="H100" s="29">
        <v>47</v>
      </c>
      <c r="I100" s="54">
        <f>IF(I$3="","",H100)</f>
        <v>47</v>
      </c>
      <c r="J100" s="29">
        <f>IF(J$3="","",I100)</f>
        <v>47</v>
      </c>
      <c r="K100" s="29">
        <f>IF(K$3="","",J100)</f>
        <v>47</v>
      </c>
      <c r="L100" s="54">
        <f t="shared" si="178"/>
        <v>47</v>
      </c>
      <c r="M100" s="29">
        <f t="shared" si="178"/>
        <v>47</v>
      </c>
      <c r="N100" s="29">
        <f t="shared" si="178"/>
        <v>47</v>
      </c>
      <c r="O100" s="29">
        <f>IF(O$3="","",N100)</f>
        <v>47</v>
      </c>
      <c r="P100" s="54">
        <f>IF(P$3="","",O100)</f>
        <v>47</v>
      </c>
      <c r="Q100" s="29">
        <f>IF(Q$3="","",P100)</f>
        <v>47</v>
      </c>
      <c r="R100" s="29">
        <v>48</v>
      </c>
      <c r="S100" s="29">
        <f t="shared" ref="S100:AL100" si="181">IF(S$3="","",R100)</f>
        <v>48</v>
      </c>
      <c r="T100" s="29">
        <f t="shared" si="181"/>
        <v>48</v>
      </c>
      <c r="U100" s="29">
        <f t="shared" si="181"/>
        <v>48</v>
      </c>
      <c r="V100" s="29">
        <f t="shared" si="181"/>
        <v>48</v>
      </c>
      <c r="W100" s="29">
        <f t="shared" si="181"/>
        <v>48</v>
      </c>
      <c r="X100" s="29">
        <f t="shared" si="181"/>
        <v>48</v>
      </c>
      <c r="Y100" s="29">
        <f t="shared" si="181"/>
        <v>48</v>
      </c>
      <c r="Z100" s="29">
        <f t="shared" si="181"/>
        <v>48</v>
      </c>
      <c r="AA100" s="29">
        <f t="shared" si="181"/>
        <v>48</v>
      </c>
      <c r="AB100" s="29">
        <f t="shared" si="181"/>
        <v>48</v>
      </c>
      <c r="AC100" s="29">
        <v>50</v>
      </c>
      <c r="AD100" s="29">
        <f t="shared" si="181"/>
        <v>50</v>
      </c>
      <c r="AE100" s="29">
        <f t="shared" si="181"/>
        <v>50</v>
      </c>
      <c r="AF100" s="29">
        <f t="shared" si="181"/>
        <v>50</v>
      </c>
      <c r="AG100" s="29" t="str">
        <f t="shared" si="181"/>
        <v/>
      </c>
      <c r="AH100" s="29" t="str">
        <f t="shared" si="181"/>
        <v/>
      </c>
      <c r="AI100" s="29" t="str">
        <f t="shared" si="181"/>
        <v/>
      </c>
      <c r="AJ100" s="29" t="str">
        <f t="shared" si="181"/>
        <v/>
      </c>
      <c r="AK100" s="29" t="str">
        <f t="shared" si="181"/>
        <v/>
      </c>
      <c r="AL100" s="29" t="str">
        <f t="shared" si="181"/>
        <v/>
      </c>
      <c r="AM100" s="29" t="str">
        <f t="shared" ref="AM100:AS100" si="182">IF(AM$3="","",AL100)</f>
        <v/>
      </c>
      <c r="AN100" s="29" t="str">
        <f t="shared" si="182"/>
        <v/>
      </c>
      <c r="AO100" s="29" t="str">
        <f t="shared" si="182"/>
        <v/>
      </c>
      <c r="AP100" s="29" t="str">
        <f t="shared" si="182"/>
        <v/>
      </c>
      <c r="AQ100" s="29" t="str">
        <f t="shared" si="182"/>
        <v/>
      </c>
      <c r="AR100" s="29" t="str">
        <f t="shared" si="182"/>
        <v/>
      </c>
      <c r="AS100" s="29" t="str">
        <f t="shared" si="182"/>
        <v/>
      </c>
    </row>
    <row r="101" spans="1:45">
      <c r="A101" s="15">
        <v>1</v>
      </c>
      <c r="B101" s="30" t="s">
        <v>5</v>
      </c>
      <c r="C101" s="65">
        <v>7</v>
      </c>
      <c r="D101" s="29">
        <f>IF(D$3="","",(C101+C102))</f>
        <v>7</v>
      </c>
      <c r="E101" s="29">
        <f>IF(E$3="","",(D101+D102))</f>
        <v>7</v>
      </c>
      <c r="F101" s="54">
        <f>IF(F$3="","",(E101+E102))</f>
        <v>10</v>
      </c>
      <c r="G101" s="29">
        <f>IF(G$3="","",(F101+F102))</f>
        <v>10</v>
      </c>
      <c r="H101" s="29">
        <v>9</v>
      </c>
      <c r="I101" s="54">
        <f t="shared" ref="I101:Q101" si="183">IF(I$3="","",(H101+H102))</f>
        <v>9</v>
      </c>
      <c r="J101" s="29">
        <f t="shared" si="183"/>
        <v>9</v>
      </c>
      <c r="K101" s="29">
        <f t="shared" si="183"/>
        <v>9</v>
      </c>
      <c r="L101" s="54">
        <f t="shared" si="183"/>
        <v>9</v>
      </c>
      <c r="M101" s="29">
        <f t="shared" si="183"/>
        <v>9</v>
      </c>
      <c r="N101" s="29">
        <f t="shared" si="183"/>
        <v>9</v>
      </c>
      <c r="O101" s="29">
        <f t="shared" si="183"/>
        <v>9</v>
      </c>
      <c r="P101" s="54">
        <f t="shared" si="183"/>
        <v>9</v>
      </c>
      <c r="Q101" s="29">
        <f t="shared" si="183"/>
        <v>9</v>
      </c>
      <c r="R101" s="29">
        <v>7</v>
      </c>
      <c r="S101" s="29">
        <f t="shared" ref="S101:AL101" si="184">IF(S$3="","",(R101+R102))</f>
        <v>9</v>
      </c>
      <c r="T101" s="29">
        <f t="shared" si="184"/>
        <v>9</v>
      </c>
      <c r="U101" s="29">
        <f t="shared" si="184"/>
        <v>9</v>
      </c>
      <c r="V101" s="29">
        <f t="shared" si="184"/>
        <v>9</v>
      </c>
      <c r="W101" s="29">
        <f t="shared" si="184"/>
        <v>9</v>
      </c>
      <c r="X101" s="29">
        <f t="shared" si="184"/>
        <v>9</v>
      </c>
      <c r="Y101" s="29">
        <f t="shared" si="184"/>
        <v>9</v>
      </c>
      <c r="Z101" s="29">
        <f t="shared" si="184"/>
        <v>9</v>
      </c>
      <c r="AA101" s="29">
        <f t="shared" si="184"/>
        <v>9</v>
      </c>
      <c r="AB101" s="29">
        <f t="shared" si="184"/>
        <v>9</v>
      </c>
      <c r="AC101" s="29">
        <v>8</v>
      </c>
      <c r="AD101" s="29">
        <f t="shared" si="184"/>
        <v>8</v>
      </c>
      <c r="AE101" s="29">
        <f t="shared" si="184"/>
        <v>8</v>
      </c>
      <c r="AF101" s="29">
        <f t="shared" si="184"/>
        <v>8</v>
      </c>
      <c r="AG101" s="29" t="str">
        <f t="shared" si="184"/>
        <v/>
      </c>
      <c r="AH101" s="29" t="str">
        <f t="shared" si="184"/>
        <v/>
      </c>
      <c r="AI101" s="29" t="str">
        <f t="shared" si="184"/>
        <v/>
      </c>
      <c r="AJ101" s="29" t="str">
        <f t="shared" si="184"/>
        <v/>
      </c>
      <c r="AK101" s="29" t="str">
        <f t="shared" si="184"/>
        <v/>
      </c>
      <c r="AL101" s="29" t="str">
        <f t="shared" si="184"/>
        <v/>
      </c>
      <c r="AM101" s="29" t="str">
        <f t="shared" ref="AM101:AS101" si="185">IF(AM$3="","",(AL101+AL102))</f>
        <v/>
      </c>
      <c r="AN101" s="29" t="str">
        <f t="shared" si="185"/>
        <v/>
      </c>
      <c r="AO101" s="29" t="str">
        <f t="shared" si="185"/>
        <v/>
      </c>
      <c r="AP101" s="29" t="str">
        <f t="shared" si="185"/>
        <v/>
      </c>
      <c r="AQ101" s="29" t="str">
        <f t="shared" si="185"/>
        <v/>
      </c>
      <c r="AR101" s="29" t="str">
        <f t="shared" si="185"/>
        <v/>
      </c>
      <c r="AS101" s="29" t="str">
        <f t="shared" si="185"/>
        <v/>
      </c>
    </row>
    <row r="102" spans="1:45">
      <c r="A102" s="101" t="s">
        <v>6</v>
      </c>
      <c r="B102" s="30" t="s">
        <v>7</v>
      </c>
      <c r="C102" s="65"/>
      <c r="D102" s="29"/>
      <c r="E102" s="29">
        <v>3</v>
      </c>
      <c r="F102" s="54"/>
      <c r="G102" s="29"/>
      <c r="H102" s="29"/>
      <c r="I102" s="54"/>
      <c r="J102" s="29"/>
      <c r="K102" s="29"/>
      <c r="L102" s="54"/>
      <c r="M102" s="29"/>
      <c r="N102" s="29"/>
      <c r="O102" s="29"/>
      <c r="P102" s="54"/>
      <c r="Q102" s="29"/>
      <c r="R102" s="29">
        <v>2</v>
      </c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>
      <c r="A103" s="102">
        <f>+(A106+A118+A130+A142)*100</f>
        <v>107400</v>
      </c>
      <c r="B103" s="30" t="s">
        <v>8</v>
      </c>
      <c r="C103" s="64">
        <v>800</v>
      </c>
      <c r="D103" s="35">
        <f t="shared" ref="D103:AL103" si="186">IF(D$3="","",C103)</f>
        <v>800</v>
      </c>
      <c r="E103" s="35">
        <f t="shared" si="186"/>
        <v>800</v>
      </c>
      <c r="F103" s="128">
        <f t="shared" si="186"/>
        <v>800</v>
      </c>
      <c r="G103" s="35">
        <f t="shared" si="186"/>
        <v>800</v>
      </c>
      <c r="H103" s="35">
        <f t="shared" si="186"/>
        <v>800</v>
      </c>
      <c r="I103" s="128">
        <f t="shared" si="186"/>
        <v>800</v>
      </c>
      <c r="J103" s="35">
        <f t="shared" si="186"/>
        <v>800</v>
      </c>
      <c r="K103" s="35">
        <f t="shared" si="186"/>
        <v>800</v>
      </c>
      <c r="L103" s="128">
        <f t="shared" si="186"/>
        <v>800</v>
      </c>
      <c r="M103" s="35">
        <f t="shared" si="186"/>
        <v>800</v>
      </c>
      <c r="N103" s="35">
        <f t="shared" si="186"/>
        <v>800</v>
      </c>
      <c r="O103" s="35">
        <f t="shared" si="186"/>
        <v>800</v>
      </c>
      <c r="P103" s="128">
        <f t="shared" si="186"/>
        <v>800</v>
      </c>
      <c r="Q103" s="35">
        <f t="shared" si="186"/>
        <v>800</v>
      </c>
      <c r="R103" s="35">
        <f t="shared" si="186"/>
        <v>800</v>
      </c>
      <c r="S103" s="35">
        <f t="shared" si="186"/>
        <v>800</v>
      </c>
      <c r="T103" s="35">
        <f t="shared" si="186"/>
        <v>800</v>
      </c>
      <c r="U103" s="35">
        <f t="shared" si="186"/>
        <v>800</v>
      </c>
      <c r="V103" s="35">
        <f t="shared" si="186"/>
        <v>800</v>
      </c>
      <c r="W103" s="35">
        <f t="shared" si="186"/>
        <v>800</v>
      </c>
      <c r="X103" s="35">
        <f t="shared" si="186"/>
        <v>800</v>
      </c>
      <c r="Y103" s="35">
        <f t="shared" si="186"/>
        <v>800</v>
      </c>
      <c r="Z103" s="35">
        <f t="shared" si="186"/>
        <v>800</v>
      </c>
      <c r="AA103" s="35">
        <f t="shared" si="186"/>
        <v>800</v>
      </c>
      <c r="AB103" s="35">
        <f t="shared" si="186"/>
        <v>800</v>
      </c>
      <c r="AC103" s="35">
        <f t="shared" si="186"/>
        <v>800</v>
      </c>
      <c r="AD103" s="35">
        <f t="shared" si="186"/>
        <v>800</v>
      </c>
      <c r="AE103" s="35">
        <f t="shared" si="186"/>
        <v>800</v>
      </c>
      <c r="AF103" s="35">
        <f t="shared" si="186"/>
        <v>800</v>
      </c>
      <c r="AG103" s="35" t="str">
        <f t="shared" si="186"/>
        <v/>
      </c>
      <c r="AH103" s="35" t="str">
        <f t="shared" si="186"/>
        <v/>
      </c>
      <c r="AI103" s="35" t="str">
        <f t="shared" si="186"/>
        <v/>
      </c>
      <c r="AJ103" s="35" t="str">
        <f t="shared" si="186"/>
        <v/>
      </c>
      <c r="AK103" s="35" t="str">
        <f t="shared" si="186"/>
        <v/>
      </c>
      <c r="AL103" s="35" t="str">
        <f t="shared" si="186"/>
        <v/>
      </c>
      <c r="AM103" s="35" t="str">
        <f t="shared" ref="AM103:AS103" si="187">IF(AM$3="","",AL103)</f>
        <v/>
      </c>
      <c r="AN103" s="35" t="str">
        <f t="shared" si="187"/>
        <v/>
      </c>
      <c r="AO103" s="35" t="str">
        <f t="shared" si="187"/>
        <v/>
      </c>
      <c r="AP103" s="35" t="str">
        <f t="shared" si="187"/>
        <v/>
      </c>
      <c r="AQ103" s="35" t="str">
        <f t="shared" si="187"/>
        <v/>
      </c>
      <c r="AR103" s="35" t="str">
        <f t="shared" si="187"/>
        <v/>
      </c>
      <c r="AS103" s="35" t="str">
        <f t="shared" si="187"/>
        <v/>
      </c>
    </row>
    <row r="104" spans="1:45" s="94" customFormat="1">
      <c r="A104" s="14" t="s">
        <v>9</v>
      </c>
      <c r="B104" s="33" t="s">
        <v>10</v>
      </c>
      <c r="C104" s="63" t="s">
        <v>36</v>
      </c>
      <c r="D104" s="32" t="str">
        <f t="shared" ref="D104:AL104" si="188">IF(D$3="","",C104)</f>
        <v>ジャグラーイヤホン</v>
      </c>
      <c r="E104" s="32" t="str">
        <f t="shared" si="188"/>
        <v>ジャグラーイヤホン</v>
      </c>
      <c r="F104" s="129" t="str">
        <f t="shared" si="188"/>
        <v>ジャグラーイヤホン</v>
      </c>
      <c r="G104" s="32" t="str">
        <f t="shared" si="188"/>
        <v>ジャグラーイヤホン</v>
      </c>
      <c r="H104" s="32" t="str">
        <f t="shared" si="188"/>
        <v>ジャグラーイヤホン</v>
      </c>
      <c r="I104" s="129" t="str">
        <f t="shared" si="188"/>
        <v>ジャグラーイヤホン</v>
      </c>
      <c r="J104" s="32" t="str">
        <f t="shared" si="188"/>
        <v>ジャグラーイヤホン</v>
      </c>
      <c r="K104" s="32" t="str">
        <f t="shared" si="188"/>
        <v>ジャグラーイヤホン</v>
      </c>
      <c r="L104" s="129" t="str">
        <f t="shared" si="188"/>
        <v>ジャグラーイヤホン</v>
      </c>
      <c r="M104" s="32" t="str">
        <f t="shared" si="188"/>
        <v>ジャグラーイヤホン</v>
      </c>
      <c r="N104" s="32" t="str">
        <f t="shared" si="188"/>
        <v>ジャグラーイヤホン</v>
      </c>
      <c r="O104" s="32" t="str">
        <f t="shared" si="188"/>
        <v>ジャグラーイヤホン</v>
      </c>
      <c r="P104" s="129" t="str">
        <f t="shared" si="188"/>
        <v>ジャグラーイヤホン</v>
      </c>
      <c r="Q104" s="32" t="str">
        <f t="shared" si="188"/>
        <v>ジャグラーイヤホン</v>
      </c>
      <c r="R104" s="32" t="str">
        <f t="shared" si="188"/>
        <v>ジャグラーイヤホン</v>
      </c>
      <c r="S104" s="32" t="str">
        <f t="shared" si="188"/>
        <v>ジャグラーイヤホン</v>
      </c>
      <c r="T104" s="32" t="str">
        <f t="shared" si="188"/>
        <v>ジャグラーイヤホン</v>
      </c>
      <c r="U104" s="32" t="str">
        <f t="shared" si="188"/>
        <v>ジャグラーイヤホン</v>
      </c>
      <c r="V104" s="32" t="str">
        <f t="shared" si="188"/>
        <v>ジャグラーイヤホン</v>
      </c>
      <c r="W104" s="32" t="str">
        <f t="shared" si="188"/>
        <v>ジャグラーイヤホン</v>
      </c>
      <c r="X104" s="32" t="str">
        <f t="shared" si="188"/>
        <v>ジャグラーイヤホン</v>
      </c>
      <c r="Y104" s="32" t="str">
        <f t="shared" si="188"/>
        <v>ジャグラーイヤホン</v>
      </c>
      <c r="Z104" s="32" t="str">
        <f t="shared" si="188"/>
        <v>ジャグラーイヤホン</v>
      </c>
      <c r="AA104" s="32" t="str">
        <f t="shared" si="188"/>
        <v>ジャグラーイヤホン</v>
      </c>
      <c r="AB104" s="32" t="str">
        <f t="shared" si="188"/>
        <v>ジャグラーイヤホン</v>
      </c>
      <c r="AC104" s="32" t="str">
        <f t="shared" si="188"/>
        <v>ジャグラーイヤホン</v>
      </c>
      <c r="AD104" s="32" t="str">
        <f t="shared" si="188"/>
        <v>ジャグラーイヤホン</v>
      </c>
      <c r="AE104" s="32" t="str">
        <f t="shared" si="188"/>
        <v>ジャグラーイヤホン</v>
      </c>
      <c r="AF104" s="32" t="str">
        <f t="shared" si="188"/>
        <v>ジャグラーイヤホン</v>
      </c>
      <c r="AG104" s="32" t="str">
        <f t="shared" si="188"/>
        <v/>
      </c>
      <c r="AH104" s="32" t="str">
        <f t="shared" si="188"/>
        <v/>
      </c>
      <c r="AI104" s="32" t="str">
        <f t="shared" si="188"/>
        <v/>
      </c>
      <c r="AJ104" s="32" t="str">
        <f t="shared" si="188"/>
        <v/>
      </c>
      <c r="AK104" s="32" t="str">
        <f t="shared" si="188"/>
        <v/>
      </c>
      <c r="AL104" s="32" t="str">
        <f t="shared" si="188"/>
        <v/>
      </c>
      <c r="AM104" s="32" t="str">
        <f t="shared" ref="AM104:AS104" si="189">IF(AM$3="","",AL104)</f>
        <v/>
      </c>
      <c r="AN104" s="32" t="str">
        <f t="shared" si="189"/>
        <v/>
      </c>
      <c r="AO104" s="32" t="str">
        <f t="shared" si="189"/>
        <v/>
      </c>
      <c r="AP104" s="32" t="str">
        <f t="shared" si="189"/>
        <v/>
      </c>
      <c r="AQ104" s="32" t="str">
        <f t="shared" si="189"/>
        <v/>
      </c>
      <c r="AR104" s="32" t="str">
        <f t="shared" si="189"/>
        <v/>
      </c>
      <c r="AS104" s="32" t="str">
        <f t="shared" si="189"/>
        <v/>
      </c>
    </row>
    <row r="105" spans="1:45">
      <c r="A105" s="7">
        <f>AVERAGE(C106:AS106)*30*100</f>
        <v>29500</v>
      </c>
      <c r="B105" s="30" t="s">
        <v>14</v>
      </c>
      <c r="C105" s="65"/>
      <c r="D105" s="29"/>
      <c r="E105" s="29"/>
      <c r="F105" s="54"/>
      <c r="G105" s="29"/>
      <c r="H105" s="29"/>
      <c r="I105" s="54"/>
      <c r="J105" s="29"/>
      <c r="K105" s="29"/>
      <c r="L105" s="54"/>
      <c r="M105" s="29"/>
      <c r="N105" s="29"/>
      <c r="O105" s="29"/>
      <c r="P105" s="54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>
      <c r="A106" s="7">
        <f>SUM(C106:AS106)</f>
        <v>295</v>
      </c>
      <c r="B106" s="27" t="s">
        <v>15</v>
      </c>
      <c r="C106" s="65">
        <v>0</v>
      </c>
      <c r="D106" s="26">
        <f t="shared" ref="D106:AL106" si="190">IF(D$3="","",D99-C99)</f>
        <v>0</v>
      </c>
      <c r="E106" s="26">
        <f t="shared" si="190"/>
        <v>44</v>
      </c>
      <c r="F106" s="54">
        <f t="shared" si="190"/>
        <v>0</v>
      </c>
      <c r="G106" s="26">
        <f t="shared" si="190"/>
        <v>0</v>
      </c>
      <c r="H106" s="26">
        <f t="shared" si="190"/>
        <v>14</v>
      </c>
      <c r="I106" s="54">
        <f t="shared" si="190"/>
        <v>0</v>
      </c>
      <c r="J106" s="26">
        <f t="shared" si="190"/>
        <v>0</v>
      </c>
      <c r="K106" s="26">
        <f t="shared" si="190"/>
        <v>29</v>
      </c>
      <c r="L106" s="54">
        <f t="shared" si="190"/>
        <v>0</v>
      </c>
      <c r="M106" s="26">
        <f t="shared" si="190"/>
        <v>0</v>
      </c>
      <c r="N106" s="26">
        <f t="shared" si="190"/>
        <v>0</v>
      </c>
      <c r="O106" s="26">
        <f t="shared" si="190"/>
        <v>17</v>
      </c>
      <c r="P106" s="54">
        <f t="shared" si="190"/>
        <v>0</v>
      </c>
      <c r="Q106" s="26">
        <f t="shared" si="190"/>
        <v>0</v>
      </c>
      <c r="R106" s="26">
        <f t="shared" si="190"/>
        <v>83</v>
      </c>
      <c r="S106" s="26">
        <f t="shared" si="190"/>
        <v>0</v>
      </c>
      <c r="T106" s="26">
        <f t="shared" si="190"/>
        <v>0</v>
      </c>
      <c r="U106" s="26">
        <f t="shared" si="190"/>
        <v>0</v>
      </c>
      <c r="V106" s="26">
        <f t="shared" si="190"/>
        <v>22</v>
      </c>
      <c r="W106" s="26">
        <f t="shared" si="190"/>
        <v>0</v>
      </c>
      <c r="X106" s="26">
        <f t="shared" si="190"/>
        <v>0</v>
      </c>
      <c r="Y106" s="26">
        <f t="shared" si="190"/>
        <v>10</v>
      </c>
      <c r="Z106" s="26">
        <f t="shared" si="190"/>
        <v>0</v>
      </c>
      <c r="AA106" s="26">
        <f t="shared" si="190"/>
        <v>0</v>
      </c>
      <c r="AB106" s="26">
        <f t="shared" si="190"/>
        <v>0</v>
      </c>
      <c r="AC106" s="26">
        <f t="shared" si="190"/>
        <v>51</v>
      </c>
      <c r="AD106" s="26">
        <f t="shared" si="190"/>
        <v>0</v>
      </c>
      <c r="AE106" s="26">
        <f t="shared" si="190"/>
        <v>0</v>
      </c>
      <c r="AF106" s="26">
        <f t="shared" si="190"/>
        <v>25</v>
      </c>
      <c r="AG106" s="26" t="str">
        <f t="shared" si="190"/>
        <v/>
      </c>
      <c r="AH106" s="26" t="str">
        <f t="shared" si="190"/>
        <v/>
      </c>
      <c r="AI106" s="26" t="str">
        <f t="shared" si="190"/>
        <v/>
      </c>
      <c r="AJ106" s="26" t="str">
        <f t="shared" si="190"/>
        <v/>
      </c>
      <c r="AK106" s="26" t="str">
        <f t="shared" si="190"/>
        <v/>
      </c>
      <c r="AL106" s="26" t="str">
        <f t="shared" si="190"/>
        <v/>
      </c>
      <c r="AM106" s="26" t="str">
        <f t="shared" ref="AM106:AS106" si="191">IF(AM$3="","",AM99-AL99)</f>
        <v/>
      </c>
      <c r="AN106" s="26" t="str">
        <f t="shared" si="191"/>
        <v/>
      </c>
      <c r="AO106" s="26" t="str">
        <f t="shared" si="191"/>
        <v/>
      </c>
      <c r="AP106" s="26" t="str">
        <f t="shared" si="191"/>
        <v/>
      </c>
      <c r="AQ106" s="26" t="str">
        <f t="shared" si="191"/>
        <v/>
      </c>
      <c r="AR106" s="26" t="str">
        <f t="shared" si="191"/>
        <v/>
      </c>
      <c r="AS106" s="26" t="str">
        <f t="shared" si="191"/>
        <v/>
      </c>
    </row>
    <row r="107" spans="1:45">
      <c r="A107" s="7">
        <f>SUM(C107:AS107)</f>
        <v>5</v>
      </c>
      <c r="B107" s="27" t="s">
        <v>16</v>
      </c>
      <c r="C107" s="65">
        <v>0</v>
      </c>
      <c r="D107" s="26">
        <f t="shared" ref="D107:AL107" si="192">IF(D$3="","",D100-C100)</f>
        <v>0</v>
      </c>
      <c r="E107" s="26">
        <f t="shared" si="192"/>
        <v>0</v>
      </c>
      <c r="F107" s="54">
        <f t="shared" si="192"/>
        <v>0</v>
      </c>
      <c r="G107" s="26">
        <f t="shared" si="192"/>
        <v>0</v>
      </c>
      <c r="H107" s="26">
        <f t="shared" si="192"/>
        <v>2</v>
      </c>
      <c r="I107" s="54">
        <f t="shared" si="192"/>
        <v>0</v>
      </c>
      <c r="J107" s="26">
        <f t="shared" si="192"/>
        <v>0</v>
      </c>
      <c r="K107" s="26">
        <f t="shared" si="192"/>
        <v>0</v>
      </c>
      <c r="L107" s="54">
        <f t="shared" si="192"/>
        <v>0</v>
      </c>
      <c r="M107" s="26">
        <f t="shared" si="192"/>
        <v>0</v>
      </c>
      <c r="N107" s="26">
        <f t="shared" si="192"/>
        <v>0</v>
      </c>
      <c r="O107" s="26">
        <f t="shared" si="192"/>
        <v>0</v>
      </c>
      <c r="P107" s="54">
        <f t="shared" si="192"/>
        <v>0</v>
      </c>
      <c r="Q107" s="26">
        <f t="shared" si="192"/>
        <v>0</v>
      </c>
      <c r="R107" s="26">
        <f t="shared" si="192"/>
        <v>1</v>
      </c>
      <c r="S107" s="26">
        <f t="shared" si="192"/>
        <v>0</v>
      </c>
      <c r="T107" s="26">
        <f t="shared" si="192"/>
        <v>0</v>
      </c>
      <c r="U107" s="26">
        <f t="shared" si="192"/>
        <v>0</v>
      </c>
      <c r="V107" s="26">
        <f t="shared" si="192"/>
        <v>0</v>
      </c>
      <c r="W107" s="26">
        <f t="shared" si="192"/>
        <v>0</v>
      </c>
      <c r="X107" s="26">
        <f t="shared" si="192"/>
        <v>0</v>
      </c>
      <c r="Y107" s="26">
        <f t="shared" si="192"/>
        <v>0</v>
      </c>
      <c r="Z107" s="26">
        <f t="shared" si="192"/>
        <v>0</v>
      </c>
      <c r="AA107" s="26">
        <f t="shared" si="192"/>
        <v>0</v>
      </c>
      <c r="AB107" s="26">
        <f t="shared" si="192"/>
        <v>0</v>
      </c>
      <c r="AC107" s="26">
        <f t="shared" si="192"/>
        <v>2</v>
      </c>
      <c r="AD107" s="26">
        <f t="shared" si="192"/>
        <v>0</v>
      </c>
      <c r="AE107" s="26">
        <f t="shared" si="192"/>
        <v>0</v>
      </c>
      <c r="AF107" s="26">
        <f t="shared" si="192"/>
        <v>0</v>
      </c>
      <c r="AG107" s="26" t="str">
        <f t="shared" si="192"/>
        <v/>
      </c>
      <c r="AH107" s="26" t="str">
        <f t="shared" si="192"/>
        <v/>
      </c>
      <c r="AI107" s="26" t="str">
        <f t="shared" si="192"/>
        <v/>
      </c>
      <c r="AJ107" s="26" t="str">
        <f t="shared" si="192"/>
        <v/>
      </c>
      <c r="AK107" s="26" t="str">
        <f t="shared" si="192"/>
        <v/>
      </c>
      <c r="AL107" s="26" t="str">
        <f t="shared" si="192"/>
        <v/>
      </c>
      <c r="AM107" s="26" t="str">
        <f t="shared" ref="AM107:AS107" si="193">IF(AM$3="","",AM100-AL100)</f>
        <v/>
      </c>
      <c r="AN107" s="26" t="str">
        <f t="shared" si="193"/>
        <v/>
      </c>
      <c r="AO107" s="26" t="str">
        <f t="shared" si="193"/>
        <v/>
      </c>
      <c r="AP107" s="26" t="str">
        <f t="shared" si="193"/>
        <v/>
      </c>
      <c r="AQ107" s="26" t="str">
        <f t="shared" si="193"/>
        <v/>
      </c>
      <c r="AR107" s="26" t="str">
        <f t="shared" si="193"/>
        <v/>
      </c>
      <c r="AS107" s="26" t="str">
        <f t="shared" si="193"/>
        <v/>
      </c>
    </row>
    <row r="108" spans="1:45">
      <c r="A108" s="7">
        <f>SUM(C108:AS108)</f>
        <v>4</v>
      </c>
      <c r="B108" s="27" t="s">
        <v>17</v>
      </c>
      <c r="C108" s="65">
        <v>0</v>
      </c>
      <c r="D108" s="26">
        <f t="shared" ref="D108:AL108" si="194">IF(D$3="","",C101+C102-D101)</f>
        <v>0</v>
      </c>
      <c r="E108" s="26">
        <f t="shared" si="194"/>
        <v>0</v>
      </c>
      <c r="F108" s="54">
        <f t="shared" si="194"/>
        <v>0</v>
      </c>
      <c r="G108" s="26">
        <f t="shared" si="194"/>
        <v>0</v>
      </c>
      <c r="H108" s="26">
        <f t="shared" si="194"/>
        <v>1</v>
      </c>
      <c r="I108" s="54">
        <f t="shared" si="194"/>
        <v>0</v>
      </c>
      <c r="J108" s="26">
        <f t="shared" si="194"/>
        <v>0</v>
      </c>
      <c r="K108" s="26">
        <f t="shared" si="194"/>
        <v>0</v>
      </c>
      <c r="L108" s="54">
        <f t="shared" si="194"/>
        <v>0</v>
      </c>
      <c r="M108" s="26">
        <f t="shared" si="194"/>
        <v>0</v>
      </c>
      <c r="N108" s="26">
        <f t="shared" si="194"/>
        <v>0</v>
      </c>
      <c r="O108" s="26">
        <f t="shared" si="194"/>
        <v>0</v>
      </c>
      <c r="P108" s="54">
        <f t="shared" si="194"/>
        <v>0</v>
      </c>
      <c r="Q108" s="26">
        <f t="shared" si="194"/>
        <v>0</v>
      </c>
      <c r="R108" s="26">
        <f t="shared" si="194"/>
        <v>2</v>
      </c>
      <c r="S108" s="26">
        <f t="shared" si="194"/>
        <v>0</v>
      </c>
      <c r="T108" s="26">
        <f t="shared" si="194"/>
        <v>0</v>
      </c>
      <c r="U108" s="26">
        <f t="shared" si="194"/>
        <v>0</v>
      </c>
      <c r="V108" s="26">
        <f t="shared" si="194"/>
        <v>0</v>
      </c>
      <c r="W108" s="26">
        <f t="shared" si="194"/>
        <v>0</v>
      </c>
      <c r="X108" s="26">
        <f t="shared" si="194"/>
        <v>0</v>
      </c>
      <c r="Y108" s="26">
        <f t="shared" si="194"/>
        <v>0</v>
      </c>
      <c r="Z108" s="26">
        <f t="shared" si="194"/>
        <v>0</v>
      </c>
      <c r="AA108" s="26">
        <f t="shared" si="194"/>
        <v>0</v>
      </c>
      <c r="AB108" s="26">
        <f t="shared" si="194"/>
        <v>0</v>
      </c>
      <c r="AC108" s="26">
        <f t="shared" si="194"/>
        <v>1</v>
      </c>
      <c r="AD108" s="26">
        <f t="shared" si="194"/>
        <v>0</v>
      </c>
      <c r="AE108" s="26">
        <f t="shared" si="194"/>
        <v>0</v>
      </c>
      <c r="AF108" s="26">
        <f t="shared" si="194"/>
        <v>0</v>
      </c>
      <c r="AG108" s="26" t="str">
        <f t="shared" si="194"/>
        <v/>
      </c>
      <c r="AH108" s="26" t="str">
        <f t="shared" si="194"/>
        <v/>
      </c>
      <c r="AI108" s="26" t="str">
        <f t="shared" si="194"/>
        <v/>
      </c>
      <c r="AJ108" s="26" t="str">
        <f t="shared" si="194"/>
        <v/>
      </c>
      <c r="AK108" s="26" t="str">
        <f t="shared" si="194"/>
        <v/>
      </c>
      <c r="AL108" s="26" t="str">
        <f t="shared" si="194"/>
        <v/>
      </c>
      <c r="AM108" s="26" t="str">
        <f t="shared" ref="AM108:AS108" si="195">IF(AM$3="","",AL101+AL102-AM101)</f>
        <v/>
      </c>
      <c r="AN108" s="26" t="str">
        <f t="shared" si="195"/>
        <v/>
      </c>
      <c r="AO108" s="26" t="str">
        <f t="shared" si="195"/>
        <v/>
      </c>
      <c r="AP108" s="26" t="str">
        <f t="shared" si="195"/>
        <v/>
      </c>
      <c r="AQ108" s="26" t="str">
        <f t="shared" si="195"/>
        <v/>
      </c>
      <c r="AR108" s="26" t="str">
        <f t="shared" si="195"/>
        <v/>
      </c>
      <c r="AS108" s="26" t="str">
        <f t="shared" si="195"/>
        <v/>
      </c>
    </row>
    <row r="109" spans="1:45">
      <c r="A109" s="7">
        <f>SUM(C109:AS109)</f>
        <v>3200</v>
      </c>
      <c r="B109" s="27" t="s">
        <v>18</v>
      </c>
      <c r="C109" s="65">
        <v>0</v>
      </c>
      <c r="D109" s="26">
        <f t="shared" ref="D109:AL109" si="196">IF(D$3="","",D108*D103)</f>
        <v>0</v>
      </c>
      <c r="E109" s="26">
        <f t="shared" si="196"/>
        <v>0</v>
      </c>
      <c r="F109" s="54">
        <f t="shared" si="196"/>
        <v>0</v>
      </c>
      <c r="G109" s="26">
        <f t="shared" si="196"/>
        <v>0</v>
      </c>
      <c r="H109" s="26">
        <f t="shared" si="196"/>
        <v>800</v>
      </c>
      <c r="I109" s="54">
        <f t="shared" si="196"/>
        <v>0</v>
      </c>
      <c r="J109" s="26">
        <f t="shared" si="196"/>
        <v>0</v>
      </c>
      <c r="K109" s="26">
        <f t="shared" si="196"/>
        <v>0</v>
      </c>
      <c r="L109" s="54">
        <f t="shared" si="196"/>
        <v>0</v>
      </c>
      <c r="M109" s="26">
        <f t="shared" si="196"/>
        <v>0</v>
      </c>
      <c r="N109" s="26">
        <f t="shared" si="196"/>
        <v>0</v>
      </c>
      <c r="O109" s="26">
        <f t="shared" si="196"/>
        <v>0</v>
      </c>
      <c r="P109" s="54">
        <f t="shared" si="196"/>
        <v>0</v>
      </c>
      <c r="Q109" s="26">
        <f t="shared" si="196"/>
        <v>0</v>
      </c>
      <c r="R109" s="26">
        <f t="shared" si="196"/>
        <v>1600</v>
      </c>
      <c r="S109" s="26">
        <f t="shared" si="196"/>
        <v>0</v>
      </c>
      <c r="T109" s="26">
        <f t="shared" si="196"/>
        <v>0</v>
      </c>
      <c r="U109" s="26">
        <f t="shared" si="196"/>
        <v>0</v>
      </c>
      <c r="V109" s="26">
        <f t="shared" si="196"/>
        <v>0</v>
      </c>
      <c r="W109" s="26">
        <f t="shared" si="196"/>
        <v>0</v>
      </c>
      <c r="X109" s="26">
        <f t="shared" si="196"/>
        <v>0</v>
      </c>
      <c r="Y109" s="26">
        <f t="shared" si="196"/>
        <v>0</v>
      </c>
      <c r="Z109" s="26">
        <f t="shared" si="196"/>
        <v>0</v>
      </c>
      <c r="AA109" s="26">
        <f t="shared" si="196"/>
        <v>0</v>
      </c>
      <c r="AB109" s="26">
        <f t="shared" si="196"/>
        <v>0</v>
      </c>
      <c r="AC109" s="26">
        <f t="shared" si="196"/>
        <v>800</v>
      </c>
      <c r="AD109" s="26">
        <f t="shared" si="196"/>
        <v>0</v>
      </c>
      <c r="AE109" s="26">
        <f t="shared" si="196"/>
        <v>0</v>
      </c>
      <c r="AF109" s="26">
        <f t="shared" si="196"/>
        <v>0</v>
      </c>
      <c r="AG109" s="26" t="str">
        <f t="shared" si="196"/>
        <v/>
      </c>
      <c r="AH109" s="26" t="str">
        <f t="shared" si="196"/>
        <v/>
      </c>
      <c r="AI109" s="26" t="str">
        <f t="shared" si="196"/>
        <v/>
      </c>
      <c r="AJ109" s="26" t="str">
        <f t="shared" si="196"/>
        <v/>
      </c>
      <c r="AK109" s="26" t="str">
        <f t="shared" si="196"/>
        <v/>
      </c>
      <c r="AL109" s="26" t="str">
        <f t="shared" si="196"/>
        <v/>
      </c>
      <c r="AM109" s="26" t="str">
        <f t="shared" ref="AM109:AS109" si="197">IF(AM$3="","",AM108*AM103)</f>
        <v/>
      </c>
      <c r="AN109" s="26" t="str">
        <f t="shared" si="197"/>
        <v/>
      </c>
      <c r="AO109" s="26" t="str">
        <f t="shared" si="197"/>
        <v/>
      </c>
      <c r="AP109" s="26" t="str">
        <f t="shared" si="197"/>
        <v/>
      </c>
      <c r="AQ109" s="26" t="str">
        <f t="shared" si="197"/>
        <v/>
      </c>
      <c r="AR109" s="26" t="str">
        <f t="shared" si="197"/>
        <v/>
      </c>
      <c r="AS109" s="26" t="str">
        <f t="shared" si="197"/>
        <v/>
      </c>
    </row>
    <row r="110" spans="1:45" ht="12" thickBot="1">
      <c r="A110" s="4">
        <f>IF(A109="","",A109/(A106*100))</f>
        <v>0.10847457627118644</v>
      </c>
      <c r="B110" s="27" t="s">
        <v>20</v>
      </c>
      <c r="C110" s="68" t="s">
        <v>21</v>
      </c>
      <c r="D110" s="44" t="str">
        <f t="shared" ref="D110:AL110" si="198">IF(D$3="","",IF(D109=0,"",D109/(D106*100)))</f>
        <v/>
      </c>
      <c r="E110" s="44" t="str">
        <f t="shared" si="198"/>
        <v/>
      </c>
      <c r="F110" s="132" t="str">
        <f t="shared" si="198"/>
        <v/>
      </c>
      <c r="G110" s="44" t="str">
        <f t="shared" si="198"/>
        <v/>
      </c>
      <c r="H110" s="44">
        <f t="shared" si="198"/>
        <v>0.5714285714285714</v>
      </c>
      <c r="I110" s="132" t="str">
        <f t="shared" si="198"/>
        <v/>
      </c>
      <c r="J110" s="44" t="str">
        <f t="shared" si="198"/>
        <v/>
      </c>
      <c r="K110" s="44" t="str">
        <f t="shared" si="198"/>
        <v/>
      </c>
      <c r="L110" s="132" t="str">
        <f t="shared" si="198"/>
        <v/>
      </c>
      <c r="M110" s="44" t="str">
        <f t="shared" si="198"/>
        <v/>
      </c>
      <c r="N110" s="44" t="str">
        <f t="shared" si="198"/>
        <v/>
      </c>
      <c r="O110" s="44" t="str">
        <f t="shared" si="198"/>
        <v/>
      </c>
      <c r="P110" s="132" t="str">
        <f t="shared" si="198"/>
        <v/>
      </c>
      <c r="Q110" s="44" t="str">
        <f t="shared" si="198"/>
        <v/>
      </c>
      <c r="R110" s="44">
        <f t="shared" si="198"/>
        <v>0.19277108433734941</v>
      </c>
      <c r="S110" s="44" t="str">
        <f t="shared" si="198"/>
        <v/>
      </c>
      <c r="T110" s="44" t="str">
        <f t="shared" si="198"/>
        <v/>
      </c>
      <c r="U110" s="44" t="str">
        <f t="shared" si="198"/>
        <v/>
      </c>
      <c r="V110" s="44" t="str">
        <f t="shared" si="198"/>
        <v/>
      </c>
      <c r="W110" s="44" t="str">
        <f t="shared" si="198"/>
        <v/>
      </c>
      <c r="X110" s="44" t="str">
        <f t="shared" si="198"/>
        <v/>
      </c>
      <c r="Y110" s="44" t="str">
        <f t="shared" si="198"/>
        <v/>
      </c>
      <c r="Z110" s="44" t="str">
        <f t="shared" si="198"/>
        <v/>
      </c>
      <c r="AA110" s="44" t="str">
        <f t="shared" si="198"/>
        <v/>
      </c>
      <c r="AB110" s="44" t="str">
        <f t="shared" si="198"/>
        <v/>
      </c>
      <c r="AC110" s="44">
        <f t="shared" si="198"/>
        <v>0.15686274509803921</v>
      </c>
      <c r="AD110" s="44" t="str">
        <f t="shared" si="198"/>
        <v/>
      </c>
      <c r="AE110" s="44" t="str">
        <f t="shared" si="198"/>
        <v/>
      </c>
      <c r="AF110" s="44" t="str">
        <f t="shared" si="198"/>
        <v/>
      </c>
      <c r="AG110" s="44" t="str">
        <f t="shared" si="198"/>
        <v/>
      </c>
      <c r="AH110" s="44" t="str">
        <f t="shared" si="198"/>
        <v/>
      </c>
      <c r="AI110" s="44" t="str">
        <f t="shared" si="198"/>
        <v/>
      </c>
      <c r="AJ110" s="44" t="str">
        <f t="shared" si="198"/>
        <v/>
      </c>
      <c r="AK110" s="44" t="str">
        <f t="shared" si="198"/>
        <v/>
      </c>
      <c r="AL110" s="44" t="str">
        <f t="shared" si="198"/>
        <v/>
      </c>
      <c r="AM110" s="44" t="str">
        <f t="shared" ref="AM110:AS110" si="199">IF(AM$3="","",IF(AM109=0,"",AM109/(AM106*100)))</f>
        <v/>
      </c>
      <c r="AN110" s="44" t="str">
        <f t="shared" si="199"/>
        <v/>
      </c>
      <c r="AO110" s="44" t="str">
        <f t="shared" si="199"/>
        <v/>
      </c>
      <c r="AP110" s="44" t="str">
        <f t="shared" si="199"/>
        <v/>
      </c>
      <c r="AQ110" s="44" t="str">
        <f t="shared" si="199"/>
        <v/>
      </c>
      <c r="AR110" s="44" t="str">
        <f t="shared" si="199"/>
        <v/>
      </c>
      <c r="AS110" s="44" t="str">
        <f t="shared" si="199"/>
        <v/>
      </c>
    </row>
    <row r="111" spans="1:45">
      <c r="A111" s="17" t="s">
        <v>1</v>
      </c>
      <c r="B111" s="42" t="s">
        <v>2</v>
      </c>
      <c r="C111" s="64">
        <v>2643</v>
      </c>
      <c r="D111" s="35">
        <f>IF(D$3="","",C111)</f>
        <v>2643</v>
      </c>
      <c r="E111" s="35">
        <v>2661</v>
      </c>
      <c r="F111" s="128">
        <f>IF(F$3="","",E111)</f>
        <v>2661</v>
      </c>
      <c r="G111" s="35">
        <f>IF(G$3="","",F111)</f>
        <v>2661</v>
      </c>
      <c r="H111" s="35">
        <v>2683</v>
      </c>
      <c r="I111" s="128">
        <f>IF(I$3="","",H111)</f>
        <v>2683</v>
      </c>
      <c r="J111" s="35">
        <f>IF(J$3="","",I111)</f>
        <v>2683</v>
      </c>
      <c r="K111" s="35">
        <v>2712</v>
      </c>
      <c r="L111" s="128">
        <f t="shared" ref="L111:N112" si="200">IF(L$3="","",K111)</f>
        <v>2712</v>
      </c>
      <c r="M111" s="35">
        <f t="shared" si="200"/>
        <v>2712</v>
      </c>
      <c r="N111" s="35">
        <f t="shared" si="200"/>
        <v>2712</v>
      </c>
      <c r="O111" s="35">
        <v>2745</v>
      </c>
      <c r="P111" s="128">
        <f>IF(P$3="","",O111)</f>
        <v>2745</v>
      </c>
      <c r="Q111" s="35">
        <f>IF(Q$3="","",P111)</f>
        <v>2745</v>
      </c>
      <c r="R111" s="35">
        <v>2761</v>
      </c>
      <c r="S111" s="35">
        <f t="shared" ref="S111:AL111" si="201">IF(S$3="","",R111)</f>
        <v>2761</v>
      </c>
      <c r="T111" s="35">
        <f t="shared" si="201"/>
        <v>2761</v>
      </c>
      <c r="U111" s="35">
        <f t="shared" si="201"/>
        <v>2761</v>
      </c>
      <c r="V111" s="35">
        <v>2772</v>
      </c>
      <c r="W111" s="35">
        <f t="shared" si="201"/>
        <v>2772</v>
      </c>
      <c r="X111" s="35">
        <f t="shared" si="201"/>
        <v>2772</v>
      </c>
      <c r="Y111" s="35">
        <v>2810</v>
      </c>
      <c r="Z111" s="35">
        <f t="shared" si="201"/>
        <v>2810</v>
      </c>
      <c r="AA111" s="35">
        <f t="shared" si="201"/>
        <v>2810</v>
      </c>
      <c r="AB111" s="35">
        <f t="shared" si="201"/>
        <v>2810</v>
      </c>
      <c r="AC111" s="35">
        <v>2818</v>
      </c>
      <c r="AD111" s="35">
        <f t="shared" si="201"/>
        <v>2818</v>
      </c>
      <c r="AE111" s="35">
        <f t="shared" si="201"/>
        <v>2818</v>
      </c>
      <c r="AF111" s="35">
        <v>2835</v>
      </c>
      <c r="AG111" s="35" t="str">
        <f t="shared" si="201"/>
        <v/>
      </c>
      <c r="AH111" s="35" t="str">
        <f t="shared" si="201"/>
        <v/>
      </c>
      <c r="AI111" s="35" t="str">
        <f t="shared" si="201"/>
        <v/>
      </c>
      <c r="AJ111" s="35" t="str">
        <f t="shared" si="201"/>
        <v/>
      </c>
      <c r="AK111" s="35" t="str">
        <f t="shared" si="201"/>
        <v/>
      </c>
      <c r="AL111" s="35" t="str">
        <f t="shared" si="201"/>
        <v/>
      </c>
      <c r="AM111" s="35" t="str">
        <f t="shared" ref="AM111:AS111" si="202">IF(AM$3="","",AL111)</f>
        <v/>
      </c>
      <c r="AN111" s="35" t="str">
        <f t="shared" si="202"/>
        <v/>
      </c>
      <c r="AO111" s="35" t="str">
        <f t="shared" si="202"/>
        <v/>
      </c>
      <c r="AP111" s="35" t="str">
        <f t="shared" si="202"/>
        <v/>
      </c>
      <c r="AQ111" s="35" t="str">
        <f t="shared" si="202"/>
        <v/>
      </c>
      <c r="AR111" s="35" t="str">
        <f t="shared" si="202"/>
        <v/>
      </c>
      <c r="AS111" s="35" t="str">
        <f t="shared" si="202"/>
        <v/>
      </c>
    </row>
    <row r="112" spans="1:45">
      <c r="A112" s="16" t="s">
        <v>37</v>
      </c>
      <c r="B112" s="30" t="s">
        <v>4</v>
      </c>
      <c r="C112" s="65">
        <v>60</v>
      </c>
      <c r="D112" s="29">
        <f>IF(D$3="","",C112)</f>
        <v>60</v>
      </c>
      <c r="E112" s="29">
        <v>61</v>
      </c>
      <c r="F112" s="54">
        <f>IF(F$3="","",E112)</f>
        <v>61</v>
      </c>
      <c r="G112" s="29">
        <f>IF(G$3="","",F112)</f>
        <v>61</v>
      </c>
      <c r="H112" s="29">
        <v>62</v>
      </c>
      <c r="I112" s="54">
        <f>IF(I$3="","",H112)</f>
        <v>62</v>
      </c>
      <c r="J112" s="29">
        <f>IF(J$3="","",I112)</f>
        <v>62</v>
      </c>
      <c r="K112" s="29">
        <v>64</v>
      </c>
      <c r="L112" s="54">
        <f t="shared" si="200"/>
        <v>64</v>
      </c>
      <c r="M112" s="29">
        <f t="shared" si="200"/>
        <v>64</v>
      </c>
      <c r="N112" s="29">
        <f t="shared" si="200"/>
        <v>64</v>
      </c>
      <c r="O112" s="29">
        <v>69</v>
      </c>
      <c r="P112" s="54">
        <f>IF(P$3="","",O112)</f>
        <v>69</v>
      </c>
      <c r="Q112" s="29">
        <f>IF(Q$3="","",P112)</f>
        <v>69</v>
      </c>
      <c r="R112" s="29">
        <v>71</v>
      </c>
      <c r="S112" s="29">
        <f t="shared" ref="S112:AL112" si="203">IF(S$3="","",R112)</f>
        <v>71</v>
      </c>
      <c r="T112" s="29">
        <f t="shared" si="203"/>
        <v>71</v>
      </c>
      <c r="U112" s="29">
        <f t="shared" si="203"/>
        <v>71</v>
      </c>
      <c r="V112" s="29">
        <f t="shared" si="203"/>
        <v>71</v>
      </c>
      <c r="W112" s="29">
        <f t="shared" si="203"/>
        <v>71</v>
      </c>
      <c r="X112" s="29">
        <f t="shared" si="203"/>
        <v>71</v>
      </c>
      <c r="Y112" s="29">
        <v>73</v>
      </c>
      <c r="Z112" s="29">
        <f t="shared" si="203"/>
        <v>73</v>
      </c>
      <c r="AA112" s="29">
        <f t="shared" si="203"/>
        <v>73</v>
      </c>
      <c r="AB112" s="29">
        <f t="shared" si="203"/>
        <v>73</v>
      </c>
      <c r="AC112" s="29">
        <v>74</v>
      </c>
      <c r="AD112" s="29">
        <f t="shared" si="203"/>
        <v>74</v>
      </c>
      <c r="AE112" s="29">
        <f t="shared" si="203"/>
        <v>74</v>
      </c>
      <c r="AF112" s="29">
        <v>75</v>
      </c>
      <c r="AG112" s="29" t="str">
        <f t="shared" si="203"/>
        <v/>
      </c>
      <c r="AH112" s="29" t="str">
        <f t="shared" si="203"/>
        <v/>
      </c>
      <c r="AI112" s="29" t="str">
        <f t="shared" si="203"/>
        <v/>
      </c>
      <c r="AJ112" s="29" t="str">
        <f t="shared" si="203"/>
        <v/>
      </c>
      <c r="AK112" s="29" t="str">
        <f t="shared" si="203"/>
        <v/>
      </c>
      <c r="AL112" s="29" t="str">
        <f t="shared" si="203"/>
        <v/>
      </c>
      <c r="AM112" s="29" t="str">
        <f t="shared" ref="AM112:AS112" si="204">IF(AM$3="","",AL112)</f>
        <v/>
      </c>
      <c r="AN112" s="29" t="str">
        <f t="shared" si="204"/>
        <v/>
      </c>
      <c r="AO112" s="29" t="str">
        <f t="shared" si="204"/>
        <v/>
      </c>
      <c r="AP112" s="29" t="str">
        <f t="shared" si="204"/>
        <v/>
      </c>
      <c r="AQ112" s="29" t="str">
        <f t="shared" si="204"/>
        <v/>
      </c>
      <c r="AR112" s="29" t="str">
        <f t="shared" si="204"/>
        <v/>
      </c>
      <c r="AS112" s="29" t="str">
        <f t="shared" si="204"/>
        <v/>
      </c>
    </row>
    <row r="113" spans="1:45">
      <c r="A113" s="15">
        <v>2</v>
      </c>
      <c r="B113" s="30" t="s">
        <v>5</v>
      </c>
      <c r="C113" s="65">
        <v>7</v>
      </c>
      <c r="D113" s="29">
        <f>IF(D$3="","",(C113+C114))</f>
        <v>7</v>
      </c>
      <c r="E113" s="29">
        <v>6</v>
      </c>
      <c r="F113" s="54">
        <f>IF(F$3="","",(E113+E114))</f>
        <v>40</v>
      </c>
      <c r="G113" s="29">
        <f>IF(G$3="","",(F113+F114))</f>
        <v>40</v>
      </c>
      <c r="H113" s="29">
        <v>39</v>
      </c>
      <c r="I113" s="54">
        <f>IF(I$3="","",(H113+H114))</f>
        <v>39</v>
      </c>
      <c r="J113" s="29">
        <f>IF(J$3="","",(I113+I114))</f>
        <v>39</v>
      </c>
      <c r="K113" s="29">
        <v>37</v>
      </c>
      <c r="L113" s="54">
        <f>IF(L$3="","",(K113+K114))</f>
        <v>37</v>
      </c>
      <c r="M113" s="29">
        <f>IF(M$3="","",(L113+L114))</f>
        <v>37</v>
      </c>
      <c r="N113" s="29">
        <f>IF(N$3="","",(M113+M114))</f>
        <v>37</v>
      </c>
      <c r="O113" s="29">
        <v>32</v>
      </c>
      <c r="P113" s="54">
        <f>IF(P$3="","",(O113+O114))</f>
        <v>32</v>
      </c>
      <c r="Q113" s="29">
        <f>IF(Q$3="","",(P113+P114))</f>
        <v>32</v>
      </c>
      <c r="R113" s="29">
        <v>31</v>
      </c>
      <c r="S113" s="29">
        <f t="shared" ref="S113:AL113" si="205">IF(S$3="","",(R113+R114))</f>
        <v>31</v>
      </c>
      <c r="T113" s="29">
        <f t="shared" si="205"/>
        <v>31</v>
      </c>
      <c r="U113" s="29">
        <f t="shared" si="205"/>
        <v>31</v>
      </c>
      <c r="V113" s="29">
        <f t="shared" si="205"/>
        <v>31</v>
      </c>
      <c r="W113" s="29">
        <f t="shared" si="205"/>
        <v>31</v>
      </c>
      <c r="X113" s="29">
        <f t="shared" si="205"/>
        <v>31</v>
      </c>
      <c r="Y113" s="29">
        <v>30</v>
      </c>
      <c r="Z113" s="29">
        <f t="shared" si="205"/>
        <v>30</v>
      </c>
      <c r="AA113" s="29">
        <f t="shared" si="205"/>
        <v>30</v>
      </c>
      <c r="AB113" s="29">
        <f t="shared" si="205"/>
        <v>30</v>
      </c>
      <c r="AC113" s="29">
        <v>29</v>
      </c>
      <c r="AD113" s="29">
        <f t="shared" si="205"/>
        <v>29</v>
      </c>
      <c r="AE113" s="29">
        <f t="shared" si="205"/>
        <v>29</v>
      </c>
      <c r="AF113" s="29">
        <v>28</v>
      </c>
      <c r="AG113" s="29" t="str">
        <f t="shared" si="205"/>
        <v/>
      </c>
      <c r="AH113" s="29" t="str">
        <f t="shared" si="205"/>
        <v/>
      </c>
      <c r="AI113" s="29" t="str">
        <f t="shared" si="205"/>
        <v/>
      </c>
      <c r="AJ113" s="29" t="str">
        <f t="shared" si="205"/>
        <v/>
      </c>
      <c r="AK113" s="29" t="str">
        <f t="shared" si="205"/>
        <v/>
      </c>
      <c r="AL113" s="29" t="str">
        <f t="shared" si="205"/>
        <v/>
      </c>
      <c r="AM113" s="29" t="str">
        <f t="shared" ref="AM113:AS113" si="206">IF(AM$3="","",(AL113+AL114))</f>
        <v/>
      </c>
      <c r="AN113" s="29" t="str">
        <f t="shared" si="206"/>
        <v/>
      </c>
      <c r="AO113" s="29" t="str">
        <f t="shared" si="206"/>
        <v/>
      </c>
      <c r="AP113" s="29" t="str">
        <f t="shared" si="206"/>
        <v/>
      </c>
      <c r="AQ113" s="29" t="str">
        <f t="shared" si="206"/>
        <v/>
      </c>
      <c r="AR113" s="29" t="str">
        <f t="shared" si="206"/>
        <v/>
      </c>
      <c r="AS113" s="29" t="str">
        <f t="shared" si="206"/>
        <v/>
      </c>
    </row>
    <row r="114" spans="1:45">
      <c r="A114" s="14"/>
      <c r="B114" s="30" t="s">
        <v>7</v>
      </c>
      <c r="C114" s="65"/>
      <c r="D114" s="29"/>
      <c r="E114" s="29">
        <v>34</v>
      </c>
      <c r="F114" s="54"/>
      <c r="G114" s="29"/>
      <c r="H114" s="29"/>
      <c r="I114" s="54"/>
      <c r="J114" s="29"/>
      <c r="K114" s="29"/>
      <c r="L114" s="54"/>
      <c r="M114" s="29"/>
      <c r="N114" s="29"/>
      <c r="O114" s="29"/>
      <c r="P114" s="54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>
        <v>-13</v>
      </c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 spans="1:45">
      <c r="A115" s="7"/>
      <c r="B115" s="30" t="s">
        <v>8</v>
      </c>
      <c r="C115" s="64">
        <v>750</v>
      </c>
      <c r="D115" s="35">
        <f t="shared" ref="D115:AL115" si="207">IF(D$3="","",C115)</f>
        <v>750</v>
      </c>
      <c r="E115" s="35">
        <f t="shared" si="207"/>
        <v>750</v>
      </c>
      <c r="F115" s="128">
        <f t="shared" si="207"/>
        <v>750</v>
      </c>
      <c r="G115" s="35">
        <f t="shared" si="207"/>
        <v>750</v>
      </c>
      <c r="H115" s="35">
        <f t="shared" si="207"/>
        <v>750</v>
      </c>
      <c r="I115" s="128">
        <f t="shared" si="207"/>
        <v>750</v>
      </c>
      <c r="J115" s="35">
        <f t="shared" si="207"/>
        <v>750</v>
      </c>
      <c r="K115" s="35">
        <f t="shared" si="207"/>
        <v>750</v>
      </c>
      <c r="L115" s="128">
        <f t="shared" si="207"/>
        <v>750</v>
      </c>
      <c r="M115" s="35">
        <f t="shared" si="207"/>
        <v>750</v>
      </c>
      <c r="N115" s="35">
        <f t="shared" si="207"/>
        <v>750</v>
      </c>
      <c r="O115" s="35">
        <f t="shared" si="207"/>
        <v>750</v>
      </c>
      <c r="P115" s="128">
        <f t="shared" si="207"/>
        <v>750</v>
      </c>
      <c r="Q115" s="35">
        <f t="shared" si="207"/>
        <v>750</v>
      </c>
      <c r="R115" s="35">
        <f t="shared" si="207"/>
        <v>750</v>
      </c>
      <c r="S115" s="35">
        <f t="shared" si="207"/>
        <v>750</v>
      </c>
      <c r="T115" s="35">
        <f t="shared" si="207"/>
        <v>750</v>
      </c>
      <c r="U115" s="35">
        <f t="shared" si="207"/>
        <v>750</v>
      </c>
      <c r="V115" s="35">
        <f t="shared" si="207"/>
        <v>750</v>
      </c>
      <c r="W115" s="35">
        <f t="shared" si="207"/>
        <v>750</v>
      </c>
      <c r="X115" s="35">
        <f t="shared" si="207"/>
        <v>750</v>
      </c>
      <c r="Y115" s="35">
        <f t="shared" si="207"/>
        <v>750</v>
      </c>
      <c r="Z115" s="35">
        <f t="shared" si="207"/>
        <v>750</v>
      </c>
      <c r="AA115" s="35">
        <f t="shared" si="207"/>
        <v>750</v>
      </c>
      <c r="AB115" s="35">
        <f t="shared" si="207"/>
        <v>750</v>
      </c>
      <c r="AC115" s="35">
        <f t="shared" si="207"/>
        <v>750</v>
      </c>
      <c r="AD115" s="35">
        <f t="shared" si="207"/>
        <v>750</v>
      </c>
      <c r="AE115" s="35">
        <f t="shared" si="207"/>
        <v>750</v>
      </c>
      <c r="AF115" s="35">
        <f t="shared" si="207"/>
        <v>750</v>
      </c>
      <c r="AG115" s="35" t="str">
        <f t="shared" si="207"/>
        <v/>
      </c>
      <c r="AH115" s="35" t="str">
        <f t="shared" si="207"/>
        <v/>
      </c>
      <c r="AI115" s="35" t="str">
        <f t="shared" si="207"/>
        <v/>
      </c>
      <c r="AJ115" s="35" t="str">
        <f t="shared" si="207"/>
        <v/>
      </c>
      <c r="AK115" s="35" t="str">
        <f t="shared" si="207"/>
        <v/>
      </c>
      <c r="AL115" s="35" t="str">
        <f t="shared" si="207"/>
        <v/>
      </c>
      <c r="AM115" s="35" t="str">
        <f t="shared" ref="AM115:AS115" si="208">IF(AM$3="","",AL115)</f>
        <v/>
      </c>
      <c r="AN115" s="35" t="str">
        <f t="shared" si="208"/>
        <v/>
      </c>
      <c r="AO115" s="35" t="str">
        <f t="shared" si="208"/>
        <v/>
      </c>
      <c r="AP115" s="35" t="str">
        <f t="shared" si="208"/>
        <v/>
      </c>
      <c r="AQ115" s="35" t="str">
        <f t="shared" si="208"/>
        <v/>
      </c>
      <c r="AR115" s="35" t="str">
        <f t="shared" si="208"/>
        <v/>
      </c>
      <c r="AS115" s="35" t="str">
        <f t="shared" si="208"/>
        <v/>
      </c>
    </row>
    <row r="116" spans="1:45" s="94" customFormat="1">
      <c r="A116" s="14" t="s">
        <v>9</v>
      </c>
      <c r="B116" s="33" t="s">
        <v>10</v>
      </c>
      <c r="C116" s="63" t="s">
        <v>38</v>
      </c>
      <c r="D116" s="32" t="str">
        <f>IF(D$3="","",C116)</f>
        <v>PRO4</v>
      </c>
      <c r="E116" s="32" t="s">
        <v>39</v>
      </c>
      <c r="F116" s="129" t="str">
        <f t="shared" ref="F116:AL116" si="209">IF(F$3="","",E116)</f>
        <v>ガンキーホルダー</v>
      </c>
      <c r="G116" s="32" t="str">
        <f t="shared" si="209"/>
        <v>ガンキーホルダー</v>
      </c>
      <c r="H116" s="32" t="str">
        <f t="shared" si="209"/>
        <v>ガンキーホルダー</v>
      </c>
      <c r="I116" s="129" t="str">
        <f t="shared" si="209"/>
        <v>ガンキーホルダー</v>
      </c>
      <c r="J116" s="32" t="str">
        <f t="shared" si="209"/>
        <v>ガンキーホルダー</v>
      </c>
      <c r="K116" s="32" t="str">
        <f t="shared" si="209"/>
        <v>ガンキーホルダー</v>
      </c>
      <c r="L116" s="129" t="str">
        <f t="shared" si="209"/>
        <v>ガンキーホルダー</v>
      </c>
      <c r="M116" s="32" t="str">
        <f t="shared" si="209"/>
        <v>ガンキーホルダー</v>
      </c>
      <c r="N116" s="32" t="str">
        <f t="shared" si="209"/>
        <v>ガンキーホルダー</v>
      </c>
      <c r="O116" s="32" t="str">
        <f t="shared" si="209"/>
        <v>ガンキーホルダー</v>
      </c>
      <c r="P116" s="129" t="str">
        <f t="shared" si="209"/>
        <v>ガンキーホルダー</v>
      </c>
      <c r="Q116" s="32" t="str">
        <f t="shared" si="209"/>
        <v>ガンキーホルダー</v>
      </c>
      <c r="R116" s="32" t="str">
        <f t="shared" si="209"/>
        <v>ガンキーホルダー</v>
      </c>
      <c r="S116" s="32" t="str">
        <f t="shared" si="209"/>
        <v>ガンキーホルダー</v>
      </c>
      <c r="T116" s="32" t="str">
        <f t="shared" si="209"/>
        <v>ガンキーホルダー</v>
      </c>
      <c r="U116" s="32" t="str">
        <f t="shared" si="209"/>
        <v>ガンキーホルダー</v>
      </c>
      <c r="V116" s="32" t="str">
        <f t="shared" si="209"/>
        <v>ガンキーホルダー</v>
      </c>
      <c r="W116" s="32" t="str">
        <f t="shared" si="209"/>
        <v>ガンキーホルダー</v>
      </c>
      <c r="X116" s="32" t="str">
        <f t="shared" si="209"/>
        <v>ガンキーホルダー</v>
      </c>
      <c r="Y116" s="32" t="str">
        <f t="shared" si="209"/>
        <v>ガンキーホルダー</v>
      </c>
      <c r="Z116" s="32" t="str">
        <f t="shared" si="209"/>
        <v>ガンキーホルダー</v>
      </c>
      <c r="AA116" s="32" t="str">
        <f t="shared" si="209"/>
        <v>ガンキーホルダー</v>
      </c>
      <c r="AB116" s="32" t="str">
        <f t="shared" si="209"/>
        <v>ガンキーホルダー</v>
      </c>
      <c r="AC116" s="32" t="str">
        <f t="shared" si="209"/>
        <v>ガンキーホルダー</v>
      </c>
      <c r="AD116" s="32" t="str">
        <f t="shared" si="209"/>
        <v>ガンキーホルダー</v>
      </c>
      <c r="AE116" s="32" t="str">
        <f t="shared" si="209"/>
        <v>ガンキーホルダー</v>
      </c>
      <c r="AF116" s="32" t="s">
        <v>411</v>
      </c>
      <c r="AG116" s="32" t="str">
        <f t="shared" si="209"/>
        <v/>
      </c>
      <c r="AH116" s="32" t="str">
        <f t="shared" si="209"/>
        <v/>
      </c>
      <c r="AI116" s="32" t="str">
        <f t="shared" si="209"/>
        <v/>
      </c>
      <c r="AJ116" s="32" t="str">
        <f t="shared" si="209"/>
        <v/>
      </c>
      <c r="AK116" s="32" t="str">
        <f t="shared" si="209"/>
        <v/>
      </c>
      <c r="AL116" s="32" t="str">
        <f t="shared" si="209"/>
        <v/>
      </c>
      <c r="AM116" s="32" t="str">
        <f t="shared" ref="AM116:AS116" si="210">IF(AM$3="","",AL116)</f>
        <v/>
      </c>
      <c r="AN116" s="32" t="str">
        <f t="shared" si="210"/>
        <v/>
      </c>
      <c r="AO116" s="32" t="str">
        <f t="shared" si="210"/>
        <v/>
      </c>
      <c r="AP116" s="32" t="str">
        <f t="shared" si="210"/>
        <v/>
      </c>
      <c r="AQ116" s="32" t="str">
        <f t="shared" si="210"/>
        <v/>
      </c>
      <c r="AR116" s="32" t="str">
        <f t="shared" si="210"/>
        <v/>
      </c>
      <c r="AS116" s="32" t="str">
        <f t="shared" si="210"/>
        <v/>
      </c>
    </row>
    <row r="117" spans="1:45">
      <c r="A117" s="7">
        <f>AVERAGE(C118:AS118)*30*100</f>
        <v>19200</v>
      </c>
      <c r="B117" s="30" t="s">
        <v>14</v>
      </c>
      <c r="C117" s="65"/>
      <c r="D117" s="29"/>
      <c r="E117" s="29"/>
      <c r="F117" s="54"/>
      <c r="G117" s="29"/>
      <c r="H117" s="29"/>
      <c r="I117" s="54"/>
      <c r="J117" s="29"/>
      <c r="K117" s="29"/>
      <c r="L117" s="54"/>
      <c r="M117" s="29"/>
      <c r="N117" s="29"/>
      <c r="O117" s="29"/>
      <c r="P117" s="54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 spans="1:45">
      <c r="A118" s="7">
        <f>SUM(C118:AS118)</f>
        <v>192</v>
      </c>
      <c r="B118" s="27" t="s">
        <v>15</v>
      </c>
      <c r="C118" s="65">
        <v>0</v>
      </c>
      <c r="D118" s="26">
        <f t="shared" ref="D118:AL118" si="211">IF(D$3="","",D111-C111)</f>
        <v>0</v>
      </c>
      <c r="E118" s="26">
        <f t="shared" si="211"/>
        <v>18</v>
      </c>
      <c r="F118" s="54">
        <f t="shared" si="211"/>
        <v>0</v>
      </c>
      <c r="G118" s="26">
        <f t="shared" si="211"/>
        <v>0</v>
      </c>
      <c r="H118" s="26">
        <f t="shared" si="211"/>
        <v>22</v>
      </c>
      <c r="I118" s="54">
        <f t="shared" si="211"/>
        <v>0</v>
      </c>
      <c r="J118" s="26">
        <f t="shared" si="211"/>
        <v>0</v>
      </c>
      <c r="K118" s="26">
        <f t="shared" si="211"/>
        <v>29</v>
      </c>
      <c r="L118" s="54">
        <f t="shared" si="211"/>
        <v>0</v>
      </c>
      <c r="M118" s="26">
        <f t="shared" si="211"/>
        <v>0</v>
      </c>
      <c r="N118" s="26">
        <f t="shared" si="211"/>
        <v>0</v>
      </c>
      <c r="O118" s="26">
        <f t="shared" si="211"/>
        <v>33</v>
      </c>
      <c r="P118" s="54">
        <f t="shared" si="211"/>
        <v>0</v>
      </c>
      <c r="Q118" s="26">
        <f t="shared" si="211"/>
        <v>0</v>
      </c>
      <c r="R118" s="26">
        <f t="shared" si="211"/>
        <v>16</v>
      </c>
      <c r="S118" s="26">
        <f t="shared" si="211"/>
        <v>0</v>
      </c>
      <c r="T118" s="26">
        <f t="shared" si="211"/>
        <v>0</v>
      </c>
      <c r="U118" s="26">
        <f t="shared" si="211"/>
        <v>0</v>
      </c>
      <c r="V118" s="26">
        <f t="shared" si="211"/>
        <v>11</v>
      </c>
      <c r="W118" s="26">
        <f t="shared" si="211"/>
        <v>0</v>
      </c>
      <c r="X118" s="26">
        <f t="shared" si="211"/>
        <v>0</v>
      </c>
      <c r="Y118" s="26">
        <f t="shared" si="211"/>
        <v>38</v>
      </c>
      <c r="Z118" s="26">
        <f t="shared" si="211"/>
        <v>0</v>
      </c>
      <c r="AA118" s="26">
        <f t="shared" si="211"/>
        <v>0</v>
      </c>
      <c r="AB118" s="26">
        <f t="shared" si="211"/>
        <v>0</v>
      </c>
      <c r="AC118" s="26">
        <f t="shared" si="211"/>
        <v>8</v>
      </c>
      <c r="AD118" s="26">
        <f t="shared" si="211"/>
        <v>0</v>
      </c>
      <c r="AE118" s="26">
        <f t="shared" si="211"/>
        <v>0</v>
      </c>
      <c r="AF118" s="26">
        <f t="shared" si="211"/>
        <v>17</v>
      </c>
      <c r="AG118" s="26" t="str">
        <f t="shared" si="211"/>
        <v/>
      </c>
      <c r="AH118" s="26" t="str">
        <f t="shared" si="211"/>
        <v/>
      </c>
      <c r="AI118" s="26" t="str">
        <f t="shared" si="211"/>
        <v/>
      </c>
      <c r="AJ118" s="26" t="str">
        <f t="shared" si="211"/>
        <v/>
      </c>
      <c r="AK118" s="26" t="str">
        <f t="shared" si="211"/>
        <v/>
      </c>
      <c r="AL118" s="26" t="str">
        <f t="shared" si="211"/>
        <v/>
      </c>
      <c r="AM118" s="26" t="str">
        <f t="shared" ref="AM118:AS118" si="212">IF(AM$3="","",AM111-AL111)</f>
        <v/>
      </c>
      <c r="AN118" s="26" t="str">
        <f t="shared" si="212"/>
        <v/>
      </c>
      <c r="AO118" s="26" t="str">
        <f t="shared" si="212"/>
        <v/>
      </c>
      <c r="AP118" s="26" t="str">
        <f t="shared" si="212"/>
        <v/>
      </c>
      <c r="AQ118" s="26" t="str">
        <f t="shared" si="212"/>
        <v/>
      </c>
      <c r="AR118" s="26" t="str">
        <f t="shared" si="212"/>
        <v/>
      </c>
      <c r="AS118" s="26" t="str">
        <f t="shared" si="212"/>
        <v/>
      </c>
    </row>
    <row r="119" spans="1:45">
      <c r="A119" s="7">
        <f>SUM(C119:AS119)</f>
        <v>15</v>
      </c>
      <c r="B119" s="27" t="s">
        <v>16</v>
      </c>
      <c r="C119" s="65">
        <v>0</v>
      </c>
      <c r="D119" s="26">
        <f t="shared" ref="D119:AL119" si="213">IF(D$3="","",D112-C112)</f>
        <v>0</v>
      </c>
      <c r="E119" s="26">
        <f t="shared" si="213"/>
        <v>1</v>
      </c>
      <c r="F119" s="54">
        <f t="shared" si="213"/>
        <v>0</v>
      </c>
      <c r="G119" s="26">
        <f t="shared" si="213"/>
        <v>0</v>
      </c>
      <c r="H119" s="26">
        <f t="shared" si="213"/>
        <v>1</v>
      </c>
      <c r="I119" s="54">
        <f t="shared" si="213"/>
        <v>0</v>
      </c>
      <c r="J119" s="26">
        <f t="shared" si="213"/>
        <v>0</v>
      </c>
      <c r="K119" s="26">
        <f t="shared" si="213"/>
        <v>2</v>
      </c>
      <c r="L119" s="54">
        <f t="shared" si="213"/>
        <v>0</v>
      </c>
      <c r="M119" s="26">
        <f t="shared" si="213"/>
        <v>0</v>
      </c>
      <c r="N119" s="26">
        <f t="shared" si="213"/>
        <v>0</v>
      </c>
      <c r="O119" s="26">
        <f t="shared" si="213"/>
        <v>5</v>
      </c>
      <c r="P119" s="54">
        <f t="shared" si="213"/>
        <v>0</v>
      </c>
      <c r="Q119" s="26">
        <f t="shared" si="213"/>
        <v>0</v>
      </c>
      <c r="R119" s="26">
        <f t="shared" si="213"/>
        <v>2</v>
      </c>
      <c r="S119" s="26">
        <f t="shared" si="213"/>
        <v>0</v>
      </c>
      <c r="T119" s="26">
        <f t="shared" si="213"/>
        <v>0</v>
      </c>
      <c r="U119" s="26">
        <f t="shared" si="213"/>
        <v>0</v>
      </c>
      <c r="V119" s="26">
        <f t="shared" si="213"/>
        <v>0</v>
      </c>
      <c r="W119" s="26">
        <f t="shared" si="213"/>
        <v>0</v>
      </c>
      <c r="X119" s="26">
        <f t="shared" si="213"/>
        <v>0</v>
      </c>
      <c r="Y119" s="26">
        <f t="shared" si="213"/>
        <v>2</v>
      </c>
      <c r="Z119" s="26">
        <f t="shared" si="213"/>
        <v>0</v>
      </c>
      <c r="AA119" s="26">
        <f t="shared" si="213"/>
        <v>0</v>
      </c>
      <c r="AB119" s="26">
        <f t="shared" si="213"/>
        <v>0</v>
      </c>
      <c r="AC119" s="26">
        <f t="shared" si="213"/>
        <v>1</v>
      </c>
      <c r="AD119" s="26">
        <f t="shared" si="213"/>
        <v>0</v>
      </c>
      <c r="AE119" s="26">
        <f t="shared" si="213"/>
        <v>0</v>
      </c>
      <c r="AF119" s="26">
        <f t="shared" si="213"/>
        <v>1</v>
      </c>
      <c r="AG119" s="26" t="str">
        <f t="shared" si="213"/>
        <v/>
      </c>
      <c r="AH119" s="26" t="str">
        <f t="shared" si="213"/>
        <v/>
      </c>
      <c r="AI119" s="26" t="str">
        <f t="shared" si="213"/>
        <v/>
      </c>
      <c r="AJ119" s="26" t="str">
        <f t="shared" si="213"/>
        <v/>
      </c>
      <c r="AK119" s="26" t="str">
        <f t="shared" si="213"/>
        <v/>
      </c>
      <c r="AL119" s="26" t="str">
        <f t="shared" si="213"/>
        <v/>
      </c>
      <c r="AM119" s="26" t="str">
        <f t="shared" ref="AM119:AS119" si="214">IF(AM$3="","",AM112-AL112)</f>
        <v/>
      </c>
      <c r="AN119" s="26" t="str">
        <f t="shared" si="214"/>
        <v/>
      </c>
      <c r="AO119" s="26" t="str">
        <f t="shared" si="214"/>
        <v/>
      </c>
      <c r="AP119" s="26" t="str">
        <f t="shared" si="214"/>
        <v/>
      </c>
      <c r="AQ119" s="26" t="str">
        <f t="shared" si="214"/>
        <v/>
      </c>
      <c r="AR119" s="26" t="str">
        <f t="shared" si="214"/>
        <v/>
      </c>
      <c r="AS119" s="26" t="str">
        <f t="shared" si="214"/>
        <v/>
      </c>
    </row>
    <row r="120" spans="1:45">
      <c r="A120" s="7">
        <f>SUM(C120:AS120)</f>
        <v>13</v>
      </c>
      <c r="B120" s="27" t="s">
        <v>17</v>
      </c>
      <c r="C120" s="65">
        <v>0</v>
      </c>
      <c r="D120" s="26">
        <f t="shared" ref="D120:AL120" si="215">IF(D$3="","",C113+C114-D113)</f>
        <v>0</v>
      </c>
      <c r="E120" s="26">
        <f t="shared" si="215"/>
        <v>1</v>
      </c>
      <c r="F120" s="54">
        <f t="shared" si="215"/>
        <v>0</v>
      </c>
      <c r="G120" s="26">
        <f t="shared" si="215"/>
        <v>0</v>
      </c>
      <c r="H120" s="26">
        <f t="shared" si="215"/>
        <v>1</v>
      </c>
      <c r="I120" s="54">
        <f t="shared" si="215"/>
        <v>0</v>
      </c>
      <c r="J120" s="26">
        <f t="shared" si="215"/>
        <v>0</v>
      </c>
      <c r="K120" s="26">
        <f t="shared" si="215"/>
        <v>2</v>
      </c>
      <c r="L120" s="54">
        <f t="shared" si="215"/>
        <v>0</v>
      </c>
      <c r="M120" s="26">
        <f t="shared" si="215"/>
        <v>0</v>
      </c>
      <c r="N120" s="26">
        <f t="shared" si="215"/>
        <v>0</v>
      </c>
      <c r="O120" s="26">
        <f t="shared" si="215"/>
        <v>5</v>
      </c>
      <c r="P120" s="54">
        <f t="shared" si="215"/>
        <v>0</v>
      </c>
      <c r="Q120" s="26">
        <f t="shared" si="215"/>
        <v>0</v>
      </c>
      <c r="R120" s="26">
        <f t="shared" si="215"/>
        <v>1</v>
      </c>
      <c r="S120" s="26">
        <f t="shared" si="215"/>
        <v>0</v>
      </c>
      <c r="T120" s="26">
        <f t="shared" si="215"/>
        <v>0</v>
      </c>
      <c r="U120" s="26">
        <f t="shared" si="215"/>
        <v>0</v>
      </c>
      <c r="V120" s="26">
        <f t="shared" si="215"/>
        <v>0</v>
      </c>
      <c r="W120" s="26">
        <f t="shared" si="215"/>
        <v>0</v>
      </c>
      <c r="X120" s="26">
        <f t="shared" si="215"/>
        <v>0</v>
      </c>
      <c r="Y120" s="26">
        <f t="shared" si="215"/>
        <v>1</v>
      </c>
      <c r="Z120" s="26">
        <f t="shared" si="215"/>
        <v>0</v>
      </c>
      <c r="AA120" s="26">
        <f t="shared" si="215"/>
        <v>0</v>
      </c>
      <c r="AB120" s="26">
        <f t="shared" si="215"/>
        <v>0</v>
      </c>
      <c r="AC120" s="26">
        <f t="shared" si="215"/>
        <v>1</v>
      </c>
      <c r="AD120" s="26">
        <f t="shared" si="215"/>
        <v>0</v>
      </c>
      <c r="AE120" s="26">
        <f t="shared" si="215"/>
        <v>0</v>
      </c>
      <c r="AF120" s="26">
        <f t="shared" si="215"/>
        <v>1</v>
      </c>
      <c r="AG120" s="26" t="str">
        <f t="shared" si="215"/>
        <v/>
      </c>
      <c r="AH120" s="26" t="str">
        <f t="shared" si="215"/>
        <v/>
      </c>
      <c r="AI120" s="26" t="str">
        <f t="shared" si="215"/>
        <v/>
      </c>
      <c r="AJ120" s="26" t="str">
        <f t="shared" si="215"/>
        <v/>
      </c>
      <c r="AK120" s="26" t="str">
        <f t="shared" si="215"/>
        <v/>
      </c>
      <c r="AL120" s="26" t="str">
        <f t="shared" si="215"/>
        <v/>
      </c>
      <c r="AM120" s="26" t="str">
        <f t="shared" ref="AM120:AS120" si="216">IF(AM$3="","",AL113+AL114-AM113)</f>
        <v/>
      </c>
      <c r="AN120" s="26" t="str">
        <f t="shared" si="216"/>
        <v/>
      </c>
      <c r="AO120" s="26" t="str">
        <f t="shared" si="216"/>
        <v/>
      </c>
      <c r="AP120" s="26" t="str">
        <f t="shared" si="216"/>
        <v/>
      </c>
      <c r="AQ120" s="26" t="str">
        <f t="shared" si="216"/>
        <v/>
      </c>
      <c r="AR120" s="26" t="str">
        <f t="shared" si="216"/>
        <v/>
      </c>
      <c r="AS120" s="26" t="str">
        <f t="shared" si="216"/>
        <v/>
      </c>
    </row>
    <row r="121" spans="1:45">
      <c r="A121" s="7">
        <f>SUM(C121:AS121)</f>
        <v>9750</v>
      </c>
      <c r="B121" s="27" t="s">
        <v>18</v>
      </c>
      <c r="C121" s="65">
        <v>0</v>
      </c>
      <c r="D121" s="26">
        <f t="shared" ref="D121:AL121" si="217">IF(D$3="","",D120*D115)</f>
        <v>0</v>
      </c>
      <c r="E121" s="26">
        <f t="shared" si="217"/>
        <v>750</v>
      </c>
      <c r="F121" s="54">
        <f t="shared" si="217"/>
        <v>0</v>
      </c>
      <c r="G121" s="26">
        <f t="shared" si="217"/>
        <v>0</v>
      </c>
      <c r="H121" s="26">
        <f t="shared" si="217"/>
        <v>750</v>
      </c>
      <c r="I121" s="54">
        <f t="shared" si="217"/>
        <v>0</v>
      </c>
      <c r="J121" s="26">
        <f t="shared" si="217"/>
        <v>0</v>
      </c>
      <c r="K121" s="26">
        <f t="shared" si="217"/>
        <v>1500</v>
      </c>
      <c r="L121" s="54">
        <f t="shared" si="217"/>
        <v>0</v>
      </c>
      <c r="M121" s="26">
        <f t="shared" si="217"/>
        <v>0</v>
      </c>
      <c r="N121" s="26">
        <f t="shared" si="217"/>
        <v>0</v>
      </c>
      <c r="O121" s="26">
        <f t="shared" si="217"/>
        <v>3750</v>
      </c>
      <c r="P121" s="54">
        <f t="shared" si="217"/>
        <v>0</v>
      </c>
      <c r="Q121" s="26">
        <f t="shared" si="217"/>
        <v>0</v>
      </c>
      <c r="R121" s="26">
        <f t="shared" si="217"/>
        <v>750</v>
      </c>
      <c r="S121" s="26">
        <f t="shared" si="217"/>
        <v>0</v>
      </c>
      <c r="T121" s="26">
        <f t="shared" si="217"/>
        <v>0</v>
      </c>
      <c r="U121" s="26">
        <f t="shared" si="217"/>
        <v>0</v>
      </c>
      <c r="V121" s="26">
        <f t="shared" si="217"/>
        <v>0</v>
      </c>
      <c r="W121" s="26">
        <f t="shared" si="217"/>
        <v>0</v>
      </c>
      <c r="X121" s="26">
        <f t="shared" si="217"/>
        <v>0</v>
      </c>
      <c r="Y121" s="26">
        <f t="shared" si="217"/>
        <v>750</v>
      </c>
      <c r="Z121" s="26">
        <f t="shared" si="217"/>
        <v>0</v>
      </c>
      <c r="AA121" s="26">
        <f t="shared" si="217"/>
        <v>0</v>
      </c>
      <c r="AB121" s="26">
        <f t="shared" si="217"/>
        <v>0</v>
      </c>
      <c r="AC121" s="26">
        <f t="shared" si="217"/>
        <v>750</v>
      </c>
      <c r="AD121" s="26">
        <f t="shared" si="217"/>
        <v>0</v>
      </c>
      <c r="AE121" s="26">
        <f t="shared" si="217"/>
        <v>0</v>
      </c>
      <c r="AF121" s="26">
        <f t="shared" si="217"/>
        <v>750</v>
      </c>
      <c r="AG121" s="26" t="str">
        <f t="shared" si="217"/>
        <v/>
      </c>
      <c r="AH121" s="26" t="str">
        <f t="shared" si="217"/>
        <v/>
      </c>
      <c r="AI121" s="26" t="str">
        <f t="shared" si="217"/>
        <v/>
      </c>
      <c r="AJ121" s="26" t="str">
        <f t="shared" si="217"/>
        <v/>
      </c>
      <c r="AK121" s="26" t="str">
        <f t="shared" si="217"/>
        <v/>
      </c>
      <c r="AL121" s="26" t="str">
        <f t="shared" si="217"/>
        <v/>
      </c>
      <c r="AM121" s="26" t="str">
        <f t="shared" ref="AM121:AS121" si="218">IF(AM$3="","",AM120*AM115)</f>
        <v/>
      </c>
      <c r="AN121" s="26" t="str">
        <f t="shared" si="218"/>
        <v/>
      </c>
      <c r="AO121" s="26" t="str">
        <f t="shared" si="218"/>
        <v/>
      </c>
      <c r="AP121" s="26" t="str">
        <f t="shared" si="218"/>
        <v/>
      </c>
      <c r="AQ121" s="26" t="str">
        <f t="shared" si="218"/>
        <v/>
      </c>
      <c r="AR121" s="26" t="str">
        <f t="shared" si="218"/>
        <v/>
      </c>
      <c r="AS121" s="26" t="str">
        <f t="shared" si="218"/>
        <v/>
      </c>
    </row>
    <row r="122" spans="1:45" ht="12" thickBot="1">
      <c r="A122" s="4">
        <f>IF(A121="","",A121/(A118*100))</f>
        <v>0.5078125</v>
      </c>
      <c r="B122" s="27" t="s">
        <v>20</v>
      </c>
      <c r="C122" s="68" t="s">
        <v>21</v>
      </c>
      <c r="D122" s="44" t="str">
        <f t="shared" ref="D122:AL122" si="219">IF(D$3="","",IF(D121=0,"",D121/(D118*100)))</f>
        <v/>
      </c>
      <c r="E122" s="44">
        <f t="shared" si="219"/>
        <v>0.41666666666666669</v>
      </c>
      <c r="F122" s="132" t="str">
        <f t="shared" si="219"/>
        <v/>
      </c>
      <c r="G122" s="44" t="str">
        <f t="shared" si="219"/>
        <v/>
      </c>
      <c r="H122" s="44">
        <f t="shared" si="219"/>
        <v>0.34090909090909088</v>
      </c>
      <c r="I122" s="132" t="str">
        <f t="shared" si="219"/>
        <v/>
      </c>
      <c r="J122" s="44" t="str">
        <f t="shared" si="219"/>
        <v/>
      </c>
      <c r="K122" s="44">
        <f t="shared" si="219"/>
        <v>0.51724137931034486</v>
      </c>
      <c r="L122" s="132" t="str">
        <f t="shared" si="219"/>
        <v/>
      </c>
      <c r="M122" s="44" t="str">
        <f t="shared" si="219"/>
        <v/>
      </c>
      <c r="N122" s="44" t="str">
        <f t="shared" si="219"/>
        <v/>
      </c>
      <c r="O122" s="44">
        <f t="shared" si="219"/>
        <v>1.1363636363636365</v>
      </c>
      <c r="P122" s="132" t="str">
        <f t="shared" si="219"/>
        <v/>
      </c>
      <c r="Q122" s="44" t="str">
        <f t="shared" si="219"/>
        <v/>
      </c>
      <c r="R122" s="44">
        <f t="shared" si="219"/>
        <v>0.46875</v>
      </c>
      <c r="S122" s="44" t="str">
        <f t="shared" si="219"/>
        <v/>
      </c>
      <c r="T122" s="44" t="str">
        <f t="shared" si="219"/>
        <v/>
      </c>
      <c r="U122" s="44" t="str">
        <f t="shared" si="219"/>
        <v/>
      </c>
      <c r="V122" s="44" t="str">
        <f t="shared" si="219"/>
        <v/>
      </c>
      <c r="W122" s="44" t="str">
        <f t="shared" si="219"/>
        <v/>
      </c>
      <c r="X122" s="44" t="str">
        <f t="shared" si="219"/>
        <v/>
      </c>
      <c r="Y122" s="44">
        <f t="shared" si="219"/>
        <v>0.19736842105263158</v>
      </c>
      <c r="Z122" s="44" t="str">
        <f t="shared" si="219"/>
        <v/>
      </c>
      <c r="AA122" s="44" t="str">
        <f t="shared" si="219"/>
        <v/>
      </c>
      <c r="AB122" s="44" t="str">
        <f t="shared" si="219"/>
        <v/>
      </c>
      <c r="AC122" s="44">
        <f t="shared" si="219"/>
        <v>0.9375</v>
      </c>
      <c r="AD122" s="44" t="str">
        <f t="shared" si="219"/>
        <v/>
      </c>
      <c r="AE122" s="44" t="str">
        <f t="shared" si="219"/>
        <v/>
      </c>
      <c r="AF122" s="44">
        <f t="shared" si="219"/>
        <v>0.44117647058823528</v>
      </c>
      <c r="AG122" s="44" t="str">
        <f t="shared" si="219"/>
        <v/>
      </c>
      <c r="AH122" s="44" t="str">
        <f t="shared" si="219"/>
        <v/>
      </c>
      <c r="AI122" s="44" t="str">
        <f t="shared" si="219"/>
        <v/>
      </c>
      <c r="AJ122" s="44" t="str">
        <f t="shared" si="219"/>
        <v/>
      </c>
      <c r="AK122" s="44" t="str">
        <f t="shared" si="219"/>
        <v/>
      </c>
      <c r="AL122" s="44" t="str">
        <f t="shared" si="219"/>
        <v/>
      </c>
      <c r="AM122" s="44" t="str">
        <f t="shared" ref="AM122:AS122" si="220">IF(AM$3="","",IF(AM121=0,"",AM121/(AM118*100)))</f>
        <v/>
      </c>
      <c r="AN122" s="44" t="str">
        <f t="shared" si="220"/>
        <v/>
      </c>
      <c r="AO122" s="44" t="str">
        <f t="shared" si="220"/>
        <v/>
      </c>
      <c r="AP122" s="44" t="str">
        <f t="shared" si="220"/>
        <v/>
      </c>
      <c r="AQ122" s="44" t="str">
        <f t="shared" si="220"/>
        <v/>
      </c>
      <c r="AR122" s="44" t="str">
        <f t="shared" si="220"/>
        <v/>
      </c>
      <c r="AS122" s="44" t="str">
        <f t="shared" si="220"/>
        <v/>
      </c>
    </row>
    <row r="123" spans="1:45">
      <c r="A123" s="17" t="s">
        <v>1</v>
      </c>
      <c r="B123" s="42" t="s">
        <v>2</v>
      </c>
      <c r="C123" s="64">
        <v>3588</v>
      </c>
      <c r="D123" s="35">
        <f>IF(D$3="","",C123)</f>
        <v>3588</v>
      </c>
      <c r="E123" s="35">
        <v>3670</v>
      </c>
      <c r="F123" s="128">
        <f>IF(F$3="","",E123)</f>
        <v>3670</v>
      </c>
      <c r="G123" s="35">
        <f>IF(G$3="","",F123)</f>
        <v>3670</v>
      </c>
      <c r="H123" s="35">
        <v>3687</v>
      </c>
      <c r="I123" s="128">
        <f>IF(I$3="","",H123)</f>
        <v>3687</v>
      </c>
      <c r="J123" s="35">
        <f>IF(J$3="","",I123)</f>
        <v>3687</v>
      </c>
      <c r="K123" s="35">
        <v>3735</v>
      </c>
      <c r="L123" s="128">
        <f t="shared" ref="L123:N124" si="221">IF(L$3="","",K123)</f>
        <v>3735</v>
      </c>
      <c r="M123" s="35">
        <f t="shared" si="221"/>
        <v>3735</v>
      </c>
      <c r="N123" s="35">
        <f t="shared" si="221"/>
        <v>3735</v>
      </c>
      <c r="O123" s="35">
        <v>3768</v>
      </c>
      <c r="P123" s="128">
        <f>IF(P$3="","",O123)</f>
        <v>3768</v>
      </c>
      <c r="Q123" s="35">
        <f>IF(Q$3="","",P123)</f>
        <v>3768</v>
      </c>
      <c r="R123" s="35">
        <v>3819</v>
      </c>
      <c r="S123" s="35">
        <f t="shared" ref="S123:AL123" si="222">IF(S$3="","",R123)</f>
        <v>3819</v>
      </c>
      <c r="T123" s="35">
        <f t="shared" si="222"/>
        <v>3819</v>
      </c>
      <c r="U123" s="35">
        <f t="shared" si="222"/>
        <v>3819</v>
      </c>
      <c r="V123" s="35">
        <v>3841</v>
      </c>
      <c r="W123" s="35">
        <f t="shared" si="222"/>
        <v>3841</v>
      </c>
      <c r="X123" s="35">
        <f t="shared" si="222"/>
        <v>3841</v>
      </c>
      <c r="Y123" s="35">
        <v>3878</v>
      </c>
      <c r="Z123" s="35">
        <f t="shared" si="222"/>
        <v>3878</v>
      </c>
      <c r="AA123" s="35">
        <f t="shared" si="222"/>
        <v>3878</v>
      </c>
      <c r="AB123" s="35">
        <f t="shared" si="222"/>
        <v>3878</v>
      </c>
      <c r="AC123" s="35">
        <v>3885</v>
      </c>
      <c r="AD123" s="35">
        <f t="shared" si="222"/>
        <v>3885</v>
      </c>
      <c r="AE123" s="35">
        <f t="shared" si="222"/>
        <v>3885</v>
      </c>
      <c r="AF123" s="35">
        <v>3944</v>
      </c>
      <c r="AG123" s="35" t="str">
        <f t="shared" si="222"/>
        <v/>
      </c>
      <c r="AH123" s="35" t="str">
        <f t="shared" si="222"/>
        <v/>
      </c>
      <c r="AI123" s="35" t="str">
        <f t="shared" si="222"/>
        <v/>
      </c>
      <c r="AJ123" s="35" t="str">
        <f t="shared" si="222"/>
        <v/>
      </c>
      <c r="AK123" s="35" t="str">
        <f t="shared" si="222"/>
        <v/>
      </c>
      <c r="AL123" s="35" t="str">
        <f t="shared" si="222"/>
        <v/>
      </c>
      <c r="AM123" s="35" t="str">
        <f t="shared" ref="AM123:AS123" si="223">IF(AM$3="","",AL123)</f>
        <v/>
      </c>
      <c r="AN123" s="35" t="str">
        <f t="shared" si="223"/>
        <v/>
      </c>
      <c r="AO123" s="35" t="str">
        <f t="shared" si="223"/>
        <v/>
      </c>
      <c r="AP123" s="35" t="str">
        <f t="shared" si="223"/>
        <v/>
      </c>
      <c r="AQ123" s="35" t="str">
        <f t="shared" si="223"/>
        <v/>
      </c>
      <c r="AR123" s="35" t="str">
        <f t="shared" si="223"/>
        <v/>
      </c>
      <c r="AS123" s="35" t="str">
        <f t="shared" si="223"/>
        <v/>
      </c>
    </row>
    <row r="124" spans="1:45">
      <c r="A124" s="16" t="s">
        <v>37</v>
      </c>
      <c r="B124" s="30" t="s">
        <v>4</v>
      </c>
      <c r="C124" s="65">
        <v>64</v>
      </c>
      <c r="D124" s="29">
        <f>IF(D$3="","",C124)</f>
        <v>64</v>
      </c>
      <c r="E124" s="29">
        <v>65</v>
      </c>
      <c r="F124" s="54">
        <f>IF(F$3="","",E124)</f>
        <v>65</v>
      </c>
      <c r="G124" s="29">
        <f>IF(G$3="","",F124)</f>
        <v>65</v>
      </c>
      <c r="H124" s="29">
        <f>IF(H$3="","",G124)</f>
        <v>65</v>
      </c>
      <c r="I124" s="54">
        <f>IF(I$3="","",H124)</f>
        <v>65</v>
      </c>
      <c r="J124" s="29">
        <f>IF(J$3="","",I124)</f>
        <v>65</v>
      </c>
      <c r="K124" s="29">
        <v>67</v>
      </c>
      <c r="L124" s="54">
        <f t="shared" si="221"/>
        <v>67</v>
      </c>
      <c r="M124" s="29">
        <f t="shared" si="221"/>
        <v>67</v>
      </c>
      <c r="N124" s="29">
        <f t="shared" si="221"/>
        <v>67</v>
      </c>
      <c r="O124" s="29">
        <f>IF(O$3="","",N124)</f>
        <v>67</v>
      </c>
      <c r="P124" s="54">
        <f>IF(P$3="","",O124)</f>
        <v>67</v>
      </c>
      <c r="Q124" s="29">
        <f>IF(Q$3="","",P124)</f>
        <v>67</v>
      </c>
      <c r="R124" s="29">
        <v>68</v>
      </c>
      <c r="S124" s="29">
        <f t="shared" ref="S124:AL124" si="224">IF(S$3="","",R124)</f>
        <v>68</v>
      </c>
      <c r="T124" s="29">
        <f t="shared" si="224"/>
        <v>68</v>
      </c>
      <c r="U124" s="29">
        <f t="shared" si="224"/>
        <v>68</v>
      </c>
      <c r="V124" s="29">
        <f t="shared" si="224"/>
        <v>68</v>
      </c>
      <c r="W124" s="29">
        <f t="shared" si="224"/>
        <v>68</v>
      </c>
      <c r="X124" s="29">
        <f t="shared" si="224"/>
        <v>68</v>
      </c>
      <c r="Y124" s="29">
        <v>70</v>
      </c>
      <c r="Z124" s="29">
        <f t="shared" si="224"/>
        <v>70</v>
      </c>
      <c r="AA124" s="29">
        <f t="shared" si="224"/>
        <v>70</v>
      </c>
      <c r="AB124" s="29">
        <f t="shared" si="224"/>
        <v>70</v>
      </c>
      <c r="AC124" s="29">
        <f t="shared" si="224"/>
        <v>70</v>
      </c>
      <c r="AD124" s="29">
        <f t="shared" si="224"/>
        <v>70</v>
      </c>
      <c r="AE124" s="29">
        <f t="shared" si="224"/>
        <v>70</v>
      </c>
      <c r="AF124" s="29">
        <f t="shared" si="224"/>
        <v>70</v>
      </c>
      <c r="AG124" s="29" t="str">
        <f t="shared" si="224"/>
        <v/>
      </c>
      <c r="AH124" s="29" t="str">
        <f t="shared" si="224"/>
        <v/>
      </c>
      <c r="AI124" s="29" t="str">
        <f t="shared" si="224"/>
        <v/>
      </c>
      <c r="AJ124" s="29" t="str">
        <f t="shared" si="224"/>
        <v/>
      </c>
      <c r="AK124" s="29" t="str">
        <f t="shared" si="224"/>
        <v/>
      </c>
      <c r="AL124" s="29" t="str">
        <f t="shared" si="224"/>
        <v/>
      </c>
      <c r="AM124" s="29" t="str">
        <f t="shared" ref="AM124:AS124" si="225">IF(AM$3="","",AL124)</f>
        <v/>
      </c>
      <c r="AN124" s="29" t="str">
        <f t="shared" si="225"/>
        <v/>
      </c>
      <c r="AO124" s="29" t="str">
        <f t="shared" si="225"/>
        <v/>
      </c>
      <c r="AP124" s="29" t="str">
        <f t="shared" si="225"/>
        <v/>
      </c>
      <c r="AQ124" s="29" t="str">
        <f t="shared" si="225"/>
        <v/>
      </c>
      <c r="AR124" s="29" t="str">
        <f t="shared" si="225"/>
        <v/>
      </c>
      <c r="AS124" s="29" t="str">
        <f t="shared" si="225"/>
        <v/>
      </c>
    </row>
    <row r="125" spans="1:45">
      <c r="A125" s="15">
        <v>3</v>
      </c>
      <c r="B125" s="30" t="s">
        <v>5</v>
      </c>
      <c r="C125" s="65">
        <v>7</v>
      </c>
      <c r="D125" s="29">
        <f>IF(D$3="","",(C125+C126))</f>
        <v>7</v>
      </c>
      <c r="E125" s="29">
        <v>6</v>
      </c>
      <c r="F125" s="54">
        <f>IF(F$3="","",(E125+E126))</f>
        <v>9</v>
      </c>
      <c r="G125" s="29">
        <f>IF(G$3="","",(F125+F126))</f>
        <v>9</v>
      </c>
      <c r="H125" s="29">
        <v>8</v>
      </c>
      <c r="I125" s="54">
        <f>IF(I$3="","",(H125+H126))</f>
        <v>8</v>
      </c>
      <c r="J125" s="29">
        <f>IF(J$3="","",(I125+I126))</f>
        <v>8</v>
      </c>
      <c r="K125" s="29">
        <v>7</v>
      </c>
      <c r="L125" s="54">
        <f>IF(L$3="","",(K125+K126))</f>
        <v>8</v>
      </c>
      <c r="M125" s="29">
        <f>IF(M$3="","",(L125+L126))</f>
        <v>8</v>
      </c>
      <c r="N125" s="29">
        <f>IF(N$3="","",(M125+M126))</f>
        <v>8</v>
      </c>
      <c r="O125" s="29">
        <v>7</v>
      </c>
      <c r="P125" s="54">
        <f>IF(P$3="","",(O125+O126))</f>
        <v>7</v>
      </c>
      <c r="Q125" s="29">
        <f>IF(Q$3="","",(P125+P126))</f>
        <v>7</v>
      </c>
      <c r="R125" s="29">
        <v>6</v>
      </c>
      <c r="S125" s="29">
        <f t="shared" ref="S125:AL125" si="226">IF(S$3="","",(R125+R126))</f>
        <v>7</v>
      </c>
      <c r="T125" s="29">
        <f t="shared" si="226"/>
        <v>7</v>
      </c>
      <c r="U125" s="29">
        <f t="shared" si="226"/>
        <v>7</v>
      </c>
      <c r="V125" s="29">
        <f t="shared" si="226"/>
        <v>7</v>
      </c>
      <c r="W125" s="29">
        <f t="shared" si="226"/>
        <v>7</v>
      </c>
      <c r="X125" s="29">
        <f t="shared" si="226"/>
        <v>7</v>
      </c>
      <c r="Y125" s="29">
        <v>5</v>
      </c>
      <c r="Z125" s="29">
        <f t="shared" si="226"/>
        <v>9</v>
      </c>
      <c r="AA125" s="29">
        <f t="shared" si="226"/>
        <v>9</v>
      </c>
      <c r="AB125" s="29">
        <f t="shared" si="226"/>
        <v>9</v>
      </c>
      <c r="AC125" s="29">
        <f t="shared" si="226"/>
        <v>9</v>
      </c>
      <c r="AD125" s="29">
        <f t="shared" si="226"/>
        <v>9</v>
      </c>
      <c r="AE125" s="29">
        <f t="shared" si="226"/>
        <v>9</v>
      </c>
      <c r="AF125" s="29">
        <f t="shared" si="226"/>
        <v>9</v>
      </c>
      <c r="AG125" s="29" t="str">
        <f t="shared" si="226"/>
        <v/>
      </c>
      <c r="AH125" s="29" t="str">
        <f t="shared" si="226"/>
        <v/>
      </c>
      <c r="AI125" s="29" t="str">
        <f t="shared" si="226"/>
        <v/>
      </c>
      <c r="AJ125" s="29" t="str">
        <f t="shared" si="226"/>
        <v/>
      </c>
      <c r="AK125" s="29" t="str">
        <f t="shared" si="226"/>
        <v/>
      </c>
      <c r="AL125" s="29" t="str">
        <f t="shared" si="226"/>
        <v/>
      </c>
      <c r="AM125" s="29" t="str">
        <f t="shared" ref="AM125:AS125" si="227">IF(AM$3="","",(AL125+AL126))</f>
        <v/>
      </c>
      <c r="AN125" s="29" t="str">
        <f t="shared" si="227"/>
        <v/>
      </c>
      <c r="AO125" s="29" t="str">
        <f t="shared" si="227"/>
        <v/>
      </c>
      <c r="AP125" s="29" t="str">
        <f t="shared" si="227"/>
        <v/>
      </c>
      <c r="AQ125" s="29" t="str">
        <f t="shared" si="227"/>
        <v/>
      </c>
      <c r="AR125" s="29" t="str">
        <f t="shared" si="227"/>
        <v/>
      </c>
      <c r="AS125" s="29" t="str">
        <f t="shared" si="227"/>
        <v/>
      </c>
    </row>
    <row r="126" spans="1:45">
      <c r="A126" s="14"/>
      <c r="B126" s="30" t="s">
        <v>7</v>
      </c>
      <c r="C126" s="65"/>
      <c r="D126" s="29"/>
      <c r="E126" s="29">
        <v>3</v>
      </c>
      <c r="F126" s="54"/>
      <c r="G126" s="29"/>
      <c r="H126" s="29"/>
      <c r="I126" s="54"/>
      <c r="J126" s="29"/>
      <c r="K126" s="29">
        <v>1</v>
      </c>
      <c r="L126" s="54"/>
      <c r="M126" s="29"/>
      <c r="N126" s="29"/>
      <c r="O126" s="29"/>
      <c r="P126" s="54"/>
      <c r="Q126" s="29"/>
      <c r="R126" s="29">
        <v>1</v>
      </c>
      <c r="S126" s="29"/>
      <c r="T126" s="29"/>
      <c r="U126" s="29"/>
      <c r="V126" s="29"/>
      <c r="W126" s="29"/>
      <c r="X126" s="29"/>
      <c r="Y126" s="29">
        <v>4</v>
      </c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 spans="1:45">
      <c r="A127" s="7"/>
      <c r="B127" s="30" t="s">
        <v>8</v>
      </c>
      <c r="C127" s="64">
        <v>500</v>
      </c>
      <c r="D127" s="35">
        <f t="shared" ref="D127:AL127" si="228">IF(D$3="","",C127)</f>
        <v>500</v>
      </c>
      <c r="E127" s="35">
        <f t="shared" si="228"/>
        <v>500</v>
      </c>
      <c r="F127" s="128">
        <f t="shared" si="228"/>
        <v>500</v>
      </c>
      <c r="G127" s="35">
        <f t="shared" si="228"/>
        <v>500</v>
      </c>
      <c r="H127" s="35">
        <f t="shared" si="228"/>
        <v>500</v>
      </c>
      <c r="I127" s="128">
        <f t="shared" si="228"/>
        <v>500</v>
      </c>
      <c r="J127" s="35">
        <f t="shared" si="228"/>
        <v>500</v>
      </c>
      <c r="K127" s="35">
        <f t="shared" si="228"/>
        <v>500</v>
      </c>
      <c r="L127" s="128">
        <f t="shared" si="228"/>
        <v>500</v>
      </c>
      <c r="M127" s="35">
        <f t="shared" si="228"/>
        <v>500</v>
      </c>
      <c r="N127" s="35">
        <f t="shared" si="228"/>
        <v>500</v>
      </c>
      <c r="O127" s="35">
        <f t="shared" si="228"/>
        <v>500</v>
      </c>
      <c r="P127" s="128">
        <f t="shared" si="228"/>
        <v>500</v>
      </c>
      <c r="Q127" s="35">
        <f t="shared" si="228"/>
        <v>500</v>
      </c>
      <c r="R127" s="35">
        <f t="shared" si="228"/>
        <v>500</v>
      </c>
      <c r="S127" s="35">
        <f t="shared" si="228"/>
        <v>500</v>
      </c>
      <c r="T127" s="35">
        <f t="shared" si="228"/>
        <v>500</v>
      </c>
      <c r="U127" s="35">
        <f t="shared" si="228"/>
        <v>500</v>
      </c>
      <c r="V127" s="35">
        <f t="shared" si="228"/>
        <v>500</v>
      </c>
      <c r="W127" s="35">
        <f t="shared" si="228"/>
        <v>500</v>
      </c>
      <c r="X127" s="35">
        <f t="shared" si="228"/>
        <v>500</v>
      </c>
      <c r="Y127" s="35">
        <f t="shared" si="228"/>
        <v>500</v>
      </c>
      <c r="Z127" s="35">
        <f t="shared" si="228"/>
        <v>500</v>
      </c>
      <c r="AA127" s="35">
        <f t="shared" si="228"/>
        <v>500</v>
      </c>
      <c r="AB127" s="35">
        <f t="shared" si="228"/>
        <v>500</v>
      </c>
      <c r="AC127" s="35">
        <f t="shared" si="228"/>
        <v>500</v>
      </c>
      <c r="AD127" s="35">
        <f t="shared" si="228"/>
        <v>500</v>
      </c>
      <c r="AE127" s="35">
        <f t="shared" si="228"/>
        <v>500</v>
      </c>
      <c r="AF127" s="35">
        <f t="shared" si="228"/>
        <v>500</v>
      </c>
      <c r="AG127" s="35" t="str">
        <f t="shared" si="228"/>
        <v/>
      </c>
      <c r="AH127" s="35" t="str">
        <f t="shared" si="228"/>
        <v/>
      </c>
      <c r="AI127" s="35" t="str">
        <f t="shared" si="228"/>
        <v/>
      </c>
      <c r="AJ127" s="35" t="str">
        <f t="shared" si="228"/>
        <v/>
      </c>
      <c r="AK127" s="35" t="str">
        <f t="shared" si="228"/>
        <v/>
      </c>
      <c r="AL127" s="35" t="str">
        <f t="shared" si="228"/>
        <v/>
      </c>
      <c r="AM127" s="35" t="str">
        <f t="shared" ref="AM127:AS127" si="229">IF(AM$3="","",AL127)</f>
        <v/>
      </c>
      <c r="AN127" s="35" t="str">
        <f t="shared" si="229"/>
        <v/>
      </c>
      <c r="AO127" s="35" t="str">
        <f t="shared" si="229"/>
        <v/>
      </c>
      <c r="AP127" s="35" t="str">
        <f t="shared" si="229"/>
        <v/>
      </c>
      <c r="AQ127" s="35" t="str">
        <f t="shared" si="229"/>
        <v/>
      </c>
      <c r="AR127" s="35" t="str">
        <f t="shared" si="229"/>
        <v/>
      </c>
      <c r="AS127" s="35" t="str">
        <f t="shared" si="229"/>
        <v/>
      </c>
    </row>
    <row r="128" spans="1:45" s="94" customFormat="1">
      <c r="A128" s="14" t="s">
        <v>9</v>
      </c>
      <c r="B128" s="33" t="s">
        <v>10</v>
      </c>
      <c r="C128" s="63" t="s">
        <v>40</v>
      </c>
      <c r="D128" s="32" t="str">
        <f t="shared" ref="D128:AL128" si="230">IF(D$3="","",C128)</f>
        <v>ゲームアーク</v>
      </c>
      <c r="E128" s="32" t="str">
        <f t="shared" si="230"/>
        <v>ゲームアーク</v>
      </c>
      <c r="F128" s="129" t="str">
        <f t="shared" si="230"/>
        <v>ゲームアーク</v>
      </c>
      <c r="G128" s="32" t="str">
        <f t="shared" si="230"/>
        <v>ゲームアーク</v>
      </c>
      <c r="H128" s="32" t="str">
        <f t="shared" si="230"/>
        <v>ゲームアーク</v>
      </c>
      <c r="I128" s="129" t="str">
        <f t="shared" si="230"/>
        <v>ゲームアーク</v>
      </c>
      <c r="J128" s="32" t="str">
        <f t="shared" si="230"/>
        <v>ゲームアーク</v>
      </c>
      <c r="K128" s="32" t="str">
        <f t="shared" si="230"/>
        <v>ゲームアーク</v>
      </c>
      <c r="L128" s="129" t="str">
        <f t="shared" si="230"/>
        <v>ゲームアーク</v>
      </c>
      <c r="M128" s="32" t="str">
        <f t="shared" si="230"/>
        <v>ゲームアーク</v>
      </c>
      <c r="N128" s="32" t="str">
        <f t="shared" si="230"/>
        <v>ゲームアーク</v>
      </c>
      <c r="O128" s="32" t="str">
        <f t="shared" si="230"/>
        <v>ゲームアーク</v>
      </c>
      <c r="P128" s="129" t="str">
        <f t="shared" si="230"/>
        <v>ゲームアーク</v>
      </c>
      <c r="Q128" s="32" t="str">
        <f t="shared" si="230"/>
        <v>ゲームアーク</v>
      </c>
      <c r="R128" s="32" t="str">
        <f t="shared" si="230"/>
        <v>ゲームアーク</v>
      </c>
      <c r="S128" s="32" t="str">
        <f t="shared" si="230"/>
        <v>ゲームアーク</v>
      </c>
      <c r="T128" s="32" t="str">
        <f t="shared" si="230"/>
        <v>ゲームアーク</v>
      </c>
      <c r="U128" s="32" t="str">
        <f t="shared" si="230"/>
        <v>ゲームアーク</v>
      </c>
      <c r="V128" s="32" t="str">
        <f t="shared" si="230"/>
        <v>ゲームアーク</v>
      </c>
      <c r="W128" s="32" t="str">
        <f t="shared" si="230"/>
        <v>ゲームアーク</v>
      </c>
      <c r="X128" s="32" t="str">
        <f t="shared" si="230"/>
        <v>ゲームアーク</v>
      </c>
      <c r="Y128" s="32" t="str">
        <f t="shared" si="230"/>
        <v>ゲームアーク</v>
      </c>
      <c r="Z128" s="32" t="str">
        <f t="shared" si="230"/>
        <v>ゲームアーク</v>
      </c>
      <c r="AA128" s="32" t="str">
        <f t="shared" si="230"/>
        <v>ゲームアーク</v>
      </c>
      <c r="AB128" s="32" t="str">
        <f t="shared" si="230"/>
        <v>ゲームアーク</v>
      </c>
      <c r="AC128" s="32" t="str">
        <f t="shared" si="230"/>
        <v>ゲームアーク</v>
      </c>
      <c r="AD128" s="32" t="str">
        <f t="shared" si="230"/>
        <v>ゲームアーク</v>
      </c>
      <c r="AE128" s="32" t="str">
        <f t="shared" si="230"/>
        <v>ゲームアーク</v>
      </c>
      <c r="AF128" s="32" t="str">
        <f t="shared" si="230"/>
        <v>ゲームアーク</v>
      </c>
      <c r="AG128" s="32" t="str">
        <f t="shared" si="230"/>
        <v/>
      </c>
      <c r="AH128" s="32" t="str">
        <f t="shared" si="230"/>
        <v/>
      </c>
      <c r="AI128" s="32" t="str">
        <f t="shared" si="230"/>
        <v/>
      </c>
      <c r="AJ128" s="32" t="str">
        <f t="shared" si="230"/>
        <v/>
      </c>
      <c r="AK128" s="32" t="str">
        <f t="shared" si="230"/>
        <v/>
      </c>
      <c r="AL128" s="32" t="str">
        <f t="shared" si="230"/>
        <v/>
      </c>
      <c r="AM128" s="32" t="str">
        <f t="shared" ref="AM128:AS128" si="231">IF(AM$3="","",AL128)</f>
        <v/>
      </c>
      <c r="AN128" s="32" t="str">
        <f t="shared" si="231"/>
        <v/>
      </c>
      <c r="AO128" s="32" t="str">
        <f t="shared" si="231"/>
        <v/>
      </c>
      <c r="AP128" s="32" t="str">
        <f t="shared" si="231"/>
        <v/>
      </c>
      <c r="AQ128" s="32" t="str">
        <f t="shared" si="231"/>
        <v/>
      </c>
      <c r="AR128" s="32" t="str">
        <f t="shared" si="231"/>
        <v/>
      </c>
      <c r="AS128" s="32" t="str">
        <f t="shared" si="231"/>
        <v/>
      </c>
    </row>
    <row r="129" spans="1:45">
      <c r="A129" s="7">
        <f>AVERAGE(C130:AS130)*30*100</f>
        <v>35600</v>
      </c>
      <c r="B129" s="30" t="s">
        <v>14</v>
      </c>
      <c r="C129" s="65"/>
      <c r="D129" s="29"/>
      <c r="E129" s="29"/>
      <c r="F129" s="54"/>
      <c r="G129" s="29"/>
      <c r="H129" s="29"/>
      <c r="I129" s="54"/>
      <c r="J129" s="29"/>
      <c r="K129" s="29"/>
      <c r="L129" s="54"/>
      <c r="M129" s="29"/>
      <c r="N129" s="29"/>
      <c r="O129" s="29"/>
      <c r="P129" s="54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 spans="1:45">
      <c r="A130" s="7">
        <f>SUM(C130:AS130)</f>
        <v>356</v>
      </c>
      <c r="B130" s="27" t="s">
        <v>15</v>
      </c>
      <c r="C130" s="65">
        <v>0</v>
      </c>
      <c r="D130" s="26">
        <f t="shared" ref="D130:AL130" si="232">IF(D$3="","",D123-C123)</f>
        <v>0</v>
      </c>
      <c r="E130" s="26">
        <f t="shared" si="232"/>
        <v>82</v>
      </c>
      <c r="F130" s="54">
        <f t="shared" si="232"/>
        <v>0</v>
      </c>
      <c r="G130" s="26">
        <f t="shared" si="232"/>
        <v>0</v>
      </c>
      <c r="H130" s="26">
        <f t="shared" si="232"/>
        <v>17</v>
      </c>
      <c r="I130" s="54">
        <f t="shared" si="232"/>
        <v>0</v>
      </c>
      <c r="J130" s="26">
        <f t="shared" si="232"/>
        <v>0</v>
      </c>
      <c r="K130" s="26">
        <f t="shared" si="232"/>
        <v>48</v>
      </c>
      <c r="L130" s="54">
        <f t="shared" si="232"/>
        <v>0</v>
      </c>
      <c r="M130" s="26">
        <f t="shared" si="232"/>
        <v>0</v>
      </c>
      <c r="N130" s="26">
        <f t="shared" si="232"/>
        <v>0</v>
      </c>
      <c r="O130" s="26">
        <f t="shared" si="232"/>
        <v>33</v>
      </c>
      <c r="P130" s="54">
        <f t="shared" si="232"/>
        <v>0</v>
      </c>
      <c r="Q130" s="26">
        <f t="shared" si="232"/>
        <v>0</v>
      </c>
      <c r="R130" s="26">
        <f t="shared" si="232"/>
        <v>51</v>
      </c>
      <c r="S130" s="26">
        <f t="shared" si="232"/>
        <v>0</v>
      </c>
      <c r="T130" s="26">
        <f t="shared" si="232"/>
        <v>0</v>
      </c>
      <c r="U130" s="26">
        <f t="shared" si="232"/>
        <v>0</v>
      </c>
      <c r="V130" s="26">
        <f t="shared" si="232"/>
        <v>22</v>
      </c>
      <c r="W130" s="26">
        <f t="shared" si="232"/>
        <v>0</v>
      </c>
      <c r="X130" s="26">
        <f t="shared" si="232"/>
        <v>0</v>
      </c>
      <c r="Y130" s="26">
        <f t="shared" si="232"/>
        <v>37</v>
      </c>
      <c r="Z130" s="26">
        <f t="shared" si="232"/>
        <v>0</v>
      </c>
      <c r="AA130" s="26">
        <f t="shared" si="232"/>
        <v>0</v>
      </c>
      <c r="AB130" s="26">
        <f t="shared" si="232"/>
        <v>0</v>
      </c>
      <c r="AC130" s="26">
        <f t="shared" si="232"/>
        <v>7</v>
      </c>
      <c r="AD130" s="26">
        <f t="shared" si="232"/>
        <v>0</v>
      </c>
      <c r="AE130" s="26">
        <f t="shared" si="232"/>
        <v>0</v>
      </c>
      <c r="AF130" s="26">
        <f t="shared" si="232"/>
        <v>59</v>
      </c>
      <c r="AG130" s="26" t="str">
        <f t="shared" si="232"/>
        <v/>
      </c>
      <c r="AH130" s="26" t="str">
        <f t="shared" si="232"/>
        <v/>
      </c>
      <c r="AI130" s="26" t="str">
        <f t="shared" si="232"/>
        <v/>
      </c>
      <c r="AJ130" s="26" t="str">
        <f t="shared" si="232"/>
        <v/>
      </c>
      <c r="AK130" s="26" t="str">
        <f t="shared" si="232"/>
        <v/>
      </c>
      <c r="AL130" s="26" t="str">
        <f t="shared" si="232"/>
        <v/>
      </c>
      <c r="AM130" s="26" t="str">
        <f t="shared" ref="AM130:AS130" si="233">IF(AM$3="","",AM123-AL123)</f>
        <v/>
      </c>
      <c r="AN130" s="26" t="str">
        <f t="shared" si="233"/>
        <v/>
      </c>
      <c r="AO130" s="26" t="str">
        <f t="shared" si="233"/>
        <v/>
      </c>
      <c r="AP130" s="26" t="str">
        <f t="shared" si="233"/>
        <v/>
      </c>
      <c r="AQ130" s="26" t="str">
        <f t="shared" si="233"/>
        <v/>
      </c>
      <c r="AR130" s="26" t="str">
        <f t="shared" si="233"/>
        <v/>
      </c>
      <c r="AS130" s="26" t="str">
        <f t="shared" si="233"/>
        <v/>
      </c>
    </row>
    <row r="131" spans="1:45">
      <c r="A131" s="7">
        <f>SUM(C131:AS131)</f>
        <v>6</v>
      </c>
      <c r="B131" s="27" t="s">
        <v>16</v>
      </c>
      <c r="C131" s="65">
        <v>0</v>
      </c>
      <c r="D131" s="26">
        <f t="shared" ref="D131:AL131" si="234">IF(D$3="","",D124-C124)</f>
        <v>0</v>
      </c>
      <c r="E131" s="26">
        <f t="shared" si="234"/>
        <v>1</v>
      </c>
      <c r="F131" s="54">
        <f t="shared" si="234"/>
        <v>0</v>
      </c>
      <c r="G131" s="26">
        <f t="shared" si="234"/>
        <v>0</v>
      </c>
      <c r="H131" s="26">
        <f t="shared" si="234"/>
        <v>0</v>
      </c>
      <c r="I131" s="54">
        <f t="shared" si="234"/>
        <v>0</v>
      </c>
      <c r="J131" s="26">
        <f t="shared" si="234"/>
        <v>0</v>
      </c>
      <c r="K131" s="26">
        <f t="shared" si="234"/>
        <v>2</v>
      </c>
      <c r="L131" s="54">
        <f t="shared" si="234"/>
        <v>0</v>
      </c>
      <c r="M131" s="26">
        <f t="shared" si="234"/>
        <v>0</v>
      </c>
      <c r="N131" s="26">
        <f t="shared" si="234"/>
        <v>0</v>
      </c>
      <c r="O131" s="26">
        <f t="shared" si="234"/>
        <v>0</v>
      </c>
      <c r="P131" s="54">
        <f t="shared" si="234"/>
        <v>0</v>
      </c>
      <c r="Q131" s="26">
        <f t="shared" si="234"/>
        <v>0</v>
      </c>
      <c r="R131" s="26">
        <f t="shared" si="234"/>
        <v>1</v>
      </c>
      <c r="S131" s="26">
        <f t="shared" si="234"/>
        <v>0</v>
      </c>
      <c r="T131" s="26">
        <f t="shared" si="234"/>
        <v>0</v>
      </c>
      <c r="U131" s="26">
        <f t="shared" si="234"/>
        <v>0</v>
      </c>
      <c r="V131" s="26">
        <f t="shared" si="234"/>
        <v>0</v>
      </c>
      <c r="W131" s="26">
        <f t="shared" si="234"/>
        <v>0</v>
      </c>
      <c r="X131" s="26">
        <f t="shared" si="234"/>
        <v>0</v>
      </c>
      <c r="Y131" s="26">
        <f t="shared" si="234"/>
        <v>2</v>
      </c>
      <c r="Z131" s="26">
        <f t="shared" si="234"/>
        <v>0</v>
      </c>
      <c r="AA131" s="26">
        <f t="shared" si="234"/>
        <v>0</v>
      </c>
      <c r="AB131" s="26">
        <f t="shared" si="234"/>
        <v>0</v>
      </c>
      <c r="AC131" s="26">
        <f t="shared" si="234"/>
        <v>0</v>
      </c>
      <c r="AD131" s="26">
        <f t="shared" si="234"/>
        <v>0</v>
      </c>
      <c r="AE131" s="26">
        <f t="shared" si="234"/>
        <v>0</v>
      </c>
      <c r="AF131" s="26">
        <f t="shared" si="234"/>
        <v>0</v>
      </c>
      <c r="AG131" s="26" t="str">
        <f t="shared" si="234"/>
        <v/>
      </c>
      <c r="AH131" s="26" t="str">
        <f t="shared" si="234"/>
        <v/>
      </c>
      <c r="AI131" s="26" t="str">
        <f t="shared" si="234"/>
        <v/>
      </c>
      <c r="AJ131" s="26" t="str">
        <f t="shared" si="234"/>
        <v/>
      </c>
      <c r="AK131" s="26" t="str">
        <f t="shared" si="234"/>
        <v/>
      </c>
      <c r="AL131" s="26" t="str">
        <f t="shared" si="234"/>
        <v/>
      </c>
      <c r="AM131" s="26" t="str">
        <f t="shared" ref="AM131:AS131" si="235">IF(AM$3="","",AM124-AL124)</f>
        <v/>
      </c>
      <c r="AN131" s="26" t="str">
        <f t="shared" si="235"/>
        <v/>
      </c>
      <c r="AO131" s="26" t="str">
        <f t="shared" si="235"/>
        <v/>
      </c>
      <c r="AP131" s="26" t="str">
        <f t="shared" si="235"/>
        <v/>
      </c>
      <c r="AQ131" s="26" t="str">
        <f t="shared" si="235"/>
        <v/>
      </c>
      <c r="AR131" s="26" t="str">
        <f t="shared" si="235"/>
        <v/>
      </c>
      <c r="AS131" s="26" t="str">
        <f t="shared" si="235"/>
        <v/>
      </c>
    </row>
    <row r="132" spans="1:45">
      <c r="A132" s="7">
        <f>SUM(C132:AS132)</f>
        <v>7</v>
      </c>
      <c r="B132" s="27" t="s">
        <v>17</v>
      </c>
      <c r="C132" s="65">
        <v>0</v>
      </c>
      <c r="D132" s="26">
        <f t="shared" ref="D132:AL132" si="236">IF(D$3="","",C125+C126-D125)</f>
        <v>0</v>
      </c>
      <c r="E132" s="26">
        <f t="shared" si="236"/>
        <v>1</v>
      </c>
      <c r="F132" s="54">
        <f t="shared" si="236"/>
        <v>0</v>
      </c>
      <c r="G132" s="26">
        <f t="shared" si="236"/>
        <v>0</v>
      </c>
      <c r="H132" s="26">
        <f t="shared" si="236"/>
        <v>1</v>
      </c>
      <c r="I132" s="54">
        <f t="shared" si="236"/>
        <v>0</v>
      </c>
      <c r="J132" s="26">
        <f t="shared" si="236"/>
        <v>0</v>
      </c>
      <c r="K132" s="26">
        <f t="shared" si="236"/>
        <v>1</v>
      </c>
      <c r="L132" s="54">
        <f t="shared" si="236"/>
        <v>0</v>
      </c>
      <c r="M132" s="26">
        <f t="shared" si="236"/>
        <v>0</v>
      </c>
      <c r="N132" s="26">
        <f t="shared" si="236"/>
        <v>0</v>
      </c>
      <c r="O132" s="26">
        <f t="shared" si="236"/>
        <v>1</v>
      </c>
      <c r="P132" s="54">
        <f t="shared" si="236"/>
        <v>0</v>
      </c>
      <c r="Q132" s="26">
        <f t="shared" si="236"/>
        <v>0</v>
      </c>
      <c r="R132" s="26">
        <f t="shared" si="236"/>
        <v>1</v>
      </c>
      <c r="S132" s="26">
        <f t="shared" si="236"/>
        <v>0</v>
      </c>
      <c r="T132" s="26">
        <f t="shared" si="236"/>
        <v>0</v>
      </c>
      <c r="U132" s="26">
        <f t="shared" si="236"/>
        <v>0</v>
      </c>
      <c r="V132" s="26">
        <f t="shared" si="236"/>
        <v>0</v>
      </c>
      <c r="W132" s="26">
        <f t="shared" si="236"/>
        <v>0</v>
      </c>
      <c r="X132" s="26">
        <f t="shared" si="236"/>
        <v>0</v>
      </c>
      <c r="Y132" s="26">
        <f t="shared" si="236"/>
        <v>2</v>
      </c>
      <c r="Z132" s="26">
        <f t="shared" si="236"/>
        <v>0</v>
      </c>
      <c r="AA132" s="26">
        <f t="shared" si="236"/>
        <v>0</v>
      </c>
      <c r="AB132" s="26">
        <f t="shared" si="236"/>
        <v>0</v>
      </c>
      <c r="AC132" s="26">
        <f t="shared" si="236"/>
        <v>0</v>
      </c>
      <c r="AD132" s="26">
        <f t="shared" si="236"/>
        <v>0</v>
      </c>
      <c r="AE132" s="26">
        <f t="shared" si="236"/>
        <v>0</v>
      </c>
      <c r="AF132" s="26">
        <f t="shared" si="236"/>
        <v>0</v>
      </c>
      <c r="AG132" s="26" t="str">
        <f t="shared" si="236"/>
        <v/>
      </c>
      <c r="AH132" s="26" t="str">
        <f t="shared" si="236"/>
        <v/>
      </c>
      <c r="AI132" s="26" t="str">
        <f t="shared" si="236"/>
        <v/>
      </c>
      <c r="AJ132" s="26" t="str">
        <f t="shared" si="236"/>
        <v/>
      </c>
      <c r="AK132" s="26" t="str">
        <f t="shared" si="236"/>
        <v/>
      </c>
      <c r="AL132" s="26" t="str">
        <f t="shared" si="236"/>
        <v/>
      </c>
      <c r="AM132" s="26" t="str">
        <f t="shared" ref="AM132:AS132" si="237">IF(AM$3="","",AL125+AL126-AM125)</f>
        <v/>
      </c>
      <c r="AN132" s="26" t="str">
        <f t="shared" si="237"/>
        <v/>
      </c>
      <c r="AO132" s="26" t="str">
        <f t="shared" si="237"/>
        <v/>
      </c>
      <c r="AP132" s="26" t="str">
        <f t="shared" si="237"/>
        <v/>
      </c>
      <c r="AQ132" s="26" t="str">
        <f t="shared" si="237"/>
        <v/>
      </c>
      <c r="AR132" s="26" t="str">
        <f t="shared" si="237"/>
        <v/>
      </c>
      <c r="AS132" s="26" t="str">
        <f t="shared" si="237"/>
        <v/>
      </c>
    </row>
    <row r="133" spans="1:45">
      <c r="A133" s="7">
        <f>SUM(C133:AS133)</f>
        <v>3500</v>
      </c>
      <c r="B133" s="27" t="s">
        <v>18</v>
      </c>
      <c r="C133" s="65">
        <v>0</v>
      </c>
      <c r="D133" s="26">
        <f t="shared" ref="D133:AL133" si="238">IF(D$3="","",D132*D127)</f>
        <v>0</v>
      </c>
      <c r="E133" s="26">
        <f t="shared" si="238"/>
        <v>500</v>
      </c>
      <c r="F133" s="54">
        <f t="shared" si="238"/>
        <v>0</v>
      </c>
      <c r="G133" s="26">
        <f t="shared" si="238"/>
        <v>0</v>
      </c>
      <c r="H133" s="26">
        <f t="shared" si="238"/>
        <v>500</v>
      </c>
      <c r="I133" s="54">
        <f t="shared" si="238"/>
        <v>0</v>
      </c>
      <c r="J133" s="26">
        <f t="shared" si="238"/>
        <v>0</v>
      </c>
      <c r="K133" s="26">
        <f t="shared" si="238"/>
        <v>500</v>
      </c>
      <c r="L133" s="54">
        <f t="shared" si="238"/>
        <v>0</v>
      </c>
      <c r="M133" s="26">
        <f t="shared" si="238"/>
        <v>0</v>
      </c>
      <c r="N133" s="26">
        <f t="shared" si="238"/>
        <v>0</v>
      </c>
      <c r="O133" s="26">
        <f t="shared" si="238"/>
        <v>500</v>
      </c>
      <c r="P133" s="54">
        <f t="shared" si="238"/>
        <v>0</v>
      </c>
      <c r="Q133" s="26">
        <f t="shared" si="238"/>
        <v>0</v>
      </c>
      <c r="R133" s="26">
        <f t="shared" si="238"/>
        <v>500</v>
      </c>
      <c r="S133" s="26">
        <f t="shared" si="238"/>
        <v>0</v>
      </c>
      <c r="T133" s="26">
        <f t="shared" si="238"/>
        <v>0</v>
      </c>
      <c r="U133" s="26">
        <f t="shared" si="238"/>
        <v>0</v>
      </c>
      <c r="V133" s="26">
        <f t="shared" si="238"/>
        <v>0</v>
      </c>
      <c r="W133" s="26">
        <f t="shared" si="238"/>
        <v>0</v>
      </c>
      <c r="X133" s="26">
        <f t="shared" si="238"/>
        <v>0</v>
      </c>
      <c r="Y133" s="26">
        <f t="shared" si="238"/>
        <v>1000</v>
      </c>
      <c r="Z133" s="26">
        <f t="shared" si="238"/>
        <v>0</v>
      </c>
      <c r="AA133" s="26">
        <f t="shared" si="238"/>
        <v>0</v>
      </c>
      <c r="AB133" s="26">
        <f t="shared" si="238"/>
        <v>0</v>
      </c>
      <c r="AC133" s="26">
        <f t="shared" si="238"/>
        <v>0</v>
      </c>
      <c r="AD133" s="26">
        <f t="shared" si="238"/>
        <v>0</v>
      </c>
      <c r="AE133" s="26">
        <f t="shared" si="238"/>
        <v>0</v>
      </c>
      <c r="AF133" s="26">
        <f t="shared" si="238"/>
        <v>0</v>
      </c>
      <c r="AG133" s="26" t="str">
        <f t="shared" si="238"/>
        <v/>
      </c>
      <c r="AH133" s="26" t="str">
        <f t="shared" si="238"/>
        <v/>
      </c>
      <c r="AI133" s="26" t="str">
        <f t="shared" si="238"/>
        <v/>
      </c>
      <c r="AJ133" s="26" t="str">
        <f t="shared" si="238"/>
        <v/>
      </c>
      <c r="AK133" s="26" t="str">
        <f t="shared" si="238"/>
        <v/>
      </c>
      <c r="AL133" s="26" t="str">
        <f t="shared" si="238"/>
        <v/>
      </c>
      <c r="AM133" s="26" t="str">
        <f t="shared" ref="AM133:AS133" si="239">IF(AM$3="","",AM132*AM127)</f>
        <v/>
      </c>
      <c r="AN133" s="26" t="str">
        <f t="shared" si="239"/>
        <v/>
      </c>
      <c r="AO133" s="26" t="str">
        <f t="shared" si="239"/>
        <v/>
      </c>
      <c r="AP133" s="26" t="str">
        <f t="shared" si="239"/>
        <v/>
      </c>
      <c r="AQ133" s="26" t="str">
        <f t="shared" si="239"/>
        <v/>
      </c>
      <c r="AR133" s="26" t="str">
        <f t="shared" si="239"/>
        <v/>
      </c>
      <c r="AS133" s="26" t="str">
        <f t="shared" si="239"/>
        <v/>
      </c>
    </row>
    <row r="134" spans="1:45" ht="12" thickBot="1">
      <c r="A134" s="4">
        <f>IF(A133="","",A133/(A130*100))</f>
        <v>9.8314606741573038E-2</v>
      </c>
      <c r="B134" s="27" t="s">
        <v>20</v>
      </c>
      <c r="C134" s="68" t="s">
        <v>21</v>
      </c>
      <c r="D134" s="44" t="str">
        <f t="shared" ref="D134:AL134" si="240">IF(D$3="","",IF(D133=0,"",D133/(D130*100)))</f>
        <v/>
      </c>
      <c r="E134" s="44">
        <f t="shared" si="240"/>
        <v>6.097560975609756E-2</v>
      </c>
      <c r="F134" s="132" t="str">
        <f t="shared" si="240"/>
        <v/>
      </c>
      <c r="G134" s="44" t="str">
        <f t="shared" si="240"/>
        <v/>
      </c>
      <c r="H134" s="44">
        <f t="shared" si="240"/>
        <v>0.29411764705882354</v>
      </c>
      <c r="I134" s="132" t="str">
        <f t="shared" si="240"/>
        <v/>
      </c>
      <c r="J134" s="44" t="str">
        <f t="shared" si="240"/>
        <v/>
      </c>
      <c r="K134" s="44">
        <f t="shared" si="240"/>
        <v>0.10416666666666667</v>
      </c>
      <c r="L134" s="132" t="str">
        <f t="shared" si="240"/>
        <v/>
      </c>
      <c r="M134" s="44" t="str">
        <f t="shared" si="240"/>
        <v/>
      </c>
      <c r="N134" s="44" t="str">
        <f t="shared" si="240"/>
        <v/>
      </c>
      <c r="O134" s="44">
        <f t="shared" si="240"/>
        <v>0.15151515151515152</v>
      </c>
      <c r="P134" s="132" t="str">
        <f t="shared" si="240"/>
        <v/>
      </c>
      <c r="Q134" s="44" t="str">
        <f t="shared" si="240"/>
        <v/>
      </c>
      <c r="R134" s="44">
        <f t="shared" si="240"/>
        <v>9.8039215686274508E-2</v>
      </c>
      <c r="S134" s="44" t="str">
        <f t="shared" si="240"/>
        <v/>
      </c>
      <c r="T134" s="44" t="str">
        <f t="shared" si="240"/>
        <v/>
      </c>
      <c r="U134" s="44" t="str">
        <f t="shared" si="240"/>
        <v/>
      </c>
      <c r="V134" s="44" t="str">
        <f t="shared" si="240"/>
        <v/>
      </c>
      <c r="W134" s="44" t="str">
        <f t="shared" si="240"/>
        <v/>
      </c>
      <c r="X134" s="44" t="str">
        <f t="shared" si="240"/>
        <v/>
      </c>
      <c r="Y134" s="44">
        <f t="shared" si="240"/>
        <v>0.27027027027027029</v>
      </c>
      <c r="Z134" s="44" t="str">
        <f t="shared" si="240"/>
        <v/>
      </c>
      <c r="AA134" s="44" t="str">
        <f t="shared" si="240"/>
        <v/>
      </c>
      <c r="AB134" s="44" t="str">
        <f t="shared" si="240"/>
        <v/>
      </c>
      <c r="AC134" s="44" t="str">
        <f t="shared" si="240"/>
        <v/>
      </c>
      <c r="AD134" s="44" t="str">
        <f t="shared" si="240"/>
        <v/>
      </c>
      <c r="AE134" s="44" t="str">
        <f t="shared" si="240"/>
        <v/>
      </c>
      <c r="AF134" s="44" t="str">
        <f t="shared" si="240"/>
        <v/>
      </c>
      <c r="AG134" s="44" t="str">
        <f t="shared" si="240"/>
        <v/>
      </c>
      <c r="AH134" s="44" t="str">
        <f t="shared" si="240"/>
        <v/>
      </c>
      <c r="AI134" s="44" t="str">
        <f t="shared" si="240"/>
        <v/>
      </c>
      <c r="AJ134" s="44" t="str">
        <f t="shared" si="240"/>
        <v/>
      </c>
      <c r="AK134" s="44" t="str">
        <f t="shared" si="240"/>
        <v/>
      </c>
      <c r="AL134" s="44" t="str">
        <f t="shared" si="240"/>
        <v/>
      </c>
      <c r="AM134" s="44" t="str">
        <f t="shared" ref="AM134:AS134" si="241">IF(AM$3="","",IF(AM133=0,"",AM133/(AM130*100)))</f>
        <v/>
      </c>
      <c r="AN134" s="44" t="str">
        <f t="shared" si="241"/>
        <v/>
      </c>
      <c r="AO134" s="44" t="str">
        <f t="shared" si="241"/>
        <v/>
      </c>
      <c r="AP134" s="44" t="str">
        <f t="shared" si="241"/>
        <v/>
      </c>
      <c r="AQ134" s="44" t="str">
        <f t="shared" si="241"/>
        <v/>
      </c>
      <c r="AR134" s="44" t="str">
        <f t="shared" si="241"/>
        <v/>
      </c>
      <c r="AS134" s="44" t="str">
        <f t="shared" si="241"/>
        <v/>
      </c>
    </row>
    <row r="135" spans="1:45">
      <c r="A135" s="17" t="s">
        <v>1</v>
      </c>
      <c r="B135" s="42" t="s">
        <v>2</v>
      </c>
      <c r="C135" s="64">
        <v>3778</v>
      </c>
      <c r="D135" s="35">
        <f>IF(D$3="","",C135)</f>
        <v>3778</v>
      </c>
      <c r="E135" s="35">
        <v>3824</v>
      </c>
      <c r="F135" s="128">
        <f>IF(F$3="","",E135)</f>
        <v>3824</v>
      </c>
      <c r="G135" s="35">
        <f>IF(G$3="","",F135)</f>
        <v>3824</v>
      </c>
      <c r="H135" s="35">
        <v>3835</v>
      </c>
      <c r="I135" s="128">
        <f>IF(I$3="","",H135)</f>
        <v>3835</v>
      </c>
      <c r="J135" s="35">
        <f>IF(J$3="","",I135)</f>
        <v>3835</v>
      </c>
      <c r="K135" s="35">
        <v>3883</v>
      </c>
      <c r="L135" s="128">
        <f t="shared" ref="L135:N136" si="242">IF(L$3="","",K135)</f>
        <v>3883</v>
      </c>
      <c r="M135" s="35">
        <f t="shared" si="242"/>
        <v>3883</v>
      </c>
      <c r="N135" s="35">
        <f t="shared" si="242"/>
        <v>3883</v>
      </c>
      <c r="O135" s="35">
        <v>3899</v>
      </c>
      <c r="P135" s="128">
        <f>IF(P$3="","",O135)</f>
        <v>3899</v>
      </c>
      <c r="Q135" s="35">
        <f>IF(Q$3="","",P135)</f>
        <v>3899</v>
      </c>
      <c r="R135" s="35">
        <v>3915</v>
      </c>
      <c r="S135" s="35">
        <f t="shared" ref="S135:AL135" si="243">IF(S$3="","",R135)</f>
        <v>3915</v>
      </c>
      <c r="T135" s="35">
        <f t="shared" si="243"/>
        <v>3915</v>
      </c>
      <c r="U135" s="35">
        <f t="shared" si="243"/>
        <v>3915</v>
      </c>
      <c r="V135" s="35">
        <v>3922</v>
      </c>
      <c r="W135" s="35">
        <f t="shared" si="243"/>
        <v>3922</v>
      </c>
      <c r="X135" s="35">
        <f t="shared" si="243"/>
        <v>3922</v>
      </c>
      <c r="Y135" s="35">
        <v>3925</v>
      </c>
      <c r="Z135" s="35">
        <f t="shared" si="243"/>
        <v>3925</v>
      </c>
      <c r="AA135" s="35">
        <f t="shared" si="243"/>
        <v>3925</v>
      </c>
      <c r="AB135" s="35">
        <f t="shared" si="243"/>
        <v>3925</v>
      </c>
      <c r="AC135" s="35">
        <v>3981</v>
      </c>
      <c r="AD135" s="35">
        <f t="shared" si="243"/>
        <v>3981</v>
      </c>
      <c r="AE135" s="35">
        <f t="shared" si="243"/>
        <v>3981</v>
      </c>
      <c r="AF135" s="35">
        <v>4009</v>
      </c>
      <c r="AG135" s="35" t="str">
        <f t="shared" si="243"/>
        <v/>
      </c>
      <c r="AH135" s="35" t="str">
        <f t="shared" si="243"/>
        <v/>
      </c>
      <c r="AI135" s="35" t="str">
        <f t="shared" si="243"/>
        <v/>
      </c>
      <c r="AJ135" s="35" t="str">
        <f t="shared" si="243"/>
        <v/>
      </c>
      <c r="AK135" s="35" t="str">
        <f t="shared" si="243"/>
        <v/>
      </c>
      <c r="AL135" s="35" t="str">
        <f t="shared" si="243"/>
        <v/>
      </c>
      <c r="AM135" s="35" t="str">
        <f t="shared" ref="AM135:AS135" si="244">IF(AM$3="","",AL135)</f>
        <v/>
      </c>
      <c r="AN135" s="35" t="str">
        <f t="shared" si="244"/>
        <v/>
      </c>
      <c r="AO135" s="35" t="str">
        <f t="shared" si="244"/>
        <v/>
      </c>
      <c r="AP135" s="35" t="str">
        <f t="shared" si="244"/>
        <v/>
      </c>
      <c r="AQ135" s="35" t="str">
        <f t="shared" si="244"/>
        <v/>
      </c>
      <c r="AR135" s="35" t="str">
        <f t="shared" si="244"/>
        <v/>
      </c>
      <c r="AS135" s="35" t="str">
        <f t="shared" si="244"/>
        <v/>
      </c>
    </row>
    <row r="136" spans="1:45">
      <c r="A136" s="16" t="s">
        <v>37</v>
      </c>
      <c r="B136" s="30" t="s">
        <v>4</v>
      </c>
      <c r="C136" s="65">
        <v>76</v>
      </c>
      <c r="D136" s="29">
        <f>IF(D$3="","",C136)</f>
        <v>76</v>
      </c>
      <c r="E136" s="29">
        <f>IF(E$3="","",D136)</f>
        <v>76</v>
      </c>
      <c r="F136" s="54">
        <f>IF(F$3="","",E136)</f>
        <v>76</v>
      </c>
      <c r="G136" s="29">
        <f>IF(G$3="","",F136)</f>
        <v>76</v>
      </c>
      <c r="H136" s="29">
        <v>77</v>
      </c>
      <c r="I136" s="54">
        <f>IF(I$3="","",H136)</f>
        <v>77</v>
      </c>
      <c r="J136" s="29">
        <f>IF(J$3="","",I136)</f>
        <v>77</v>
      </c>
      <c r="K136" s="29">
        <f>IF(K$3="","",J136)</f>
        <v>77</v>
      </c>
      <c r="L136" s="54">
        <f t="shared" si="242"/>
        <v>77</v>
      </c>
      <c r="M136" s="29">
        <f t="shared" si="242"/>
        <v>77</v>
      </c>
      <c r="N136" s="29">
        <f t="shared" si="242"/>
        <v>77</v>
      </c>
      <c r="O136" s="29">
        <v>78</v>
      </c>
      <c r="P136" s="54">
        <f>IF(P$3="","",O136)</f>
        <v>78</v>
      </c>
      <c r="Q136" s="29">
        <f>IF(Q$3="","",P136)</f>
        <v>78</v>
      </c>
      <c r="R136" s="29">
        <f>IF(R$3="","",Q136)</f>
        <v>78</v>
      </c>
      <c r="S136" s="29">
        <f t="shared" ref="S136:AL136" si="245">IF(S$3="","",R136)</f>
        <v>78</v>
      </c>
      <c r="T136" s="29">
        <f t="shared" si="245"/>
        <v>78</v>
      </c>
      <c r="U136" s="29">
        <f t="shared" si="245"/>
        <v>78</v>
      </c>
      <c r="V136" s="29">
        <f t="shared" si="245"/>
        <v>78</v>
      </c>
      <c r="W136" s="29">
        <f t="shared" si="245"/>
        <v>78</v>
      </c>
      <c r="X136" s="29">
        <f t="shared" si="245"/>
        <v>78</v>
      </c>
      <c r="Y136" s="29">
        <v>79</v>
      </c>
      <c r="Z136" s="29">
        <f t="shared" si="245"/>
        <v>79</v>
      </c>
      <c r="AA136" s="29">
        <f t="shared" si="245"/>
        <v>79</v>
      </c>
      <c r="AB136" s="29">
        <f t="shared" si="245"/>
        <v>79</v>
      </c>
      <c r="AC136" s="29">
        <v>80</v>
      </c>
      <c r="AD136" s="29">
        <f t="shared" si="245"/>
        <v>80</v>
      </c>
      <c r="AE136" s="29">
        <f t="shared" si="245"/>
        <v>80</v>
      </c>
      <c r="AF136" s="29">
        <v>81</v>
      </c>
      <c r="AG136" s="29" t="str">
        <f t="shared" si="245"/>
        <v/>
      </c>
      <c r="AH136" s="29" t="str">
        <f t="shared" si="245"/>
        <v/>
      </c>
      <c r="AI136" s="29" t="str">
        <f t="shared" si="245"/>
        <v/>
      </c>
      <c r="AJ136" s="29" t="str">
        <f t="shared" si="245"/>
        <v/>
      </c>
      <c r="AK136" s="29" t="str">
        <f t="shared" si="245"/>
        <v/>
      </c>
      <c r="AL136" s="29" t="str">
        <f t="shared" si="245"/>
        <v/>
      </c>
      <c r="AM136" s="29" t="str">
        <f t="shared" ref="AM136:AS136" si="246">IF(AM$3="","",AL136)</f>
        <v/>
      </c>
      <c r="AN136" s="29" t="str">
        <f t="shared" si="246"/>
        <v/>
      </c>
      <c r="AO136" s="29" t="str">
        <f t="shared" si="246"/>
        <v/>
      </c>
      <c r="AP136" s="29" t="str">
        <f t="shared" si="246"/>
        <v/>
      </c>
      <c r="AQ136" s="29" t="str">
        <f t="shared" si="246"/>
        <v/>
      </c>
      <c r="AR136" s="29" t="str">
        <f t="shared" si="246"/>
        <v/>
      </c>
      <c r="AS136" s="29" t="str">
        <f t="shared" si="246"/>
        <v/>
      </c>
    </row>
    <row r="137" spans="1:45">
      <c r="A137" s="15">
        <v>4</v>
      </c>
      <c r="B137" s="30" t="s">
        <v>5</v>
      </c>
      <c r="C137" s="65">
        <v>7</v>
      </c>
      <c r="D137" s="29">
        <f t="shared" ref="D137:N137" si="247">IF(D$3="","",(C137+C138))</f>
        <v>7</v>
      </c>
      <c r="E137" s="29">
        <f t="shared" si="247"/>
        <v>7</v>
      </c>
      <c r="F137" s="54">
        <f t="shared" si="247"/>
        <v>7</v>
      </c>
      <c r="G137" s="29">
        <f t="shared" si="247"/>
        <v>7</v>
      </c>
      <c r="H137" s="29">
        <f t="shared" si="247"/>
        <v>7</v>
      </c>
      <c r="I137" s="54">
        <f t="shared" si="247"/>
        <v>7</v>
      </c>
      <c r="J137" s="29">
        <f t="shared" si="247"/>
        <v>7</v>
      </c>
      <c r="K137" s="29">
        <f t="shared" si="247"/>
        <v>7</v>
      </c>
      <c r="L137" s="54">
        <f t="shared" si="247"/>
        <v>7</v>
      </c>
      <c r="M137" s="29">
        <f t="shared" si="247"/>
        <v>7</v>
      </c>
      <c r="N137" s="29">
        <f t="shared" si="247"/>
        <v>7</v>
      </c>
      <c r="O137" s="29">
        <v>6</v>
      </c>
      <c r="P137" s="54">
        <f t="shared" ref="P137:AL137" si="248">IF(P$3="","",(O137+O138))</f>
        <v>6</v>
      </c>
      <c r="Q137" s="29">
        <f t="shared" si="248"/>
        <v>6</v>
      </c>
      <c r="R137" s="29">
        <f t="shared" si="248"/>
        <v>6</v>
      </c>
      <c r="S137" s="29">
        <f t="shared" si="248"/>
        <v>10</v>
      </c>
      <c r="T137" s="29">
        <f t="shared" si="248"/>
        <v>10</v>
      </c>
      <c r="U137" s="29">
        <f t="shared" si="248"/>
        <v>10</v>
      </c>
      <c r="V137" s="29">
        <f t="shared" si="248"/>
        <v>10</v>
      </c>
      <c r="W137" s="29">
        <f t="shared" si="248"/>
        <v>10</v>
      </c>
      <c r="X137" s="29">
        <f t="shared" si="248"/>
        <v>10</v>
      </c>
      <c r="Y137" s="29">
        <v>9</v>
      </c>
      <c r="Z137" s="29">
        <f t="shared" si="248"/>
        <v>30</v>
      </c>
      <c r="AA137" s="29">
        <f t="shared" si="248"/>
        <v>30</v>
      </c>
      <c r="AB137" s="29">
        <f t="shared" si="248"/>
        <v>30</v>
      </c>
      <c r="AC137" s="29">
        <v>29</v>
      </c>
      <c r="AD137" s="29">
        <f t="shared" si="248"/>
        <v>29</v>
      </c>
      <c r="AE137" s="29">
        <f t="shared" si="248"/>
        <v>29</v>
      </c>
      <c r="AF137" s="29">
        <v>28</v>
      </c>
      <c r="AG137" s="29" t="str">
        <f t="shared" si="248"/>
        <v/>
      </c>
      <c r="AH137" s="29" t="str">
        <f t="shared" si="248"/>
        <v/>
      </c>
      <c r="AI137" s="29" t="str">
        <f t="shared" si="248"/>
        <v/>
      </c>
      <c r="AJ137" s="29" t="str">
        <f t="shared" si="248"/>
        <v/>
      </c>
      <c r="AK137" s="29" t="str">
        <f t="shared" si="248"/>
        <v/>
      </c>
      <c r="AL137" s="29" t="str">
        <f t="shared" si="248"/>
        <v/>
      </c>
      <c r="AM137" s="29" t="str">
        <f t="shared" ref="AM137:AS137" si="249">IF(AM$3="","",(AL137+AL138))</f>
        <v/>
      </c>
      <c r="AN137" s="29" t="str">
        <f t="shared" si="249"/>
        <v/>
      </c>
      <c r="AO137" s="29" t="str">
        <f t="shared" si="249"/>
        <v/>
      </c>
      <c r="AP137" s="29" t="str">
        <f t="shared" si="249"/>
        <v/>
      </c>
      <c r="AQ137" s="29" t="str">
        <f t="shared" si="249"/>
        <v/>
      </c>
      <c r="AR137" s="29" t="str">
        <f t="shared" si="249"/>
        <v/>
      </c>
      <c r="AS137" s="29" t="str">
        <f t="shared" si="249"/>
        <v/>
      </c>
    </row>
    <row r="138" spans="1:45">
      <c r="A138" s="14"/>
      <c r="B138" s="30" t="s">
        <v>7</v>
      </c>
      <c r="C138" s="65"/>
      <c r="D138" s="29"/>
      <c r="E138" s="29"/>
      <c r="F138" s="54"/>
      <c r="G138" s="29"/>
      <c r="H138" s="29"/>
      <c r="I138" s="54"/>
      <c r="J138" s="29"/>
      <c r="K138" s="29"/>
      <c r="L138" s="54"/>
      <c r="M138" s="29"/>
      <c r="N138" s="29"/>
      <c r="O138" s="29"/>
      <c r="P138" s="54"/>
      <c r="Q138" s="29"/>
      <c r="R138" s="29">
        <v>4</v>
      </c>
      <c r="S138" s="29"/>
      <c r="T138" s="29"/>
      <c r="U138" s="29"/>
      <c r="V138" s="29"/>
      <c r="W138" s="29"/>
      <c r="X138" s="29"/>
      <c r="Y138" s="29">
        <v>21</v>
      </c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 spans="1:45">
      <c r="A139" s="7"/>
      <c r="B139" s="30" t="s">
        <v>8</v>
      </c>
      <c r="C139" s="64">
        <v>350</v>
      </c>
      <c r="D139" s="35">
        <f t="shared" ref="D139:AL139" si="250">IF(D$3="","",C139)</f>
        <v>350</v>
      </c>
      <c r="E139" s="35">
        <f t="shared" si="250"/>
        <v>350</v>
      </c>
      <c r="F139" s="128">
        <f t="shared" si="250"/>
        <v>350</v>
      </c>
      <c r="G139" s="35">
        <f t="shared" si="250"/>
        <v>350</v>
      </c>
      <c r="H139" s="35">
        <f t="shared" si="250"/>
        <v>350</v>
      </c>
      <c r="I139" s="128">
        <f t="shared" si="250"/>
        <v>350</v>
      </c>
      <c r="J139" s="35">
        <f t="shared" si="250"/>
        <v>350</v>
      </c>
      <c r="K139" s="35">
        <f t="shared" si="250"/>
        <v>350</v>
      </c>
      <c r="L139" s="128">
        <f t="shared" si="250"/>
        <v>350</v>
      </c>
      <c r="M139" s="35">
        <f t="shared" si="250"/>
        <v>350</v>
      </c>
      <c r="N139" s="35">
        <f t="shared" si="250"/>
        <v>350</v>
      </c>
      <c r="O139" s="35">
        <f t="shared" si="250"/>
        <v>350</v>
      </c>
      <c r="P139" s="128">
        <f t="shared" si="250"/>
        <v>350</v>
      </c>
      <c r="Q139" s="35">
        <f t="shared" si="250"/>
        <v>350</v>
      </c>
      <c r="R139" s="35">
        <f t="shared" si="250"/>
        <v>350</v>
      </c>
      <c r="S139" s="35">
        <f t="shared" si="250"/>
        <v>350</v>
      </c>
      <c r="T139" s="35">
        <f t="shared" si="250"/>
        <v>350</v>
      </c>
      <c r="U139" s="35">
        <f t="shared" si="250"/>
        <v>350</v>
      </c>
      <c r="V139" s="35">
        <f t="shared" si="250"/>
        <v>350</v>
      </c>
      <c r="W139" s="35">
        <f t="shared" si="250"/>
        <v>350</v>
      </c>
      <c r="X139" s="35">
        <f t="shared" si="250"/>
        <v>350</v>
      </c>
      <c r="Y139" s="35">
        <f t="shared" si="250"/>
        <v>350</v>
      </c>
      <c r="Z139" s="35">
        <f t="shared" si="250"/>
        <v>350</v>
      </c>
      <c r="AA139" s="35">
        <f t="shared" si="250"/>
        <v>350</v>
      </c>
      <c r="AB139" s="35">
        <f t="shared" si="250"/>
        <v>350</v>
      </c>
      <c r="AC139" s="35">
        <f t="shared" si="250"/>
        <v>350</v>
      </c>
      <c r="AD139" s="35">
        <f t="shared" si="250"/>
        <v>350</v>
      </c>
      <c r="AE139" s="35">
        <f t="shared" si="250"/>
        <v>350</v>
      </c>
      <c r="AF139" s="35">
        <f t="shared" si="250"/>
        <v>350</v>
      </c>
      <c r="AG139" s="35" t="str">
        <f t="shared" si="250"/>
        <v/>
      </c>
      <c r="AH139" s="35" t="str">
        <f t="shared" si="250"/>
        <v/>
      </c>
      <c r="AI139" s="35" t="str">
        <f t="shared" si="250"/>
        <v/>
      </c>
      <c r="AJ139" s="35" t="str">
        <f t="shared" si="250"/>
        <v/>
      </c>
      <c r="AK139" s="35" t="str">
        <f t="shared" si="250"/>
        <v/>
      </c>
      <c r="AL139" s="35" t="str">
        <f t="shared" si="250"/>
        <v/>
      </c>
      <c r="AM139" s="35" t="str">
        <f t="shared" ref="AM139:AS139" si="251">IF(AM$3="","",AL139)</f>
        <v/>
      </c>
      <c r="AN139" s="35" t="str">
        <f t="shared" si="251"/>
        <v/>
      </c>
      <c r="AO139" s="35" t="str">
        <f t="shared" si="251"/>
        <v/>
      </c>
      <c r="AP139" s="35" t="str">
        <f t="shared" si="251"/>
        <v/>
      </c>
      <c r="AQ139" s="35" t="str">
        <f t="shared" si="251"/>
        <v/>
      </c>
      <c r="AR139" s="35" t="str">
        <f t="shared" si="251"/>
        <v/>
      </c>
      <c r="AS139" s="35" t="str">
        <f t="shared" si="251"/>
        <v/>
      </c>
    </row>
    <row r="140" spans="1:45" s="94" customFormat="1">
      <c r="A140" s="14" t="s">
        <v>9</v>
      </c>
      <c r="B140" s="33" t="s">
        <v>10</v>
      </c>
      <c r="C140" s="63" t="s">
        <v>41</v>
      </c>
      <c r="D140" s="32" t="str">
        <f t="shared" ref="D140:Q140" si="252">IF(D$3="","",C140)</f>
        <v>ヨヨ　バースデイ</v>
      </c>
      <c r="E140" s="32" t="str">
        <f t="shared" si="252"/>
        <v>ヨヨ　バースデイ</v>
      </c>
      <c r="F140" s="129" t="str">
        <f t="shared" si="252"/>
        <v>ヨヨ　バースデイ</v>
      </c>
      <c r="G140" s="32" t="str">
        <f t="shared" si="252"/>
        <v>ヨヨ　バースデイ</v>
      </c>
      <c r="H140" s="32" t="str">
        <f t="shared" si="252"/>
        <v>ヨヨ　バースデイ</v>
      </c>
      <c r="I140" s="129" t="str">
        <f t="shared" si="252"/>
        <v>ヨヨ　バースデイ</v>
      </c>
      <c r="J140" s="32" t="str">
        <f t="shared" si="252"/>
        <v>ヨヨ　バースデイ</v>
      </c>
      <c r="K140" s="32" t="str">
        <f t="shared" si="252"/>
        <v>ヨヨ　バースデイ</v>
      </c>
      <c r="L140" s="129" t="str">
        <f t="shared" si="252"/>
        <v>ヨヨ　バースデイ</v>
      </c>
      <c r="M140" s="32" t="str">
        <f t="shared" si="252"/>
        <v>ヨヨ　バースデイ</v>
      </c>
      <c r="N140" s="32" t="str">
        <f t="shared" si="252"/>
        <v>ヨヨ　バースデイ</v>
      </c>
      <c r="O140" s="32" t="str">
        <f t="shared" si="252"/>
        <v>ヨヨ　バースデイ</v>
      </c>
      <c r="P140" s="129" t="str">
        <f t="shared" si="252"/>
        <v>ヨヨ　バースデイ</v>
      </c>
      <c r="Q140" s="32" t="str">
        <f t="shared" si="252"/>
        <v>ヨヨ　バースデイ</v>
      </c>
      <c r="R140" s="32" t="s">
        <v>42</v>
      </c>
      <c r="S140" s="32" t="str">
        <f t="shared" ref="S140:AL140" si="253">IF(S$3="","",R140)</f>
        <v>サンリオブレスレット</v>
      </c>
      <c r="T140" s="32" t="str">
        <f t="shared" si="253"/>
        <v>サンリオブレスレット</v>
      </c>
      <c r="U140" s="32" t="str">
        <f t="shared" si="253"/>
        <v>サンリオブレスレット</v>
      </c>
      <c r="V140" s="32" t="str">
        <f t="shared" si="253"/>
        <v>サンリオブレスレット</v>
      </c>
      <c r="W140" s="32" t="str">
        <f t="shared" si="253"/>
        <v>サンリオブレスレット</v>
      </c>
      <c r="X140" s="32" t="str">
        <f t="shared" si="253"/>
        <v>サンリオブレスレット</v>
      </c>
      <c r="Y140" s="32" t="s">
        <v>43</v>
      </c>
      <c r="Z140" s="32" t="str">
        <f t="shared" si="253"/>
        <v>サンリオチャーム付スイーツ</v>
      </c>
      <c r="AA140" s="32" t="str">
        <f t="shared" si="253"/>
        <v>サンリオチャーム付スイーツ</v>
      </c>
      <c r="AB140" s="32" t="str">
        <f t="shared" si="253"/>
        <v>サンリオチャーム付スイーツ</v>
      </c>
      <c r="AC140" s="32" t="str">
        <f t="shared" si="253"/>
        <v>サンリオチャーム付スイーツ</v>
      </c>
      <c r="AD140" s="32" t="str">
        <f t="shared" si="253"/>
        <v>サンリオチャーム付スイーツ</v>
      </c>
      <c r="AE140" s="32" t="str">
        <f t="shared" si="253"/>
        <v>サンリオチャーム付スイーツ</v>
      </c>
      <c r="AF140" s="32" t="str">
        <f t="shared" si="253"/>
        <v>サンリオチャーム付スイーツ</v>
      </c>
      <c r="AG140" s="32" t="str">
        <f t="shared" si="253"/>
        <v/>
      </c>
      <c r="AH140" s="32" t="str">
        <f t="shared" si="253"/>
        <v/>
      </c>
      <c r="AI140" s="32" t="str">
        <f t="shared" si="253"/>
        <v/>
      </c>
      <c r="AJ140" s="32" t="str">
        <f t="shared" si="253"/>
        <v/>
      </c>
      <c r="AK140" s="32" t="str">
        <f t="shared" si="253"/>
        <v/>
      </c>
      <c r="AL140" s="32" t="str">
        <f t="shared" si="253"/>
        <v/>
      </c>
      <c r="AM140" s="32" t="str">
        <f t="shared" ref="AM140:AS140" si="254">IF(AM$3="","",AL140)</f>
        <v/>
      </c>
      <c r="AN140" s="32" t="str">
        <f t="shared" si="254"/>
        <v/>
      </c>
      <c r="AO140" s="32" t="str">
        <f t="shared" si="254"/>
        <v/>
      </c>
      <c r="AP140" s="32" t="str">
        <f t="shared" si="254"/>
        <v/>
      </c>
      <c r="AQ140" s="32" t="str">
        <f t="shared" si="254"/>
        <v/>
      </c>
      <c r="AR140" s="32" t="str">
        <f t="shared" si="254"/>
        <v/>
      </c>
      <c r="AS140" s="32" t="str">
        <f t="shared" si="254"/>
        <v/>
      </c>
    </row>
    <row r="141" spans="1:45">
      <c r="A141" s="7">
        <f>AVERAGE(C142:AS142)*30*100</f>
        <v>23100</v>
      </c>
      <c r="B141" s="30" t="s">
        <v>14</v>
      </c>
      <c r="C141" s="65"/>
      <c r="D141" s="29"/>
      <c r="E141" s="29"/>
      <c r="F141" s="54"/>
      <c r="G141" s="29"/>
      <c r="H141" s="29"/>
      <c r="I141" s="54"/>
      <c r="J141" s="29"/>
      <c r="K141" s="29"/>
      <c r="L141" s="54"/>
      <c r="M141" s="29"/>
      <c r="N141" s="29"/>
      <c r="O141" s="29"/>
      <c r="P141" s="54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 spans="1:45">
      <c r="A142" s="7">
        <f>SUM(C142:AS142)</f>
        <v>231</v>
      </c>
      <c r="B142" s="27" t="s">
        <v>15</v>
      </c>
      <c r="C142" s="65">
        <v>0</v>
      </c>
      <c r="D142" s="26">
        <f t="shared" ref="D142:AL142" si="255">IF(D$3="","",D135-C135)</f>
        <v>0</v>
      </c>
      <c r="E142" s="26">
        <f t="shared" si="255"/>
        <v>46</v>
      </c>
      <c r="F142" s="54">
        <f t="shared" si="255"/>
        <v>0</v>
      </c>
      <c r="G142" s="26">
        <f t="shared" si="255"/>
        <v>0</v>
      </c>
      <c r="H142" s="26">
        <f t="shared" si="255"/>
        <v>11</v>
      </c>
      <c r="I142" s="54">
        <f t="shared" si="255"/>
        <v>0</v>
      </c>
      <c r="J142" s="26">
        <f t="shared" si="255"/>
        <v>0</v>
      </c>
      <c r="K142" s="26">
        <f t="shared" si="255"/>
        <v>48</v>
      </c>
      <c r="L142" s="54">
        <f t="shared" si="255"/>
        <v>0</v>
      </c>
      <c r="M142" s="26">
        <f t="shared" si="255"/>
        <v>0</v>
      </c>
      <c r="N142" s="26">
        <f t="shared" si="255"/>
        <v>0</v>
      </c>
      <c r="O142" s="26">
        <f t="shared" si="255"/>
        <v>16</v>
      </c>
      <c r="P142" s="54">
        <f t="shared" si="255"/>
        <v>0</v>
      </c>
      <c r="Q142" s="26">
        <f t="shared" si="255"/>
        <v>0</v>
      </c>
      <c r="R142" s="26">
        <f t="shared" si="255"/>
        <v>16</v>
      </c>
      <c r="S142" s="26">
        <f t="shared" si="255"/>
        <v>0</v>
      </c>
      <c r="T142" s="26">
        <f t="shared" si="255"/>
        <v>0</v>
      </c>
      <c r="U142" s="26">
        <f t="shared" si="255"/>
        <v>0</v>
      </c>
      <c r="V142" s="26">
        <f t="shared" si="255"/>
        <v>7</v>
      </c>
      <c r="W142" s="26">
        <f t="shared" si="255"/>
        <v>0</v>
      </c>
      <c r="X142" s="26">
        <f t="shared" si="255"/>
        <v>0</v>
      </c>
      <c r="Y142" s="26">
        <f t="shared" si="255"/>
        <v>3</v>
      </c>
      <c r="Z142" s="26">
        <f t="shared" si="255"/>
        <v>0</v>
      </c>
      <c r="AA142" s="26">
        <f t="shared" si="255"/>
        <v>0</v>
      </c>
      <c r="AB142" s="26">
        <f t="shared" si="255"/>
        <v>0</v>
      </c>
      <c r="AC142" s="26">
        <f t="shared" si="255"/>
        <v>56</v>
      </c>
      <c r="AD142" s="26">
        <f t="shared" si="255"/>
        <v>0</v>
      </c>
      <c r="AE142" s="26">
        <f t="shared" si="255"/>
        <v>0</v>
      </c>
      <c r="AF142" s="26">
        <f t="shared" si="255"/>
        <v>28</v>
      </c>
      <c r="AG142" s="26" t="str">
        <f t="shared" si="255"/>
        <v/>
      </c>
      <c r="AH142" s="26" t="str">
        <f t="shared" si="255"/>
        <v/>
      </c>
      <c r="AI142" s="26" t="str">
        <f t="shared" si="255"/>
        <v/>
      </c>
      <c r="AJ142" s="26" t="str">
        <f t="shared" si="255"/>
        <v/>
      </c>
      <c r="AK142" s="26" t="str">
        <f t="shared" si="255"/>
        <v/>
      </c>
      <c r="AL142" s="26" t="str">
        <f t="shared" si="255"/>
        <v/>
      </c>
      <c r="AM142" s="26" t="str">
        <f t="shared" ref="AM142:AS142" si="256">IF(AM$3="","",AM135-AL135)</f>
        <v/>
      </c>
      <c r="AN142" s="26" t="str">
        <f t="shared" si="256"/>
        <v/>
      </c>
      <c r="AO142" s="26" t="str">
        <f t="shared" si="256"/>
        <v/>
      </c>
      <c r="AP142" s="26" t="str">
        <f t="shared" si="256"/>
        <v/>
      </c>
      <c r="AQ142" s="26" t="str">
        <f t="shared" si="256"/>
        <v/>
      </c>
      <c r="AR142" s="26" t="str">
        <f t="shared" si="256"/>
        <v/>
      </c>
      <c r="AS142" s="26" t="str">
        <f t="shared" si="256"/>
        <v/>
      </c>
    </row>
    <row r="143" spans="1:45">
      <c r="A143" s="7">
        <f>SUM(C143:AS143)</f>
        <v>5</v>
      </c>
      <c r="B143" s="27" t="s">
        <v>16</v>
      </c>
      <c r="C143" s="65">
        <v>0</v>
      </c>
      <c r="D143" s="26">
        <f t="shared" ref="D143:AL143" si="257">IF(D$3="","",D136-C136)</f>
        <v>0</v>
      </c>
      <c r="E143" s="26">
        <f t="shared" si="257"/>
        <v>0</v>
      </c>
      <c r="F143" s="54">
        <f t="shared" si="257"/>
        <v>0</v>
      </c>
      <c r="G143" s="26">
        <f t="shared" si="257"/>
        <v>0</v>
      </c>
      <c r="H143" s="26">
        <f t="shared" si="257"/>
        <v>1</v>
      </c>
      <c r="I143" s="54">
        <f t="shared" si="257"/>
        <v>0</v>
      </c>
      <c r="J143" s="26">
        <f t="shared" si="257"/>
        <v>0</v>
      </c>
      <c r="K143" s="26">
        <f t="shared" si="257"/>
        <v>0</v>
      </c>
      <c r="L143" s="54">
        <f t="shared" si="257"/>
        <v>0</v>
      </c>
      <c r="M143" s="26">
        <f t="shared" si="257"/>
        <v>0</v>
      </c>
      <c r="N143" s="26">
        <f t="shared" si="257"/>
        <v>0</v>
      </c>
      <c r="O143" s="26">
        <f t="shared" si="257"/>
        <v>1</v>
      </c>
      <c r="P143" s="54">
        <f t="shared" si="257"/>
        <v>0</v>
      </c>
      <c r="Q143" s="26">
        <f t="shared" si="257"/>
        <v>0</v>
      </c>
      <c r="R143" s="26">
        <f t="shared" si="257"/>
        <v>0</v>
      </c>
      <c r="S143" s="26">
        <f t="shared" si="257"/>
        <v>0</v>
      </c>
      <c r="T143" s="26">
        <f t="shared" si="257"/>
        <v>0</v>
      </c>
      <c r="U143" s="26">
        <f t="shared" si="257"/>
        <v>0</v>
      </c>
      <c r="V143" s="26">
        <f t="shared" si="257"/>
        <v>0</v>
      </c>
      <c r="W143" s="26">
        <f t="shared" si="257"/>
        <v>0</v>
      </c>
      <c r="X143" s="26">
        <f t="shared" si="257"/>
        <v>0</v>
      </c>
      <c r="Y143" s="26">
        <f t="shared" si="257"/>
        <v>1</v>
      </c>
      <c r="Z143" s="26">
        <f t="shared" si="257"/>
        <v>0</v>
      </c>
      <c r="AA143" s="26">
        <f t="shared" si="257"/>
        <v>0</v>
      </c>
      <c r="AB143" s="26">
        <f t="shared" si="257"/>
        <v>0</v>
      </c>
      <c r="AC143" s="26">
        <f t="shared" si="257"/>
        <v>1</v>
      </c>
      <c r="AD143" s="26">
        <f t="shared" si="257"/>
        <v>0</v>
      </c>
      <c r="AE143" s="26">
        <f t="shared" si="257"/>
        <v>0</v>
      </c>
      <c r="AF143" s="26">
        <f t="shared" si="257"/>
        <v>1</v>
      </c>
      <c r="AG143" s="26" t="str">
        <f t="shared" si="257"/>
        <v/>
      </c>
      <c r="AH143" s="26" t="str">
        <f t="shared" si="257"/>
        <v/>
      </c>
      <c r="AI143" s="26" t="str">
        <f t="shared" si="257"/>
        <v/>
      </c>
      <c r="AJ143" s="26" t="str">
        <f t="shared" si="257"/>
        <v/>
      </c>
      <c r="AK143" s="26" t="str">
        <f t="shared" si="257"/>
        <v/>
      </c>
      <c r="AL143" s="26" t="str">
        <f t="shared" si="257"/>
        <v/>
      </c>
      <c r="AM143" s="26" t="str">
        <f t="shared" ref="AM143:AS143" si="258">IF(AM$3="","",AM136-AL136)</f>
        <v/>
      </c>
      <c r="AN143" s="26" t="str">
        <f t="shared" si="258"/>
        <v/>
      </c>
      <c r="AO143" s="26" t="str">
        <f t="shared" si="258"/>
        <v/>
      </c>
      <c r="AP143" s="26" t="str">
        <f t="shared" si="258"/>
        <v/>
      </c>
      <c r="AQ143" s="26" t="str">
        <f t="shared" si="258"/>
        <v/>
      </c>
      <c r="AR143" s="26" t="str">
        <f t="shared" si="258"/>
        <v/>
      </c>
      <c r="AS143" s="26" t="str">
        <f t="shared" si="258"/>
        <v/>
      </c>
    </row>
    <row r="144" spans="1:45">
      <c r="A144" s="7">
        <f>SUM(C144:AS144)</f>
        <v>4</v>
      </c>
      <c r="B144" s="27" t="s">
        <v>17</v>
      </c>
      <c r="C144" s="65">
        <v>0</v>
      </c>
      <c r="D144" s="26">
        <f t="shared" ref="D144:AL144" si="259">IF(D$3="","",C137+C138-D137)</f>
        <v>0</v>
      </c>
      <c r="E144" s="26">
        <f t="shared" si="259"/>
        <v>0</v>
      </c>
      <c r="F144" s="54">
        <f t="shared" si="259"/>
        <v>0</v>
      </c>
      <c r="G144" s="26">
        <f t="shared" si="259"/>
        <v>0</v>
      </c>
      <c r="H144" s="26">
        <f t="shared" si="259"/>
        <v>0</v>
      </c>
      <c r="I144" s="54">
        <f t="shared" si="259"/>
        <v>0</v>
      </c>
      <c r="J144" s="26">
        <f t="shared" si="259"/>
        <v>0</v>
      </c>
      <c r="K144" s="26">
        <f t="shared" si="259"/>
        <v>0</v>
      </c>
      <c r="L144" s="54">
        <f t="shared" si="259"/>
        <v>0</v>
      </c>
      <c r="M144" s="26">
        <f t="shared" si="259"/>
        <v>0</v>
      </c>
      <c r="N144" s="26">
        <f t="shared" si="259"/>
        <v>0</v>
      </c>
      <c r="O144" s="26">
        <f t="shared" si="259"/>
        <v>1</v>
      </c>
      <c r="P144" s="54">
        <f t="shared" si="259"/>
        <v>0</v>
      </c>
      <c r="Q144" s="26">
        <f t="shared" si="259"/>
        <v>0</v>
      </c>
      <c r="R144" s="26">
        <f t="shared" si="259"/>
        <v>0</v>
      </c>
      <c r="S144" s="26">
        <f t="shared" si="259"/>
        <v>0</v>
      </c>
      <c r="T144" s="26">
        <f t="shared" si="259"/>
        <v>0</v>
      </c>
      <c r="U144" s="26">
        <f t="shared" si="259"/>
        <v>0</v>
      </c>
      <c r="V144" s="26">
        <f t="shared" si="259"/>
        <v>0</v>
      </c>
      <c r="W144" s="26">
        <f t="shared" si="259"/>
        <v>0</v>
      </c>
      <c r="X144" s="26">
        <f t="shared" si="259"/>
        <v>0</v>
      </c>
      <c r="Y144" s="26">
        <f t="shared" si="259"/>
        <v>1</v>
      </c>
      <c r="Z144" s="26">
        <f t="shared" si="259"/>
        <v>0</v>
      </c>
      <c r="AA144" s="26">
        <f t="shared" si="259"/>
        <v>0</v>
      </c>
      <c r="AB144" s="26">
        <f t="shared" si="259"/>
        <v>0</v>
      </c>
      <c r="AC144" s="26">
        <f t="shared" si="259"/>
        <v>1</v>
      </c>
      <c r="AD144" s="26">
        <f t="shared" si="259"/>
        <v>0</v>
      </c>
      <c r="AE144" s="26">
        <f t="shared" si="259"/>
        <v>0</v>
      </c>
      <c r="AF144" s="26">
        <f t="shared" si="259"/>
        <v>1</v>
      </c>
      <c r="AG144" s="26" t="str">
        <f t="shared" si="259"/>
        <v/>
      </c>
      <c r="AH144" s="26" t="str">
        <f t="shared" si="259"/>
        <v/>
      </c>
      <c r="AI144" s="26" t="str">
        <f t="shared" si="259"/>
        <v/>
      </c>
      <c r="AJ144" s="26" t="str">
        <f t="shared" si="259"/>
        <v/>
      </c>
      <c r="AK144" s="26" t="str">
        <f t="shared" si="259"/>
        <v/>
      </c>
      <c r="AL144" s="26" t="str">
        <f t="shared" si="259"/>
        <v/>
      </c>
      <c r="AM144" s="26" t="str">
        <f t="shared" ref="AM144:AS144" si="260">IF(AM$3="","",AL137+AL138-AM137)</f>
        <v/>
      </c>
      <c r="AN144" s="26" t="str">
        <f t="shared" si="260"/>
        <v/>
      </c>
      <c r="AO144" s="26" t="str">
        <f t="shared" si="260"/>
        <v/>
      </c>
      <c r="AP144" s="26" t="str">
        <f t="shared" si="260"/>
        <v/>
      </c>
      <c r="AQ144" s="26" t="str">
        <f t="shared" si="260"/>
        <v/>
      </c>
      <c r="AR144" s="26" t="str">
        <f t="shared" si="260"/>
        <v/>
      </c>
      <c r="AS144" s="26" t="str">
        <f t="shared" si="260"/>
        <v/>
      </c>
    </row>
    <row r="145" spans="1:45">
      <c r="A145" s="7">
        <f>SUM(C145:AS145)</f>
        <v>1400</v>
      </c>
      <c r="B145" s="27" t="s">
        <v>18</v>
      </c>
      <c r="C145" s="65">
        <v>0</v>
      </c>
      <c r="D145" s="26">
        <f t="shared" ref="D145:AL145" si="261">IF(D$3="","",D144*D139)</f>
        <v>0</v>
      </c>
      <c r="E145" s="26">
        <f t="shared" si="261"/>
        <v>0</v>
      </c>
      <c r="F145" s="54">
        <f t="shared" si="261"/>
        <v>0</v>
      </c>
      <c r="G145" s="26">
        <f t="shared" si="261"/>
        <v>0</v>
      </c>
      <c r="H145" s="26">
        <f t="shared" si="261"/>
        <v>0</v>
      </c>
      <c r="I145" s="54">
        <f t="shared" si="261"/>
        <v>0</v>
      </c>
      <c r="J145" s="26">
        <f t="shared" si="261"/>
        <v>0</v>
      </c>
      <c r="K145" s="26">
        <f t="shared" si="261"/>
        <v>0</v>
      </c>
      <c r="L145" s="54">
        <f t="shared" si="261"/>
        <v>0</v>
      </c>
      <c r="M145" s="26">
        <f t="shared" si="261"/>
        <v>0</v>
      </c>
      <c r="N145" s="26">
        <f t="shared" si="261"/>
        <v>0</v>
      </c>
      <c r="O145" s="26">
        <f t="shared" si="261"/>
        <v>350</v>
      </c>
      <c r="P145" s="54">
        <f t="shared" si="261"/>
        <v>0</v>
      </c>
      <c r="Q145" s="26">
        <f t="shared" si="261"/>
        <v>0</v>
      </c>
      <c r="R145" s="26">
        <f t="shared" si="261"/>
        <v>0</v>
      </c>
      <c r="S145" s="26">
        <f t="shared" si="261"/>
        <v>0</v>
      </c>
      <c r="T145" s="26">
        <f t="shared" si="261"/>
        <v>0</v>
      </c>
      <c r="U145" s="26">
        <f t="shared" si="261"/>
        <v>0</v>
      </c>
      <c r="V145" s="26">
        <f t="shared" si="261"/>
        <v>0</v>
      </c>
      <c r="W145" s="26">
        <f t="shared" si="261"/>
        <v>0</v>
      </c>
      <c r="X145" s="26">
        <f t="shared" si="261"/>
        <v>0</v>
      </c>
      <c r="Y145" s="26">
        <f t="shared" si="261"/>
        <v>350</v>
      </c>
      <c r="Z145" s="26">
        <f t="shared" si="261"/>
        <v>0</v>
      </c>
      <c r="AA145" s="26">
        <f t="shared" si="261"/>
        <v>0</v>
      </c>
      <c r="AB145" s="26">
        <f t="shared" si="261"/>
        <v>0</v>
      </c>
      <c r="AC145" s="26">
        <f t="shared" si="261"/>
        <v>350</v>
      </c>
      <c r="AD145" s="26">
        <f t="shared" si="261"/>
        <v>0</v>
      </c>
      <c r="AE145" s="26">
        <f t="shared" si="261"/>
        <v>0</v>
      </c>
      <c r="AF145" s="26">
        <f t="shared" si="261"/>
        <v>350</v>
      </c>
      <c r="AG145" s="26" t="str">
        <f t="shared" si="261"/>
        <v/>
      </c>
      <c r="AH145" s="26" t="str">
        <f t="shared" si="261"/>
        <v/>
      </c>
      <c r="AI145" s="26" t="str">
        <f t="shared" si="261"/>
        <v/>
      </c>
      <c r="AJ145" s="26" t="str">
        <f t="shared" si="261"/>
        <v/>
      </c>
      <c r="AK145" s="26" t="str">
        <f t="shared" si="261"/>
        <v/>
      </c>
      <c r="AL145" s="26" t="str">
        <f t="shared" si="261"/>
        <v/>
      </c>
      <c r="AM145" s="26" t="str">
        <f t="shared" ref="AM145:AS145" si="262">IF(AM$3="","",AM144*AM139)</f>
        <v/>
      </c>
      <c r="AN145" s="26" t="str">
        <f t="shared" si="262"/>
        <v/>
      </c>
      <c r="AO145" s="26" t="str">
        <f t="shared" si="262"/>
        <v/>
      </c>
      <c r="AP145" s="26" t="str">
        <f t="shared" si="262"/>
        <v/>
      </c>
      <c r="AQ145" s="26" t="str">
        <f t="shared" si="262"/>
        <v/>
      </c>
      <c r="AR145" s="26" t="str">
        <f t="shared" si="262"/>
        <v/>
      </c>
      <c r="AS145" s="26" t="str">
        <f t="shared" si="262"/>
        <v/>
      </c>
    </row>
    <row r="146" spans="1:45" ht="12" thickBot="1">
      <c r="A146" s="4">
        <f>IF(A145="","",A145/(A142*100))</f>
        <v>6.0606060606060608E-2</v>
      </c>
      <c r="B146" s="24" t="s">
        <v>20</v>
      </c>
      <c r="C146" s="67" t="s">
        <v>21</v>
      </c>
      <c r="D146" s="23" t="str">
        <f t="shared" ref="D146:AL146" si="263">IF(D$3="","",IF(D145=0,"",D145/(D142*100)))</f>
        <v/>
      </c>
      <c r="E146" s="23" t="str">
        <f t="shared" si="263"/>
        <v/>
      </c>
      <c r="F146" s="52" t="str">
        <f t="shared" si="263"/>
        <v/>
      </c>
      <c r="G146" s="23" t="str">
        <f t="shared" si="263"/>
        <v/>
      </c>
      <c r="H146" s="23" t="str">
        <f t="shared" si="263"/>
        <v/>
      </c>
      <c r="I146" s="52" t="str">
        <f t="shared" si="263"/>
        <v/>
      </c>
      <c r="J146" s="23" t="str">
        <f t="shared" si="263"/>
        <v/>
      </c>
      <c r="K146" s="23" t="str">
        <f t="shared" si="263"/>
        <v/>
      </c>
      <c r="L146" s="52" t="str">
        <f t="shared" si="263"/>
        <v/>
      </c>
      <c r="M146" s="23" t="str">
        <f t="shared" si="263"/>
        <v/>
      </c>
      <c r="N146" s="23" t="str">
        <f t="shared" si="263"/>
        <v/>
      </c>
      <c r="O146" s="23">
        <f t="shared" si="263"/>
        <v>0.21875</v>
      </c>
      <c r="P146" s="52" t="str">
        <f t="shared" si="263"/>
        <v/>
      </c>
      <c r="Q146" s="23" t="str">
        <f t="shared" si="263"/>
        <v/>
      </c>
      <c r="R146" s="23" t="str">
        <f t="shared" si="263"/>
        <v/>
      </c>
      <c r="S146" s="23" t="str">
        <f t="shared" si="263"/>
        <v/>
      </c>
      <c r="T146" s="23" t="str">
        <f t="shared" si="263"/>
        <v/>
      </c>
      <c r="U146" s="23" t="str">
        <f t="shared" si="263"/>
        <v/>
      </c>
      <c r="V146" s="23" t="str">
        <f t="shared" si="263"/>
        <v/>
      </c>
      <c r="W146" s="23" t="str">
        <f t="shared" si="263"/>
        <v/>
      </c>
      <c r="X146" s="23" t="str">
        <f t="shared" si="263"/>
        <v/>
      </c>
      <c r="Y146" s="23">
        <f t="shared" si="263"/>
        <v>1.1666666666666667</v>
      </c>
      <c r="Z146" s="23" t="str">
        <f t="shared" si="263"/>
        <v/>
      </c>
      <c r="AA146" s="23" t="str">
        <f t="shared" si="263"/>
        <v/>
      </c>
      <c r="AB146" s="23" t="str">
        <f t="shared" si="263"/>
        <v/>
      </c>
      <c r="AC146" s="23">
        <f t="shared" si="263"/>
        <v>6.25E-2</v>
      </c>
      <c r="AD146" s="23" t="str">
        <f t="shared" si="263"/>
        <v/>
      </c>
      <c r="AE146" s="23" t="str">
        <f t="shared" si="263"/>
        <v/>
      </c>
      <c r="AF146" s="23">
        <f t="shared" si="263"/>
        <v>0.125</v>
      </c>
      <c r="AG146" s="23" t="str">
        <f t="shared" si="263"/>
        <v/>
      </c>
      <c r="AH146" s="23" t="str">
        <f t="shared" si="263"/>
        <v/>
      </c>
      <c r="AI146" s="23" t="str">
        <f t="shared" si="263"/>
        <v/>
      </c>
      <c r="AJ146" s="23" t="str">
        <f t="shared" si="263"/>
        <v/>
      </c>
      <c r="AK146" s="23" t="str">
        <f t="shared" si="263"/>
        <v/>
      </c>
      <c r="AL146" s="23" t="str">
        <f t="shared" si="263"/>
        <v/>
      </c>
      <c r="AM146" s="23" t="str">
        <f t="shared" ref="AM146:AS146" si="264">IF(AM$3="","",IF(AM145=0,"",AM145/(AM142*100)))</f>
        <v/>
      </c>
      <c r="AN146" s="23" t="str">
        <f t="shared" si="264"/>
        <v/>
      </c>
      <c r="AO146" s="23" t="str">
        <f t="shared" si="264"/>
        <v/>
      </c>
      <c r="AP146" s="23" t="str">
        <f t="shared" si="264"/>
        <v/>
      </c>
      <c r="AQ146" s="23" t="str">
        <f t="shared" si="264"/>
        <v/>
      </c>
      <c r="AR146" s="23" t="str">
        <f t="shared" si="264"/>
        <v/>
      </c>
      <c r="AS146" s="23" t="str">
        <f t="shared" si="264"/>
        <v/>
      </c>
    </row>
    <row r="147" spans="1:45">
      <c r="A147" s="17" t="s">
        <v>1</v>
      </c>
      <c r="B147" s="39" t="s">
        <v>2</v>
      </c>
      <c r="C147" s="66">
        <v>2450</v>
      </c>
      <c r="D147" s="38">
        <f>IF(D$3="","",C147)</f>
        <v>2450</v>
      </c>
      <c r="E147" s="38">
        <v>2471</v>
      </c>
      <c r="F147" s="127">
        <f>IF(F$3="","",E147)</f>
        <v>2471</v>
      </c>
      <c r="G147" s="38">
        <f>IF(G$3="","",F147)</f>
        <v>2471</v>
      </c>
      <c r="H147" s="38">
        <v>2531</v>
      </c>
      <c r="I147" s="127">
        <f>IF(I$3="","",H147)</f>
        <v>2531</v>
      </c>
      <c r="J147" s="38">
        <f>IF(J$3="","",I147)</f>
        <v>2531</v>
      </c>
      <c r="K147" s="38">
        <v>2549</v>
      </c>
      <c r="L147" s="127">
        <f t="shared" ref="L147:N148" si="265">IF(L$3="","",K147)</f>
        <v>2549</v>
      </c>
      <c r="M147" s="38">
        <f t="shared" si="265"/>
        <v>2549</v>
      </c>
      <c r="N147" s="38">
        <f t="shared" si="265"/>
        <v>2549</v>
      </c>
      <c r="O147" s="38">
        <v>2602</v>
      </c>
      <c r="P147" s="127">
        <f>IF(P$3="","",O147)</f>
        <v>2602</v>
      </c>
      <c r="Q147" s="38">
        <f>IF(Q$3="","",P147)</f>
        <v>2602</v>
      </c>
      <c r="R147" s="38">
        <v>2658</v>
      </c>
      <c r="S147" s="38">
        <f t="shared" ref="S147:AL147" si="266">IF(S$3="","",R147)</f>
        <v>2658</v>
      </c>
      <c r="T147" s="38">
        <f t="shared" si="266"/>
        <v>2658</v>
      </c>
      <c r="U147" s="38">
        <f t="shared" si="266"/>
        <v>2658</v>
      </c>
      <c r="V147" s="38">
        <v>2673</v>
      </c>
      <c r="W147" s="38">
        <f t="shared" si="266"/>
        <v>2673</v>
      </c>
      <c r="X147" s="38">
        <f t="shared" si="266"/>
        <v>2673</v>
      </c>
      <c r="Y147" s="38">
        <v>2689</v>
      </c>
      <c r="Z147" s="38">
        <f t="shared" si="266"/>
        <v>2689</v>
      </c>
      <c r="AA147" s="38">
        <f t="shared" si="266"/>
        <v>2689</v>
      </c>
      <c r="AB147" s="38">
        <f t="shared" si="266"/>
        <v>2689</v>
      </c>
      <c r="AC147" s="38">
        <v>2700</v>
      </c>
      <c r="AD147" s="38">
        <f t="shared" si="266"/>
        <v>2700</v>
      </c>
      <c r="AE147" s="38">
        <f t="shared" si="266"/>
        <v>2700</v>
      </c>
      <c r="AF147" s="38">
        <v>2732</v>
      </c>
      <c r="AG147" s="38" t="str">
        <f t="shared" si="266"/>
        <v/>
      </c>
      <c r="AH147" s="38" t="str">
        <f t="shared" si="266"/>
        <v/>
      </c>
      <c r="AI147" s="38" t="str">
        <f t="shared" si="266"/>
        <v/>
      </c>
      <c r="AJ147" s="38" t="str">
        <f t="shared" si="266"/>
        <v/>
      </c>
      <c r="AK147" s="38" t="str">
        <f t="shared" si="266"/>
        <v/>
      </c>
      <c r="AL147" s="38" t="str">
        <f t="shared" si="266"/>
        <v/>
      </c>
      <c r="AM147" s="38" t="str">
        <f t="shared" ref="AM147:AS147" si="267">IF(AM$3="","",AL147)</f>
        <v/>
      </c>
      <c r="AN147" s="38" t="str">
        <f t="shared" si="267"/>
        <v/>
      </c>
      <c r="AO147" s="38" t="str">
        <f t="shared" si="267"/>
        <v/>
      </c>
      <c r="AP147" s="38" t="str">
        <f t="shared" si="267"/>
        <v/>
      </c>
      <c r="AQ147" s="38" t="str">
        <f t="shared" si="267"/>
        <v/>
      </c>
      <c r="AR147" s="38" t="str">
        <f t="shared" si="267"/>
        <v/>
      </c>
      <c r="AS147" s="38" t="str">
        <f t="shared" si="267"/>
        <v/>
      </c>
    </row>
    <row r="148" spans="1:45">
      <c r="A148" s="16" t="s">
        <v>44</v>
      </c>
      <c r="B148" s="30" t="s">
        <v>4</v>
      </c>
      <c r="C148" s="65">
        <v>37</v>
      </c>
      <c r="D148" s="29">
        <f>IF(D$3="","",C148)</f>
        <v>37</v>
      </c>
      <c r="E148" s="29">
        <f>IF(E$3="","",D148)</f>
        <v>37</v>
      </c>
      <c r="F148" s="54">
        <f>IF(F$3="","",E148)</f>
        <v>37</v>
      </c>
      <c r="G148" s="29">
        <f>IF(G$3="","",F148)</f>
        <v>37</v>
      </c>
      <c r="H148" s="29">
        <v>38</v>
      </c>
      <c r="I148" s="54">
        <f>IF(I$3="","",H148)</f>
        <v>38</v>
      </c>
      <c r="J148" s="29">
        <f>IF(J$3="","",I148)</f>
        <v>38</v>
      </c>
      <c r="K148" s="29">
        <f>IF(K$3="","",J148)</f>
        <v>38</v>
      </c>
      <c r="L148" s="54">
        <f t="shared" si="265"/>
        <v>38</v>
      </c>
      <c r="M148" s="29">
        <f t="shared" si="265"/>
        <v>38</v>
      </c>
      <c r="N148" s="29">
        <f t="shared" si="265"/>
        <v>38</v>
      </c>
      <c r="O148" s="29">
        <f>IF(O$3="","",N148)</f>
        <v>38</v>
      </c>
      <c r="P148" s="54">
        <f>IF(P$3="","",O148)</f>
        <v>38</v>
      </c>
      <c r="Q148" s="29">
        <f>IF(Q$3="","",P148)</f>
        <v>38</v>
      </c>
      <c r="R148" s="29">
        <v>40</v>
      </c>
      <c r="S148" s="29">
        <f t="shared" ref="S148:AL148" si="268">IF(S$3="","",R148)</f>
        <v>40</v>
      </c>
      <c r="T148" s="29">
        <f t="shared" si="268"/>
        <v>40</v>
      </c>
      <c r="U148" s="29">
        <f t="shared" si="268"/>
        <v>40</v>
      </c>
      <c r="V148" s="29">
        <f t="shared" si="268"/>
        <v>40</v>
      </c>
      <c r="W148" s="29">
        <f t="shared" si="268"/>
        <v>40</v>
      </c>
      <c r="X148" s="29">
        <f t="shared" si="268"/>
        <v>40</v>
      </c>
      <c r="Y148" s="29">
        <f t="shared" si="268"/>
        <v>40</v>
      </c>
      <c r="Z148" s="29">
        <f t="shared" si="268"/>
        <v>40</v>
      </c>
      <c r="AA148" s="29">
        <f t="shared" si="268"/>
        <v>40</v>
      </c>
      <c r="AB148" s="29">
        <f t="shared" si="268"/>
        <v>40</v>
      </c>
      <c r="AC148" s="29">
        <f t="shared" si="268"/>
        <v>40</v>
      </c>
      <c r="AD148" s="29">
        <f t="shared" si="268"/>
        <v>40</v>
      </c>
      <c r="AE148" s="29">
        <f t="shared" si="268"/>
        <v>40</v>
      </c>
      <c r="AF148" s="29">
        <f t="shared" si="268"/>
        <v>40</v>
      </c>
      <c r="AG148" s="29" t="str">
        <f t="shared" si="268"/>
        <v/>
      </c>
      <c r="AH148" s="29" t="str">
        <f t="shared" si="268"/>
        <v/>
      </c>
      <c r="AI148" s="29" t="str">
        <f t="shared" si="268"/>
        <v/>
      </c>
      <c r="AJ148" s="29" t="str">
        <f t="shared" si="268"/>
        <v/>
      </c>
      <c r="AK148" s="29" t="str">
        <f t="shared" si="268"/>
        <v/>
      </c>
      <c r="AL148" s="29" t="str">
        <f t="shared" si="268"/>
        <v/>
      </c>
      <c r="AM148" s="29" t="str">
        <f t="shared" ref="AM148:AS148" si="269">IF(AM$3="","",AL148)</f>
        <v/>
      </c>
      <c r="AN148" s="29" t="str">
        <f t="shared" si="269"/>
        <v/>
      </c>
      <c r="AO148" s="29" t="str">
        <f t="shared" si="269"/>
        <v/>
      </c>
      <c r="AP148" s="29" t="str">
        <f t="shared" si="269"/>
        <v/>
      </c>
      <c r="AQ148" s="29" t="str">
        <f t="shared" si="269"/>
        <v/>
      </c>
      <c r="AR148" s="29" t="str">
        <f t="shared" si="269"/>
        <v/>
      </c>
      <c r="AS148" s="29" t="str">
        <f t="shared" si="269"/>
        <v/>
      </c>
    </row>
    <row r="149" spans="1:45">
      <c r="A149" s="15">
        <v>1</v>
      </c>
      <c r="B149" s="30" t="s">
        <v>5</v>
      </c>
      <c r="C149" s="65">
        <v>6</v>
      </c>
      <c r="D149" s="29">
        <f>IF(D$3="","",(C149+C150))</f>
        <v>6</v>
      </c>
      <c r="E149" s="29">
        <f>IF(E$3="","",(D149+D150))</f>
        <v>6</v>
      </c>
      <c r="F149" s="54">
        <f>IF(F$3="","",(E149+E150))</f>
        <v>6</v>
      </c>
      <c r="G149" s="29">
        <f>IF(G$3="","",(F149+F150))</f>
        <v>6</v>
      </c>
      <c r="H149" s="29">
        <v>5</v>
      </c>
      <c r="I149" s="54">
        <f t="shared" ref="I149:Q149" si="270">IF(I$3="","",(H149+H150))</f>
        <v>5</v>
      </c>
      <c r="J149" s="29">
        <f t="shared" si="270"/>
        <v>5</v>
      </c>
      <c r="K149" s="29">
        <f t="shared" si="270"/>
        <v>5</v>
      </c>
      <c r="L149" s="54">
        <f t="shared" si="270"/>
        <v>6</v>
      </c>
      <c r="M149" s="29">
        <f t="shared" si="270"/>
        <v>6</v>
      </c>
      <c r="N149" s="29">
        <f t="shared" si="270"/>
        <v>6</v>
      </c>
      <c r="O149" s="29">
        <f t="shared" si="270"/>
        <v>6</v>
      </c>
      <c r="P149" s="54">
        <f t="shared" si="270"/>
        <v>6</v>
      </c>
      <c r="Q149" s="29">
        <f t="shared" si="270"/>
        <v>6</v>
      </c>
      <c r="R149" s="29">
        <v>4</v>
      </c>
      <c r="S149" s="29">
        <f t="shared" ref="S149:AL149" si="271">IF(S$3="","",(R149+R150))</f>
        <v>6</v>
      </c>
      <c r="T149" s="29">
        <f t="shared" si="271"/>
        <v>6</v>
      </c>
      <c r="U149" s="29">
        <f t="shared" si="271"/>
        <v>6</v>
      </c>
      <c r="V149" s="29">
        <f t="shared" si="271"/>
        <v>6</v>
      </c>
      <c r="W149" s="29">
        <f t="shared" si="271"/>
        <v>6</v>
      </c>
      <c r="X149" s="29">
        <f t="shared" si="271"/>
        <v>6</v>
      </c>
      <c r="Y149" s="29">
        <f t="shared" si="271"/>
        <v>6</v>
      </c>
      <c r="Z149" s="29">
        <f t="shared" si="271"/>
        <v>6</v>
      </c>
      <c r="AA149" s="29">
        <f t="shared" si="271"/>
        <v>6</v>
      </c>
      <c r="AB149" s="29">
        <f t="shared" si="271"/>
        <v>6</v>
      </c>
      <c r="AC149" s="29">
        <f t="shared" si="271"/>
        <v>6</v>
      </c>
      <c r="AD149" s="29">
        <f t="shared" si="271"/>
        <v>6</v>
      </c>
      <c r="AE149" s="29">
        <f t="shared" si="271"/>
        <v>6</v>
      </c>
      <c r="AF149" s="29">
        <f t="shared" si="271"/>
        <v>6</v>
      </c>
      <c r="AG149" s="29" t="str">
        <f t="shared" si="271"/>
        <v/>
      </c>
      <c r="AH149" s="29" t="str">
        <f t="shared" si="271"/>
        <v/>
      </c>
      <c r="AI149" s="29" t="str">
        <f t="shared" si="271"/>
        <v/>
      </c>
      <c r="AJ149" s="29" t="str">
        <f t="shared" si="271"/>
        <v/>
      </c>
      <c r="AK149" s="29" t="str">
        <f t="shared" si="271"/>
        <v/>
      </c>
      <c r="AL149" s="29" t="str">
        <f t="shared" si="271"/>
        <v/>
      </c>
      <c r="AM149" s="29" t="str">
        <f t="shared" ref="AM149:AS149" si="272">IF(AM$3="","",(AL149+AL150))</f>
        <v/>
      </c>
      <c r="AN149" s="29" t="str">
        <f t="shared" si="272"/>
        <v/>
      </c>
      <c r="AO149" s="29" t="str">
        <f t="shared" si="272"/>
        <v/>
      </c>
      <c r="AP149" s="29" t="str">
        <f t="shared" si="272"/>
        <v/>
      </c>
      <c r="AQ149" s="29" t="str">
        <f t="shared" si="272"/>
        <v/>
      </c>
      <c r="AR149" s="29" t="str">
        <f t="shared" si="272"/>
        <v/>
      </c>
      <c r="AS149" s="29" t="str">
        <f t="shared" si="272"/>
        <v/>
      </c>
    </row>
    <row r="150" spans="1:45">
      <c r="A150" s="101" t="s">
        <v>6</v>
      </c>
      <c r="B150" s="30" t="s">
        <v>7</v>
      </c>
      <c r="C150" s="65"/>
      <c r="D150" s="29"/>
      <c r="E150" s="29"/>
      <c r="F150" s="54"/>
      <c r="G150" s="29"/>
      <c r="H150" s="29"/>
      <c r="I150" s="54"/>
      <c r="J150" s="29"/>
      <c r="K150" s="29">
        <v>1</v>
      </c>
      <c r="L150" s="54"/>
      <c r="M150" s="29"/>
      <c r="N150" s="29"/>
      <c r="O150" s="29"/>
      <c r="P150" s="54"/>
      <c r="Q150" s="29"/>
      <c r="R150" s="29">
        <v>2</v>
      </c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 spans="1:45">
      <c r="A151" s="102">
        <f>+(A154+A166+A178+A190)*100</f>
        <v>130100</v>
      </c>
      <c r="B151" s="30" t="s">
        <v>8</v>
      </c>
      <c r="C151" s="64">
        <v>750</v>
      </c>
      <c r="D151" s="35">
        <f t="shared" ref="D151:AL151" si="273">IF(D$3="","",C151)</f>
        <v>750</v>
      </c>
      <c r="E151" s="35">
        <f t="shared" si="273"/>
        <v>750</v>
      </c>
      <c r="F151" s="128">
        <f t="shared" si="273"/>
        <v>750</v>
      </c>
      <c r="G151" s="35">
        <f t="shared" si="273"/>
        <v>750</v>
      </c>
      <c r="H151" s="35">
        <f t="shared" si="273"/>
        <v>750</v>
      </c>
      <c r="I151" s="128">
        <f t="shared" si="273"/>
        <v>750</v>
      </c>
      <c r="J151" s="35">
        <f t="shared" si="273"/>
        <v>750</v>
      </c>
      <c r="K151" s="35">
        <f t="shared" si="273"/>
        <v>750</v>
      </c>
      <c r="L151" s="128">
        <f t="shared" si="273"/>
        <v>750</v>
      </c>
      <c r="M151" s="35">
        <f t="shared" si="273"/>
        <v>750</v>
      </c>
      <c r="N151" s="35">
        <f t="shared" si="273"/>
        <v>750</v>
      </c>
      <c r="O151" s="35">
        <f t="shared" si="273"/>
        <v>750</v>
      </c>
      <c r="P151" s="128">
        <f t="shared" si="273"/>
        <v>750</v>
      </c>
      <c r="Q151" s="35">
        <f t="shared" si="273"/>
        <v>750</v>
      </c>
      <c r="R151" s="35">
        <f t="shared" si="273"/>
        <v>750</v>
      </c>
      <c r="S151" s="35">
        <f t="shared" si="273"/>
        <v>750</v>
      </c>
      <c r="T151" s="35">
        <f t="shared" si="273"/>
        <v>750</v>
      </c>
      <c r="U151" s="35">
        <f t="shared" si="273"/>
        <v>750</v>
      </c>
      <c r="V151" s="35">
        <f t="shared" si="273"/>
        <v>750</v>
      </c>
      <c r="W151" s="35">
        <f t="shared" si="273"/>
        <v>750</v>
      </c>
      <c r="X151" s="35">
        <f t="shared" si="273"/>
        <v>750</v>
      </c>
      <c r="Y151" s="35">
        <f t="shared" si="273"/>
        <v>750</v>
      </c>
      <c r="Z151" s="35">
        <f t="shared" si="273"/>
        <v>750</v>
      </c>
      <c r="AA151" s="35">
        <f t="shared" si="273"/>
        <v>750</v>
      </c>
      <c r="AB151" s="35">
        <f t="shared" si="273"/>
        <v>750</v>
      </c>
      <c r="AC151" s="35">
        <f t="shared" si="273"/>
        <v>750</v>
      </c>
      <c r="AD151" s="35">
        <f t="shared" si="273"/>
        <v>750</v>
      </c>
      <c r="AE151" s="35">
        <f t="shared" si="273"/>
        <v>750</v>
      </c>
      <c r="AF151" s="35">
        <f t="shared" si="273"/>
        <v>750</v>
      </c>
      <c r="AG151" s="35" t="str">
        <f t="shared" si="273"/>
        <v/>
      </c>
      <c r="AH151" s="35" t="str">
        <f t="shared" si="273"/>
        <v/>
      </c>
      <c r="AI151" s="35" t="str">
        <f t="shared" si="273"/>
        <v/>
      </c>
      <c r="AJ151" s="35" t="str">
        <f t="shared" si="273"/>
        <v/>
      </c>
      <c r="AK151" s="35" t="str">
        <f t="shared" si="273"/>
        <v/>
      </c>
      <c r="AL151" s="35" t="str">
        <f t="shared" si="273"/>
        <v/>
      </c>
      <c r="AM151" s="35" t="str">
        <f t="shared" ref="AM151:AS151" si="274">IF(AM$3="","",AL151)</f>
        <v/>
      </c>
      <c r="AN151" s="35" t="str">
        <f t="shared" si="274"/>
        <v/>
      </c>
      <c r="AO151" s="35" t="str">
        <f t="shared" si="274"/>
        <v/>
      </c>
      <c r="AP151" s="35" t="str">
        <f t="shared" si="274"/>
        <v/>
      </c>
      <c r="AQ151" s="35" t="str">
        <f t="shared" si="274"/>
        <v/>
      </c>
      <c r="AR151" s="35" t="str">
        <f t="shared" si="274"/>
        <v/>
      </c>
      <c r="AS151" s="35" t="str">
        <f t="shared" si="274"/>
        <v/>
      </c>
    </row>
    <row r="152" spans="1:45" s="94" customFormat="1">
      <c r="A152" s="14" t="s">
        <v>9</v>
      </c>
      <c r="B152" s="33" t="s">
        <v>10</v>
      </c>
      <c r="C152" s="63" t="s">
        <v>45</v>
      </c>
      <c r="D152" s="32" t="str">
        <f t="shared" ref="D152:AL152" si="275">IF(D$3="","",C152)</f>
        <v>ギャルキティマスコット</v>
      </c>
      <c r="E152" s="32" t="str">
        <f t="shared" si="275"/>
        <v>ギャルキティマスコット</v>
      </c>
      <c r="F152" s="129" t="str">
        <f t="shared" si="275"/>
        <v>ギャルキティマスコット</v>
      </c>
      <c r="G152" s="32" t="str">
        <f t="shared" si="275"/>
        <v>ギャルキティマスコット</v>
      </c>
      <c r="H152" s="32" t="str">
        <f t="shared" si="275"/>
        <v>ギャルキティマスコット</v>
      </c>
      <c r="I152" s="129" t="str">
        <f t="shared" si="275"/>
        <v>ギャルキティマスコット</v>
      </c>
      <c r="J152" s="32" t="str">
        <f t="shared" si="275"/>
        <v>ギャルキティマスコット</v>
      </c>
      <c r="K152" s="32" t="str">
        <f t="shared" si="275"/>
        <v>ギャルキティマスコット</v>
      </c>
      <c r="L152" s="129" t="str">
        <f t="shared" si="275"/>
        <v>ギャルキティマスコット</v>
      </c>
      <c r="M152" s="32" t="str">
        <f t="shared" si="275"/>
        <v>ギャルキティマスコット</v>
      </c>
      <c r="N152" s="32" t="str">
        <f t="shared" si="275"/>
        <v>ギャルキティマスコット</v>
      </c>
      <c r="O152" s="32" t="str">
        <f t="shared" si="275"/>
        <v>ギャルキティマスコット</v>
      </c>
      <c r="P152" s="129" t="str">
        <f t="shared" si="275"/>
        <v>ギャルキティマスコット</v>
      </c>
      <c r="Q152" s="32" t="str">
        <f t="shared" si="275"/>
        <v>ギャルキティマスコット</v>
      </c>
      <c r="R152" s="32" t="str">
        <f t="shared" si="275"/>
        <v>ギャルキティマスコット</v>
      </c>
      <c r="S152" s="32" t="str">
        <f t="shared" si="275"/>
        <v>ギャルキティマスコット</v>
      </c>
      <c r="T152" s="32" t="str">
        <f t="shared" si="275"/>
        <v>ギャルキティマスコット</v>
      </c>
      <c r="U152" s="32" t="str">
        <f t="shared" si="275"/>
        <v>ギャルキティマスコット</v>
      </c>
      <c r="V152" s="32" t="str">
        <f t="shared" si="275"/>
        <v>ギャルキティマスコット</v>
      </c>
      <c r="W152" s="32" t="str">
        <f t="shared" si="275"/>
        <v>ギャルキティマスコット</v>
      </c>
      <c r="X152" s="32" t="str">
        <f t="shared" si="275"/>
        <v>ギャルキティマスコット</v>
      </c>
      <c r="Y152" s="32" t="str">
        <f t="shared" si="275"/>
        <v>ギャルキティマスコット</v>
      </c>
      <c r="Z152" s="32" t="str">
        <f t="shared" si="275"/>
        <v>ギャルキティマスコット</v>
      </c>
      <c r="AA152" s="32" t="str">
        <f t="shared" si="275"/>
        <v>ギャルキティマスコット</v>
      </c>
      <c r="AB152" s="32" t="str">
        <f t="shared" si="275"/>
        <v>ギャルキティマスコット</v>
      </c>
      <c r="AC152" s="32" t="str">
        <f t="shared" si="275"/>
        <v>ギャルキティマスコット</v>
      </c>
      <c r="AD152" s="32" t="str">
        <f t="shared" si="275"/>
        <v>ギャルキティマスコット</v>
      </c>
      <c r="AE152" s="32" t="str">
        <f t="shared" si="275"/>
        <v>ギャルキティマスコット</v>
      </c>
      <c r="AF152" s="32" t="str">
        <f t="shared" si="275"/>
        <v>ギャルキティマスコット</v>
      </c>
      <c r="AG152" s="32" t="str">
        <f t="shared" si="275"/>
        <v/>
      </c>
      <c r="AH152" s="32" t="str">
        <f t="shared" si="275"/>
        <v/>
      </c>
      <c r="AI152" s="32" t="str">
        <f t="shared" si="275"/>
        <v/>
      </c>
      <c r="AJ152" s="32" t="str">
        <f t="shared" si="275"/>
        <v/>
      </c>
      <c r="AK152" s="32" t="str">
        <f t="shared" si="275"/>
        <v/>
      </c>
      <c r="AL152" s="32" t="str">
        <f t="shared" si="275"/>
        <v/>
      </c>
      <c r="AM152" s="32" t="str">
        <f t="shared" ref="AM152:AS152" si="276">IF(AM$3="","",AL152)</f>
        <v/>
      </c>
      <c r="AN152" s="32" t="str">
        <f t="shared" si="276"/>
        <v/>
      </c>
      <c r="AO152" s="32" t="str">
        <f t="shared" si="276"/>
        <v/>
      </c>
      <c r="AP152" s="32" t="str">
        <f t="shared" si="276"/>
        <v/>
      </c>
      <c r="AQ152" s="32" t="str">
        <f t="shared" si="276"/>
        <v/>
      </c>
      <c r="AR152" s="32" t="str">
        <f t="shared" si="276"/>
        <v/>
      </c>
      <c r="AS152" s="32" t="str">
        <f t="shared" si="276"/>
        <v/>
      </c>
    </row>
    <row r="153" spans="1:45">
      <c r="A153" s="7">
        <f>AVERAGE(C154:AS154)*30*100</f>
        <v>28200</v>
      </c>
      <c r="B153" s="30" t="s">
        <v>14</v>
      </c>
      <c r="C153" s="65"/>
      <c r="D153" s="29"/>
      <c r="E153" s="29"/>
      <c r="F153" s="54"/>
      <c r="G153" s="29"/>
      <c r="H153" s="29"/>
      <c r="I153" s="54"/>
      <c r="J153" s="29"/>
      <c r="K153" s="29"/>
      <c r="L153" s="54"/>
      <c r="M153" s="29"/>
      <c r="N153" s="29"/>
      <c r="O153" s="29"/>
      <c r="P153" s="54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 spans="1:45">
      <c r="A154" s="7">
        <f>SUM(C154:AS154)</f>
        <v>282</v>
      </c>
      <c r="B154" s="27" t="s">
        <v>15</v>
      </c>
      <c r="C154" s="65">
        <v>0</v>
      </c>
      <c r="D154" s="26">
        <f t="shared" ref="D154:AL154" si="277">IF(D$3="","",D147-C147)</f>
        <v>0</v>
      </c>
      <c r="E154" s="26">
        <f t="shared" si="277"/>
        <v>21</v>
      </c>
      <c r="F154" s="54">
        <f t="shared" si="277"/>
        <v>0</v>
      </c>
      <c r="G154" s="26">
        <f t="shared" si="277"/>
        <v>0</v>
      </c>
      <c r="H154" s="26">
        <f t="shared" si="277"/>
        <v>60</v>
      </c>
      <c r="I154" s="54">
        <f t="shared" si="277"/>
        <v>0</v>
      </c>
      <c r="J154" s="26">
        <f t="shared" si="277"/>
        <v>0</v>
      </c>
      <c r="K154" s="26">
        <f t="shared" si="277"/>
        <v>18</v>
      </c>
      <c r="L154" s="54">
        <f t="shared" si="277"/>
        <v>0</v>
      </c>
      <c r="M154" s="26">
        <f t="shared" si="277"/>
        <v>0</v>
      </c>
      <c r="N154" s="26">
        <f t="shared" si="277"/>
        <v>0</v>
      </c>
      <c r="O154" s="26">
        <f t="shared" si="277"/>
        <v>53</v>
      </c>
      <c r="P154" s="54">
        <f t="shared" si="277"/>
        <v>0</v>
      </c>
      <c r="Q154" s="26">
        <f t="shared" si="277"/>
        <v>0</v>
      </c>
      <c r="R154" s="26">
        <f t="shared" si="277"/>
        <v>56</v>
      </c>
      <c r="S154" s="26">
        <f t="shared" si="277"/>
        <v>0</v>
      </c>
      <c r="T154" s="26">
        <f t="shared" si="277"/>
        <v>0</v>
      </c>
      <c r="U154" s="26">
        <f t="shared" si="277"/>
        <v>0</v>
      </c>
      <c r="V154" s="26">
        <f t="shared" si="277"/>
        <v>15</v>
      </c>
      <c r="W154" s="26">
        <f t="shared" si="277"/>
        <v>0</v>
      </c>
      <c r="X154" s="26">
        <f t="shared" si="277"/>
        <v>0</v>
      </c>
      <c r="Y154" s="26">
        <f t="shared" si="277"/>
        <v>16</v>
      </c>
      <c r="Z154" s="26">
        <f t="shared" si="277"/>
        <v>0</v>
      </c>
      <c r="AA154" s="26">
        <f t="shared" si="277"/>
        <v>0</v>
      </c>
      <c r="AB154" s="26">
        <f t="shared" si="277"/>
        <v>0</v>
      </c>
      <c r="AC154" s="26">
        <f t="shared" si="277"/>
        <v>11</v>
      </c>
      <c r="AD154" s="26">
        <f t="shared" si="277"/>
        <v>0</v>
      </c>
      <c r="AE154" s="26">
        <f t="shared" si="277"/>
        <v>0</v>
      </c>
      <c r="AF154" s="26">
        <f t="shared" si="277"/>
        <v>32</v>
      </c>
      <c r="AG154" s="26" t="str">
        <f t="shared" si="277"/>
        <v/>
      </c>
      <c r="AH154" s="26" t="str">
        <f t="shared" si="277"/>
        <v/>
      </c>
      <c r="AI154" s="26" t="str">
        <f t="shared" si="277"/>
        <v/>
      </c>
      <c r="AJ154" s="26" t="str">
        <f t="shared" si="277"/>
        <v/>
      </c>
      <c r="AK154" s="26" t="str">
        <f t="shared" si="277"/>
        <v/>
      </c>
      <c r="AL154" s="26" t="str">
        <f t="shared" si="277"/>
        <v/>
      </c>
      <c r="AM154" s="26" t="str">
        <f t="shared" ref="AM154:AS154" si="278">IF(AM$3="","",AM147-AL147)</f>
        <v/>
      </c>
      <c r="AN154" s="26" t="str">
        <f t="shared" si="278"/>
        <v/>
      </c>
      <c r="AO154" s="26" t="str">
        <f t="shared" si="278"/>
        <v/>
      </c>
      <c r="AP154" s="26" t="str">
        <f t="shared" si="278"/>
        <v/>
      </c>
      <c r="AQ154" s="26" t="str">
        <f t="shared" si="278"/>
        <v/>
      </c>
      <c r="AR154" s="26" t="str">
        <f t="shared" si="278"/>
        <v/>
      </c>
      <c r="AS154" s="26" t="str">
        <f t="shared" si="278"/>
        <v/>
      </c>
    </row>
    <row r="155" spans="1:45">
      <c r="A155" s="7">
        <f>SUM(C155:AS155)</f>
        <v>3</v>
      </c>
      <c r="B155" s="27" t="s">
        <v>16</v>
      </c>
      <c r="C155" s="65">
        <v>0</v>
      </c>
      <c r="D155" s="26">
        <f t="shared" ref="D155:AL155" si="279">IF(D$3="","",D148-C148)</f>
        <v>0</v>
      </c>
      <c r="E155" s="26">
        <f t="shared" si="279"/>
        <v>0</v>
      </c>
      <c r="F155" s="54">
        <f t="shared" si="279"/>
        <v>0</v>
      </c>
      <c r="G155" s="26">
        <f t="shared" si="279"/>
        <v>0</v>
      </c>
      <c r="H155" s="26">
        <f t="shared" si="279"/>
        <v>1</v>
      </c>
      <c r="I155" s="54">
        <f t="shared" si="279"/>
        <v>0</v>
      </c>
      <c r="J155" s="26">
        <f t="shared" si="279"/>
        <v>0</v>
      </c>
      <c r="K155" s="26">
        <f t="shared" si="279"/>
        <v>0</v>
      </c>
      <c r="L155" s="54">
        <f t="shared" si="279"/>
        <v>0</v>
      </c>
      <c r="M155" s="26">
        <f t="shared" si="279"/>
        <v>0</v>
      </c>
      <c r="N155" s="26">
        <f t="shared" si="279"/>
        <v>0</v>
      </c>
      <c r="O155" s="26">
        <f t="shared" si="279"/>
        <v>0</v>
      </c>
      <c r="P155" s="54">
        <f t="shared" si="279"/>
        <v>0</v>
      </c>
      <c r="Q155" s="26">
        <f t="shared" si="279"/>
        <v>0</v>
      </c>
      <c r="R155" s="26">
        <f t="shared" si="279"/>
        <v>2</v>
      </c>
      <c r="S155" s="26">
        <f t="shared" si="279"/>
        <v>0</v>
      </c>
      <c r="T155" s="26">
        <f t="shared" si="279"/>
        <v>0</v>
      </c>
      <c r="U155" s="26">
        <f t="shared" si="279"/>
        <v>0</v>
      </c>
      <c r="V155" s="26">
        <f t="shared" si="279"/>
        <v>0</v>
      </c>
      <c r="W155" s="26">
        <f t="shared" si="279"/>
        <v>0</v>
      </c>
      <c r="X155" s="26">
        <f t="shared" si="279"/>
        <v>0</v>
      </c>
      <c r="Y155" s="26">
        <f t="shared" si="279"/>
        <v>0</v>
      </c>
      <c r="Z155" s="26">
        <f t="shared" si="279"/>
        <v>0</v>
      </c>
      <c r="AA155" s="26">
        <f t="shared" si="279"/>
        <v>0</v>
      </c>
      <c r="AB155" s="26">
        <f t="shared" si="279"/>
        <v>0</v>
      </c>
      <c r="AC155" s="26">
        <f t="shared" si="279"/>
        <v>0</v>
      </c>
      <c r="AD155" s="26">
        <f t="shared" si="279"/>
        <v>0</v>
      </c>
      <c r="AE155" s="26">
        <f t="shared" si="279"/>
        <v>0</v>
      </c>
      <c r="AF155" s="26">
        <f t="shared" si="279"/>
        <v>0</v>
      </c>
      <c r="AG155" s="26" t="str">
        <f t="shared" si="279"/>
        <v/>
      </c>
      <c r="AH155" s="26" t="str">
        <f t="shared" si="279"/>
        <v/>
      </c>
      <c r="AI155" s="26" t="str">
        <f t="shared" si="279"/>
        <v/>
      </c>
      <c r="AJ155" s="26" t="str">
        <f t="shared" si="279"/>
        <v/>
      </c>
      <c r="AK155" s="26" t="str">
        <f t="shared" si="279"/>
        <v/>
      </c>
      <c r="AL155" s="26" t="str">
        <f t="shared" si="279"/>
        <v/>
      </c>
      <c r="AM155" s="26" t="str">
        <f t="shared" ref="AM155:AS155" si="280">IF(AM$3="","",AM148-AL148)</f>
        <v/>
      </c>
      <c r="AN155" s="26" t="str">
        <f t="shared" si="280"/>
        <v/>
      </c>
      <c r="AO155" s="26" t="str">
        <f t="shared" si="280"/>
        <v/>
      </c>
      <c r="AP155" s="26" t="str">
        <f t="shared" si="280"/>
        <v/>
      </c>
      <c r="AQ155" s="26" t="str">
        <f t="shared" si="280"/>
        <v/>
      </c>
      <c r="AR155" s="26" t="str">
        <f t="shared" si="280"/>
        <v/>
      </c>
      <c r="AS155" s="26" t="str">
        <f t="shared" si="280"/>
        <v/>
      </c>
    </row>
    <row r="156" spans="1:45">
      <c r="A156" s="7">
        <f>SUM(C156:AS156)</f>
        <v>3</v>
      </c>
      <c r="B156" s="27" t="s">
        <v>17</v>
      </c>
      <c r="C156" s="65">
        <v>0</v>
      </c>
      <c r="D156" s="26">
        <f t="shared" ref="D156:AL156" si="281">IF(D$3="","",C149+C150-D149)</f>
        <v>0</v>
      </c>
      <c r="E156" s="26">
        <f t="shared" si="281"/>
        <v>0</v>
      </c>
      <c r="F156" s="54">
        <f t="shared" si="281"/>
        <v>0</v>
      </c>
      <c r="G156" s="26">
        <f t="shared" si="281"/>
        <v>0</v>
      </c>
      <c r="H156" s="26">
        <f t="shared" si="281"/>
        <v>1</v>
      </c>
      <c r="I156" s="54">
        <f t="shared" si="281"/>
        <v>0</v>
      </c>
      <c r="J156" s="26">
        <f t="shared" si="281"/>
        <v>0</v>
      </c>
      <c r="K156" s="26">
        <f t="shared" si="281"/>
        <v>0</v>
      </c>
      <c r="L156" s="54">
        <f t="shared" si="281"/>
        <v>0</v>
      </c>
      <c r="M156" s="26">
        <f t="shared" si="281"/>
        <v>0</v>
      </c>
      <c r="N156" s="26">
        <f t="shared" si="281"/>
        <v>0</v>
      </c>
      <c r="O156" s="26">
        <f t="shared" si="281"/>
        <v>0</v>
      </c>
      <c r="P156" s="54">
        <f t="shared" si="281"/>
        <v>0</v>
      </c>
      <c r="Q156" s="26">
        <f t="shared" si="281"/>
        <v>0</v>
      </c>
      <c r="R156" s="26">
        <f t="shared" si="281"/>
        <v>2</v>
      </c>
      <c r="S156" s="26">
        <f t="shared" si="281"/>
        <v>0</v>
      </c>
      <c r="T156" s="26">
        <f t="shared" si="281"/>
        <v>0</v>
      </c>
      <c r="U156" s="26">
        <f t="shared" si="281"/>
        <v>0</v>
      </c>
      <c r="V156" s="26">
        <f t="shared" si="281"/>
        <v>0</v>
      </c>
      <c r="W156" s="26">
        <f t="shared" si="281"/>
        <v>0</v>
      </c>
      <c r="X156" s="26">
        <f t="shared" si="281"/>
        <v>0</v>
      </c>
      <c r="Y156" s="26">
        <f t="shared" si="281"/>
        <v>0</v>
      </c>
      <c r="Z156" s="26">
        <f t="shared" si="281"/>
        <v>0</v>
      </c>
      <c r="AA156" s="26">
        <f t="shared" si="281"/>
        <v>0</v>
      </c>
      <c r="AB156" s="26">
        <f t="shared" si="281"/>
        <v>0</v>
      </c>
      <c r="AC156" s="26">
        <f t="shared" si="281"/>
        <v>0</v>
      </c>
      <c r="AD156" s="26">
        <f t="shared" si="281"/>
        <v>0</v>
      </c>
      <c r="AE156" s="26">
        <f t="shared" si="281"/>
        <v>0</v>
      </c>
      <c r="AF156" s="26">
        <f t="shared" si="281"/>
        <v>0</v>
      </c>
      <c r="AG156" s="26" t="str">
        <f t="shared" si="281"/>
        <v/>
      </c>
      <c r="AH156" s="26" t="str">
        <f t="shared" si="281"/>
        <v/>
      </c>
      <c r="AI156" s="26" t="str">
        <f t="shared" si="281"/>
        <v/>
      </c>
      <c r="AJ156" s="26" t="str">
        <f t="shared" si="281"/>
        <v/>
      </c>
      <c r="AK156" s="26" t="str">
        <f t="shared" si="281"/>
        <v/>
      </c>
      <c r="AL156" s="26" t="str">
        <f t="shared" si="281"/>
        <v/>
      </c>
      <c r="AM156" s="26" t="str">
        <f t="shared" ref="AM156:AS156" si="282">IF(AM$3="","",AL149+AL150-AM149)</f>
        <v/>
      </c>
      <c r="AN156" s="26" t="str">
        <f t="shared" si="282"/>
        <v/>
      </c>
      <c r="AO156" s="26" t="str">
        <f t="shared" si="282"/>
        <v/>
      </c>
      <c r="AP156" s="26" t="str">
        <f t="shared" si="282"/>
        <v/>
      </c>
      <c r="AQ156" s="26" t="str">
        <f t="shared" si="282"/>
        <v/>
      </c>
      <c r="AR156" s="26" t="str">
        <f t="shared" si="282"/>
        <v/>
      </c>
      <c r="AS156" s="26" t="str">
        <f t="shared" si="282"/>
        <v/>
      </c>
    </row>
    <row r="157" spans="1:45">
      <c r="A157" s="7">
        <f>SUM(C157:AS157)</f>
        <v>2250</v>
      </c>
      <c r="B157" s="27" t="s">
        <v>18</v>
      </c>
      <c r="C157" s="65">
        <v>0</v>
      </c>
      <c r="D157" s="26">
        <f t="shared" ref="D157:AL157" si="283">IF(D$3="","",D156*D151)</f>
        <v>0</v>
      </c>
      <c r="E157" s="26">
        <f t="shared" si="283"/>
        <v>0</v>
      </c>
      <c r="F157" s="54">
        <f t="shared" si="283"/>
        <v>0</v>
      </c>
      <c r="G157" s="26">
        <f t="shared" si="283"/>
        <v>0</v>
      </c>
      <c r="H157" s="26">
        <f t="shared" si="283"/>
        <v>750</v>
      </c>
      <c r="I157" s="54">
        <f t="shared" si="283"/>
        <v>0</v>
      </c>
      <c r="J157" s="26">
        <f t="shared" si="283"/>
        <v>0</v>
      </c>
      <c r="K157" s="26">
        <f t="shared" si="283"/>
        <v>0</v>
      </c>
      <c r="L157" s="54">
        <f t="shared" si="283"/>
        <v>0</v>
      </c>
      <c r="M157" s="26">
        <f t="shared" si="283"/>
        <v>0</v>
      </c>
      <c r="N157" s="26">
        <f t="shared" si="283"/>
        <v>0</v>
      </c>
      <c r="O157" s="26">
        <f t="shared" si="283"/>
        <v>0</v>
      </c>
      <c r="P157" s="54">
        <f t="shared" si="283"/>
        <v>0</v>
      </c>
      <c r="Q157" s="26">
        <f t="shared" si="283"/>
        <v>0</v>
      </c>
      <c r="R157" s="26">
        <f t="shared" si="283"/>
        <v>1500</v>
      </c>
      <c r="S157" s="26">
        <f t="shared" si="283"/>
        <v>0</v>
      </c>
      <c r="T157" s="26">
        <f t="shared" si="283"/>
        <v>0</v>
      </c>
      <c r="U157" s="26">
        <f t="shared" si="283"/>
        <v>0</v>
      </c>
      <c r="V157" s="26">
        <f t="shared" si="283"/>
        <v>0</v>
      </c>
      <c r="W157" s="26">
        <f t="shared" si="283"/>
        <v>0</v>
      </c>
      <c r="X157" s="26">
        <f t="shared" si="283"/>
        <v>0</v>
      </c>
      <c r="Y157" s="26">
        <f t="shared" si="283"/>
        <v>0</v>
      </c>
      <c r="Z157" s="26">
        <f t="shared" si="283"/>
        <v>0</v>
      </c>
      <c r="AA157" s="26">
        <f t="shared" si="283"/>
        <v>0</v>
      </c>
      <c r="AB157" s="26">
        <f t="shared" si="283"/>
        <v>0</v>
      </c>
      <c r="AC157" s="26">
        <f t="shared" si="283"/>
        <v>0</v>
      </c>
      <c r="AD157" s="26">
        <f t="shared" si="283"/>
        <v>0</v>
      </c>
      <c r="AE157" s="26">
        <f t="shared" si="283"/>
        <v>0</v>
      </c>
      <c r="AF157" s="26">
        <f t="shared" si="283"/>
        <v>0</v>
      </c>
      <c r="AG157" s="26" t="str">
        <f t="shared" si="283"/>
        <v/>
      </c>
      <c r="AH157" s="26" t="str">
        <f t="shared" si="283"/>
        <v/>
      </c>
      <c r="AI157" s="26" t="str">
        <f t="shared" si="283"/>
        <v/>
      </c>
      <c r="AJ157" s="26" t="str">
        <f t="shared" si="283"/>
        <v/>
      </c>
      <c r="AK157" s="26" t="str">
        <f t="shared" si="283"/>
        <v/>
      </c>
      <c r="AL157" s="26" t="str">
        <f t="shared" si="283"/>
        <v/>
      </c>
      <c r="AM157" s="26" t="str">
        <f t="shared" ref="AM157:AS157" si="284">IF(AM$3="","",AM156*AM151)</f>
        <v/>
      </c>
      <c r="AN157" s="26" t="str">
        <f t="shared" si="284"/>
        <v/>
      </c>
      <c r="AO157" s="26" t="str">
        <f t="shared" si="284"/>
        <v/>
      </c>
      <c r="AP157" s="26" t="str">
        <f t="shared" si="284"/>
        <v/>
      </c>
      <c r="AQ157" s="26" t="str">
        <f t="shared" si="284"/>
        <v/>
      </c>
      <c r="AR157" s="26" t="str">
        <f t="shared" si="284"/>
        <v/>
      </c>
      <c r="AS157" s="26" t="str">
        <f t="shared" si="284"/>
        <v/>
      </c>
    </row>
    <row r="158" spans="1:45" ht="12" thickBot="1">
      <c r="A158" s="4">
        <f>IF(A157="","",A157/(A154*100))</f>
        <v>7.9787234042553196E-2</v>
      </c>
      <c r="B158" s="27" t="s">
        <v>20</v>
      </c>
      <c r="C158" s="68" t="s">
        <v>21</v>
      </c>
      <c r="D158" s="44" t="str">
        <f t="shared" ref="D158:AL158" si="285">IF(D$3="","",IF(D157=0,"",D157/(D154*100)))</f>
        <v/>
      </c>
      <c r="E158" s="44" t="str">
        <f t="shared" si="285"/>
        <v/>
      </c>
      <c r="F158" s="132" t="str">
        <f t="shared" si="285"/>
        <v/>
      </c>
      <c r="G158" s="44" t="str">
        <f t="shared" si="285"/>
        <v/>
      </c>
      <c r="H158" s="44">
        <f t="shared" si="285"/>
        <v>0.125</v>
      </c>
      <c r="I158" s="132" t="str">
        <f t="shared" si="285"/>
        <v/>
      </c>
      <c r="J158" s="44" t="str">
        <f t="shared" si="285"/>
        <v/>
      </c>
      <c r="K158" s="44" t="str">
        <f t="shared" si="285"/>
        <v/>
      </c>
      <c r="L158" s="132" t="str">
        <f t="shared" si="285"/>
        <v/>
      </c>
      <c r="M158" s="44" t="str">
        <f t="shared" si="285"/>
        <v/>
      </c>
      <c r="N158" s="44" t="str">
        <f t="shared" si="285"/>
        <v/>
      </c>
      <c r="O158" s="44" t="str">
        <f t="shared" si="285"/>
        <v/>
      </c>
      <c r="P158" s="132" t="str">
        <f t="shared" si="285"/>
        <v/>
      </c>
      <c r="Q158" s="44" t="str">
        <f t="shared" si="285"/>
        <v/>
      </c>
      <c r="R158" s="44">
        <f t="shared" si="285"/>
        <v>0.26785714285714285</v>
      </c>
      <c r="S158" s="44" t="str">
        <f t="shared" si="285"/>
        <v/>
      </c>
      <c r="T158" s="44" t="str">
        <f t="shared" si="285"/>
        <v/>
      </c>
      <c r="U158" s="44" t="str">
        <f t="shared" si="285"/>
        <v/>
      </c>
      <c r="V158" s="44" t="str">
        <f t="shared" si="285"/>
        <v/>
      </c>
      <c r="W158" s="44" t="str">
        <f t="shared" si="285"/>
        <v/>
      </c>
      <c r="X158" s="44" t="str">
        <f t="shared" si="285"/>
        <v/>
      </c>
      <c r="Y158" s="44" t="str">
        <f t="shared" si="285"/>
        <v/>
      </c>
      <c r="Z158" s="44" t="str">
        <f t="shared" si="285"/>
        <v/>
      </c>
      <c r="AA158" s="44" t="str">
        <f t="shared" si="285"/>
        <v/>
      </c>
      <c r="AB158" s="44" t="str">
        <f t="shared" si="285"/>
        <v/>
      </c>
      <c r="AC158" s="44" t="str">
        <f t="shared" si="285"/>
        <v/>
      </c>
      <c r="AD158" s="44" t="str">
        <f t="shared" si="285"/>
        <v/>
      </c>
      <c r="AE158" s="44" t="str">
        <f t="shared" si="285"/>
        <v/>
      </c>
      <c r="AF158" s="44" t="str">
        <f t="shared" si="285"/>
        <v/>
      </c>
      <c r="AG158" s="44" t="str">
        <f t="shared" si="285"/>
        <v/>
      </c>
      <c r="AH158" s="44" t="str">
        <f t="shared" si="285"/>
        <v/>
      </c>
      <c r="AI158" s="44" t="str">
        <f t="shared" si="285"/>
        <v/>
      </c>
      <c r="AJ158" s="44" t="str">
        <f t="shared" si="285"/>
        <v/>
      </c>
      <c r="AK158" s="44" t="str">
        <f t="shared" si="285"/>
        <v/>
      </c>
      <c r="AL158" s="44" t="str">
        <f t="shared" si="285"/>
        <v/>
      </c>
      <c r="AM158" s="44" t="str">
        <f t="shared" ref="AM158:AS158" si="286">IF(AM$3="","",IF(AM157=0,"",AM157/(AM154*100)))</f>
        <v/>
      </c>
      <c r="AN158" s="44" t="str">
        <f t="shared" si="286"/>
        <v/>
      </c>
      <c r="AO158" s="44" t="str">
        <f t="shared" si="286"/>
        <v/>
      </c>
      <c r="AP158" s="44" t="str">
        <f t="shared" si="286"/>
        <v/>
      </c>
      <c r="AQ158" s="44" t="str">
        <f t="shared" si="286"/>
        <v/>
      </c>
      <c r="AR158" s="44" t="str">
        <f t="shared" si="286"/>
        <v/>
      </c>
      <c r="AS158" s="44" t="str">
        <f t="shared" si="286"/>
        <v/>
      </c>
    </row>
    <row r="159" spans="1:45">
      <c r="A159" s="17" t="s">
        <v>1</v>
      </c>
      <c r="B159" s="42" t="s">
        <v>2</v>
      </c>
      <c r="C159" s="64">
        <v>744</v>
      </c>
      <c r="D159" s="35">
        <f>IF(D$3="","",C159)</f>
        <v>744</v>
      </c>
      <c r="E159" s="35">
        <v>760</v>
      </c>
      <c r="F159" s="128">
        <f>IF(F$3="","",E159)</f>
        <v>760</v>
      </c>
      <c r="G159" s="35">
        <f>IF(G$3="","",F159)</f>
        <v>760</v>
      </c>
      <c r="H159" s="35">
        <v>773</v>
      </c>
      <c r="I159" s="128">
        <f>IF(I$3="","",H159)</f>
        <v>773</v>
      </c>
      <c r="J159" s="35">
        <f>IF(J$3="","",I159)</f>
        <v>773</v>
      </c>
      <c r="K159" s="35">
        <v>797</v>
      </c>
      <c r="L159" s="128">
        <f t="shared" ref="L159:N160" si="287">IF(L$3="","",K159)</f>
        <v>797</v>
      </c>
      <c r="M159" s="35">
        <f t="shared" si="287"/>
        <v>797</v>
      </c>
      <c r="N159" s="35">
        <f t="shared" si="287"/>
        <v>797</v>
      </c>
      <c r="O159" s="35">
        <v>805</v>
      </c>
      <c r="P159" s="128">
        <f>IF(P$3="","",O159)</f>
        <v>805</v>
      </c>
      <c r="Q159" s="35">
        <f>IF(Q$3="","",P159)</f>
        <v>805</v>
      </c>
      <c r="R159" s="35">
        <v>821</v>
      </c>
      <c r="S159" s="35">
        <f t="shared" ref="S159:AL159" si="288">IF(S$3="","",R159)</f>
        <v>821</v>
      </c>
      <c r="T159" s="35">
        <f t="shared" si="288"/>
        <v>821</v>
      </c>
      <c r="U159" s="35">
        <f t="shared" si="288"/>
        <v>821</v>
      </c>
      <c r="V159" s="35">
        <v>834</v>
      </c>
      <c r="W159" s="35">
        <f t="shared" si="288"/>
        <v>834</v>
      </c>
      <c r="X159" s="35">
        <f t="shared" si="288"/>
        <v>834</v>
      </c>
      <c r="Y159" s="35">
        <v>881</v>
      </c>
      <c r="Z159" s="35">
        <f t="shared" si="288"/>
        <v>881</v>
      </c>
      <c r="AA159" s="35">
        <f t="shared" si="288"/>
        <v>881</v>
      </c>
      <c r="AB159" s="35">
        <f t="shared" si="288"/>
        <v>881</v>
      </c>
      <c r="AC159" s="35">
        <v>891</v>
      </c>
      <c r="AD159" s="35">
        <f t="shared" si="288"/>
        <v>891</v>
      </c>
      <c r="AE159" s="35">
        <f t="shared" si="288"/>
        <v>891</v>
      </c>
      <c r="AF159" s="35">
        <v>918</v>
      </c>
      <c r="AG159" s="35" t="str">
        <f t="shared" si="288"/>
        <v/>
      </c>
      <c r="AH159" s="35" t="str">
        <f t="shared" si="288"/>
        <v/>
      </c>
      <c r="AI159" s="35" t="str">
        <f t="shared" si="288"/>
        <v/>
      </c>
      <c r="AJ159" s="35" t="str">
        <f t="shared" si="288"/>
        <v/>
      </c>
      <c r="AK159" s="35" t="str">
        <f t="shared" si="288"/>
        <v/>
      </c>
      <c r="AL159" s="35" t="str">
        <f t="shared" si="288"/>
        <v/>
      </c>
      <c r="AM159" s="35" t="str">
        <f t="shared" ref="AM159:AS159" si="289">IF(AM$3="","",AL159)</f>
        <v/>
      </c>
      <c r="AN159" s="35" t="str">
        <f t="shared" si="289"/>
        <v/>
      </c>
      <c r="AO159" s="35" t="str">
        <f t="shared" si="289"/>
        <v/>
      </c>
      <c r="AP159" s="35" t="str">
        <f t="shared" si="289"/>
        <v/>
      </c>
      <c r="AQ159" s="35" t="str">
        <f t="shared" si="289"/>
        <v/>
      </c>
      <c r="AR159" s="35" t="str">
        <f t="shared" si="289"/>
        <v/>
      </c>
      <c r="AS159" s="35" t="str">
        <f t="shared" si="289"/>
        <v/>
      </c>
    </row>
    <row r="160" spans="1:45">
      <c r="A160" s="16" t="s">
        <v>46</v>
      </c>
      <c r="B160" s="30" t="s">
        <v>4</v>
      </c>
      <c r="C160" s="65">
        <v>16</v>
      </c>
      <c r="D160" s="29">
        <f>IF(D$3="","",C160)</f>
        <v>16</v>
      </c>
      <c r="E160" s="29">
        <f>IF(E$3="","",D160)</f>
        <v>16</v>
      </c>
      <c r="F160" s="54">
        <f>IF(F$3="","",E160)</f>
        <v>16</v>
      </c>
      <c r="G160" s="29">
        <f>IF(G$3="","",F160)</f>
        <v>16</v>
      </c>
      <c r="H160" s="29">
        <f>IF(H$3="","",G160)</f>
        <v>16</v>
      </c>
      <c r="I160" s="54">
        <f>IF(I$3="","",H160)</f>
        <v>16</v>
      </c>
      <c r="J160" s="29">
        <f>IF(J$3="","",I160)</f>
        <v>16</v>
      </c>
      <c r="K160" s="29">
        <f>IF(K$3="","",J160)</f>
        <v>16</v>
      </c>
      <c r="L160" s="54">
        <f t="shared" si="287"/>
        <v>16</v>
      </c>
      <c r="M160" s="29">
        <f t="shared" si="287"/>
        <v>16</v>
      </c>
      <c r="N160" s="29">
        <f t="shared" si="287"/>
        <v>16</v>
      </c>
      <c r="O160" s="29">
        <f>IF(O$3="","",N160)</f>
        <v>16</v>
      </c>
      <c r="P160" s="54">
        <f>IF(P$3="","",O160)</f>
        <v>16</v>
      </c>
      <c r="Q160" s="29">
        <f>IF(Q$3="","",P160)</f>
        <v>16</v>
      </c>
      <c r="R160" s="29">
        <v>17</v>
      </c>
      <c r="S160" s="29">
        <f t="shared" ref="S160:AL160" si="290">IF(S$3="","",R160)</f>
        <v>17</v>
      </c>
      <c r="T160" s="29">
        <f t="shared" si="290"/>
        <v>17</v>
      </c>
      <c r="U160" s="29">
        <f t="shared" si="290"/>
        <v>17</v>
      </c>
      <c r="V160" s="29">
        <f t="shared" si="290"/>
        <v>17</v>
      </c>
      <c r="W160" s="29">
        <f t="shared" si="290"/>
        <v>17</v>
      </c>
      <c r="X160" s="29">
        <f t="shared" si="290"/>
        <v>17</v>
      </c>
      <c r="Y160" s="29">
        <f t="shared" si="290"/>
        <v>17</v>
      </c>
      <c r="Z160" s="29">
        <f t="shared" si="290"/>
        <v>17</v>
      </c>
      <c r="AA160" s="29">
        <f t="shared" si="290"/>
        <v>17</v>
      </c>
      <c r="AB160" s="29">
        <f t="shared" si="290"/>
        <v>17</v>
      </c>
      <c r="AC160" s="29">
        <f t="shared" si="290"/>
        <v>17</v>
      </c>
      <c r="AD160" s="29">
        <f t="shared" si="290"/>
        <v>17</v>
      </c>
      <c r="AE160" s="29">
        <f t="shared" si="290"/>
        <v>17</v>
      </c>
      <c r="AF160" s="29">
        <f t="shared" si="290"/>
        <v>17</v>
      </c>
      <c r="AG160" s="29" t="str">
        <f t="shared" si="290"/>
        <v/>
      </c>
      <c r="AH160" s="29" t="str">
        <f t="shared" si="290"/>
        <v/>
      </c>
      <c r="AI160" s="29" t="str">
        <f t="shared" si="290"/>
        <v/>
      </c>
      <c r="AJ160" s="29" t="str">
        <f t="shared" si="290"/>
        <v/>
      </c>
      <c r="AK160" s="29" t="str">
        <f t="shared" si="290"/>
        <v/>
      </c>
      <c r="AL160" s="29" t="str">
        <f t="shared" si="290"/>
        <v/>
      </c>
      <c r="AM160" s="29" t="str">
        <f t="shared" ref="AM160:AS160" si="291">IF(AM$3="","",AL160)</f>
        <v/>
      </c>
      <c r="AN160" s="29" t="str">
        <f t="shared" si="291"/>
        <v/>
      </c>
      <c r="AO160" s="29" t="str">
        <f t="shared" si="291"/>
        <v/>
      </c>
      <c r="AP160" s="29" t="str">
        <f t="shared" si="291"/>
        <v/>
      </c>
      <c r="AQ160" s="29" t="str">
        <f t="shared" si="291"/>
        <v/>
      </c>
      <c r="AR160" s="29" t="str">
        <f t="shared" si="291"/>
        <v/>
      </c>
      <c r="AS160" s="29" t="str">
        <f t="shared" si="291"/>
        <v/>
      </c>
    </row>
    <row r="161" spans="1:45">
      <c r="A161" s="15">
        <v>2</v>
      </c>
      <c r="B161" s="30" t="s">
        <v>5</v>
      </c>
      <c r="C161" s="65">
        <v>4</v>
      </c>
      <c r="D161" s="29">
        <f t="shared" ref="D161:Q161" si="292">IF(D$3="","",(C161+C162))</f>
        <v>4</v>
      </c>
      <c r="E161" s="29">
        <f t="shared" si="292"/>
        <v>4</v>
      </c>
      <c r="F161" s="54">
        <f t="shared" si="292"/>
        <v>4</v>
      </c>
      <c r="G161" s="29">
        <f t="shared" si="292"/>
        <v>4</v>
      </c>
      <c r="H161" s="29">
        <f t="shared" si="292"/>
        <v>4</v>
      </c>
      <c r="I161" s="54">
        <f t="shared" si="292"/>
        <v>4</v>
      </c>
      <c r="J161" s="29">
        <f t="shared" si="292"/>
        <v>4</v>
      </c>
      <c r="K161" s="29">
        <f t="shared" si="292"/>
        <v>4</v>
      </c>
      <c r="L161" s="54">
        <f t="shared" si="292"/>
        <v>4</v>
      </c>
      <c r="M161" s="29">
        <f t="shared" si="292"/>
        <v>4</v>
      </c>
      <c r="N161" s="29">
        <f t="shared" si="292"/>
        <v>4</v>
      </c>
      <c r="O161" s="29">
        <f t="shared" si="292"/>
        <v>4</v>
      </c>
      <c r="P161" s="54">
        <f t="shared" si="292"/>
        <v>4</v>
      </c>
      <c r="Q161" s="29">
        <f t="shared" si="292"/>
        <v>4</v>
      </c>
      <c r="R161" s="29">
        <v>3</v>
      </c>
      <c r="S161" s="29">
        <f t="shared" ref="S161:AL161" si="293">IF(S$3="","",(R161+R162))</f>
        <v>7</v>
      </c>
      <c r="T161" s="29">
        <f t="shared" si="293"/>
        <v>7</v>
      </c>
      <c r="U161" s="29">
        <f t="shared" si="293"/>
        <v>7</v>
      </c>
      <c r="V161" s="29">
        <f t="shared" si="293"/>
        <v>7</v>
      </c>
      <c r="W161" s="29">
        <f t="shared" si="293"/>
        <v>7</v>
      </c>
      <c r="X161" s="29">
        <f t="shared" si="293"/>
        <v>7</v>
      </c>
      <c r="Y161" s="29">
        <f t="shared" si="293"/>
        <v>7</v>
      </c>
      <c r="Z161" s="29">
        <f t="shared" si="293"/>
        <v>7</v>
      </c>
      <c r="AA161" s="29">
        <f t="shared" si="293"/>
        <v>7</v>
      </c>
      <c r="AB161" s="29">
        <f t="shared" si="293"/>
        <v>7</v>
      </c>
      <c r="AC161" s="29">
        <f t="shared" si="293"/>
        <v>7</v>
      </c>
      <c r="AD161" s="29">
        <f t="shared" si="293"/>
        <v>7</v>
      </c>
      <c r="AE161" s="29">
        <f t="shared" si="293"/>
        <v>7</v>
      </c>
      <c r="AF161" s="29">
        <f t="shared" si="293"/>
        <v>7</v>
      </c>
      <c r="AG161" s="29" t="str">
        <f t="shared" si="293"/>
        <v/>
      </c>
      <c r="AH161" s="29" t="str">
        <f t="shared" si="293"/>
        <v/>
      </c>
      <c r="AI161" s="29" t="str">
        <f t="shared" si="293"/>
        <v/>
      </c>
      <c r="AJ161" s="29" t="str">
        <f t="shared" si="293"/>
        <v/>
      </c>
      <c r="AK161" s="29" t="str">
        <f t="shared" si="293"/>
        <v/>
      </c>
      <c r="AL161" s="29" t="str">
        <f t="shared" si="293"/>
        <v/>
      </c>
      <c r="AM161" s="29" t="str">
        <f t="shared" ref="AM161:AS161" si="294">IF(AM$3="","",(AL161+AL162))</f>
        <v/>
      </c>
      <c r="AN161" s="29" t="str">
        <f t="shared" si="294"/>
        <v/>
      </c>
      <c r="AO161" s="29" t="str">
        <f t="shared" si="294"/>
        <v/>
      </c>
      <c r="AP161" s="29" t="str">
        <f t="shared" si="294"/>
        <v/>
      </c>
      <c r="AQ161" s="29" t="str">
        <f t="shared" si="294"/>
        <v/>
      </c>
      <c r="AR161" s="29" t="str">
        <f t="shared" si="294"/>
        <v/>
      </c>
      <c r="AS161" s="29" t="str">
        <f t="shared" si="294"/>
        <v/>
      </c>
    </row>
    <row r="162" spans="1:45">
      <c r="A162" s="14"/>
      <c r="B162" s="30" t="s">
        <v>7</v>
      </c>
      <c r="C162" s="65"/>
      <c r="D162" s="29"/>
      <c r="E162" s="29"/>
      <c r="F162" s="54"/>
      <c r="G162" s="29"/>
      <c r="H162" s="29"/>
      <c r="I162" s="54"/>
      <c r="J162" s="29"/>
      <c r="K162" s="29"/>
      <c r="L162" s="54"/>
      <c r="M162" s="29"/>
      <c r="N162" s="29"/>
      <c r="O162" s="29"/>
      <c r="P162" s="54"/>
      <c r="Q162" s="29"/>
      <c r="R162" s="29">
        <v>4</v>
      </c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 spans="1:45">
      <c r="A163" s="7"/>
      <c r="B163" s="30" t="s">
        <v>8</v>
      </c>
      <c r="C163" s="64">
        <v>750</v>
      </c>
      <c r="D163" s="35">
        <f t="shared" ref="D163:AL163" si="295">IF(D$3="","",C163)</f>
        <v>750</v>
      </c>
      <c r="E163" s="35">
        <f t="shared" si="295"/>
        <v>750</v>
      </c>
      <c r="F163" s="128">
        <f t="shared" si="295"/>
        <v>750</v>
      </c>
      <c r="G163" s="35">
        <f t="shared" si="295"/>
        <v>750</v>
      </c>
      <c r="H163" s="35">
        <f t="shared" si="295"/>
        <v>750</v>
      </c>
      <c r="I163" s="128">
        <f t="shared" si="295"/>
        <v>750</v>
      </c>
      <c r="J163" s="35">
        <f t="shared" si="295"/>
        <v>750</v>
      </c>
      <c r="K163" s="35">
        <f t="shared" si="295"/>
        <v>750</v>
      </c>
      <c r="L163" s="128">
        <f t="shared" si="295"/>
        <v>750</v>
      </c>
      <c r="M163" s="35">
        <f t="shared" si="295"/>
        <v>750</v>
      </c>
      <c r="N163" s="35">
        <f t="shared" si="295"/>
        <v>750</v>
      </c>
      <c r="O163" s="35">
        <f t="shared" si="295"/>
        <v>750</v>
      </c>
      <c r="P163" s="128">
        <f t="shared" si="295"/>
        <v>750</v>
      </c>
      <c r="Q163" s="35">
        <f t="shared" si="295"/>
        <v>750</v>
      </c>
      <c r="R163" s="35">
        <f t="shared" si="295"/>
        <v>750</v>
      </c>
      <c r="S163" s="35">
        <f t="shared" si="295"/>
        <v>750</v>
      </c>
      <c r="T163" s="35">
        <f t="shared" si="295"/>
        <v>750</v>
      </c>
      <c r="U163" s="35">
        <f t="shared" si="295"/>
        <v>750</v>
      </c>
      <c r="V163" s="35">
        <f t="shared" si="295"/>
        <v>750</v>
      </c>
      <c r="W163" s="35">
        <f t="shared" si="295"/>
        <v>750</v>
      </c>
      <c r="X163" s="35">
        <f t="shared" si="295"/>
        <v>750</v>
      </c>
      <c r="Y163" s="35">
        <f t="shared" si="295"/>
        <v>750</v>
      </c>
      <c r="Z163" s="35">
        <f t="shared" si="295"/>
        <v>750</v>
      </c>
      <c r="AA163" s="35">
        <f t="shared" si="295"/>
        <v>750</v>
      </c>
      <c r="AB163" s="35">
        <f t="shared" si="295"/>
        <v>750</v>
      </c>
      <c r="AC163" s="35">
        <f t="shared" si="295"/>
        <v>750</v>
      </c>
      <c r="AD163" s="35">
        <f t="shared" si="295"/>
        <v>750</v>
      </c>
      <c r="AE163" s="35">
        <f t="shared" si="295"/>
        <v>750</v>
      </c>
      <c r="AF163" s="35">
        <f t="shared" si="295"/>
        <v>750</v>
      </c>
      <c r="AG163" s="35" t="str">
        <f t="shared" si="295"/>
        <v/>
      </c>
      <c r="AH163" s="35" t="str">
        <f t="shared" si="295"/>
        <v/>
      </c>
      <c r="AI163" s="35" t="str">
        <f t="shared" si="295"/>
        <v/>
      </c>
      <c r="AJ163" s="35" t="str">
        <f t="shared" si="295"/>
        <v/>
      </c>
      <c r="AK163" s="35" t="str">
        <f t="shared" si="295"/>
        <v/>
      </c>
      <c r="AL163" s="35" t="str">
        <f t="shared" si="295"/>
        <v/>
      </c>
      <c r="AM163" s="35" t="str">
        <f t="shared" ref="AM163:AS163" si="296">IF(AM$3="","",AL163)</f>
        <v/>
      </c>
      <c r="AN163" s="35" t="str">
        <f t="shared" si="296"/>
        <v/>
      </c>
      <c r="AO163" s="35" t="str">
        <f t="shared" si="296"/>
        <v/>
      </c>
      <c r="AP163" s="35" t="str">
        <f t="shared" si="296"/>
        <v/>
      </c>
      <c r="AQ163" s="35" t="str">
        <f t="shared" si="296"/>
        <v/>
      </c>
      <c r="AR163" s="35" t="str">
        <f t="shared" si="296"/>
        <v/>
      </c>
      <c r="AS163" s="35" t="str">
        <f t="shared" si="296"/>
        <v/>
      </c>
    </row>
    <row r="164" spans="1:45" s="94" customFormat="1">
      <c r="A164" s="14" t="s">
        <v>9</v>
      </c>
      <c r="B164" s="33" t="s">
        <v>10</v>
      </c>
      <c r="C164" s="63" t="s">
        <v>47</v>
      </c>
      <c r="D164" s="32" t="str">
        <f t="shared" ref="D164:AL164" si="297">IF(D$3="","",C164)</f>
        <v>サンリオボアキーケース</v>
      </c>
      <c r="E164" s="32" t="str">
        <f t="shared" si="297"/>
        <v>サンリオボアキーケース</v>
      </c>
      <c r="F164" s="129" t="str">
        <f t="shared" si="297"/>
        <v>サンリオボアキーケース</v>
      </c>
      <c r="G164" s="32" t="str">
        <f t="shared" si="297"/>
        <v>サンリオボアキーケース</v>
      </c>
      <c r="H164" s="32" t="str">
        <f t="shared" si="297"/>
        <v>サンリオボアキーケース</v>
      </c>
      <c r="I164" s="129" t="str">
        <f t="shared" si="297"/>
        <v>サンリオボアキーケース</v>
      </c>
      <c r="J164" s="32" t="str">
        <f t="shared" si="297"/>
        <v>サンリオボアキーケース</v>
      </c>
      <c r="K164" s="32" t="str">
        <f t="shared" si="297"/>
        <v>サンリオボアキーケース</v>
      </c>
      <c r="L164" s="129" t="str">
        <f t="shared" si="297"/>
        <v>サンリオボアキーケース</v>
      </c>
      <c r="M164" s="32" t="str">
        <f t="shared" si="297"/>
        <v>サンリオボアキーケース</v>
      </c>
      <c r="N164" s="32" t="str">
        <f t="shared" si="297"/>
        <v>サンリオボアキーケース</v>
      </c>
      <c r="O164" s="32" t="str">
        <f t="shared" si="297"/>
        <v>サンリオボアキーケース</v>
      </c>
      <c r="P164" s="129" t="str">
        <f t="shared" si="297"/>
        <v>サンリオボアキーケース</v>
      </c>
      <c r="Q164" s="32" t="str">
        <f t="shared" si="297"/>
        <v>サンリオボアキーケース</v>
      </c>
      <c r="R164" s="32" t="str">
        <f t="shared" si="297"/>
        <v>サンリオボアキーケース</v>
      </c>
      <c r="S164" s="32" t="str">
        <f t="shared" si="297"/>
        <v>サンリオボアキーケース</v>
      </c>
      <c r="T164" s="32" t="str">
        <f t="shared" si="297"/>
        <v>サンリオボアキーケース</v>
      </c>
      <c r="U164" s="32" t="str">
        <f t="shared" si="297"/>
        <v>サンリオボアキーケース</v>
      </c>
      <c r="V164" s="32" t="str">
        <f t="shared" si="297"/>
        <v>サンリオボアキーケース</v>
      </c>
      <c r="W164" s="32" t="str">
        <f t="shared" si="297"/>
        <v>サンリオボアキーケース</v>
      </c>
      <c r="X164" s="32" t="str">
        <f t="shared" si="297"/>
        <v>サンリオボアキーケース</v>
      </c>
      <c r="Y164" s="32" t="str">
        <f t="shared" si="297"/>
        <v>サンリオボアキーケース</v>
      </c>
      <c r="Z164" s="32" t="str">
        <f t="shared" si="297"/>
        <v>サンリオボアキーケース</v>
      </c>
      <c r="AA164" s="32" t="str">
        <f t="shared" si="297"/>
        <v>サンリオボアキーケース</v>
      </c>
      <c r="AB164" s="32" t="str">
        <f t="shared" si="297"/>
        <v>サンリオボアキーケース</v>
      </c>
      <c r="AC164" s="32" t="str">
        <f t="shared" si="297"/>
        <v>サンリオボアキーケース</v>
      </c>
      <c r="AD164" s="32" t="str">
        <f t="shared" si="297"/>
        <v>サンリオボアキーケース</v>
      </c>
      <c r="AE164" s="32" t="str">
        <f t="shared" si="297"/>
        <v>サンリオボアキーケース</v>
      </c>
      <c r="AF164" s="32" t="str">
        <f t="shared" si="297"/>
        <v>サンリオボアキーケース</v>
      </c>
      <c r="AG164" s="32" t="str">
        <f t="shared" si="297"/>
        <v/>
      </c>
      <c r="AH164" s="32" t="str">
        <f t="shared" si="297"/>
        <v/>
      </c>
      <c r="AI164" s="32" t="str">
        <f t="shared" si="297"/>
        <v/>
      </c>
      <c r="AJ164" s="32" t="str">
        <f t="shared" si="297"/>
        <v/>
      </c>
      <c r="AK164" s="32" t="str">
        <f t="shared" si="297"/>
        <v/>
      </c>
      <c r="AL164" s="32" t="str">
        <f t="shared" si="297"/>
        <v/>
      </c>
      <c r="AM164" s="32" t="str">
        <f t="shared" ref="AM164:AS164" si="298">IF(AM$3="","",AL164)</f>
        <v/>
      </c>
      <c r="AN164" s="32" t="str">
        <f t="shared" si="298"/>
        <v/>
      </c>
      <c r="AO164" s="32" t="str">
        <f t="shared" si="298"/>
        <v/>
      </c>
      <c r="AP164" s="32" t="str">
        <f t="shared" si="298"/>
        <v/>
      </c>
      <c r="AQ164" s="32" t="str">
        <f t="shared" si="298"/>
        <v/>
      </c>
      <c r="AR164" s="32" t="str">
        <f t="shared" si="298"/>
        <v/>
      </c>
      <c r="AS164" s="32" t="str">
        <f t="shared" si="298"/>
        <v/>
      </c>
    </row>
    <row r="165" spans="1:45">
      <c r="A165" s="7">
        <f>AVERAGE(C166:AS166)*30*100</f>
        <v>17400</v>
      </c>
      <c r="B165" s="30" t="s">
        <v>14</v>
      </c>
      <c r="C165" s="65"/>
      <c r="D165" s="29"/>
      <c r="E165" s="29"/>
      <c r="F165" s="54"/>
      <c r="G165" s="29"/>
      <c r="H165" s="29"/>
      <c r="I165" s="54"/>
      <c r="J165" s="29"/>
      <c r="K165" s="29"/>
      <c r="L165" s="54"/>
      <c r="M165" s="29"/>
      <c r="N165" s="29"/>
      <c r="O165" s="29"/>
      <c r="P165" s="54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spans="1:45">
      <c r="A166" s="7">
        <f>SUM(C166:AS166)</f>
        <v>174</v>
      </c>
      <c r="B166" s="27" t="s">
        <v>15</v>
      </c>
      <c r="C166" s="65">
        <v>0</v>
      </c>
      <c r="D166" s="26">
        <f t="shared" ref="D166:AL166" si="299">IF(D$3="","",D159-C159)</f>
        <v>0</v>
      </c>
      <c r="E166" s="26">
        <f t="shared" si="299"/>
        <v>16</v>
      </c>
      <c r="F166" s="54">
        <f t="shared" si="299"/>
        <v>0</v>
      </c>
      <c r="G166" s="26">
        <f t="shared" si="299"/>
        <v>0</v>
      </c>
      <c r="H166" s="26">
        <f t="shared" si="299"/>
        <v>13</v>
      </c>
      <c r="I166" s="54">
        <f t="shared" si="299"/>
        <v>0</v>
      </c>
      <c r="J166" s="26">
        <f t="shared" si="299"/>
        <v>0</v>
      </c>
      <c r="K166" s="26">
        <f t="shared" si="299"/>
        <v>24</v>
      </c>
      <c r="L166" s="54">
        <f t="shared" si="299"/>
        <v>0</v>
      </c>
      <c r="M166" s="26">
        <f t="shared" si="299"/>
        <v>0</v>
      </c>
      <c r="N166" s="26">
        <f t="shared" si="299"/>
        <v>0</v>
      </c>
      <c r="O166" s="26">
        <f t="shared" si="299"/>
        <v>8</v>
      </c>
      <c r="P166" s="54">
        <f t="shared" si="299"/>
        <v>0</v>
      </c>
      <c r="Q166" s="26">
        <f t="shared" si="299"/>
        <v>0</v>
      </c>
      <c r="R166" s="26">
        <f t="shared" si="299"/>
        <v>16</v>
      </c>
      <c r="S166" s="26">
        <f t="shared" si="299"/>
        <v>0</v>
      </c>
      <c r="T166" s="26">
        <f t="shared" si="299"/>
        <v>0</v>
      </c>
      <c r="U166" s="26">
        <f t="shared" si="299"/>
        <v>0</v>
      </c>
      <c r="V166" s="26">
        <f t="shared" si="299"/>
        <v>13</v>
      </c>
      <c r="W166" s="26">
        <f t="shared" si="299"/>
        <v>0</v>
      </c>
      <c r="X166" s="26">
        <f t="shared" si="299"/>
        <v>0</v>
      </c>
      <c r="Y166" s="26">
        <f t="shared" si="299"/>
        <v>47</v>
      </c>
      <c r="Z166" s="26">
        <f t="shared" si="299"/>
        <v>0</v>
      </c>
      <c r="AA166" s="26">
        <f t="shared" si="299"/>
        <v>0</v>
      </c>
      <c r="AB166" s="26">
        <f t="shared" si="299"/>
        <v>0</v>
      </c>
      <c r="AC166" s="26">
        <f t="shared" si="299"/>
        <v>10</v>
      </c>
      <c r="AD166" s="26">
        <f t="shared" si="299"/>
        <v>0</v>
      </c>
      <c r="AE166" s="26">
        <f t="shared" si="299"/>
        <v>0</v>
      </c>
      <c r="AF166" s="26">
        <f t="shared" si="299"/>
        <v>27</v>
      </c>
      <c r="AG166" s="26" t="str">
        <f t="shared" si="299"/>
        <v/>
      </c>
      <c r="AH166" s="26" t="str">
        <f t="shared" si="299"/>
        <v/>
      </c>
      <c r="AI166" s="26" t="str">
        <f t="shared" si="299"/>
        <v/>
      </c>
      <c r="AJ166" s="26" t="str">
        <f t="shared" si="299"/>
        <v/>
      </c>
      <c r="AK166" s="26" t="str">
        <f t="shared" si="299"/>
        <v/>
      </c>
      <c r="AL166" s="26" t="str">
        <f t="shared" si="299"/>
        <v/>
      </c>
      <c r="AM166" s="26" t="str">
        <f t="shared" ref="AM166:AS166" si="300">IF(AM$3="","",AM159-AL159)</f>
        <v/>
      </c>
      <c r="AN166" s="26" t="str">
        <f t="shared" si="300"/>
        <v/>
      </c>
      <c r="AO166" s="26" t="str">
        <f t="shared" si="300"/>
        <v/>
      </c>
      <c r="AP166" s="26" t="str">
        <f t="shared" si="300"/>
        <v/>
      </c>
      <c r="AQ166" s="26" t="str">
        <f t="shared" si="300"/>
        <v/>
      </c>
      <c r="AR166" s="26" t="str">
        <f t="shared" si="300"/>
        <v/>
      </c>
      <c r="AS166" s="26" t="str">
        <f t="shared" si="300"/>
        <v/>
      </c>
    </row>
    <row r="167" spans="1:45">
      <c r="A167" s="7">
        <f>SUM(C167:AS167)</f>
        <v>1</v>
      </c>
      <c r="B167" s="27" t="s">
        <v>16</v>
      </c>
      <c r="C167" s="65">
        <v>0</v>
      </c>
      <c r="D167" s="26">
        <f t="shared" ref="D167:AL167" si="301">IF(D$3="","",D160-C160)</f>
        <v>0</v>
      </c>
      <c r="E167" s="26">
        <f t="shared" si="301"/>
        <v>0</v>
      </c>
      <c r="F167" s="54">
        <f t="shared" si="301"/>
        <v>0</v>
      </c>
      <c r="G167" s="26">
        <f t="shared" si="301"/>
        <v>0</v>
      </c>
      <c r="H167" s="26">
        <f t="shared" si="301"/>
        <v>0</v>
      </c>
      <c r="I167" s="54">
        <f t="shared" si="301"/>
        <v>0</v>
      </c>
      <c r="J167" s="26">
        <f t="shared" si="301"/>
        <v>0</v>
      </c>
      <c r="K167" s="26">
        <f t="shared" si="301"/>
        <v>0</v>
      </c>
      <c r="L167" s="54">
        <f t="shared" si="301"/>
        <v>0</v>
      </c>
      <c r="M167" s="26">
        <f t="shared" si="301"/>
        <v>0</v>
      </c>
      <c r="N167" s="26">
        <f t="shared" si="301"/>
        <v>0</v>
      </c>
      <c r="O167" s="26">
        <f t="shared" si="301"/>
        <v>0</v>
      </c>
      <c r="P167" s="54">
        <f t="shared" si="301"/>
        <v>0</v>
      </c>
      <c r="Q167" s="26">
        <f t="shared" si="301"/>
        <v>0</v>
      </c>
      <c r="R167" s="26">
        <f t="shared" si="301"/>
        <v>1</v>
      </c>
      <c r="S167" s="26">
        <f t="shared" si="301"/>
        <v>0</v>
      </c>
      <c r="T167" s="26">
        <f t="shared" si="301"/>
        <v>0</v>
      </c>
      <c r="U167" s="26">
        <f t="shared" si="301"/>
        <v>0</v>
      </c>
      <c r="V167" s="26">
        <f t="shared" si="301"/>
        <v>0</v>
      </c>
      <c r="W167" s="26">
        <f t="shared" si="301"/>
        <v>0</v>
      </c>
      <c r="X167" s="26">
        <f t="shared" si="301"/>
        <v>0</v>
      </c>
      <c r="Y167" s="26">
        <f t="shared" si="301"/>
        <v>0</v>
      </c>
      <c r="Z167" s="26">
        <f t="shared" si="301"/>
        <v>0</v>
      </c>
      <c r="AA167" s="26">
        <f t="shared" si="301"/>
        <v>0</v>
      </c>
      <c r="AB167" s="26">
        <f t="shared" si="301"/>
        <v>0</v>
      </c>
      <c r="AC167" s="26">
        <f t="shared" si="301"/>
        <v>0</v>
      </c>
      <c r="AD167" s="26">
        <f t="shared" si="301"/>
        <v>0</v>
      </c>
      <c r="AE167" s="26">
        <f t="shared" si="301"/>
        <v>0</v>
      </c>
      <c r="AF167" s="26">
        <f t="shared" si="301"/>
        <v>0</v>
      </c>
      <c r="AG167" s="26" t="str">
        <f t="shared" si="301"/>
        <v/>
      </c>
      <c r="AH167" s="26" t="str">
        <f t="shared" si="301"/>
        <v/>
      </c>
      <c r="AI167" s="26" t="str">
        <f t="shared" si="301"/>
        <v/>
      </c>
      <c r="AJ167" s="26" t="str">
        <f t="shared" si="301"/>
        <v/>
      </c>
      <c r="AK167" s="26" t="str">
        <f t="shared" si="301"/>
        <v/>
      </c>
      <c r="AL167" s="26" t="str">
        <f t="shared" si="301"/>
        <v/>
      </c>
      <c r="AM167" s="26" t="str">
        <f t="shared" ref="AM167:AS167" si="302">IF(AM$3="","",AM160-AL160)</f>
        <v/>
      </c>
      <c r="AN167" s="26" t="str">
        <f t="shared" si="302"/>
        <v/>
      </c>
      <c r="AO167" s="26" t="str">
        <f t="shared" si="302"/>
        <v/>
      </c>
      <c r="AP167" s="26" t="str">
        <f t="shared" si="302"/>
        <v/>
      </c>
      <c r="AQ167" s="26" t="str">
        <f t="shared" si="302"/>
        <v/>
      </c>
      <c r="AR167" s="26" t="str">
        <f t="shared" si="302"/>
        <v/>
      </c>
      <c r="AS167" s="26" t="str">
        <f t="shared" si="302"/>
        <v/>
      </c>
    </row>
    <row r="168" spans="1:45">
      <c r="A168" s="7">
        <f>SUM(C168:AS168)</f>
        <v>1</v>
      </c>
      <c r="B168" s="27" t="s">
        <v>17</v>
      </c>
      <c r="C168" s="65">
        <v>0</v>
      </c>
      <c r="D168" s="26">
        <f t="shared" ref="D168:AL168" si="303">IF(D$3="","",C161+C162-D161)</f>
        <v>0</v>
      </c>
      <c r="E168" s="26">
        <f t="shared" si="303"/>
        <v>0</v>
      </c>
      <c r="F168" s="54">
        <f t="shared" si="303"/>
        <v>0</v>
      </c>
      <c r="G168" s="26">
        <f t="shared" si="303"/>
        <v>0</v>
      </c>
      <c r="H168" s="26">
        <f t="shared" si="303"/>
        <v>0</v>
      </c>
      <c r="I168" s="54">
        <f t="shared" si="303"/>
        <v>0</v>
      </c>
      <c r="J168" s="26">
        <f t="shared" si="303"/>
        <v>0</v>
      </c>
      <c r="K168" s="26">
        <f t="shared" si="303"/>
        <v>0</v>
      </c>
      <c r="L168" s="54">
        <f t="shared" si="303"/>
        <v>0</v>
      </c>
      <c r="M168" s="26">
        <f t="shared" si="303"/>
        <v>0</v>
      </c>
      <c r="N168" s="26">
        <f t="shared" si="303"/>
        <v>0</v>
      </c>
      <c r="O168" s="26">
        <f t="shared" si="303"/>
        <v>0</v>
      </c>
      <c r="P168" s="54">
        <f t="shared" si="303"/>
        <v>0</v>
      </c>
      <c r="Q168" s="26">
        <f t="shared" si="303"/>
        <v>0</v>
      </c>
      <c r="R168" s="26">
        <f t="shared" si="303"/>
        <v>1</v>
      </c>
      <c r="S168" s="26">
        <f t="shared" si="303"/>
        <v>0</v>
      </c>
      <c r="T168" s="26">
        <f t="shared" si="303"/>
        <v>0</v>
      </c>
      <c r="U168" s="26">
        <f t="shared" si="303"/>
        <v>0</v>
      </c>
      <c r="V168" s="26">
        <f t="shared" si="303"/>
        <v>0</v>
      </c>
      <c r="W168" s="26">
        <f t="shared" si="303"/>
        <v>0</v>
      </c>
      <c r="X168" s="26">
        <f t="shared" si="303"/>
        <v>0</v>
      </c>
      <c r="Y168" s="26">
        <f t="shared" si="303"/>
        <v>0</v>
      </c>
      <c r="Z168" s="26">
        <f t="shared" si="303"/>
        <v>0</v>
      </c>
      <c r="AA168" s="26">
        <f t="shared" si="303"/>
        <v>0</v>
      </c>
      <c r="AB168" s="26">
        <f t="shared" si="303"/>
        <v>0</v>
      </c>
      <c r="AC168" s="26">
        <f t="shared" si="303"/>
        <v>0</v>
      </c>
      <c r="AD168" s="26">
        <f t="shared" si="303"/>
        <v>0</v>
      </c>
      <c r="AE168" s="26">
        <f t="shared" si="303"/>
        <v>0</v>
      </c>
      <c r="AF168" s="26">
        <f t="shared" si="303"/>
        <v>0</v>
      </c>
      <c r="AG168" s="26" t="str">
        <f t="shared" si="303"/>
        <v/>
      </c>
      <c r="AH168" s="26" t="str">
        <f t="shared" si="303"/>
        <v/>
      </c>
      <c r="AI168" s="26" t="str">
        <f t="shared" si="303"/>
        <v/>
      </c>
      <c r="AJ168" s="26" t="str">
        <f t="shared" si="303"/>
        <v/>
      </c>
      <c r="AK168" s="26" t="str">
        <f t="shared" si="303"/>
        <v/>
      </c>
      <c r="AL168" s="26" t="str">
        <f t="shared" si="303"/>
        <v/>
      </c>
      <c r="AM168" s="26" t="str">
        <f t="shared" ref="AM168:AS168" si="304">IF(AM$3="","",AL161+AL162-AM161)</f>
        <v/>
      </c>
      <c r="AN168" s="26" t="str">
        <f t="shared" si="304"/>
        <v/>
      </c>
      <c r="AO168" s="26" t="str">
        <f t="shared" si="304"/>
        <v/>
      </c>
      <c r="AP168" s="26" t="str">
        <f t="shared" si="304"/>
        <v/>
      </c>
      <c r="AQ168" s="26" t="str">
        <f t="shared" si="304"/>
        <v/>
      </c>
      <c r="AR168" s="26" t="str">
        <f t="shared" si="304"/>
        <v/>
      </c>
      <c r="AS168" s="26" t="str">
        <f t="shared" si="304"/>
        <v/>
      </c>
    </row>
    <row r="169" spans="1:45">
      <c r="A169" s="7">
        <f>SUM(C169:AS169)</f>
        <v>750</v>
      </c>
      <c r="B169" s="27" t="s">
        <v>18</v>
      </c>
      <c r="C169" s="65">
        <v>0</v>
      </c>
      <c r="D169" s="26">
        <f t="shared" ref="D169:AL169" si="305">IF(D$3="","",D168*D163)</f>
        <v>0</v>
      </c>
      <c r="E169" s="26">
        <f t="shared" si="305"/>
        <v>0</v>
      </c>
      <c r="F169" s="54">
        <f t="shared" si="305"/>
        <v>0</v>
      </c>
      <c r="G169" s="26">
        <f t="shared" si="305"/>
        <v>0</v>
      </c>
      <c r="H169" s="26">
        <f t="shared" si="305"/>
        <v>0</v>
      </c>
      <c r="I169" s="54">
        <f t="shared" si="305"/>
        <v>0</v>
      </c>
      <c r="J169" s="26">
        <f t="shared" si="305"/>
        <v>0</v>
      </c>
      <c r="K169" s="26">
        <f t="shared" si="305"/>
        <v>0</v>
      </c>
      <c r="L169" s="54">
        <f t="shared" si="305"/>
        <v>0</v>
      </c>
      <c r="M169" s="26">
        <f t="shared" si="305"/>
        <v>0</v>
      </c>
      <c r="N169" s="26">
        <f t="shared" si="305"/>
        <v>0</v>
      </c>
      <c r="O169" s="26">
        <f t="shared" si="305"/>
        <v>0</v>
      </c>
      <c r="P169" s="54">
        <f t="shared" si="305"/>
        <v>0</v>
      </c>
      <c r="Q169" s="26">
        <f t="shared" si="305"/>
        <v>0</v>
      </c>
      <c r="R169" s="26">
        <f t="shared" si="305"/>
        <v>750</v>
      </c>
      <c r="S169" s="26">
        <f t="shared" si="305"/>
        <v>0</v>
      </c>
      <c r="T169" s="26">
        <f t="shared" si="305"/>
        <v>0</v>
      </c>
      <c r="U169" s="26">
        <f t="shared" si="305"/>
        <v>0</v>
      </c>
      <c r="V169" s="26">
        <f t="shared" si="305"/>
        <v>0</v>
      </c>
      <c r="W169" s="26">
        <f t="shared" si="305"/>
        <v>0</v>
      </c>
      <c r="X169" s="26">
        <f t="shared" si="305"/>
        <v>0</v>
      </c>
      <c r="Y169" s="26">
        <f t="shared" si="305"/>
        <v>0</v>
      </c>
      <c r="Z169" s="26">
        <f t="shared" si="305"/>
        <v>0</v>
      </c>
      <c r="AA169" s="26">
        <f t="shared" si="305"/>
        <v>0</v>
      </c>
      <c r="AB169" s="26">
        <f t="shared" si="305"/>
        <v>0</v>
      </c>
      <c r="AC169" s="26">
        <f t="shared" si="305"/>
        <v>0</v>
      </c>
      <c r="AD169" s="26">
        <f t="shared" si="305"/>
        <v>0</v>
      </c>
      <c r="AE169" s="26">
        <f t="shared" si="305"/>
        <v>0</v>
      </c>
      <c r="AF169" s="26">
        <f t="shared" si="305"/>
        <v>0</v>
      </c>
      <c r="AG169" s="26" t="str">
        <f t="shared" si="305"/>
        <v/>
      </c>
      <c r="AH169" s="26" t="str">
        <f t="shared" si="305"/>
        <v/>
      </c>
      <c r="AI169" s="26" t="str">
        <f t="shared" si="305"/>
        <v/>
      </c>
      <c r="AJ169" s="26" t="str">
        <f t="shared" si="305"/>
        <v/>
      </c>
      <c r="AK169" s="26" t="str">
        <f t="shared" si="305"/>
        <v/>
      </c>
      <c r="AL169" s="26" t="str">
        <f t="shared" si="305"/>
        <v/>
      </c>
      <c r="AM169" s="26" t="str">
        <f t="shared" ref="AM169:AS169" si="306">IF(AM$3="","",AM168*AM163)</f>
        <v/>
      </c>
      <c r="AN169" s="26" t="str">
        <f t="shared" si="306"/>
        <v/>
      </c>
      <c r="AO169" s="26" t="str">
        <f t="shared" si="306"/>
        <v/>
      </c>
      <c r="AP169" s="26" t="str">
        <f t="shared" si="306"/>
        <v/>
      </c>
      <c r="AQ169" s="26" t="str">
        <f t="shared" si="306"/>
        <v/>
      </c>
      <c r="AR169" s="26" t="str">
        <f t="shared" si="306"/>
        <v/>
      </c>
      <c r="AS169" s="26" t="str">
        <f t="shared" si="306"/>
        <v/>
      </c>
    </row>
    <row r="170" spans="1:45" ht="12" thickBot="1">
      <c r="A170" s="4">
        <f>IF(A169="","",A169/(A166*100))</f>
        <v>4.3103448275862072E-2</v>
      </c>
      <c r="B170" s="27" t="s">
        <v>20</v>
      </c>
      <c r="C170" s="68" t="s">
        <v>21</v>
      </c>
      <c r="D170" s="44" t="str">
        <f t="shared" ref="D170:AL170" si="307">IF(D$3="","",IF(D169=0,"",D169/(D166*100)))</f>
        <v/>
      </c>
      <c r="E170" s="44" t="str">
        <f t="shared" si="307"/>
        <v/>
      </c>
      <c r="F170" s="132" t="str">
        <f t="shared" si="307"/>
        <v/>
      </c>
      <c r="G170" s="44" t="str">
        <f t="shared" si="307"/>
        <v/>
      </c>
      <c r="H170" s="44" t="str">
        <f t="shared" si="307"/>
        <v/>
      </c>
      <c r="I170" s="132" t="str">
        <f t="shared" si="307"/>
        <v/>
      </c>
      <c r="J170" s="44" t="str">
        <f t="shared" si="307"/>
        <v/>
      </c>
      <c r="K170" s="44" t="str">
        <f t="shared" si="307"/>
        <v/>
      </c>
      <c r="L170" s="132" t="str">
        <f t="shared" si="307"/>
        <v/>
      </c>
      <c r="M170" s="44" t="str">
        <f t="shared" si="307"/>
        <v/>
      </c>
      <c r="N170" s="44" t="str">
        <f t="shared" si="307"/>
        <v/>
      </c>
      <c r="O170" s="44" t="str">
        <f t="shared" si="307"/>
        <v/>
      </c>
      <c r="P170" s="132" t="str">
        <f t="shared" si="307"/>
        <v/>
      </c>
      <c r="Q170" s="44" t="str">
        <f t="shared" si="307"/>
        <v/>
      </c>
      <c r="R170" s="44">
        <f t="shared" si="307"/>
        <v>0.46875</v>
      </c>
      <c r="S170" s="44" t="str">
        <f t="shared" si="307"/>
        <v/>
      </c>
      <c r="T170" s="44" t="str">
        <f t="shared" si="307"/>
        <v/>
      </c>
      <c r="U170" s="44" t="str">
        <f t="shared" si="307"/>
        <v/>
      </c>
      <c r="V170" s="44" t="str">
        <f t="shared" si="307"/>
        <v/>
      </c>
      <c r="W170" s="44" t="str">
        <f t="shared" si="307"/>
        <v/>
      </c>
      <c r="X170" s="44" t="str">
        <f t="shared" si="307"/>
        <v/>
      </c>
      <c r="Y170" s="44" t="str">
        <f t="shared" si="307"/>
        <v/>
      </c>
      <c r="Z170" s="44" t="str">
        <f t="shared" si="307"/>
        <v/>
      </c>
      <c r="AA170" s="44" t="str">
        <f t="shared" si="307"/>
        <v/>
      </c>
      <c r="AB170" s="44" t="str">
        <f t="shared" si="307"/>
        <v/>
      </c>
      <c r="AC170" s="44" t="str">
        <f t="shared" si="307"/>
        <v/>
      </c>
      <c r="AD170" s="44" t="str">
        <f t="shared" si="307"/>
        <v/>
      </c>
      <c r="AE170" s="44" t="str">
        <f t="shared" si="307"/>
        <v/>
      </c>
      <c r="AF170" s="44" t="str">
        <f t="shared" si="307"/>
        <v/>
      </c>
      <c r="AG170" s="44" t="str">
        <f t="shared" si="307"/>
        <v/>
      </c>
      <c r="AH170" s="44" t="str">
        <f t="shared" si="307"/>
        <v/>
      </c>
      <c r="AI170" s="44" t="str">
        <f t="shared" si="307"/>
        <v/>
      </c>
      <c r="AJ170" s="44" t="str">
        <f t="shared" si="307"/>
        <v/>
      </c>
      <c r="AK170" s="44" t="str">
        <f t="shared" si="307"/>
        <v/>
      </c>
      <c r="AL170" s="44" t="str">
        <f t="shared" si="307"/>
        <v/>
      </c>
      <c r="AM170" s="44" t="str">
        <f t="shared" ref="AM170:AS170" si="308">IF(AM$3="","",IF(AM169=0,"",AM169/(AM166*100)))</f>
        <v/>
      </c>
      <c r="AN170" s="44" t="str">
        <f t="shared" si="308"/>
        <v/>
      </c>
      <c r="AO170" s="44" t="str">
        <f t="shared" si="308"/>
        <v/>
      </c>
      <c r="AP170" s="44" t="str">
        <f t="shared" si="308"/>
        <v/>
      </c>
      <c r="AQ170" s="44" t="str">
        <f t="shared" si="308"/>
        <v/>
      </c>
      <c r="AR170" s="44" t="str">
        <f t="shared" si="308"/>
        <v/>
      </c>
      <c r="AS170" s="44" t="str">
        <f t="shared" si="308"/>
        <v/>
      </c>
    </row>
    <row r="171" spans="1:45">
      <c r="A171" s="17" t="s">
        <v>1</v>
      </c>
      <c r="B171" s="42" t="s">
        <v>2</v>
      </c>
      <c r="C171" s="64">
        <v>5740</v>
      </c>
      <c r="D171" s="35">
        <f>IF(D$3="","",C171)</f>
        <v>5740</v>
      </c>
      <c r="E171" s="35">
        <v>5832</v>
      </c>
      <c r="F171" s="128">
        <f>IF(F$3="","",E171)</f>
        <v>5832</v>
      </c>
      <c r="G171" s="35">
        <f>IF(G$3="","",F171)</f>
        <v>5832</v>
      </c>
      <c r="H171" s="35">
        <v>5859</v>
      </c>
      <c r="I171" s="128">
        <f>IF(I$3="","",H171)</f>
        <v>5859</v>
      </c>
      <c r="J171" s="35">
        <f>IF(J$3="","",I171)</f>
        <v>5859</v>
      </c>
      <c r="K171" s="35">
        <v>5983</v>
      </c>
      <c r="L171" s="128">
        <f t="shared" ref="L171:N172" si="309">IF(L$3="","",K171)</f>
        <v>5983</v>
      </c>
      <c r="M171" s="35">
        <f t="shared" si="309"/>
        <v>5983</v>
      </c>
      <c r="N171" s="35">
        <f t="shared" si="309"/>
        <v>5983</v>
      </c>
      <c r="O171" s="35">
        <v>6053</v>
      </c>
      <c r="P171" s="128">
        <f>IF(P$3="","",O171)</f>
        <v>6053</v>
      </c>
      <c r="Q171" s="35">
        <f>IF(Q$3="","",P171)</f>
        <v>6053</v>
      </c>
      <c r="R171" s="35">
        <v>6113</v>
      </c>
      <c r="S171" s="35">
        <f t="shared" ref="S171:AL171" si="310">IF(S$3="","",R171)</f>
        <v>6113</v>
      </c>
      <c r="T171" s="35">
        <f t="shared" si="310"/>
        <v>6113</v>
      </c>
      <c r="U171" s="35">
        <f t="shared" si="310"/>
        <v>6113</v>
      </c>
      <c r="V171" s="35">
        <v>6148</v>
      </c>
      <c r="W171" s="35">
        <f t="shared" si="310"/>
        <v>6148</v>
      </c>
      <c r="X171" s="35">
        <f t="shared" si="310"/>
        <v>6148</v>
      </c>
      <c r="Y171" s="35">
        <v>6178</v>
      </c>
      <c r="Z171" s="35">
        <f t="shared" si="310"/>
        <v>6178</v>
      </c>
      <c r="AA171" s="35">
        <f t="shared" si="310"/>
        <v>6178</v>
      </c>
      <c r="AB171" s="35">
        <f t="shared" si="310"/>
        <v>6178</v>
      </c>
      <c r="AC171" s="35">
        <v>6184</v>
      </c>
      <c r="AD171" s="35">
        <f t="shared" si="310"/>
        <v>6184</v>
      </c>
      <c r="AE171" s="35">
        <f t="shared" si="310"/>
        <v>6184</v>
      </c>
      <c r="AF171" s="35">
        <v>6214</v>
      </c>
      <c r="AG171" s="35" t="str">
        <f t="shared" si="310"/>
        <v/>
      </c>
      <c r="AH171" s="35" t="str">
        <f t="shared" si="310"/>
        <v/>
      </c>
      <c r="AI171" s="35" t="str">
        <f t="shared" si="310"/>
        <v/>
      </c>
      <c r="AJ171" s="35" t="str">
        <f t="shared" si="310"/>
        <v/>
      </c>
      <c r="AK171" s="35" t="str">
        <f t="shared" si="310"/>
        <v/>
      </c>
      <c r="AL171" s="35" t="str">
        <f t="shared" si="310"/>
        <v/>
      </c>
      <c r="AM171" s="35" t="str">
        <f t="shared" ref="AM171:AS171" si="311">IF(AM$3="","",AL171)</f>
        <v/>
      </c>
      <c r="AN171" s="35" t="str">
        <f t="shared" si="311"/>
        <v/>
      </c>
      <c r="AO171" s="35" t="str">
        <f t="shared" si="311"/>
        <v/>
      </c>
      <c r="AP171" s="35" t="str">
        <f t="shared" si="311"/>
        <v/>
      </c>
      <c r="AQ171" s="35" t="str">
        <f t="shared" si="311"/>
        <v/>
      </c>
      <c r="AR171" s="35" t="str">
        <f t="shared" si="311"/>
        <v/>
      </c>
      <c r="AS171" s="35" t="str">
        <f t="shared" si="311"/>
        <v/>
      </c>
    </row>
    <row r="172" spans="1:45">
      <c r="A172" s="16" t="s">
        <v>44</v>
      </c>
      <c r="B172" s="30" t="s">
        <v>4</v>
      </c>
      <c r="C172" s="65">
        <v>87</v>
      </c>
      <c r="D172" s="29">
        <f>IF(D$3="","",C172)</f>
        <v>87</v>
      </c>
      <c r="E172" s="29">
        <v>88</v>
      </c>
      <c r="F172" s="54">
        <f>IF(F$3="","",E172)</f>
        <v>88</v>
      </c>
      <c r="G172" s="29">
        <f>IF(G$3="","",F172)</f>
        <v>88</v>
      </c>
      <c r="H172" s="29">
        <v>89</v>
      </c>
      <c r="I172" s="54">
        <f>IF(I$3="","",H172)</f>
        <v>89</v>
      </c>
      <c r="J172" s="29">
        <f>IF(J$3="","",I172)</f>
        <v>89</v>
      </c>
      <c r="K172" s="29">
        <v>92</v>
      </c>
      <c r="L172" s="54">
        <f t="shared" si="309"/>
        <v>92</v>
      </c>
      <c r="M172" s="29">
        <f t="shared" si="309"/>
        <v>92</v>
      </c>
      <c r="N172" s="29">
        <f t="shared" si="309"/>
        <v>92</v>
      </c>
      <c r="O172" s="29">
        <f>IF(O$3="","",N172)</f>
        <v>92</v>
      </c>
      <c r="P172" s="54">
        <f>IF(P$3="","",O172)</f>
        <v>92</v>
      </c>
      <c r="Q172" s="29">
        <f>IF(Q$3="","",P172)</f>
        <v>92</v>
      </c>
      <c r="R172" s="29">
        <v>93</v>
      </c>
      <c r="S172" s="29">
        <f t="shared" ref="S172:AL172" si="312">IF(S$3="","",R172)</f>
        <v>93</v>
      </c>
      <c r="T172" s="29">
        <f t="shared" si="312"/>
        <v>93</v>
      </c>
      <c r="U172" s="29">
        <f t="shared" si="312"/>
        <v>93</v>
      </c>
      <c r="V172" s="29">
        <v>94</v>
      </c>
      <c r="W172" s="29">
        <f t="shared" si="312"/>
        <v>94</v>
      </c>
      <c r="X172" s="29">
        <f t="shared" si="312"/>
        <v>94</v>
      </c>
      <c r="Y172" s="29">
        <v>96</v>
      </c>
      <c r="Z172" s="29">
        <f t="shared" si="312"/>
        <v>96</v>
      </c>
      <c r="AA172" s="29">
        <f t="shared" si="312"/>
        <v>96</v>
      </c>
      <c r="AB172" s="29">
        <f t="shared" si="312"/>
        <v>96</v>
      </c>
      <c r="AC172" s="29">
        <f t="shared" si="312"/>
        <v>96</v>
      </c>
      <c r="AD172" s="29">
        <f t="shared" si="312"/>
        <v>96</v>
      </c>
      <c r="AE172" s="29">
        <f t="shared" si="312"/>
        <v>96</v>
      </c>
      <c r="AF172" s="29">
        <f t="shared" si="312"/>
        <v>96</v>
      </c>
      <c r="AG172" s="29" t="str">
        <f t="shared" si="312"/>
        <v/>
      </c>
      <c r="AH172" s="29" t="str">
        <f t="shared" si="312"/>
        <v/>
      </c>
      <c r="AI172" s="29" t="str">
        <f t="shared" si="312"/>
        <v/>
      </c>
      <c r="AJ172" s="29" t="str">
        <f t="shared" si="312"/>
        <v/>
      </c>
      <c r="AK172" s="29" t="str">
        <f t="shared" si="312"/>
        <v/>
      </c>
      <c r="AL172" s="29" t="str">
        <f t="shared" si="312"/>
        <v/>
      </c>
      <c r="AM172" s="29" t="str">
        <f t="shared" ref="AM172:AS172" si="313">IF(AM$3="","",AL172)</f>
        <v/>
      </c>
      <c r="AN172" s="29" t="str">
        <f t="shared" si="313"/>
        <v/>
      </c>
      <c r="AO172" s="29" t="str">
        <f t="shared" si="313"/>
        <v/>
      </c>
      <c r="AP172" s="29" t="str">
        <f t="shared" si="313"/>
        <v/>
      </c>
      <c r="AQ172" s="29" t="str">
        <f t="shared" si="313"/>
        <v/>
      </c>
      <c r="AR172" s="29" t="str">
        <f t="shared" si="313"/>
        <v/>
      </c>
      <c r="AS172" s="29" t="str">
        <f t="shared" si="313"/>
        <v/>
      </c>
    </row>
    <row r="173" spans="1:45">
      <c r="A173" s="15">
        <v>3</v>
      </c>
      <c r="B173" s="30" t="s">
        <v>5</v>
      </c>
      <c r="C173" s="65">
        <v>14</v>
      </c>
      <c r="D173" s="29">
        <f>IF(D$3="","",(C173+C174))</f>
        <v>14</v>
      </c>
      <c r="E173" s="29">
        <v>13</v>
      </c>
      <c r="F173" s="54">
        <f>IF(F$3="","",(E173+E174))</f>
        <v>16</v>
      </c>
      <c r="G173" s="29">
        <f>IF(G$3="","",(F173+F174))</f>
        <v>16</v>
      </c>
      <c r="H173" s="29">
        <v>15</v>
      </c>
      <c r="I173" s="54">
        <f>IF(I$3="","",(H173+H174))</f>
        <v>15</v>
      </c>
      <c r="J173" s="29">
        <f>IF(J$3="","",(I173+I174))</f>
        <v>15</v>
      </c>
      <c r="K173" s="29">
        <v>12</v>
      </c>
      <c r="L173" s="54">
        <f t="shared" ref="L173:Q173" si="314">IF(L$3="","",(K173+K174))</f>
        <v>15</v>
      </c>
      <c r="M173" s="29">
        <f t="shared" si="314"/>
        <v>15</v>
      </c>
      <c r="N173" s="29">
        <f t="shared" si="314"/>
        <v>15</v>
      </c>
      <c r="O173" s="29">
        <f t="shared" si="314"/>
        <v>15</v>
      </c>
      <c r="P173" s="54">
        <f t="shared" si="314"/>
        <v>15</v>
      </c>
      <c r="Q173" s="29">
        <f t="shared" si="314"/>
        <v>15</v>
      </c>
      <c r="R173" s="29">
        <v>14</v>
      </c>
      <c r="S173" s="29">
        <f t="shared" ref="S173:AL173" si="315">IF(S$3="","",(R173+R174))</f>
        <v>14</v>
      </c>
      <c r="T173" s="29">
        <f t="shared" si="315"/>
        <v>14</v>
      </c>
      <c r="U173" s="29">
        <f t="shared" si="315"/>
        <v>14</v>
      </c>
      <c r="V173" s="29">
        <v>13</v>
      </c>
      <c r="W173" s="29">
        <f t="shared" si="315"/>
        <v>13</v>
      </c>
      <c r="X173" s="29">
        <f t="shared" si="315"/>
        <v>13</v>
      </c>
      <c r="Y173" s="29">
        <v>12</v>
      </c>
      <c r="Z173" s="29">
        <f t="shared" si="315"/>
        <v>12</v>
      </c>
      <c r="AA173" s="29">
        <f t="shared" si="315"/>
        <v>12</v>
      </c>
      <c r="AB173" s="29">
        <f t="shared" si="315"/>
        <v>12</v>
      </c>
      <c r="AC173" s="29">
        <f t="shared" si="315"/>
        <v>12</v>
      </c>
      <c r="AD173" s="29">
        <f t="shared" si="315"/>
        <v>12</v>
      </c>
      <c r="AE173" s="29">
        <f t="shared" si="315"/>
        <v>12</v>
      </c>
      <c r="AF173" s="29">
        <f t="shared" si="315"/>
        <v>12</v>
      </c>
      <c r="AG173" s="29" t="str">
        <f t="shared" si="315"/>
        <v/>
      </c>
      <c r="AH173" s="29" t="str">
        <f t="shared" si="315"/>
        <v/>
      </c>
      <c r="AI173" s="29" t="str">
        <f t="shared" si="315"/>
        <v/>
      </c>
      <c r="AJ173" s="29" t="str">
        <f t="shared" si="315"/>
        <v/>
      </c>
      <c r="AK173" s="29" t="str">
        <f t="shared" si="315"/>
        <v/>
      </c>
      <c r="AL173" s="29" t="str">
        <f t="shared" si="315"/>
        <v/>
      </c>
      <c r="AM173" s="29" t="str">
        <f t="shared" ref="AM173:AS173" si="316">IF(AM$3="","",(AL173+AL174))</f>
        <v/>
      </c>
      <c r="AN173" s="29" t="str">
        <f t="shared" si="316"/>
        <v/>
      </c>
      <c r="AO173" s="29" t="str">
        <f t="shared" si="316"/>
        <v/>
      </c>
      <c r="AP173" s="29" t="str">
        <f t="shared" si="316"/>
        <v/>
      </c>
      <c r="AQ173" s="29" t="str">
        <f t="shared" si="316"/>
        <v/>
      </c>
      <c r="AR173" s="29" t="str">
        <f t="shared" si="316"/>
        <v/>
      </c>
      <c r="AS173" s="29" t="str">
        <f t="shared" si="316"/>
        <v/>
      </c>
    </row>
    <row r="174" spans="1:45">
      <c r="A174" s="14"/>
      <c r="B174" s="30" t="s">
        <v>7</v>
      </c>
      <c r="C174" s="65"/>
      <c r="D174" s="29"/>
      <c r="E174" s="29">
        <v>3</v>
      </c>
      <c r="F174" s="54"/>
      <c r="G174" s="29"/>
      <c r="H174" s="29"/>
      <c r="I174" s="54"/>
      <c r="J174" s="29"/>
      <c r="K174" s="29">
        <v>3</v>
      </c>
      <c r="L174" s="54"/>
      <c r="M174" s="29"/>
      <c r="N174" s="29"/>
      <c r="O174" s="29"/>
      <c r="P174" s="54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 spans="1:45">
      <c r="A175" s="7"/>
      <c r="B175" s="30" t="s">
        <v>8</v>
      </c>
      <c r="C175" s="64">
        <v>700</v>
      </c>
      <c r="D175" s="35">
        <f t="shared" ref="D175:AL175" si="317">IF(D$3="","",C175)</f>
        <v>700</v>
      </c>
      <c r="E175" s="35">
        <f t="shared" si="317"/>
        <v>700</v>
      </c>
      <c r="F175" s="128">
        <f t="shared" si="317"/>
        <v>700</v>
      </c>
      <c r="G175" s="35">
        <f t="shared" si="317"/>
        <v>700</v>
      </c>
      <c r="H175" s="35">
        <f t="shared" si="317"/>
        <v>700</v>
      </c>
      <c r="I175" s="128">
        <f t="shared" si="317"/>
        <v>700</v>
      </c>
      <c r="J175" s="35">
        <f t="shared" si="317"/>
        <v>700</v>
      </c>
      <c r="K175" s="35">
        <f t="shared" si="317"/>
        <v>700</v>
      </c>
      <c r="L175" s="128">
        <f t="shared" si="317"/>
        <v>700</v>
      </c>
      <c r="M175" s="35">
        <f t="shared" si="317"/>
        <v>700</v>
      </c>
      <c r="N175" s="35">
        <f t="shared" si="317"/>
        <v>700</v>
      </c>
      <c r="O175" s="35">
        <f t="shared" si="317"/>
        <v>700</v>
      </c>
      <c r="P175" s="128">
        <f t="shared" si="317"/>
        <v>700</v>
      </c>
      <c r="Q175" s="35">
        <f t="shared" si="317"/>
        <v>700</v>
      </c>
      <c r="R175" s="35">
        <f t="shared" si="317"/>
        <v>700</v>
      </c>
      <c r="S175" s="35">
        <f t="shared" si="317"/>
        <v>700</v>
      </c>
      <c r="T175" s="35">
        <f t="shared" si="317"/>
        <v>700</v>
      </c>
      <c r="U175" s="35">
        <f t="shared" si="317"/>
        <v>700</v>
      </c>
      <c r="V175" s="35">
        <f t="shared" si="317"/>
        <v>700</v>
      </c>
      <c r="W175" s="35">
        <f t="shared" si="317"/>
        <v>700</v>
      </c>
      <c r="X175" s="35">
        <f t="shared" si="317"/>
        <v>700</v>
      </c>
      <c r="Y175" s="35">
        <f t="shared" si="317"/>
        <v>700</v>
      </c>
      <c r="Z175" s="35">
        <f t="shared" si="317"/>
        <v>700</v>
      </c>
      <c r="AA175" s="35">
        <f t="shared" si="317"/>
        <v>700</v>
      </c>
      <c r="AB175" s="35">
        <f t="shared" si="317"/>
        <v>700</v>
      </c>
      <c r="AC175" s="35">
        <f t="shared" si="317"/>
        <v>700</v>
      </c>
      <c r="AD175" s="35">
        <f t="shared" si="317"/>
        <v>700</v>
      </c>
      <c r="AE175" s="35">
        <f t="shared" si="317"/>
        <v>700</v>
      </c>
      <c r="AF175" s="35">
        <f t="shared" si="317"/>
        <v>700</v>
      </c>
      <c r="AG175" s="35" t="str">
        <f t="shared" si="317"/>
        <v/>
      </c>
      <c r="AH175" s="35" t="str">
        <f t="shared" si="317"/>
        <v/>
      </c>
      <c r="AI175" s="35" t="str">
        <f t="shared" si="317"/>
        <v/>
      </c>
      <c r="AJ175" s="35" t="str">
        <f t="shared" si="317"/>
        <v/>
      </c>
      <c r="AK175" s="35" t="str">
        <f t="shared" si="317"/>
        <v/>
      </c>
      <c r="AL175" s="35" t="str">
        <f t="shared" si="317"/>
        <v/>
      </c>
      <c r="AM175" s="35" t="str">
        <f t="shared" ref="AM175:AS175" si="318">IF(AM$3="","",AL175)</f>
        <v/>
      </c>
      <c r="AN175" s="35" t="str">
        <f t="shared" si="318"/>
        <v/>
      </c>
      <c r="AO175" s="35" t="str">
        <f t="shared" si="318"/>
        <v/>
      </c>
      <c r="AP175" s="35" t="str">
        <f t="shared" si="318"/>
        <v/>
      </c>
      <c r="AQ175" s="35" t="str">
        <f t="shared" si="318"/>
        <v/>
      </c>
      <c r="AR175" s="35" t="str">
        <f t="shared" si="318"/>
        <v/>
      </c>
      <c r="AS175" s="35" t="str">
        <f t="shared" si="318"/>
        <v/>
      </c>
    </row>
    <row r="176" spans="1:45" s="94" customFormat="1">
      <c r="A176" s="14" t="s">
        <v>9</v>
      </c>
      <c r="B176" s="33" t="s">
        <v>10</v>
      </c>
      <c r="C176" s="63" t="s">
        <v>48</v>
      </c>
      <c r="D176" s="32" t="str">
        <f t="shared" ref="D176:AL176" si="319">IF(D$3="","",C176)</f>
        <v>アンパンマンマスコット</v>
      </c>
      <c r="E176" s="32" t="str">
        <f t="shared" si="319"/>
        <v>アンパンマンマスコット</v>
      </c>
      <c r="F176" s="129" t="str">
        <f t="shared" si="319"/>
        <v>アンパンマンマスコット</v>
      </c>
      <c r="G176" s="32" t="str">
        <f t="shared" si="319"/>
        <v>アンパンマンマスコット</v>
      </c>
      <c r="H176" s="32" t="str">
        <f t="shared" si="319"/>
        <v>アンパンマンマスコット</v>
      </c>
      <c r="I176" s="129" t="str">
        <f t="shared" si="319"/>
        <v>アンパンマンマスコット</v>
      </c>
      <c r="J176" s="32" t="str">
        <f t="shared" si="319"/>
        <v>アンパンマンマスコット</v>
      </c>
      <c r="K176" s="32" t="str">
        <f t="shared" si="319"/>
        <v>アンパンマンマスコット</v>
      </c>
      <c r="L176" s="129" t="str">
        <f t="shared" si="319"/>
        <v>アンパンマンマスコット</v>
      </c>
      <c r="M176" s="32" t="str">
        <f t="shared" si="319"/>
        <v>アンパンマンマスコット</v>
      </c>
      <c r="N176" s="32" t="str">
        <f t="shared" si="319"/>
        <v>アンパンマンマスコット</v>
      </c>
      <c r="O176" s="32" t="str">
        <f t="shared" si="319"/>
        <v>アンパンマンマスコット</v>
      </c>
      <c r="P176" s="129" t="str">
        <f t="shared" si="319"/>
        <v>アンパンマンマスコット</v>
      </c>
      <c r="Q176" s="32" t="str">
        <f t="shared" si="319"/>
        <v>アンパンマンマスコット</v>
      </c>
      <c r="R176" s="32" t="str">
        <f t="shared" si="319"/>
        <v>アンパンマンマスコット</v>
      </c>
      <c r="S176" s="32" t="str">
        <f t="shared" si="319"/>
        <v>アンパンマンマスコット</v>
      </c>
      <c r="T176" s="32" t="str">
        <f t="shared" si="319"/>
        <v>アンパンマンマスコット</v>
      </c>
      <c r="U176" s="32" t="str">
        <f t="shared" si="319"/>
        <v>アンパンマンマスコット</v>
      </c>
      <c r="V176" s="32" t="str">
        <f t="shared" si="319"/>
        <v>アンパンマンマスコット</v>
      </c>
      <c r="W176" s="32" t="str">
        <f t="shared" si="319"/>
        <v>アンパンマンマスコット</v>
      </c>
      <c r="X176" s="32" t="str">
        <f t="shared" si="319"/>
        <v>アンパンマンマスコット</v>
      </c>
      <c r="Y176" s="32" t="str">
        <f t="shared" si="319"/>
        <v>アンパンマンマスコット</v>
      </c>
      <c r="Z176" s="32" t="str">
        <f t="shared" si="319"/>
        <v>アンパンマンマスコット</v>
      </c>
      <c r="AA176" s="32" t="str">
        <f t="shared" si="319"/>
        <v>アンパンマンマスコット</v>
      </c>
      <c r="AB176" s="32" t="str">
        <f t="shared" si="319"/>
        <v>アンパンマンマスコット</v>
      </c>
      <c r="AC176" s="32" t="str">
        <f t="shared" si="319"/>
        <v>アンパンマンマスコット</v>
      </c>
      <c r="AD176" s="32" t="str">
        <f t="shared" si="319"/>
        <v>アンパンマンマスコット</v>
      </c>
      <c r="AE176" s="32" t="str">
        <f t="shared" si="319"/>
        <v>アンパンマンマスコット</v>
      </c>
      <c r="AF176" s="32" t="str">
        <f t="shared" si="319"/>
        <v>アンパンマンマスコット</v>
      </c>
      <c r="AG176" s="32" t="str">
        <f t="shared" si="319"/>
        <v/>
      </c>
      <c r="AH176" s="32" t="str">
        <f t="shared" si="319"/>
        <v/>
      </c>
      <c r="AI176" s="32" t="str">
        <f t="shared" si="319"/>
        <v/>
      </c>
      <c r="AJ176" s="32" t="str">
        <f t="shared" si="319"/>
        <v/>
      </c>
      <c r="AK176" s="32" t="str">
        <f t="shared" si="319"/>
        <v/>
      </c>
      <c r="AL176" s="32" t="str">
        <f t="shared" si="319"/>
        <v/>
      </c>
      <c r="AM176" s="32" t="str">
        <f t="shared" ref="AM176:AS176" si="320">IF(AM$3="","",AL176)</f>
        <v/>
      </c>
      <c r="AN176" s="32" t="str">
        <f t="shared" si="320"/>
        <v/>
      </c>
      <c r="AO176" s="32" t="str">
        <f t="shared" si="320"/>
        <v/>
      </c>
      <c r="AP176" s="32" t="str">
        <f t="shared" si="320"/>
        <v/>
      </c>
      <c r="AQ176" s="32" t="str">
        <f t="shared" si="320"/>
        <v/>
      </c>
      <c r="AR176" s="32" t="str">
        <f t="shared" si="320"/>
        <v/>
      </c>
      <c r="AS176" s="32" t="str">
        <f t="shared" si="320"/>
        <v/>
      </c>
    </row>
    <row r="177" spans="1:45">
      <c r="A177" s="7">
        <f>AVERAGE(C178:AS178)*30*100</f>
        <v>47400</v>
      </c>
      <c r="B177" s="30" t="s">
        <v>14</v>
      </c>
      <c r="C177" s="65"/>
      <c r="D177" s="29"/>
      <c r="E177" s="29"/>
      <c r="F177" s="54"/>
      <c r="G177" s="29"/>
      <c r="H177" s="29"/>
      <c r="I177" s="54"/>
      <c r="J177" s="29"/>
      <c r="K177" s="29"/>
      <c r="L177" s="54"/>
      <c r="M177" s="29"/>
      <c r="N177" s="29"/>
      <c r="O177" s="29"/>
      <c r="P177" s="54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 spans="1:45">
      <c r="A178" s="7">
        <f>SUM(C178:AS178)</f>
        <v>474</v>
      </c>
      <c r="B178" s="27" t="s">
        <v>15</v>
      </c>
      <c r="C178" s="65">
        <v>0</v>
      </c>
      <c r="D178" s="26">
        <f t="shared" ref="D178:AL178" si="321">IF(D$3="","",D171-C171)</f>
        <v>0</v>
      </c>
      <c r="E178" s="26">
        <f t="shared" si="321"/>
        <v>92</v>
      </c>
      <c r="F178" s="54">
        <f t="shared" si="321"/>
        <v>0</v>
      </c>
      <c r="G178" s="26">
        <f t="shared" si="321"/>
        <v>0</v>
      </c>
      <c r="H178" s="26">
        <f t="shared" si="321"/>
        <v>27</v>
      </c>
      <c r="I178" s="54">
        <f t="shared" si="321"/>
        <v>0</v>
      </c>
      <c r="J178" s="26">
        <f t="shared" si="321"/>
        <v>0</v>
      </c>
      <c r="K178" s="26">
        <f t="shared" si="321"/>
        <v>124</v>
      </c>
      <c r="L178" s="54">
        <f t="shared" si="321"/>
        <v>0</v>
      </c>
      <c r="M178" s="26">
        <f t="shared" si="321"/>
        <v>0</v>
      </c>
      <c r="N178" s="26">
        <f t="shared" si="321"/>
        <v>0</v>
      </c>
      <c r="O178" s="26">
        <f t="shared" si="321"/>
        <v>70</v>
      </c>
      <c r="P178" s="54">
        <f t="shared" si="321"/>
        <v>0</v>
      </c>
      <c r="Q178" s="26">
        <f t="shared" si="321"/>
        <v>0</v>
      </c>
      <c r="R178" s="26">
        <f t="shared" si="321"/>
        <v>60</v>
      </c>
      <c r="S178" s="26">
        <f t="shared" si="321"/>
        <v>0</v>
      </c>
      <c r="T178" s="26">
        <f t="shared" si="321"/>
        <v>0</v>
      </c>
      <c r="U178" s="26">
        <f t="shared" si="321"/>
        <v>0</v>
      </c>
      <c r="V178" s="26">
        <f t="shared" si="321"/>
        <v>35</v>
      </c>
      <c r="W178" s="26">
        <f t="shared" si="321"/>
        <v>0</v>
      </c>
      <c r="X178" s="26">
        <f t="shared" si="321"/>
        <v>0</v>
      </c>
      <c r="Y178" s="26">
        <f t="shared" si="321"/>
        <v>30</v>
      </c>
      <c r="Z178" s="26">
        <f t="shared" si="321"/>
        <v>0</v>
      </c>
      <c r="AA178" s="26">
        <f t="shared" si="321"/>
        <v>0</v>
      </c>
      <c r="AB178" s="26">
        <f t="shared" si="321"/>
        <v>0</v>
      </c>
      <c r="AC178" s="26">
        <f t="shared" si="321"/>
        <v>6</v>
      </c>
      <c r="AD178" s="26">
        <f t="shared" si="321"/>
        <v>0</v>
      </c>
      <c r="AE178" s="26">
        <f t="shared" si="321"/>
        <v>0</v>
      </c>
      <c r="AF178" s="26">
        <f t="shared" si="321"/>
        <v>30</v>
      </c>
      <c r="AG178" s="26" t="str">
        <f t="shared" si="321"/>
        <v/>
      </c>
      <c r="AH178" s="26" t="str">
        <f t="shared" si="321"/>
        <v/>
      </c>
      <c r="AI178" s="26" t="str">
        <f t="shared" si="321"/>
        <v/>
      </c>
      <c r="AJ178" s="26" t="str">
        <f t="shared" si="321"/>
        <v/>
      </c>
      <c r="AK178" s="26" t="str">
        <f t="shared" si="321"/>
        <v/>
      </c>
      <c r="AL178" s="26" t="str">
        <f t="shared" si="321"/>
        <v/>
      </c>
      <c r="AM178" s="26" t="str">
        <f t="shared" ref="AM178:AS178" si="322">IF(AM$3="","",AM171-AL171)</f>
        <v/>
      </c>
      <c r="AN178" s="26" t="str">
        <f t="shared" si="322"/>
        <v/>
      </c>
      <c r="AO178" s="26" t="str">
        <f t="shared" si="322"/>
        <v/>
      </c>
      <c r="AP178" s="26" t="str">
        <f t="shared" si="322"/>
        <v/>
      </c>
      <c r="AQ178" s="26" t="str">
        <f t="shared" si="322"/>
        <v/>
      </c>
      <c r="AR178" s="26" t="str">
        <f t="shared" si="322"/>
        <v/>
      </c>
      <c r="AS178" s="26" t="str">
        <f t="shared" si="322"/>
        <v/>
      </c>
    </row>
    <row r="179" spans="1:45">
      <c r="A179" s="7">
        <f>SUM(C179:AS179)</f>
        <v>9</v>
      </c>
      <c r="B179" s="27" t="s">
        <v>16</v>
      </c>
      <c r="C179" s="65">
        <v>0</v>
      </c>
      <c r="D179" s="26">
        <f t="shared" ref="D179:AL179" si="323">IF(D$3="","",D172-C172)</f>
        <v>0</v>
      </c>
      <c r="E179" s="26">
        <f t="shared" si="323"/>
        <v>1</v>
      </c>
      <c r="F179" s="54">
        <f t="shared" si="323"/>
        <v>0</v>
      </c>
      <c r="G179" s="26">
        <f t="shared" si="323"/>
        <v>0</v>
      </c>
      <c r="H179" s="26">
        <f t="shared" si="323"/>
        <v>1</v>
      </c>
      <c r="I179" s="54">
        <f t="shared" si="323"/>
        <v>0</v>
      </c>
      <c r="J179" s="26">
        <f t="shared" si="323"/>
        <v>0</v>
      </c>
      <c r="K179" s="26">
        <f t="shared" si="323"/>
        <v>3</v>
      </c>
      <c r="L179" s="54">
        <f t="shared" si="323"/>
        <v>0</v>
      </c>
      <c r="M179" s="26">
        <f t="shared" si="323"/>
        <v>0</v>
      </c>
      <c r="N179" s="26">
        <f t="shared" si="323"/>
        <v>0</v>
      </c>
      <c r="O179" s="26">
        <f t="shared" si="323"/>
        <v>0</v>
      </c>
      <c r="P179" s="54">
        <f t="shared" si="323"/>
        <v>0</v>
      </c>
      <c r="Q179" s="26">
        <f t="shared" si="323"/>
        <v>0</v>
      </c>
      <c r="R179" s="26">
        <f t="shared" si="323"/>
        <v>1</v>
      </c>
      <c r="S179" s="26">
        <f t="shared" si="323"/>
        <v>0</v>
      </c>
      <c r="T179" s="26">
        <f t="shared" si="323"/>
        <v>0</v>
      </c>
      <c r="U179" s="26">
        <f t="shared" si="323"/>
        <v>0</v>
      </c>
      <c r="V179" s="26">
        <f t="shared" si="323"/>
        <v>1</v>
      </c>
      <c r="W179" s="26">
        <f t="shared" si="323"/>
        <v>0</v>
      </c>
      <c r="X179" s="26">
        <f t="shared" si="323"/>
        <v>0</v>
      </c>
      <c r="Y179" s="26">
        <f t="shared" si="323"/>
        <v>2</v>
      </c>
      <c r="Z179" s="26">
        <f t="shared" si="323"/>
        <v>0</v>
      </c>
      <c r="AA179" s="26">
        <f t="shared" si="323"/>
        <v>0</v>
      </c>
      <c r="AB179" s="26">
        <f t="shared" si="323"/>
        <v>0</v>
      </c>
      <c r="AC179" s="26">
        <f t="shared" si="323"/>
        <v>0</v>
      </c>
      <c r="AD179" s="26">
        <f t="shared" si="323"/>
        <v>0</v>
      </c>
      <c r="AE179" s="26">
        <f t="shared" si="323"/>
        <v>0</v>
      </c>
      <c r="AF179" s="26">
        <f t="shared" si="323"/>
        <v>0</v>
      </c>
      <c r="AG179" s="26" t="str">
        <f t="shared" si="323"/>
        <v/>
      </c>
      <c r="AH179" s="26" t="str">
        <f t="shared" si="323"/>
        <v/>
      </c>
      <c r="AI179" s="26" t="str">
        <f t="shared" si="323"/>
        <v/>
      </c>
      <c r="AJ179" s="26" t="str">
        <f t="shared" si="323"/>
        <v/>
      </c>
      <c r="AK179" s="26" t="str">
        <f t="shared" si="323"/>
        <v/>
      </c>
      <c r="AL179" s="26" t="str">
        <f t="shared" si="323"/>
        <v/>
      </c>
      <c r="AM179" s="26" t="str">
        <f t="shared" ref="AM179:AS179" si="324">IF(AM$3="","",AM172-AL172)</f>
        <v/>
      </c>
      <c r="AN179" s="26" t="str">
        <f t="shared" si="324"/>
        <v/>
      </c>
      <c r="AO179" s="26" t="str">
        <f t="shared" si="324"/>
        <v/>
      </c>
      <c r="AP179" s="26" t="str">
        <f t="shared" si="324"/>
        <v/>
      </c>
      <c r="AQ179" s="26" t="str">
        <f t="shared" si="324"/>
        <v/>
      </c>
      <c r="AR179" s="26" t="str">
        <f t="shared" si="324"/>
        <v/>
      </c>
      <c r="AS179" s="26" t="str">
        <f t="shared" si="324"/>
        <v/>
      </c>
    </row>
    <row r="180" spans="1:45">
      <c r="A180" s="7">
        <f>SUM(C180:AS180)</f>
        <v>8</v>
      </c>
      <c r="B180" s="27" t="s">
        <v>17</v>
      </c>
      <c r="C180" s="65">
        <v>0</v>
      </c>
      <c r="D180" s="26">
        <f t="shared" ref="D180:AL180" si="325">IF(D$3="","",C173+C174-D173)</f>
        <v>0</v>
      </c>
      <c r="E180" s="26">
        <f t="shared" si="325"/>
        <v>1</v>
      </c>
      <c r="F180" s="54">
        <f t="shared" si="325"/>
        <v>0</v>
      </c>
      <c r="G180" s="26">
        <f t="shared" si="325"/>
        <v>0</v>
      </c>
      <c r="H180" s="26">
        <f t="shared" si="325"/>
        <v>1</v>
      </c>
      <c r="I180" s="54">
        <f t="shared" si="325"/>
        <v>0</v>
      </c>
      <c r="J180" s="26">
        <f t="shared" si="325"/>
        <v>0</v>
      </c>
      <c r="K180" s="26">
        <f t="shared" si="325"/>
        <v>3</v>
      </c>
      <c r="L180" s="54">
        <f t="shared" si="325"/>
        <v>0</v>
      </c>
      <c r="M180" s="26">
        <f t="shared" si="325"/>
        <v>0</v>
      </c>
      <c r="N180" s="26">
        <f t="shared" si="325"/>
        <v>0</v>
      </c>
      <c r="O180" s="26">
        <f t="shared" si="325"/>
        <v>0</v>
      </c>
      <c r="P180" s="54">
        <f t="shared" si="325"/>
        <v>0</v>
      </c>
      <c r="Q180" s="26">
        <f t="shared" si="325"/>
        <v>0</v>
      </c>
      <c r="R180" s="26">
        <f t="shared" si="325"/>
        <v>1</v>
      </c>
      <c r="S180" s="26">
        <f t="shared" si="325"/>
        <v>0</v>
      </c>
      <c r="T180" s="26">
        <f t="shared" si="325"/>
        <v>0</v>
      </c>
      <c r="U180" s="26">
        <f t="shared" si="325"/>
        <v>0</v>
      </c>
      <c r="V180" s="26">
        <f t="shared" si="325"/>
        <v>1</v>
      </c>
      <c r="W180" s="26">
        <f t="shared" si="325"/>
        <v>0</v>
      </c>
      <c r="X180" s="26">
        <f t="shared" si="325"/>
        <v>0</v>
      </c>
      <c r="Y180" s="26">
        <f t="shared" si="325"/>
        <v>1</v>
      </c>
      <c r="Z180" s="26">
        <f t="shared" si="325"/>
        <v>0</v>
      </c>
      <c r="AA180" s="26">
        <f t="shared" si="325"/>
        <v>0</v>
      </c>
      <c r="AB180" s="26">
        <f t="shared" si="325"/>
        <v>0</v>
      </c>
      <c r="AC180" s="26">
        <f t="shared" si="325"/>
        <v>0</v>
      </c>
      <c r="AD180" s="26">
        <f t="shared" si="325"/>
        <v>0</v>
      </c>
      <c r="AE180" s="26">
        <f t="shared" si="325"/>
        <v>0</v>
      </c>
      <c r="AF180" s="26">
        <f t="shared" si="325"/>
        <v>0</v>
      </c>
      <c r="AG180" s="26" t="str">
        <f t="shared" si="325"/>
        <v/>
      </c>
      <c r="AH180" s="26" t="str">
        <f t="shared" si="325"/>
        <v/>
      </c>
      <c r="AI180" s="26" t="str">
        <f t="shared" si="325"/>
        <v/>
      </c>
      <c r="AJ180" s="26" t="str">
        <f t="shared" si="325"/>
        <v/>
      </c>
      <c r="AK180" s="26" t="str">
        <f t="shared" si="325"/>
        <v/>
      </c>
      <c r="AL180" s="26" t="str">
        <f t="shared" si="325"/>
        <v/>
      </c>
      <c r="AM180" s="26" t="str">
        <f t="shared" ref="AM180:AS180" si="326">IF(AM$3="","",AL173+AL174-AM173)</f>
        <v/>
      </c>
      <c r="AN180" s="26" t="str">
        <f t="shared" si="326"/>
        <v/>
      </c>
      <c r="AO180" s="26" t="str">
        <f t="shared" si="326"/>
        <v/>
      </c>
      <c r="AP180" s="26" t="str">
        <f t="shared" si="326"/>
        <v/>
      </c>
      <c r="AQ180" s="26" t="str">
        <f t="shared" si="326"/>
        <v/>
      </c>
      <c r="AR180" s="26" t="str">
        <f t="shared" si="326"/>
        <v/>
      </c>
      <c r="AS180" s="26" t="str">
        <f t="shared" si="326"/>
        <v/>
      </c>
    </row>
    <row r="181" spans="1:45">
      <c r="A181" s="7">
        <f>SUM(C181:AS181)</f>
        <v>5600</v>
      </c>
      <c r="B181" s="27" t="s">
        <v>18</v>
      </c>
      <c r="C181" s="65">
        <v>0</v>
      </c>
      <c r="D181" s="26">
        <f t="shared" ref="D181:AL181" si="327">IF(D$3="","",D180*D175)</f>
        <v>0</v>
      </c>
      <c r="E181" s="26">
        <f t="shared" si="327"/>
        <v>700</v>
      </c>
      <c r="F181" s="54">
        <f t="shared" si="327"/>
        <v>0</v>
      </c>
      <c r="G181" s="26">
        <f t="shared" si="327"/>
        <v>0</v>
      </c>
      <c r="H181" s="26">
        <f t="shared" si="327"/>
        <v>700</v>
      </c>
      <c r="I181" s="54">
        <f t="shared" si="327"/>
        <v>0</v>
      </c>
      <c r="J181" s="26">
        <f t="shared" si="327"/>
        <v>0</v>
      </c>
      <c r="K181" s="26">
        <f t="shared" si="327"/>
        <v>2100</v>
      </c>
      <c r="L181" s="54">
        <f t="shared" si="327"/>
        <v>0</v>
      </c>
      <c r="M181" s="26">
        <f t="shared" si="327"/>
        <v>0</v>
      </c>
      <c r="N181" s="26">
        <f t="shared" si="327"/>
        <v>0</v>
      </c>
      <c r="O181" s="26">
        <f t="shared" si="327"/>
        <v>0</v>
      </c>
      <c r="P181" s="54">
        <f t="shared" si="327"/>
        <v>0</v>
      </c>
      <c r="Q181" s="26">
        <f t="shared" si="327"/>
        <v>0</v>
      </c>
      <c r="R181" s="26">
        <f t="shared" si="327"/>
        <v>700</v>
      </c>
      <c r="S181" s="26">
        <f t="shared" si="327"/>
        <v>0</v>
      </c>
      <c r="T181" s="26">
        <f t="shared" si="327"/>
        <v>0</v>
      </c>
      <c r="U181" s="26">
        <f t="shared" si="327"/>
        <v>0</v>
      </c>
      <c r="V181" s="26">
        <f t="shared" si="327"/>
        <v>700</v>
      </c>
      <c r="W181" s="26">
        <f t="shared" si="327"/>
        <v>0</v>
      </c>
      <c r="X181" s="26">
        <f t="shared" si="327"/>
        <v>0</v>
      </c>
      <c r="Y181" s="26">
        <f t="shared" si="327"/>
        <v>700</v>
      </c>
      <c r="Z181" s="26">
        <f t="shared" si="327"/>
        <v>0</v>
      </c>
      <c r="AA181" s="26">
        <f t="shared" si="327"/>
        <v>0</v>
      </c>
      <c r="AB181" s="26">
        <f t="shared" si="327"/>
        <v>0</v>
      </c>
      <c r="AC181" s="26">
        <f t="shared" si="327"/>
        <v>0</v>
      </c>
      <c r="AD181" s="26">
        <f t="shared" si="327"/>
        <v>0</v>
      </c>
      <c r="AE181" s="26">
        <f t="shared" si="327"/>
        <v>0</v>
      </c>
      <c r="AF181" s="26">
        <f t="shared" si="327"/>
        <v>0</v>
      </c>
      <c r="AG181" s="26" t="str">
        <f t="shared" si="327"/>
        <v/>
      </c>
      <c r="AH181" s="26" t="str">
        <f t="shared" si="327"/>
        <v/>
      </c>
      <c r="AI181" s="26" t="str">
        <f t="shared" si="327"/>
        <v/>
      </c>
      <c r="AJ181" s="26" t="str">
        <f t="shared" si="327"/>
        <v/>
      </c>
      <c r="AK181" s="26" t="str">
        <f t="shared" si="327"/>
        <v/>
      </c>
      <c r="AL181" s="26" t="str">
        <f t="shared" si="327"/>
        <v/>
      </c>
      <c r="AM181" s="26" t="str">
        <f t="shared" ref="AM181:AS181" si="328">IF(AM$3="","",AM180*AM175)</f>
        <v/>
      </c>
      <c r="AN181" s="26" t="str">
        <f t="shared" si="328"/>
        <v/>
      </c>
      <c r="AO181" s="26" t="str">
        <f t="shared" si="328"/>
        <v/>
      </c>
      <c r="AP181" s="26" t="str">
        <f t="shared" si="328"/>
        <v/>
      </c>
      <c r="AQ181" s="26" t="str">
        <f t="shared" si="328"/>
        <v/>
      </c>
      <c r="AR181" s="26" t="str">
        <f t="shared" si="328"/>
        <v/>
      </c>
      <c r="AS181" s="26" t="str">
        <f t="shared" si="328"/>
        <v/>
      </c>
    </row>
    <row r="182" spans="1:45" ht="12" thickBot="1">
      <c r="A182" s="4">
        <f>IF(A181="","",A181/(A178*100))</f>
        <v>0.11814345991561181</v>
      </c>
      <c r="B182" s="27" t="s">
        <v>20</v>
      </c>
      <c r="C182" s="68" t="s">
        <v>21</v>
      </c>
      <c r="D182" s="44" t="str">
        <f t="shared" ref="D182:AL182" si="329">IF(D$3="","",IF(D181=0,"",D181/(D178*100)))</f>
        <v/>
      </c>
      <c r="E182" s="44">
        <f t="shared" si="329"/>
        <v>7.6086956521739135E-2</v>
      </c>
      <c r="F182" s="132" t="str">
        <f t="shared" si="329"/>
        <v/>
      </c>
      <c r="G182" s="44" t="str">
        <f t="shared" si="329"/>
        <v/>
      </c>
      <c r="H182" s="44">
        <f t="shared" si="329"/>
        <v>0.25925925925925924</v>
      </c>
      <c r="I182" s="132" t="str">
        <f t="shared" si="329"/>
        <v/>
      </c>
      <c r="J182" s="44" t="str">
        <f t="shared" si="329"/>
        <v/>
      </c>
      <c r="K182" s="44">
        <f t="shared" si="329"/>
        <v>0.16935483870967741</v>
      </c>
      <c r="L182" s="132" t="str">
        <f t="shared" si="329"/>
        <v/>
      </c>
      <c r="M182" s="44" t="str">
        <f t="shared" si="329"/>
        <v/>
      </c>
      <c r="N182" s="44" t="str">
        <f t="shared" si="329"/>
        <v/>
      </c>
      <c r="O182" s="44" t="str">
        <f t="shared" si="329"/>
        <v/>
      </c>
      <c r="P182" s="132" t="str">
        <f t="shared" si="329"/>
        <v/>
      </c>
      <c r="Q182" s="44" t="str">
        <f t="shared" si="329"/>
        <v/>
      </c>
      <c r="R182" s="44">
        <f t="shared" si="329"/>
        <v>0.11666666666666667</v>
      </c>
      <c r="S182" s="44" t="str">
        <f t="shared" si="329"/>
        <v/>
      </c>
      <c r="T182" s="44" t="str">
        <f t="shared" si="329"/>
        <v/>
      </c>
      <c r="U182" s="44" t="str">
        <f t="shared" si="329"/>
        <v/>
      </c>
      <c r="V182" s="44">
        <f t="shared" si="329"/>
        <v>0.2</v>
      </c>
      <c r="W182" s="44" t="str">
        <f t="shared" si="329"/>
        <v/>
      </c>
      <c r="X182" s="44" t="str">
        <f t="shared" si="329"/>
        <v/>
      </c>
      <c r="Y182" s="44">
        <f t="shared" si="329"/>
        <v>0.23333333333333334</v>
      </c>
      <c r="Z182" s="44" t="str">
        <f t="shared" si="329"/>
        <v/>
      </c>
      <c r="AA182" s="44" t="str">
        <f t="shared" si="329"/>
        <v/>
      </c>
      <c r="AB182" s="44" t="str">
        <f t="shared" si="329"/>
        <v/>
      </c>
      <c r="AC182" s="44" t="str">
        <f t="shared" si="329"/>
        <v/>
      </c>
      <c r="AD182" s="44" t="str">
        <f t="shared" si="329"/>
        <v/>
      </c>
      <c r="AE182" s="44" t="str">
        <f t="shared" si="329"/>
        <v/>
      </c>
      <c r="AF182" s="44" t="str">
        <f t="shared" si="329"/>
        <v/>
      </c>
      <c r="AG182" s="44" t="str">
        <f t="shared" si="329"/>
        <v/>
      </c>
      <c r="AH182" s="44" t="str">
        <f t="shared" si="329"/>
        <v/>
      </c>
      <c r="AI182" s="44" t="str">
        <f t="shared" si="329"/>
        <v/>
      </c>
      <c r="AJ182" s="44" t="str">
        <f t="shared" si="329"/>
        <v/>
      </c>
      <c r="AK182" s="44" t="str">
        <f t="shared" si="329"/>
        <v/>
      </c>
      <c r="AL182" s="44" t="str">
        <f t="shared" si="329"/>
        <v/>
      </c>
      <c r="AM182" s="44" t="str">
        <f t="shared" ref="AM182:AS182" si="330">IF(AM$3="","",IF(AM181=0,"",AM181/(AM178*100)))</f>
        <v/>
      </c>
      <c r="AN182" s="44" t="str">
        <f t="shared" si="330"/>
        <v/>
      </c>
      <c r="AO182" s="44" t="str">
        <f t="shared" si="330"/>
        <v/>
      </c>
      <c r="AP182" s="44" t="str">
        <f t="shared" si="330"/>
        <v/>
      </c>
      <c r="AQ182" s="44" t="str">
        <f t="shared" si="330"/>
        <v/>
      </c>
      <c r="AR182" s="44" t="str">
        <f t="shared" si="330"/>
        <v/>
      </c>
      <c r="AS182" s="44" t="str">
        <f t="shared" si="330"/>
        <v/>
      </c>
    </row>
    <row r="183" spans="1:45">
      <c r="A183" s="17" t="s">
        <v>1</v>
      </c>
      <c r="B183" s="42" t="s">
        <v>2</v>
      </c>
      <c r="C183" s="64">
        <v>4076</v>
      </c>
      <c r="D183" s="35">
        <f>IF(D$3="","",C183)</f>
        <v>4076</v>
      </c>
      <c r="E183" s="35">
        <v>4142</v>
      </c>
      <c r="F183" s="128">
        <f>IF(F$3="","",E183)</f>
        <v>4142</v>
      </c>
      <c r="G183" s="35">
        <f>IF(G$3="","",F183)</f>
        <v>4142</v>
      </c>
      <c r="H183" s="35">
        <v>4207</v>
      </c>
      <c r="I183" s="128">
        <f>IF(I$3="","",H183)</f>
        <v>4207</v>
      </c>
      <c r="J183" s="35">
        <f>IF(J$3="","",I183)</f>
        <v>4207</v>
      </c>
      <c r="K183" s="35">
        <v>4254</v>
      </c>
      <c r="L183" s="128">
        <f t="shared" ref="L183:N184" si="331">IF(L$3="","",K183)</f>
        <v>4254</v>
      </c>
      <c r="M183" s="35">
        <f t="shared" si="331"/>
        <v>4254</v>
      </c>
      <c r="N183" s="35">
        <f t="shared" si="331"/>
        <v>4254</v>
      </c>
      <c r="O183" s="35">
        <v>4288</v>
      </c>
      <c r="P183" s="128">
        <f>IF(P$3="","",O183)</f>
        <v>4288</v>
      </c>
      <c r="Q183" s="35">
        <f>IF(Q$3="","",P183)</f>
        <v>4288</v>
      </c>
      <c r="R183" s="35">
        <v>4317</v>
      </c>
      <c r="S183" s="35">
        <f t="shared" ref="S183:AL183" si="332">IF(S$3="","",R183)</f>
        <v>4317</v>
      </c>
      <c r="T183" s="35">
        <f t="shared" si="332"/>
        <v>4317</v>
      </c>
      <c r="U183" s="35">
        <f t="shared" si="332"/>
        <v>4317</v>
      </c>
      <c r="V183" s="35">
        <v>4340</v>
      </c>
      <c r="W183" s="35">
        <f t="shared" si="332"/>
        <v>4340</v>
      </c>
      <c r="X183" s="35">
        <f t="shared" si="332"/>
        <v>4340</v>
      </c>
      <c r="Y183" s="35">
        <v>4380</v>
      </c>
      <c r="Z183" s="35">
        <f t="shared" si="332"/>
        <v>4380</v>
      </c>
      <c r="AA183" s="35">
        <f t="shared" si="332"/>
        <v>4380</v>
      </c>
      <c r="AB183" s="35">
        <f t="shared" si="332"/>
        <v>4380</v>
      </c>
      <c r="AC183" s="35">
        <v>4424</v>
      </c>
      <c r="AD183" s="35">
        <f t="shared" si="332"/>
        <v>4424</v>
      </c>
      <c r="AE183" s="35">
        <f t="shared" si="332"/>
        <v>4424</v>
      </c>
      <c r="AF183" s="35">
        <v>4447</v>
      </c>
      <c r="AG183" s="35" t="str">
        <f t="shared" si="332"/>
        <v/>
      </c>
      <c r="AH183" s="35" t="str">
        <f t="shared" si="332"/>
        <v/>
      </c>
      <c r="AI183" s="35" t="str">
        <f t="shared" si="332"/>
        <v/>
      </c>
      <c r="AJ183" s="35" t="str">
        <f t="shared" si="332"/>
        <v/>
      </c>
      <c r="AK183" s="35" t="str">
        <f t="shared" si="332"/>
        <v/>
      </c>
      <c r="AL183" s="35" t="str">
        <f t="shared" si="332"/>
        <v/>
      </c>
      <c r="AM183" s="35" t="str">
        <f t="shared" ref="AM183:AS183" si="333">IF(AM$3="","",AL183)</f>
        <v/>
      </c>
      <c r="AN183" s="35" t="str">
        <f t="shared" si="333"/>
        <v/>
      </c>
      <c r="AO183" s="35" t="str">
        <f t="shared" si="333"/>
        <v/>
      </c>
      <c r="AP183" s="35" t="str">
        <f t="shared" si="333"/>
        <v/>
      </c>
      <c r="AQ183" s="35" t="str">
        <f t="shared" si="333"/>
        <v/>
      </c>
      <c r="AR183" s="35" t="str">
        <f t="shared" si="333"/>
        <v/>
      </c>
      <c r="AS183" s="35" t="str">
        <f t="shared" si="333"/>
        <v/>
      </c>
    </row>
    <row r="184" spans="1:45">
      <c r="A184" s="16" t="s">
        <v>44</v>
      </c>
      <c r="B184" s="30" t="s">
        <v>4</v>
      </c>
      <c r="C184" s="65">
        <v>56</v>
      </c>
      <c r="D184" s="29">
        <f>IF(D$3="","",C184)</f>
        <v>56</v>
      </c>
      <c r="E184" s="29">
        <f>IF(E$3="","",D184)</f>
        <v>56</v>
      </c>
      <c r="F184" s="54">
        <f>IF(F$3="","",E184)</f>
        <v>56</v>
      </c>
      <c r="G184" s="29">
        <f>IF(G$3="","",F184)</f>
        <v>56</v>
      </c>
      <c r="H184" s="29">
        <v>57</v>
      </c>
      <c r="I184" s="54">
        <f>IF(I$3="","",H184)</f>
        <v>57</v>
      </c>
      <c r="J184" s="29">
        <f>IF(J$3="","",I184)</f>
        <v>57</v>
      </c>
      <c r="K184" s="29">
        <v>58</v>
      </c>
      <c r="L184" s="54">
        <f t="shared" si="331"/>
        <v>58</v>
      </c>
      <c r="M184" s="29">
        <f t="shared" si="331"/>
        <v>58</v>
      </c>
      <c r="N184" s="29">
        <f t="shared" si="331"/>
        <v>58</v>
      </c>
      <c r="O184" s="29">
        <f>IF(O$3="","",N184)</f>
        <v>58</v>
      </c>
      <c r="P184" s="54">
        <f>IF(P$3="","",O184)</f>
        <v>58</v>
      </c>
      <c r="Q184" s="29">
        <f>IF(Q$3="","",P184)</f>
        <v>58</v>
      </c>
      <c r="R184" s="29">
        <f>IF(R$3="","",Q184)</f>
        <v>58</v>
      </c>
      <c r="S184" s="29">
        <f t="shared" ref="S184:AL184" si="334">IF(S$3="","",R184)</f>
        <v>58</v>
      </c>
      <c r="T184" s="29">
        <f t="shared" si="334"/>
        <v>58</v>
      </c>
      <c r="U184" s="29">
        <f t="shared" si="334"/>
        <v>58</v>
      </c>
      <c r="V184" s="29">
        <v>59</v>
      </c>
      <c r="W184" s="29">
        <f t="shared" si="334"/>
        <v>59</v>
      </c>
      <c r="X184" s="29">
        <f t="shared" si="334"/>
        <v>59</v>
      </c>
      <c r="Y184" s="29">
        <f t="shared" si="334"/>
        <v>59</v>
      </c>
      <c r="Z184" s="29">
        <f t="shared" si="334"/>
        <v>59</v>
      </c>
      <c r="AA184" s="29">
        <f t="shared" si="334"/>
        <v>59</v>
      </c>
      <c r="AB184" s="29">
        <f t="shared" si="334"/>
        <v>59</v>
      </c>
      <c r="AC184" s="29">
        <v>71</v>
      </c>
      <c r="AD184" s="29">
        <f t="shared" si="334"/>
        <v>71</v>
      </c>
      <c r="AE184" s="29">
        <f t="shared" si="334"/>
        <v>71</v>
      </c>
      <c r="AF184" s="29">
        <f t="shared" si="334"/>
        <v>71</v>
      </c>
      <c r="AG184" s="29" t="str">
        <f t="shared" si="334"/>
        <v/>
      </c>
      <c r="AH184" s="29" t="str">
        <f t="shared" si="334"/>
        <v/>
      </c>
      <c r="AI184" s="29" t="str">
        <f t="shared" si="334"/>
        <v/>
      </c>
      <c r="AJ184" s="29" t="str">
        <f t="shared" si="334"/>
        <v/>
      </c>
      <c r="AK184" s="29" t="str">
        <f t="shared" si="334"/>
        <v/>
      </c>
      <c r="AL184" s="29" t="str">
        <f t="shared" si="334"/>
        <v/>
      </c>
      <c r="AM184" s="29" t="str">
        <f t="shared" ref="AM184:AS184" si="335">IF(AM$3="","",AL184)</f>
        <v/>
      </c>
      <c r="AN184" s="29" t="str">
        <f t="shared" si="335"/>
        <v/>
      </c>
      <c r="AO184" s="29" t="str">
        <f t="shared" si="335"/>
        <v/>
      </c>
      <c r="AP184" s="29" t="str">
        <f t="shared" si="335"/>
        <v/>
      </c>
      <c r="AQ184" s="29" t="str">
        <f t="shared" si="335"/>
        <v/>
      </c>
      <c r="AR184" s="29" t="str">
        <f t="shared" si="335"/>
        <v/>
      </c>
      <c r="AS184" s="29" t="str">
        <f t="shared" si="335"/>
        <v/>
      </c>
    </row>
    <row r="185" spans="1:45">
      <c r="A185" s="15">
        <v>4</v>
      </c>
      <c r="B185" s="30" t="s">
        <v>5</v>
      </c>
      <c r="C185" s="65">
        <v>5</v>
      </c>
      <c r="D185" s="29">
        <f>IF(D$3="","",(C185+C186))</f>
        <v>5</v>
      </c>
      <c r="E185" s="29">
        <f>IF(E$3="","",(D185+D186))</f>
        <v>5</v>
      </c>
      <c r="F185" s="54">
        <f>IF(F$3="","",(E185+E186))</f>
        <v>5</v>
      </c>
      <c r="G185" s="29">
        <f>IF(G$3="","",(F185+F186))</f>
        <v>5</v>
      </c>
      <c r="H185" s="29">
        <v>4</v>
      </c>
      <c r="I185" s="54">
        <f>IF(I$3="","",(H185+H186))</f>
        <v>4</v>
      </c>
      <c r="J185" s="29">
        <f>IF(J$3="","",(I185+I186))</f>
        <v>4</v>
      </c>
      <c r="K185" s="29">
        <v>3</v>
      </c>
      <c r="L185" s="54">
        <f t="shared" ref="L185:AL185" si="336">IF(L$3="","",(K185+K186))</f>
        <v>4</v>
      </c>
      <c r="M185" s="29">
        <f t="shared" si="336"/>
        <v>4</v>
      </c>
      <c r="N185" s="29">
        <f t="shared" si="336"/>
        <v>4</v>
      </c>
      <c r="O185" s="29">
        <f t="shared" si="336"/>
        <v>4</v>
      </c>
      <c r="P185" s="54">
        <f t="shared" si="336"/>
        <v>4</v>
      </c>
      <c r="Q185" s="29">
        <f t="shared" si="336"/>
        <v>4</v>
      </c>
      <c r="R185" s="29">
        <f t="shared" si="336"/>
        <v>4</v>
      </c>
      <c r="S185" s="29">
        <f t="shared" si="336"/>
        <v>4</v>
      </c>
      <c r="T185" s="29">
        <f t="shared" si="336"/>
        <v>4</v>
      </c>
      <c r="U185" s="29">
        <f t="shared" si="336"/>
        <v>4</v>
      </c>
      <c r="V185" s="29">
        <v>3</v>
      </c>
      <c r="W185" s="29">
        <f t="shared" si="336"/>
        <v>3</v>
      </c>
      <c r="X185" s="29">
        <f t="shared" si="336"/>
        <v>3</v>
      </c>
      <c r="Y185" s="29">
        <f t="shared" si="336"/>
        <v>3</v>
      </c>
      <c r="Z185" s="29">
        <f t="shared" si="336"/>
        <v>30</v>
      </c>
      <c r="AA185" s="29">
        <f t="shared" si="336"/>
        <v>30</v>
      </c>
      <c r="AB185" s="29">
        <f t="shared" si="336"/>
        <v>30</v>
      </c>
      <c r="AC185" s="29">
        <v>18</v>
      </c>
      <c r="AD185" s="29">
        <f t="shared" si="336"/>
        <v>18</v>
      </c>
      <c r="AE185" s="29">
        <f t="shared" si="336"/>
        <v>18</v>
      </c>
      <c r="AF185" s="29">
        <f t="shared" si="336"/>
        <v>18</v>
      </c>
      <c r="AG185" s="29" t="str">
        <f t="shared" si="336"/>
        <v/>
      </c>
      <c r="AH185" s="29" t="str">
        <f t="shared" si="336"/>
        <v/>
      </c>
      <c r="AI185" s="29" t="str">
        <f t="shared" si="336"/>
        <v/>
      </c>
      <c r="AJ185" s="29" t="str">
        <f t="shared" si="336"/>
        <v/>
      </c>
      <c r="AK185" s="29" t="str">
        <f t="shared" si="336"/>
        <v/>
      </c>
      <c r="AL185" s="29" t="str">
        <f t="shared" si="336"/>
        <v/>
      </c>
      <c r="AM185" s="29" t="str">
        <f t="shared" ref="AM185:AS185" si="337">IF(AM$3="","",(AL185+AL186))</f>
        <v/>
      </c>
      <c r="AN185" s="29" t="str">
        <f t="shared" si="337"/>
        <v/>
      </c>
      <c r="AO185" s="29" t="str">
        <f t="shared" si="337"/>
        <v/>
      </c>
      <c r="AP185" s="29" t="str">
        <f t="shared" si="337"/>
        <v/>
      </c>
      <c r="AQ185" s="29" t="str">
        <f t="shared" si="337"/>
        <v/>
      </c>
      <c r="AR185" s="29" t="str">
        <f t="shared" si="337"/>
        <v/>
      </c>
      <c r="AS185" s="29" t="str">
        <f t="shared" si="337"/>
        <v/>
      </c>
    </row>
    <row r="186" spans="1:45">
      <c r="A186" s="14"/>
      <c r="B186" s="30" t="s">
        <v>7</v>
      </c>
      <c r="C186" s="65"/>
      <c r="D186" s="29"/>
      <c r="E186" s="29"/>
      <c r="F186" s="54"/>
      <c r="G186" s="29"/>
      <c r="H186" s="29"/>
      <c r="I186" s="54"/>
      <c r="J186" s="29"/>
      <c r="K186" s="29">
        <v>1</v>
      </c>
      <c r="L186" s="54"/>
      <c r="M186" s="29"/>
      <c r="N186" s="29"/>
      <c r="O186" s="29"/>
      <c r="P186" s="54"/>
      <c r="Q186" s="29"/>
      <c r="R186" s="29"/>
      <c r="S186" s="29"/>
      <c r="T186" s="29"/>
      <c r="U186" s="29"/>
      <c r="V186" s="29"/>
      <c r="W186" s="29"/>
      <c r="X186" s="29"/>
      <c r="Y186" s="29">
        <v>27</v>
      </c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 spans="1:45">
      <c r="A187" s="7"/>
      <c r="B187" s="30" t="s">
        <v>8</v>
      </c>
      <c r="C187" s="64">
        <v>800</v>
      </c>
      <c r="D187" s="35">
        <f t="shared" ref="D187:AL187" si="338">IF(D$3="","",C187)</f>
        <v>800</v>
      </c>
      <c r="E187" s="35">
        <f t="shared" si="338"/>
        <v>800</v>
      </c>
      <c r="F187" s="128">
        <f t="shared" si="338"/>
        <v>800</v>
      </c>
      <c r="G187" s="35">
        <f t="shared" si="338"/>
        <v>800</v>
      </c>
      <c r="H187" s="35">
        <f t="shared" si="338"/>
        <v>800</v>
      </c>
      <c r="I187" s="128">
        <f t="shared" si="338"/>
        <v>800</v>
      </c>
      <c r="J187" s="35">
        <f t="shared" si="338"/>
        <v>800</v>
      </c>
      <c r="K187" s="35">
        <f t="shared" si="338"/>
        <v>800</v>
      </c>
      <c r="L187" s="128">
        <f t="shared" si="338"/>
        <v>800</v>
      </c>
      <c r="M187" s="35">
        <f t="shared" si="338"/>
        <v>800</v>
      </c>
      <c r="N187" s="35">
        <f t="shared" si="338"/>
        <v>800</v>
      </c>
      <c r="O187" s="35">
        <f t="shared" si="338"/>
        <v>800</v>
      </c>
      <c r="P187" s="128">
        <f t="shared" si="338"/>
        <v>800</v>
      </c>
      <c r="Q187" s="35">
        <f t="shared" si="338"/>
        <v>800</v>
      </c>
      <c r="R187" s="35">
        <f t="shared" si="338"/>
        <v>800</v>
      </c>
      <c r="S187" s="35">
        <f t="shared" si="338"/>
        <v>800</v>
      </c>
      <c r="T187" s="35">
        <f t="shared" si="338"/>
        <v>800</v>
      </c>
      <c r="U187" s="35">
        <f t="shared" si="338"/>
        <v>800</v>
      </c>
      <c r="V187" s="35">
        <f t="shared" si="338"/>
        <v>800</v>
      </c>
      <c r="W187" s="35">
        <f t="shared" si="338"/>
        <v>800</v>
      </c>
      <c r="X187" s="35">
        <f t="shared" si="338"/>
        <v>800</v>
      </c>
      <c r="Y187" s="35">
        <f t="shared" si="338"/>
        <v>800</v>
      </c>
      <c r="Z187" s="35">
        <f t="shared" si="338"/>
        <v>800</v>
      </c>
      <c r="AA187" s="35">
        <f t="shared" si="338"/>
        <v>800</v>
      </c>
      <c r="AB187" s="35">
        <f t="shared" si="338"/>
        <v>800</v>
      </c>
      <c r="AC187" s="35">
        <f t="shared" si="338"/>
        <v>800</v>
      </c>
      <c r="AD187" s="35">
        <f t="shared" si="338"/>
        <v>800</v>
      </c>
      <c r="AE187" s="35">
        <f t="shared" si="338"/>
        <v>800</v>
      </c>
      <c r="AF187" s="35">
        <f t="shared" si="338"/>
        <v>800</v>
      </c>
      <c r="AG187" s="35" t="str">
        <f t="shared" si="338"/>
        <v/>
      </c>
      <c r="AH187" s="35" t="str">
        <f t="shared" si="338"/>
        <v/>
      </c>
      <c r="AI187" s="35" t="str">
        <f t="shared" si="338"/>
        <v/>
      </c>
      <c r="AJ187" s="35" t="str">
        <f t="shared" si="338"/>
        <v/>
      </c>
      <c r="AK187" s="35" t="str">
        <f t="shared" si="338"/>
        <v/>
      </c>
      <c r="AL187" s="35" t="str">
        <f t="shared" si="338"/>
        <v/>
      </c>
      <c r="AM187" s="35" t="str">
        <f t="shared" ref="AM187:AS187" si="339">IF(AM$3="","",AL187)</f>
        <v/>
      </c>
      <c r="AN187" s="35" t="str">
        <f t="shared" si="339"/>
        <v/>
      </c>
      <c r="AO187" s="35" t="str">
        <f t="shared" si="339"/>
        <v/>
      </c>
      <c r="AP187" s="35" t="str">
        <f t="shared" si="339"/>
        <v/>
      </c>
      <c r="AQ187" s="35" t="str">
        <f t="shared" si="339"/>
        <v/>
      </c>
      <c r="AR187" s="35" t="str">
        <f t="shared" si="339"/>
        <v/>
      </c>
      <c r="AS187" s="35" t="str">
        <f t="shared" si="339"/>
        <v/>
      </c>
    </row>
    <row r="188" spans="1:45" s="94" customFormat="1">
      <c r="A188" s="14" t="s">
        <v>9</v>
      </c>
      <c r="B188" s="33" t="s">
        <v>10</v>
      </c>
      <c r="C188" s="63" t="s">
        <v>49</v>
      </c>
      <c r="D188" s="32" t="str">
        <f t="shared" ref="D188:AL188" si="340">IF(D$3="","",C188)</f>
        <v>キティ豹柄バンスクリップ</v>
      </c>
      <c r="E188" s="32" t="str">
        <f t="shared" si="340"/>
        <v>キティ豹柄バンスクリップ</v>
      </c>
      <c r="F188" s="129" t="str">
        <f t="shared" si="340"/>
        <v>キティ豹柄バンスクリップ</v>
      </c>
      <c r="G188" s="32" t="str">
        <f t="shared" si="340"/>
        <v>キティ豹柄バンスクリップ</v>
      </c>
      <c r="H188" s="32" t="str">
        <f t="shared" si="340"/>
        <v>キティ豹柄バンスクリップ</v>
      </c>
      <c r="I188" s="129" t="str">
        <f t="shared" si="340"/>
        <v>キティ豹柄バンスクリップ</v>
      </c>
      <c r="J188" s="32" t="str">
        <f t="shared" si="340"/>
        <v>キティ豹柄バンスクリップ</v>
      </c>
      <c r="K188" s="32" t="str">
        <f t="shared" si="340"/>
        <v>キティ豹柄バンスクリップ</v>
      </c>
      <c r="L188" s="129" t="str">
        <f t="shared" si="340"/>
        <v>キティ豹柄バンスクリップ</v>
      </c>
      <c r="M188" s="32" t="str">
        <f t="shared" si="340"/>
        <v>キティ豹柄バンスクリップ</v>
      </c>
      <c r="N188" s="32" t="str">
        <f t="shared" si="340"/>
        <v>キティ豹柄バンスクリップ</v>
      </c>
      <c r="O188" s="32" t="str">
        <f t="shared" si="340"/>
        <v>キティ豹柄バンスクリップ</v>
      </c>
      <c r="P188" s="129" t="str">
        <f t="shared" si="340"/>
        <v>キティ豹柄バンスクリップ</v>
      </c>
      <c r="Q188" s="32" t="str">
        <f t="shared" si="340"/>
        <v>キティ豹柄バンスクリップ</v>
      </c>
      <c r="R188" s="32" t="str">
        <f t="shared" si="340"/>
        <v>キティ豹柄バンスクリップ</v>
      </c>
      <c r="S188" s="32" t="str">
        <f t="shared" si="340"/>
        <v>キティ豹柄バンスクリップ</v>
      </c>
      <c r="T188" s="32" t="str">
        <f t="shared" si="340"/>
        <v>キティ豹柄バンスクリップ</v>
      </c>
      <c r="U188" s="32" t="str">
        <f t="shared" si="340"/>
        <v>キティ豹柄バンスクリップ</v>
      </c>
      <c r="V188" s="32" t="str">
        <f t="shared" si="340"/>
        <v>キティ豹柄バンスクリップ</v>
      </c>
      <c r="W188" s="32" t="str">
        <f t="shared" si="340"/>
        <v>キティ豹柄バンスクリップ</v>
      </c>
      <c r="X188" s="32" t="str">
        <f t="shared" si="340"/>
        <v>キティ豹柄バンスクリップ</v>
      </c>
      <c r="Y188" s="32" t="s">
        <v>50</v>
      </c>
      <c r="Z188" s="32" t="str">
        <f t="shared" si="340"/>
        <v>キティストーンマスコット</v>
      </c>
      <c r="AA188" s="32" t="str">
        <f t="shared" si="340"/>
        <v>キティストーンマスコット</v>
      </c>
      <c r="AB188" s="32" t="str">
        <f t="shared" si="340"/>
        <v>キティストーンマスコット</v>
      </c>
      <c r="AC188" s="32" t="str">
        <f t="shared" si="340"/>
        <v>キティストーンマスコット</v>
      </c>
      <c r="AD188" s="32" t="str">
        <f t="shared" si="340"/>
        <v>キティストーンマスコット</v>
      </c>
      <c r="AE188" s="32" t="str">
        <f t="shared" si="340"/>
        <v>キティストーンマスコット</v>
      </c>
      <c r="AF188" s="32" t="str">
        <f t="shared" si="340"/>
        <v>キティストーンマスコット</v>
      </c>
      <c r="AG188" s="32" t="str">
        <f t="shared" si="340"/>
        <v/>
      </c>
      <c r="AH188" s="32" t="str">
        <f t="shared" si="340"/>
        <v/>
      </c>
      <c r="AI188" s="32" t="str">
        <f t="shared" si="340"/>
        <v/>
      </c>
      <c r="AJ188" s="32" t="str">
        <f t="shared" si="340"/>
        <v/>
      </c>
      <c r="AK188" s="32" t="str">
        <f t="shared" si="340"/>
        <v/>
      </c>
      <c r="AL188" s="32" t="str">
        <f t="shared" si="340"/>
        <v/>
      </c>
      <c r="AM188" s="32" t="str">
        <f t="shared" ref="AM188:AS188" si="341">IF(AM$3="","",AL188)</f>
        <v/>
      </c>
      <c r="AN188" s="32" t="str">
        <f t="shared" si="341"/>
        <v/>
      </c>
      <c r="AO188" s="32" t="str">
        <f t="shared" si="341"/>
        <v/>
      </c>
      <c r="AP188" s="32" t="str">
        <f t="shared" si="341"/>
        <v/>
      </c>
      <c r="AQ188" s="32" t="str">
        <f t="shared" si="341"/>
        <v/>
      </c>
      <c r="AR188" s="32" t="str">
        <f t="shared" si="341"/>
        <v/>
      </c>
      <c r="AS188" s="32" t="str">
        <f t="shared" si="341"/>
        <v/>
      </c>
    </row>
    <row r="189" spans="1:45">
      <c r="A189" s="7">
        <f>AVERAGE(C190:AS190)*30*100</f>
        <v>37100</v>
      </c>
      <c r="B189" s="30" t="s">
        <v>14</v>
      </c>
      <c r="C189" s="65"/>
      <c r="D189" s="29"/>
      <c r="E189" s="29"/>
      <c r="F189" s="54"/>
      <c r="G189" s="29"/>
      <c r="H189" s="29"/>
      <c r="I189" s="54"/>
      <c r="J189" s="29"/>
      <c r="K189" s="29"/>
      <c r="L189" s="54"/>
      <c r="M189" s="29"/>
      <c r="N189" s="29"/>
      <c r="O189" s="29"/>
      <c r="P189" s="54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 spans="1:45">
      <c r="A190" s="7">
        <f>SUM(C190:AS190)</f>
        <v>371</v>
      </c>
      <c r="B190" s="27" t="s">
        <v>15</v>
      </c>
      <c r="C190" s="65">
        <v>0</v>
      </c>
      <c r="D190" s="26">
        <f t="shared" ref="D190:AL190" si="342">IF(D$3="","",D183-C183)</f>
        <v>0</v>
      </c>
      <c r="E190" s="26">
        <f t="shared" si="342"/>
        <v>66</v>
      </c>
      <c r="F190" s="54">
        <f t="shared" si="342"/>
        <v>0</v>
      </c>
      <c r="G190" s="26">
        <f t="shared" si="342"/>
        <v>0</v>
      </c>
      <c r="H190" s="26">
        <f t="shared" si="342"/>
        <v>65</v>
      </c>
      <c r="I190" s="54">
        <f t="shared" si="342"/>
        <v>0</v>
      </c>
      <c r="J190" s="26">
        <f t="shared" si="342"/>
        <v>0</v>
      </c>
      <c r="K190" s="26">
        <f t="shared" si="342"/>
        <v>47</v>
      </c>
      <c r="L190" s="54">
        <f t="shared" si="342"/>
        <v>0</v>
      </c>
      <c r="M190" s="26">
        <f t="shared" si="342"/>
        <v>0</v>
      </c>
      <c r="N190" s="26">
        <f t="shared" si="342"/>
        <v>0</v>
      </c>
      <c r="O190" s="26">
        <f t="shared" si="342"/>
        <v>34</v>
      </c>
      <c r="P190" s="54">
        <f t="shared" si="342"/>
        <v>0</v>
      </c>
      <c r="Q190" s="26">
        <f t="shared" si="342"/>
        <v>0</v>
      </c>
      <c r="R190" s="26">
        <f t="shared" si="342"/>
        <v>29</v>
      </c>
      <c r="S190" s="26">
        <f t="shared" si="342"/>
        <v>0</v>
      </c>
      <c r="T190" s="26">
        <f t="shared" si="342"/>
        <v>0</v>
      </c>
      <c r="U190" s="26">
        <f t="shared" si="342"/>
        <v>0</v>
      </c>
      <c r="V190" s="26">
        <f t="shared" si="342"/>
        <v>23</v>
      </c>
      <c r="W190" s="26">
        <f t="shared" si="342"/>
        <v>0</v>
      </c>
      <c r="X190" s="26">
        <f t="shared" si="342"/>
        <v>0</v>
      </c>
      <c r="Y190" s="26">
        <f t="shared" si="342"/>
        <v>40</v>
      </c>
      <c r="Z190" s="26">
        <f t="shared" si="342"/>
        <v>0</v>
      </c>
      <c r="AA190" s="26">
        <f t="shared" si="342"/>
        <v>0</v>
      </c>
      <c r="AB190" s="26">
        <f t="shared" si="342"/>
        <v>0</v>
      </c>
      <c r="AC190" s="26">
        <f t="shared" si="342"/>
        <v>44</v>
      </c>
      <c r="AD190" s="26">
        <f t="shared" si="342"/>
        <v>0</v>
      </c>
      <c r="AE190" s="26">
        <f t="shared" si="342"/>
        <v>0</v>
      </c>
      <c r="AF190" s="26">
        <f t="shared" si="342"/>
        <v>23</v>
      </c>
      <c r="AG190" s="26" t="str">
        <f t="shared" si="342"/>
        <v/>
      </c>
      <c r="AH190" s="26" t="str">
        <f t="shared" si="342"/>
        <v/>
      </c>
      <c r="AI190" s="26" t="str">
        <f t="shared" si="342"/>
        <v/>
      </c>
      <c r="AJ190" s="26" t="str">
        <f t="shared" si="342"/>
        <v/>
      </c>
      <c r="AK190" s="26" t="str">
        <f t="shared" si="342"/>
        <v/>
      </c>
      <c r="AL190" s="26" t="str">
        <f t="shared" si="342"/>
        <v/>
      </c>
      <c r="AM190" s="26" t="str">
        <f t="shared" ref="AM190:AS190" si="343">IF(AM$3="","",AM183-AL183)</f>
        <v/>
      </c>
      <c r="AN190" s="26" t="str">
        <f t="shared" si="343"/>
        <v/>
      </c>
      <c r="AO190" s="26" t="str">
        <f t="shared" si="343"/>
        <v/>
      </c>
      <c r="AP190" s="26" t="str">
        <f t="shared" si="343"/>
        <v/>
      </c>
      <c r="AQ190" s="26" t="str">
        <f t="shared" si="343"/>
        <v/>
      </c>
      <c r="AR190" s="26" t="str">
        <f t="shared" si="343"/>
        <v/>
      </c>
      <c r="AS190" s="26" t="str">
        <f t="shared" si="343"/>
        <v/>
      </c>
    </row>
    <row r="191" spans="1:45">
      <c r="A191" s="7">
        <f>SUM(C191:AS191)</f>
        <v>15</v>
      </c>
      <c r="B191" s="27" t="s">
        <v>16</v>
      </c>
      <c r="C191" s="65">
        <v>0</v>
      </c>
      <c r="D191" s="26">
        <f t="shared" ref="D191:AL191" si="344">IF(D$3="","",D184-C184)</f>
        <v>0</v>
      </c>
      <c r="E191" s="26">
        <f t="shared" si="344"/>
        <v>0</v>
      </c>
      <c r="F191" s="54">
        <f t="shared" si="344"/>
        <v>0</v>
      </c>
      <c r="G191" s="26">
        <f t="shared" si="344"/>
        <v>0</v>
      </c>
      <c r="H191" s="26">
        <f t="shared" si="344"/>
        <v>1</v>
      </c>
      <c r="I191" s="54">
        <f t="shared" si="344"/>
        <v>0</v>
      </c>
      <c r="J191" s="26">
        <f t="shared" si="344"/>
        <v>0</v>
      </c>
      <c r="K191" s="26">
        <f t="shared" si="344"/>
        <v>1</v>
      </c>
      <c r="L191" s="54">
        <f t="shared" si="344"/>
        <v>0</v>
      </c>
      <c r="M191" s="26">
        <f t="shared" si="344"/>
        <v>0</v>
      </c>
      <c r="N191" s="26">
        <f t="shared" si="344"/>
        <v>0</v>
      </c>
      <c r="O191" s="26">
        <f t="shared" si="344"/>
        <v>0</v>
      </c>
      <c r="P191" s="54">
        <f t="shared" si="344"/>
        <v>0</v>
      </c>
      <c r="Q191" s="26">
        <f t="shared" si="344"/>
        <v>0</v>
      </c>
      <c r="R191" s="26">
        <f t="shared" si="344"/>
        <v>0</v>
      </c>
      <c r="S191" s="26">
        <f t="shared" si="344"/>
        <v>0</v>
      </c>
      <c r="T191" s="26">
        <f t="shared" si="344"/>
        <v>0</v>
      </c>
      <c r="U191" s="26">
        <f t="shared" si="344"/>
        <v>0</v>
      </c>
      <c r="V191" s="26">
        <f t="shared" si="344"/>
        <v>1</v>
      </c>
      <c r="W191" s="26">
        <f t="shared" si="344"/>
        <v>0</v>
      </c>
      <c r="X191" s="26">
        <f t="shared" si="344"/>
        <v>0</v>
      </c>
      <c r="Y191" s="26">
        <f t="shared" si="344"/>
        <v>0</v>
      </c>
      <c r="Z191" s="26">
        <f t="shared" si="344"/>
        <v>0</v>
      </c>
      <c r="AA191" s="26">
        <f t="shared" si="344"/>
        <v>0</v>
      </c>
      <c r="AB191" s="26">
        <f t="shared" si="344"/>
        <v>0</v>
      </c>
      <c r="AC191" s="26">
        <f t="shared" si="344"/>
        <v>12</v>
      </c>
      <c r="AD191" s="26">
        <f t="shared" si="344"/>
        <v>0</v>
      </c>
      <c r="AE191" s="26">
        <f t="shared" si="344"/>
        <v>0</v>
      </c>
      <c r="AF191" s="26">
        <f t="shared" si="344"/>
        <v>0</v>
      </c>
      <c r="AG191" s="26" t="str">
        <f t="shared" si="344"/>
        <v/>
      </c>
      <c r="AH191" s="26" t="str">
        <f t="shared" si="344"/>
        <v/>
      </c>
      <c r="AI191" s="26" t="str">
        <f t="shared" si="344"/>
        <v/>
      </c>
      <c r="AJ191" s="26" t="str">
        <f t="shared" si="344"/>
        <v/>
      </c>
      <c r="AK191" s="26" t="str">
        <f t="shared" si="344"/>
        <v/>
      </c>
      <c r="AL191" s="26" t="str">
        <f t="shared" si="344"/>
        <v/>
      </c>
      <c r="AM191" s="26" t="str">
        <f t="shared" ref="AM191:AS191" si="345">IF(AM$3="","",AM184-AL184)</f>
        <v/>
      </c>
      <c r="AN191" s="26" t="str">
        <f t="shared" si="345"/>
        <v/>
      </c>
      <c r="AO191" s="26" t="str">
        <f t="shared" si="345"/>
        <v/>
      </c>
      <c r="AP191" s="26" t="str">
        <f t="shared" si="345"/>
        <v/>
      </c>
      <c r="AQ191" s="26" t="str">
        <f t="shared" si="345"/>
        <v/>
      </c>
      <c r="AR191" s="26" t="str">
        <f t="shared" si="345"/>
        <v/>
      </c>
      <c r="AS191" s="26" t="str">
        <f t="shared" si="345"/>
        <v/>
      </c>
    </row>
    <row r="192" spans="1:45">
      <c r="A192" s="7">
        <f>SUM(C192:AS192)</f>
        <v>15</v>
      </c>
      <c r="B192" s="27" t="s">
        <v>17</v>
      </c>
      <c r="C192" s="65">
        <v>0</v>
      </c>
      <c r="D192" s="26">
        <f t="shared" ref="D192:AL192" si="346">IF(D$3="","",C185+C186-D185)</f>
        <v>0</v>
      </c>
      <c r="E192" s="26">
        <f t="shared" si="346"/>
        <v>0</v>
      </c>
      <c r="F192" s="54">
        <f t="shared" si="346"/>
        <v>0</v>
      </c>
      <c r="G192" s="26">
        <f t="shared" si="346"/>
        <v>0</v>
      </c>
      <c r="H192" s="26">
        <f t="shared" si="346"/>
        <v>1</v>
      </c>
      <c r="I192" s="54">
        <f t="shared" si="346"/>
        <v>0</v>
      </c>
      <c r="J192" s="26">
        <f t="shared" si="346"/>
        <v>0</v>
      </c>
      <c r="K192" s="26">
        <f t="shared" si="346"/>
        <v>1</v>
      </c>
      <c r="L192" s="54">
        <f t="shared" si="346"/>
        <v>0</v>
      </c>
      <c r="M192" s="26">
        <f t="shared" si="346"/>
        <v>0</v>
      </c>
      <c r="N192" s="26">
        <f t="shared" si="346"/>
        <v>0</v>
      </c>
      <c r="O192" s="26">
        <f t="shared" si="346"/>
        <v>0</v>
      </c>
      <c r="P192" s="54">
        <f t="shared" si="346"/>
        <v>0</v>
      </c>
      <c r="Q192" s="26">
        <f t="shared" si="346"/>
        <v>0</v>
      </c>
      <c r="R192" s="26">
        <f t="shared" si="346"/>
        <v>0</v>
      </c>
      <c r="S192" s="26">
        <f t="shared" si="346"/>
        <v>0</v>
      </c>
      <c r="T192" s="26">
        <f t="shared" si="346"/>
        <v>0</v>
      </c>
      <c r="U192" s="26">
        <f t="shared" si="346"/>
        <v>0</v>
      </c>
      <c r="V192" s="26">
        <f t="shared" si="346"/>
        <v>1</v>
      </c>
      <c r="W192" s="26">
        <f t="shared" si="346"/>
        <v>0</v>
      </c>
      <c r="X192" s="26">
        <f t="shared" si="346"/>
        <v>0</v>
      </c>
      <c r="Y192" s="26">
        <f t="shared" si="346"/>
        <v>0</v>
      </c>
      <c r="Z192" s="26">
        <f t="shared" si="346"/>
        <v>0</v>
      </c>
      <c r="AA192" s="26">
        <f t="shared" si="346"/>
        <v>0</v>
      </c>
      <c r="AB192" s="26">
        <f t="shared" si="346"/>
        <v>0</v>
      </c>
      <c r="AC192" s="26">
        <f t="shared" si="346"/>
        <v>12</v>
      </c>
      <c r="AD192" s="26">
        <f t="shared" si="346"/>
        <v>0</v>
      </c>
      <c r="AE192" s="26">
        <f t="shared" si="346"/>
        <v>0</v>
      </c>
      <c r="AF192" s="26">
        <f t="shared" si="346"/>
        <v>0</v>
      </c>
      <c r="AG192" s="26" t="str">
        <f t="shared" si="346"/>
        <v/>
      </c>
      <c r="AH192" s="26" t="str">
        <f t="shared" si="346"/>
        <v/>
      </c>
      <c r="AI192" s="26" t="str">
        <f t="shared" si="346"/>
        <v/>
      </c>
      <c r="AJ192" s="26" t="str">
        <f t="shared" si="346"/>
        <v/>
      </c>
      <c r="AK192" s="26" t="str">
        <f t="shared" si="346"/>
        <v/>
      </c>
      <c r="AL192" s="26" t="str">
        <f t="shared" si="346"/>
        <v/>
      </c>
      <c r="AM192" s="26" t="str">
        <f t="shared" ref="AM192:AS192" si="347">IF(AM$3="","",AL185+AL186-AM185)</f>
        <v/>
      </c>
      <c r="AN192" s="26" t="str">
        <f t="shared" si="347"/>
        <v/>
      </c>
      <c r="AO192" s="26" t="str">
        <f t="shared" si="347"/>
        <v/>
      </c>
      <c r="AP192" s="26" t="str">
        <f t="shared" si="347"/>
        <v/>
      </c>
      <c r="AQ192" s="26" t="str">
        <f t="shared" si="347"/>
        <v/>
      </c>
      <c r="AR192" s="26" t="str">
        <f t="shared" si="347"/>
        <v/>
      </c>
      <c r="AS192" s="26" t="str">
        <f t="shared" si="347"/>
        <v/>
      </c>
    </row>
    <row r="193" spans="1:45">
      <c r="A193" s="7">
        <f>SUM(C193:AS193)</f>
        <v>12000</v>
      </c>
      <c r="B193" s="27" t="s">
        <v>18</v>
      </c>
      <c r="C193" s="65">
        <v>0</v>
      </c>
      <c r="D193" s="26">
        <f t="shared" ref="D193:AL193" si="348">IF(D$3="","",D192*D187)</f>
        <v>0</v>
      </c>
      <c r="E193" s="26">
        <f t="shared" si="348"/>
        <v>0</v>
      </c>
      <c r="F193" s="54">
        <f t="shared" si="348"/>
        <v>0</v>
      </c>
      <c r="G193" s="26">
        <f t="shared" si="348"/>
        <v>0</v>
      </c>
      <c r="H193" s="26">
        <f t="shared" si="348"/>
        <v>800</v>
      </c>
      <c r="I193" s="54">
        <f t="shared" si="348"/>
        <v>0</v>
      </c>
      <c r="J193" s="26">
        <f t="shared" si="348"/>
        <v>0</v>
      </c>
      <c r="K193" s="26">
        <f t="shared" si="348"/>
        <v>800</v>
      </c>
      <c r="L193" s="54">
        <f t="shared" si="348"/>
        <v>0</v>
      </c>
      <c r="M193" s="26">
        <f t="shared" si="348"/>
        <v>0</v>
      </c>
      <c r="N193" s="26">
        <f t="shared" si="348"/>
        <v>0</v>
      </c>
      <c r="O193" s="26">
        <f t="shared" si="348"/>
        <v>0</v>
      </c>
      <c r="P193" s="54">
        <f t="shared" si="348"/>
        <v>0</v>
      </c>
      <c r="Q193" s="26">
        <f t="shared" si="348"/>
        <v>0</v>
      </c>
      <c r="R193" s="26">
        <f t="shared" si="348"/>
        <v>0</v>
      </c>
      <c r="S193" s="26">
        <f t="shared" si="348"/>
        <v>0</v>
      </c>
      <c r="T193" s="26">
        <f t="shared" si="348"/>
        <v>0</v>
      </c>
      <c r="U193" s="26">
        <f t="shared" si="348"/>
        <v>0</v>
      </c>
      <c r="V193" s="26">
        <f t="shared" si="348"/>
        <v>800</v>
      </c>
      <c r="W193" s="26">
        <f t="shared" si="348"/>
        <v>0</v>
      </c>
      <c r="X193" s="26">
        <f t="shared" si="348"/>
        <v>0</v>
      </c>
      <c r="Y193" s="26">
        <f t="shared" si="348"/>
        <v>0</v>
      </c>
      <c r="Z193" s="26">
        <f t="shared" si="348"/>
        <v>0</v>
      </c>
      <c r="AA193" s="26">
        <f t="shared" si="348"/>
        <v>0</v>
      </c>
      <c r="AB193" s="26">
        <f t="shared" si="348"/>
        <v>0</v>
      </c>
      <c r="AC193" s="26">
        <f t="shared" si="348"/>
        <v>9600</v>
      </c>
      <c r="AD193" s="26">
        <f t="shared" si="348"/>
        <v>0</v>
      </c>
      <c r="AE193" s="26">
        <f t="shared" si="348"/>
        <v>0</v>
      </c>
      <c r="AF193" s="26">
        <f t="shared" si="348"/>
        <v>0</v>
      </c>
      <c r="AG193" s="26" t="str">
        <f t="shared" si="348"/>
        <v/>
      </c>
      <c r="AH193" s="26" t="str">
        <f t="shared" si="348"/>
        <v/>
      </c>
      <c r="AI193" s="26" t="str">
        <f t="shared" si="348"/>
        <v/>
      </c>
      <c r="AJ193" s="26" t="str">
        <f t="shared" si="348"/>
        <v/>
      </c>
      <c r="AK193" s="26" t="str">
        <f t="shared" si="348"/>
        <v/>
      </c>
      <c r="AL193" s="26" t="str">
        <f t="shared" si="348"/>
        <v/>
      </c>
      <c r="AM193" s="26" t="str">
        <f t="shared" ref="AM193:AS193" si="349">IF(AM$3="","",AM192*AM187)</f>
        <v/>
      </c>
      <c r="AN193" s="26" t="str">
        <f t="shared" si="349"/>
        <v/>
      </c>
      <c r="AO193" s="26" t="str">
        <f t="shared" si="349"/>
        <v/>
      </c>
      <c r="AP193" s="26" t="str">
        <f t="shared" si="349"/>
        <v/>
      </c>
      <c r="AQ193" s="26" t="str">
        <f t="shared" si="349"/>
        <v/>
      </c>
      <c r="AR193" s="26" t="str">
        <f t="shared" si="349"/>
        <v/>
      </c>
      <c r="AS193" s="26" t="str">
        <f t="shared" si="349"/>
        <v/>
      </c>
    </row>
    <row r="194" spans="1:45" ht="12" thickBot="1">
      <c r="A194" s="4">
        <f>IF(A193="","",A193/(A190*100))</f>
        <v>0.32345013477088946</v>
      </c>
      <c r="B194" s="24" t="s">
        <v>20</v>
      </c>
      <c r="C194" s="67" t="s">
        <v>21</v>
      </c>
      <c r="D194" s="23" t="str">
        <f t="shared" ref="D194:AL194" si="350">IF(D$3="","",IF(D193=0,"",D193/(D190*100)))</f>
        <v/>
      </c>
      <c r="E194" s="23" t="str">
        <f t="shared" si="350"/>
        <v/>
      </c>
      <c r="F194" s="52" t="str">
        <f t="shared" si="350"/>
        <v/>
      </c>
      <c r="G194" s="23" t="str">
        <f t="shared" si="350"/>
        <v/>
      </c>
      <c r="H194" s="23">
        <f t="shared" si="350"/>
        <v>0.12307692307692308</v>
      </c>
      <c r="I194" s="52" t="str">
        <f t="shared" si="350"/>
        <v/>
      </c>
      <c r="J194" s="23" t="str">
        <f t="shared" si="350"/>
        <v/>
      </c>
      <c r="K194" s="23">
        <f t="shared" si="350"/>
        <v>0.1702127659574468</v>
      </c>
      <c r="L194" s="52" t="str">
        <f t="shared" si="350"/>
        <v/>
      </c>
      <c r="M194" s="23" t="str">
        <f t="shared" si="350"/>
        <v/>
      </c>
      <c r="N194" s="23" t="str">
        <f t="shared" si="350"/>
        <v/>
      </c>
      <c r="O194" s="23" t="str">
        <f t="shared" si="350"/>
        <v/>
      </c>
      <c r="P194" s="52" t="str">
        <f t="shared" si="350"/>
        <v/>
      </c>
      <c r="Q194" s="23" t="str">
        <f t="shared" si="350"/>
        <v/>
      </c>
      <c r="R194" s="23" t="str">
        <f t="shared" si="350"/>
        <v/>
      </c>
      <c r="S194" s="23" t="str">
        <f t="shared" si="350"/>
        <v/>
      </c>
      <c r="T194" s="23" t="str">
        <f t="shared" si="350"/>
        <v/>
      </c>
      <c r="U194" s="23" t="str">
        <f t="shared" si="350"/>
        <v/>
      </c>
      <c r="V194" s="23">
        <f t="shared" si="350"/>
        <v>0.34782608695652173</v>
      </c>
      <c r="W194" s="23" t="str">
        <f t="shared" si="350"/>
        <v/>
      </c>
      <c r="X194" s="23" t="str">
        <f t="shared" si="350"/>
        <v/>
      </c>
      <c r="Y194" s="23" t="str">
        <f t="shared" si="350"/>
        <v/>
      </c>
      <c r="Z194" s="23" t="str">
        <f t="shared" si="350"/>
        <v/>
      </c>
      <c r="AA194" s="23" t="str">
        <f t="shared" si="350"/>
        <v/>
      </c>
      <c r="AB194" s="23" t="str">
        <f t="shared" si="350"/>
        <v/>
      </c>
      <c r="AC194" s="23">
        <f t="shared" si="350"/>
        <v>2.1818181818181817</v>
      </c>
      <c r="AD194" s="23" t="str">
        <f t="shared" si="350"/>
        <v/>
      </c>
      <c r="AE194" s="23" t="str">
        <f t="shared" si="350"/>
        <v/>
      </c>
      <c r="AF194" s="23" t="str">
        <f t="shared" si="350"/>
        <v/>
      </c>
      <c r="AG194" s="23" t="str">
        <f t="shared" si="350"/>
        <v/>
      </c>
      <c r="AH194" s="23" t="str">
        <f t="shared" si="350"/>
        <v/>
      </c>
      <c r="AI194" s="23" t="str">
        <f t="shared" si="350"/>
        <v/>
      </c>
      <c r="AJ194" s="23" t="str">
        <f t="shared" si="350"/>
        <v/>
      </c>
      <c r="AK194" s="23" t="str">
        <f t="shared" si="350"/>
        <v/>
      </c>
      <c r="AL194" s="23" t="str">
        <f t="shared" si="350"/>
        <v/>
      </c>
      <c r="AM194" s="23" t="str">
        <f t="shared" ref="AM194:AS194" si="351">IF(AM$3="","",IF(AM193=0,"",AM193/(AM190*100)))</f>
        <v/>
      </c>
      <c r="AN194" s="23" t="str">
        <f t="shared" si="351"/>
        <v/>
      </c>
      <c r="AO194" s="23" t="str">
        <f t="shared" si="351"/>
        <v/>
      </c>
      <c r="AP194" s="23" t="str">
        <f t="shared" si="351"/>
        <v/>
      </c>
      <c r="AQ194" s="23" t="str">
        <f t="shared" si="351"/>
        <v/>
      </c>
      <c r="AR194" s="23" t="str">
        <f t="shared" si="351"/>
        <v/>
      </c>
      <c r="AS194" s="23" t="str">
        <f t="shared" si="351"/>
        <v/>
      </c>
    </row>
    <row r="195" spans="1:45">
      <c r="A195" s="17" t="s">
        <v>1</v>
      </c>
      <c r="B195" s="39" t="s">
        <v>2</v>
      </c>
      <c r="C195" s="66">
        <v>4363</v>
      </c>
      <c r="D195" s="38">
        <f>IF(D$3="","",C195)</f>
        <v>4363</v>
      </c>
      <c r="E195" s="38">
        <v>4403</v>
      </c>
      <c r="F195" s="127">
        <f>IF(F$3="","",E195)</f>
        <v>4403</v>
      </c>
      <c r="G195" s="38">
        <f>IF(G$3="","",F195)</f>
        <v>4403</v>
      </c>
      <c r="H195" s="38">
        <v>4416</v>
      </c>
      <c r="I195" s="127">
        <f>IF(I$3="","",H195)</f>
        <v>4416</v>
      </c>
      <c r="J195" s="38">
        <f>IF(J$3="","",I195)</f>
        <v>4416</v>
      </c>
      <c r="K195" s="38">
        <v>4517</v>
      </c>
      <c r="L195" s="127">
        <f t="shared" ref="L195:N196" si="352">IF(L$3="","",K195)</f>
        <v>4517</v>
      </c>
      <c r="M195" s="38">
        <f t="shared" si="352"/>
        <v>4517</v>
      </c>
      <c r="N195" s="38">
        <f t="shared" si="352"/>
        <v>4517</v>
      </c>
      <c r="O195" s="38">
        <v>4550</v>
      </c>
      <c r="P195" s="127">
        <f>IF(P$3="","",O195)</f>
        <v>4550</v>
      </c>
      <c r="Q195" s="38">
        <f>IF(Q$3="","",P195)</f>
        <v>4550</v>
      </c>
      <c r="R195" s="38">
        <v>4615</v>
      </c>
      <c r="S195" s="38">
        <f t="shared" ref="S195:AL195" si="353">IF(S$3="","",R195)</f>
        <v>4615</v>
      </c>
      <c r="T195" s="38">
        <f t="shared" si="353"/>
        <v>4615</v>
      </c>
      <c r="U195" s="38">
        <f t="shared" si="353"/>
        <v>4615</v>
      </c>
      <c r="V195" s="38">
        <v>4638</v>
      </c>
      <c r="W195" s="38">
        <f t="shared" si="353"/>
        <v>4638</v>
      </c>
      <c r="X195" s="38">
        <f t="shared" si="353"/>
        <v>4638</v>
      </c>
      <c r="Y195" s="38">
        <v>4695</v>
      </c>
      <c r="Z195" s="38">
        <f t="shared" si="353"/>
        <v>4695</v>
      </c>
      <c r="AA195" s="38">
        <f t="shared" si="353"/>
        <v>4695</v>
      </c>
      <c r="AB195" s="38">
        <f t="shared" si="353"/>
        <v>4695</v>
      </c>
      <c r="AC195" s="38">
        <v>4736</v>
      </c>
      <c r="AD195" s="38">
        <f t="shared" si="353"/>
        <v>4736</v>
      </c>
      <c r="AE195" s="38">
        <f t="shared" si="353"/>
        <v>4736</v>
      </c>
      <c r="AF195" s="38">
        <v>4765</v>
      </c>
      <c r="AG195" s="38" t="str">
        <f t="shared" si="353"/>
        <v/>
      </c>
      <c r="AH195" s="38" t="str">
        <f t="shared" si="353"/>
        <v/>
      </c>
      <c r="AI195" s="38" t="str">
        <f t="shared" si="353"/>
        <v/>
      </c>
      <c r="AJ195" s="38" t="str">
        <f t="shared" si="353"/>
        <v/>
      </c>
      <c r="AK195" s="38" t="str">
        <f t="shared" si="353"/>
        <v/>
      </c>
      <c r="AL195" s="38" t="str">
        <f t="shared" si="353"/>
        <v/>
      </c>
      <c r="AM195" s="38" t="str">
        <f t="shared" ref="AM195:AS195" si="354">IF(AM$3="","",AL195)</f>
        <v/>
      </c>
      <c r="AN195" s="38" t="str">
        <f t="shared" si="354"/>
        <v/>
      </c>
      <c r="AO195" s="38" t="str">
        <f t="shared" si="354"/>
        <v/>
      </c>
      <c r="AP195" s="38" t="str">
        <f t="shared" si="354"/>
        <v/>
      </c>
      <c r="AQ195" s="38" t="str">
        <f t="shared" si="354"/>
        <v/>
      </c>
      <c r="AR195" s="38" t="str">
        <f t="shared" si="354"/>
        <v/>
      </c>
      <c r="AS195" s="38" t="str">
        <f t="shared" si="354"/>
        <v/>
      </c>
    </row>
    <row r="196" spans="1:45">
      <c r="A196" s="16" t="s">
        <v>51</v>
      </c>
      <c r="B196" s="30" t="s">
        <v>4</v>
      </c>
      <c r="C196" s="65">
        <v>169</v>
      </c>
      <c r="D196" s="29">
        <f>IF(D$3="","",C196)</f>
        <v>169</v>
      </c>
      <c r="E196" s="29">
        <v>170</v>
      </c>
      <c r="F196" s="54">
        <f>IF(F$3="","",E196)</f>
        <v>170</v>
      </c>
      <c r="G196" s="29">
        <f>IF(G$3="","",F196)</f>
        <v>170</v>
      </c>
      <c r="H196" s="29">
        <v>171</v>
      </c>
      <c r="I196" s="54">
        <f>IF(I$3="","",H196)</f>
        <v>171</v>
      </c>
      <c r="J196" s="29">
        <f>IF(J$3="","",I196)</f>
        <v>171</v>
      </c>
      <c r="K196" s="29">
        <v>173</v>
      </c>
      <c r="L196" s="54">
        <f t="shared" si="352"/>
        <v>173</v>
      </c>
      <c r="M196" s="29">
        <f t="shared" si="352"/>
        <v>173</v>
      </c>
      <c r="N196" s="29">
        <f t="shared" si="352"/>
        <v>173</v>
      </c>
      <c r="O196" s="29">
        <v>174</v>
      </c>
      <c r="P196" s="54">
        <f>IF(P$3="","",O196)</f>
        <v>174</v>
      </c>
      <c r="Q196" s="29">
        <f>IF(Q$3="","",P196)</f>
        <v>174</v>
      </c>
      <c r="R196" s="29">
        <f>IF(R$3="","",Q196)</f>
        <v>174</v>
      </c>
      <c r="S196" s="29">
        <f t="shared" ref="S196:AL196" si="355">IF(S$3="","",R196)</f>
        <v>174</v>
      </c>
      <c r="T196" s="29">
        <f t="shared" si="355"/>
        <v>174</v>
      </c>
      <c r="U196" s="29">
        <f t="shared" si="355"/>
        <v>174</v>
      </c>
      <c r="V196" s="29">
        <v>175</v>
      </c>
      <c r="W196" s="29">
        <f t="shared" si="355"/>
        <v>175</v>
      </c>
      <c r="X196" s="29">
        <f t="shared" si="355"/>
        <v>175</v>
      </c>
      <c r="Y196" s="29">
        <v>176</v>
      </c>
      <c r="Z196" s="29">
        <f t="shared" si="355"/>
        <v>176</v>
      </c>
      <c r="AA196" s="29">
        <f t="shared" si="355"/>
        <v>176</v>
      </c>
      <c r="AB196" s="29">
        <f t="shared" si="355"/>
        <v>176</v>
      </c>
      <c r="AC196" s="29">
        <f t="shared" si="355"/>
        <v>176</v>
      </c>
      <c r="AD196" s="29">
        <f t="shared" si="355"/>
        <v>176</v>
      </c>
      <c r="AE196" s="29">
        <f t="shared" si="355"/>
        <v>176</v>
      </c>
      <c r="AF196" s="29">
        <v>179</v>
      </c>
      <c r="AG196" s="29" t="str">
        <f t="shared" si="355"/>
        <v/>
      </c>
      <c r="AH196" s="29" t="str">
        <f t="shared" si="355"/>
        <v/>
      </c>
      <c r="AI196" s="29" t="str">
        <f t="shared" si="355"/>
        <v/>
      </c>
      <c r="AJ196" s="29" t="str">
        <f t="shared" si="355"/>
        <v/>
      </c>
      <c r="AK196" s="29" t="str">
        <f t="shared" si="355"/>
        <v/>
      </c>
      <c r="AL196" s="29" t="str">
        <f t="shared" si="355"/>
        <v/>
      </c>
      <c r="AM196" s="29" t="str">
        <f t="shared" ref="AM196:AS196" si="356">IF(AM$3="","",AL196)</f>
        <v/>
      </c>
      <c r="AN196" s="29" t="str">
        <f t="shared" si="356"/>
        <v/>
      </c>
      <c r="AO196" s="29" t="str">
        <f t="shared" si="356"/>
        <v/>
      </c>
      <c r="AP196" s="29" t="str">
        <f t="shared" si="356"/>
        <v/>
      </c>
      <c r="AQ196" s="29" t="str">
        <f t="shared" si="356"/>
        <v/>
      </c>
      <c r="AR196" s="29" t="str">
        <f t="shared" si="356"/>
        <v/>
      </c>
      <c r="AS196" s="29" t="str">
        <f t="shared" si="356"/>
        <v/>
      </c>
    </row>
    <row r="197" spans="1:45">
      <c r="A197" s="15">
        <v>1</v>
      </c>
      <c r="B197" s="30" t="s">
        <v>5</v>
      </c>
      <c r="C197" s="65">
        <v>4</v>
      </c>
      <c r="D197" s="29">
        <f>IF(D$3="","",(C197+C198))</f>
        <v>4</v>
      </c>
      <c r="E197" s="29">
        <v>3</v>
      </c>
      <c r="F197" s="54">
        <f>IF(F$3="","",(E197+E198))</f>
        <v>4</v>
      </c>
      <c r="G197" s="29">
        <f>IF(G$3="","",(F197+F198))</f>
        <v>4</v>
      </c>
      <c r="H197" s="29">
        <v>3</v>
      </c>
      <c r="I197" s="54">
        <f>IF(I$3="","",(H197+H198))</f>
        <v>3</v>
      </c>
      <c r="J197" s="29">
        <f>IF(J$3="","",(I197+I198))</f>
        <v>3</v>
      </c>
      <c r="K197" s="29">
        <v>1</v>
      </c>
      <c r="L197" s="54">
        <f t="shared" ref="L197:Q197" si="357">IF(L$3="","",(K197+K198))</f>
        <v>5</v>
      </c>
      <c r="M197" s="29">
        <f t="shared" si="357"/>
        <v>5</v>
      </c>
      <c r="N197" s="29">
        <f t="shared" si="357"/>
        <v>5</v>
      </c>
      <c r="O197" s="29">
        <f t="shared" si="357"/>
        <v>5</v>
      </c>
      <c r="P197" s="54">
        <f t="shared" si="357"/>
        <v>5</v>
      </c>
      <c r="Q197" s="29">
        <f t="shared" si="357"/>
        <v>5</v>
      </c>
      <c r="R197" s="29">
        <v>4</v>
      </c>
      <c r="S197" s="29">
        <f t="shared" ref="S197:AL197" si="358">IF(S$3="","",(R197+R198))</f>
        <v>4</v>
      </c>
      <c r="T197" s="29">
        <f t="shared" si="358"/>
        <v>4</v>
      </c>
      <c r="U197" s="29">
        <f t="shared" si="358"/>
        <v>4</v>
      </c>
      <c r="V197" s="29">
        <v>3</v>
      </c>
      <c r="W197" s="29">
        <f t="shared" si="358"/>
        <v>3</v>
      </c>
      <c r="X197" s="29">
        <f t="shared" si="358"/>
        <v>3</v>
      </c>
      <c r="Y197" s="29">
        <f t="shared" si="358"/>
        <v>3</v>
      </c>
      <c r="Z197" s="29">
        <f t="shared" si="358"/>
        <v>3</v>
      </c>
      <c r="AA197" s="29">
        <f t="shared" si="358"/>
        <v>3</v>
      </c>
      <c r="AB197" s="29">
        <f t="shared" si="358"/>
        <v>3</v>
      </c>
      <c r="AC197" s="29">
        <f t="shared" si="358"/>
        <v>3</v>
      </c>
      <c r="AD197" s="29">
        <f t="shared" si="358"/>
        <v>3</v>
      </c>
      <c r="AE197" s="29">
        <f t="shared" si="358"/>
        <v>3</v>
      </c>
      <c r="AF197" s="29">
        <v>0</v>
      </c>
      <c r="AG197" s="29" t="str">
        <f t="shared" si="358"/>
        <v/>
      </c>
      <c r="AH197" s="29" t="str">
        <f t="shared" si="358"/>
        <v/>
      </c>
      <c r="AI197" s="29" t="str">
        <f t="shared" si="358"/>
        <v/>
      </c>
      <c r="AJ197" s="29" t="str">
        <f t="shared" si="358"/>
        <v/>
      </c>
      <c r="AK197" s="29" t="str">
        <f t="shared" si="358"/>
        <v/>
      </c>
      <c r="AL197" s="29" t="str">
        <f t="shared" si="358"/>
        <v/>
      </c>
      <c r="AM197" s="29" t="str">
        <f t="shared" ref="AM197:AS197" si="359">IF(AM$3="","",(AL197+AL198))</f>
        <v/>
      </c>
      <c r="AN197" s="29" t="str">
        <f t="shared" si="359"/>
        <v/>
      </c>
      <c r="AO197" s="29" t="str">
        <f t="shared" si="359"/>
        <v/>
      </c>
      <c r="AP197" s="29" t="str">
        <f t="shared" si="359"/>
        <v/>
      </c>
      <c r="AQ197" s="29" t="str">
        <f t="shared" si="359"/>
        <v/>
      </c>
      <c r="AR197" s="29" t="str">
        <f t="shared" si="359"/>
        <v/>
      </c>
      <c r="AS197" s="29" t="str">
        <f t="shared" si="359"/>
        <v/>
      </c>
    </row>
    <row r="198" spans="1:45">
      <c r="A198" s="101" t="s">
        <v>6</v>
      </c>
      <c r="B198" s="30" t="s">
        <v>7</v>
      </c>
      <c r="C198" s="65"/>
      <c r="D198" s="29"/>
      <c r="E198" s="29">
        <v>1</v>
      </c>
      <c r="F198" s="54"/>
      <c r="G198" s="29"/>
      <c r="H198" s="29"/>
      <c r="I198" s="54"/>
      <c r="J198" s="29"/>
      <c r="K198" s="29">
        <v>4</v>
      </c>
      <c r="L198" s="54"/>
      <c r="M198" s="29"/>
      <c r="N198" s="29"/>
      <c r="O198" s="29"/>
      <c r="P198" s="54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 spans="1:45">
      <c r="A199" s="102">
        <f>+(A202+A214+A226+A238)*100</f>
        <v>133200</v>
      </c>
      <c r="B199" s="30" t="s">
        <v>8</v>
      </c>
      <c r="C199" s="64">
        <v>400</v>
      </c>
      <c r="D199" s="35">
        <f t="shared" ref="D199:AL199" si="360">IF(D$3="","",C199)</f>
        <v>400</v>
      </c>
      <c r="E199" s="35">
        <f t="shared" si="360"/>
        <v>400</v>
      </c>
      <c r="F199" s="128">
        <f t="shared" si="360"/>
        <v>400</v>
      </c>
      <c r="G199" s="35">
        <f t="shared" si="360"/>
        <v>400</v>
      </c>
      <c r="H199" s="35">
        <f t="shared" si="360"/>
        <v>400</v>
      </c>
      <c r="I199" s="128">
        <f t="shared" si="360"/>
        <v>400</v>
      </c>
      <c r="J199" s="35">
        <f t="shared" si="360"/>
        <v>400</v>
      </c>
      <c r="K199" s="35">
        <f t="shared" si="360"/>
        <v>400</v>
      </c>
      <c r="L199" s="128">
        <f t="shared" si="360"/>
        <v>400</v>
      </c>
      <c r="M199" s="35">
        <f t="shared" si="360"/>
        <v>400</v>
      </c>
      <c r="N199" s="35">
        <f t="shared" si="360"/>
        <v>400</v>
      </c>
      <c r="O199" s="35">
        <f t="shared" si="360"/>
        <v>400</v>
      </c>
      <c r="P199" s="128">
        <f t="shared" si="360"/>
        <v>400</v>
      </c>
      <c r="Q199" s="35">
        <f t="shared" si="360"/>
        <v>400</v>
      </c>
      <c r="R199" s="35">
        <f t="shared" si="360"/>
        <v>400</v>
      </c>
      <c r="S199" s="35">
        <f t="shared" si="360"/>
        <v>400</v>
      </c>
      <c r="T199" s="35">
        <f t="shared" si="360"/>
        <v>400</v>
      </c>
      <c r="U199" s="35">
        <f t="shared" si="360"/>
        <v>400</v>
      </c>
      <c r="V199" s="35">
        <f t="shared" si="360"/>
        <v>400</v>
      </c>
      <c r="W199" s="35">
        <f t="shared" si="360"/>
        <v>400</v>
      </c>
      <c r="X199" s="35">
        <f t="shared" si="360"/>
        <v>400</v>
      </c>
      <c r="Y199" s="35">
        <f t="shared" si="360"/>
        <v>400</v>
      </c>
      <c r="Z199" s="35">
        <f t="shared" si="360"/>
        <v>400</v>
      </c>
      <c r="AA199" s="35">
        <f t="shared" si="360"/>
        <v>400</v>
      </c>
      <c r="AB199" s="35">
        <f t="shared" si="360"/>
        <v>400</v>
      </c>
      <c r="AC199" s="35">
        <f t="shared" si="360"/>
        <v>400</v>
      </c>
      <c r="AD199" s="35">
        <f t="shared" si="360"/>
        <v>400</v>
      </c>
      <c r="AE199" s="35">
        <f t="shared" si="360"/>
        <v>400</v>
      </c>
      <c r="AF199" s="35">
        <f t="shared" si="360"/>
        <v>400</v>
      </c>
      <c r="AG199" s="35" t="str">
        <f t="shared" si="360"/>
        <v/>
      </c>
      <c r="AH199" s="35" t="str">
        <f t="shared" si="360"/>
        <v/>
      </c>
      <c r="AI199" s="35" t="str">
        <f t="shared" si="360"/>
        <v/>
      </c>
      <c r="AJ199" s="35" t="str">
        <f t="shared" si="360"/>
        <v/>
      </c>
      <c r="AK199" s="35" t="str">
        <f t="shared" si="360"/>
        <v/>
      </c>
      <c r="AL199" s="35" t="str">
        <f t="shared" si="360"/>
        <v/>
      </c>
      <c r="AM199" s="35" t="str">
        <f t="shared" ref="AM199:AS199" si="361">IF(AM$3="","",AL199)</f>
        <v/>
      </c>
      <c r="AN199" s="35" t="str">
        <f t="shared" si="361"/>
        <v/>
      </c>
      <c r="AO199" s="35" t="str">
        <f t="shared" si="361"/>
        <v/>
      </c>
      <c r="AP199" s="35" t="str">
        <f t="shared" si="361"/>
        <v/>
      </c>
      <c r="AQ199" s="35" t="str">
        <f t="shared" si="361"/>
        <v/>
      </c>
      <c r="AR199" s="35" t="str">
        <f t="shared" si="361"/>
        <v/>
      </c>
      <c r="AS199" s="35" t="str">
        <f t="shared" si="361"/>
        <v/>
      </c>
    </row>
    <row r="200" spans="1:45" s="94" customFormat="1">
      <c r="A200" s="14" t="s">
        <v>9</v>
      </c>
      <c r="B200" s="33" t="s">
        <v>10</v>
      </c>
      <c r="C200" s="63" t="s">
        <v>52</v>
      </c>
      <c r="D200" s="32" t="str">
        <f t="shared" ref="D200:AL200" si="362">IF(D$3="","",C200)</f>
        <v>モンチッチマスコット</v>
      </c>
      <c r="E200" s="32" t="str">
        <f t="shared" si="362"/>
        <v>モンチッチマスコット</v>
      </c>
      <c r="F200" s="129" t="str">
        <f t="shared" si="362"/>
        <v>モンチッチマスコット</v>
      </c>
      <c r="G200" s="32" t="str">
        <f t="shared" si="362"/>
        <v>モンチッチマスコット</v>
      </c>
      <c r="H200" s="32" t="str">
        <f t="shared" si="362"/>
        <v>モンチッチマスコット</v>
      </c>
      <c r="I200" s="129" t="str">
        <f t="shared" si="362"/>
        <v>モンチッチマスコット</v>
      </c>
      <c r="J200" s="32" t="str">
        <f t="shared" si="362"/>
        <v>モンチッチマスコット</v>
      </c>
      <c r="K200" s="32" t="str">
        <f t="shared" si="362"/>
        <v>モンチッチマスコット</v>
      </c>
      <c r="L200" s="129" t="str">
        <f t="shared" si="362"/>
        <v>モンチッチマスコット</v>
      </c>
      <c r="M200" s="32" t="str">
        <f t="shared" si="362"/>
        <v>モンチッチマスコット</v>
      </c>
      <c r="N200" s="32" t="str">
        <f t="shared" si="362"/>
        <v>モンチッチマスコット</v>
      </c>
      <c r="O200" s="32" t="str">
        <f t="shared" si="362"/>
        <v>モンチッチマスコット</v>
      </c>
      <c r="P200" s="129" t="str">
        <f t="shared" si="362"/>
        <v>モンチッチマスコット</v>
      </c>
      <c r="Q200" s="32" t="str">
        <f t="shared" si="362"/>
        <v>モンチッチマスコット</v>
      </c>
      <c r="R200" s="32" t="str">
        <f t="shared" si="362"/>
        <v>モンチッチマスコット</v>
      </c>
      <c r="S200" s="32" t="str">
        <f t="shared" si="362"/>
        <v>モンチッチマスコット</v>
      </c>
      <c r="T200" s="32" t="str">
        <f t="shared" si="362"/>
        <v>モンチッチマスコット</v>
      </c>
      <c r="U200" s="32" t="str">
        <f t="shared" si="362"/>
        <v>モンチッチマスコット</v>
      </c>
      <c r="V200" s="32" t="str">
        <f t="shared" si="362"/>
        <v>モンチッチマスコット</v>
      </c>
      <c r="W200" s="32" t="str">
        <f t="shared" si="362"/>
        <v>モンチッチマスコット</v>
      </c>
      <c r="X200" s="32" t="str">
        <f t="shared" si="362"/>
        <v>モンチッチマスコット</v>
      </c>
      <c r="Y200" s="32" t="str">
        <f t="shared" si="362"/>
        <v>モンチッチマスコット</v>
      </c>
      <c r="Z200" s="32" t="str">
        <f t="shared" si="362"/>
        <v>モンチッチマスコット</v>
      </c>
      <c r="AA200" s="32" t="str">
        <f t="shared" si="362"/>
        <v>モンチッチマスコット</v>
      </c>
      <c r="AB200" s="32" t="str">
        <f t="shared" si="362"/>
        <v>モンチッチマスコット</v>
      </c>
      <c r="AC200" s="32" t="str">
        <f t="shared" si="362"/>
        <v>モンチッチマスコット</v>
      </c>
      <c r="AD200" s="32" t="str">
        <f t="shared" si="362"/>
        <v>モンチッチマスコット</v>
      </c>
      <c r="AE200" s="32" t="str">
        <f t="shared" si="362"/>
        <v>モンチッチマスコット</v>
      </c>
      <c r="AF200" s="32" t="str">
        <f t="shared" si="362"/>
        <v>モンチッチマスコット</v>
      </c>
      <c r="AG200" s="32" t="str">
        <f t="shared" si="362"/>
        <v/>
      </c>
      <c r="AH200" s="32" t="str">
        <f t="shared" si="362"/>
        <v/>
      </c>
      <c r="AI200" s="32" t="str">
        <f t="shared" si="362"/>
        <v/>
      </c>
      <c r="AJ200" s="32" t="str">
        <f t="shared" si="362"/>
        <v/>
      </c>
      <c r="AK200" s="32" t="str">
        <f t="shared" si="362"/>
        <v/>
      </c>
      <c r="AL200" s="32" t="str">
        <f t="shared" si="362"/>
        <v/>
      </c>
      <c r="AM200" s="32" t="str">
        <f t="shared" ref="AM200:AS200" si="363">IF(AM$3="","",AL200)</f>
        <v/>
      </c>
      <c r="AN200" s="32" t="str">
        <f t="shared" si="363"/>
        <v/>
      </c>
      <c r="AO200" s="32" t="str">
        <f t="shared" si="363"/>
        <v/>
      </c>
      <c r="AP200" s="32" t="str">
        <f t="shared" si="363"/>
        <v/>
      </c>
      <c r="AQ200" s="32" t="str">
        <f t="shared" si="363"/>
        <v/>
      </c>
      <c r="AR200" s="32" t="str">
        <f t="shared" si="363"/>
        <v/>
      </c>
      <c r="AS200" s="32" t="str">
        <f t="shared" si="363"/>
        <v/>
      </c>
    </row>
    <row r="201" spans="1:45">
      <c r="A201" s="7">
        <f>AVERAGE(C202:AS202)*30*100</f>
        <v>40200</v>
      </c>
      <c r="B201" s="30" t="s">
        <v>14</v>
      </c>
      <c r="C201" s="65"/>
      <c r="D201" s="29"/>
      <c r="E201" s="29"/>
      <c r="F201" s="54"/>
      <c r="G201" s="29"/>
      <c r="H201" s="29"/>
      <c r="I201" s="54"/>
      <c r="J201" s="29"/>
      <c r="K201" s="29"/>
      <c r="L201" s="54"/>
      <c r="M201" s="29"/>
      <c r="N201" s="29"/>
      <c r="O201" s="29"/>
      <c r="P201" s="54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 spans="1:45">
      <c r="A202" s="7">
        <f>SUM(C202:AS202)</f>
        <v>402</v>
      </c>
      <c r="B202" s="27" t="s">
        <v>15</v>
      </c>
      <c r="C202" s="65">
        <v>0</v>
      </c>
      <c r="D202" s="26">
        <f t="shared" ref="D202:AL202" si="364">IF(D$3="","",D195-C195)</f>
        <v>0</v>
      </c>
      <c r="E202" s="26">
        <f t="shared" si="364"/>
        <v>40</v>
      </c>
      <c r="F202" s="54">
        <f t="shared" si="364"/>
        <v>0</v>
      </c>
      <c r="G202" s="26">
        <f t="shared" si="364"/>
        <v>0</v>
      </c>
      <c r="H202" s="26">
        <f t="shared" si="364"/>
        <v>13</v>
      </c>
      <c r="I202" s="54">
        <f t="shared" si="364"/>
        <v>0</v>
      </c>
      <c r="J202" s="26">
        <f t="shared" si="364"/>
        <v>0</v>
      </c>
      <c r="K202" s="26">
        <f t="shared" si="364"/>
        <v>101</v>
      </c>
      <c r="L202" s="54">
        <f t="shared" si="364"/>
        <v>0</v>
      </c>
      <c r="M202" s="26">
        <f t="shared" si="364"/>
        <v>0</v>
      </c>
      <c r="N202" s="26">
        <f t="shared" si="364"/>
        <v>0</v>
      </c>
      <c r="O202" s="26">
        <f t="shared" si="364"/>
        <v>33</v>
      </c>
      <c r="P202" s="54">
        <f t="shared" si="364"/>
        <v>0</v>
      </c>
      <c r="Q202" s="26">
        <f t="shared" si="364"/>
        <v>0</v>
      </c>
      <c r="R202" s="26">
        <f t="shared" si="364"/>
        <v>65</v>
      </c>
      <c r="S202" s="26">
        <f t="shared" si="364"/>
        <v>0</v>
      </c>
      <c r="T202" s="26">
        <f t="shared" si="364"/>
        <v>0</v>
      </c>
      <c r="U202" s="26">
        <f t="shared" si="364"/>
        <v>0</v>
      </c>
      <c r="V202" s="26">
        <f t="shared" si="364"/>
        <v>23</v>
      </c>
      <c r="W202" s="26">
        <f t="shared" si="364"/>
        <v>0</v>
      </c>
      <c r="X202" s="26">
        <f t="shared" si="364"/>
        <v>0</v>
      </c>
      <c r="Y202" s="26">
        <f t="shared" si="364"/>
        <v>57</v>
      </c>
      <c r="Z202" s="26">
        <f t="shared" si="364"/>
        <v>0</v>
      </c>
      <c r="AA202" s="26">
        <f t="shared" si="364"/>
        <v>0</v>
      </c>
      <c r="AB202" s="26">
        <f t="shared" si="364"/>
        <v>0</v>
      </c>
      <c r="AC202" s="26">
        <f t="shared" si="364"/>
        <v>41</v>
      </c>
      <c r="AD202" s="26">
        <f t="shared" si="364"/>
        <v>0</v>
      </c>
      <c r="AE202" s="26">
        <f t="shared" si="364"/>
        <v>0</v>
      </c>
      <c r="AF202" s="26">
        <f t="shared" si="364"/>
        <v>29</v>
      </c>
      <c r="AG202" s="26" t="str">
        <f t="shared" si="364"/>
        <v/>
      </c>
      <c r="AH202" s="26" t="str">
        <f t="shared" si="364"/>
        <v/>
      </c>
      <c r="AI202" s="26" t="str">
        <f t="shared" si="364"/>
        <v/>
      </c>
      <c r="AJ202" s="26" t="str">
        <f t="shared" si="364"/>
        <v/>
      </c>
      <c r="AK202" s="26" t="str">
        <f t="shared" si="364"/>
        <v/>
      </c>
      <c r="AL202" s="26" t="str">
        <f t="shared" si="364"/>
        <v/>
      </c>
      <c r="AM202" s="26" t="str">
        <f t="shared" ref="AM202:AS202" si="365">IF(AM$3="","",AM195-AL195)</f>
        <v/>
      </c>
      <c r="AN202" s="26" t="str">
        <f t="shared" si="365"/>
        <v/>
      </c>
      <c r="AO202" s="26" t="str">
        <f t="shared" si="365"/>
        <v/>
      </c>
      <c r="AP202" s="26" t="str">
        <f t="shared" si="365"/>
        <v/>
      </c>
      <c r="AQ202" s="26" t="str">
        <f t="shared" si="365"/>
        <v/>
      </c>
      <c r="AR202" s="26" t="str">
        <f t="shared" si="365"/>
        <v/>
      </c>
      <c r="AS202" s="26" t="str">
        <f t="shared" si="365"/>
        <v/>
      </c>
    </row>
    <row r="203" spans="1:45">
      <c r="A203" s="7">
        <f>SUM(C203:AS203)</f>
        <v>10</v>
      </c>
      <c r="B203" s="27" t="s">
        <v>16</v>
      </c>
      <c r="C203" s="65">
        <v>0</v>
      </c>
      <c r="D203" s="26">
        <f t="shared" ref="D203:AL203" si="366">IF(D$3="","",D196-C196)</f>
        <v>0</v>
      </c>
      <c r="E203" s="26">
        <f t="shared" si="366"/>
        <v>1</v>
      </c>
      <c r="F203" s="54">
        <f t="shared" si="366"/>
        <v>0</v>
      </c>
      <c r="G203" s="26">
        <f t="shared" si="366"/>
        <v>0</v>
      </c>
      <c r="H203" s="26">
        <f t="shared" si="366"/>
        <v>1</v>
      </c>
      <c r="I203" s="54">
        <f t="shared" si="366"/>
        <v>0</v>
      </c>
      <c r="J203" s="26">
        <f t="shared" si="366"/>
        <v>0</v>
      </c>
      <c r="K203" s="26">
        <f t="shared" si="366"/>
        <v>2</v>
      </c>
      <c r="L203" s="54">
        <f t="shared" si="366"/>
        <v>0</v>
      </c>
      <c r="M203" s="26">
        <f t="shared" si="366"/>
        <v>0</v>
      </c>
      <c r="N203" s="26">
        <f t="shared" si="366"/>
        <v>0</v>
      </c>
      <c r="O203" s="26">
        <f t="shared" si="366"/>
        <v>1</v>
      </c>
      <c r="P203" s="54">
        <f t="shared" si="366"/>
        <v>0</v>
      </c>
      <c r="Q203" s="26">
        <f t="shared" si="366"/>
        <v>0</v>
      </c>
      <c r="R203" s="26">
        <f t="shared" si="366"/>
        <v>0</v>
      </c>
      <c r="S203" s="26">
        <f t="shared" si="366"/>
        <v>0</v>
      </c>
      <c r="T203" s="26">
        <f t="shared" si="366"/>
        <v>0</v>
      </c>
      <c r="U203" s="26">
        <f t="shared" si="366"/>
        <v>0</v>
      </c>
      <c r="V203" s="26">
        <f t="shared" si="366"/>
        <v>1</v>
      </c>
      <c r="W203" s="26">
        <f t="shared" si="366"/>
        <v>0</v>
      </c>
      <c r="X203" s="26">
        <f t="shared" si="366"/>
        <v>0</v>
      </c>
      <c r="Y203" s="26">
        <f t="shared" si="366"/>
        <v>1</v>
      </c>
      <c r="Z203" s="26">
        <f t="shared" si="366"/>
        <v>0</v>
      </c>
      <c r="AA203" s="26">
        <f t="shared" si="366"/>
        <v>0</v>
      </c>
      <c r="AB203" s="26">
        <f t="shared" si="366"/>
        <v>0</v>
      </c>
      <c r="AC203" s="26">
        <f t="shared" si="366"/>
        <v>0</v>
      </c>
      <c r="AD203" s="26">
        <f t="shared" si="366"/>
        <v>0</v>
      </c>
      <c r="AE203" s="26">
        <f t="shared" si="366"/>
        <v>0</v>
      </c>
      <c r="AF203" s="26">
        <f t="shared" si="366"/>
        <v>3</v>
      </c>
      <c r="AG203" s="26" t="str">
        <f t="shared" si="366"/>
        <v/>
      </c>
      <c r="AH203" s="26" t="str">
        <f t="shared" si="366"/>
        <v/>
      </c>
      <c r="AI203" s="26" t="str">
        <f t="shared" si="366"/>
        <v/>
      </c>
      <c r="AJ203" s="26" t="str">
        <f t="shared" si="366"/>
        <v/>
      </c>
      <c r="AK203" s="26" t="str">
        <f t="shared" si="366"/>
        <v/>
      </c>
      <c r="AL203" s="26" t="str">
        <f t="shared" si="366"/>
        <v/>
      </c>
      <c r="AM203" s="26" t="str">
        <f t="shared" ref="AM203:AS203" si="367">IF(AM$3="","",AM196-AL196)</f>
        <v/>
      </c>
      <c r="AN203" s="26" t="str">
        <f t="shared" si="367"/>
        <v/>
      </c>
      <c r="AO203" s="26" t="str">
        <f t="shared" si="367"/>
        <v/>
      </c>
      <c r="AP203" s="26" t="str">
        <f t="shared" si="367"/>
        <v/>
      </c>
      <c r="AQ203" s="26" t="str">
        <f t="shared" si="367"/>
        <v/>
      </c>
      <c r="AR203" s="26" t="str">
        <f t="shared" si="367"/>
        <v/>
      </c>
      <c r="AS203" s="26" t="str">
        <f t="shared" si="367"/>
        <v/>
      </c>
    </row>
    <row r="204" spans="1:45">
      <c r="A204" s="7">
        <f>SUM(C204:AS204)</f>
        <v>9</v>
      </c>
      <c r="B204" s="27" t="s">
        <v>17</v>
      </c>
      <c r="C204" s="65">
        <v>0</v>
      </c>
      <c r="D204" s="26">
        <f t="shared" ref="D204:AL204" si="368">IF(D$3="","",C197+C198-D197)</f>
        <v>0</v>
      </c>
      <c r="E204" s="26">
        <f t="shared" si="368"/>
        <v>1</v>
      </c>
      <c r="F204" s="54">
        <f t="shared" si="368"/>
        <v>0</v>
      </c>
      <c r="G204" s="26">
        <f t="shared" si="368"/>
        <v>0</v>
      </c>
      <c r="H204" s="26">
        <f t="shared" si="368"/>
        <v>1</v>
      </c>
      <c r="I204" s="54">
        <f t="shared" si="368"/>
        <v>0</v>
      </c>
      <c r="J204" s="26">
        <f t="shared" si="368"/>
        <v>0</v>
      </c>
      <c r="K204" s="26">
        <f t="shared" si="368"/>
        <v>2</v>
      </c>
      <c r="L204" s="54">
        <f t="shared" si="368"/>
        <v>0</v>
      </c>
      <c r="M204" s="26">
        <f t="shared" si="368"/>
        <v>0</v>
      </c>
      <c r="N204" s="26">
        <f t="shared" si="368"/>
        <v>0</v>
      </c>
      <c r="O204" s="26">
        <f t="shared" si="368"/>
        <v>0</v>
      </c>
      <c r="P204" s="54">
        <f t="shared" si="368"/>
        <v>0</v>
      </c>
      <c r="Q204" s="26">
        <f t="shared" si="368"/>
        <v>0</v>
      </c>
      <c r="R204" s="26">
        <f t="shared" si="368"/>
        <v>1</v>
      </c>
      <c r="S204" s="26">
        <f t="shared" si="368"/>
        <v>0</v>
      </c>
      <c r="T204" s="26">
        <f t="shared" si="368"/>
        <v>0</v>
      </c>
      <c r="U204" s="26">
        <f t="shared" si="368"/>
        <v>0</v>
      </c>
      <c r="V204" s="26">
        <f t="shared" si="368"/>
        <v>1</v>
      </c>
      <c r="W204" s="26">
        <f t="shared" si="368"/>
        <v>0</v>
      </c>
      <c r="X204" s="26">
        <f t="shared" si="368"/>
        <v>0</v>
      </c>
      <c r="Y204" s="26">
        <f t="shared" si="368"/>
        <v>0</v>
      </c>
      <c r="Z204" s="26">
        <f t="shared" si="368"/>
        <v>0</v>
      </c>
      <c r="AA204" s="26">
        <f t="shared" si="368"/>
        <v>0</v>
      </c>
      <c r="AB204" s="26">
        <f t="shared" si="368"/>
        <v>0</v>
      </c>
      <c r="AC204" s="26">
        <f t="shared" si="368"/>
        <v>0</v>
      </c>
      <c r="AD204" s="26">
        <f t="shared" si="368"/>
        <v>0</v>
      </c>
      <c r="AE204" s="26">
        <f t="shared" si="368"/>
        <v>0</v>
      </c>
      <c r="AF204" s="26">
        <f t="shared" si="368"/>
        <v>3</v>
      </c>
      <c r="AG204" s="26" t="str">
        <f t="shared" si="368"/>
        <v/>
      </c>
      <c r="AH204" s="26" t="str">
        <f t="shared" si="368"/>
        <v/>
      </c>
      <c r="AI204" s="26" t="str">
        <f t="shared" si="368"/>
        <v/>
      </c>
      <c r="AJ204" s="26" t="str">
        <f t="shared" si="368"/>
        <v/>
      </c>
      <c r="AK204" s="26" t="str">
        <f t="shared" si="368"/>
        <v/>
      </c>
      <c r="AL204" s="26" t="str">
        <f t="shared" si="368"/>
        <v/>
      </c>
      <c r="AM204" s="26" t="str">
        <f t="shared" ref="AM204:AS204" si="369">IF(AM$3="","",AL197+AL198-AM197)</f>
        <v/>
      </c>
      <c r="AN204" s="26" t="str">
        <f t="shared" si="369"/>
        <v/>
      </c>
      <c r="AO204" s="26" t="str">
        <f t="shared" si="369"/>
        <v/>
      </c>
      <c r="AP204" s="26" t="str">
        <f t="shared" si="369"/>
        <v/>
      </c>
      <c r="AQ204" s="26" t="str">
        <f t="shared" si="369"/>
        <v/>
      </c>
      <c r="AR204" s="26" t="str">
        <f t="shared" si="369"/>
        <v/>
      </c>
      <c r="AS204" s="26" t="str">
        <f t="shared" si="369"/>
        <v/>
      </c>
    </row>
    <row r="205" spans="1:45">
      <c r="A205" s="7">
        <f>SUM(C205:AS205)</f>
        <v>3600</v>
      </c>
      <c r="B205" s="27" t="s">
        <v>18</v>
      </c>
      <c r="C205" s="65">
        <v>0</v>
      </c>
      <c r="D205" s="26">
        <f t="shared" ref="D205:AL205" si="370">IF(D$3="","",D204*D199)</f>
        <v>0</v>
      </c>
      <c r="E205" s="26">
        <f t="shared" si="370"/>
        <v>400</v>
      </c>
      <c r="F205" s="54">
        <f t="shared" si="370"/>
        <v>0</v>
      </c>
      <c r="G205" s="26">
        <f t="shared" si="370"/>
        <v>0</v>
      </c>
      <c r="H205" s="26">
        <f t="shared" si="370"/>
        <v>400</v>
      </c>
      <c r="I205" s="54">
        <f t="shared" si="370"/>
        <v>0</v>
      </c>
      <c r="J205" s="26">
        <f t="shared" si="370"/>
        <v>0</v>
      </c>
      <c r="K205" s="26">
        <f t="shared" si="370"/>
        <v>800</v>
      </c>
      <c r="L205" s="54">
        <f t="shared" si="370"/>
        <v>0</v>
      </c>
      <c r="M205" s="26">
        <f t="shared" si="370"/>
        <v>0</v>
      </c>
      <c r="N205" s="26">
        <f t="shared" si="370"/>
        <v>0</v>
      </c>
      <c r="O205" s="26">
        <f t="shared" si="370"/>
        <v>0</v>
      </c>
      <c r="P205" s="54">
        <f t="shared" si="370"/>
        <v>0</v>
      </c>
      <c r="Q205" s="26">
        <f t="shared" si="370"/>
        <v>0</v>
      </c>
      <c r="R205" s="26">
        <f t="shared" si="370"/>
        <v>400</v>
      </c>
      <c r="S205" s="26">
        <f t="shared" si="370"/>
        <v>0</v>
      </c>
      <c r="T205" s="26">
        <f t="shared" si="370"/>
        <v>0</v>
      </c>
      <c r="U205" s="26">
        <f t="shared" si="370"/>
        <v>0</v>
      </c>
      <c r="V205" s="26">
        <f t="shared" si="370"/>
        <v>400</v>
      </c>
      <c r="W205" s="26">
        <f t="shared" si="370"/>
        <v>0</v>
      </c>
      <c r="X205" s="26">
        <f t="shared" si="370"/>
        <v>0</v>
      </c>
      <c r="Y205" s="26">
        <f t="shared" si="370"/>
        <v>0</v>
      </c>
      <c r="Z205" s="26">
        <f t="shared" si="370"/>
        <v>0</v>
      </c>
      <c r="AA205" s="26">
        <f t="shared" si="370"/>
        <v>0</v>
      </c>
      <c r="AB205" s="26">
        <f t="shared" si="370"/>
        <v>0</v>
      </c>
      <c r="AC205" s="26">
        <f t="shared" si="370"/>
        <v>0</v>
      </c>
      <c r="AD205" s="26">
        <f t="shared" si="370"/>
        <v>0</v>
      </c>
      <c r="AE205" s="26">
        <f t="shared" si="370"/>
        <v>0</v>
      </c>
      <c r="AF205" s="26">
        <f t="shared" si="370"/>
        <v>1200</v>
      </c>
      <c r="AG205" s="26" t="str">
        <f t="shared" si="370"/>
        <v/>
      </c>
      <c r="AH205" s="26" t="str">
        <f t="shared" si="370"/>
        <v/>
      </c>
      <c r="AI205" s="26" t="str">
        <f t="shared" si="370"/>
        <v/>
      </c>
      <c r="AJ205" s="26" t="str">
        <f t="shared" si="370"/>
        <v/>
      </c>
      <c r="AK205" s="26" t="str">
        <f t="shared" si="370"/>
        <v/>
      </c>
      <c r="AL205" s="26" t="str">
        <f t="shared" si="370"/>
        <v/>
      </c>
      <c r="AM205" s="26" t="str">
        <f t="shared" ref="AM205:AS205" si="371">IF(AM$3="","",AM204*AM199)</f>
        <v/>
      </c>
      <c r="AN205" s="26" t="str">
        <f t="shared" si="371"/>
        <v/>
      </c>
      <c r="AO205" s="26" t="str">
        <f t="shared" si="371"/>
        <v/>
      </c>
      <c r="AP205" s="26" t="str">
        <f t="shared" si="371"/>
        <v/>
      </c>
      <c r="AQ205" s="26" t="str">
        <f t="shared" si="371"/>
        <v/>
      </c>
      <c r="AR205" s="26" t="str">
        <f t="shared" si="371"/>
        <v/>
      </c>
      <c r="AS205" s="26" t="str">
        <f t="shared" si="371"/>
        <v/>
      </c>
    </row>
    <row r="206" spans="1:45" ht="12" thickBot="1">
      <c r="A206" s="4">
        <f>IF(A205="","",A205/(A202*100))</f>
        <v>8.9552238805970144E-2</v>
      </c>
      <c r="B206" s="27" t="s">
        <v>20</v>
      </c>
      <c r="C206" s="68" t="s">
        <v>21</v>
      </c>
      <c r="D206" s="44" t="str">
        <f t="shared" ref="D206:AL206" si="372">IF(D$3="","",IF(D205=0,"",D205/(D202*100)))</f>
        <v/>
      </c>
      <c r="E206" s="44">
        <f t="shared" si="372"/>
        <v>0.1</v>
      </c>
      <c r="F206" s="132" t="str">
        <f t="shared" si="372"/>
        <v/>
      </c>
      <c r="G206" s="44" t="str">
        <f t="shared" si="372"/>
        <v/>
      </c>
      <c r="H206" s="44">
        <f t="shared" si="372"/>
        <v>0.30769230769230771</v>
      </c>
      <c r="I206" s="132" t="str">
        <f t="shared" si="372"/>
        <v/>
      </c>
      <c r="J206" s="44" t="str">
        <f t="shared" si="372"/>
        <v/>
      </c>
      <c r="K206" s="44">
        <f t="shared" si="372"/>
        <v>7.9207920792079209E-2</v>
      </c>
      <c r="L206" s="132" t="str">
        <f t="shared" si="372"/>
        <v/>
      </c>
      <c r="M206" s="44" t="str">
        <f t="shared" si="372"/>
        <v/>
      </c>
      <c r="N206" s="44" t="str">
        <f t="shared" si="372"/>
        <v/>
      </c>
      <c r="O206" s="44" t="str">
        <f t="shared" si="372"/>
        <v/>
      </c>
      <c r="P206" s="132" t="str">
        <f t="shared" si="372"/>
        <v/>
      </c>
      <c r="Q206" s="44" t="str">
        <f t="shared" si="372"/>
        <v/>
      </c>
      <c r="R206" s="44">
        <f t="shared" si="372"/>
        <v>6.1538461538461542E-2</v>
      </c>
      <c r="S206" s="44" t="str">
        <f t="shared" si="372"/>
        <v/>
      </c>
      <c r="T206" s="44" t="str">
        <f t="shared" si="372"/>
        <v/>
      </c>
      <c r="U206" s="44" t="str">
        <f t="shared" si="372"/>
        <v/>
      </c>
      <c r="V206" s="44">
        <f t="shared" si="372"/>
        <v>0.17391304347826086</v>
      </c>
      <c r="W206" s="44" t="str">
        <f t="shared" si="372"/>
        <v/>
      </c>
      <c r="X206" s="44" t="str">
        <f t="shared" si="372"/>
        <v/>
      </c>
      <c r="Y206" s="44" t="str">
        <f t="shared" si="372"/>
        <v/>
      </c>
      <c r="Z206" s="44" t="str">
        <f t="shared" si="372"/>
        <v/>
      </c>
      <c r="AA206" s="44" t="str">
        <f t="shared" si="372"/>
        <v/>
      </c>
      <c r="AB206" s="44" t="str">
        <f t="shared" si="372"/>
        <v/>
      </c>
      <c r="AC206" s="44" t="str">
        <f t="shared" si="372"/>
        <v/>
      </c>
      <c r="AD206" s="44" t="str">
        <f t="shared" si="372"/>
        <v/>
      </c>
      <c r="AE206" s="44" t="str">
        <f t="shared" si="372"/>
        <v/>
      </c>
      <c r="AF206" s="44">
        <f t="shared" si="372"/>
        <v>0.41379310344827586</v>
      </c>
      <c r="AG206" s="44" t="str">
        <f t="shared" si="372"/>
        <v/>
      </c>
      <c r="AH206" s="44" t="str">
        <f t="shared" si="372"/>
        <v/>
      </c>
      <c r="AI206" s="44" t="str">
        <f t="shared" si="372"/>
        <v/>
      </c>
      <c r="AJ206" s="44" t="str">
        <f t="shared" si="372"/>
        <v/>
      </c>
      <c r="AK206" s="44" t="str">
        <f t="shared" si="372"/>
        <v/>
      </c>
      <c r="AL206" s="44" t="str">
        <f t="shared" si="372"/>
        <v/>
      </c>
      <c r="AM206" s="44" t="str">
        <f t="shared" ref="AM206:AS206" si="373">IF(AM$3="","",IF(AM205=0,"",AM205/(AM202*100)))</f>
        <v/>
      </c>
      <c r="AN206" s="44" t="str">
        <f t="shared" si="373"/>
        <v/>
      </c>
      <c r="AO206" s="44" t="str">
        <f t="shared" si="373"/>
        <v/>
      </c>
      <c r="AP206" s="44" t="str">
        <f t="shared" si="373"/>
        <v/>
      </c>
      <c r="AQ206" s="44" t="str">
        <f t="shared" si="373"/>
        <v/>
      </c>
      <c r="AR206" s="44" t="str">
        <f t="shared" si="373"/>
        <v/>
      </c>
      <c r="AS206" s="44" t="str">
        <f t="shared" si="373"/>
        <v/>
      </c>
    </row>
    <row r="207" spans="1:45">
      <c r="A207" s="17" t="s">
        <v>1</v>
      </c>
      <c r="B207" s="42" t="s">
        <v>2</v>
      </c>
      <c r="C207" s="64">
        <v>3247</v>
      </c>
      <c r="D207" s="35">
        <f>IF(D$3="","",C207)</f>
        <v>3247</v>
      </c>
      <c r="E207" s="35">
        <v>3331</v>
      </c>
      <c r="F207" s="128">
        <f>IF(F$3="","",E207)</f>
        <v>3331</v>
      </c>
      <c r="G207" s="35">
        <f>IF(G$3="","",F207)</f>
        <v>3331</v>
      </c>
      <c r="H207" s="35">
        <v>3375</v>
      </c>
      <c r="I207" s="128">
        <f>IF(I$3="","",H207)</f>
        <v>3375</v>
      </c>
      <c r="J207" s="35">
        <f>IF(J$3="","",I207)</f>
        <v>3375</v>
      </c>
      <c r="K207" s="35">
        <v>3395</v>
      </c>
      <c r="L207" s="128">
        <f t="shared" ref="L207:N208" si="374">IF(L$3="","",K207)</f>
        <v>3395</v>
      </c>
      <c r="M207" s="35">
        <f t="shared" si="374"/>
        <v>3395</v>
      </c>
      <c r="N207" s="35">
        <f t="shared" si="374"/>
        <v>3395</v>
      </c>
      <c r="O207" s="35">
        <v>3449</v>
      </c>
      <c r="P207" s="128">
        <f>IF(P$3="","",O207)</f>
        <v>3449</v>
      </c>
      <c r="Q207" s="35">
        <f>IF(Q$3="","",P207)</f>
        <v>3449</v>
      </c>
      <c r="R207" s="35">
        <v>3491</v>
      </c>
      <c r="S207" s="35">
        <f t="shared" ref="S207:AL207" si="375">IF(S$3="","",R207)</f>
        <v>3491</v>
      </c>
      <c r="T207" s="35">
        <f t="shared" si="375"/>
        <v>3491</v>
      </c>
      <c r="U207" s="35">
        <f t="shared" si="375"/>
        <v>3491</v>
      </c>
      <c r="V207" s="35">
        <v>3570</v>
      </c>
      <c r="W207" s="35">
        <f t="shared" si="375"/>
        <v>3570</v>
      </c>
      <c r="X207" s="35">
        <f t="shared" si="375"/>
        <v>3570</v>
      </c>
      <c r="Y207" s="35">
        <v>3595</v>
      </c>
      <c r="Z207" s="35">
        <f t="shared" si="375"/>
        <v>3595</v>
      </c>
      <c r="AA207" s="35">
        <f t="shared" si="375"/>
        <v>3595</v>
      </c>
      <c r="AB207" s="35">
        <f t="shared" si="375"/>
        <v>3595</v>
      </c>
      <c r="AC207" s="35">
        <v>3625</v>
      </c>
      <c r="AD207" s="35">
        <f t="shared" si="375"/>
        <v>3625</v>
      </c>
      <c r="AE207" s="35">
        <f t="shared" si="375"/>
        <v>3625</v>
      </c>
      <c r="AF207" s="35">
        <v>3657</v>
      </c>
      <c r="AG207" s="35" t="str">
        <f t="shared" si="375"/>
        <v/>
      </c>
      <c r="AH207" s="35" t="str">
        <f t="shared" si="375"/>
        <v/>
      </c>
      <c r="AI207" s="35" t="str">
        <f t="shared" si="375"/>
        <v/>
      </c>
      <c r="AJ207" s="35" t="str">
        <f t="shared" si="375"/>
        <v/>
      </c>
      <c r="AK207" s="35" t="str">
        <f t="shared" si="375"/>
        <v/>
      </c>
      <c r="AL207" s="35" t="str">
        <f t="shared" si="375"/>
        <v/>
      </c>
      <c r="AM207" s="35" t="str">
        <f t="shared" ref="AM207:AS207" si="376">IF(AM$3="","",AL207)</f>
        <v/>
      </c>
      <c r="AN207" s="35" t="str">
        <f t="shared" si="376"/>
        <v/>
      </c>
      <c r="AO207" s="35" t="str">
        <f t="shared" si="376"/>
        <v/>
      </c>
      <c r="AP207" s="35" t="str">
        <f t="shared" si="376"/>
        <v/>
      </c>
      <c r="AQ207" s="35" t="str">
        <f t="shared" si="376"/>
        <v/>
      </c>
      <c r="AR207" s="35" t="str">
        <f t="shared" si="376"/>
        <v/>
      </c>
      <c r="AS207" s="35" t="str">
        <f t="shared" si="376"/>
        <v/>
      </c>
    </row>
    <row r="208" spans="1:45">
      <c r="A208" s="16" t="s">
        <v>53</v>
      </c>
      <c r="B208" s="30" t="s">
        <v>4</v>
      </c>
      <c r="C208" s="65">
        <v>355</v>
      </c>
      <c r="D208" s="29">
        <f>IF(D$3="","",C208)</f>
        <v>355</v>
      </c>
      <c r="E208" s="29">
        <v>356</v>
      </c>
      <c r="F208" s="54">
        <f>IF(F$3="","",E208)</f>
        <v>356</v>
      </c>
      <c r="G208" s="29">
        <f>IF(G$3="","",F208)</f>
        <v>356</v>
      </c>
      <c r="H208" s="29">
        <v>357</v>
      </c>
      <c r="I208" s="54">
        <f>IF(I$3="","",H208)</f>
        <v>357</v>
      </c>
      <c r="J208" s="29">
        <f>IF(J$3="","",I208)</f>
        <v>357</v>
      </c>
      <c r="K208" s="29">
        <f>IF(K$3="","",J208)</f>
        <v>357</v>
      </c>
      <c r="L208" s="54">
        <f t="shared" si="374"/>
        <v>357</v>
      </c>
      <c r="M208" s="29">
        <f t="shared" si="374"/>
        <v>357</v>
      </c>
      <c r="N208" s="29">
        <f t="shared" si="374"/>
        <v>357</v>
      </c>
      <c r="O208" s="29">
        <v>358</v>
      </c>
      <c r="P208" s="54">
        <f>IF(P$3="","",O208)</f>
        <v>358</v>
      </c>
      <c r="Q208" s="29">
        <f>IF(Q$3="","",P208)</f>
        <v>358</v>
      </c>
      <c r="R208" s="29">
        <f>IF(R$3="","",Q208)</f>
        <v>358</v>
      </c>
      <c r="S208" s="29">
        <f t="shared" ref="S208:AL208" si="377">IF(S$3="","",R208)</f>
        <v>358</v>
      </c>
      <c r="T208" s="29">
        <f t="shared" si="377"/>
        <v>358</v>
      </c>
      <c r="U208" s="29">
        <f t="shared" si="377"/>
        <v>358</v>
      </c>
      <c r="V208" s="29">
        <f t="shared" si="377"/>
        <v>358</v>
      </c>
      <c r="W208" s="29">
        <f t="shared" si="377"/>
        <v>358</v>
      </c>
      <c r="X208" s="29">
        <f t="shared" si="377"/>
        <v>358</v>
      </c>
      <c r="Y208" s="29">
        <f t="shared" si="377"/>
        <v>358</v>
      </c>
      <c r="Z208" s="29">
        <f t="shared" si="377"/>
        <v>358</v>
      </c>
      <c r="AA208" s="29">
        <f t="shared" si="377"/>
        <v>358</v>
      </c>
      <c r="AB208" s="29">
        <f t="shared" si="377"/>
        <v>358</v>
      </c>
      <c r="AC208" s="29">
        <f t="shared" si="377"/>
        <v>358</v>
      </c>
      <c r="AD208" s="29">
        <f t="shared" si="377"/>
        <v>358</v>
      </c>
      <c r="AE208" s="29">
        <f t="shared" si="377"/>
        <v>358</v>
      </c>
      <c r="AF208" s="29">
        <v>359</v>
      </c>
      <c r="AG208" s="29" t="str">
        <f t="shared" si="377"/>
        <v/>
      </c>
      <c r="AH208" s="29" t="str">
        <f t="shared" si="377"/>
        <v/>
      </c>
      <c r="AI208" s="29" t="str">
        <f t="shared" si="377"/>
        <v/>
      </c>
      <c r="AJ208" s="29" t="str">
        <f t="shared" si="377"/>
        <v/>
      </c>
      <c r="AK208" s="29" t="str">
        <f t="shared" si="377"/>
        <v/>
      </c>
      <c r="AL208" s="29" t="str">
        <f t="shared" si="377"/>
        <v/>
      </c>
      <c r="AM208" s="29" t="str">
        <f t="shared" ref="AM208:AS208" si="378">IF(AM$3="","",AL208)</f>
        <v/>
      </c>
      <c r="AN208" s="29" t="str">
        <f t="shared" si="378"/>
        <v/>
      </c>
      <c r="AO208" s="29" t="str">
        <f t="shared" si="378"/>
        <v/>
      </c>
      <c r="AP208" s="29" t="str">
        <f t="shared" si="378"/>
        <v/>
      </c>
      <c r="AQ208" s="29" t="str">
        <f t="shared" si="378"/>
        <v/>
      </c>
      <c r="AR208" s="29" t="str">
        <f t="shared" si="378"/>
        <v/>
      </c>
      <c r="AS208" s="29" t="str">
        <f t="shared" si="378"/>
        <v/>
      </c>
    </row>
    <row r="209" spans="1:45">
      <c r="A209" s="15">
        <v>2</v>
      </c>
      <c r="B209" s="30" t="s">
        <v>5</v>
      </c>
      <c r="C209" s="65">
        <v>6</v>
      </c>
      <c r="D209" s="29">
        <f>IF(D$3="","",(C209+C210))</f>
        <v>6</v>
      </c>
      <c r="E209" s="29">
        <f>IF(E$3="","",(D209+D210))</f>
        <v>6</v>
      </c>
      <c r="F209" s="54">
        <f>IF(F$3="","",(E209+E210))</f>
        <v>6</v>
      </c>
      <c r="G209" s="29">
        <f>IF(G$3="","",(F209+F210))</f>
        <v>6</v>
      </c>
      <c r="H209" s="29">
        <v>6</v>
      </c>
      <c r="I209" s="54">
        <f t="shared" ref="I209:N209" si="379">IF(I$3="","",(H209+H210))</f>
        <v>6</v>
      </c>
      <c r="J209" s="29">
        <f t="shared" si="379"/>
        <v>6</v>
      </c>
      <c r="K209" s="29">
        <f t="shared" si="379"/>
        <v>6</v>
      </c>
      <c r="L209" s="54">
        <f t="shared" si="379"/>
        <v>6</v>
      </c>
      <c r="M209" s="29">
        <f t="shared" si="379"/>
        <v>6</v>
      </c>
      <c r="N209" s="29">
        <f t="shared" si="379"/>
        <v>6</v>
      </c>
      <c r="O209" s="29">
        <v>5</v>
      </c>
      <c r="P209" s="54">
        <f t="shared" ref="P209:AL209" si="380">IF(P$3="","",(O209+O210))</f>
        <v>5</v>
      </c>
      <c r="Q209" s="29">
        <f t="shared" si="380"/>
        <v>5</v>
      </c>
      <c r="R209" s="29">
        <f t="shared" si="380"/>
        <v>5</v>
      </c>
      <c r="S209" s="29">
        <f t="shared" si="380"/>
        <v>5</v>
      </c>
      <c r="T209" s="29">
        <f t="shared" si="380"/>
        <v>5</v>
      </c>
      <c r="U209" s="29">
        <f t="shared" si="380"/>
        <v>5</v>
      </c>
      <c r="V209" s="29">
        <f t="shared" si="380"/>
        <v>5</v>
      </c>
      <c r="W209" s="29">
        <f t="shared" si="380"/>
        <v>5</v>
      </c>
      <c r="X209" s="29">
        <f t="shared" si="380"/>
        <v>5</v>
      </c>
      <c r="Y209" s="29">
        <f t="shared" si="380"/>
        <v>5</v>
      </c>
      <c r="Z209" s="29">
        <f t="shared" si="380"/>
        <v>5</v>
      </c>
      <c r="AA209" s="29">
        <f t="shared" si="380"/>
        <v>5</v>
      </c>
      <c r="AB209" s="29">
        <f t="shared" si="380"/>
        <v>5</v>
      </c>
      <c r="AC209" s="29">
        <f t="shared" si="380"/>
        <v>5</v>
      </c>
      <c r="AD209" s="29">
        <f t="shared" si="380"/>
        <v>5</v>
      </c>
      <c r="AE209" s="29">
        <f t="shared" si="380"/>
        <v>5</v>
      </c>
      <c r="AF209" s="29">
        <v>4</v>
      </c>
      <c r="AG209" s="29" t="str">
        <f t="shared" si="380"/>
        <v/>
      </c>
      <c r="AH209" s="29" t="str">
        <f t="shared" si="380"/>
        <v/>
      </c>
      <c r="AI209" s="29" t="str">
        <f t="shared" si="380"/>
        <v/>
      </c>
      <c r="AJ209" s="29" t="str">
        <f t="shared" si="380"/>
        <v/>
      </c>
      <c r="AK209" s="29" t="str">
        <f t="shared" si="380"/>
        <v/>
      </c>
      <c r="AL209" s="29" t="str">
        <f t="shared" si="380"/>
        <v/>
      </c>
      <c r="AM209" s="29" t="str">
        <f t="shared" ref="AM209:AS209" si="381">IF(AM$3="","",(AL209+AL210))</f>
        <v/>
      </c>
      <c r="AN209" s="29" t="str">
        <f t="shared" si="381"/>
        <v/>
      </c>
      <c r="AO209" s="29" t="str">
        <f t="shared" si="381"/>
        <v/>
      </c>
      <c r="AP209" s="29" t="str">
        <f t="shared" si="381"/>
        <v/>
      </c>
      <c r="AQ209" s="29" t="str">
        <f t="shared" si="381"/>
        <v/>
      </c>
      <c r="AR209" s="29" t="str">
        <f t="shared" si="381"/>
        <v/>
      </c>
      <c r="AS209" s="29" t="str">
        <f t="shared" si="381"/>
        <v/>
      </c>
    </row>
    <row r="210" spans="1:45">
      <c r="A210" s="14"/>
      <c r="B210" s="30" t="s">
        <v>7</v>
      </c>
      <c r="C210" s="65"/>
      <c r="D210" s="29"/>
      <c r="E210" s="29"/>
      <c r="F210" s="54"/>
      <c r="G210" s="29"/>
      <c r="H210" s="29"/>
      <c r="I210" s="54"/>
      <c r="J210" s="29"/>
      <c r="K210" s="29"/>
      <c r="L210" s="54"/>
      <c r="M210" s="29"/>
      <c r="N210" s="29"/>
      <c r="O210" s="29"/>
      <c r="P210" s="54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 spans="1:45">
      <c r="A211" s="7"/>
      <c r="B211" s="30" t="s">
        <v>8</v>
      </c>
      <c r="C211" s="64">
        <v>800</v>
      </c>
      <c r="D211" s="35">
        <f t="shared" ref="D211:AL211" si="382">IF(D$3="","",C211)</f>
        <v>800</v>
      </c>
      <c r="E211" s="35">
        <f t="shared" si="382"/>
        <v>800</v>
      </c>
      <c r="F211" s="128">
        <f t="shared" si="382"/>
        <v>800</v>
      </c>
      <c r="G211" s="35">
        <f t="shared" si="382"/>
        <v>800</v>
      </c>
      <c r="H211" s="35">
        <f t="shared" si="382"/>
        <v>800</v>
      </c>
      <c r="I211" s="128">
        <f t="shared" si="382"/>
        <v>800</v>
      </c>
      <c r="J211" s="35">
        <f t="shared" si="382"/>
        <v>800</v>
      </c>
      <c r="K211" s="35">
        <f t="shared" si="382"/>
        <v>800</v>
      </c>
      <c r="L211" s="128">
        <f t="shared" si="382"/>
        <v>800</v>
      </c>
      <c r="M211" s="35">
        <f t="shared" si="382"/>
        <v>800</v>
      </c>
      <c r="N211" s="35">
        <f t="shared" si="382"/>
        <v>800</v>
      </c>
      <c r="O211" s="35">
        <f t="shared" si="382"/>
        <v>800</v>
      </c>
      <c r="P211" s="128">
        <f t="shared" si="382"/>
        <v>800</v>
      </c>
      <c r="Q211" s="35">
        <f t="shared" si="382"/>
        <v>800</v>
      </c>
      <c r="R211" s="35">
        <f t="shared" si="382"/>
        <v>800</v>
      </c>
      <c r="S211" s="35">
        <f t="shared" si="382"/>
        <v>800</v>
      </c>
      <c r="T211" s="35">
        <f t="shared" si="382"/>
        <v>800</v>
      </c>
      <c r="U211" s="35">
        <f t="shared" si="382"/>
        <v>800</v>
      </c>
      <c r="V211" s="35">
        <f t="shared" si="382"/>
        <v>800</v>
      </c>
      <c r="W211" s="35">
        <f t="shared" si="382"/>
        <v>800</v>
      </c>
      <c r="X211" s="35">
        <f t="shared" si="382"/>
        <v>800</v>
      </c>
      <c r="Y211" s="35">
        <f t="shared" si="382"/>
        <v>800</v>
      </c>
      <c r="Z211" s="35">
        <f t="shared" si="382"/>
        <v>800</v>
      </c>
      <c r="AA211" s="35">
        <f t="shared" si="382"/>
        <v>800</v>
      </c>
      <c r="AB211" s="35">
        <f t="shared" si="382"/>
        <v>800</v>
      </c>
      <c r="AC211" s="35">
        <f t="shared" si="382"/>
        <v>800</v>
      </c>
      <c r="AD211" s="35">
        <f t="shared" si="382"/>
        <v>800</v>
      </c>
      <c r="AE211" s="35">
        <f t="shared" si="382"/>
        <v>800</v>
      </c>
      <c r="AF211" s="35">
        <f t="shared" si="382"/>
        <v>800</v>
      </c>
      <c r="AG211" s="35" t="str">
        <f t="shared" si="382"/>
        <v/>
      </c>
      <c r="AH211" s="35" t="str">
        <f t="shared" si="382"/>
        <v/>
      </c>
      <c r="AI211" s="35" t="str">
        <f t="shared" si="382"/>
        <v/>
      </c>
      <c r="AJ211" s="35" t="str">
        <f t="shared" si="382"/>
        <v/>
      </c>
      <c r="AK211" s="35" t="str">
        <f t="shared" si="382"/>
        <v/>
      </c>
      <c r="AL211" s="35" t="str">
        <f t="shared" si="382"/>
        <v/>
      </c>
      <c r="AM211" s="35" t="str">
        <f t="shared" ref="AM211:AS211" si="383">IF(AM$3="","",AL211)</f>
        <v/>
      </c>
      <c r="AN211" s="35" t="str">
        <f t="shared" si="383"/>
        <v/>
      </c>
      <c r="AO211" s="35" t="str">
        <f t="shared" si="383"/>
        <v/>
      </c>
      <c r="AP211" s="35" t="str">
        <f t="shared" si="383"/>
        <v/>
      </c>
      <c r="AQ211" s="35" t="str">
        <f t="shared" si="383"/>
        <v/>
      </c>
      <c r="AR211" s="35" t="str">
        <f t="shared" si="383"/>
        <v/>
      </c>
      <c r="AS211" s="35" t="str">
        <f t="shared" si="383"/>
        <v/>
      </c>
    </row>
    <row r="212" spans="1:45" s="94" customFormat="1">
      <c r="A212" s="14" t="s">
        <v>9</v>
      </c>
      <c r="B212" s="33" t="s">
        <v>10</v>
      </c>
      <c r="C212" s="63" t="s">
        <v>54</v>
      </c>
      <c r="D212" s="32" t="str">
        <f t="shared" ref="D212:AL212" si="384">IF(D$3="","",C212)</f>
        <v>サンリオバンズクリップ</v>
      </c>
      <c r="E212" s="32" t="str">
        <f t="shared" si="384"/>
        <v>サンリオバンズクリップ</v>
      </c>
      <c r="F212" s="129" t="str">
        <f t="shared" si="384"/>
        <v>サンリオバンズクリップ</v>
      </c>
      <c r="G212" s="32" t="str">
        <f t="shared" si="384"/>
        <v>サンリオバンズクリップ</v>
      </c>
      <c r="H212" s="32" t="str">
        <f t="shared" si="384"/>
        <v>サンリオバンズクリップ</v>
      </c>
      <c r="I212" s="129" t="str">
        <f t="shared" si="384"/>
        <v>サンリオバンズクリップ</v>
      </c>
      <c r="J212" s="32" t="str">
        <f t="shared" si="384"/>
        <v>サンリオバンズクリップ</v>
      </c>
      <c r="K212" s="32" t="str">
        <f t="shared" si="384"/>
        <v>サンリオバンズクリップ</v>
      </c>
      <c r="L212" s="129" t="str">
        <f t="shared" si="384"/>
        <v>サンリオバンズクリップ</v>
      </c>
      <c r="M212" s="32" t="str">
        <f t="shared" si="384"/>
        <v>サンリオバンズクリップ</v>
      </c>
      <c r="N212" s="32" t="str">
        <f t="shared" si="384"/>
        <v>サンリオバンズクリップ</v>
      </c>
      <c r="O212" s="32" t="str">
        <f t="shared" si="384"/>
        <v>サンリオバンズクリップ</v>
      </c>
      <c r="P212" s="129" t="str">
        <f t="shared" si="384"/>
        <v>サンリオバンズクリップ</v>
      </c>
      <c r="Q212" s="32" t="str">
        <f t="shared" si="384"/>
        <v>サンリオバンズクリップ</v>
      </c>
      <c r="R212" s="32" t="str">
        <f t="shared" si="384"/>
        <v>サンリオバンズクリップ</v>
      </c>
      <c r="S212" s="32" t="str">
        <f t="shared" si="384"/>
        <v>サンリオバンズクリップ</v>
      </c>
      <c r="T212" s="32" t="str">
        <f t="shared" si="384"/>
        <v>サンリオバンズクリップ</v>
      </c>
      <c r="U212" s="32" t="str">
        <f t="shared" si="384"/>
        <v>サンリオバンズクリップ</v>
      </c>
      <c r="V212" s="32" t="str">
        <f t="shared" si="384"/>
        <v>サンリオバンズクリップ</v>
      </c>
      <c r="W212" s="32" t="str">
        <f t="shared" si="384"/>
        <v>サンリオバンズクリップ</v>
      </c>
      <c r="X212" s="32" t="str">
        <f t="shared" si="384"/>
        <v>サンリオバンズクリップ</v>
      </c>
      <c r="Y212" s="32" t="str">
        <f t="shared" si="384"/>
        <v>サンリオバンズクリップ</v>
      </c>
      <c r="Z212" s="32" t="str">
        <f t="shared" si="384"/>
        <v>サンリオバンズクリップ</v>
      </c>
      <c r="AA212" s="32" t="str">
        <f t="shared" si="384"/>
        <v>サンリオバンズクリップ</v>
      </c>
      <c r="AB212" s="32" t="str">
        <f t="shared" si="384"/>
        <v>サンリオバンズクリップ</v>
      </c>
      <c r="AC212" s="32" t="str">
        <f t="shared" si="384"/>
        <v>サンリオバンズクリップ</v>
      </c>
      <c r="AD212" s="32" t="str">
        <f t="shared" si="384"/>
        <v>サンリオバンズクリップ</v>
      </c>
      <c r="AE212" s="32" t="str">
        <f t="shared" si="384"/>
        <v>サンリオバンズクリップ</v>
      </c>
      <c r="AF212" s="32" t="str">
        <f t="shared" si="384"/>
        <v>サンリオバンズクリップ</v>
      </c>
      <c r="AG212" s="32" t="str">
        <f t="shared" si="384"/>
        <v/>
      </c>
      <c r="AH212" s="32" t="str">
        <f t="shared" si="384"/>
        <v/>
      </c>
      <c r="AI212" s="32" t="str">
        <f t="shared" si="384"/>
        <v/>
      </c>
      <c r="AJ212" s="32" t="str">
        <f t="shared" si="384"/>
        <v/>
      </c>
      <c r="AK212" s="32" t="str">
        <f t="shared" si="384"/>
        <v/>
      </c>
      <c r="AL212" s="32" t="str">
        <f t="shared" si="384"/>
        <v/>
      </c>
      <c r="AM212" s="32" t="str">
        <f t="shared" ref="AM212:AS212" si="385">IF(AM$3="","",AL212)</f>
        <v/>
      </c>
      <c r="AN212" s="32" t="str">
        <f t="shared" si="385"/>
        <v/>
      </c>
      <c r="AO212" s="32" t="str">
        <f t="shared" si="385"/>
        <v/>
      </c>
      <c r="AP212" s="32" t="str">
        <f t="shared" si="385"/>
        <v/>
      </c>
      <c r="AQ212" s="32" t="str">
        <f t="shared" si="385"/>
        <v/>
      </c>
      <c r="AR212" s="32" t="str">
        <f t="shared" si="385"/>
        <v/>
      </c>
      <c r="AS212" s="32" t="str">
        <f t="shared" si="385"/>
        <v/>
      </c>
    </row>
    <row r="213" spans="1:45">
      <c r="A213" s="7">
        <f>AVERAGE(C214:AS214)*30*100</f>
        <v>41000</v>
      </c>
      <c r="B213" s="30" t="s">
        <v>14</v>
      </c>
      <c r="C213" s="65"/>
      <c r="D213" s="29"/>
      <c r="E213" s="29"/>
      <c r="F213" s="54"/>
      <c r="G213" s="29"/>
      <c r="H213" s="29"/>
      <c r="I213" s="54"/>
      <c r="J213" s="29"/>
      <c r="K213" s="29"/>
      <c r="L213" s="54"/>
      <c r="M213" s="29"/>
      <c r="N213" s="29"/>
      <c r="O213" s="29"/>
      <c r="P213" s="54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 spans="1:45">
      <c r="A214" s="7">
        <f>SUM(C214:AS214)</f>
        <v>410</v>
      </c>
      <c r="B214" s="27" t="s">
        <v>15</v>
      </c>
      <c r="C214" s="65">
        <v>0</v>
      </c>
      <c r="D214" s="26">
        <f t="shared" ref="D214:AL214" si="386">IF(D$3="","",D207-C207)</f>
        <v>0</v>
      </c>
      <c r="E214" s="26">
        <f t="shared" si="386"/>
        <v>84</v>
      </c>
      <c r="F214" s="54">
        <f t="shared" si="386"/>
        <v>0</v>
      </c>
      <c r="G214" s="26">
        <f t="shared" si="386"/>
        <v>0</v>
      </c>
      <c r="H214" s="26">
        <f t="shared" si="386"/>
        <v>44</v>
      </c>
      <c r="I214" s="54">
        <f t="shared" si="386"/>
        <v>0</v>
      </c>
      <c r="J214" s="26">
        <f t="shared" si="386"/>
        <v>0</v>
      </c>
      <c r="K214" s="26">
        <f t="shared" si="386"/>
        <v>20</v>
      </c>
      <c r="L214" s="54">
        <f t="shared" si="386"/>
        <v>0</v>
      </c>
      <c r="M214" s="26">
        <f t="shared" si="386"/>
        <v>0</v>
      </c>
      <c r="N214" s="26">
        <f t="shared" si="386"/>
        <v>0</v>
      </c>
      <c r="O214" s="26">
        <f t="shared" si="386"/>
        <v>54</v>
      </c>
      <c r="P214" s="54">
        <f t="shared" si="386"/>
        <v>0</v>
      </c>
      <c r="Q214" s="26">
        <f t="shared" si="386"/>
        <v>0</v>
      </c>
      <c r="R214" s="26">
        <f t="shared" si="386"/>
        <v>42</v>
      </c>
      <c r="S214" s="26">
        <f t="shared" si="386"/>
        <v>0</v>
      </c>
      <c r="T214" s="26">
        <f t="shared" si="386"/>
        <v>0</v>
      </c>
      <c r="U214" s="26">
        <f t="shared" si="386"/>
        <v>0</v>
      </c>
      <c r="V214" s="26">
        <f t="shared" si="386"/>
        <v>79</v>
      </c>
      <c r="W214" s="26">
        <f t="shared" si="386"/>
        <v>0</v>
      </c>
      <c r="X214" s="26">
        <f t="shared" si="386"/>
        <v>0</v>
      </c>
      <c r="Y214" s="26">
        <f t="shared" si="386"/>
        <v>25</v>
      </c>
      <c r="Z214" s="26">
        <f t="shared" si="386"/>
        <v>0</v>
      </c>
      <c r="AA214" s="26">
        <f t="shared" si="386"/>
        <v>0</v>
      </c>
      <c r="AB214" s="26">
        <f t="shared" si="386"/>
        <v>0</v>
      </c>
      <c r="AC214" s="26">
        <f t="shared" si="386"/>
        <v>30</v>
      </c>
      <c r="AD214" s="26">
        <f t="shared" si="386"/>
        <v>0</v>
      </c>
      <c r="AE214" s="26">
        <f t="shared" si="386"/>
        <v>0</v>
      </c>
      <c r="AF214" s="26">
        <f t="shared" si="386"/>
        <v>32</v>
      </c>
      <c r="AG214" s="26" t="str">
        <f t="shared" si="386"/>
        <v/>
      </c>
      <c r="AH214" s="26" t="str">
        <f t="shared" si="386"/>
        <v/>
      </c>
      <c r="AI214" s="26" t="str">
        <f t="shared" si="386"/>
        <v/>
      </c>
      <c r="AJ214" s="26" t="str">
        <f t="shared" si="386"/>
        <v/>
      </c>
      <c r="AK214" s="26" t="str">
        <f t="shared" si="386"/>
        <v/>
      </c>
      <c r="AL214" s="26" t="str">
        <f t="shared" si="386"/>
        <v/>
      </c>
      <c r="AM214" s="26" t="str">
        <f t="shared" ref="AM214:AS214" si="387">IF(AM$3="","",AM207-AL207)</f>
        <v/>
      </c>
      <c r="AN214" s="26" t="str">
        <f t="shared" si="387"/>
        <v/>
      </c>
      <c r="AO214" s="26" t="str">
        <f t="shared" si="387"/>
        <v/>
      </c>
      <c r="AP214" s="26" t="str">
        <f t="shared" si="387"/>
        <v/>
      </c>
      <c r="AQ214" s="26" t="str">
        <f t="shared" si="387"/>
        <v/>
      </c>
      <c r="AR214" s="26" t="str">
        <f t="shared" si="387"/>
        <v/>
      </c>
      <c r="AS214" s="26" t="str">
        <f t="shared" si="387"/>
        <v/>
      </c>
    </row>
    <row r="215" spans="1:45">
      <c r="A215" s="7">
        <f>SUM(C215:AS215)</f>
        <v>4</v>
      </c>
      <c r="B215" s="27" t="s">
        <v>16</v>
      </c>
      <c r="C215" s="65">
        <v>0</v>
      </c>
      <c r="D215" s="26">
        <f t="shared" ref="D215:AL215" si="388">IF(D$3="","",D208-C208)</f>
        <v>0</v>
      </c>
      <c r="E215" s="26">
        <f t="shared" si="388"/>
        <v>1</v>
      </c>
      <c r="F215" s="54">
        <f t="shared" si="388"/>
        <v>0</v>
      </c>
      <c r="G215" s="26">
        <f t="shared" si="388"/>
        <v>0</v>
      </c>
      <c r="H215" s="26">
        <f t="shared" si="388"/>
        <v>1</v>
      </c>
      <c r="I215" s="54">
        <f t="shared" si="388"/>
        <v>0</v>
      </c>
      <c r="J215" s="26">
        <f t="shared" si="388"/>
        <v>0</v>
      </c>
      <c r="K215" s="26">
        <f t="shared" si="388"/>
        <v>0</v>
      </c>
      <c r="L215" s="54">
        <f t="shared" si="388"/>
        <v>0</v>
      </c>
      <c r="M215" s="26">
        <f t="shared" si="388"/>
        <v>0</v>
      </c>
      <c r="N215" s="26">
        <f t="shared" si="388"/>
        <v>0</v>
      </c>
      <c r="O215" s="26">
        <f t="shared" si="388"/>
        <v>1</v>
      </c>
      <c r="P215" s="54">
        <f t="shared" si="388"/>
        <v>0</v>
      </c>
      <c r="Q215" s="26">
        <f t="shared" si="388"/>
        <v>0</v>
      </c>
      <c r="R215" s="26">
        <f t="shared" si="388"/>
        <v>0</v>
      </c>
      <c r="S215" s="26">
        <f t="shared" si="388"/>
        <v>0</v>
      </c>
      <c r="T215" s="26">
        <f t="shared" si="388"/>
        <v>0</v>
      </c>
      <c r="U215" s="26">
        <f t="shared" si="388"/>
        <v>0</v>
      </c>
      <c r="V215" s="26">
        <f t="shared" si="388"/>
        <v>0</v>
      </c>
      <c r="W215" s="26">
        <f t="shared" si="388"/>
        <v>0</v>
      </c>
      <c r="X215" s="26">
        <f t="shared" si="388"/>
        <v>0</v>
      </c>
      <c r="Y215" s="26">
        <f t="shared" si="388"/>
        <v>0</v>
      </c>
      <c r="Z215" s="26">
        <f t="shared" si="388"/>
        <v>0</v>
      </c>
      <c r="AA215" s="26">
        <f t="shared" si="388"/>
        <v>0</v>
      </c>
      <c r="AB215" s="26">
        <f t="shared" si="388"/>
        <v>0</v>
      </c>
      <c r="AC215" s="26">
        <f t="shared" si="388"/>
        <v>0</v>
      </c>
      <c r="AD215" s="26">
        <f t="shared" si="388"/>
        <v>0</v>
      </c>
      <c r="AE215" s="26">
        <f t="shared" si="388"/>
        <v>0</v>
      </c>
      <c r="AF215" s="26">
        <f t="shared" si="388"/>
        <v>1</v>
      </c>
      <c r="AG215" s="26" t="str">
        <f t="shared" si="388"/>
        <v/>
      </c>
      <c r="AH215" s="26" t="str">
        <f t="shared" si="388"/>
        <v/>
      </c>
      <c r="AI215" s="26" t="str">
        <f t="shared" si="388"/>
        <v/>
      </c>
      <c r="AJ215" s="26" t="str">
        <f t="shared" si="388"/>
        <v/>
      </c>
      <c r="AK215" s="26" t="str">
        <f t="shared" si="388"/>
        <v/>
      </c>
      <c r="AL215" s="26" t="str">
        <f t="shared" si="388"/>
        <v/>
      </c>
      <c r="AM215" s="26" t="str">
        <f t="shared" ref="AM215:AS215" si="389">IF(AM$3="","",AM208-AL208)</f>
        <v/>
      </c>
      <c r="AN215" s="26" t="str">
        <f t="shared" si="389"/>
        <v/>
      </c>
      <c r="AO215" s="26" t="str">
        <f t="shared" si="389"/>
        <v/>
      </c>
      <c r="AP215" s="26" t="str">
        <f t="shared" si="389"/>
        <v/>
      </c>
      <c r="AQ215" s="26" t="str">
        <f t="shared" si="389"/>
        <v/>
      </c>
      <c r="AR215" s="26" t="str">
        <f t="shared" si="389"/>
        <v/>
      </c>
      <c r="AS215" s="26" t="str">
        <f t="shared" si="389"/>
        <v/>
      </c>
    </row>
    <row r="216" spans="1:45">
      <c r="A216" s="7">
        <f>SUM(C216:AS216)</f>
        <v>2</v>
      </c>
      <c r="B216" s="27" t="s">
        <v>17</v>
      </c>
      <c r="C216" s="65">
        <v>0</v>
      </c>
      <c r="D216" s="26">
        <f t="shared" ref="D216:AL216" si="390">IF(D$3="","",C209+C210-D209)</f>
        <v>0</v>
      </c>
      <c r="E216" s="26">
        <f t="shared" si="390"/>
        <v>0</v>
      </c>
      <c r="F216" s="54">
        <f t="shared" si="390"/>
        <v>0</v>
      </c>
      <c r="G216" s="26">
        <f t="shared" si="390"/>
        <v>0</v>
      </c>
      <c r="H216" s="26">
        <f t="shared" si="390"/>
        <v>0</v>
      </c>
      <c r="I216" s="54">
        <f t="shared" si="390"/>
        <v>0</v>
      </c>
      <c r="J216" s="26">
        <f t="shared" si="390"/>
        <v>0</v>
      </c>
      <c r="K216" s="26">
        <f t="shared" si="390"/>
        <v>0</v>
      </c>
      <c r="L216" s="54">
        <f t="shared" si="390"/>
        <v>0</v>
      </c>
      <c r="M216" s="26">
        <f t="shared" si="390"/>
        <v>0</v>
      </c>
      <c r="N216" s="26">
        <f t="shared" si="390"/>
        <v>0</v>
      </c>
      <c r="O216" s="26">
        <f t="shared" si="390"/>
        <v>1</v>
      </c>
      <c r="P216" s="54">
        <f t="shared" si="390"/>
        <v>0</v>
      </c>
      <c r="Q216" s="26">
        <f t="shared" si="390"/>
        <v>0</v>
      </c>
      <c r="R216" s="26">
        <f t="shared" si="390"/>
        <v>0</v>
      </c>
      <c r="S216" s="26">
        <f t="shared" si="390"/>
        <v>0</v>
      </c>
      <c r="T216" s="26">
        <f t="shared" si="390"/>
        <v>0</v>
      </c>
      <c r="U216" s="26">
        <f t="shared" si="390"/>
        <v>0</v>
      </c>
      <c r="V216" s="26">
        <f t="shared" si="390"/>
        <v>0</v>
      </c>
      <c r="W216" s="26">
        <f t="shared" si="390"/>
        <v>0</v>
      </c>
      <c r="X216" s="26">
        <f t="shared" si="390"/>
        <v>0</v>
      </c>
      <c r="Y216" s="26">
        <f t="shared" si="390"/>
        <v>0</v>
      </c>
      <c r="Z216" s="26">
        <f t="shared" si="390"/>
        <v>0</v>
      </c>
      <c r="AA216" s="26">
        <f t="shared" si="390"/>
        <v>0</v>
      </c>
      <c r="AB216" s="26">
        <f t="shared" si="390"/>
        <v>0</v>
      </c>
      <c r="AC216" s="26">
        <f t="shared" si="390"/>
        <v>0</v>
      </c>
      <c r="AD216" s="26">
        <f t="shared" si="390"/>
        <v>0</v>
      </c>
      <c r="AE216" s="26">
        <f t="shared" si="390"/>
        <v>0</v>
      </c>
      <c r="AF216" s="26">
        <f t="shared" si="390"/>
        <v>1</v>
      </c>
      <c r="AG216" s="26" t="str">
        <f t="shared" si="390"/>
        <v/>
      </c>
      <c r="AH216" s="26" t="str">
        <f t="shared" si="390"/>
        <v/>
      </c>
      <c r="AI216" s="26" t="str">
        <f t="shared" si="390"/>
        <v/>
      </c>
      <c r="AJ216" s="26" t="str">
        <f t="shared" si="390"/>
        <v/>
      </c>
      <c r="AK216" s="26" t="str">
        <f t="shared" si="390"/>
        <v/>
      </c>
      <c r="AL216" s="26" t="str">
        <f t="shared" si="390"/>
        <v/>
      </c>
      <c r="AM216" s="26" t="str">
        <f t="shared" ref="AM216:AS216" si="391">IF(AM$3="","",AL209+AL210-AM209)</f>
        <v/>
      </c>
      <c r="AN216" s="26" t="str">
        <f t="shared" si="391"/>
        <v/>
      </c>
      <c r="AO216" s="26" t="str">
        <f t="shared" si="391"/>
        <v/>
      </c>
      <c r="AP216" s="26" t="str">
        <f t="shared" si="391"/>
        <v/>
      </c>
      <c r="AQ216" s="26" t="str">
        <f t="shared" si="391"/>
        <v/>
      </c>
      <c r="AR216" s="26" t="str">
        <f t="shared" si="391"/>
        <v/>
      </c>
      <c r="AS216" s="26" t="str">
        <f t="shared" si="391"/>
        <v/>
      </c>
    </row>
    <row r="217" spans="1:45">
      <c r="A217" s="7">
        <f>SUM(C217:AS217)</f>
        <v>1600</v>
      </c>
      <c r="B217" s="27" t="s">
        <v>18</v>
      </c>
      <c r="C217" s="65">
        <v>0</v>
      </c>
      <c r="D217" s="26">
        <f t="shared" ref="D217:AL217" si="392">IF(D$3="","",D216*D211)</f>
        <v>0</v>
      </c>
      <c r="E217" s="26">
        <f t="shared" si="392"/>
        <v>0</v>
      </c>
      <c r="F217" s="54">
        <f t="shared" si="392"/>
        <v>0</v>
      </c>
      <c r="G217" s="26">
        <f t="shared" si="392"/>
        <v>0</v>
      </c>
      <c r="H217" s="26">
        <f t="shared" si="392"/>
        <v>0</v>
      </c>
      <c r="I217" s="54">
        <f t="shared" si="392"/>
        <v>0</v>
      </c>
      <c r="J217" s="26">
        <f t="shared" si="392"/>
        <v>0</v>
      </c>
      <c r="K217" s="26">
        <f t="shared" si="392"/>
        <v>0</v>
      </c>
      <c r="L217" s="54">
        <f t="shared" si="392"/>
        <v>0</v>
      </c>
      <c r="M217" s="26">
        <f t="shared" si="392"/>
        <v>0</v>
      </c>
      <c r="N217" s="26">
        <f t="shared" si="392"/>
        <v>0</v>
      </c>
      <c r="O217" s="26">
        <f t="shared" si="392"/>
        <v>800</v>
      </c>
      <c r="P217" s="54">
        <f t="shared" si="392"/>
        <v>0</v>
      </c>
      <c r="Q217" s="26">
        <f t="shared" si="392"/>
        <v>0</v>
      </c>
      <c r="R217" s="26">
        <f t="shared" si="392"/>
        <v>0</v>
      </c>
      <c r="S217" s="26">
        <f t="shared" si="392"/>
        <v>0</v>
      </c>
      <c r="T217" s="26">
        <f t="shared" si="392"/>
        <v>0</v>
      </c>
      <c r="U217" s="26">
        <f t="shared" si="392"/>
        <v>0</v>
      </c>
      <c r="V217" s="26">
        <f t="shared" si="392"/>
        <v>0</v>
      </c>
      <c r="W217" s="26">
        <f t="shared" si="392"/>
        <v>0</v>
      </c>
      <c r="X217" s="26">
        <f t="shared" si="392"/>
        <v>0</v>
      </c>
      <c r="Y217" s="26">
        <f t="shared" si="392"/>
        <v>0</v>
      </c>
      <c r="Z217" s="26">
        <f t="shared" si="392"/>
        <v>0</v>
      </c>
      <c r="AA217" s="26">
        <f t="shared" si="392"/>
        <v>0</v>
      </c>
      <c r="AB217" s="26">
        <f t="shared" si="392"/>
        <v>0</v>
      </c>
      <c r="AC217" s="26">
        <f t="shared" si="392"/>
        <v>0</v>
      </c>
      <c r="AD217" s="26">
        <f t="shared" si="392"/>
        <v>0</v>
      </c>
      <c r="AE217" s="26">
        <f t="shared" si="392"/>
        <v>0</v>
      </c>
      <c r="AF217" s="26">
        <f t="shared" si="392"/>
        <v>800</v>
      </c>
      <c r="AG217" s="26" t="str">
        <f t="shared" si="392"/>
        <v/>
      </c>
      <c r="AH217" s="26" t="str">
        <f t="shared" si="392"/>
        <v/>
      </c>
      <c r="AI217" s="26" t="str">
        <f t="shared" si="392"/>
        <v/>
      </c>
      <c r="AJ217" s="26" t="str">
        <f t="shared" si="392"/>
        <v/>
      </c>
      <c r="AK217" s="26" t="str">
        <f t="shared" si="392"/>
        <v/>
      </c>
      <c r="AL217" s="26" t="str">
        <f t="shared" si="392"/>
        <v/>
      </c>
      <c r="AM217" s="26" t="str">
        <f t="shared" ref="AM217:AS217" si="393">IF(AM$3="","",AM216*AM211)</f>
        <v/>
      </c>
      <c r="AN217" s="26" t="str">
        <f t="shared" si="393"/>
        <v/>
      </c>
      <c r="AO217" s="26" t="str">
        <f t="shared" si="393"/>
        <v/>
      </c>
      <c r="AP217" s="26" t="str">
        <f t="shared" si="393"/>
        <v/>
      </c>
      <c r="AQ217" s="26" t="str">
        <f t="shared" si="393"/>
        <v/>
      </c>
      <c r="AR217" s="26" t="str">
        <f t="shared" si="393"/>
        <v/>
      </c>
      <c r="AS217" s="26" t="str">
        <f t="shared" si="393"/>
        <v/>
      </c>
    </row>
    <row r="218" spans="1:45" ht="12" thickBot="1">
      <c r="A218" s="4">
        <f>IF(A217="","",A217/(A214*100))</f>
        <v>3.9024390243902439E-2</v>
      </c>
      <c r="B218" s="27" t="s">
        <v>20</v>
      </c>
      <c r="C218" s="68" t="s">
        <v>21</v>
      </c>
      <c r="D218" s="44" t="str">
        <f t="shared" ref="D218:AL218" si="394">IF(D$3="","",IF(D217=0,"",D217/(D214*100)))</f>
        <v/>
      </c>
      <c r="E218" s="44" t="str">
        <f t="shared" si="394"/>
        <v/>
      </c>
      <c r="F218" s="132" t="str">
        <f t="shared" si="394"/>
        <v/>
      </c>
      <c r="G218" s="44" t="str">
        <f t="shared" si="394"/>
        <v/>
      </c>
      <c r="H218" s="44" t="str">
        <f t="shared" si="394"/>
        <v/>
      </c>
      <c r="I218" s="132" t="str">
        <f t="shared" si="394"/>
        <v/>
      </c>
      <c r="J218" s="44" t="str">
        <f t="shared" si="394"/>
        <v/>
      </c>
      <c r="K218" s="44" t="str">
        <f t="shared" si="394"/>
        <v/>
      </c>
      <c r="L218" s="132" t="str">
        <f t="shared" si="394"/>
        <v/>
      </c>
      <c r="M218" s="44" t="str">
        <f t="shared" si="394"/>
        <v/>
      </c>
      <c r="N218" s="44" t="str">
        <f t="shared" si="394"/>
        <v/>
      </c>
      <c r="O218" s="44">
        <f t="shared" si="394"/>
        <v>0.14814814814814814</v>
      </c>
      <c r="P218" s="132" t="str">
        <f t="shared" si="394"/>
        <v/>
      </c>
      <c r="Q218" s="44" t="str">
        <f t="shared" si="394"/>
        <v/>
      </c>
      <c r="R218" s="44" t="str">
        <f t="shared" si="394"/>
        <v/>
      </c>
      <c r="S218" s="44" t="str">
        <f t="shared" si="394"/>
        <v/>
      </c>
      <c r="T218" s="44" t="str">
        <f t="shared" si="394"/>
        <v/>
      </c>
      <c r="U218" s="44" t="str">
        <f t="shared" si="394"/>
        <v/>
      </c>
      <c r="V218" s="44" t="str">
        <f t="shared" si="394"/>
        <v/>
      </c>
      <c r="W218" s="44" t="str">
        <f t="shared" si="394"/>
        <v/>
      </c>
      <c r="X218" s="44" t="str">
        <f t="shared" si="394"/>
        <v/>
      </c>
      <c r="Y218" s="44" t="str">
        <f t="shared" si="394"/>
        <v/>
      </c>
      <c r="Z218" s="44" t="str">
        <f t="shared" si="394"/>
        <v/>
      </c>
      <c r="AA218" s="44" t="str">
        <f t="shared" si="394"/>
        <v/>
      </c>
      <c r="AB218" s="44" t="str">
        <f t="shared" si="394"/>
        <v/>
      </c>
      <c r="AC218" s="44" t="str">
        <f t="shared" si="394"/>
        <v/>
      </c>
      <c r="AD218" s="44" t="str">
        <f t="shared" si="394"/>
        <v/>
      </c>
      <c r="AE218" s="44" t="str">
        <f t="shared" si="394"/>
        <v/>
      </c>
      <c r="AF218" s="44">
        <f t="shared" si="394"/>
        <v>0.25</v>
      </c>
      <c r="AG218" s="44" t="str">
        <f t="shared" si="394"/>
        <v/>
      </c>
      <c r="AH218" s="44" t="str">
        <f t="shared" si="394"/>
        <v/>
      </c>
      <c r="AI218" s="44" t="str">
        <f t="shared" si="394"/>
        <v/>
      </c>
      <c r="AJ218" s="44" t="str">
        <f t="shared" si="394"/>
        <v/>
      </c>
      <c r="AK218" s="44" t="str">
        <f t="shared" si="394"/>
        <v/>
      </c>
      <c r="AL218" s="44" t="str">
        <f t="shared" si="394"/>
        <v/>
      </c>
      <c r="AM218" s="44" t="str">
        <f t="shared" ref="AM218:AS218" si="395">IF(AM$3="","",IF(AM217=0,"",AM217/(AM214*100)))</f>
        <v/>
      </c>
      <c r="AN218" s="44" t="str">
        <f t="shared" si="395"/>
        <v/>
      </c>
      <c r="AO218" s="44" t="str">
        <f t="shared" si="395"/>
        <v/>
      </c>
      <c r="AP218" s="44" t="str">
        <f t="shared" si="395"/>
        <v/>
      </c>
      <c r="AQ218" s="44" t="str">
        <f t="shared" si="395"/>
        <v/>
      </c>
      <c r="AR218" s="44" t="str">
        <f t="shared" si="395"/>
        <v/>
      </c>
      <c r="AS218" s="44" t="str">
        <f t="shared" si="395"/>
        <v/>
      </c>
    </row>
    <row r="219" spans="1:45">
      <c r="A219" s="17" t="s">
        <v>1</v>
      </c>
      <c r="B219" s="42" t="s">
        <v>2</v>
      </c>
      <c r="C219" s="64">
        <v>3017</v>
      </c>
      <c r="D219" s="35">
        <f>IF(D$3="","",C219)</f>
        <v>3017</v>
      </c>
      <c r="E219" s="35">
        <v>3058</v>
      </c>
      <c r="F219" s="128">
        <f>IF(F$3="","",E219)</f>
        <v>3058</v>
      </c>
      <c r="G219" s="35">
        <f>IF(G$3="","",F219)</f>
        <v>3058</v>
      </c>
      <c r="H219" s="35">
        <v>3072</v>
      </c>
      <c r="I219" s="128">
        <f>IF(I$3="","",H219)</f>
        <v>3072</v>
      </c>
      <c r="J219" s="35">
        <f>IF(J$3="","",I219)</f>
        <v>3072</v>
      </c>
      <c r="K219" s="35">
        <v>3102</v>
      </c>
      <c r="L219" s="128">
        <f t="shared" ref="L219:N220" si="396">IF(L$3="","",K219)</f>
        <v>3102</v>
      </c>
      <c r="M219" s="35">
        <f t="shared" si="396"/>
        <v>3102</v>
      </c>
      <c r="N219" s="35">
        <f t="shared" si="396"/>
        <v>3102</v>
      </c>
      <c r="O219" s="35">
        <v>3119</v>
      </c>
      <c r="P219" s="128">
        <f>IF(P$3="","",O219)</f>
        <v>3119</v>
      </c>
      <c r="Q219" s="35">
        <f>IF(Q$3="","",P219)</f>
        <v>3119</v>
      </c>
      <c r="R219" s="35">
        <v>3145</v>
      </c>
      <c r="S219" s="35">
        <f t="shared" ref="S219:AL219" si="397">IF(S$3="","",R219)</f>
        <v>3145</v>
      </c>
      <c r="T219" s="35">
        <f t="shared" si="397"/>
        <v>3145</v>
      </c>
      <c r="U219" s="35">
        <f t="shared" si="397"/>
        <v>3145</v>
      </c>
      <c r="V219" s="35">
        <v>3170</v>
      </c>
      <c r="W219" s="35">
        <f t="shared" si="397"/>
        <v>3170</v>
      </c>
      <c r="X219" s="35">
        <f t="shared" si="397"/>
        <v>3170</v>
      </c>
      <c r="Y219" s="35">
        <v>3189</v>
      </c>
      <c r="Z219" s="35">
        <f t="shared" si="397"/>
        <v>3189</v>
      </c>
      <c r="AA219" s="35">
        <f t="shared" si="397"/>
        <v>3189</v>
      </c>
      <c r="AB219" s="35">
        <f t="shared" si="397"/>
        <v>3189</v>
      </c>
      <c r="AC219" s="35">
        <v>3220</v>
      </c>
      <c r="AD219" s="35">
        <f t="shared" si="397"/>
        <v>3220</v>
      </c>
      <c r="AE219" s="35">
        <f t="shared" si="397"/>
        <v>3220</v>
      </c>
      <c r="AF219" s="35">
        <v>3242</v>
      </c>
      <c r="AG219" s="35" t="str">
        <f t="shared" si="397"/>
        <v/>
      </c>
      <c r="AH219" s="35" t="str">
        <f t="shared" si="397"/>
        <v/>
      </c>
      <c r="AI219" s="35" t="str">
        <f t="shared" si="397"/>
        <v/>
      </c>
      <c r="AJ219" s="35" t="str">
        <f t="shared" si="397"/>
        <v/>
      </c>
      <c r="AK219" s="35" t="str">
        <f t="shared" si="397"/>
        <v/>
      </c>
      <c r="AL219" s="35" t="str">
        <f t="shared" si="397"/>
        <v/>
      </c>
      <c r="AM219" s="35" t="str">
        <f t="shared" ref="AM219:AS219" si="398">IF(AM$3="","",AL219)</f>
        <v/>
      </c>
      <c r="AN219" s="35" t="str">
        <f t="shared" si="398"/>
        <v/>
      </c>
      <c r="AO219" s="35" t="str">
        <f t="shared" si="398"/>
        <v/>
      </c>
      <c r="AP219" s="35" t="str">
        <f t="shared" si="398"/>
        <v/>
      </c>
      <c r="AQ219" s="35" t="str">
        <f t="shared" si="398"/>
        <v/>
      </c>
      <c r="AR219" s="35" t="str">
        <f t="shared" si="398"/>
        <v/>
      </c>
      <c r="AS219" s="35" t="str">
        <f t="shared" si="398"/>
        <v/>
      </c>
    </row>
    <row r="220" spans="1:45">
      <c r="A220" s="16" t="s">
        <v>53</v>
      </c>
      <c r="B220" s="30" t="s">
        <v>4</v>
      </c>
      <c r="C220" s="65">
        <v>118</v>
      </c>
      <c r="D220" s="29">
        <f>IF(D$3="","",C220)</f>
        <v>118</v>
      </c>
      <c r="E220" s="29">
        <f>IF(E$3="","",D220)</f>
        <v>118</v>
      </c>
      <c r="F220" s="54">
        <f>IF(F$3="","",E220)</f>
        <v>118</v>
      </c>
      <c r="G220" s="29">
        <f>IF(G$3="","",F220)</f>
        <v>118</v>
      </c>
      <c r="H220" s="29">
        <f>IF(H$3="","",G220)</f>
        <v>118</v>
      </c>
      <c r="I220" s="54">
        <f>IF(I$3="","",H220)</f>
        <v>118</v>
      </c>
      <c r="J220" s="29">
        <f>IF(J$3="","",I220)</f>
        <v>118</v>
      </c>
      <c r="K220" s="29">
        <f>IF(K$3="","",J220)</f>
        <v>118</v>
      </c>
      <c r="L220" s="54">
        <f t="shared" si="396"/>
        <v>118</v>
      </c>
      <c r="M220" s="29">
        <f t="shared" si="396"/>
        <v>118</v>
      </c>
      <c r="N220" s="29">
        <f t="shared" si="396"/>
        <v>118</v>
      </c>
      <c r="O220" s="29">
        <v>119</v>
      </c>
      <c r="P220" s="54">
        <f>IF(P$3="","",O220)</f>
        <v>119</v>
      </c>
      <c r="Q220" s="29">
        <f>IF(Q$3="","",P220)</f>
        <v>119</v>
      </c>
      <c r="R220" s="29">
        <f>IF(R$3="","",Q220)</f>
        <v>119</v>
      </c>
      <c r="S220" s="29">
        <f t="shared" ref="S220:AL220" si="399">IF(S$3="","",R220)</f>
        <v>119</v>
      </c>
      <c r="T220" s="29">
        <f t="shared" si="399"/>
        <v>119</v>
      </c>
      <c r="U220" s="29">
        <f t="shared" si="399"/>
        <v>119</v>
      </c>
      <c r="V220" s="29">
        <f t="shared" si="399"/>
        <v>119</v>
      </c>
      <c r="W220" s="29">
        <f t="shared" si="399"/>
        <v>119</v>
      </c>
      <c r="X220" s="29">
        <f t="shared" si="399"/>
        <v>119</v>
      </c>
      <c r="Y220" s="29">
        <f t="shared" si="399"/>
        <v>119</v>
      </c>
      <c r="Z220" s="29">
        <f t="shared" si="399"/>
        <v>119</v>
      </c>
      <c r="AA220" s="29">
        <f t="shared" si="399"/>
        <v>119</v>
      </c>
      <c r="AB220" s="29">
        <f t="shared" si="399"/>
        <v>119</v>
      </c>
      <c r="AC220" s="29">
        <f t="shared" si="399"/>
        <v>119</v>
      </c>
      <c r="AD220" s="29">
        <f t="shared" si="399"/>
        <v>119</v>
      </c>
      <c r="AE220" s="29">
        <f t="shared" si="399"/>
        <v>119</v>
      </c>
      <c r="AF220" s="29">
        <v>120</v>
      </c>
      <c r="AG220" s="29" t="str">
        <f t="shared" si="399"/>
        <v/>
      </c>
      <c r="AH220" s="29" t="str">
        <f t="shared" si="399"/>
        <v/>
      </c>
      <c r="AI220" s="29" t="str">
        <f t="shared" si="399"/>
        <v/>
      </c>
      <c r="AJ220" s="29" t="str">
        <f t="shared" si="399"/>
        <v/>
      </c>
      <c r="AK220" s="29" t="str">
        <f t="shared" si="399"/>
        <v/>
      </c>
      <c r="AL220" s="29" t="str">
        <f t="shared" si="399"/>
        <v/>
      </c>
      <c r="AM220" s="29" t="str">
        <f t="shared" ref="AM220:AS220" si="400">IF(AM$3="","",AL220)</f>
        <v/>
      </c>
      <c r="AN220" s="29" t="str">
        <f t="shared" si="400"/>
        <v/>
      </c>
      <c r="AO220" s="29" t="str">
        <f t="shared" si="400"/>
        <v/>
      </c>
      <c r="AP220" s="29" t="str">
        <f t="shared" si="400"/>
        <v/>
      </c>
      <c r="AQ220" s="29" t="str">
        <f t="shared" si="400"/>
        <v/>
      </c>
      <c r="AR220" s="29" t="str">
        <f t="shared" si="400"/>
        <v/>
      </c>
      <c r="AS220" s="29" t="str">
        <f t="shared" si="400"/>
        <v/>
      </c>
    </row>
    <row r="221" spans="1:45">
      <c r="A221" s="15">
        <v>3</v>
      </c>
      <c r="B221" s="30" t="s">
        <v>5</v>
      </c>
      <c r="C221" s="65">
        <v>3</v>
      </c>
      <c r="D221" s="29">
        <f t="shared" ref="D221:N221" si="401">IF(D$3="","",(C221+C222))</f>
        <v>3</v>
      </c>
      <c r="E221" s="29">
        <f t="shared" si="401"/>
        <v>3</v>
      </c>
      <c r="F221" s="54">
        <f t="shared" si="401"/>
        <v>3</v>
      </c>
      <c r="G221" s="29">
        <f t="shared" si="401"/>
        <v>3</v>
      </c>
      <c r="H221" s="29">
        <f t="shared" si="401"/>
        <v>3</v>
      </c>
      <c r="I221" s="54">
        <f t="shared" si="401"/>
        <v>3</v>
      </c>
      <c r="J221" s="29">
        <f t="shared" si="401"/>
        <v>3</v>
      </c>
      <c r="K221" s="29">
        <f t="shared" si="401"/>
        <v>3</v>
      </c>
      <c r="L221" s="54">
        <f t="shared" si="401"/>
        <v>3</v>
      </c>
      <c r="M221" s="29">
        <f t="shared" si="401"/>
        <v>3</v>
      </c>
      <c r="N221" s="29">
        <f t="shared" si="401"/>
        <v>3</v>
      </c>
      <c r="O221" s="29">
        <v>2</v>
      </c>
      <c r="P221" s="54">
        <f t="shared" ref="P221:AL221" si="402">IF(P$3="","",(O221+O222))</f>
        <v>3</v>
      </c>
      <c r="Q221" s="29">
        <f t="shared" si="402"/>
        <v>3</v>
      </c>
      <c r="R221" s="29">
        <f t="shared" si="402"/>
        <v>3</v>
      </c>
      <c r="S221" s="29">
        <f t="shared" si="402"/>
        <v>3</v>
      </c>
      <c r="T221" s="29">
        <f t="shared" si="402"/>
        <v>3</v>
      </c>
      <c r="U221" s="29">
        <f t="shared" si="402"/>
        <v>3</v>
      </c>
      <c r="V221" s="29">
        <f t="shared" si="402"/>
        <v>3</v>
      </c>
      <c r="W221" s="29">
        <f t="shared" si="402"/>
        <v>3</v>
      </c>
      <c r="X221" s="29">
        <f t="shared" si="402"/>
        <v>3</v>
      </c>
      <c r="Y221" s="29">
        <f t="shared" si="402"/>
        <v>3</v>
      </c>
      <c r="Z221" s="29">
        <f t="shared" si="402"/>
        <v>3</v>
      </c>
      <c r="AA221" s="29">
        <f t="shared" si="402"/>
        <v>3</v>
      </c>
      <c r="AB221" s="29">
        <f t="shared" si="402"/>
        <v>3</v>
      </c>
      <c r="AC221" s="29">
        <f t="shared" si="402"/>
        <v>3</v>
      </c>
      <c r="AD221" s="29">
        <f t="shared" si="402"/>
        <v>3</v>
      </c>
      <c r="AE221" s="29">
        <f t="shared" si="402"/>
        <v>3</v>
      </c>
      <c r="AF221" s="29">
        <f t="shared" si="402"/>
        <v>3</v>
      </c>
      <c r="AG221" s="29" t="str">
        <f t="shared" si="402"/>
        <v/>
      </c>
      <c r="AH221" s="29" t="str">
        <f t="shared" si="402"/>
        <v/>
      </c>
      <c r="AI221" s="29" t="str">
        <f t="shared" si="402"/>
        <v/>
      </c>
      <c r="AJ221" s="29" t="str">
        <f t="shared" si="402"/>
        <v/>
      </c>
      <c r="AK221" s="29" t="str">
        <f t="shared" si="402"/>
        <v/>
      </c>
      <c r="AL221" s="29" t="str">
        <f t="shared" si="402"/>
        <v/>
      </c>
      <c r="AM221" s="29" t="str">
        <f t="shared" ref="AM221:AS221" si="403">IF(AM$3="","",(AL221+AL222))</f>
        <v/>
      </c>
      <c r="AN221" s="29" t="str">
        <f t="shared" si="403"/>
        <v/>
      </c>
      <c r="AO221" s="29" t="str">
        <f t="shared" si="403"/>
        <v/>
      </c>
      <c r="AP221" s="29" t="str">
        <f t="shared" si="403"/>
        <v/>
      </c>
      <c r="AQ221" s="29" t="str">
        <f t="shared" si="403"/>
        <v/>
      </c>
      <c r="AR221" s="29" t="str">
        <f t="shared" si="403"/>
        <v/>
      </c>
      <c r="AS221" s="29" t="str">
        <f t="shared" si="403"/>
        <v/>
      </c>
    </row>
    <row r="222" spans="1:45">
      <c r="A222" s="14"/>
      <c r="B222" s="30" t="s">
        <v>7</v>
      </c>
      <c r="C222" s="65"/>
      <c r="D222" s="29"/>
      <c r="E222" s="29"/>
      <c r="F222" s="54"/>
      <c r="G222" s="29"/>
      <c r="H222" s="29"/>
      <c r="I222" s="54"/>
      <c r="J222" s="29"/>
      <c r="K222" s="29"/>
      <c r="L222" s="54"/>
      <c r="M222" s="29"/>
      <c r="N222" s="29"/>
      <c r="O222" s="29">
        <v>1</v>
      </c>
      <c r="P222" s="54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 spans="1:45">
      <c r="A223" s="7"/>
      <c r="B223" s="30" t="s">
        <v>8</v>
      </c>
      <c r="C223" s="64">
        <v>600</v>
      </c>
      <c r="D223" s="35">
        <f t="shared" ref="D223:AL223" si="404">IF(D$3="","",C223)</f>
        <v>600</v>
      </c>
      <c r="E223" s="35">
        <f t="shared" si="404"/>
        <v>600</v>
      </c>
      <c r="F223" s="128">
        <f t="shared" si="404"/>
        <v>600</v>
      </c>
      <c r="G223" s="35">
        <f t="shared" si="404"/>
        <v>600</v>
      </c>
      <c r="H223" s="35">
        <f t="shared" si="404"/>
        <v>600</v>
      </c>
      <c r="I223" s="128">
        <f t="shared" si="404"/>
        <v>600</v>
      </c>
      <c r="J223" s="35">
        <f t="shared" si="404"/>
        <v>600</v>
      </c>
      <c r="K223" s="35">
        <f t="shared" si="404"/>
        <v>600</v>
      </c>
      <c r="L223" s="128">
        <f t="shared" si="404"/>
        <v>600</v>
      </c>
      <c r="M223" s="35">
        <f t="shared" si="404"/>
        <v>600</v>
      </c>
      <c r="N223" s="35">
        <f t="shared" si="404"/>
        <v>600</v>
      </c>
      <c r="O223" s="35">
        <f t="shared" si="404"/>
        <v>600</v>
      </c>
      <c r="P223" s="128">
        <f t="shared" si="404"/>
        <v>600</v>
      </c>
      <c r="Q223" s="35">
        <f t="shared" si="404"/>
        <v>600</v>
      </c>
      <c r="R223" s="35">
        <f t="shared" si="404"/>
        <v>600</v>
      </c>
      <c r="S223" s="35">
        <f t="shared" si="404"/>
        <v>600</v>
      </c>
      <c r="T223" s="35">
        <f t="shared" si="404"/>
        <v>600</v>
      </c>
      <c r="U223" s="35">
        <f t="shared" si="404"/>
        <v>600</v>
      </c>
      <c r="V223" s="35">
        <f t="shared" si="404"/>
        <v>600</v>
      </c>
      <c r="W223" s="35">
        <f t="shared" si="404"/>
        <v>600</v>
      </c>
      <c r="X223" s="35">
        <f t="shared" si="404"/>
        <v>600</v>
      </c>
      <c r="Y223" s="35">
        <f t="shared" si="404"/>
        <v>600</v>
      </c>
      <c r="Z223" s="35">
        <f t="shared" si="404"/>
        <v>600</v>
      </c>
      <c r="AA223" s="35">
        <f t="shared" si="404"/>
        <v>600</v>
      </c>
      <c r="AB223" s="35">
        <f t="shared" si="404"/>
        <v>600</v>
      </c>
      <c r="AC223" s="35">
        <f t="shared" si="404"/>
        <v>600</v>
      </c>
      <c r="AD223" s="35">
        <f t="shared" si="404"/>
        <v>600</v>
      </c>
      <c r="AE223" s="35">
        <f t="shared" si="404"/>
        <v>600</v>
      </c>
      <c r="AF223" s="35">
        <f t="shared" si="404"/>
        <v>600</v>
      </c>
      <c r="AG223" s="35" t="str">
        <f t="shared" si="404"/>
        <v/>
      </c>
      <c r="AH223" s="35" t="str">
        <f t="shared" si="404"/>
        <v/>
      </c>
      <c r="AI223" s="35" t="str">
        <f t="shared" si="404"/>
        <v/>
      </c>
      <c r="AJ223" s="35" t="str">
        <f t="shared" si="404"/>
        <v/>
      </c>
      <c r="AK223" s="35" t="str">
        <f t="shared" si="404"/>
        <v/>
      </c>
      <c r="AL223" s="35" t="str">
        <f t="shared" si="404"/>
        <v/>
      </c>
      <c r="AM223" s="35" t="str">
        <f t="shared" ref="AM223:AS223" si="405">IF(AM$3="","",AL223)</f>
        <v/>
      </c>
      <c r="AN223" s="35" t="str">
        <f t="shared" si="405"/>
        <v/>
      </c>
      <c r="AO223" s="35" t="str">
        <f t="shared" si="405"/>
        <v/>
      </c>
      <c r="AP223" s="35" t="str">
        <f t="shared" si="405"/>
        <v/>
      </c>
      <c r="AQ223" s="35" t="str">
        <f t="shared" si="405"/>
        <v/>
      </c>
      <c r="AR223" s="35" t="str">
        <f t="shared" si="405"/>
        <v/>
      </c>
      <c r="AS223" s="35" t="str">
        <f t="shared" si="405"/>
        <v/>
      </c>
    </row>
    <row r="224" spans="1:45" s="94" customFormat="1">
      <c r="A224" s="14" t="s">
        <v>9</v>
      </c>
      <c r="B224" s="33" t="s">
        <v>10</v>
      </c>
      <c r="C224" s="63" t="s">
        <v>55</v>
      </c>
      <c r="D224" s="32" t="str">
        <f t="shared" ref="D224:AL224" si="406">IF(D$3="","",C224)</f>
        <v>キティフェイスポーチ</v>
      </c>
      <c r="E224" s="32" t="str">
        <f t="shared" si="406"/>
        <v>キティフェイスポーチ</v>
      </c>
      <c r="F224" s="129" t="str">
        <f t="shared" si="406"/>
        <v>キティフェイスポーチ</v>
      </c>
      <c r="G224" s="32" t="str">
        <f t="shared" si="406"/>
        <v>キティフェイスポーチ</v>
      </c>
      <c r="H224" s="32" t="str">
        <f t="shared" si="406"/>
        <v>キティフェイスポーチ</v>
      </c>
      <c r="I224" s="129" t="str">
        <f t="shared" si="406"/>
        <v>キティフェイスポーチ</v>
      </c>
      <c r="J224" s="32" t="str">
        <f t="shared" si="406"/>
        <v>キティフェイスポーチ</v>
      </c>
      <c r="K224" s="32" t="str">
        <f t="shared" si="406"/>
        <v>キティフェイスポーチ</v>
      </c>
      <c r="L224" s="129" t="str">
        <f t="shared" si="406"/>
        <v>キティフェイスポーチ</v>
      </c>
      <c r="M224" s="32" t="str">
        <f t="shared" si="406"/>
        <v>キティフェイスポーチ</v>
      </c>
      <c r="N224" s="32" t="str">
        <f t="shared" si="406"/>
        <v>キティフェイスポーチ</v>
      </c>
      <c r="O224" s="32" t="str">
        <f t="shared" si="406"/>
        <v>キティフェイスポーチ</v>
      </c>
      <c r="P224" s="129" t="str">
        <f t="shared" si="406"/>
        <v>キティフェイスポーチ</v>
      </c>
      <c r="Q224" s="32" t="str">
        <f t="shared" si="406"/>
        <v>キティフェイスポーチ</v>
      </c>
      <c r="R224" s="32" t="str">
        <f t="shared" si="406"/>
        <v>キティフェイスポーチ</v>
      </c>
      <c r="S224" s="32" t="str">
        <f t="shared" si="406"/>
        <v>キティフェイスポーチ</v>
      </c>
      <c r="T224" s="32" t="str">
        <f t="shared" si="406"/>
        <v>キティフェイスポーチ</v>
      </c>
      <c r="U224" s="32" t="str">
        <f t="shared" si="406"/>
        <v>キティフェイスポーチ</v>
      </c>
      <c r="V224" s="32" t="str">
        <f t="shared" si="406"/>
        <v>キティフェイスポーチ</v>
      </c>
      <c r="W224" s="32" t="str">
        <f t="shared" si="406"/>
        <v>キティフェイスポーチ</v>
      </c>
      <c r="X224" s="32" t="str">
        <f t="shared" si="406"/>
        <v>キティフェイスポーチ</v>
      </c>
      <c r="Y224" s="32" t="str">
        <f t="shared" si="406"/>
        <v>キティフェイスポーチ</v>
      </c>
      <c r="Z224" s="32" t="str">
        <f t="shared" si="406"/>
        <v>キティフェイスポーチ</v>
      </c>
      <c r="AA224" s="32" t="str">
        <f t="shared" si="406"/>
        <v>キティフェイスポーチ</v>
      </c>
      <c r="AB224" s="32" t="str">
        <f t="shared" si="406"/>
        <v>キティフェイスポーチ</v>
      </c>
      <c r="AC224" s="32" t="str">
        <f t="shared" si="406"/>
        <v>キティフェイスポーチ</v>
      </c>
      <c r="AD224" s="32" t="str">
        <f t="shared" si="406"/>
        <v>キティフェイスポーチ</v>
      </c>
      <c r="AE224" s="32" t="str">
        <f t="shared" si="406"/>
        <v>キティフェイスポーチ</v>
      </c>
      <c r="AF224" s="32" t="str">
        <f t="shared" si="406"/>
        <v>キティフェイスポーチ</v>
      </c>
      <c r="AG224" s="32" t="str">
        <f t="shared" si="406"/>
        <v/>
      </c>
      <c r="AH224" s="32" t="str">
        <f t="shared" si="406"/>
        <v/>
      </c>
      <c r="AI224" s="32" t="str">
        <f t="shared" si="406"/>
        <v/>
      </c>
      <c r="AJ224" s="32" t="str">
        <f t="shared" si="406"/>
        <v/>
      </c>
      <c r="AK224" s="32" t="str">
        <f t="shared" si="406"/>
        <v/>
      </c>
      <c r="AL224" s="32" t="str">
        <f t="shared" si="406"/>
        <v/>
      </c>
      <c r="AM224" s="32" t="str">
        <f t="shared" ref="AM224:AS224" si="407">IF(AM$3="","",AL224)</f>
        <v/>
      </c>
      <c r="AN224" s="32" t="str">
        <f t="shared" si="407"/>
        <v/>
      </c>
      <c r="AO224" s="32" t="str">
        <f t="shared" si="407"/>
        <v/>
      </c>
      <c r="AP224" s="32" t="str">
        <f t="shared" si="407"/>
        <v/>
      </c>
      <c r="AQ224" s="32" t="str">
        <f t="shared" si="407"/>
        <v/>
      </c>
      <c r="AR224" s="32" t="str">
        <f t="shared" si="407"/>
        <v/>
      </c>
      <c r="AS224" s="32" t="str">
        <f t="shared" si="407"/>
        <v/>
      </c>
    </row>
    <row r="225" spans="1:45">
      <c r="A225" s="7">
        <f>AVERAGE(C226:AS226)*30*100</f>
        <v>22500</v>
      </c>
      <c r="B225" s="30" t="s">
        <v>14</v>
      </c>
      <c r="C225" s="65"/>
      <c r="D225" s="29"/>
      <c r="E225" s="29"/>
      <c r="F225" s="54"/>
      <c r="G225" s="29"/>
      <c r="H225" s="29"/>
      <c r="I225" s="54"/>
      <c r="J225" s="29"/>
      <c r="K225" s="29"/>
      <c r="L225" s="54"/>
      <c r="M225" s="29"/>
      <c r="N225" s="29"/>
      <c r="O225" s="29"/>
      <c r="P225" s="54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 spans="1:45">
      <c r="A226" s="7">
        <f>SUM(C226:AS226)</f>
        <v>225</v>
      </c>
      <c r="B226" s="27" t="s">
        <v>15</v>
      </c>
      <c r="C226" s="65">
        <v>0</v>
      </c>
      <c r="D226" s="26">
        <f t="shared" ref="D226:AL226" si="408">IF(D$3="","",D219-C219)</f>
        <v>0</v>
      </c>
      <c r="E226" s="26">
        <f t="shared" si="408"/>
        <v>41</v>
      </c>
      <c r="F226" s="54">
        <f t="shared" si="408"/>
        <v>0</v>
      </c>
      <c r="G226" s="26">
        <f t="shared" si="408"/>
        <v>0</v>
      </c>
      <c r="H226" s="26">
        <f t="shared" si="408"/>
        <v>14</v>
      </c>
      <c r="I226" s="54">
        <f t="shared" si="408"/>
        <v>0</v>
      </c>
      <c r="J226" s="26">
        <f t="shared" si="408"/>
        <v>0</v>
      </c>
      <c r="K226" s="26">
        <f t="shared" si="408"/>
        <v>30</v>
      </c>
      <c r="L226" s="54">
        <f t="shared" si="408"/>
        <v>0</v>
      </c>
      <c r="M226" s="26">
        <f t="shared" si="408"/>
        <v>0</v>
      </c>
      <c r="N226" s="26">
        <f t="shared" si="408"/>
        <v>0</v>
      </c>
      <c r="O226" s="26">
        <f t="shared" si="408"/>
        <v>17</v>
      </c>
      <c r="P226" s="54">
        <f t="shared" si="408"/>
        <v>0</v>
      </c>
      <c r="Q226" s="26">
        <f t="shared" si="408"/>
        <v>0</v>
      </c>
      <c r="R226" s="26">
        <f t="shared" si="408"/>
        <v>26</v>
      </c>
      <c r="S226" s="26">
        <f t="shared" si="408"/>
        <v>0</v>
      </c>
      <c r="T226" s="26">
        <f t="shared" si="408"/>
        <v>0</v>
      </c>
      <c r="U226" s="26">
        <f t="shared" si="408"/>
        <v>0</v>
      </c>
      <c r="V226" s="26">
        <f t="shared" si="408"/>
        <v>25</v>
      </c>
      <c r="W226" s="26">
        <f t="shared" si="408"/>
        <v>0</v>
      </c>
      <c r="X226" s="26">
        <f t="shared" si="408"/>
        <v>0</v>
      </c>
      <c r="Y226" s="26">
        <f t="shared" si="408"/>
        <v>19</v>
      </c>
      <c r="Z226" s="26">
        <f t="shared" si="408"/>
        <v>0</v>
      </c>
      <c r="AA226" s="26">
        <f t="shared" si="408"/>
        <v>0</v>
      </c>
      <c r="AB226" s="26">
        <f t="shared" si="408"/>
        <v>0</v>
      </c>
      <c r="AC226" s="26">
        <f t="shared" si="408"/>
        <v>31</v>
      </c>
      <c r="AD226" s="26">
        <f t="shared" si="408"/>
        <v>0</v>
      </c>
      <c r="AE226" s="26">
        <f t="shared" si="408"/>
        <v>0</v>
      </c>
      <c r="AF226" s="26">
        <f t="shared" si="408"/>
        <v>22</v>
      </c>
      <c r="AG226" s="26" t="str">
        <f t="shared" si="408"/>
        <v/>
      </c>
      <c r="AH226" s="26" t="str">
        <f t="shared" si="408"/>
        <v/>
      </c>
      <c r="AI226" s="26" t="str">
        <f t="shared" si="408"/>
        <v/>
      </c>
      <c r="AJ226" s="26" t="str">
        <f t="shared" si="408"/>
        <v/>
      </c>
      <c r="AK226" s="26" t="str">
        <f t="shared" si="408"/>
        <v/>
      </c>
      <c r="AL226" s="26" t="str">
        <f t="shared" si="408"/>
        <v/>
      </c>
      <c r="AM226" s="26" t="str">
        <f t="shared" ref="AM226:AS226" si="409">IF(AM$3="","",AM219-AL219)</f>
        <v/>
      </c>
      <c r="AN226" s="26" t="str">
        <f t="shared" si="409"/>
        <v/>
      </c>
      <c r="AO226" s="26" t="str">
        <f t="shared" si="409"/>
        <v/>
      </c>
      <c r="AP226" s="26" t="str">
        <f t="shared" si="409"/>
        <v/>
      </c>
      <c r="AQ226" s="26" t="str">
        <f t="shared" si="409"/>
        <v/>
      </c>
      <c r="AR226" s="26" t="str">
        <f t="shared" si="409"/>
        <v/>
      </c>
      <c r="AS226" s="26" t="str">
        <f t="shared" si="409"/>
        <v/>
      </c>
    </row>
    <row r="227" spans="1:45">
      <c r="A227" s="7">
        <f>SUM(C227:AS227)</f>
        <v>2</v>
      </c>
      <c r="B227" s="27" t="s">
        <v>16</v>
      </c>
      <c r="C227" s="65">
        <v>0</v>
      </c>
      <c r="D227" s="26">
        <f t="shared" ref="D227:AL227" si="410">IF(D$3="","",D220-C220)</f>
        <v>0</v>
      </c>
      <c r="E227" s="26">
        <f t="shared" si="410"/>
        <v>0</v>
      </c>
      <c r="F227" s="54">
        <f t="shared" si="410"/>
        <v>0</v>
      </c>
      <c r="G227" s="26">
        <f t="shared" si="410"/>
        <v>0</v>
      </c>
      <c r="H227" s="26">
        <f t="shared" si="410"/>
        <v>0</v>
      </c>
      <c r="I227" s="54">
        <f t="shared" si="410"/>
        <v>0</v>
      </c>
      <c r="J227" s="26">
        <f t="shared" si="410"/>
        <v>0</v>
      </c>
      <c r="K227" s="26">
        <f t="shared" si="410"/>
        <v>0</v>
      </c>
      <c r="L227" s="54">
        <f t="shared" si="410"/>
        <v>0</v>
      </c>
      <c r="M227" s="26">
        <f t="shared" si="410"/>
        <v>0</v>
      </c>
      <c r="N227" s="26">
        <f t="shared" si="410"/>
        <v>0</v>
      </c>
      <c r="O227" s="26">
        <f t="shared" si="410"/>
        <v>1</v>
      </c>
      <c r="P227" s="54">
        <f t="shared" si="410"/>
        <v>0</v>
      </c>
      <c r="Q227" s="26">
        <f t="shared" si="410"/>
        <v>0</v>
      </c>
      <c r="R227" s="26">
        <f t="shared" si="410"/>
        <v>0</v>
      </c>
      <c r="S227" s="26">
        <f t="shared" si="410"/>
        <v>0</v>
      </c>
      <c r="T227" s="26">
        <f t="shared" si="410"/>
        <v>0</v>
      </c>
      <c r="U227" s="26">
        <f t="shared" si="410"/>
        <v>0</v>
      </c>
      <c r="V227" s="26">
        <f t="shared" si="410"/>
        <v>0</v>
      </c>
      <c r="W227" s="26">
        <f t="shared" si="410"/>
        <v>0</v>
      </c>
      <c r="X227" s="26">
        <f t="shared" si="410"/>
        <v>0</v>
      </c>
      <c r="Y227" s="26">
        <f t="shared" si="410"/>
        <v>0</v>
      </c>
      <c r="Z227" s="26">
        <f t="shared" si="410"/>
        <v>0</v>
      </c>
      <c r="AA227" s="26">
        <f t="shared" si="410"/>
        <v>0</v>
      </c>
      <c r="AB227" s="26">
        <f t="shared" si="410"/>
        <v>0</v>
      </c>
      <c r="AC227" s="26">
        <f t="shared" si="410"/>
        <v>0</v>
      </c>
      <c r="AD227" s="26">
        <f t="shared" si="410"/>
        <v>0</v>
      </c>
      <c r="AE227" s="26">
        <f t="shared" si="410"/>
        <v>0</v>
      </c>
      <c r="AF227" s="26">
        <f t="shared" si="410"/>
        <v>1</v>
      </c>
      <c r="AG227" s="26" t="str">
        <f t="shared" si="410"/>
        <v/>
      </c>
      <c r="AH227" s="26" t="str">
        <f t="shared" si="410"/>
        <v/>
      </c>
      <c r="AI227" s="26" t="str">
        <f t="shared" si="410"/>
        <v/>
      </c>
      <c r="AJ227" s="26" t="str">
        <f t="shared" si="410"/>
        <v/>
      </c>
      <c r="AK227" s="26" t="str">
        <f t="shared" si="410"/>
        <v/>
      </c>
      <c r="AL227" s="26" t="str">
        <f t="shared" si="410"/>
        <v/>
      </c>
      <c r="AM227" s="26" t="str">
        <f t="shared" ref="AM227:AS227" si="411">IF(AM$3="","",AM220-AL220)</f>
        <v/>
      </c>
      <c r="AN227" s="26" t="str">
        <f t="shared" si="411"/>
        <v/>
      </c>
      <c r="AO227" s="26" t="str">
        <f t="shared" si="411"/>
        <v/>
      </c>
      <c r="AP227" s="26" t="str">
        <f t="shared" si="411"/>
        <v/>
      </c>
      <c r="AQ227" s="26" t="str">
        <f t="shared" si="411"/>
        <v/>
      </c>
      <c r="AR227" s="26" t="str">
        <f t="shared" si="411"/>
        <v/>
      </c>
      <c r="AS227" s="26" t="str">
        <f t="shared" si="411"/>
        <v/>
      </c>
    </row>
    <row r="228" spans="1:45">
      <c r="A228" s="7">
        <f>SUM(C228:AS228)</f>
        <v>1</v>
      </c>
      <c r="B228" s="27" t="s">
        <v>17</v>
      </c>
      <c r="C228" s="65">
        <v>0</v>
      </c>
      <c r="D228" s="26">
        <f t="shared" ref="D228:AL228" si="412">IF(D$3="","",C221+C222-D221)</f>
        <v>0</v>
      </c>
      <c r="E228" s="26">
        <f t="shared" si="412"/>
        <v>0</v>
      </c>
      <c r="F228" s="54">
        <f t="shared" si="412"/>
        <v>0</v>
      </c>
      <c r="G228" s="26">
        <f t="shared" si="412"/>
        <v>0</v>
      </c>
      <c r="H228" s="26">
        <f t="shared" si="412"/>
        <v>0</v>
      </c>
      <c r="I228" s="54">
        <f t="shared" si="412"/>
        <v>0</v>
      </c>
      <c r="J228" s="26">
        <f t="shared" si="412"/>
        <v>0</v>
      </c>
      <c r="K228" s="26">
        <f t="shared" si="412"/>
        <v>0</v>
      </c>
      <c r="L228" s="54">
        <f t="shared" si="412"/>
        <v>0</v>
      </c>
      <c r="M228" s="26">
        <f t="shared" si="412"/>
        <v>0</v>
      </c>
      <c r="N228" s="26">
        <f t="shared" si="412"/>
        <v>0</v>
      </c>
      <c r="O228" s="26">
        <f t="shared" si="412"/>
        <v>1</v>
      </c>
      <c r="P228" s="54">
        <f t="shared" si="412"/>
        <v>0</v>
      </c>
      <c r="Q228" s="26">
        <f t="shared" si="412"/>
        <v>0</v>
      </c>
      <c r="R228" s="26">
        <f t="shared" si="412"/>
        <v>0</v>
      </c>
      <c r="S228" s="26">
        <f t="shared" si="412"/>
        <v>0</v>
      </c>
      <c r="T228" s="26">
        <f t="shared" si="412"/>
        <v>0</v>
      </c>
      <c r="U228" s="26">
        <f t="shared" si="412"/>
        <v>0</v>
      </c>
      <c r="V228" s="26">
        <f t="shared" si="412"/>
        <v>0</v>
      </c>
      <c r="W228" s="26">
        <f t="shared" si="412"/>
        <v>0</v>
      </c>
      <c r="X228" s="26">
        <f t="shared" si="412"/>
        <v>0</v>
      </c>
      <c r="Y228" s="26">
        <f t="shared" si="412"/>
        <v>0</v>
      </c>
      <c r="Z228" s="26">
        <f t="shared" si="412"/>
        <v>0</v>
      </c>
      <c r="AA228" s="26">
        <f t="shared" si="412"/>
        <v>0</v>
      </c>
      <c r="AB228" s="26">
        <f t="shared" si="412"/>
        <v>0</v>
      </c>
      <c r="AC228" s="26">
        <f t="shared" si="412"/>
        <v>0</v>
      </c>
      <c r="AD228" s="26">
        <f t="shared" si="412"/>
        <v>0</v>
      </c>
      <c r="AE228" s="26">
        <f t="shared" si="412"/>
        <v>0</v>
      </c>
      <c r="AF228" s="26">
        <f t="shared" si="412"/>
        <v>0</v>
      </c>
      <c r="AG228" s="26" t="str">
        <f t="shared" si="412"/>
        <v/>
      </c>
      <c r="AH228" s="26" t="str">
        <f t="shared" si="412"/>
        <v/>
      </c>
      <c r="AI228" s="26" t="str">
        <f t="shared" si="412"/>
        <v/>
      </c>
      <c r="AJ228" s="26" t="str">
        <f t="shared" si="412"/>
        <v/>
      </c>
      <c r="AK228" s="26" t="str">
        <f t="shared" si="412"/>
        <v/>
      </c>
      <c r="AL228" s="26" t="str">
        <f t="shared" si="412"/>
        <v/>
      </c>
      <c r="AM228" s="26" t="str">
        <f t="shared" ref="AM228:AS228" si="413">IF(AM$3="","",AL221+AL222-AM221)</f>
        <v/>
      </c>
      <c r="AN228" s="26" t="str">
        <f t="shared" si="413"/>
        <v/>
      </c>
      <c r="AO228" s="26" t="str">
        <f t="shared" si="413"/>
        <v/>
      </c>
      <c r="AP228" s="26" t="str">
        <f t="shared" si="413"/>
        <v/>
      </c>
      <c r="AQ228" s="26" t="str">
        <f t="shared" si="413"/>
        <v/>
      </c>
      <c r="AR228" s="26" t="str">
        <f t="shared" si="413"/>
        <v/>
      </c>
      <c r="AS228" s="26" t="str">
        <f t="shared" si="413"/>
        <v/>
      </c>
    </row>
    <row r="229" spans="1:45">
      <c r="A229" s="7">
        <f>SUM(C229:AS229)</f>
        <v>600</v>
      </c>
      <c r="B229" s="27" t="s">
        <v>18</v>
      </c>
      <c r="C229" s="65">
        <v>0</v>
      </c>
      <c r="D229" s="26">
        <f t="shared" ref="D229:AL229" si="414">IF(D$3="","",D228*D223)</f>
        <v>0</v>
      </c>
      <c r="E229" s="26">
        <f t="shared" si="414"/>
        <v>0</v>
      </c>
      <c r="F229" s="54">
        <f t="shared" si="414"/>
        <v>0</v>
      </c>
      <c r="G229" s="26">
        <f t="shared" si="414"/>
        <v>0</v>
      </c>
      <c r="H229" s="26">
        <f t="shared" si="414"/>
        <v>0</v>
      </c>
      <c r="I229" s="54">
        <f t="shared" si="414"/>
        <v>0</v>
      </c>
      <c r="J229" s="26">
        <f t="shared" si="414"/>
        <v>0</v>
      </c>
      <c r="K229" s="26">
        <f t="shared" si="414"/>
        <v>0</v>
      </c>
      <c r="L229" s="54">
        <f t="shared" si="414"/>
        <v>0</v>
      </c>
      <c r="M229" s="26">
        <f t="shared" si="414"/>
        <v>0</v>
      </c>
      <c r="N229" s="26">
        <f t="shared" si="414"/>
        <v>0</v>
      </c>
      <c r="O229" s="26">
        <f t="shared" si="414"/>
        <v>600</v>
      </c>
      <c r="P229" s="54">
        <f t="shared" si="414"/>
        <v>0</v>
      </c>
      <c r="Q229" s="26">
        <f t="shared" si="414"/>
        <v>0</v>
      </c>
      <c r="R229" s="26">
        <f t="shared" si="414"/>
        <v>0</v>
      </c>
      <c r="S229" s="26">
        <f t="shared" si="414"/>
        <v>0</v>
      </c>
      <c r="T229" s="26">
        <f t="shared" si="414"/>
        <v>0</v>
      </c>
      <c r="U229" s="26">
        <f t="shared" si="414"/>
        <v>0</v>
      </c>
      <c r="V229" s="26">
        <f t="shared" si="414"/>
        <v>0</v>
      </c>
      <c r="W229" s="26">
        <f t="shared" si="414"/>
        <v>0</v>
      </c>
      <c r="X229" s="26">
        <f t="shared" si="414"/>
        <v>0</v>
      </c>
      <c r="Y229" s="26">
        <f t="shared" si="414"/>
        <v>0</v>
      </c>
      <c r="Z229" s="26">
        <f t="shared" si="414"/>
        <v>0</v>
      </c>
      <c r="AA229" s="26">
        <f t="shared" si="414"/>
        <v>0</v>
      </c>
      <c r="AB229" s="26">
        <f t="shared" si="414"/>
        <v>0</v>
      </c>
      <c r="AC229" s="26">
        <f t="shared" si="414"/>
        <v>0</v>
      </c>
      <c r="AD229" s="26">
        <f t="shared" si="414"/>
        <v>0</v>
      </c>
      <c r="AE229" s="26">
        <f t="shared" si="414"/>
        <v>0</v>
      </c>
      <c r="AF229" s="26">
        <f t="shared" si="414"/>
        <v>0</v>
      </c>
      <c r="AG229" s="26" t="str">
        <f t="shared" si="414"/>
        <v/>
      </c>
      <c r="AH229" s="26" t="str">
        <f t="shared" si="414"/>
        <v/>
      </c>
      <c r="AI229" s="26" t="str">
        <f t="shared" si="414"/>
        <v/>
      </c>
      <c r="AJ229" s="26" t="str">
        <f t="shared" si="414"/>
        <v/>
      </c>
      <c r="AK229" s="26" t="str">
        <f t="shared" si="414"/>
        <v/>
      </c>
      <c r="AL229" s="26" t="str">
        <f t="shared" si="414"/>
        <v/>
      </c>
      <c r="AM229" s="26" t="str">
        <f t="shared" ref="AM229:AS229" si="415">IF(AM$3="","",AM228*AM223)</f>
        <v/>
      </c>
      <c r="AN229" s="26" t="str">
        <f t="shared" si="415"/>
        <v/>
      </c>
      <c r="AO229" s="26" t="str">
        <f t="shared" si="415"/>
        <v/>
      </c>
      <c r="AP229" s="26" t="str">
        <f t="shared" si="415"/>
        <v/>
      </c>
      <c r="AQ229" s="26" t="str">
        <f t="shared" si="415"/>
        <v/>
      </c>
      <c r="AR229" s="26" t="str">
        <f t="shared" si="415"/>
        <v/>
      </c>
      <c r="AS229" s="26" t="str">
        <f t="shared" si="415"/>
        <v/>
      </c>
    </row>
    <row r="230" spans="1:45" ht="12" thickBot="1">
      <c r="A230" s="4">
        <f>IF(A229="","",A229/(A226*100))</f>
        <v>2.6666666666666668E-2</v>
      </c>
      <c r="B230" s="27" t="s">
        <v>20</v>
      </c>
      <c r="C230" s="68" t="s">
        <v>21</v>
      </c>
      <c r="D230" s="44" t="str">
        <f t="shared" ref="D230:AL230" si="416">IF(D$3="","",IF(D229=0,"",D229/(D226*100)))</f>
        <v/>
      </c>
      <c r="E230" s="44" t="str">
        <f t="shared" si="416"/>
        <v/>
      </c>
      <c r="F230" s="132" t="str">
        <f t="shared" si="416"/>
        <v/>
      </c>
      <c r="G230" s="44" t="str">
        <f t="shared" si="416"/>
        <v/>
      </c>
      <c r="H230" s="44" t="str">
        <f t="shared" si="416"/>
        <v/>
      </c>
      <c r="I230" s="132" t="str">
        <f t="shared" si="416"/>
        <v/>
      </c>
      <c r="J230" s="44" t="str">
        <f t="shared" si="416"/>
        <v/>
      </c>
      <c r="K230" s="44" t="str">
        <f t="shared" si="416"/>
        <v/>
      </c>
      <c r="L230" s="132" t="str">
        <f t="shared" si="416"/>
        <v/>
      </c>
      <c r="M230" s="44" t="str">
        <f t="shared" si="416"/>
        <v/>
      </c>
      <c r="N230" s="44" t="str">
        <f t="shared" si="416"/>
        <v/>
      </c>
      <c r="O230" s="44">
        <f t="shared" si="416"/>
        <v>0.35294117647058826</v>
      </c>
      <c r="P230" s="132" t="str">
        <f t="shared" si="416"/>
        <v/>
      </c>
      <c r="Q230" s="44" t="str">
        <f t="shared" si="416"/>
        <v/>
      </c>
      <c r="R230" s="44" t="str">
        <f t="shared" si="416"/>
        <v/>
      </c>
      <c r="S230" s="44" t="str">
        <f t="shared" si="416"/>
        <v/>
      </c>
      <c r="T230" s="44" t="str">
        <f t="shared" si="416"/>
        <v/>
      </c>
      <c r="U230" s="44" t="str">
        <f t="shared" si="416"/>
        <v/>
      </c>
      <c r="V230" s="44" t="str">
        <f t="shared" si="416"/>
        <v/>
      </c>
      <c r="W230" s="44" t="str">
        <f t="shared" si="416"/>
        <v/>
      </c>
      <c r="X230" s="44" t="str">
        <f t="shared" si="416"/>
        <v/>
      </c>
      <c r="Y230" s="44" t="str">
        <f t="shared" si="416"/>
        <v/>
      </c>
      <c r="Z230" s="44" t="str">
        <f t="shared" si="416"/>
        <v/>
      </c>
      <c r="AA230" s="44" t="str">
        <f t="shared" si="416"/>
        <v/>
      </c>
      <c r="AB230" s="44" t="str">
        <f t="shared" si="416"/>
        <v/>
      </c>
      <c r="AC230" s="44" t="str">
        <f t="shared" si="416"/>
        <v/>
      </c>
      <c r="AD230" s="44" t="str">
        <f t="shared" si="416"/>
        <v/>
      </c>
      <c r="AE230" s="44" t="str">
        <f t="shared" si="416"/>
        <v/>
      </c>
      <c r="AF230" s="44" t="str">
        <f t="shared" si="416"/>
        <v/>
      </c>
      <c r="AG230" s="44" t="str">
        <f t="shared" si="416"/>
        <v/>
      </c>
      <c r="AH230" s="44" t="str">
        <f t="shared" si="416"/>
        <v/>
      </c>
      <c r="AI230" s="44" t="str">
        <f t="shared" si="416"/>
        <v/>
      </c>
      <c r="AJ230" s="44" t="str">
        <f t="shared" si="416"/>
        <v/>
      </c>
      <c r="AK230" s="44" t="str">
        <f t="shared" si="416"/>
        <v/>
      </c>
      <c r="AL230" s="44" t="str">
        <f t="shared" si="416"/>
        <v/>
      </c>
      <c r="AM230" s="44" t="str">
        <f t="shared" ref="AM230:AS230" si="417">IF(AM$3="","",IF(AM229=0,"",AM229/(AM226*100)))</f>
        <v/>
      </c>
      <c r="AN230" s="44" t="str">
        <f t="shared" si="417"/>
        <v/>
      </c>
      <c r="AO230" s="44" t="str">
        <f t="shared" si="417"/>
        <v/>
      </c>
      <c r="AP230" s="44" t="str">
        <f t="shared" si="417"/>
        <v/>
      </c>
      <c r="AQ230" s="44" t="str">
        <f t="shared" si="417"/>
        <v/>
      </c>
      <c r="AR230" s="44" t="str">
        <f t="shared" si="417"/>
        <v/>
      </c>
      <c r="AS230" s="44" t="str">
        <f t="shared" si="417"/>
        <v/>
      </c>
    </row>
    <row r="231" spans="1:45">
      <c r="A231" s="17" t="s">
        <v>1</v>
      </c>
      <c r="B231" s="42" t="s">
        <v>2</v>
      </c>
      <c r="C231" s="64">
        <v>3697</v>
      </c>
      <c r="D231" s="35">
        <f>IF(D$3="","",C231)</f>
        <v>3697</v>
      </c>
      <c r="E231" s="35">
        <v>3765</v>
      </c>
      <c r="F231" s="128">
        <f>IF(F$3="","",E231)</f>
        <v>3765</v>
      </c>
      <c r="G231" s="35">
        <f>IF(G$3="","",F231)</f>
        <v>3765</v>
      </c>
      <c r="H231" s="35">
        <v>3769</v>
      </c>
      <c r="I231" s="128">
        <f>IF(I$3="","",H231)</f>
        <v>3769</v>
      </c>
      <c r="J231" s="35">
        <f>IF(J$3="","",I231)</f>
        <v>3769</v>
      </c>
      <c r="K231" s="35">
        <v>3796</v>
      </c>
      <c r="L231" s="128">
        <f t="shared" ref="L231:N232" si="418">IF(L$3="","",K231)</f>
        <v>3796</v>
      </c>
      <c r="M231" s="35">
        <f t="shared" si="418"/>
        <v>3796</v>
      </c>
      <c r="N231" s="35">
        <f t="shared" si="418"/>
        <v>3796</v>
      </c>
      <c r="O231" s="35">
        <v>3874</v>
      </c>
      <c r="P231" s="128">
        <f>IF(P$3="","",O231)</f>
        <v>3874</v>
      </c>
      <c r="Q231" s="35">
        <f>IF(Q$3="","",P231)</f>
        <v>3874</v>
      </c>
      <c r="R231" s="35">
        <v>3894</v>
      </c>
      <c r="S231" s="35">
        <f t="shared" ref="S231:AL231" si="419">IF(S$3="","",R231)</f>
        <v>3894</v>
      </c>
      <c r="T231" s="35">
        <f t="shared" si="419"/>
        <v>3894</v>
      </c>
      <c r="U231" s="35">
        <f t="shared" si="419"/>
        <v>3894</v>
      </c>
      <c r="V231" s="35">
        <v>3903</v>
      </c>
      <c r="W231" s="35">
        <f t="shared" si="419"/>
        <v>3903</v>
      </c>
      <c r="X231" s="35">
        <f t="shared" si="419"/>
        <v>3903</v>
      </c>
      <c r="Y231" s="35">
        <v>3952</v>
      </c>
      <c r="Z231" s="35">
        <f t="shared" si="419"/>
        <v>3952</v>
      </c>
      <c r="AA231" s="35">
        <f t="shared" si="419"/>
        <v>3952</v>
      </c>
      <c r="AB231" s="35">
        <f t="shared" si="419"/>
        <v>3952</v>
      </c>
      <c r="AC231" s="35">
        <v>3963</v>
      </c>
      <c r="AD231" s="35">
        <f t="shared" si="419"/>
        <v>3963</v>
      </c>
      <c r="AE231" s="35">
        <f t="shared" si="419"/>
        <v>3963</v>
      </c>
      <c r="AF231" s="35">
        <v>3992</v>
      </c>
      <c r="AG231" s="35" t="str">
        <f t="shared" si="419"/>
        <v/>
      </c>
      <c r="AH231" s="35" t="str">
        <f t="shared" si="419"/>
        <v/>
      </c>
      <c r="AI231" s="35" t="str">
        <f t="shared" si="419"/>
        <v/>
      </c>
      <c r="AJ231" s="35" t="str">
        <f t="shared" si="419"/>
        <v/>
      </c>
      <c r="AK231" s="35" t="str">
        <f t="shared" si="419"/>
        <v/>
      </c>
      <c r="AL231" s="35" t="str">
        <f t="shared" si="419"/>
        <v/>
      </c>
      <c r="AM231" s="35" t="str">
        <f t="shared" ref="AM231:AS231" si="420">IF(AM$3="","",AL231)</f>
        <v/>
      </c>
      <c r="AN231" s="35" t="str">
        <f t="shared" si="420"/>
        <v/>
      </c>
      <c r="AO231" s="35" t="str">
        <f t="shared" si="420"/>
        <v/>
      </c>
      <c r="AP231" s="35" t="str">
        <f t="shared" si="420"/>
        <v/>
      </c>
      <c r="AQ231" s="35" t="str">
        <f t="shared" si="420"/>
        <v/>
      </c>
      <c r="AR231" s="35" t="str">
        <f t="shared" si="420"/>
        <v/>
      </c>
      <c r="AS231" s="35" t="str">
        <f t="shared" si="420"/>
        <v/>
      </c>
    </row>
    <row r="232" spans="1:45">
      <c r="A232" s="16" t="s">
        <v>53</v>
      </c>
      <c r="B232" s="30" t="s">
        <v>4</v>
      </c>
      <c r="C232" s="65">
        <v>188</v>
      </c>
      <c r="D232" s="29">
        <f>IF(D$3="","",C232)</f>
        <v>188</v>
      </c>
      <c r="E232" s="29">
        <f>IF(E$3="","",D232)</f>
        <v>188</v>
      </c>
      <c r="F232" s="54">
        <f>IF(F$3="","",E232)</f>
        <v>188</v>
      </c>
      <c r="G232" s="29">
        <f>IF(G$3="","",F232)</f>
        <v>188</v>
      </c>
      <c r="H232" s="29">
        <v>189</v>
      </c>
      <c r="I232" s="54">
        <f>IF(I$3="","",H232)</f>
        <v>189</v>
      </c>
      <c r="J232" s="29">
        <f>IF(J$3="","",I232)</f>
        <v>189</v>
      </c>
      <c r="K232" s="29">
        <f>IF(K$3="","",J232)</f>
        <v>189</v>
      </c>
      <c r="L232" s="54">
        <f t="shared" si="418"/>
        <v>189</v>
      </c>
      <c r="M232" s="29">
        <f t="shared" si="418"/>
        <v>189</v>
      </c>
      <c r="N232" s="29">
        <f t="shared" si="418"/>
        <v>189</v>
      </c>
      <c r="O232" s="29">
        <f>IF(O$3="","",N232)</f>
        <v>189</v>
      </c>
      <c r="P232" s="54">
        <f>IF(P$3="","",O232)</f>
        <v>189</v>
      </c>
      <c r="Q232" s="29">
        <f>IF(Q$3="","",P232)</f>
        <v>189</v>
      </c>
      <c r="R232" s="29">
        <f>IF(R$3="","",Q232)</f>
        <v>189</v>
      </c>
      <c r="S232" s="29">
        <f t="shared" ref="S232:AL232" si="421">IF(S$3="","",R232)</f>
        <v>189</v>
      </c>
      <c r="T232" s="29">
        <f t="shared" si="421"/>
        <v>189</v>
      </c>
      <c r="U232" s="29">
        <f t="shared" si="421"/>
        <v>189</v>
      </c>
      <c r="V232" s="29">
        <v>190</v>
      </c>
      <c r="W232" s="29">
        <f t="shared" si="421"/>
        <v>190</v>
      </c>
      <c r="X232" s="29">
        <f t="shared" si="421"/>
        <v>190</v>
      </c>
      <c r="Y232" s="29">
        <f t="shared" si="421"/>
        <v>190</v>
      </c>
      <c r="Z232" s="29">
        <f t="shared" si="421"/>
        <v>190</v>
      </c>
      <c r="AA232" s="29">
        <f t="shared" si="421"/>
        <v>190</v>
      </c>
      <c r="AB232" s="29">
        <f t="shared" si="421"/>
        <v>190</v>
      </c>
      <c r="AC232" s="29">
        <f t="shared" si="421"/>
        <v>190</v>
      </c>
      <c r="AD232" s="29">
        <f t="shared" si="421"/>
        <v>190</v>
      </c>
      <c r="AE232" s="29">
        <f t="shared" si="421"/>
        <v>190</v>
      </c>
      <c r="AF232" s="29">
        <v>191</v>
      </c>
      <c r="AG232" s="29" t="str">
        <f t="shared" si="421"/>
        <v/>
      </c>
      <c r="AH232" s="29" t="str">
        <f t="shared" si="421"/>
        <v/>
      </c>
      <c r="AI232" s="29" t="str">
        <f t="shared" si="421"/>
        <v/>
      </c>
      <c r="AJ232" s="29" t="str">
        <f t="shared" si="421"/>
        <v/>
      </c>
      <c r="AK232" s="29" t="str">
        <f t="shared" si="421"/>
        <v/>
      </c>
      <c r="AL232" s="29" t="str">
        <f t="shared" si="421"/>
        <v/>
      </c>
      <c r="AM232" s="29" t="str">
        <f t="shared" ref="AM232:AS232" si="422">IF(AM$3="","",AL232)</f>
        <v/>
      </c>
      <c r="AN232" s="29" t="str">
        <f t="shared" si="422"/>
        <v/>
      </c>
      <c r="AO232" s="29" t="str">
        <f t="shared" si="422"/>
        <v/>
      </c>
      <c r="AP232" s="29" t="str">
        <f t="shared" si="422"/>
        <v/>
      </c>
      <c r="AQ232" s="29" t="str">
        <f t="shared" si="422"/>
        <v/>
      </c>
      <c r="AR232" s="29" t="str">
        <f t="shared" si="422"/>
        <v/>
      </c>
      <c r="AS232" s="29" t="str">
        <f t="shared" si="422"/>
        <v/>
      </c>
    </row>
    <row r="233" spans="1:45">
      <c r="A233" s="15">
        <v>4</v>
      </c>
      <c r="B233" s="30" t="s">
        <v>5</v>
      </c>
      <c r="C233" s="65">
        <v>6</v>
      </c>
      <c r="D233" s="29">
        <f>IF(D$3="","",(C233+C234))</f>
        <v>6</v>
      </c>
      <c r="E233" s="29">
        <f>IF(E$3="","",(D233+D234))</f>
        <v>6</v>
      </c>
      <c r="F233" s="54">
        <f>IF(F$3="","",(E233+E234))</f>
        <v>6</v>
      </c>
      <c r="G233" s="29">
        <f>IF(G$3="","",(F233+F234))</f>
        <v>6</v>
      </c>
      <c r="H233" s="29">
        <v>5</v>
      </c>
      <c r="I233" s="54">
        <f t="shared" ref="I233:AL233" si="423">IF(I$3="","",(H233+H234))</f>
        <v>5</v>
      </c>
      <c r="J233" s="29">
        <f t="shared" si="423"/>
        <v>5</v>
      </c>
      <c r="K233" s="29">
        <f t="shared" si="423"/>
        <v>5</v>
      </c>
      <c r="L233" s="54">
        <f t="shared" si="423"/>
        <v>9</v>
      </c>
      <c r="M233" s="29">
        <f t="shared" si="423"/>
        <v>9</v>
      </c>
      <c r="N233" s="29">
        <f t="shared" si="423"/>
        <v>9</v>
      </c>
      <c r="O233" s="29">
        <f t="shared" si="423"/>
        <v>9</v>
      </c>
      <c r="P233" s="54">
        <f t="shared" si="423"/>
        <v>9</v>
      </c>
      <c r="Q233" s="29">
        <f t="shared" si="423"/>
        <v>9</v>
      </c>
      <c r="R233" s="29">
        <f t="shared" si="423"/>
        <v>9</v>
      </c>
      <c r="S233" s="29">
        <f t="shared" si="423"/>
        <v>9</v>
      </c>
      <c r="T233" s="29">
        <f t="shared" si="423"/>
        <v>9</v>
      </c>
      <c r="U233" s="29">
        <f t="shared" si="423"/>
        <v>9</v>
      </c>
      <c r="V233" s="29">
        <v>8</v>
      </c>
      <c r="W233" s="29">
        <f t="shared" si="423"/>
        <v>8</v>
      </c>
      <c r="X233" s="29">
        <f t="shared" si="423"/>
        <v>8</v>
      </c>
      <c r="Y233" s="29">
        <f t="shared" si="423"/>
        <v>8</v>
      </c>
      <c r="Z233" s="29">
        <f t="shared" si="423"/>
        <v>8</v>
      </c>
      <c r="AA233" s="29">
        <f t="shared" si="423"/>
        <v>8</v>
      </c>
      <c r="AB233" s="29">
        <f t="shared" si="423"/>
        <v>8</v>
      </c>
      <c r="AC233" s="29">
        <f t="shared" si="423"/>
        <v>8</v>
      </c>
      <c r="AD233" s="29">
        <f t="shared" si="423"/>
        <v>8</v>
      </c>
      <c r="AE233" s="29">
        <f t="shared" si="423"/>
        <v>8</v>
      </c>
      <c r="AF233" s="29">
        <v>7</v>
      </c>
      <c r="AG233" s="29" t="str">
        <f t="shared" si="423"/>
        <v/>
      </c>
      <c r="AH233" s="29" t="str">
        <f t="shared" si="423"/>
        <v/>
      </c>
      <c r="AI233" s="29" t="str">
        <f t="shared" si="423"/>
        <v/>
      </c>
      <c r="AJ233" s="29" t="str">
        <f t="shared" si="423"/>
        <v/>
      </c>
      <c r="AK233" s="29" t="str">
        <f t="shared" si="423"/>
        <v/>
      </c>
      <c r="AL233" s="29" t="str">
        <f t="shared" si="423"/>
        <v/>
      </c>
      <c r="AM233" s="29" t="str">
        <f t="shared" ref="AM233:AS233" si="424">IF(AM$3="","",(AL233+AL234))</f>
        <v/>
      </c>
      <c r="AN233" s="29" t="str">
        <f t="shared" si="424"/>
        <v/>
      </c>
      <c r="AO233" s="29" t="str">
        <f t="shared" si="424"/>
        <v/>
      </c>
      <c r="AP233" s="29" t="str">
        <f t="shared" si="424"/>
        <v/>
      </c>
      <c r="AQ233" s="29" t="str">
        <f t="shared" si="424"/>
        <v/>
      </c>
      <c r="AR233" s="29" t="str">
        <f t="shared" si="424"/>
        <v/>
      </c>
      <c r="AS233" s="29" t="str">
        <f t="shared" si="424"/>
        <v/>
      </c>
    </row>
    <row r="234" spans="1:45">
      <c r="A234" s="14"/>
      <c r="B234" s="30" t="s">
        <v>7</v>
      </c>
      <c r="C234" s="65"/>
      <c r="D234" s="29"/>
      <c r="E234" s="29"/>
      <c r="F234" s="54"/>
      <c r="G234" s="29"/>
      <c r="H234" s="29"/>
      <c r="I234" s="54"/>
      <c r="J234" s="29"/>
      <c r="K234" s="29">
        <v>4</v>
      </c>
      <c r="L234" s="54"/>
      <c r="M234" s="29"/>
      <c r="N234" s="29"/>
      <c r="O234" s="29"/>
      <c r="P234" s="54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 spans="1:45">
      <c r="A235" s="7"/>
      <c r="B235" s="30" t="s">
        <v>8</v>
      </c>
      <c r="C235" s="64">
        <v>400</v>
      </c>
      <c r="D235" s="35">
        <f t="shared" ref="D235:AL235" si="425">IF(D$3="","",C235)</f>
        <v>400</v>
      </c>
      <c r="E235" s="35">
        <f t="shared" si="425"/>
        <v>400</v>
      </c>
      <c r="F235" s="128">
        <f t="shared" si="425"/>
        <v>400</v>
      </c>
      <c r="G235" s="35">
        <f t="shared" si="425"/>
        <v>400</v>
      </c>
      <c r="H235" s="35">
        <f t="shared" si="425"/>
        <v>400</v>
      </c>
      <c r="I235" s="128">
        <f t="shared" si="425"/>
        <v>400</v>
      </c>
      <c r="J235" s="35">
        <f t="shared" si="425"/>
        <v>400</v>
      </c>
      <c r="K235" s="35">
        <f t="shared" si="425"/>
        <v>400</v>
      </c>
      <c r="L235" s="128">
        <f t="shared" si="425"/>
        <v>400</v>
      </c>
      <c r="M235" s="35">
        <f t="shared" si="425"/>
        <v>400</v>
      </c>
      <c r="N235" s="35">
        <f t="shared" si="425"/>
        <v>400</v>
      </c>
      <c r="O235" s="35">
        <f t="shared" si="425"/>
        <v>400</v>
      </c>
      <c r="P235" s="128">
        <f t="shared" si="425"/>
        <v>400</v>
      </c>
      <c r="Q235" s="35">
        <f t="shared" si="425"/>
        <v>400</v>
      </c>
      <c r="R235" s="35">
        <f t="shared" si="425"/>
        <v>400</v>
      </c>
      <c r="S235" s="35">
        <f t="shared" si="425"/>
        <v>400</v>
      </c>
      <c r="T235" s="35">
        <f t="shared" si="425"/>
        <v>400</v>
      </c>
      <c r="U235" s="35">
        <f t="shared" si="425"/>
        <v>400</v>
      </c>
      <c r="V235" s="35">
        <f t="shared" si="425"/>
        <v>400</v>
      </c>
      <c r="W235" s="35">
        <f t="shared" si="425"/>
        <v>400</v>
      </c>
      <c r="X235" s="35">
        <f t="shared" si="425"/>
        <v>400</v>
      </c>
      <c r="Y235" s="35">
        <f t="shared" si="425"/>
        <v>400</v>
      </c>
      <c r="Z235" s="35">
        <f t="shared" si="425"/>
        <v>400</v>
      </c>
      <c r="AA235" s="35">
        <f t="shared" si="425"/>
        <v>400</v>
      </c>
      <c r="AB235" s="35">
        <f t="shared" si="425"/>
        <v>400</v>
      </c>
      <c r="AC235" s="35">
        <f t="shared" si="425"/>
        <v>400</v>
      </c>
      <c r="AD235" s="35">
        <f t="shared" si="425"/>
        <v>400</v>
      </c>
      <c r="AE235" s="35">
        <f t="shared" si="425"/>
        <v>400</v>
      </c>
      <c r="AF235" s="35">
        <f t="shared" si="425"/>
        <v>400</v>
      </c>
      <c r="AG235" s="35" t="str">
        <f t="shared" si="425"/>
        <v/>
      </c>
      <c r="AH235" s="35" t="str">
        <f t="shared" si="425"/>
        <v/>
      </c>
      <c r="AI235" s="35" t="str">
        <f t="shared" si="425"/>
        <v/>
      </c>
      <c r="AJ235" s="35" t="str">
        <f t="shared" si="425"/>
        <v/>
      </c>
      <c r="AK235" s="35" t="str">
        <f t="shared" si="425"/>
        <v/>
      </c>
      <c r="AL235" s="35" t="str">
        <f t="shared" si="425"/>
        <v/>
      </c>
      <c r="AM235" s="35" t="str">
        <f t="shared" ref="AM235:AS235" si="426">IF(AM$3="","",AL235)</f>
        <v/>
      </c>
      <c r="AN235" s="35" t="str">
        <f t="shared" si="426"/>
        <v/>
      </c>
      <c r="AO235" s="35" t="str">
        <f t="shared" si="426"/>
        <v/>
      </c>
      <c r="AP235" s="35" t="str">
        <f t="shared" si="426"/>
        <v/>
      </c>
      <c r="AQ235" s="35" t="str">
        <f t="shared" si="426"/>
        <v/>
      </c>
      <c r="AR235" s="35" t="str">
        <f t="shared" si="426"/>
        <v/>
      </c>
      <c r="AS235" s="35" t="str">
        <f t="shared" si="426"/>
        <v/>
      </c>
    </row>
    <row r="236" spans="1:45" s="94" customFormat="1">
      <c r="A236" s="14" t="s">
        <v>9</v>
      </c>
      <c r="B236" s="33" t="s">
        <v>10</v>
      </c>
      <c r="C236" s="63" t="s">
        <v>56</v>
      </c>
      <c r="D236" s="32" t="str">
        <f t="shared" ref="D236:AL236" si="427">IF(D$3="","",C236)</f>
        <v>ゲームスティック</v>
      </c>
      <c r="E236" s="32" t="str">
        <f t="shared" si="427"/>
        <v>ゲームスティック</v>
      </c>
      <c r="F236" s="129" t="str">
        <f t="shared" si="427"/>
        <v>ゲームスティック</v>
      </c>
      <c r="G236" s="32" t="str">
        <f t="shared" si="427"/>
        <v>ゲームスティック</v>
      </c>
      <c r="H236" s="32" t="str">
        <f t="shared" si="427"/>
        <v>ゲームスティック</v>
      </c>
      <c r="I236" s="129" t="str">
        <f t="shared" si="427"/>
        <v>ゲームスティック</v>
      </c>
      <c r="J236" s="32" t="str">
        <f t="shared" si="427"/>
        <v>ゲームスティック</v>
      </c>
      <c r="K236" s="32" t="str">
        <f t="shared" si="427"/>
        <v>ゲームスティック</v>
      </c>
      <c r="L236" s="129" t="str">
        <f t="shared" si="427"/>
        <v>ゲームスティック</v>
      </c>
      <c r="M236" s="32" t="str">
        <f t="shared" si="427"/>
        <v>ゲームスティック</v>
      </c>
      <c r="N236" s="32" t="str">
        <f t="shared" si="427"/>
        <v>ゲームスティック</v>
      </c>
      <c r="O236" s="32" t="str">
        <f t="shared" si="427"/>
        <v>ゲームスティック</v>
      </c>
      <c r="P236" s="129" t="str">
        <f t="shared" si="427"/>
        <v>ゲームスティック</v>
      </c>
      <c r="Q236" s="32" t="str">
        <f t="shared" si="427"/>
        <v>ゲームスティック</v>
      </c>
      <c r="R236" s="32" t="str">
        <f t="shared" si="427"/>
        <v>ゲームスティック</v>
      </c>
      <c r="S236" s="32" t="str">
        <f t="shared" si="427"/>
        <v>ゲームスティック</v>
      </c>
      <c r="T236" s="32" t="str">
        <f t="shared" si="427"/>
        <v>ゲームスティック</v>
      </c>
      <c r="U236" s="32" t="str">
        <f t="shared" si="427"/>
        <v>ゲームスティック</v>
      </c>
      <c r="V236" s="32" t="str">
        <f t="shared" si="427"/>
        <v>ゲームスティック</v>
      </c>
      <c r="W236" s="32" t="str">
        <f t="shared" si="427"/>
        <v>ゲームスティック</v>
      </c>
      <c r="X236" s="32" t="str">
        <f t="shared" si="427"/>
        <v>ゲームスティック</v>
      </c>
      <c r="Y236" s="32" t="str">
        <f t="shared" si="427"/>
        <v>ゲームスティック</v>
      </c>
      <c r="Z236" s="32" t="str">
        <f t="shared" si="427"/>
        <v>ゲームスティック</v>
      </c>
      <c r="AA236" s="32" t="str">
        <f t="shared" si="427"/>
        <v>ゲームスティック</v>
      </c>
      <c r="AB236" s="32" t="str">
        <f t="shared" si="427"/>
        <v>ゲームスティック</v>
      </c>
      <c r="AC236" s="32" t="str">
        <f t="shared" si="427"/>
        <v>ゲームスティック</v>
      </c>
      <c r="AD236" s="32" t="str">
        <f t="shared" si="427"/>
        <v>ゲームスティック</v>
      </c>
      <c r="AE236" s="32" t="str">
        <f t="shared" si="427"/>
        <v>ゲームスティック</v>
      </c>
      <c r="AF236" s="32" t="str">
        <f t="shared" si="427"/>
        <v>ゲームスティック</v>
      </c>
      <c r="AG236" s="32" t="str">
        <f t="shared" si="427"/>
        <v/>
      </c>
      <c r="AH236" s="32" t="str">
        <f t="shared" si="427"/>
        <v/>
      </c>
      <c r="AI236" s="32" t="str">
        <f t="shared" si="427"/>
        <v/>
      </c>
      <c r="AJ236" s="32" t="str">
        <f t="shared" si="427"/>
        <v/>
      </c>
      <c r="AK236" s="32" t="str">
        <f t="shared" si="427"/>
        <v/>
      </c>
      <c r="AL236" s="32" t="str">
        <f t="shared" si="427"/>
        <v/>
      </c>
      <c r="AM236" s="32" t="str">
        <f t="shared" ref="AM236:AS236" si="428">IF(AM$3="","",AL236)</f>
        <v/>
      </c>
      <c r="AN236" s="32" t="str">
        <f t="shared" si="428"/>
        <v/>
      </c>
      <c r="AO236" s="32" t="str">
        <f t="shared" si="428"/>
        <v/>
      </c>
      <c r="AP236" s="32" t="str">
        <f t="shared" si="428"/>
        <v/>
      </c>
      <c r="AQ236" s="32" t="str">
        <f t="shared" si="428"/>
        <v/>
      </c>
      <c r="AR236" s="32" t="str">
        <f t="shared" si="428"/>
        <v/>
      </c>
      <c r="AS236" s="32" t="str">
        <f t="shared" si="428"/>
        <v/>
      </c>
    </row>
    <row r="237" spans="1:45">
      <c r="A237" s="7">
        <f>AVERAGE(C238:AS238)*30*100</f>
        <v>29500</v>
      </c>
      <c r="B237" s="30" t="s">
        <v>14</v>
      </c>
      <c r="C237" s="65"/>
      <c r="D237" s="29"/>
      <c r="E237" s="29"/>
      <c r="F237" s="54"/>
      <c r="G237" s="29"/>
      <c r="H237" s="29"/>
      <c r="I237" s="54"/>
      <c r="J237" s="29"/>
      <c r="K237" s="29"/>
      <c r="L237" s="54"/>
      <c r="M237" s="29"/>
      <c r="N237" s="29"/>
      <c r="O237" s="29"/>
      <c r="P237" s="54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r="238" spans="1:45">
      <c r="A238" s="7">
        <f>SUM(C238:AS238)</f>
        <v>295</v>
      </c>
      <c r="B238" s="27" t="s">
        <v>15</v>
      </c>
      <c r="C238" s="65">
        <v>0</v>
      </c>
      <c r="D238" s="26">
        <f t="shared" ref="D238:AL238" si="429">IF(D$3="","",D231-C231)</f>
        <v>0</v>
      </c>
      <c r="E238" s="26">
        <f t="shared" si="429"/>
        <v>68</v>
      </c>
      <c r="F238" s="54">
        <f t="shared" si="429"/>
        <v>0</v>
      </c>
      <c r="G238" s="26">
        <f t="shared" si="429"/>
        <v>0</v>
      </c>
      <c r="H238" s="26">
        <f t="shared" si="429"/>
        <v>4</v>
      </c>
      <c r="I238" s="54">
        <f t="shared" si="429"/>
        <v>0</v>
      </c>
      <c r="J238" s="26">
        <f t="shared" si="429"/>
        <v>0</v>
      </c>
      <c r="K238" s="26">
        <f t="shared" si="429"/>
        <v>27</v>
      </c>
      <c r="L238" s="54">
        <f t="shared" si="429"/>
        <v>0</v>
      </c>
      <c r="M238" s="26">
        <f t="shared" si="429"/>
        <v>0</v>
      </c>
      <c r="N238" s="26">
        <f t="shared" si="429"/>
        <v>0</v>
      </c>
      <c r="O238" s="26">
        <f t="shared" si="429"/>
        <v>78</v>
      </c>
      <c r="P238" s="54">
        <f t="shared" si="429"/>
        <v>0</v>
      </c>
      <c r="Q238" s="26">
        <f t="shared" si="429"/>
        <v>0</v>
      </c>
      <c r="R238" s="26">
        <f t="shared" si="429"/>
        <v>20</v>
      </c>
      <c r="S238" s="26">
        <f t="shared" si="429"/>
        <v>0</v>
      </c>
      <c r="T238" s="26">
        <f t="shared" si="429"/>
        <v>0</v>
      </c>
      <c r="U238" s="26">
        <f t="shared" si="429"/>
        <v>0</v>
      </c>
      <c r="V238" s="26">
        <f t="shared" si="429"/>
        <v>9</v>
      </c>
      <c r="W238" s="26">
        <f t="shared" si="429"/>
        <v>0</v>
      </c>
      <c r="X238" s="26">
        <f t="shared" si="429"/>
        <v>0</v>
      </c>
      <c r="Y238" s="26">
        <f t="shared" si="429"/>
        <v>49</v>
      </c>
      <c r="Z238" s="26">
        <f t="shared" si="429"/>
        <v>0</v>
      </c>
      <c r="AA238" s="26">
        <f t="shared" si="429"/>
        <v>0</v>
      </c>
      <c r="AB238" s="26">
        <f t="shared" si="429"/>
        <v>0</v>
      </c>
      <c r="AC238" s="26">
        <f t="shared" si="429"/>
        <v>11</v>
      </c>
      <c r="AD238" s="26">
        <f t="shared" si="429"/>
        <v>0</v>
      </c>
      <c r="AE238" s="26">
        <f t="shared" si="429"/>
        <v>0</v>
      </c>
      <c r="AF238" s="26">
        <f t="shared" si="429"/>
        <v>29</v>
      </c>
      <c r="AG238" s="26" t="str">
        <f t="shared" si="429"/>
        <v/>
      </c>
      <c r="AH238" s="26" t="str">
        <f t="shared" si="429"/>
        <v/>
      </c>
      <c r="AI238" s="26" t="str">
        <f t="shared" si="429"/>
        <v/>
      </c>
      <c r="AJ238" s="26" t="str">
        <f t="shared" si="429"/>
        <v/>
      </c>
      <c r="AK238" s="26" t="str">
        <f t="shared" si="429"/>
        <v/>
      </c>
      <c r="AL238" s="26" t="str">
        <f t="shared" si="429"/>
        <v/>
      </c>
      <c r="AM238" s="26" t="str">
        <f t="shared" ref="AM238:AS238" si="430">IF(AM$3="","",AM231-AL231)</f>
        <v/>
      </c>
      <c r="AN238" s="26" t="str">
        <f t="shared" si="430"/>
        <v/>
      </c>
      <c r="AO238" s="26" t="str">
        <f t="shared" si="430"/>
        <v/>
      </c>
      <c r="AP238" s="26" t="str">
        <f t="shared" si="430"/>
        <v/>
      </c>
      <c r="AQ238" s="26" t="str">
        <f t="shared" si="430"/>
        <v/>
      </c>
      <c r="AR238" s="26" t="str">
        <f t="shared" si="430"/>
        <v/>
      </c>
      <c r="AS238" s="26" t="str">
        <f t="shared" si="430"/>
        <v/>
      </c>
    </row>
    <row r="239" spans="1:45">
      <c r="A239" s="7">
        <f>SUM(C239:AS239)</f>
        <v>3</v>
      </c>
      <c r="B239" s="27" t="s">
        <v>16</v>
      </c>
      <c r="C239" s="65">
        <v>0</v>
      </c>
      <c r="D239" s="26">
        <f t="shared" ref="D239:AL239" si="431">IF(D$3="","",D232-C232)</f>
        <v>0</v>
      </c>
      <c r="E239" s="26">
        <f t="shared" si="431"/>
        <v>0</v>
      </c>
      <c r="F239" s="54">
        <f t="shared" si="431"/>
        <v>0</v>
      </c>
      <c r="G239" s="26">
        <f t="shared" si="431"/>
        <v>0</v>
      </c>
      <c r="H239" s="26">
        <f t="shared" si="431"/>
        <v>1</v>
      </c>
      <c r="I239" s="54">
        <f t="shared" si="431"/>
        <v>0</v>
      </c>
      <c r="J239" s="26">
        <f t="shared" si="431"/>
        <v>0</v>
      </c>
      <c r="K239" s="26">
        <f t="shared" si="431"/>
        <v>0</v>
      </c>
      <c r="L239" s="54">
        <f t="shared" si="431"/>
        <v>0</v>
      </c>
      <c r="M239" s="26">
        <f t="shared" si="431"/>
        <v>0</v>
      </c>
      <c r="N239" s="26">
        <f t="shared" si="431"/>
        <v>0</v>
      </c>
      <c r="O239" s="26">
        <f t="shared" si="431"/>
        <v>0</v>
      </c>
      <c r="P239" s="54">
        <f t="shared" si="431"/>
        <v>0</v>
      </c>
      <c r="Q239" s="26">
        <f t="shared" si="431"/>
        <v>0</v>
      </c>
      <c r="R239" s="26">
        <f t="shared" si="431"/>
        <v>0</v>
      </c>
      <c r="S239" s="26">
        <f t="shared" si="431"/>
        <v>0</v>
      </c>
      <c r="T239" s="26">
        <f t="shared" si="431"/>
        <v>0</v>
      </c>
      <c r="U239" s="26">
        <f t="shared" si="431"/>
        <v>0</v>
      </c>
      <c r="V239" s="26">
        <f t="shared" si="431"/>
        <v>1</v>
      </c>
      <c r="W239" s="26">
        <f t="shared" si="431"/>
        <v>0</v>
      </c>
      <c r="X239" s="26">
        <f t="shared" si="431"/>
        <v>0</v>
      </c>
      <c r="Y239" s="26">
        <f t="shared" si="431"/>
        <v>0</v>
      </c>
      <c r="Z239" s="26">
        <f t="shared" si="431"/>
        <v>0</v>
      </c>
      <c r="AA239" s="26">
        <f t="shared" si="431"/>
        <v>0</v>
      </c>
      <c r="AB239" s="26">
        <f t="shared" si="431"/>
        <v>0</v>
      </c>
      <c r="AC239" s="26">
        <f t="shared" si="431"/>
        <v>0</v>
      </c>
      <c r="AD239" s="26">
        <f t="shared" si="431"/>
        <v>0</v>
      </c>
      <c r="AE239" s="26">
        <f t="shared" si="431"/>
        <v>0</v>
      </c>
      <c r="AF239" s="26">
        <f t="shared" si="431"/>
        <v>1</v>
      </c>
      <c r="AG239" s="26" t="str">
        <f t="shared" si="431"/>
        <v/>
      </c>
      <c r="AH239" s="26" t="str">
        <f t="shared" si="431"/>
        <v/>
      </c>
      <c r="AI239" s="26" t="str">
        <f t="shared" si="431"/>
        <v/>
      </c>
      <c r="AJ239" s="26" t="str">
        <f t="shared" si="431"/>
        <v/>
      </c>
      <c r="AK239" s="26" t="str">
        <f t="shared" si="431"/>
        <v/>
      </c>
      <c r="AL239" s="26" t="str">
        <f t="shared" si="431"/>
        <v/>
      </c>
      <c r="AM239" s="26" t="str">
        <f t="shared" ref="AM239:AS239" si="432">IF(AM$3="","",AM232-AL232)</f>
        <v/>
      </c>
      <c r="AN239" s="26" t="str">
        <f t="shared" si="432"/>
        <v/>
      </c>
      <c r="AO239" s="26" t="str">
        <f t="shared" si="432"/>
        <v/>
      </c>
      <c r="AP239" s="26" t="str">
        <f t="shared" si="432"/>
        <v/>
      </c>
      <c r="AQ239" s="26" t="str">
        <f t="shared" si="432"/>
        <v/>
      </c>
      <c r="AR239" s="26" t="str">
        <f t="shared" si="432"/>
        <v/>
      </c>
      <c r="AS239" s="26" t="str">
        <f t="shared" si="432"/>
        <v/>
      </c>
    </row>
    <row r="240" spans="1:45">
      <c r="A240" s="7">
        <f>SUM(C240:AS240)</f>
        <v>3</v>
      </c>
      <c r="B240" s="27" t="s">
        <v>17</v>
      </c>
      <c r="C240" s="65">
        <v>0</v>
      </c>
      <c r="D240" s="26">
        <f t="shared" ref="D240:AL240" si="433">IF(D$3="","",C233+C234-D233)</f>
        <v>0</v>
      </c>
      <c r="E240" s="26">
        <f t="shared" si="433"/>
        <v>0</v>
      </c>
      <c r="F240" s="54">
        <f t="shared" si="433"/>
        <v>0</v>
      </c>
      <c r="G240" s="26">
        <f t="shared" si="433"/>
        <v>0</v>
      </c>
      <c r="H240" s="26">
        <f t="shared" si="433"/>
        <v>1</v>
      </c>
      <c r="I240" s="54">
        <f t="shared" si="433"/>
        <v>0</v>
      </c>
      <c r="J240" s="26">
        <f t="shared" si="433"/>
        <v>0</v>
      </c>
      <c r="K240" s="26">
        <f t="shared" si="433"/>
        <v>0</v>
      </c>
      <c r="L240" s="54">
        <f t="shared" si="433"/>
        <v>0</v>
      </c>
      <c r="M240" s="26">
        <f t="shared" si="433"/>
        <v>0</v>
      </c>
      <c r="N240" s="26">
        <f t="shared" si="433"/>
        <v>0</v>
      </c>
      <c r="O240" s="26">
        <f t="shared" si="433"/>
        <v>0</v>
      </c>
      <c r="P240" s="54">
        <f t="shared" si="433"/>
        <v>0</v>
      </c>
      <c r="Q240" s="26">
        <f t="shared" si="433"/>
        <v>0</v>
      </c>
      <c r="R240" s="26">
        <f t="shared" si="433"/>
        <v>0</v>
      </c>
      <c r="S240" s="26">
        <f t="shared" si="433"/>
        <v>0</v>
      </c>
      <c r="T240" s="26">
        <f t="shared" si="433"/>
        <v>0</v>
      </c>
      <c r="U240" s="26">
        <f t="shared" si="433"/>
        <v>0</v>
      </c>
      <c r="V240" s="26">
        <f t="shared" si="433"/>
        <v>1</v>
      </c>
      <c r="W240" s="26">
        <f t="shared" si="433"/>
        <v>0</v>
      </c>
      <c r="X240" s="26">
        <f t="shared" si="433"/>
        <v>0</v>
      </c>
      <c r="Y240" s="26">
        <f t="shared" si="433"/>
        <v>0</v>
      </c>
      <c r="Z240" s="26">
        <f t="shared" si="433"/>
        <v>0</v>
      </c>
      <c r="AA240" s="26">
        <f t="shared" si="433"/>
        <v>0</v>
      </c>
      <c r="AB240" s="26">
        <f t="shared" si="433"/>
        <v>0</v>
      </c>
      <c r="AC240" s="26">
        <f t="shared" si="433"/>
        <v>0</v>
      </c>
      <c r="AD240" s="26">
        <f t="shared" si="433"/>
        <v>0</v>
      </c>
      <c r="AE240" s="26">
        <f t="shared" si="433"/>
        <v>0</v>
      </c>
      <c r="AF240" s="26">
        <f t="shared" si="433"/>
        <v>1</v>
      </c>
      <c r="AG240" s="26" t="str">
        <f t="shared" si="433"/>
        <v/>
      </c>
      <c r="AH240" s="26" t="str">
        <f t="shared" si="433"/>
        <v/>
      </c>
      <c r="AI240" s="26" t="str">
        <f t="shared" si="433"/>
        <v/>
      </c>
      <c r="AJ240" s="26" t="str">
        <f t="shared" si="433"/>
        <v/>
      </c>
      <c r="AK240" s="26" t="str">
        <f t="shared" si="433"/>
        <v/>
      </c>
      <c r="AL240" s="26" t="str">
        <f t="shared" si="433"/>
        <v/>
      </c>
      <c r="AM240" s="26" t="str">
        <f t="shared" ref="AM240:AS240" si="434">IF(AM$3="","",AL233+AL234-AM233)</f>
        <v/>
      </c>
      <c r="AN240" s="26" t="str">
        <f t="shared" si="434"/>
        <v/>
      </c>
      <c r="AO240" s="26" t="str">
        <f t="shared" si="434"/>
        <v/>
      </c>
      <c r="AP240" s="26" t="str">
        <f t="shared" si="434"/>
        <v/>
      </c>
      <c r="AQ240" s="26" t="str">
        <f t="shared" si="434"/>
        <v/>
      </c>
      <c r="AR240" s="26" t="str">
        <f t="shared" si="434"/>
        <v/>
      </c>
      <c r="AS240" s="26" t="str">
        <f t="shared" si="434"/>
        <v/>
      </c>
    </row>
    <row r="241" spans="1:46">
      <c r="A241" s="7">
        <f>SUM(C241:AS241)</f>
        <v>1200</v>
      </c>
      <c r="B241" s="27" t="s">
        <v>18</v>
      </c>
      <c r="C241" s="65">
        <v>0</v>
      </c>
      <c r="D241" s="26">
        <f t="shared" ref="D241:AL241" si="435">IF(D$3="","",D240*D235)</f>
        <v>0</v>
      </c>
      <c r="E241" s="26">
        <f t="shared" si="435"/>
        <v>0</v>
      </c>
      <c r="F241" s="54">
        <f t="shared" si="435"/>
        <v>0</v>
      </c>
      <c r="G241" s="26">
        <f t="shared" si="435"/>
        <v>0</v>
      </c>
      <c r="H241" s="26">
        <f t="shared" si="435"/>
        <v>400</v>
      </c>
      <c r="I241" s="54">
        <f t="shared" si="435"/>
        <v>0</v>
      </c>
      <c r="J241" s="26">
        <f t="shared" si="435"/>
        <v>0</v>
      </c>
      <c r="K241" s="26">
        <f t="shared" si="435"/>
        <v>0</v>
      </c>
      <c r="L241" s="54">
        <f t="shared" si="435"/>
        <v>0</v>
      </c>
      <c r="M241" s="26">
        <f t="shared" si="435"/>
        <v>0</v>
      </c>
      <c r="N241" s="26">
        <f t="shared" si="435"/>
        <v>0</v>
      </c>
      <c r="O241" s="26">
        <f t="shared" si="435"/>
        <v>0</v>
      </c>
      <c r="P241" s="54">
        <f t="shared" si="435"/>
        <v>0</v>
      </c>
      <c r="Q241" s="26">
        <f t="shared" si="435"/>
        <v>0</v>
      </c>
      <c r="R241" s="26">
        <f t="shared" si="435"/>
        <v>0</v>
      </c>
      <c r="S241" s="26">
        <f t="shared" si="435"/>
        <v>0</v>
      </c>
      <c r="T241" s="26">
        <f t="shared" si="435"/>
        <v>0</v>
      </c>
      <c r="U241" s="26">
        <f t="shared" si="435"/>
        <v>0</v>
      </c>
      <c r="V241" s="26">
        <f t="shared" si="435"/>
        <v>400</v>
      </c>
      <c r="W241" s="26">
        <f t="shared" si="435"/>
        <v>0</v>
      </c>
      <c r="X241" s="26">
        <f t="shared" si="435"/>
        <v>0</v>
      </c>
      <c r="Y241" s="26">
        <f t="shared" si="435"/>
        <v>0</v>
      </c>
      <c r="Z241" s="26">
        <f t="shared" si="435"/>
        <v>0</v>
      </c>
      <c r="AA241" s="26">
        <f t="shared" si="435"/>
        <v>0</v>
      </c>
      <c r="AB241" s="26">
        <f t="shared" si="435"/>
        <v>0</v>
      </c>
      <c r="AC241" s="26">
        <f t="shared" si="435"/>
        <v>0</v>
      </c>
      <c r="AD241" s="26">
        <f t="shared" si="435"/>
        <v>0</v>
      </c>
      <c r="AE241" s="26">
        <f t="shared" si="435"/>
        <v>0</v>
      </c>
      <c r="AF241" s="26">
        <f t="shared" si="435"/>
        <v>400</v>
      </c>
      <c r="AG241" s="26" t="str">
        <f t="shared" si="435"/>
        <v/>
      </c>
      <c r="AH241" s="26" t="str">
        <f t="shared" si="435"/>
        <v/>
      </c>
      <c r="AI241" s="26" t="str">
        <f t="shared" si="435"/>
        <v/>
      </c>
      <c r="AJ241" s="26" t="str">
        <f t="shared" si="435"/>
        <v/>
      </c>
      <c r="AK241" s="26" t="str">
        <f t="shared" si="435"/>
        <v/>
      </c>
      <c r="AL241" s="26" t="str">
        <f t="shared" si="435"/>
        <v/>
      </c>
      <c r="AM241" s="26" t="str">
        <f t="shared" ref="AM241:AS241" si="436">IF(AM$3="","",AM240*AM235)</f>
        <v/>
      </c>
      <c r="AN241" s="26" t="str">
        <f t="shared" si="436"/>
        <v/>
      </c>
      <c r="AO241" s="26" t="str">
        <f t="shared" si="436"/>
        <v/>
      </c>
      <c r="AP241" s="26" t="str">
        <f t="shared" si="436"/>
        <v/>
      </c>
      <c r="AQ241" s="26" t="str">
        <f t="shared" si="436"/>
        <v/>
      </c>
      <c r="AR241" s="26" t="str">
        <f t="shared" si="436"/>
        <v/>
      </c>
      <c r="AS241" s="26" t="str">
        <f t="shared" si="436"/>
        <v/>
      </c>
    </row>
    <row r="242" spans="1:46" ht="12" thickBot="1">
      <c r="A242" s="4">
        <f>IF(A241="","",A241/(A238*100))</f>
        <v>4.0677966101694912E-2</v>
      </c>
      <c r="B242" s="24" t="s">
        <v>20</v>
      </c>
      <c r="C242" s="67" t="s">
        <v>21</v>
      </c>
      <c r="D242" s="23" t="str">
        <f t="shared" ref="D242:AL242" si="437">IF(D$3="","",IF(D241=0,"",D241/(D238*100)))</f>
        <v/>
      </c>
      <c r="E242" s="23" t="str">
        <f t="shared" si="437"/>
        <v/>
      </c>
      <c r="F242" s="52" t="str">
        <f t="shared" si="437"/>
        <v/>
      </c>
      <c r="G242" s="23" t="str">
        <f t="shared" si="437"/>
        <v/>
      </c>
      <c r="H242" s="23">
        <f t="shared" si="437"/>
        <v>1</v>
      </c>
      <c r="I242" s="52" t="str">
        <f t="shared" si="437"/>
        <v/>
      </c>
      <c r="J242" s="23" t="str">
        <f t="shared" si="437"/>
        <v/>
      </c>
      <c r="K242" s="23" t="str">
        <f t="shared" si="437"/>
        <v/>
      </c>
      <c r="L242" s="52" t="str">
        <f t="shared" si="437"/>
        <v/>
      </c>
      <c r="M242" s="23" t="str">
        <f t="shared" si="437"/>
        <v/>
      </c>
      <c r="N242" s="23" t="str">
        <f t="shared" si="437"/>
        <v/>
      </c>
      <c r="O242" s="23" t="str">
        <f t="shared" si="437"/>
        <v/>
      </c>
      <c r="P242" s="52" t="str">
        <f t="shared" si="437"/>
        <v/>
      </c>
      <c r="Q242" s="23" t="str">
        <f t="shared" si="437"/>
        <v/>
      </c>
      <c r="R242" s="23" t="str">
        <f t="shared" si="437"/>
        <v/>
      </c>
      <c r="S242" s="23" t="str">
        <f t="shared" si="437"/>
        <v/>
      </c>
      <c r="T242" s="23" t="str">
        <f t="shared" si="437"/>
        <v/>
      </c>
      <c r="U242" s="23" t="str">
        <f t="shared" si="437"/>
        <v/>
      </c>
      <c r="V242" s="23">
        <f t="shared" si="437"/>
        <v>0.44444444444444442</v>
      </c>
      <c r="W242" s="23" t="str">
        <f t="shared" si="437"/>
        <v/>
      </c>
      <c r="X242" s="23" t="str">
        <f t="shared" si="437"/>
        <v/>
      </c>
      <c r="Y242" s="23" t="str">
        <f t="shared" si="437"/>
        <v/>
      </c>
      <c r="Z242" s="23" t="str">
        <f t="shared" si="437"/>
        <v/>
      </c>
      <c r="AA242" s="23" t="str">
        <f t="shared" si="437"/>
        <v/>
      </c>
      <c r="AB242" s="23" t="str">
        <f t="shared" si="437"/>
        <v/>
      </c>
      <c r="AC242" s="23" t="str">
        <f t="shared" si="437"/>
        <v/>
      </c>
      <c r="AD242" s="23" t="str">
        <f t="shared" si="437"/>
        <v/>
      </c>
      <c r="AE242" s="23" t="str">
        <f t="shared" si="437"/>
        <v/>
      </c>
      <c r="AF242" s="23">
        <f t="shared" si="437"/>
        <v>0.13793103448275862</v>
      </c>
      <c r="AG242" s="23" t="str">
        <f t="shared" si="437"/>
        <v/>
      </c>
      <c r="AH242" s="23" t="str">
        <f t="shared" si="437"/>
        <v/>
      </c>
      <c r="AI242" s="23" t="str">
        <f t="shared" si="437"/>
        <v/>
      </c>
      <c r="AJ242" s="23" t="str">
        <f t="shared" si="437"/>
        <v/>
      </c>
      <c r="AK242" s="23" t="str">
        <f t="shared" si="437"/>
        <v/>
      </c>
      <c r="AL242" s="23" t="str">
        <f t="shared" si="437"/>
        <v/>
      </c>
      <c r="AM242" s="23" t="str">
        <f t="shared" ref="AM242:AS242" si="438">IF(AM$3="","",IF(AM241=0,"",AM241/(AM238*100)))</f>
        <v/>
      </c>
      <c r="AN242" s="23" t="str">
        <f t="shared" si="438"/>
        <v/>
      </c>
      <c r="AO242" s="23" t="str">
        <f t="shared" si="438"/>
        <v/>
      </c>
      <c r="AP242" s="23" t="str">
        <f t="shared" si="438"/>
        <v/>
      </c>
      <c r="AQ242" s="23" t="str">
        <f t="shared" si="438"/>
        <v/>
      </c>
      <c r="AR242" s="23" t="str">
        <f t="shared" si="438"/>
        <v/>
      </c>
      <c r="AS242" s="23" t="str">
        <f t="shared" si="438"/>
        <v/>
      </c>
    </row>
    <row r="243" spans="1:46">
      <c r="A243" s="22" t="s">
        <v>1</v>
      </c>
      <c r="B243" s="21" t="s">
        <v>2</v>
      </c>
      <c r="C243" s="73">
        <v>5913</v>
      </c>
      <c r="D243" s="20">
        <f>IF(D$3="","",C243)</f>
        <v>5913</v>
      </c>
      <c r="E243" s="20">
        <v>6150</v>
      </c>
      <c r="F243" s="130">
        <f>IF(F$3="","",E243)</f>
        <v>6150</v>
      </c>
      <c r="G243" s="20">
        <f>IF(G$3="","",F243)</f>
        <v>6150</v>
      </c>
      <c r="H243" s="20">
        <v>6222</v>
      </c>
      <c r="I243" s="130">
        <f>IF(I$3="","",H243)</f>
        <v>6222</v>
      </c>
      <c r="J243" s="20">
        <f>IF(J$3="","",I243)</f>
        <v>6222</v>
      </c>
      <c r="K243" s="20">
        <v>6472</v>
      </c>
      <c r="L243" s="130">
        <f t="shared" ref="L243:N244" si="439">IF(L$3="","",K243)</f>
        <v>6472</v>
      </c>
      <c r="M243" s="20">
        <f t="shared" si="439"/>
        <v>6472</v>
      </c>
      <c r="N243" s="20">
        <f t="shared" si="439"/>
        <v>6472</v>
      </c>
      <c r="O243" s="20">
        <v>6549</v>
      </c>
      <c r="P243" s="130">
        <f>IF(P$3="","",O243)</f>
        <v>6549</v>
      </c>
      <c r="Q243" s="20">
        <f>IF(Q$3="","",P243)</f>
        <v>6549</v>
      </c>
      <c r="R243" s="20">
        <v>6681</v>
      </c>
      <c r="S243" s="20">
        <f t="shared" ref="S243:AL243" si="440">IF(S$3="","",R243)</f>
        <v>6681</v>
      </c>
      <c r="T243" s="20">
        <f t="shared" si="440"/>
        <v>6681</v>
      </c>
      <c r="U243" s="20">
        <f t="shared" si="440"/>
        <v>6681</v>
      </c>
      <c r="V243" s="20">
        <v>6831</v>
      </c>
      <c r="W243" s="20">
        <f t="shared" si="440"/>
        <v>6831</v>
      </c>
      <c r="X243" s="20">
        <f t="shared" si="440"/>
        <v>6831</v>
      </c>
      <c r="Y243" s="20">
        <v>7007</v>
      </c>
      <c r="Z243" s="20">
        <f t="shared" si="440"/>
        <v>7007</v>
      </c>
      <c r="AA243" s="20">
        <f t="shared" si="440"/>
        <v>7007</v>
      </c>
      <c r="AB243" s="20">
        <f t="shared" si="440"/>
        <v>7007</v>
      </c>
      <c r="AC243" s="20">
        <v>7070</v>
      </c>
      <c r="AD243" s="20">
        <f t="shared" si="440"/>
        <v>7070</v>
      </c>
      <c r="AE243" s="20">
        <f t="shared" si="440"/>
        <v>7070</v>
      </c>
      <c r="AF243" s="20">
        <v>7189</v>
      </c>
      <c r="AG243" s="20" t="str">
        <f t="shared" si="440"/>
        <v/>
      </c>
      <c r="AH243" s="20" t="str">
        <f t="shared" si="440"/>
        <v/>
      </c>
      <c r="AI243" s="20" t="str">
        <f t="shared" si="440"/>
        <v/>
      </c>
      <c r="AJ243" s="20" t="str">
        <f t="shared" si="440"/>
        <v/>
      </c>
      <c r="AK243" s="20" t="str">
        <f t="shared" si="440"/>
        <v/>
      </c>
      <c r="AL243" s="20" t="str">
        <f t="shared" si="440"/>
        <v/>
      </c>
      <c r="AM243" s="20" t="str">
        <f t="shared" ref="AM243:AS243" si="441">IF(AM$3="","",AL243)</f>
        <v/>
      </c>
      <c r="AN243" s="20" t="str">
        <f t="shared" si="441"/>
        <v/>
      </c>
      <c r="AO243" s="20" t="str">
        <f t="shared" si="441"/>
        <v/>
      </c>
      <c r="AP243" s="20" t="str">
        <f t="shared" si="441"/>
        <v/>
      </c>
      <c r="AQ243" s="20" t="str">
        <f t="shared" si="441"/>
        <v/>
      </c>
      <c r="AR243" s="20" t="str">
        <f t="shared" si="441"/>
        <v/>
      </c>
      <c r="AS243" s="20" t="str">
        <f t="shared" si="441"/>
        <v/>
      </c>
    </row>
    <row r="244" spans="1:46">
      <c r="A244" s="16" t="s">
        <v>57</v>
      </c>
      <c r="B244" s="9" t="s">
        <v>4</v>
      </c>
      <c r="C244" s="74">
        <v>266</v>
      </c>
      <c r="D244" s="8">
        <f>IF(D$3="","",C244)</f>
        <v>266</v>
      </c>
      <c r="E244" s="8">
        <v>270</v>
      </c>
      <c r="F244" s="59">
        <f>IF(F$3="","",E244)</f>
        <v>270</v>
      </c>
      <c r="G244" s="8">
        <f>IF(G$3="","",F244)</f>
        <v>270</v>
      </c>
      <c r="H244" s="8">
        <v>272</v>
      </c>
      <c r="I244" s="59">
        <f>IF(I$3="","",H244)</f>
        <v>272</v>
      </c>
      <c r="J244" s="8">
        <f>IF(J$3="","",I244)</f>
        <v>272</v>
      </c>
      <c r="K244" s="8">
        <v>275</v>
      </c>
      <c r="L244" s="59">
        <f t="shared" si="439"/>
        <v>275</v>
      </c>
      <c r="M244" s="8">
        <f t="shared" si="439"/>
        <v>275</v>
      </c>
      <c r="N244" s="8">
        <f t="shared" si="439"/>
        <v>275</v>
      </c>
      <c r="O244" s="8">
        <v>277</v>
      </c>
      <c r="P244" s="59">
        <f>IF(P$3="","",O244)</f>
        <v>277</v>
      </c>
      <c r="Q244" s="8">
        <f>IF(Q$3="","",P244)</f>
        <v>277</v>
      </c>
      <c r="R244" s="8">
        <v>281</v>
      </c>
      <c r="S244" s="8">
        <f t="shared" ref="S244:AL244" si="442">IF(S$3="","",R244)</f>
        <v>281</v>
      </c>
      <c r="T244" s="8">
        <f t="shared" si="442"/>
        <v>281</v>
      </c>
      <c r="U244" s="8">
        <f t="shared" si="442"/>
        <v>281</v>
      </c>
      <c r="V244" s="8">
        <v>286</v>
      </c>
      <c r="W244" s="8">
        <f t="shared" si="442"/>
        <v>286</v>
      </c>
      <c r="X244" s="8">
        <f t="shared" si="442"/>
        <v>286</v>
      </c>
      <c r="Y244" s="8">
        <v>288</v>
      </c>
      <c r="Z244" s="8">
        <f t="shared" si="442"/>
        <v>288</v>
      </c>
      <c r="AA244" s="8">
        <f t="shared" si="442"/>
        <v>288</v>
      </c>
      <c r="AB244" s="8">
        <f t="shared" si="442"/>
        <v>288</v>
      </c>
      <c r="AC244" s="8">
        <v>289</v>
      </c>
      <c r="AD244" s="8">
        <f t="shared" si="442"/>
        <v>289</v>
      </c>
      <c r="AE244" s="8">
        <f t="shared" si="442"/>
        <v>289</v>
      </c>
      <c r="AF244" s="8">
        <v>291</v>
      </c>
      <c r="AG244" s="8" t="str">
        <f t="shared" si="442"/>
        <v/>
      </c>
      <c r="AH244" s="8" t="str">
        <f t="shared" si="442"/>
        <v/>
      </c>
      <c r="AI244" s="8" t="str">
        <f t="shared" si="442"/>
        <v/>
      </c>
      <c r="AJ244" s="8" t="str">
        <f t="shared" si="442"/>
        <v/>
      </c>
      <c r="AK244" s="8" t="str">
        <f t="shared" si="442"/>
        <v/>
      </c>
      <c r="AL244" s="8" t="str">
        <f t="shared" si="442"/>
        <v/>
      </c>
      <c r="AM244" s="8" t="str">
        <f t="shared" ref="AM244:AS244" si="443">IF(AM$3="","",AL244)</f>
        <v/>
      </c>
      <c r="AN244" s="8" t="str">
        <f t="shared" si="443"/>
        <v/>
      </c>
      <c r="AO244" s="8" t="str">
        <f t="shared" si="443"/>
        <v/>
      </c>
      <c r="AP244" s="8" t="str">
        <f t="shared" si="443"/>
        <v/>
      </c>
      <c r="AQ244" s="8" t="str">
        <f t="shared" si="443"/>
        <v/>
      </c>
      <c r="AR244" s="8" t="str">
        <f t="shared" si="443"/>
        <v/>
      </c>
      <c r="AS244" s="8" t="str">
        <f t="shared" si="443"/>
        <v/>
      </c>
    </row>
    <row r="245" spans="1:46">
      <c r="A245" s="15">
        <v>1</v>
      </c>
      <c r="B245" s="9" t="s">
        <v>5</v>
      </c>
      <c r="C245" s="74">
        <v>26</v>
      </c>
      <c r="D245" s="8">
        <f>IF(D$3="","",(C245+C246))</f>
        <v>26</v>
      </c>
      <c r="E245" s="8">
        <v>23</v>
      </c>
      <c r="F245" s="59">
        <f>IF(F$3="","",(E245+E246))</f>
        <v>27</v>
      </c>
      <c r="G245" s="8">
        <f>IF(G$3="","",(F245+F246))</f>
        <v>27</v>
      </c>
      <c r="H245" s="8">
        <v>25</v>
      </c>
      <c r="I245" s="59">
        <f>IF(I$3="","",(H245+H246))</f>
        <v>25</v>
      </c>
      <c r="J245" s="8">
        <f>IF(J$3="","",(I245+I246))</f>
        <v>25</v>
      </c>
      <c r="K245" s="8">
        <v>22</v>
      </c>
      <c r="L245" s="59">
        <f>IF(L$3="","",(K245+K246))</f>
        <v>22</v>
      </c>
      <c r="M245" s="8">
        <f>IF(M$3="","",(L245+L246))</f>
        <v>22</v>
      </c>
      <c r="N245" s="8">
        <f>IF(N$3="","",(M245+M246))</f>
        <v>22</v>
      </c>
      <c r="O245" s="8">
        <v>20</v>
      </c>
      <c r="P245" s="59">
        <f>IF(P$3="","",(O245+O246))</f>
        <v>20</v>
      </c>
      <c r="Q245" s="8">
        <f>IF(Q$3="","",(P245+P246))</f>
        <v>20</v>
      </c>
      <c r="R245" s="8">
        <v>16</v>
      </c>
      <c r="S245" s="8">
        <f t="shared" ref="S245:AL245" si="444">IF(S$3="","",(R245+R246))</f>
        <v>28</v>
      </c>
      <c r="T245" s="8">
        <f t="shared" si="444"/>
        <v>28</v>
      </c>
      <c r="U245" s="8">
        <f t="shared" si="444"/>
        <v>28</v>
      </c>
      <c r="V245" s="8">
        <v>23</v>
      </c>
      <c r="W245" s="8">
        <f t="shared" si="444"/>
        <v>23</v>
      </c>
      <c r="X245" s="8">
        <f t="shared" si="444"/>
        <v>23</v>
      </c>
      <c r="Y245" s="8">
        <v>21</v>
      </c>
      <c r="Z245" s="8">
        <f t="shared" si="444"/>
        <v>21</v>
      </c>
      <c r="AA245" s="8">
        <f t="shared" si="444"/>
        <v>21</v>
      </c>
      <c r="AB245" s="8">
        <f t="shared" si="444"/>
        <v>21</v>
      </c>
      <c r="AC245" s="8">
        <f t="shared" si="444"/>
        <v>21</v>
      </c>
      <c r="AD245" s="8">
        <f t="shared" si="444"/>
        <v>21</v>
      </c>
      <c r="AE245" s="8">
        <f t="shared" si="444"/>
        <v>21</v>
      </c>
      <c r="AF245" s="8">
        <v>19</v>
      </c>
      <c r="AG245" s="8" t="str">
        <f t="shared" si="444"/>
        <v/>
      </c>
      <c r="AH245" s="8" t="str">
        <f t="shared" si="444"/>
        <v/>
      </c>
      <c r="AI245" s="8" t="str">
        <f t="shared" si="444"/>
        <v/>
      </c>
      <c r="AJ245" s="8" t="str">
        <f t="shared" si="444"/>
        <v/>
      </c>
      <c r="AK245" s="8" t="str">
        <f t="shared" si="444"/>
        <v/>
      </c>
      <c r="AL245" s="8" t="str">
        <f t="shared" si="444"/>
        <v/>
      </c>
      <c r="AM245" s="8" t="str">
        <f t="shared" ref="AM245:AS245" si="445">IF(AM$3="","",(AL245+AL246))</f>
        <v/>
      </c>
      <c r="AN245" s="8" t="str">
        <f t="shared" si="445"/>
        <v/>
      </c>
      <c r="AO245" s="8" t="str">
        <f t="shared" si="445"/>
        <v/>
      </c>
      <c r="AP245" s="8" t="str">
        <f t="shared" si="445"/>
        <v/>
      </c>
      <c r="AQ245" s="8" t="str">
        <f t="shared" si="445"/>
        <v/>
      </c>
      <c r="AR245" s="8" t="str">
        <f t="shared" si="445"/>
        <v/>
      </c>
      <c r="AS245" s="8" t="str">
        <f t="shared" si="445"/>
        <v/>
      </c>
    </row>
    <row r="246" spans="1:46">
      <c r="A246" s="14"/>
      <c r="B246" s="9" t="s">
        <v>7</v>
      </c>
      <c r="C246" s="74"/>
      <c r="D246" s="8"/>
      <c r="E246" s="8">
        <v>4</v>
      </c>
      <c r="F246" s="59"/>
      <c r="G246" s="8"/>
      <c r="H246" s="8"/>
      <c r="I246" s="59"/>
      <c r="J246" s="8"/>
      <c r="K246" s="8"/>
      <c r="L246" s="59"/>
      <c r="M246" s="8"/>
      <c r="N246" s="8"/>
      <c r="O246" s="8"/>
      <c r="P246" s="59"/>
      <c r="Q246" s="8"/>
      <c r="R246" s="8">
        <v>12</v>
      </c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>
        <v>4</v>
      </c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</row>
    <row r="247" spans="1:46">
      <c r="A247" s="7"/>
      <c r="B247" s="9" t="s">
        <v>8</v>
      </c>
      <c r="C247" s="74">
        <v>750</v>
      </c>
      <c r="D247" s="8">
        <f t="shared" ref="D247:AL247" si="446">IF(D$3="","",C247)</f>
        <v>750</v>
      </c>
      <c r="E247" s="8">
        <f t="shared" si="446"/>
        <v>750</v>
      </c>
      <c r="F247" s="59">
        <f t="shared" si="446"/>
        <v>750</v>
      </c>
      <c r="G247" s="8">
        <f t="shared" si="446"/>
        <v>750</v>
      </c>
      <c r="H247" s="8">
        <f t="shared" si="446"/>
        <v>750</v>
      </c>
      <c r="I247" s="59">
        <f t="shared" si="446"/>
        <v>750</v>
      </c>
      <c r="J247" s="8">
        <f t="shared" si="446"/>
        <v>750</v>
      </c>
      <c r="K247" s="8">
        <f t="shared" si="446"/>
        <v>750</v>
      </c>
      <c r="L247" s="59">
        <f t="shared" si="446"/>
        <v>750</v>
      </c>
      <c r="M247" s="8">
        <f t="shared" si="446"/>
        <v>750</v>
      </c>
      <c r="N247" s="8">
        <f t="shared" si="446"/>
        <v>750</v>
      </c>
      <c r="O247" s="8">
        <f t="shared" si="446"/>
        <v>750</v>
      </c>
      <c r="P247" s="59">
        <f t="shared" si="446"/>
        <v>750</v>
      </c>
      <c r="Q247" s="8">
        <f t="shared" si="446"/>
        <v>750</v>
      </c>
      <c r="R247" s="8">
        <f t="shared" si="446"/>
        <v>750</v>
      </c>
      <c r="S247" s="8">
        <f t="shared" si="446"/>
        <v>750</v>
      </c>
      <c r="T247" s="8">
        <f t="shared" si="446"/>
        <v>750</v>
      </c>
      <c r="U247" s="8">
        <f t="shared" si="446"/>
        <v>750</v>
      </c>
      <c r="V247" s="8">
        <f t="shared" si="446"/>
        <v>750</v>
      </c>
      <c r="W247" s="8">
        <f t="shared" si="446"/>
        <v>750</v>
      </c>
      <c r="X247" s="8">
        <f t="shared" si="446"/>
        <v>750</v>
      </c>
      <c r="Y247" s="8">
        <f t="shared" si="446"/>
        <v>750</v>
      </c>
      <c r="Z247" s="8">
        <f t="shared" si="446"/>
        <v>750</v>
      </c>
      <c r="AA247" s="8">
        <f t="shared" si="446"/>
        <v>750</v>
      </c>
      <c r="AB247" s="8">
        <f t="shared" si="446"/>
        <v>750</v>
      </c>
      <c r="AC247" s="8">
        <f t="shared" si="446"/>
        <v>750</v>
      </c>
      <c r="AD247" s="8">
        <f t="shared" si="446"/>
        <v>750</v>
      </c>
      <c r="AE247" s="8">
        <f t="shared" si="446"/>
        <v>750</v>
      </c>
      <c r="AF247" s="8">
        <f t="shared" si="446"/>
        <v>750</v>
      </c>
      <c r="AG247" s="8" t="str">
        <f t="shared" si="446"/>
        <v/>
      </c>
      <c r="AH247" s="8" t="str">
        <f t="shared" si="446"/>
        <v/>
      </c>
      <c r="AI247" s="8" t="str">
        <f t="shared" si="446"/>
        <v/>
      </c>
      <c r="AJ247" s="8" t="str">
        <f t="shared" si="446"/>
        <v/>
      </c>
      <c r="AK247" s="8" t="str">
        <f t="shared" si="446"/>
        <v/>
      </c>
      <c r="AL247" s="8" t="str">
        <f t="shared" si="446"/>
        <v/>
      </c>
      <c r="AM247" s="8" t="str">
        <f t="shared" ref="AM247:AS247" si="447">IF(AM$3="","",AL247)</f>
        <v/>
      </c>
      <c r="AN247" s="8" t="str">
        <f t="shared" si="447"/>
        <v/>
      </c>
      <c r="AO247" s="8" t="str">
        <f t="shared" si="447"/>
        <v/>
      </c>
      <c r="AP247" s="8" t="str">
        <f t="shared" si="447"/>
        <v/>
      </c>
      <c r="AQ247" s="8" t="str">
        <f t="shared" si="447"/>
        <v/>
      </c>
      <c r="AR247" s="8" t="str">
        <f t="shared" si="447"/>
        <v/>
      </c>
      <c r="AS247" s="8" t="str">
        <f t="shared" si="447"/>
        <v/>
      </c>
    </row>
    <row r="248" spans="1:46" s="94" customFormat="1">
      <c r="A248" s="14" t="s">
        <v>9</v>
      </c>
      <c r="B248" s="13" t="s">
        <v>10</v>
      </c>
      <c r="C248" s="75" t="s">
        <v>58</v>
      </c>
      <c r="D248" s="12" t="str">
        <f t="shared" ref="D248:AL248" si="448">IF(D$3="","",C248)</f>
        <v>サムエル（箱無し）</v>
      </c>
      <c r="E248" s="12" t="str">
        <f t="shared" si="448"/>
        <v>サムエル（箱無し）</v>
      </c>
      <c r="F248" s="131" t="str">
        <f t="shared" si="448"/>
        <v>サムエル（箱無し）</v>
      </c>
      <c r="G248" s="12" t="str">
        <f t="shared" si="448"/>
        <v>サムエル（箱無し）</v>
      </c>
      <c r="H248" s="12" t="str">
        <f t="shared" si="448"/>
        <v>サムエル（箱無し）</v>
      </c>
      <c r="I248" s="131" t="str">
        <f t="shared" si="448"/>
        <v>サムエル（箱無し）</v>
      </c>
      <c r="J248" s="12" t="str">
        <f t="shared" si="448"/>
        <v>サムエル（箱無し）</v>
      </c>
      <c r="K248" s="12" t="str">
        <f t="shared" si="448"/>
        <v>サムエル（箱無し）</v>
      </c>
      <c r="L248" s="131" t="str">
        <f t="shared" si="448"/>
        <v>サムエル（箱無し）</v>
      </c>
      <c r="M248" s="12" t="str">
        <f t="shared" si="448"/>
        <v>サムエル（箱無し）</v>
      </c>
      <c r="N248" s="12" t="str">
        <f t="shared" si="448"/>
        <v>サムエル（箱無し）</v>
      </c>
      <c r="O248" s="12" t="str">
        <f t="shared" si="448"/>
        <v>サムエル（箱無し）</v>
      </c>
      <c r="P248" s="131" t="str">
        <f t="shared" si="448"/>
        <v>サムエル（箱無し）</v>
      </c>
      <c r="Q248" s="12" t="str">
        <f t="shared" si="448"/>
        <v>サムエル（箱無し）</v>
      </c>
      <c r="R248" s="12" t="str">
        <f t="shared" si="448"/>
        <v>サムエル（箱無し）</v>
      </c>
      <c r="S248" s="12" t="str">
        <f t="shared" si="448"/>
        <v>サムエル（箱無し）</v>
      </c>
      <c r="T248" s="12" t="str">
        <f t="shared" si="448"/>
        <v>サムエル（箱無し）</v>
      </c>
      <c r="U248" s="12" t="str">
        <f t="shared" si="448"/>
        <v>サムエル（箱無し）</v>
      </c>
      <c r="V248" s="12" t="str">
        <f t="shared" si="448"/>
        <v>サムエル（箱無し）</v>
      </c>
      <c r="W248" s="12" t="str">
        <f t="shared" si="448"/>
        <v>サムエル（箱無し）</v>
      </c>
      <c r="X248" s="12" t="str">
        <f t="shared" si="448"/>
        <v>サムエル（箱無し）</v>
      </c>
      <c r="Y248" s="12" t="str">
        <f t="shared" si="448"/>
        <v>サムエル（箱無し）</v>
      </c>
      <c r="Z248" s="12" t="str">
        <f t="shared" si="448"/>
        <v>サムエル（箱無し）</v>
      </c>
      <c r="AA248" s="12" t="str">
        <f t="shared" si="448"/>
        <v>サムエル（箱無し）</v>
      </c>
      <c r="AB248" s="12" t="str">
        <f t="shared" si="448"/>
        <v>サムエル（箱無し）</v>
      </c>
      <c r="AC248" s="12" t="str">
        <f t="shared" si="448"/>
        <v>サムエル（箱無し）</v>
      </c>
      <c r="AD248" s="12" t="str">
        <f t="shared" si="448"/>
        <v>サムエル（箱無し）</v>
      </c>
      <c r="AE248" s="12" t="str">
        <f t="shared" si="448"/>
        <v>サムエル（箱無し）</v>
      </c>
      <c r="AF248" s="12" t="str">
        <f t="shared" si="448"/>
        <v>サムエル（箱無し）</v>
      </c>
      <c r="AG248" s="12" t="str">
        <f t="shared" si="448"/>
        <v/>
      </c>
      <c r="AH248" s="12" t="str">
        <f t="shared" si="448"/>
        <v/>
      </c>
      <c r="AI248" s="12" t="str">
        <f t="shared" si="448"/>
        <v/>
      </c>
      <c r="AJ248" s="12" t="str">
        <f t="shared" si="448"/>
        <v/>
      </c>
      <c r="AK248" s="12" t="str">
        <f t="shared" si="448"/>
        <v/>
      </c>
      <c r="AL248" s="12" t="str">
        <f t="shared" si="448"/>
        <v/>
      </c>
      <c r="AM248" s="12" t="str">
        <f t="shared" ref="AM248:AS248" si="449">IF(AM$3="","",AL248)</f>
        <v/>
      </c>
      <c r="AN248" s="12" t="str">
        <f t="shared" si="449"/>
        <v/>
      </c>
      <c r="AO248" s="12" t="str">
        <f t="shared" si="449"/>
        <v/>
      </c>
      <c r="AP248" s="12" t="str">
        <f t="shared" si="449"/>
        <v/>
      </c>
      <c r="AQ248" s="12" t="str">
        <f t="shared" si="449"/>
        <v/>
      </c>
      <c r="AR248" s="12" t="str">
        <f t="shared" si="449"/>
        <v/>
      </c>
      <c r="AS248" s="12" t="str">
        <f t="shared" si="449"/>
        <v/>
      </c>
      <c r="AT248" s="11"/>
    </row>
    <row r="249" spans="1:46">
      <c r="A249" s="7">
        <f>AVERAGE(C250:AS250)*30*100</f>
        <v>127600</v>
      </c>
      <c r="B249" s="9" t="s">
        <v>14</v>
      </c>
      <c r="C249" s="74"/>
      <c r="D249" s="8"/>
      <c r="E249" s="8"/>
      <c r="F249" s="59"/>
      <c r="G249" s="8"/>
      <c r="H249" s="8"/>
      <c r="I249" s="59"/>
      <c r="J249" s="8"/>
      <c r="K249" s="8"/>
      <c r="L249" s="59"/>
      <c r="M249" s="8"/>
      <c r="N249" s="8"/>
      <c r="O249" s="8"/>
      <c r="P249" s="59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</row>
    <row r="250" spans="1:46">
      <c r="A250" s="7">
        <f>SUM(C250:AS250)</f>
        <v>1276</v>
      </c>
      <c r="B250" s="6" t="s">
        <v>15</v>
      </c>
      <c r="C250" s="74">
        <v>0</v>
      </c>
      <c r="D250" s="5">
        <f t="shared" ref="D250:AL250" si="450">IF(D$3="","",D243-C243)</f>
        <v>0</v>
      </c>
      <c r="E250" s="5">
        <f t="shared" si="450"/>
        <v>237</v>
      </c>
      <c r="F250" s="59">
        <f t="shared" si="450"/>
        <v>0</v>
      </c>
      <c r="G250" s="5">
        <f t="shared" si="450"/>
        <v>0</v>
      </c>
      <c r="H250" s="5">
        <f t="shared" si="450"/>
        <v>72</v>
      </c>
      <c r="I250" s="59">
        <f t="shared" si="450"/>
        <v>0</v>
      </c>
      <c r="J250" s="5">
        <f t="shared" si="450"/>
        <v>0</v>
      </c>
      <c r="K250" s="5">
        <f t="shared" si="450"/>
        <v>250</v>
      </c>
      <c r="L250" s="59">
        <f t="shared" si="450"/>
        <v>0</v>
      </c>
      <c r="M250" s="5">
        <f t="shared" si="450"/>
        <v>0</v>
      </c>
      <c r="N250" s="5">
        <f t="shared" si="450"/>
        <v>0</v>
      </c>
      <c r="O250" s="5">
        <f t="shared" si="450"/>
        <v>77</v>
      </c>
      <c r="P250" s="59">
        <f t="shared" si="450"/>
        <v>0</v>
      </c>
      <c r="Q250" s="5">
        <f t="shared" si="450"/>
        <v>0</v>
      </c>
      <c r="R250" s="5">
        <f t="shared" si="450"/>
        <v>132</v>
      </c>
      <c r="S250" s="5">
        <f t="shared" si="450"/>
        <v>0</v>
      </c>
      <c r="T250" s="5">
        <f t="shared" si="450"/>
        <v>0</v>
      </c>
      <c r="U250" s="5">
        <f t="shared" si="450"/>
        <v>0</v>
      </c>
      <c r="V250" s="5">
        <f t="shared" si="450"/>
        <v>150</v>
      </c>
      <c r="W250" s="5">
        <f t="shared" si="450"/>
        <v>0</v>
      </c>
      <c r="X250" s="5">
        <f t="shared" si="450"/>
        <v>0</v>
      </c>
      <c r="Y250" s="5">
        <f t="shared" si="450"/>
        <v>176</v>
      </c>
      <c r="Z250" s="5">
        <f t="shared" si="450"/>
        <v>0</v>
      </c>
      <c r="AA250" s="5">
        <f t="shared" si="450"/>
        <v>0</v>
      </c>
      <c r="AB250" s="5">
        <f t="shared" si="450"/>
        <v>0</v>
      </c>
      <c r="AC250" s="5">
        <f t="shared" si="450"/>
        <v>63</v>
      </c>
      <c r="AD250" s="5">
        <f t="shared" si="450"/>
        <v>0</v>
      </c>
      <c r="AE250" s="5">
        <f t="shared" si="450"/>
        <v>0</v>
      </c>
      <c r="AF250" s="5">
        <f t="shared" si="450"/>
        <v>119</v>
      </c>
      <c r="AG250" s="5" t="str">
        <f t="shared" si="450"/>
        <v/>
      </c>
      <c r="AH250" s="5" t="str">
        <f t="shared" si="450"/>
        <v/>
      </c>
      <c r="AI250" s="5" t="str">
        <f t="shared" si="450"/>
        <v/>
      </c>
      <c r="AJ250" s="5" t="str">
        <f t="shared" si="450"/>
        <v/>
      </c>
      <c r="AK250" s="5" t="str">
        <f t="shared" si="450"/>
        <v/>
      </c>
      <c r="AL250" s="5" t="str">
        <f t="shared" si="450"/>
        <v/>
      </c>
      <c r="AM250" s="5" t="str">
        <f t="shared" ref="AM250:AS250" si="451">IF(AM$3="","",AM243-AL243)</f>
        <v/>
      </c>
      <c r="AN250" s="5" t="str">
        <f t="shared" si="451"/>
        <v/>
      </c>
      <c r="AO250" s="5" t="str">
        <f t="shared" si="451"/>
        <v/>
      </c>
      <c r="AP250" s="5" t="str">
        <f t="shared" si="451"/>
        <v/>
      </c>
      <c r="AQ250" s="5" t="str">
        <f t="shared" si="451"/>
        <v/>
      </c>
      <c r="AR250" s="5" t="str">
        <f t="shared" si="451"/>
        <v/>
      </c>
      <c r="AS250" s="5" t="str">
        <f t="shared" si="451"/>
        <v/>
      </c>
    </row>
    <row r="251" spans="1:46">
      <c r="A251" s="7">
        <f>SUM(C251:AS251)</f>
        <v>25</v>
      </c>
      <c r="B251" s="6" t="s">
        <v>16</v>
      </c>
      <c r="C251" s="74">
        <v>0</v>
      </c>
      <c r="D251" s="5">
        <f t="shared" ref="D251:AL251" si="452">IF(D$3="","",D244-C244)</f>
        <v>0</v>
      </c>
      <c r="E251" s="5">
        <f t="shared" si="452"/>
        <v>4</v>
      </c>
      <c r="F251" s="59">
        <f t="shared" si="452"/>
        <v>0</v>
      </c>
      <c r="G251" s="5">
        <f t="shared" si="452"/>
        <v>0</v>
      </c>
      <c r="H251" s="5">
        <f t="shared" si="452"/>
        <v>2</v>
      </c>
      <c r="I251" s="59">
        <f t="shared" si="452"/>
        <v>0</v>
      </c>
      <c r="J251" s="5">
        <f t="shared" si="452"/>
        <v>0</v>
      </c>
      <c r="K251" s="5">
        <f t="shared" si="452"/>
        <v>3</v>
      </c>
      <c r="L251" s="59">
        <f t="shared" si="452"/>
        <v>0</v>
      </c>
      <c r="M251" s="5">
        <f t="shared" si="452"/>
        <v>0</v>
      </c>
      <c r="N251" s="5">
        <f t="shared" si="452"/>
        <v>0</v>
      </c>
      <c r="O251" s="5">
        <f t="shared" si="452"/>
        <v>2</v>
      </c>
      <c r="P251" s="59">
        <f t="shared" si="452"/>
        <v>0</v>
      </c>
      <c r="Q251" s="5">
        <f t="shared" si="452"/>
        <v>0</v>
      </c>
      <c r="R251" s="5">
        <f t="shared" si="452"/>
        <v>4</v>
      </c>
      <c r="S251" s="5">
        <f t="shared" si="452"/>
        <v>0</v>
      </c>
      <c r="T251" s="5">
        <f t="shared" si="452"/>
        <v>0</v>
      </c>
      <c r="U251" s="5">
        <f t="shared" si="452"/>
        <v>0</v>
      </c>
      <c r="V251" s="5">
        <f t="shared" si="452"/>
        <v>5</v>
      </c>
      <c r="W251" s="5">
        <f t="shared" si="452"/>
        <v>0</v>
      </c>
      <c r="X251" s="5">
        <f t="shared" si="452"/>
        <v>0</v>
      </c>
      <c r="Y251" s="5">
        <f t="shared" si="452"/>
        <v>2</v>
      </c>
      <c r="Z251" s="5">
        <f t="shared" si="452"/>
        <v>0</v>
      </c>
      <c r="AA251" s="5">
        <f t="shared" si="452"/>
        <v>0</v>
      </c>
      <c r="AB251" s="5">
        <f t="shared" si="452"/>
        <v>0</v>
      </c>
      <c r="AC251" s="5">
        <f t="shared" si="452"/>
        <v>1</v>
      </c>
      <c r="AD251" s="5">
        <f t="shared" si="452"/>
        <v>0</v>
      </c>
      <c r="AE251" s="5">
        <f t="shared" si="452"/>
        <v>0</v>
      </c>
      <c r="AF251" s="5">
        <f t="shared" si="452"/>
        <v>2</v>
      </c>
      <c r="AG251" s="5" t="str">
        <f t="shared" si="452"/>
        <v/>
      </c>
      <c r="AH251" s="5" t="str">
        <f t="shared" si="452"/>
        <v/>
      </c>
      <c r="AI251" s="5" t="str">
        <f t="shared" si="452"/>
        <v/>
      </c>
      <c r="AJ251" s="5" t="str">
        <f t="shared" si="452"/>
        <v/>
      </c>
      <c r="AK251" s="5" t="str">
        <f t="shared" si="452"/>
        <v/>
      </c>
      <c r="AL251" s="5" t="str">
        <f t="shared" si="452"/>
        <v/>
      </c>
      <c r="AM251" s="5" t="str">
        <f t="shared" ref="AM251:AS251" si="453">IF(AM$3="","",AM244-AL244)</f>
        <v/>
      </c>
      <c r="AN251" s="5" t="str">
        <f t="shared" si="453"/>
        <v/>
      </c>
      <c r="AO251" s="5" t="str">
        <f t="shared" si="453"/>
        <v/>
      </c>
      <c r="AP251" s="5" t="str">
        <f t="shared" si="453"/>
        <v/>
      </c>
      <c r="AQ251" s="5" t="str">
        <f t="shared" si="453"/>
        <v/>
      </c>
      <c r="AR251" s="5" t="str">
        <f t="shared" si="453"/>
        <v/>
      </c>
      <c r="AS251" s="5" t="str">
        <f t="shared" si="453"/>
        <v/>
      </c>
    </row>
    <row r="252" spans="1:46">
      <c r="A252" s="7">
        <f>SUM(C252:AS252)</f>
        <v>23</v>
      </c>
      <c r="B252" s="6" t="s">
        <v>17</v>
      </c>
      <c r="C252" s="74">
        <v>0</v>
      </c>
      <c r="D252" s="5">
        <f t="shared" ref="D252:AL252" si="454">IF(D$3="","",C245+C246-D245)</f>
        <v>0</v>
      </c>
      <c r="E252" s="5">
        <f t="shared" si="454"/>
        <v>3</v>
      </c>
      <c r="F252" s="59">
        <f t="shared" si="454"/>
        <v>0</v>
      </c>
      <c r="G252" s="5">
        <f t="shared" si="454"/>
        <v>0</v>
      </c>
      <c r="H252" s="5">
        <f t="shared" si="454"/>
        <v>2</v>
      </c>
      <c r="I252" s="59">
        <f t="shared" si="454"/>
        <v>0</v>
      </c>
      <c r="J252" s="5">
        <f t="shared" si="454"/>
        <v>0</v>
      </c>
      <c r="K252" s="5">
        <f t="shared" si="454"/>
        <v>3</v>
      </c>
      <c r="L252" s="59">
        <f t="shared" si="454"/>
        <v>0</v>
      </c>
      <c r="M252" s="5">
        <f t="shared" si="454"/>
        <v>0</v>
      </c>
      <c r="N252" s="5">
        <f t="shared" si="454"/>
        <v>0</v>
      </c>
      <c r="O252" s="5">
        <f t="shared" si="454"/>
        <v>2</v>
      </c>
      <c r="P252" s="59">
        <f t="shared" si="454"/>
        <v>0</v>
      </c>
      <c r="Q252" s="5">
        <f t="shared" si="454"/>
        <v>0</v>
      </c>
      <c r="R252" s="5">
        <f t="shared" si="454"/>
        <v>4</v>
      </c>
      <c r="S252" s="5">
        <f t="shared" si="454"/>
        <v>0</v>
      </c>
      <c r="T252" s="5">
        <f t="shared" si="454"/>
        <v>0</v>
      </c>
      <c r="U252" s="5">
        <f t="shared" si="454"/>
        <v>0</v>
      </c>
      <c r="V252" s="5">
        <f t="shared" si="454"/>
        <v>5</v>
      </c>
      <c r="W252" s="5">
        <f t="shared" si="454"/>
        <v>0</v>
      </c>
      <c r="X252" s="5">
        <f t="shared" si="454"/>
        <v>0</v>
      </c>
      <c r="Y252" s="5">
        <f t="shared" si="454"/>
        <v>2</v>
      </c>
      <c r="Z252" s="5">
        <f t="shared" si="454"/>
        <v>0</v>
      </c>
      <c r="AA252" s="5">
        <f t="shared" si="454"/>
        <v>0</v>
      </c>
      <c r="AB252" s="5">
        <f t="shared" si="454"/>
        <v>0</v>
      </c>
      <c r="AC252" s="5">
        <f t="shared" si="454"/>
        <v>0</v>
      </c>
      <c r="AD252" s="5">
        <f t="shared" si="454"/>
        <v>0</v>
      </c>
      <c r="AE252" s="5">
        <f t="shared" si="454"/>
        <v>0</v>
      </c>
      <c r="AF252" s="5">
        <f t="shared" si="454"/>
        <v>2</v>
      </c>
      <c r="AG252" s="5" t="str">
        <f t="shared" si="454"/>
        <v/>
      </c>
      <c r="AH252" s="5" t="str">
        <f t="shared" si="454"/>
        <v/>
      </c>
      <c r="AI252" s="5" t="str">
        <f t="shared" si="454"/>
        <v/>
      </c>
      <c r="AJ252" s="5" t="str">
        <f t="shared" si="454"/>
        <v/>
      </c>
      <c r="AK252" s="5" t="str">
        <f t="shared" si="454"/>
        <v/>
      </c>
      <c r="AL252" s="5" t="str">
        <f t="shared" si="454"/>
        <v/>
      </c>
      <c r="AM252" s="5" t="str">
        <f t="shared" ref="AM252:AS252" si="455">IF(AM$3="","",AL245+AL246-AM245)</f>
        <v/>
      </c>
      <c r="AN252" s="5" t="str">
        <f t="shared" si="455"/>
        <v/>
      </c>
      <c r="AO252" s="5" t="str">
        <f t="shared" si="455"/>
        <v/>
      </c>
      <c r="AP252" s="5" t="str">
        <f t="shared" si="455"/>
        <v/>
      </c>
      <c r="AQ252" s="5" t="str">
        <f t="shared" si="455"/>
        <v/>
      </c>
      <c r="AR252" s="5" t="str">
        <f t="shared" si="455"/>
        <v/>
      </c>
      <c r="AS252" s="5" t="str">
        <f t="shared" si="455"/>
        <v/>
      </c>
    </row>
    <row r="253" spans="1:46">
      <c r="A253" s="7">
        <f>SUM(C253:AS253)</f>
        <v>17250</v>
      </c>
      <c r="B253" s="6" t="s">
        <v>18</v>
      </c>
      <c r="C253" s="74">
        <v>0</v>
      </c>
      <c r="D253" s="5">
        <f t="shared" ref="D253:AL253" si="456">IF(D$3="","",D252*D247)</f>
        <v>0</v>
      </c>
      <c r="E253" s="5">
        <f t="shared" si="456"/>
        <v>2250</v>
      </c>
      <c r="F253" s="59">
        <f t="shared" si="456"/>
        <v>0</v>
      </c>
      <c r="G253" s="5">
        <f t="shared" si="456"/>
        <v>0</v>
      </c>
      <c r="H253" s="5">
        <f t="shared" si="456"/>
        <v>1500</v>
      </c>
      <c r="I253" s="59">
        <f t="shared" si="456"/>
        <v>0</v>
      </c>
      <c r="J253" s="5">
        <f t="shared" si="456"/>
        <v>0</v>
      </c>
      <c r="K253" s="5">
        <f t="shared" si="456"/>
        <v>2250</v>
      </c>
      <c r="L253" s="59">
        <f t="shared" si="456"/>
        <v>0</v>
      </c>
      <c r="M253" s="5">
        <f t="shared" si="456"/>
        <v>0</v>
      </c>
      <c r="N253" s="5">
        <f t="shared" si="456"/>
        <v>0</v>
      </c>
      <c r="O253" s="5">
        <f t="shared" si="456"/>
        <v>1500</v>
      </c>
      <c r="P253" s="59">
        <f t="shared" si="456"/>
        <v>0</v>
      </c>
      <c r="Q253" s="5">
        <f t="shared" si="456"/>
        <v>0</v>
      </c>
      <c r="R253" s="5">
        <f t="shared" si="456"/>
        <v>3000</v>
      </c>
      <c r="S253" s="5">
        <f t="shared" si="456"/>
        <v>0</v>
      </c>
      <c r="T253" s="5">
        <f t="shared" si="456"/>
        <v>0</v>
      </c>
      <c r="U253" s="5">
        <f t="shared" si="456"/>
        <v>0</v>
      </c>
      <c r="V253" s="5">
        <f t="shared" si="456"/>
        <v>3750</v>
      </c>
      <c r="W253" s="5">
        <f t="shared" si="456"/>
        <v>0</v>
      </c>
      <c r="X253" s="5">
        <f t="shared" si="456"/>
        <v>0</v>
      </c>
      <c r="Y253" s="5">
        <f t="shared" si="456"/>
        <v>1500</v>
      </c>
      <c r="Z253" s="5">
        <f t="shared" si="456"/>
        <v>0</v>
      </c>
      <c r="AA253" s="5">
        <f t="shared" si="456"/>
        <v>0</v>
      </c>
      <c r="AB253" s="5">
        <f t="shared" si="456"/>
        <v>0</v>
      </c>
      <c r="AC253" s="5">
        <f t="shared" si="456"/>
        <v>0</v>
      </c>
      <c r="AD253" s="5">
        <f t="shared" si="456"/>
        <v>0</v>
      </c>
      <c r="AE253" s="5">
        <f t="shared" si="456"/>
        <v>0</v>
      </c>
      <c r="AF253" s="5">
        <f t="shared" si="456"/>
        <v>1500</v>
      </c>
      <c r="AG253" s="5" t="str">
        <f t="shared" si="456"/>
        <v/>
      </c>
      <c r="AH253" s="5" t="str">
        <f t="shared" si="456"/>
        <v/>
      </c>
      <c r="AI253" s="5" t="str">
        <f t="shared" si="456"/>
        <v/>
      </c>
      <c r="AJ253" s="5" t="str">
        <f t="shared" si="456"/>
        <v/>
      </c>
      <c r="AK253" s="5" t="str">
        <f t="shared" si="456"/>
        <v/>
      </c>
      <c r="AL253" s="5" t="str">
        <f t="shared" si="456"/>
        <v/>
      </c>
      <c r="AM253" s="5" t="str">
        <f t="shared" ref="AM253:AS253" si="457">IF(AM$3="","",AM252*AM247)</f>
        <v/>
      </c>
      <c r="AN253" s="5" t="str">
        <f t="shared" si="457"/>
        <v/>
      </c>
      <c r="AO253" s="5" t="str">
        <f t="shared" si="457"/>
        <v/>
      </c>
      <c r="AP253" s="5" t="str">
        <f t="shared" si="457"/>
        <v/>
      </c>
      <c r="AQ253" s="5" t="str">
        <f t="shared" si="457"/>
        <v/>
      </c>
      <c r="AR253" s="5" t="str">
        <f t="shared" si="457"/>
        <v/>
      </c>
      <c r="AS253" s="5" t="str">
        <f t="shared" si="457"/>
        <v/>
      </c>
    </row>
    <row r="254" spans="1:46" ht="12" thickBot="1">
      <c r="A254" s="4">
        <f>IF(A253="","",A253/(A250*100))</f>
        <v>0.13518808777429467</v>
      </c>
      <c r="B254" s="96" t="s">
        <v>20</v>
      </c>
      <c r="C254" s="109" t="s">
        <v>21</v>
      </c>
      <c r="D254" s="97" t="str">
        <f t="shared" ref="D254:AL254" si="458">IF(D$3="","",IF(D253=0,"",D253/(D250*100)))</f>
        <v/>
      </c>
      <c r="E254" s="97">
        <f t="shared" si="458"/>
        <v>9.49367088607595E-2</v>
      </c>
      <c r="F254" s="133" t="str">
        <f t="shared" si="458"/>
        <v/>
      </c>
      <c r="G254" s="97" t="str">
        <f t="shared" si="458"/>
        <v/>
      </c>
      <c r="H254" s="97">
        <f t="shared" si="458"/>
        <v>0.20833333333333334</v>
      </c>
      <c r="I254" s="133" t="str">
        <f t="shared" si="458"/>
        <v/>
      </c>
      <c r="J254" s="97" t="str">
        <f t="shared" si="458"/>
        <v/>
      </c>
      <c r="K254" s="97">
        <f t="shared" si="458"/>
        <v>0.09</v>
      </c>
      <c r="L254" s="133" t="str">
        <f t="shared" si="458"/>
        <v/>
      </c>
      <c r="M254" s="97" t="str">
        <f t="shared" si="458"/>
        <v/>
      </c>
      <c r="N254" s="97" t="str">
        <f t="shared" si="458"/>
        <v/>
      </c>
      <c r="O254" s="97">
        <f t="shared" si="458"/>
        <v>0.19480519480519481</v>
      </c>
      <c r="P254" s="133" t="str">
        <f t="shared" si="458"/>
        <v/>
      </c>
      <c r="Q254" s="97" t="str">
        <f t="shared" si="458"/>
        <v/>
      </c>
      <c r="R254" s="97">
        <f t="shared" si="458"/>
        <v>0.22727272727272727</v>
      </c>
      <c r="S254" s="97" t="str">
        <f t="shared" si="458"/>
        <v/>
      </c>
      <c r="T254" s="97" t="str">
        <f t="shared" si="458"/>
        <v/>
      </c>
      <c r="U254" s="97" t="str">
        <f t="shared" si="458"/>
        <v/>
      </c>
      <c r="V254" s="97">
        <f t="shared" si="458"/>
        <v>0.25</v>
      </c>
      <c r="W254" s="97" t="str">
        <f t="shared" si="458"/>
        <v/>
      </c>
      <c r="X254" s="97" t="str">
        <f t="shared" si="458"/>
        <v/>
      </c>
      <c r="Y254" s="97">
        <f t="shared" si="458"/>
        <v>8.5227272727272721E-2</v>
      </c>
      <c r="Z254" s="97" t="str">
        <f t="shared" si="458"/>
        <v/>
      </c>
      <c r="AA254" s="97" t="str">
        <f t="shared" si="458"/>
        <v/>
      </c>
      <c r="AB254" s="97" t="str">
        <f t="shared" si="458"/>
        <v/>
      </c>
      <c r="AC254" s="97" t="str">
        <f t="shared" si="458"/>
        <v/>
      </c>
      <c r="AD254" s="97" t="str">
        <f t="shared" si="458"/>
        <v/>
      </c>
      <c r="AE254" s="97" t="str">
        <f t="shared" si="458"/>
        <v/>
      </c>
      <c r="AF254" s="97">
        <f t="shared" si="458"/>
        <v>0.12605042016806722</v>
      </c>
      <c r="AG254" s="97" t="str">
        <f t="shared" si="458"/>
        <v/>
      </c>
      <c r="AH254" s="97" t="str">
        <f t="shared" si="458"/>
        <v/>
      </c>
      <c r="AI254" s="97" t="str">
        <f t="shared" si="458"/>
        <v/>
      </c>
      <c r="AJ254" s="97" t="str">
        <f t="shared" si="458"/>
        <v/>
      </c>
      <c r="AK254" s="97" t="str">
        <f t="shared" si="458"/>
        <v/>
      </c>
      <c r="AL254" s="97" t="str">
        <f t="shared" si="458"/>
        <v/>
      </c>
      <c r="AM254" s="97" t="str">
        <f t="shared" ref="AM254:AS254" si="459">IF(AM$3="","",IF(AM253=0,"",AM253/(AM250*100)))</f>
        <v/>
      </c>
      <c r="AN254" s="97" t="str">
        <f t="shared" si="459"/>
        <v/>
      </c>
      <c r="AO254" s="97" t="str">
        <f t="shared" si="459"/>
        <v/>
      </c>
      <c r="AP254" s="97" t="str">
        <f t="shared" si="459"/>
        <v/>
      </c>
      <c r="AQ254" s="97" t="str">
        <f t="shared" si="459"/>
        <v/>
      </c>
      <c r="AR254" s="97" t="str">
        <f t="shared" si="459"/>
        <v/>
      </c>
      <c r="AS254" s="97" t="str">
        <f t="shared" si="459"/>
        <v/>
      </c>
    </row>
    <row r="255" spans="1:46">
      <c r="A255" s="22" t="s">
        <v>1</v>
      </c>
      <c r="B255" s="21" t="s">
        <v>2</v>
      </c>
      <c r="C255" s="73">
        <v>19815</v>
      </c>
      <c r="D255" s="20">
        <f>IF(D$3="","",C255)</f>
        <v>19815</v>
      </c>
      <c r="E255" s="20">
        <v>20409</v>
      </c>
      <c r="F255" s="130">
        <f>IF(F$3="","",E255)</f>
        <v>20409</v>
      </c>
      <c r="G255" s="20">
        <f>IF(G$3="","",F255)</f>
        <v>20409</v>
      </c>
      <c r="H255" s="20">
        <v>20677</v>
      </c>
      <c r="I255" s="130">
        <f>IF(I$3="","",H255)</f>
        <v>20677</v>
      </c>
      <c r="J255" s="20">
        <f>IF(J$3="","",I255)</f>
        <v>20677</v>
      </c>
      <c r="K255" s="20">
        <v>21199</v>
      </c>
      <c r="L255" s="130">
        <f t="shared" ref="L255:N256" si="460">IF(L$3="","",K255)</f>
        <v>21199</v>
      </c>
      <c r="M255" s="20">
        <f t="shared" si="460"/>
        <v>21199</v>
      </c>
      <c r="N255" s="20">
        <f t="shared" si="460"/>
        <v>21199</v>
      </c>
      <c r="O255" s="20">
        <v>21605</v>
      </c>
      <c r="P255" s="130">
        <f>IF(P$3="","",O255)</f>
        <v>21605</v>
      </c>
      <c r="Q255" s="20">
        <f>IF(Q$3="","",P255)</f>
        <v>21605</v>
      </c>
      <c r="R255" s="20">
        <v>22099</v>
      </c>
      <c r="S255" s="20">
        <f t="shared" ref="S255:AL255" si="461">IF(S$3="","",R255)</f>
        <v>22099</v>
      </c>
      <c r="T255" s="20">
        <f t="shared" si="461"/>
        <v>22099</v>
      </c>
      <c r="U255" s="20">
        <f t="shared" si="461"/>
        <v>22099</v>
      </c>
      <c r="V255" s="20">
        <v>22464</v>
      </c>
      <c r="W255" s="20">
        <f t="shared" si="461"/>
        <v>22464</v>
      </c>
      <c r="X255" s="20">
        <f t="shared" si="461"/>
        <v>22464</v>
      </c>
      <c r="Y255" s="20">
        <v>22892</v>
      </c>
      <c r="Z255" s="20">
        <f t="shared" si="461"/>
        <v>22892</v>
      </c>
      <c r="AA255" s="20">
        <f t="shared" si="461"/>
        <v>22892</v>
      </c>
      <c r="AB255" s="20">
        <f t="shared" si="461"/>
        <v>22892</v>
      </c>
      <c r="AC255" s="20">
        <v>23048</v>
      </c>
      <c r="AD255" s="20">
        <f t="shared" si="461"/>
        <v>23048</v>
      </c>
      <c r="AE255" s="20">
        <f t="shared" si="461"/>
        <v>23048</v>
      </c>
      <c r="AF255" s="20">
        <v>23580</v>
      </c>
      <c r="AG255" s="20" t="str">
        <f t="shared" si="461"/>
        <v/>
      </c>
      <c r="AH255" s="20" t="str">
        <f t="shared" si="461"/>
        <v/>
      </c>
      <c r="AI255" s="20" t="str">
        <f t="shared" si="461"/>
        <v/>
      </c>
      <c r="AJ255" s="20" t="str">
        <f t="shared" si="461"/>
        <v/>
      </c>
      <c r="AK255" s="20" t="str">
        <f t="shared" si="461"/>
        <v/>
      </c>
      <c r="AL255" s="20" t="str">
        <f t="shared" si="461"/>
        <v/>
      </c>
      <c r="AM255" s="20" t="str">
        <f t="shared" ref="AM255:AS255" si="462">IF(AM$3="","",AL255)</f>
        <v/>
      </c>
      <c r="AN255" s="20" t="str">
        <f t="shared" si="462"/>
        <v/>
      </c>
      <c r="AO255" s="20" t="str">
        <f t="shared" si="462"/>
        <v/>
      </c>
      <c r="AP255" s="20" t="str">
        <f t="shared" si="462"/>
        <v/>
      </c>
      <c r="AQ255" s="20" t="str">
        <f t="shared" si="462"/>
        <v/>
      </c>
      <c r="AR255" s="20" t="str">
        <f t="shared" si="462"/>
        <v/>
      </c>
      <c r="AS255" s="20" t="str">
        <f t="shared" si="462"/>
        <v/>
      </c>
    </row>
    <row r="256" spans="1:46">
      <c r="A256" s="16" t="s">
        <v>59</v>
      </c>
      <c r="B256" s="9" t="s">
        <v>4</v>
      </c>
      <c r="C256" s="74">
        <v>371</v>
      </c>
      <c r="D256" s="8">
        <f>IF(D$3="","",C256)</f>
        <v>371</v>
      </c>
      <c r="E256" s="8">
        <v>373</v>
      </c>
      <c r="F256" s="59">
        <f>IF(F$3="","",E256)</f>
        <v>373</v>
      </c>
      <c r="G256" s="8">
        <f>IF(G$3="","",F256)</f>
        <v>373</v>
      </c>
      <c r="H256" s="8">
        <v>374</v>
      </c>
      <c r="I256" s="59">
        <f>IF(I$3="","",H256)</f>
        <v>374</v>
      </c>
      <c r="J256" s="8">
        <f>IF(J$3="","",I256)</f>
        <v>374</v>
      </c>
      <c r="K256" s="8">
        <v>376</v>
      </c>
      <c r="L256" s="59">
        <f t="shared" si="460"/>
        <v>376</v>
      </c>
      <c r="M256" s="8">
        <f t="shared" si="460"/>
        <v>376</v>
      </c>
      <c r="N256" s="8">
        <f t="shared" si="460"/>
        <v>376</v>
      </c>
      <c r="O256" s="8">
        <v>379</v>
      </c>
      <c r="P256" s="59">
        <f>IF(P$3="","",O256)</f>
        <v>379</v>
      </c>
      <c r="Q256" s="8">
        <f>IF(Q$3="","",P256)</f>
        <v>379</v>
      </c>
      <c r="R256" s="8">
        <v>384</v>
      </c>
      <c r="S256" s="8">
        <f t="shared" ref="S256:AL256" si="463">IF(S$3="","",R256)</f>
        <v>384</v>
      </c>
      <c r="T256" s="8">
        <f t="shared" si="463"/>
        <v>384</v>
      </c>
      <c r="U256" s="8">
        <f t="shared" si="463"/>
        <v>384</v>
      </c>
      <c r="V256" s="8">
        <v>385</v>
      </c>
      <c r="W256" s="8">
        <f t="shared" si="463"/>
        <v>385</v>
      </c>
      <c r="X256" s="8">
        <f t="shared" si="463"/>
        <v>385</v>
      </c>
      <c r="Y256" s="8">
        <v>387</v>
      </c>
      <c r="Z256" s="8">
        <f t="shared" si="463"/>
        <v>387</v>
      </c>
      <c r="AA256" s="8">
        <f t="shared" si="463"/>
        <v>387</v>
      </c>
      <c r="AB256" s="8">
        <f t="shared" si="463"/>
        <v>387</v>
      </c>
      <c r="AC256" s="8">
        <v>388</v>
      </c>
      <c r="AD256" s="8">
        <f t="shared" si="463"/>
        <v>388</v>
      </c>
      <c r="AE256" s="8">
        <f t="shared" si="463"/>
        <v>388</v>
      </c>
      <c r="AF256" s="8">
        <v>390</v>
      </c>
      <c r="AG256" s="8" t="str">
        <f t="shared" si="463"/>
        <v/>
      </c>
      <c r="AH256" s="8" t="str">
        <f t="shared" si="463"/>
        <v/>
      </c>
      <c r="AI256" s="8" t="str">
        <f t="shared" si="463"/>
        <v/>
      </c>
      <c r="AJ256" s="8" t="str">
        <f t="shared" si="463"/>
        <v/>
      </c>
      <c r="AK256" s="8" t="str">
        <f t="shared" si="463"/>
        <v/>
      </c>
      <c r="AL256" s="8" t="str">
        <f t="shared" si="463"/>
        <v/>
      </c>
      <c r="AM256" s="8" t="str">
        <f t="shared" ref="AM256:AS256" si="464">IF(AM$3="","",AL256)</f>
        <v/>
      </c>
      <c r="AN256" s="8" t="str">
        <f t="shared" si="464"/>
        <v/>
      </c>
      <c r="AO256" s="8" t="str">
        <f t="shared" si="464"/>
        <v/>
      </c>
      <c r="AP256" s="8" t="str">
        <f t="shared" si="464"/>
        <v/>
      </c>
      <c r="AQ256" s="8" t="str">
        <f t="shared" si="464"/>
        <v/>
      </c>
      <c r="AR256" s="8" t="str">
        <f t="shared" si="464"/>
        <v/>
      </c>
      <c r="AS256" s="8" t="str">
        <f t="shared" si="464"/>
        <v/>
      </c>
    </row>
    <row r="257" spans="1:46">
      <c r="A257" s="15">
        <v>2</v>
      </c>
      <c r="B257" s="9" t="s">
        <v>5</v>
      </c>
      <c r="C257" s="74">
        <v>8</v>
      </c>
      <c r="D257" s="8">
        <f>IF(都城!D$3="","",(C257+C258))</f>
        <v>8</v>
      </c>
      <c r="E257" s="8">
        <v>7</v>
      </c>
      <c r="F257" s="59">
        <f>IF(都城!F$3="","",(E257+E258))</f>
        <v>7</v>
      </c>
      <c r="G257" s="8">
        <f>IF(都城!G$3="","",(F257+F258))</f>
        <v>7</v>
      </c>
      <c r="H257" s="8">
        <v>6</v>
      </c>
      <c r="I257" s="59">
        <f>IF(I$3="","",(H257+H258))</f>
        <v>6</v>
      </c>
      <c r="J257" s="8">
        <f>IF(J$3="","",(I257+I258))</f>
        <v>6</v>
      </c>
      <c r="K257" s="8">
        <v>4</v>
      </c>
      <c r="L257" s="59">
        <f>IF(L$3="","",(K257+K258))</f>
        <v>9</v>
      </c>
      <c r="M257" s="8">
        <f>IF(M$3="","",(L257+L258))</f>
        <v>9</v>
      </c>
      <c r="N257" s="8">
        <f>IF(N$3="","",(M257+M258))</f>
        <v>9</v>
      </c>
      <c r="O257" s="8">
        <v>6</v>
      </c>
      <c r="P257" s="59">
        <f>IF(P$3="","",(O257+O258))</f>
        <v>6</v>
      </c>
      <c r="Q257" s="8">
        <f>IF(Q$3="","",(P257+P258))</f>
        <v>6</v>
      </c>
      <c r="R257" s="8">
        <v>3</v>
      </c>
      <c r="S257" s="8">
        <f t="shared" ref="S257:AK257" si="465">IF(S$3="","",(R257+R258))</f>
        <v>9</v>
      </c>
      <c r="T257" s="8">
        <f t="shared" si="465"/>
        <v>9</v>
      </c>
      <c r="U257" s="8">
        <f t="shared" si="465"/>
        <v>9</v>
      </c>
      <c r="V257" s="8">
        <v>8</v>
      </c>
      <c r="W257" s="8">
        <f t="shared" si="465"/>
        <v>8</v>
      </c>
      <c r="X257" s="8">
        <f t="shared" si="465"/>
        <v>8</v>
      </c>
      <c r="Y257" s="8">
        <v>6</v>
      </c>
      <c r="Z257" s="8">
        <f t="shared" si="465"/>
        <v>10</v>
      </c>
      <c r="AA257" s="8">
        <f t="shared" si="465"/>
        <v>10</v>
      </c>
      <c r="AB257" s="8">
        <f t="shared" si="465"/>
        <v>10</v>
      </c>
      <c r="AC257" s="8">
        <v>9</v>
      </c>
      <c r="AD257" s="8">
        <f t="shared" si="465"/>
        <v>9</v>
      </c>
      <c r="AE257" s="8">
        <f t="shared" si="465"/>
        <v>9</v>
      </c>
      <c r="AF257" s="8">
        <v>6</v>
      </c>
      <c r="AG257" s="8" t="str">
        <f t="shared" si="465"/>
        <v/>
      </c>
      <c r="AH257" s="8" t="str">
        <f t="shared" si="465"/>
        <v/>
      </c>
      <c r="AI257" s="8" t="str">
        <f t="shared" si="465"/>
        <v/>
      </c>
      <c r="AJ257" s="8" t="str">
        <f t="shared" si="465"/>
        <v/>
      </c>
      <c r="AK257" s="8" t="str">
        <f t="shared" si="465"/>
        <v/>
      </c>
      <c r="AL257" s="8" t="str">
        <f>IF(都城!AL$3="","",(AK257+AK258))</f>
        <v/>
      </c>
      <c r="AM257" s="8" t="str">
        <f>IF(都城!AM$3="","",(AL257+AL258))</f>
        <v/>
      </c>
      <c r="AN257" s="8" t="str">
        <f>IF(都城!AN$3="","",(AM257+AM258))</f>
        <v/>
      </c>
      <c r="AO257" s="8" t="str">
        <f>IF(都城!AO$3="","",(AN257+AN258))</f>
        <v/>
      </c>
      <c r="AP257" s="8" t="str">
        <f>IF(都城!AP$3="","",(AO257+AO258))</f>
        <v/>
      </c>
      <c r="AQ257" s="8" t="str">
        <f>IF(都城!AQ$3="","",(AP257+AP258))</f>
        <v/>
      </c>
      <c r="AR257" s="8" t="str">
        <f>IF(都城!AR$3="","",(AQ257+AQ258))</f>
        <v/>
      </c>
      <c r="AS257" s="8" t="str">
        <f>IF(都城!AS$3="","",(AR257+AR258))</f>
        <v/>
      </c>
    </row>
    <row r="258" spans="1:46">
      <c r="A258" s="14"/>
      <c r="B258" s="9" t="s">
        <v>7</v>
      </c>
      <c r="C258" s="74"/>
      <c r="D258" s="8"/>
      <c r="E258" s="8"/>
      <c r="F258" s="59"/>
      <c r="G258" s="8"/>
      <c r="H258" s="8"/>
      <c r="I258" s="59"/>
      <c r="J258" s="8"/>
      <c r="K258" s="8">
        <v>5</v>
      </c>
      <c r="L258" s="59"/>
      <c r="M258" s="8"/>
      <c r="N258" s="8"/>
      <c r="O258" s="8"/>
      <c r="P258" s="59"/>
      <c r="Q258" s="8"/>
      <c r="R258" s="8">
        <v>6</v>
      </c>
      <c r="S258" s="8"/>
      <c r="T258" s="8"/>
      <c r="U258" s="8"/>
      <c r="V258" s="8"/>
      <c r="W258" s="8"/>
      <c r="X258" s="8"/>
      <c r="Y258" s="8">
        <v>4</v>
      </c>
      <c r="Z258" s="8"/>
      <c r="AA258" s="8"/>
      <c r="AB258" s="8"/>
      <c r="AC258" s="8"/>
      <c r="AD258" s="8"/>
      <c r="AE258" s="8"/>
      <c r="AF258" s="8">
        <v>3</v>
      </c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</row>
    <row r="259" spans="1:46">
      <c r="A259" s="7"/>
      <c r="B259" s="9" t="s">
        <v>8</v>
      </c>
      <c r="C259" s="74">
        <v>1500</v>
      </c>
      <c r="D259" s="8">
        <f t="shared" ref="D259:AL259" si="466">IF(D$3="","",C259)</f>
        <v>1500</v>
      </c>
      <c r="E259" s="8">
        <f t="shared" si="466"/>
        <v>1500</v>
      </c>
      <c r="F259" s="59">
        <f t="shared" si="466"/>
        <v>1500</v>
      </c>
      <c r="G259" s="8">
        <f t="shared" si="466"/>
        <v>1500</v>
      </c>
      <c r="H259" s="8">
        <f t="shared" si="466"/>
        <v>1500</v>
      </c>
      <c r="I259" s="59">
        <f t="shared" si="466"/>
        <v>1500</v>
      </c>
      <c r="J259" s="8">
        <f t="shared" si="466"/>
        <v>1500</v>
      </c>
      <c r="K259" s="8">
        <f t="shared" si="466"/>
        <v>1500</v>
      </c>
      <c r="L259" s="59">
        <f t="shared" si="466"/>
        <v>1500</v>
      </c>
      <c r="M259" s="8">
        <f t="shared" si="466"/>
        <v>1500</v>
      </c>
      <c r="N259" s="8">
        <f t="shared" si="466"/>
        <v>1500</v>
      </c>
      <c r="O259" s="8">
        <f t="shared" si="466"/>
        <v>1500</v>
      </c>
      <c r="P259" s="59">
        <f t="shared" si="466"/>
        <v>1500</v>
      </c>
      <c r="Q259" s="8">
        <f t="shared" si="466"/>
        <v>1500</v>
      </c>
      <c r="R259" s="8">
        <f t="shared" si="466"/>
        <v>1500</v>
      </c>
      <c r="S259" s="8">
        <f t="shared" si="466"/>
        <v>1500</v>
      </c>
      <c r="T259" s="8">
        <f t="shared" si="466"/>
        <v>1500</v>
      </c>
      <c r="U259" s="8">
        <f t="shared" si="466"/>
        <v>1500</v>
      </c>
      <c r="V259" s="8">
        <f t="shared" si="466"/>
        <v>1500</v>
      </c>
      <c r="W259" s="8">
        <f t="shared" si="466"/>
        <v>1500</v>
      </c>
      <c r="X259" s="8">
        <f t="shared" si="466"/>
        <v>1500</v>
      </c>
      <c r="Y259" s="8">
        <f t="shared" si="466"/>
        <v>1500</v>
      </c>
      <c r="Z259" s="8">
        <f t="shared" si="466"/>
        <v>1500</v>
      </c>
      <c r="AA259" s="8">
        <f t="shared" si="466"/>
        <v>1500</v>
      </c>
      <c r="AB259" s="8">
        <f t="shared" si="466"/>
        <v>1500</v>
      </c>
      <c r="AC259" s="8">
        <f t="shared" si="466"/>
        <v>1500</v>
      </c>
      <c r="AD259" s="8">
        <f t="shared" si="466"/>
        <v>1500</v>
      </c>
      <c r="AE259" s="8">
        <f t="shared" si="466"/>
        <v>1500</v>
      </c>
      <c r="AF259" s="8">
        <f t="shared" si="466"/>
        <v>1500</v>
      </c>
      <c r="AG259" s="8" t="str">
        <f t="shared" si="466"/>
        <v/>
      </c>
      <c r="AH259" s="8" t="str">
        <f t="shared" si="466"/>
        <v/>
      </c>
      <c r="AI259" s="8" t="str">
        <f t="shared" si="466"/>
        <v/>
      </c>
      <c r="AJ259" s="8" t="str">
        <f t="shared" si="466"/>
        <v/>
      </c>
      <c r="AK259" s="8" t="str">
        <f t="shared" si="466"/>
        <v/>
      </c>
      <c r="AL259" s="8" t="str">
        <f t="shared" si="466"/>
        <v/>
      </c>
      <c r="AM259" s="8" t="str">
        <f t="shared" ref="AM259:AS259" si="467">IF(AM$3="","",AL259)</f>
        <v/>
      </c>
      <c r="AN259" s="8" t="str">
        <f t="shared" si="467"/>
        <v/>
      </c>
      <c r="AO259" s="8" t="str">
        <f t="shared" si="467"/>
        <v/>
      </c>
      <c r="AP259" s="8" t="str">
        <f t="shared" si="467"/>
        <v/>
      </c>
      <c r="AQ259" s="8" t="str">
        <f t="shared" si="467"/>
        <v/>
      </c>
      <c r="AR259" s="8" t="str">
        <f t="shared" si="467"/>
        <v/>
      </c>
      <c r="AS259" s="8" t="str">
        <f t="shared" si="467"/>
        <v/>
      </c>
    </row>
    <row r="260" spans="1:46" s="94" customFormat="1">
      <c r="A260" s="14" t="s">
        <v>9</v>
      </c>
      <c r="B260" s="13" t="s">
        <v>10</v>
      </c>
      <c r="C260" s="75" t="s">
        <v>60</v>
      </c>
      <c r="D260" s="12" t="str">
        <f t="shared" ref="D260:AL260" si="468">IF(D$3="","",C260)</f>
        <v>ボンボンドロップ</v>
      </c>
      <c r="E260" s="12" t="str">
        <f t="shared" si="468"/>
        <v>ボンボンドロップ</v>
      </c>
      <c r="F260" s="131" t="str">
        <f t="shared" si="468"/>
        <v>ボンボンドロップ</v>
      </c>
      <c r="G260" s="12" t="str">
        <f t="shared" si="468"/>
        <v>ボンボンドロップ</v>
      </c>
      <c r="H260" s="12" t="str">
        <f t="shared" si="468"/>
        <v>ボンボンドロップ</v>
      </c>
      <c r="I260" s="131" t="str">
        <f t="shared" si="468"/>
        <v>ボンボンドロップ</v>
      </c>
      <c r="J260" s="12" t="str">
        <f t="shared" si="468"/>
        <v>ボンボンドロップ</v>
      </c>
      <c r="K260" s="12" t="str">
        <f t="shared" si="468"/>
        <v>ボンボンドロップ</v>
      </c>
      <c r="L260" s="131" t="str">
        <f t="shared" si="468"/>
        <v>ボンボンドロップ</v>
      </c>
      <c r="M260" s="12" t="str">
        <f t="shared" si="468"/>
        <v>ボンボンドロップ</v>
      </c>
      <c r="N260" s="12" t="str">
        <f t="shared" si="468"/>
        <v>ボンボンドロップ</v>
      </c>
      <c r="O260" s="12" t="str">
        <f t="shared" si="468"/>
        <v>ボンボンドロップ</v>
      </c>
      <c r="P260" s="131" t="str">
        <f t="shared" si="468"/>
        <v>ボンボンドロップ</v>
      </c>
      <c r="Q260" s="12" t="str">
        <f t="shared" si="468"/>
        <v>ボンボンドロップ</v>
      </c>
      <c r="R260" s="12" t="str">
        <f t="shared" si="468"/>
        <v>ボンボンドロップ</v>
      </c>
      <c r="S260" s="12" t="str">
        <f t="shared" si="468"/>
        <v>ボンボンドロップ</v>
      </c>
      <c r="T260" s="12" t="str">
        <f t="shared" si="468"/>
        <v>ボンボンドロップ</v>
      </c>
      <c r="U260" s="12" t="str">
        <f t="shared" si="468"/>
        <v>ボンボンドロップ</v>
      </c>
      <c r="V260" s="12" t="str">
        <f t="shared" si="468"/>
        <v>ボンボンドロップ</v>
      </c>
      <c r="W260" s="12" t="str">
        <f t="shared" si="468"/>
        <v>ボンボンドロップ</v>
      </c>
      <c r="X260" s="12" t="str">
        <f t="shared" si="468"/>
        <v>ボンボンドロップ</v>
      </c>
      <c r="Y260" s="12" t="str">
        <f t="shared" si="468"/>
        <v>ボンボンドロップ</v>
      </c>
      <c r="Z260" s="12" t="str">
        <f t="shared" si="468"/>
        <v>ボンボンドロップ</v>
      </c>
      <c r="AA260" s="12" t="str">
        <f t="shared" si="468"/>
        <v>ボンボンドロップ</v>
      </c>
      <c r="AB260" s="12" t="str">
        <f t="shared" si="468"/>
        <v>ボンボンドロップ</v>
      </c>
      <c r="AC260" s="12" t="str">
        <f t="shared" si="468"/>
        <v>ボンボンドロップ</v>
      </c>
      <c r="AD260" s="12" t="str">
        <f t="shared" si="468"/>
        <v>ボンボンドロップ</v>
      </c>
      <c r="AE260" s="12" t="str">
        <f t="shared" si="468"/>
        <v>ボンボンドロップ</v>
      </c>
      <c r="AF260" s="12" t="str">
        <f t="shared" si="468"/>
        <v>ボンボンドロップ</v>
      </c>
      <c r="AG260" s="12" t="str">
        <f t="shared" si="468"/>
        <v/>
      </c>
      <c r="AH260" s="12" t="str">
        <f t="shared" si="468"/>
        <v/>
      </c>
      <c r="AI260" s="12" t="str">
        <f t="shared" si="468"/>
        <v/>
      </c>
      <c r="AJ260" s="12" t="str">
        <f t="shared" si="468"/>
        <v/>
      </c>
      <c r="AK260" s="12" t="str">
        <f t="shared" si="468"/>
        <v/>
      </c>
      <c r="AL260" s="12" t="str">
        <f t="shared" si="468"/>
        <v/>
      </c>
      <c r="AM260" s="12" t="str">
        <f t="shared" ref="AM260:AS260" si="469">IF(AM$3="","",AL260)</f>
        <v/>
      </c>
      <c r="AN260" s="12" t="str">
        <f t="shared" si="469"/>
        <v/>
      </c>
      <c r="AO260" s="12" t="str">
        <f t="shared" si="469"/>
        <v/>
      </c>
      <c r="AP260" s="12" t="str">
        <f t="shared" si="469"/>
        <v/>
      </c>
      <c r="AQ260" s="12" t="str">
        <f t="shared" si="469"/>
        <v/>
      </c>
      <c r="AR260" s="12" t="str">
        <f t="shared" si="469"/>
        <v/>
      </c>
      <c r="AS260" s="12" t="str">
        <f t="shared" si="469"/>
        <v/>
      </c>
      <c r="AT260" s="11"/>
    </row>
    <row r="261" spans="1:46">
      <c r="A261" s="7">
        <f>AVERAGE(C262:AS262)*30*100</f>
        <v>376500</v>
      </c>
      <c r="B261" s="9" t="s">
        <v>14</v>
      </c>
      <c r="C261" s="74"/>
      <c r="D261" s="8"/>
      <c r="E261" s="8"/>
      <c r="F261" s="59"/>
      <c r="G261" s="8"/>
      <c r="H261" s="8"/>
      <c r="I261" s="59"/>
      <c r="J261" s="8"/>
      <c r="K261" s="8"/>
      <c r="L261" s="59"/>
      <c r="M261" s="8"/>
      <c r="N261" s="8"/>
      <c r="O261" s="8"/>
      <c r="P261" s="59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</row>
    <row r="262" spans="1:46">
      <c r="A262" s="7">
        <f>SUM(C262:AS262)</f>
        <v>3765</v>
      </c>
      <c r="B262" s="6" t="s">
        <v>15</v>
      </c>
      <c r="C262" s="74">
        <v>0</v>
      </c>
      <c r="D262" s="5">
        <f t="shared" ref="D262:AL262" si="470">IF(D$3="","",D255-C255)</f>
        <v>0</v>
      </c>
      <c r="E262" s="5">
        <f t="shared" si="470"/>
        <v>594</v>
      </c>
      <c r="F262" s="59">
        <f t="shared" si="470"/>
        <v>0</v>
      </c>
      <c r="G262" s="5">
        <f t="shared" si="470"/>
        <v>0</v>
      </c>
      <c r="H262" s="5">
        <f t="shared" si="470"/>
        <v>268</v>
      </c>
      <c r="I262" s="59">
        <f t="shared" si="470"/>
        <v>0</v>
      </c>
      <c r="J262" s="5">
        <f t="shared" si="470"/>
        <v>0</v>
      </c>
      <c r="K262" s="5">
        <f t="shared" si="470"/>
        <v>522</v>
      </c>
      <c r="L262" s="59">
        <f t="shared" si="470"/>
        <v>0</v>
      </c>
      <c r="M262" s="5">
        <f t="shared" si="470"/>
        <v>0</v>
      </c>
      <c r="N262" s="5">
        <f t="shared" si="470"/>
        <v>0</v>
      </c>
      <c r="O262" s="5">
        <f t="shared" si="470"/>
        <v>406</v>
      </c>
      <c r="P262" s="59">
        <f t="shared" si="470"/>
        <v>0</v>
      </c>
      <c r="Q262" s="5">
        <f t="shared" si="470"/>
        <v>0</v>
      </c>
      <c r="R262" s="5">
        <f t="shared" si="470"/>
        <v>494</v>
      </c>
      <c r="S262" s="5">
        <f t="shared" si="470"/>
        <v>0</v>
      </c>
      <c r="T262" s="5">
        <f t="shared" si="470"/>
        <v>0</v>
      </c>
      <c r="U262" s="5">
        <f t="shared" si="470"/>
        <v>0</v>
      </c>
      <c r="V262" s="5">
        <f t="shared" si="470"/>
        <v>365</v>
      </c>
      <c r="W262" s="5">
        <f t="shared" si="470"/>
        <v>0</v>
      </c>
      <c r="X262" s="5">
        <f t="shared" si="470"/>
        <v>0</v>
      </c>
      <c r="Y262" s="5">
        <f t="shared" si="470"/>
        <v>428</v>
      </c>
      <c r="Z262" s="5">
        <f t="shared" si="470"/>
        <v>0</v>
      </c>
      <c r="AA262" s="5">
        <f t="shared" si="470"/>
        <v>0</v>
      </c>
      <c r="AB262" s="5">
        <f t="shared" si="470"/>
        <v>0</v>
      </c>
      <c r="AC262" s="5">
        <f t="shared" si="470"/>
        <v>156</v>
      </c>
      <c r="AD262" s="5">
        <f t="shared" si="470"/>
        <v>0</v>
      </c>
      <c r="AE262" s="5">
        <f t="shared" si="470"/>
        <v>0</v>
      </c>
      <c r="AF262" s="5">
        <f t="shared" si="470"/>
        <v>532</v>
      </c>
      <c r="AG262" s="5" t="str">
        <f t="shared" si="470"/>
        <v/>
      </c>
      <c r="AH262" s="5" t="str">
        <f t="shared" si="470"/>
        <v/>
      </c>
      <c r="AI262" s="5" t="str">
        <f t="shared" si="470"/>
        <v/>
      </c>
      <c r="AJ262" s="5" t="str">
        <f t="shared" si="470"/>
        <v/>
      </c>
      <c r="AK262" s="5" t="str">
        <f t="shared" si="470"/>
        <v/>
      </c>
      <c r="AL262" s="5" t="str">
        <f t="shared" si="470"/>
        <v/>
      </c>
      <c r="AM262" s="5" t="str">
        <f t="shared" ref="AM262:AS262" si="471">IF(AM$3="","",AM255-AL255)</f>
        <v/>
      </c>
      <c r="AN262" s="5" t="str">
        <f t="shared" si="471"/>
        <v/>
      </c>
      <c r="AO262" s="5" t="str">
        <f t="shared" si="471"/>
        <v/>
      </c>
      <c r="AP262" s="5" t="str">
        <f t="shared" si="471"/>
        <v/>
      </c>
      <c r="AQ262" s="5" t="str">
        <f t="shared" si="471"/>
        <v/>
      </c>
      <c r="AR262" s="5" t="str">
        <f t="shared" si="471"/>
        <v/>
      </c>
      <c r="AS262" s="5" t="str">
        <f t="shared" si="471"/>
        <v/>
      </c>
    </row>
    <row r="263" spans="1:46">
      <c r="A263" s="7">
        <f>SUM(C263:AS263)</f>
        <v>19</v>
      </c>
      <c r="B263" s="6" t="s">
        <v>16</v>
      </c>
      <c r="C263" s="74">
        <v>0</v>
      </c>
      <c r="D263" s="5">
        <f t="shared" ref="D263:AL263" si="472">IF(D$3="","",D256-C256)</f>
        <v>0</v>
      </c>
      <c r="E263" s="5">
        <f t="shared" si="472"/>
        <v>2</v>
      </c>
      <c r="F263" s="59">
        <f t="shared" si="472"/>
        <v>0</v>
      </c>
      <c r="G263" s="5">
        <f t="shared" si="472"/>
        <v>0</v>
      </c>
      <c r="H263" s="5">
        <f t="shared" si="472"/>
        <v>1</v>
      </c>
      <c r="I263" s="59">
        <f t="shared" si="472"/>
        <v>0</v>
      </c>
      <c r="J263" s="5">
        <f t="shared" si="472"/>
        <v>0</v>
      </c>
      <c r="K263" s="5">
        <f t="shared" si="472"/>
        <v>2</v>
      </c>
      <c r="L263" s="59">
        <f t="shared" si="472"/>
        <v>0</v>
      </c>
      <c r="M263" s="5">
        <f t="shared" si="472"/>
        <v>0</v>
      </c>
      <c r="N263" s="5">
        <f t="shared" si="472"/>
        <v>0</v>
      </c>
      <c r="O263" s="5">
        <f t="shared" si="472"/>
        <v>3</v>
      </c>
      <c r="P263" s="59">
        <f t="shared" si="472"/>
        <v>0</v>
      </c>
      <c r="Q263" s="5">
        <f t="shared" si="472"/>
        <v>0</v>
      </c>
      <c r="R263" s="5">
        <f t="shared" si="472"/>
        <v>5</v>
      </c>
      <c r="S263" s="5">
        <f t="shared" si="472"/>
        <v>0</v>
      </c>
      <c r="T263" s="5">
        <f t="shared" si="472"/>
        <v>0</v>
      </c>
      <c r="U263" s="5">
        <f t="shared" si="472"/>
        <v>0</v>
      </c>
      <c r="V263" s="5">
        <f t="shared" si="472"/>
        <v>1</v>
      </c>
      <c r="W263" s="5">
        <f t="shared" si="472"/>
        <v>0</v>
      </c>
      <c r="X263" s="5">
        <f t="shared" si="472"/>
        <v>0</v>
      </c>
      <c r="Y263" s="5">
        <f t="shared" si="472"/>
        <v>2</v>
      </c>
      <c r="Z263" s="5">
        <f t="shared" si="472"/>
        <v>0</v>
      </c>
      <c r="AA263" s="5">
        <f t="shared" si="472"/>
        <v>0</v>
      </c>
      <c r="AB263" s="5">
        <f t="shared" si="472"/>
        <v>0</v>
      </c>
      <c r="AC263" s="5">
        <f t="shared" si="472"/>
        <v>1</v>
      </c>
      <c r="AD263" s="5">
        <f t="shared" si="472"/>
        <v>0</v>
      </c>
      <c r="AE263" s="5">
        <f t="shared" si="472"/>
        <v>0</v>
      </c>
      <c r="AF263" s="5">
        <f t="shared" si="472"/>
        <v>2</v>
      </c>
      <c r="AG263" s="5" t="str">
        <f t="shared" si="472"/>
        <v/>
      </c>
      <c r="AH263" s="5" t="str">
        <f t="shared" si="472"/>
        <v/>
      </c>
      <c r="AI263" s="5" t="str">
        <f t="shared" si="472"/>
        <v/>
      </c>
      <c r="AJ263" s="5" t="str">
        <f t="shared" si="472"/>
        <v/>
      </c>
      <c r="AK263" s="5" t="str">
        <f t="shared" si="472"/>
        <v/>
      </c>
      <c r="AL263" s="5" t="str">
        <f t="shared" si="472"/>
        <v/>
      </c>
      <c r="AM263" s="5" t="str">
        <f t="shared" ref="AM263:AS263" si="473">IF(AM$3="","",AM256-AL256)</f>
        <v/>
      </c>
      <c r="AN263" s="5" t="str">
        <f t="shared" si="473"/>
        <v/>
      </c>
      <c r="AO263" s="5" t="str">
        <f t="shared" si="473"/>
        <v/>
      </c>
      <c r="AP263" s="5" t="str">
        <f t="shared" si="473"/>
        <v/>
      </c>
      <c r="AQ263" s="5" t="str">
        <f t="shared" si="473"/>
        <v/>
      </c>
      <c r="AR263" s="5" t="str">
        <f t="shared" si="473"/>
        <v/>
      </c>
      <c r="AS263" s="5" t="str">
        <f t="shared" si="473"/>
        <v/>
      </c>
    </row>
    <row r="264" spans="1:46">
      <c r="A264" s="7">
        <f>SUM(C264:AS264)</f>
        <v>17</v>
      </c>
      <c r="B264" s="6" t="s">
        <v>17</v>
      </c>
      <c r="C264" s="74">
        <v>0</v>
      </c>
      <c r="D264" s="5">
        <f t="shared" ref="D264:AL264" si="474">IF(D$3="","",C257+C258-D257)</f>
        <v>0</v>
      </c>
      <c r="E264" s="5">
        <f t="shared" si="474"/>
        <v>1</v>
      </c>
      <c r="F264" s="59">
        <f t="shared" si="474"/>
        <v>0</v>
      </c>
      <c r="G264" s="5">
        <f t="shared" si="474"/>
        <v>0</v>
      </c>
      <c r="H264" s="5">
        <f t="shared" si="474"/>
        <v>1</v>
      </c>
      <c r="I264" s="59">
        <f t="shared" si="474"/>
        <v>0</v>
      </c>
      <c r="J264" s="5">
        <f t="shared" si="474"/>
        <v>0</v>
      </c>
      <c r="K264" s="5">
        <f t="shared" si="474"/>
        <v>2</v>
      </c>
      <c r="L264" s="59">
        <f t="shared" si="474"/>
        <v>0</v>
      </c>
      <c r="M264" s="5">
        <f t="shared" si="474"/>
        <v>0</v>
      </c>
      <c r="N264" s="5">
        <f t="shared" si="474"/>
        <v>0</v>
      </c>
      <c r="O264" s="5">
        <f t="shared" si="474"/>
        <v>3</v>
      </c>
      <c r="P264" s="59">
        <f t="shared" si="474"/>
        <v>0</v>
      </c>
      <c r="Q264" s="5">
        <f t="shared" si="474"/>
        <v>0</v>
      </c>
      <c r="R264" s="5">
        <f t="shared" si="474"/>
        <v>3</v>
      </c>
      <c r="S264" s="5">
        <f t="shared" si="474"/>
        <v>0</v>
      </c>
      <c r="T264" s="5">
        <f t="shared" si="474"/>
        <v>0</v>
      </c>
      <c r="U264" s="5">
        <f t="shared" si="474"/>
        <v>0</v>
      </c>
      <c r="V264" s="5">
        <f t="shared" si="474"/>
        <v>1</v>
      </c>
      <c r="W264" s="5">
        <f t="shared" si="474"/>
        <v>0</v>
      </c>
      <c r="X264" s="5">
        <f t="shared" si="474"/>
        <v>0</v>
      </c>
      <c r="Y264" s="5">
        <f t="shared" si="474"/>
        <v>2</v>
      </c>
      <c r="Z264" s="5">
        <f t="shared" si="474"/>
        <v>0</v>
      </c>
      <c r="AA264" s="5">
        <f t="shared" si="474"/>
        <v>0</v>
      </c>
      <c r="AB264" s="5">
        <f t="shared" si="474"/>
        <v>0</v>
      </c>
      <c r="AC264" s="5">
        <f t="shared" si="474"/>
        <v>1</v>
      </c>
      <c r="AD264" s="5">
        <f t="shared" si="474"/>
        <v>0</v>
      </c>
      <c r="AE264" s="5">
        <f t="shared" si="474"/>
        <v>0</v>
      </c>
      <c r="AF264" s="5">
        <f t="shared" si="474"/>
        <v>3</v>
      </c>
      <c r="AG264" s="5" t="str">
        <f t="shared" si="474"/>
        <v/>
      </c>
      <c r="AH264" s="5" t="str">
        <f t="shared" si="474"/>
        <v/>
      </c>
      <c r="AI264" s="5" t="str">
        <f t="shared" si="474"/>
        <v/>
      </c>
      <c r="AJ264" s="5" t="str">
        <f t="shared" si="474"/>
        <v/>
      </c>
      <c r="AK264" s="5" t="str">
        <f t="shared" si="474"/>
        <v/>
      </c>
      <c r="AL264" s="5" t="str">
        <f t="shared" si="474"/>
        <v/>
      </c>
      <c r="AM264" s="5" t="str">
        <f t="shared" ref="AM264:AS264" si="475">IF(AM$3="","",AL257+AL258-AM257)</f>
        <v/>
      </c>
      <c r="AN264" s="5" t="str">
        <f t="shared" si="475"/>
        <v/>
      </c>
      <c r="AO264" s="5" t="str">
        <f t="shared" si="475"/>
        <v/>
      </c>
      <c r="AP264" s="5" t="str">
        <f t="shared" si="475"/>
        <v/>
      </c>
      <c r="AQ264" s="5" t="str">
        <f t="shared" si="475"/>
        <v/>
      </c>
      <c r="AR264" s="5" t="str">
        <f t="shared" si="475"/>
        <v/>
      </c>
      <c r="AS264" s="5" t="str">
        <f t="shared" si="475"/>
        <v/>
      </c>
    </row>
    <row r="265" spans="1:46">
      <c r="A265" s="7">
        <f>SUM(C265:AS265)</f>
        <v>25500</v>
      </c>
      <c r="B265" s="6" t="s">
        <v>18</v>
      </c>
      <c r="C265" s="74">
        <v>0</v>
      </c>
      <c r="D265" s="5">
        <f t="shared" ref="D265:AL265" si="476">IF(D$3="","",D264*D259)</f>
        <v>0</v>
      </c>
      <c r="E265" s="5">
        <f t="shared" si="476"/>
        <v>1500</v>
      </c>
      <c r="F265" s="59">
        <f t="shared" si="476"/>
        <v>0</v>
      </c>
      <c r="G265" s="5">
        <f t="shared" si="476"/>
        <v>0</v>
      </c>
      <c r="H265" s="5">
        <f t="shared" si="476"/>
        <v>1500</v>
      </c>
      <c r="I265" s="59">
        <f t="shared" si="476"/>
        <v>0</v>
      </c>
      <c r="J265" s="5">
        <f t="shared" si="476"/>
        <v>0</v>
      </c>
      <c r="K265" s="5">
        <f t="shared" si="476"/>
        <v>3000</v>
      </c>
      <c r="L265" s="59">
        <f t="shared" si="476"/>
        <v>0</v>
      </c>
      <c r="M265" s="5">
        <f t="shared" si="476"/>
        <v>0</v>
      </c>
      <c r="N265" s="5">
        <f t="shared" si="476"/>
        <v>0</v>
      </c>
      <c r="O265" s="5">
        <f t="shared" si="476"/>
        <v>4500</v>
      </c>
      <c r="P265" s="59">
        <f t="shared" si="476"/>
        <v>0</v>
      </c>
      <c r="Q265" s="5">
        <f t="shared" si="476"/>
        <v>0</v>
      </c>
      <c r="R265" s="5">
        <f t="shared" si="476"/>
        <v>4500</v>
      </c>
      <c r="S265" s="5">
        <f t="shared" si="476"/>
        <v>0</v>
      </c>
      <c r="T265" s="5">
        <f t="shared" si="476"/>
        <v>0</v>
      </c>
      <c r="U265" s="5">
        <f t="shared" si="476"/>
        <v>0</v>
      </c>
      <c r="V265" s="5">
        <f t="shared" si="476"/>
        <v>1500</v>
      </c>
      <c r="W265" s="5">
        <f t="shared" si="476"/>
        <v>0</v>
      </c>
      <c r="X265" s="5">
        <f t="shared" si="476"/>
        <v>0</v>
      </c>
      <c r="Y265" s="5">
        <f t="shared" si="476"/>
        <v>3000</v>
      </c>
      <c r="Z265" s="5">
        <f t="shared" si="476"/>
        <v>0</v>
      </c>
      <c r="AA265" s="5">
        <f t="shared" si="476"/>
        <v>0</v>
      </c>
      <c r="AB265" s="5">
        <f t="shared" si="476"/>
        <v>0</v>
      </c>
      <c r="AC265" s="5">
        <f t="shared" si="476"/>
        <v>1500</v>
      </c>
      <c r="AD265" s="5">
        <f t="shared" si="476"/>
        <v>0</v>
      </c>
      <c r="AE265" s="5">
        <f t="shared" si="476"/>
        <v>0</v>
      </c>
      <c r="AF265" s="5">
        <f t="shared" si="476"/>
        <v>4500</v>
      </c>
      <c r="AG265" s="5" t="str">
        <f t="shared" si="476"/>
        <v/>
      </c>
      <c r="AH265" s="5" t="str">
        <f t="shared" si="476"/>
        <v/>
      </c>
      <c r="AI265" s="5" t="str">
        <f t="shared" si="476"/>
        <v/>
      </c>
      <c r="AJ265" s="5" t="str">
        <f t="shared" si="476"/>
        <v/>
      </c>
      <c r="AK265" s="5" t="str">
        <f t="shared" si="476"/>
        <v/>
      </c>
      <c r="AL265" s="5" t="str">
        <f t="shared" si="476"/>
        <v/>
      </c>
      <c r="AM265" s="5" t="str">
        <f t="shared" ref="AM265:AS265" si="477">IF(AM$3="","",AM264*AM259)</f>
        <v/>
      </c>
      <c r="AN265" s="5" t="str">
        <f t="shared" si="477"/>
        <v/>
      </c>
      <c r="AO265" s="5" t="str">
        <f t="shared" si="477"/>
        <v/>
      </c>
      <c r="AP265" s="5" t="str">
        <f t="shared" si="477"/>
        <v/>
      </c>
      <c r="AQ265" s="5" t="str">
        <f t="shared" si="477"/>
        <v/>
      </c>
      <c r="AR265" s="5" t="str">
        <f t="shared" si="477"/>
        <v/>
      </c>
      <c r="AS265" s="5" t="str">
        <f t="shared" si="477"/>
        <v/>
      </c>
    </row>
    <row r="266" spans="1:46" ht="12" thickBot="1">
      <c r="A266" s="4">
        <f>IF(A265="","",A265/(A262*100))</f>
        <v>6.7729083665338641E-2</v>
      </c>
      <c r="B266" s="3" t="s">
        <v>20</v>
      </c>
      <c r="C266" s="77" t="s">
        <v>21</v>
      </c>
      <c r="D266" s="2" t="str">
        <f t="shared" ref="D266:AL266" si="478">IF(D$3="","",IF(D265=0,"",D265/(D262*100)))</f>
        <v/>
      </c>
      <c r="E266" s="2">
        <f t="shared" si="478"/>
        <v>2.5252525252525252E-2</v>
      </c>
      <c r="F266" s="57" t="str">
        <f t="shared" si="478"/>
        <v/>
      </c>
      <c r="G266" s="2" t="str">
        <f t="shared" si="478"/>
        <v/>
      </c>
      <c r="H266" s="2">
        <f t="shared" si="478"/>
        <v>5.5970149253731345E-2</v>
      </c>
      <c r="I266" s="57" t="str">
        <f t="shared" si="478"/>
        <v/>
      </c>
      <c r="J266" s="2" t="str">
        <f t="shared" si="478"/>
        <v/>
      </c>
      <c r="K266" s="2">
        <f t="shared" si="478"/>
        <v>5.7471264367816091E-2</v>
      </c>
      <c r="L266" s="57" t="str">
        <f t="shared" si="478"/>
        <v/>
      </c>
      <c r="M266" s="2" t="str">
        <f t="shared" si="478"/>
        <v/>
      </c>
      <c r="N266" s="2" t="str">
        <f t="shared" si="478"/>
        <v/>
      </c>
      <c r="O266" s="2">
        <f t="shared" si="478"/>
        <v>0.11083743842364532</v>
      </c>
      <c r="P266" s="57" t="str">
        <f t="shared" si="478"/>
        <v/>
      </c>
      <c r="Q266" s="2" t="str">
        <f t="shared" si="478"/>
        <v/>
      </c>
      <c r="R266" s="2">
        <f t="shared" si="478"/>
        <v>9.1093117408906882E-2</v>
      </c>
      <c r="S266" s="2" t="str">
        <f t="shared" si="478"/>
        <v/>
      </c>
      <c r="T266" s="2" t="str">
        <f t="shared" si="478"/>
        <v/>
      </c>
      <c r="U266" s="2" t="str">
        <f t="shared" si="478"/>
        <v/>
      </c>
      <c r="V266" s="2">
        <f t="shared" si="478"/>
        <v>4.1095890410958902E-2</v>
      </c>
      <c r="W266" s="2" t="str">
        <f t="shared" si="478"/>
        <v/>
      </c>
      <c r="X266" s="2" t="str">
        <f t="shared" si="478"/>
        <v/>
      </c>
      <c r="Y266" s="2">
        <f t="shared" si="478"/>
        <v>7.0093457943925228E-2</v>
      </c>
      <c r="Z266" s="2" t="str">
        <f t="shared" si="478"/>
        <v/>
      </c>
      <c r="AA266" s="2" t="str">
        <f t="shared" si="478"/>
        <v/>
      </c>
      <c r="AB266" s="2" t="str">
        <f t="shared" si="478"/>
        <v/>
      </c>
      <c r="AC266" s="2">
        <f t="shared" si="478"/>
        <v>9.6153846153846159E-2</v>
      </c>
      <c r="AD266" s="2" t="str">
        <f t="shared" si="478"/>
        <v/>
      </c>
      <c r="AE266" s="2" t="str">
        <f t="shared" si="478"/>
        <v/>
      </c>
      <c r="AF266" s="2">
        <f t="shared" si="478"/>
        <v>8.4586466165413529E-2</v>
      </c>
      <c r="AG266" s="2" t="str">
        <f t="shared" si="478"/>
        <v/>
      </c>
      <c r="AH266" s="2" t="str">
        <f t="shared" si="478"/>
        <v/>
      </c>
      <c r="AI266" s="2" t="str">
        <f t="shared" si="478"/>
        <v/>
      </c>
      <c r="AJ266" s="2" t="str">
        <f t="shared" si="478"/>
        <v/>
      </c>
      <c r="AK266" s="2" t="str">
        <f t="shared" si="478"/>
        <v/>
      </c>
      <c r="AL266" s="2" t="str">
        <f t="shared" si="478"/>
        <v/>
      </c>
      <c r="AM266" s="2" t="str">
        <f t="shared" ref="AM266:AS266" si="479">IF(AM$3="","",IF(AM265=0,"",AM265/(AM262*100)))</f>
        <v/>
      </c>
      <c r="AN266" s="2" t="str">
        <f t="shared" si="479"/>
        <v/>
      </c>
      <c r="AO266" s="2" t="str">
        <f t="shared" si="479"/>
        <v/>
      </c>
      <c r="AP266" s="2" t="str">
        <f t="shared" si="479"/>
        <v/>
      </c>
      <c r="AQ266" s="2" t="str">
        <f t="shared" si="479"/>
        <v/>
      </c>
      <c r="AR266" s="2" t="str">
        <f t="shared" si="479"/>
        <v/>
      </c>
      <c r="AS266" s="2" t="str">
        <f t="shared" si="479"/>
        <v/>
      </c>
    </row>
    <row r="267" spans="1:46" customFormat="1" ht="15">
      <c r="A267" s="435" t="s">
        <v>429</v>
      </c>
      <c r="C267">
        <v>1</v>
      </c>
      <c r="AJ267">
        <v>1</v>
      </c>
    </row>
  </sheetData>
  <phoneticPr fontId="2"/>
  <conditionalFormatting sqref="A14">
    <cfRule type="cellIs" dxfId="148" priority="33" operator="greaterThan">
      <formula>0.25</formula>
    </cfRule>
  </conditionalFormatting>
  <conditionalFormatting sqref="A26">
    <cfRule type="cellIs" dxfId="147" priority="80" operator="greaterThan">
      <formula>0.25</formula>
    </cfRule>
  </conditionalFormatting>
  <conditionalFormatting sqref="A38">
    <cfRule type="cellIs" dxfId="146" priority="81" operator="greaterThan">
      <formula>0.25</formula>
    </cfRule>
  </conditionalFormatting>
  <conditionalFormatting sqref="A50">
    <cfRule type="cellIs" dxfId="145" priority="82" operator="greaterThan">
      <formula>0.25</formula>
    </cfRule>
  </conditionalFormatting>
  <conditionalFormatting sqref="A62">
    <cfRule type="cellIs" dxfId="144" priority="34" operator="greaterThan">
      <formula>0.25</formula>
    </cfRule>
  </conditionalFormatting>
  <conditionalFormatting sqref="A74">
    <cfRule type="cellIs" dxfId="143" priority="84" operator="greaterThan">
      <formula>0.25</formula>
    </cfRule>
  </conditionalFormatting>
  <conditionalFormatting sqref="A86">
    <cfRule type="cellIs" dxfId="142" priority="22" operator="greaterThan">
      <formula>0.25</formula>
    </cfRule>
  </conditionalFormatting>
  <conditionalFormatting sqref="A98">
    <cfRule type="cellIs" dxfId="141" priority="85" operator="greaterThan">
      <formula>0.25</formula>
    </cfRule>
  </conditionalFormatting>
  <conditionalFormatting sqref="A110">
    <cfRule type="cellIs" dxfId="140" priority="35" operator="greaterThan">
      <formula>0.25</formula>
    </cfRule>
  </conditionalFormatting>
  <conditionalFormatting sqref="A122">
    <cfRule type="cellIs" dxfId="139" priority="87" operator="greaterThan">
      <formula>0.25</formula>
    </cfRule>
  </conditionalFormatting>
  <conditionalFormatting sqref="A134">
    <cfRule type="cellIs" dxfId="138" priority="88" operator="greaterThan">
      <formula>0.25</formula>
    </cfRule>
  </conditionalFormatting>
  <conditionalFormatting sqref="A146">
    <cfRule type="cellIs" dxfId="137" priority="89" operator="greaterThan">
      <formula>0.25</formula>
    </cfRule>
  </conditionalFormatting>
  <conditionalFormatting sqref="A158">
    <cfRule type="cellIs" dxfId="136" priority="36" operator="greaterThan">
      <formula>0.25</formula>
    </cfRule>
  </conditionalFormatting>
  <conditionalFormatting sqref="A170">
    <cfRule type="cellIs" dxfId="135" priority="90" operator="greaterThan">
      <formula>0.25</formula>
    </cfRule>
  </conditionalFormatting>
  <conditionalFormatting sqref="A182">
    <cfRule type="cellIs" dxfId="134" priority="91" operator="greaterThan">
      <formula>0.25</formula>
    </cfRule>
  </conditionalFormatting>
  <conditionalFormatting sqref="A194">
    <cfRule type="cellIs" dxfId="133" priority="92" operator="greaterThan">
      <formula>0.25</formula>
    </cfRule>
  </conditionalFormatting>
  <conditionalFormatting sqref="A206">
    <cfRule type="cellIs" dxfId="132" priority="37" operator="greaterThan">
      <formula>0.25</formula>
    </cfRule>
  </conditionalFormatting>
  <conditionalFormatting sqref="A218">
    <cfRule type="cellIs" dxfId="131" priority="93" operator="greaterThan">
      <formula>0.25</formula>
    </cfRule>
  </conditionalFormatting>
  <conditionalFormatting sqref="A230">
    <cfRule type="cellIs" dxfId="130" priority="94" operator="greaterThan">
      <formula>0.25</formula>
    </cfRule>
  </conditionalFormatting>
  <conditionalFormatting sqref="A242">
    <cfRule type="cellIs" dxfId="129" priority="95" operator="greaterThan">
      <formula>0.25</formula>
    </cfRule>
  </conditionalFormatting>
  <conditionalFormatting sqref="A254">
    <cfRule type="cellIs" dxfId="128" priority="1" operator="greaterThan">
      <formula>0.25</formula>
    </cfRule>
  </conditionalFormatting>
  <conditionalFormatting sqref="A266">
    <cfRule type="cellIs" dxfId="127" priority="2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613C-1169-42CD-AC18-4869BCA76ACB}">
  <dimension ref="A1:AT243"/>
  <sheetViews>
    <sheetView zoomScaleNormal="60" zoomScaleSheetLayoutView="100" workbookViewId="0">
      <pane xSplit="2" ySplit="2" topLeftCell="Z3" activePane="bottomRight" state="frozen"/>
      <selection pane="topRight" activeCell="C1" sqref="C1"/>
      <selection pane="bottomLeft" activeCell="A3" sqref="A3"/>
      <selection pane="bottomRight" activeCell="AE26" sqref="AE26"/>
    </sheetView>
  </sheetViews>
  <sheetFormatPr baseColWidth="10" defaultColWidth="8.83203125" defaultRowHeight="15"/>
  <cols>
    <col min="9" max="38" width="9.1640625" bestFit="1" customWidth="1"/>
  </cols>
  <sheetData>
    <row r="1" spans="1:45" s="93" customFormat="1" ht="11">
      <c r="A1" s="416">
        <f>SUM(A57,A69,A81,A93,A9,A21,A33,A45,A201,A213,A225,A237,A105,A117,A129,A141,A153,A165,A177,A189,A249,A261)</f>
        <v>1286700</v>
      </c>
      <c r="B1" s="49" t="s">
        <v>0</v>
      </c>
      <c r="C1" s="48">
        <v>46067</v>
      </c>
      <c r="D1" s="48">
        <f t="shared" ref="D1:AL1" si="0">C1+1</f>
        <v>46068</v>
      </c>
      <c r="E1" s="48">
        <f t="shared" si="0"/>
        <v>46069</v>
      </c>
      <c r="F1" s="48">
        <f t="shared" si="0"/>
        <v>46070</v>
      </c>
      <c r="G1" s="48">
        <f t="shared" si="0"/>
        <v>46071</v>
      </c>
      <c r="H1" s="48">
        <f t="shared" si="0"/>
        <v>46072</v>
      </c>
      <c r="I1" s="48">
        <f t="shared" si="0"/>
        <v>46073</v>
      </c>
      <c r="J1" s="48">
        <f t="shared" si="0"/>
        <v>46074</v>
      </c>
      <c r="K1" s="48">
        <f t="shared" si="0"/>
        <v>46075</v>
      </c>
      <c r="L1" s="48">
        <f t="shared" si="0"/>
        <v>46076</v>
      </c>
      <c r="M1" s="48">
        <f t="shared" si="0"/>
        <v>46077</v>
      </c>
      <c r="N1" s="48">
        <f t="shared" si="0"/>
        <v>46078</v>
      </c>
      <c r="O1" s="48">
        <f t="shared" si="0"/>
        <v>46079</v>
      </c>
      <c r="P1" s="48">
        <f t="shared" si="0"/>
        <v>46080</v>
      </c>
      <c r="Q1" s="48">
        <f t="shared" si="0"/>
        <v>46081</v>
      </c>
      <c r="R1" s="48">
        <f t="shared" si="0"/>
        <v>46082</v>
      </c>
      <c r="S1" s="48">
        <f t="shared" si="0"/>
        <v>46083</v>
      </c>
      <c r="T1" s="48">
        <f t="shared" si="0"/>
        <v>46084</v>
      </c>
      <c r="U1" s="48">
        <f t="shared" si="0"/>
        <v>46085</v>
      </c>
      <c r="V1" s="48">
        <f t="shared" si="0"/>
        <v>46086</v>
      </c>
      <c r="W1" s="48">
        <f t="shared" si="0"/>
        <v>46087</v>
      </c>
      <c r="X1" s="48">
        <f t="shared" si="0"/>
        <v>46088</v>
      </c>
      <c r="Y1" s="48">
        <f t="shared" si="0"/>
        <v>46089</v>
      </c>
      <c r="Z1" s="48">
        <f t="shared" si="0"/>
        <v>46090</v>
      </c>
      <c r="AA1" s="48">
        <f t="shared" si="0"/>
        <v>46091</v>
      </c>
      <c r="AB1" s="48">
        <f t="shared" si="0"/>
        <v>46092</v>
      </c>
      <c r="AC1" s="48">
        <f t="shared" si="0"/>
        <v>46093</v>
      </c>
      <c r="AD1" s="434">
        <f t="shared" si="0"/>
        <v>46094</v>
      </c>
      <c r="AE1" s="48">
        <f t="shared" si="0"/>
        <v>46095</v>
      </c>
      <c r="AF1" s="48">
        <f t="shared" si="0"/>
        <v>46096</v>
      </c>
      <c r="AG1" s="48">
        <f t="shared" si="0"/>
        <v>46097</v>
      </c>
      <c r="AH1" s="48">
        <f t="shared" si="0"/>
        <v>46098</v>
      </c>
      <c r="AI1" s="48">
        <f t="shared" si="0"/>
        <v>46099</v>
      </c>
      <c r="AJ1" s="48">
        <f t="shared" si="0"/>
        <v>46100</v>
      </c>
      <c r="AK1" s="48">
        <f t="shared" si="0"/>
        <v>46101</v>
      </c>
      <c r="AL1" s="48">
        <f t="shared" si="0"/>
        <v>46102</v>
      </c>
      <c r="AM1" s="48">
        <f t="shared" ref="AM1:AS1" si="1">AL1+1</f>
        <v>46103</v>
      </c>
      <c r="AN1" s="48">
        <f t="shared" si="1"/>
        <v>46104</v>
      </c>
      <c r="AO1" s="48">
        <f t="shared" si="1"/>
        <v>46105</v>
      </c>
      <c r="AP1" s="48">
        <f t="shared" si="1"/>
        <v>46106</v>
      </c>
      <c r="AQ1" s="48">
        <f t="shared" si="1"/>
        <v>46107</v>
      </c>
      <c r="AR1" s="48">
        <f t="shared" si="1"/>
        <v>46108</v>
      </c>
      <c r="AS1" s="48">
        <f t="shared" si="1"/>
        <v>46109</v>
      </c>
    </row>
    <row r="2" spans="1:45" s="93" customFormat="1" ht="12" thickBot="1">
      <c r="A2" s="47"/>
      <c r="B2" s="46">
        <f>SUM(C2:AO2)</f>
        <v>12867</v>
      </c>
      <c r="C2" s="115">
        <v>0</v>
      </c>
      <c r="D2" s="45">
        <f t="shared" ref="D2:AL2" si="2">SUM(D10,D22,D34,D46,D58,D70,D82,D94,D106,D118,D130,D142,D154,D166,D178,D190,D202,D214,D226,D238)</f>
        <v>0</v>
      </c>
      <c r="E2" s="45">
        <f t="shared" si="2"/>
        <v>1637</v>
      </c>
      <c r="F2" s="126">
        <f t="shared" si="2"/>
        <v>0</v>
      </c>
      <c r="G2" s="45">
        <f t="shared" si="2"/>
        <v>0</v>
      </c>
      <c r="H2" s="45">
        <f t="shared" si="2"/>
        <v>1202</v>
      </c>
      <c r="I2" s="126">
        <f t="shared" si="2"/>
        <v>0</v>
      </c>
      <c r="J2" s="45">
        <f t="shared" si="2"/>
        <v>0</v>
      </c>
      <c r="K2" s="45">
        <f t="shared" si="2"/>
        <v>1841</v>
      </c>
      <c r="L2" s="126">
        <f t="shared" si="2"/>
        <v>0</v>
      </c>
      <c r="M2" s="45">
        <f t="shared" si="2"/>
        <v>0</v>
      </c>
      <c r="N2" s="45">
        <f t="shared" si="2"/>
        <v>0</v>
      </c>
      <c r="O2" s="45">
        <f t="shared" si="2"/>
        <v>2017</v>
      </c>
      <c r="P2" s="126">
        <f t="shared" si="2"/>
        <v>0</v>
      </c>
      <c r="Q2" s="45">
        <f t="shared" si="2"/>
        <v>0</v>
      </c>
      <c r="R2" s="45">
        <f t="shared" si="2"/>
        <v>1448</v>
      </c>
      <c r="S2" s="45">
        <f t="shared" si="2"/>
        <v>0</v>
      </c>
      <c r="T2" s="45">
        <f t="shared" si="2"/>
        <v>0</v>
      </c>
      <c r="U2" s="45">
        <f t="shared" si="2"/>
        <v>0</v>
      </c>
      <c r="V2" s="45">
        <f t="shared" si="2"/>
        <v>850</v>
      </c>
      <c r="W2" s="45">
        <f t="shared" si="2"/>
        <v>0</v>
      </c>
      <c r="X2" s="45">
        <f t="shared" si="2"/>
        <v>0</v>
      </c>
      <c r="Y2" s="45">
        <f t="shared" si="2"/>
        <v>1414</v>
      </c>
      <c r="Z2" s="45">
        <f t="shared" si="2"/>
        <v>0</v>
      </c>
      <c r="AA2" s="45">
        <f t="shared" si="2"/>
        <v>0</v>
      </c>
      <c r="AB2" s="45">
        <f t="shared" si="2"/>
        <v>0</v>
      </c>
      <c r="AC2" s="45">
        <f t="shared" si="2"/>
        <v>1284</v>
      </c>
      <c r="AD2" s="115">
        <f t="shared" si="2"/>
        <v>0</v>
      </c>
      <c r="AE2" s="45">
        <f t="shared" si="2"/>
        <v>0</v>
      </c>
      <c r="AF2" s="45">
        <f t="shared" si="2"/>
        <v>1174</v>
      </c>
      <c r="AG2" s="45">
        <f t="shared" si="2"/>
        <v>0</v>
      </c>
      <c r="AH2" s="45">
        <f t="shared" si="2"/>
        <v>0</v>
      </c>
      <c r="AI2" s="45">
        <f t="shared" si="2"/>
        <v>0</v>
      </c>
      <c r="AJ2" s="45">
        <f t="shared" si="2"/>
        <v>0</v>
      </c>
      <c r="AK2" s="45">
        <f t="shared" si="2"/>
        <v>0</v>
      </c>
      <c r="AL2" s="45">
        <f t="shared" si="2"/>
        <v>0</v>
      </c>
      <c r="AM2" s="45">
        <f t="shared" ref="AM2:AS2" si="3">SUM(AM10,AM22,AM34,AM46,AM58,AM70,AM82,AM94,AM106,AM118,AM130,AM142,AM154,AM166,AM178,AM190,AM202,AM214,AM226,AM238)</f>
        <v>0</v>
      </c>
      <c r="AN2" s="45">
        <f t="shared" si="3"/>
        <v>0</v>
      </c>
      <c r="AO2" s="45">
        <f t="shared" si="3"/>
        <v>0</v>
      </c>
      <c r="AP2" s="45">
        <f t="shared" si="3"/>
        <v>0</v>
      </c>
      <c r="AQ2" s="45">
        <f t="shared" si="3"/>
        <v>0</v>
      </c>
      <c r="AR2" s="45">
        <f t="shared" si="3"/>
        <v>0</v>
      </c>
      <c r="AS2" s="45">
        <f t="shared" si="3"/>
        <v>0</v>
      </c>
    </row>
    <row r="3" spans="1:45" s="1" customFormat="1" ht="11">
      <c r="A3" s="22" t="s">
        <v>61</v>
      </c>
      <c r="B3" s="21" t="s">
        <v>2</v>
      </c>
      <c r="C3" s="20">
        <v>3545</v>
      </c>
      <c r="D3" s="20">
        <v>3545</v>
      </c>
      <c r="E3" s="20">
        <v>3590</v>
      </c>
      <c r="F3" s="130">
        <v>3590</v>
      </c>
      <c r="G3" s="20">
        <v>3590</v>
      </c>
      <c r="H3" s="20">
        <v>3618</v>
      </c>
      <c r="I3" s="20">
        <v>3618</v>
      </c>
      <c r="J3" s="20">
        <v>3618</v>
      </c>
      <c r="K3" s="20">
        <v>3631</v>
      </c>
      <c r="L3" s="20">
        <v>3631</v>
      </c>
      <c r="M3" s="20">
        <v>3631</v>
      </c>
      <c r="N3" s="20">
        <v>3631</v>
      </c>
      <c r="O3" s="20">
        <v>3757</v>
      </c>
      <c r="P3" s="20">
        <v>3757</v>
      </c>
      <c r="Q3" s="20">
        <v>3757</v>
      </c>
      <c r="R3" s="20">
        <v>3771</v>
      </c>
      <c r="S3" s="20">
        <v>3771</v>
      </c>
      <c r="T3" s="20">
        <v>3771</v>
      </c>
      <c r="U3" s="20">
        <v>3771</v>
      </c>
      <c r="V3" s="20">
        <v>3810</v>
      </c>
      <c r="W3" s="20">
        <v>3810</v>
      </c>
      <c r="X3" s="20">
        <v>3810</v>
      </c>
      <c r="Y3" s="20">
        <v>3819</v>
      </c>
      <c r="Z3" s="20">
        <v>3819</v>
      </c>
      <c r="AA3" s="20">
        <v>3819</v>
      </c>
      <c r="AB3" s="20">
        <v>3819</v>
      </c>
      <c r="AC3" s="20">
        <v>3874</v>
      </c>
      <c r="AD3" s="73">
        <v>3874</v>
      </c>
      <c r="AE3" s="20">
        <v>3874</v>
      </c>
      <c r="AF3" s="20">
        <v>3917</v>
      </c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s="1" customFormat="1" ht="11">
      <c r="A4" s="16" t="s">
        <v>3</v>
      </c>
      <c r="B4" s="9" t="s">
        <v>4</v>
      </c>
      <c r="C4" s="74">
        <v>81</v>
      </c>
      <c r="D4" s="8">
        <f>IF(D3="","",C4)</f>
        <v>81</v>
      </c>
      <c r="E4" s="8">
        <v>82</v>
      </c>
      <c r="F4" s="59">
        <f t="shared" ref="F4:N4" si="4">IF(F3="","",E4)</f>
        <v>82</v>
      </c>
      <c r="G4" s="8">
        <f t="shared" si="4"/>
        <v>82</v>
      </c>
      <c r="H4" s="8">
        <f t="shared" si="4"/>
        <v>82</v>
      </c>
      <c r="I4" s="59">
        <f t="shared" si="4"/>
        <v>82</v>
      </c>
      <c r="J4" s="8">
        <f t="shared" si="4"/>
        <v>82</v>
      </c>
      <c r="K4" s="8">
        <f t="shared" si="4"/>
        <v>82</v>
      </c>
      <c r="L4" s="59">
        <f t="shared" si="4"/>
        <v>82</v>
      </c>
      <c r="M4" s="8">
        <f t="shared" si="4"/>
        <v>82</v>
      </c>
      <c r="N4" s="8">
        <f t="shared" si="4"/>
        <v>82</v>
      </c>
      <c r="O4" s="8">
        <v>84</v>
      </c>
      <c r="P4" s="59">
        <f t="shared" ref="P4:AL4" si="5">IF(P3="","",O4)</f>
        <v>84</v>
      </c>
      <c r="Q4" s="8">
        <f t="shared" si="5"/>
        <v>84</v>
      </c>
      <c r="R4" s="8">
        <f t="shared" si="5"/>
        <v>84</v>
      </c>
      <c r="S4" s="8">
        <f t="shared" si="5"/>
        <v>84</v>
      </c>
      <c r="T4" s="8">
        <f t="shared" si="5"/>
        <v>84</v>
      </c>
      <c r="U4" s="8">
        <f t="shared" si="5"/>
        <v>84</v>
      </c>
      <c r="V4" s="8">
        <v>85</v>
      </c>
      <c r="W4" s="8">
        <f t="shared" si="5"/>
        <v>85</v>
      </c>
      <c r="X4" s="8">
        <f t="shared" si="5"/>
        <v>85</v>
      </c>
      <c r="Y4" s="8">
        <f t="shared" si="5"/>
        <v>85</v>
      </c>
      <c r="Z4" s="8">
        <f t="shared" si="5"/>
        <v>85</v>
      </c>
      <c r="AA4" s="8">
        <f t="shared" si="5"/>
        <v>85</v>
      </c>
      <c r="AB4" s="8">
        <f t="shared" si="5"/>
        <v>85</v>
      </c>
      <c r="AC4" s="8">
        <v>86</v>
      </c>
      <c r="AD4" s="74">
        <f t="shared" si="5"/>
        <v>86</v>
      </c>
      <c r="AE4" s="8">
        <f t="shared" si="5"/>
        <v>86</v>
      </c>
      <c r="AF4" s="8">
        <f t="shared" si="5"/>
        <v>86</v>
      </c>
      <c r="AG4" s="8" t="str">
        <f t="shared" si="5"/>
        <v/>
      </c>
      <c r="AH4" s="8" t="str">
        <f t="shared" si="5"/>
        <v/>
      </c>
      <c r="AI4" s="8" t="str">
        <f t="shared" si="5"/>
        <v/>
      </c>
      <c r="AJ4" s="8" t="str">
        <f t="shared" si="5"/>
        <v/>
      </c>
      <c r="AK4" s="8" t="str">
        <f t="shared" si="5"/>
        <v/>
      </c>
      <c r="AL4" s="8" t="str">
        <f t="shared" si="5"/>
        <v/>
      </c>
      <c r="AM4" s="8" t="str">
        <f t="shared" ref="AM4:AS4" si="6">IF(AM3="","",AL4)</f>
        <v/>
      </c>
      <c r="AN4" s="8" t="str">
        <f t="shared" si="6"/>
        <v/>
      </c>
      <c r="AO4" s="8" t="str">
        <f t="shared" si="6"/>
        <v/>
      </c>
      <c r="AP4" s="8" t="str">
        <f t="shared" si="6"/>
        <v/>
      </c>
      <c r="AQ4" s="8" t="str">
        <f t="shared" si="6"/>
        <v/>
      </c>
      <c r="AR4" s="8" t="str">
        <f t="shared" si="6"/>
        <v/>
      </c>
      <c r="AS4" s="8" t="str">
        <f t="shared" si="6"/>
        <v/>
      </c>
    </row>
    <row r="5" spans="1:45" s="1" customFormat="1" ht="11">
      <c r="A5" s="15">
        <v>1</v>
      </c>
      <c r="B5" s="9" t="s">
        <v>5</v>
      </c>
      <c r="C5" s="74">
        <v>4</v>
      </c>
      <c r="D5" s="8">
        <f t="shared" ref="D5:N5" si="7">IF(D3="","",(C5+C6))</f>
        <v>4</v>
      </c>
      <c r="E5" s="8">
        <f t="shared" si="7"/>
        <v>4</v>
      </c>
      <c r="F5" s="59">
        <f t="shared" si="7"/>
        <v>4</v>
      </c>
      <c r="G5" s="8">
        <f t="shared" si="7"/>
        <v>4</v>
      </c>
      <c r="H5" s="8">
        <f t="shared" si="7"/>
        <v>4</v>
      </c>
      <c r="I5" s="59">
        <f t="shared" si="7"/>
        <v>4</v>
      </c>
      <c r="J5" s="8">
        <f t="shared" si="7"/>
        <v>4</v>
      </c>
      <c r="K5" s="8">
        <f t="shared" si="7"/>
        <v>4</v>
      </c>
      <c r="L5" s="59">
        <f t="shared" si="7"/>
        <v>4</v>
      </c>
      <c r="M5" s="8">
        <f t="shared" si="7"/>
        <v>4</v>
      </c>
      <c r="N5" s="8">
        <f t="shared" si="7"/>
        <v>4</v>
      </c>
      <c r="O5" s="8">
        <v>2</v>
      </c>
      <c r="P5" s="59">
        <f t="shared" ref="P5:AL5" si="8">IF(P3="","",(O5+O6))</f>
        <v>3</v>
      </c>
      <c r="Q5" s="8">
        <f t="shared" si="8"/>
        <v>3</v>
      </c>
      <c r="R5" s="8">
        <f t="shared" si="8"/>
        <v>3</v>
      </c>
      <c r="S5" s="8">
        <f t="shared" si="8"/>
        <v>3</v>
      </c>
      <c r="T5" s="8">
        <f t="shared" si="8"/>
        <v>3</v>
      </c>
      <c r="U5" s="8">
        <f t="shared" si="8"/>
        <v>3</v>
      </c>
      <c r="V5" s="8">
        <f t="shared" si="8"/>
        <v>3</v>
      </c>
      <c r="W5" s="8">
        <f t="shared" si="8"/>
        <v>3</v>
      </c>
      <c r="X5" s="8">
        <f t="shared" si="8"/>
        <v>3</v>
      </c>
      <c r="Y5" s="8">
        <f t="shared" si="8"/>
        <v>3</v>
      </c>
      <c r="Z5" s="8">
        <f t="shared" si="8"/>
        <v>3</v>
      </c>
      <c r="AA5" s="8">
        <f t="shared" si="8"/>
        <v>3</v>
      </c>
      <c r="AB5" s="8">
        <f t="shared" si="8"/>
        <v>3</v>
      </c>
      <c r="AC5" s="8">
        <v>2</v>
      </c>
      <c r="AD5" s="74">
        <f t="shared" si="8"/>
        <v>4</v>
      </c>
      <c r="AE5" s="8">
        <f t="shared" si="8"/>
        <v>4</v>
      </c>
      <c r="AF5" s="8">
        <f t="shared" si="8"/>
        <v>4</v>
      </c>
      <c r="AG5" s="8" t="str">
        <f t="shared" si="8"/>
        <v/>
      </c>
      <c r="AH5" s="8" t="str">
        <f t="shared" si="8"/>
        <v/>
      </c>
      <c r="AI5" s="8" t="str">
        <f t="shared" si="8"/>
        <v/>
      </c>
      <c r="AJ5" s="8" t="str">
        <f t="shared" si="8"/>
        <v/>
      </c>
      <c r="AK5" s="8" t="str">
        <f t="shared" si="8"/>
        <v/>
      </c>
      <c r="AL5" s="8" t="str">
        <f t="shared" si="8"/>
        <v/>
      </c>
      <c r="AM5" s="8" t="str">
        <f t="shared" ref="AM5:AS5" si="9">IF(AM3="","",(AL5+AL6))</f>
        <v/>
      </c>
      <c r="AN5" s="8" t="str">
        <f t="shared" si="9"/>
        <v/>
      </c>
      <c r="AO5" s="8" t="str">
        <f t="shared" si="9"/>
        <v/>
      </c>
      <c r="AP5" s="8" t="str">
        <f t="shared" si="9"/>
        <v/>
      </c>
      <c r="AQ5" s="8" t="str">
        <f t="shared" si="9"/>
        <v/>
      </c>
      <c r="AR5" s="8" t="str">
        <f t="shared" si="9"/>
        <v/>
      </c>
      <c r="AS5" s="8" t="str">
        <f t="shared" si="9"/>
        <v/>
      </c>
    </row>
    <row r="6" spans="1:45" s="1" customFormat="1" ht="11">
      <c r="A6" s="101" t="s">
        <v>6</v>
      </c>
      <c r="B6" s="9" t="s">
        <v>7</v>
      </c>
      <c r="C6" s="74"/>
      <c r="D6" s="8"/>
      <c r="E6" s="8"/>
      <c r="F6" s="59"/>
      <c r="G6" s="8"/>
      <c r="H6" s="8"/>
      <c r="I6" s="59"/>
      <c r="J6" s="8"/>
      <c r="K6" s="8"/>
      <c r="L6" s="59"/>
      <c r="M6" s="8"/>
      <c r="N6" s="8"/>
      <c r="O6" s="8">
        <v>1</v>
      </c>
      <c r="P6" s="59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>
        <v>2</v>
      </c>
      <c r="AD6" s="74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s="1" customFormat="1" ht="11">
      <c r="A7" s="102">
        <f>+(A10+A22+A34+A46)*100</f>
        <v>176500</v>
      </c>
      <c r="B7" s="9" t="s">
        <v>8</v>
      </c>
      <c r="C7" s="74">
        <v>500</v>
      </c>
      <c r="D7" s="8">
        <f t="shared" ref="D7:AL7" si="10">IF(D3="","",C7)</f>
        <v>500</v>
      </c>
      <c r="E7" s="8">
        <f t="shared" si="10"/>
        <v>500</v>
      </c>
      <c r="F7" s="59">
        <f t="shared" si="10"/>
        <v>500</v>
      </c>
      <c r="G7" s="8">
        <f t="shared" si="10"/>
        <v>500</v>
      </c>
      <c r="H7" s="8">
        <f t="shared" si="10"/>
        <v>500</v>
      </c>
      <c r="I7" s="59">
        <f t="shared" si="10"/>
        <v>500</v>
      </c>
      <c r="J7" s="8">
        <f t="shared" si="10"/>
        <v>500</v>
      </c>
      <c r="K7" s="8">
        <f t="shared" si="10"/>
        <v>500</v>
      </c>
      <c r="L7" s="59">
        <f t="shared" si="10"/>
        <v>500</v>
      </c>
      <c r="M7" s="8">
        <f t="shared" si="10"/>
        <v>500</v>
      </c>
      <c r="N7" s="8">
        <f t="shared" si="10"/>
        <v>500</v>
      </c>
      <c r="O7" s="8">
        <f t="shared" si="10"/>
        <v>500</v>
      </c>
      <c r="P7" s="59">
        <f t="shared" si="10"/>
        <v>500</v>
      </c>
      <c r="Q7" s="8">
        <f t="shared" si="10"/>
        <v>500</v>
      </c>
      <c r="R7" s="8">
        <f t="shared" si="10"/>
        <v>500</v>
      </c>
      <c r="S7" s="8">
        <f t="shared" si="10"/>
        <v>500</v>
      </c>
      <c r="T7" s="8">
        <f t="shared" si="10"/>
        <v>500</v>
      </c>
      <c r="U7" s="8">
        <f t="shared" si="10"/>
        <v>500</v>
      </c>
      <c r="V7" s="8">
        <f t="shared" si="10"/>
        <v>500</v>
      </c>
      <c r="W7" s="8">
        <f t="shared" si="10"/>
        <v>500</v>
      </c>
      <c r="X7" s="8">
        <f t="shared" si="10"/>
        <v>500</v>
      </c>
      <c r="Y7" s="8">
        <f t="shared" si="10"/>
        <v>500</v>
      </c>
      <c r="Z7" s="8">
        <f t="shared" si="10"/>
        <v>500</v>
      </c>
      <c r="AA7" s="8">
        <f t="shared" si="10"/>
        <v>500</v>
      </c>
      <c r="AB7" s="8">
        <f t="shared" si="10"/>
        <v>500</v>
      </c>
      <c r="AC7" s="8">
        <f t="shared" si="10"/>
        <v>500</v>
      </c>
      <c r="AD7" s="74">
        <f t="shared" si="10"/>
        <v>500</v>
      </c>
      <c r="AE7" s="8">
        <f t="shared" si="10"/>
        <v>500</v>
      </c>
      <c r="AF7" s="8">
        <f t="shared" si="10"/>
        <v>500</v>
      </c>
      <c r="AG7" s="8" t="str">
        <f t="shared" si="10"/>
        <v/>
      </c>
      <c r="AH7" s="8" t="str">
        <f t="shared" si="10"/>
        <v/>
      </c>
      <c r="AI7" s="8" t="str">
        <f t="shared" si="10"/>
        <v/>
      </c>
      <c r="AJ7" s="8" t="str">
        <f t="shared" si="10"/>
        <v/>
      </c>
      <c r="AK7" s="8" t="str">
        <f t="shared" si="10"/>
        <v/>
      </c>
      <c r="AL7" s="8" t="str">
        <f t="shared" si="10"/>
        <v/>
      </c>
      <c r="AM7" s="8" t="str">
        <f t="shared" ref="AM7:AS7" si="11">IF(AM3="","",AL7)</f>
        <v/>
      </c>
      <c r="AN7" s="8" t="str">
        <f t="shared" si="11"/>
        <v/>
      </c>
      <c r="AO7" s="8" t="str">
        <f t="shared" si="11"/>
        <v/>
      </c>
      <c r="AP7" s="8" t="str">
        <f t="shared" si="11"/>
        <v/>
      </c>
      <c r="AQ7" s="8" t="str">
        <f t="shared" si="11"/>
        <v/>
      </c>
      <c r="AR7" s="8" t="str">
        <f t="shared" si="11"/>
        <v/>
      </c>
      <c r="AS7" s="8" t="str">
        <f t="shared" si="11"/>
        <v/>
      </c>
    </row>
    <row r="8" spans="1:45" s="94" customFormat="1" ht="11">
      <c r="A8" s="14" t="s">
        <v>9</v>
      </c>
      <c r="B8" s="13" t="s">
        <v>10</v>
      </c>
      <c r="C8" s="75" t="s">
        <v>62</v>
      </c>
      <c r="D8" s="12" t="str">
        <f t="shared" ref="D8:AL8" si="12">IF(D3="","",C8)</f>
        <v>サンリオフェイスポーチ</v>
      </c>
      <c r="E8" s="12" t="str">
        <f t="shared" si="12"/>
        <v>サンリオフェイスポーチ</v>
      </c>
      <c r="F8" s="131" t="str">
        <f t="shared" si="12"/>
        <v>サンリオフェイスポーチ</v>
      </c>
      <c r="G8" s="12" t="str">
        <f t="shared" si="12"/>
        <v>サンリオフェイスポーチ</v>
      </c>
      <c r="H8" s="12" t="str">
        <f t="shared" si="12"/>
        <v>サンリオフェイスポーチ</v>
      </c>
      <c r="I8" s="131" t="str">
        <f t="shared" si="12"/>
        <v>サンリオフェイスポーチ</v>
      </c>
      <c r="J8" s="12" t="str">
        <f t="shared" si="12"/>
        <v>サンリオフェイスポーチ</v>
      </c>
      <c r="K8" s="12" t="str">
        <f t="shared" si="12"/>
        <v>サンリオフェイスポーチ</v>
      </c>
      <c r="L8" s="131" t="str">
        <f t="shared" si="12"/>
        <v>サンリオフェイスポーチ</v>
      </c>
      <c r="M8" s="12" t="str">
        <f t="shared" si="12"/>
        <v>サンリオフェイスポーチ</v>
      </c>
      <c r="N8" s="12" t="str">
        <f t="shared" si="12"/>
        <v>サンリオフェイスポーチ</v>
      </c>
      <c r="O8" s="12" t="str">
        <f t="shared" si="12"/>
        <v>サンリオフェイスポーチ</v>
      </c>
      <c r="P8" s="131" t="str">
        <f t="shared" si="12"/>
        <v>サンリオフェイスポーチ</v>
      </c>
      <c r="Q8" s="12" t="str">
        <f t="shared" si="12"/>
        <v>サンリオフェイスポーチ</v>
      </c>
      <c r="R8" s="12" t="str">
        <f t="shared" si="12"/>
        <v>サンリオフェイスポーチ</v>
      </c>
      <c r="S8" s="12" t="str">
        <f t="shared" si="12"/>
        <v>サンリオフェイスポーチ</v>
      </c>
      <c r="T8" s="12" t="str">
        <f t="shared" si="12"/>
        <v>サンリオフェイスポーチ</v>
      </c>
      <c r="U8" s="12" t="str">
        <f t="shared" si="12"/>
        <v>サンリオフェイスポーチ</v>
      </c>
      <c r="V8" s="12" t="str">
        <f t="shared" si="12"/>
        <v>サンリオフェイスポーチ</v>
      </c>
      <c r="W8" s="12" t="str">
        <f t="shared" si="12"/>
        <v>サンリオフェイスポーチ</v>
      </c>
      <c r="X8" s="12" t="str">
        <f t="shared" si="12"/>
        <v>サンリオフェイスポーチ</v>
      </c>
      <c r="Y8" s="12" t="str">
        <f t="shared" si="12"/>
        <v>サンリオフェイスポーチ</v>
      </c>
      <c r="Z8" s="12" t="str">
        <f t="shared" si="12"/>
        <v>サンリオフェイスポーチ</v>
      </c>
      <c r="AA8" s="12" t="str">
        <f t="shared" si="12"/>
        <v>サンリオフェイスポーチ</v>
      </c>
      <c r="AB8" s="12" t="str">
        <f t="shared" si="12"/>
        <v>サンリオフェイスポーチ</v>
      </c>
      <c r="AC8" s="12" t="str">
        <f t="shared" si="12"/>
        <v>サンリオフェイスポーチ</v>
      </c>
      <c r="AD8" s="75" t="str">
        <f t="shared" si="12"/>
        <v>サンリオフェイスポーチ</v>
      </c>
      <c r="AE8" s="12" t="str">
        <f t="shared" si="12"/>
        <v>サンリオフェイスポーチ</v>
      </c>
      <c r="AF8" s="12" t="str">
        <f t="shared" si="12"/>
        <v>サンリオフェイスポーチ</v>
      </c>
      <c r="AG8" s="12" t="str">
        <f t="shared" si="12"/>
        <v/>
      </c>
      <c r="AH8" s="12" t="str">
        <f t="shared" si="12"/>
        <v/>
      </c>
      <c r="AI8" s="12" t="str">
        <f t="shared" si="12"/>
        <v/>
      </c>
      <c r="AJ8" s="12" t="str">
        <f t="shared" si="12"/>
        <v/>
      </c>
      <c r="AK8" s="12" t="str">
        <f t="shared" si="12"/>
        <v/>
      </c>
      <c r="AL8" s="12" t="str">
        <f t="shared" si="12"/>
        <v/>
      </c>
      <c r="AM8" s="12" t="str">
        <f t="shared" ref="AM8:AS8" si="13">IF(AM3="","",AL8)</f>
        <v/>
      </c>
      <c r="AN8" s="12" t="str">
        <f t="shared" si="13"/>
        <v/>
      </c>
      <c r="AO8" s="12" t="str">
        <f t="shared" si="13"/>
        <v/>
      </c>
      <c r="AP8" s="12" t="str">
        <f t="shared" si="13"/>
        <v/>
      </c>
      <c r="AQ8" s="12" t="str">
        <f t="shared" si="13"/>
        <v/>
      </c>
      <c r="AR8" s="12" t="str">
        <f t="shared" si="13"/>
        <v/>
      </c>
      <c r="AS8" s="12" t="str">
        <f t="shared" si="13"/>
        <v/>
      </c>
    </row>
    <row r="9" spans="1:45" s="1" customFormat="1" ht="11">
      <c r="A9" s="7">
        <f>AVERAGE(C10:AS10)*30*100</f>
        <v>37200</v>
      </c>
      <c r="B9" s="9" t="s">
        <v>14</v>
      </c>
      <c r="C9" s="74"/>
      <c r="D9" s="8"/>
      <c r="E9" s="8"/>
      <c r="F9" s="59"/>
      <c r="G9" s="8"/>
      <c r="H9" s="8"/>
      <c r="I9" s="59"/>
      <c r="J9" s="8"/>
      <c r="K9" s="8"/>
      <c r="L9" s="59"/>
      <c r="M9" s="8"/>
      <c r="N9" s="8"/>
      <c r="O9" s="8"/>
      <c r="P9" s="5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74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s="1" customFormat="1" ht="11">
      <c r="A10" s="7">
        <f>SUM(C10:AS10)</f>
        <v>372</v>
      </c>
      <c r="B10" s="6" t="s">
        <v>15</v>
      </c>
      <c r="C10" s="74">
        <v>0</v>
      </c>
      <c r="D10" s="5">
        <f t="shared" ref="D10:AL10" si="14">IF(D3="","",D3-C3)</f>
        <v>0</v>
      </c>
      <c r="E10" s="5">
        <f t="shared" si="14"/>
        <v>45</v>
      </c>
      <c r="F10" s="59">
        <f t="shared" si="14"/>
        <v>0</v>
      </c>
      <c r="G10" s="5">
        <f t="shared" si="14"/>
        <v>0</v>
      </c>
      <c r="H10" s="5">
        <f t="shared" si="14"/>
        <v>28</v>
      </c>
      <c r="I10" s="59">
        <f t="shared" si="14"/>
        <v>0</v>
      </c>
      <c r="J10" s="5">
        <f t="shared" si="14"/>
        <v>0</v>
      </c>
      <c r="K10" s="5">
        <f t="shared" si="14"/>
        <v>13</v>
      </c>
      <c r="L10" s="59">
        <f t="shared" si="14"/>
        <v>0</v>
      </c>
      <c r="M10" s="5">
        <f t="shared" si="14"/>
        <v>0</v>
      </c>
      <c r="N10" s="5">
        <f t="shared" si="14"/>
        <v>0</v>
      </c>
      <c r="O10" s="5">
        <f t="shared" si="14"/>
        <v>126</v>
      </c>
      <c r="P10" s="59">
        <f t="shared" si="14"/>
        <v>0</v>
      </c>
      <c r="Q10" s="5">
        <f t="shared" si="14"/>
        <v>0</v>
      </c>
      <c r="R10" s="5">
        <f t="shared" si="14"/>
        <v>14</v>
      </c>
      <c r="S10" s="5">
        <f t="shared" si="14"/>
        <v>0</v>
      </c>
      <c r="T10" s="5">
        <f t="shared" si="14"/>
        <v>0</v>
      </c>
      <c r="U10" s="5">
        <f t="shared" si="14"/>
        <v>0</v>
      </c>
      <c r="V10" s="5">
        <f t="shared" si="14"/>
        <v>39</v>
      </c>
      <c r="W10" s="5">
        <f t="shared" si="14"/>
        <v>0</v>
      </c>
      <c r="X10" s="5">
        <f t="shared" si="14"/>
        <v>0</v>
      </c>
      <c r="Y10" s="5">
        <f t="shared" si="14"/>
        <v>9</v>
      </c>
      <c r="Z10" s="5">
        <f t="shared" si="14"/>
        <v>0</v>
      </c>
      <c r="AA10" s="5">
        <f t="shared" si="14"/>
        <v>0</v>
      </c>
      <c r="AB10" s="5">
        <f t="shared" si="14"/>
        <v>0</v>
      </c>
      <c r="AC10" s="5">
        <f t="shared" si="14"/>
        <v>55</v>
      </c>
      <c r="AD10" s="74">
        <f t="shared" si="14"/>
        <v>0</v>
      </c>
      <c r="AE10" s="5">
        <f t="shared" si="14"/>
        <v>0</v>
      </c>
      <c r="AF10" s="5">
        <f t="shared" si="14"/>
        <v>43</v>
      </c>
      <c r="AG10" s="5" t="str">
        <f t="shared" si="14"/>
        <v/>
      </c>
      <c r="AH10" s="5" t="str">
        <f t="shared" si="14"/>
        <v/>
      </c>
      <c r="AI10" s="5" t="str">
        <f t="shared" si="14"/>
        <v/>
      </c>
      <c r="AJ10" s="5" t="str">
        <f t="shared" si="14"/>
        <v/>
      </c>
      <c r="AK10" s="5" t="str">
        <f t="shared" si="14"/>
        <v/>
      </c>
      <c r="AL10" s="5" t="str">
        <f t="shared" si="14"/>
        <v/>
      </c>
      <c r="AM10" s="5" t="str">
        <f t="shared" ref="AM10:AS10" si="15">IF(AM3="","",AM3-AL3)</f>
        <v/>
      </c>
      <c r="AN10" s="5" t="str">
        <f t="shared" si="15"/>
        <v/>
      </c>
      <c r="AO10" s="5" t="str">
        <f t="shared" si="15"/>
        <v/>
      </c>
      <c r="AP10" s="5" t="str">
        <f t="shared" si="15"/>
        <v/>
      </c>
      <c r="AQ10" s="5" t="str">
        <f t="shared" si="15"/>
        <v/>
      </c>
      <c r="AR10" s="5" t="str">
        <f t="shared" si="15"/>
        <v/>
      </c>
      <c r="AS10" s="5" t="str">
        <f t="shared" si="15"/>
        <v/>
      </c>
    </row>
    <row r="11" spans="1:45" s="1" customFormat="1" ht="11">
      <c r="A11" s="7">
        <f>SUM(C11:AS11)</f>
        <v>5</v>
      </c>
      <c r="B11" s="6" t="s">
        <v>16</v>
      </c>
      <c r="C11" s="74">
        <v>0</v>
      </c>
      <c r="D11" s="5">
        <f t="shared" ref="D11:AL11" si="16">IF(D4="","",D4-C4)</f>
        <v>0</v>
      </c>
      <c r="E11" s="5">
        <f t="shared" si="16"/>
        <v>1</v>
      </c>
      <c r="F11" s="59">
        <f t="shared" si="16"/>
        <v>0</v>
      </c>
      <c r="G11" s="5">
        <f t="shared" si="16"/>
        <v>0</v>
      </c>
      <c r="H11" s="5">
        <f t="shared" si="16"/>
        <v>0</v>
      </c>
      <c r="I11" s="59">
        <f t="shared" si="16"/>
        <v>0</v>
      </c>
      <c r="J11" s="5">
        <f t="shared" si="16"/>
        <v>0</v>
      </c>
      <c r="K11" s="5">
        <f t="shared" si="16"/>
        <v>0</v>
      </c>
      <c r="L11" s="59">
        <f t="shared" si="16"/>
        <v>0</v>
      </c>
      <c r="M11" s="5">
        <f t="shared" si="16"/>
        <v>0</v>
      </c>
      <c r="N11" s="5">
        <f t="shared" si="16"/>
        <v>0</v>
      </c>
      <c r="O11" s="5">
        <f t="shared" si="16"/>
        <v>2</v>
      </c>
      <c r="P11" s="59">
        <f t="shared" si="16"/>
        <v>0</v>
      </c>
      <c r="Q11" s="5">
        <f t="shared" si="16"/>
        <v>0</v>
      </c>
      <c r="R11" s="5">
        <f t="shared" si="16"/>
        <v>0</v>
      </c>
      <c r="S11" s="5">
        <f t="shared" si="16"/>
        <v>0</v>
      </c>
      <c r="T11" s="5">
        <f t="shared" si="16"/>
        <v>0</v>
      </c>
      <c r="U11" s="5">
        <f t="shared" si="16"/>
        <v>0</v>
      </c>
      <c r="V11" s="5">
        <f t="shared" si="16"/>
        <v>1</v>
      </c>
      <c r="W11" s="5">
        <f t="shared" si="16"/>
        <v>0</v>
      </c>
      <c r="X11" s="5">
        <f t="shared" si="16"/>
        <v>0</v>
      </c>
      <c r="Y11" s="5">
        <f t="shared" si="16"/>
        <v>0</v>
      </c>
      <c r="Z11" s="5">
        <f t="shared" si="16"/>
        <v>0</v>
      </c>
      <c r="AA11" s="5">
        <f t="shared" si="16"/>
        <v>0</v>
      </c>
      <c r="AB11" s="5">
        <f t="shared" si="16"/>
        <v>0</v>
      </c>
      <c r="AC11" s="5">
        <f t="shared" si="16"/>
        <v>1</v>
      </c>
      <c r="AD11" s="74">
        <f t="shared" si="16"/>
        <v>0</v>
      </c>
      <c r="AE11" s="5">
        <f t="shared" si="16"/>
        <v>0</v>
      </c>
      <c r="AF11" s="5">
        <f t="shared" si="16"/>
        <v>0</v>
      </c>
      <c r="AG11" s="5" t="str">
        <f t="shared" si="16"/>
        <v/>
      </c>
      <c r="AH11" s="5" t="str">
        <f t="shared" si="16"/>
        <v/>
      </c>
      <c r="AI11" s="5" t="str">
        <f t="shared" si="16"/>
        <v/>
      </c>
      <c r="AJ11" s="5" t="str">
        <f t="shared" si="16"/>
        <v/>
      </c>
      <c r="AK11" s="5" t="str">
        <f t="shared" si="16"/>
        <v/>
      </c>
      <c r="AL11" s="5" t="str">
        <f t="shared" si="16"/>
        <v/>
      </c>
      <c r="AM11" s="5" t="str">
        <f t="shared" ref="AM11:AS11" si="17">IF(AM4="","",AM4-AL4)</f>
        <v/>
      </c>
      <c r="AN11" s="5" t="str">
        <f t="shared" si="17"/>
        <v/>
      </c>
      <c r="AO11" s="5" t="str">
        <f t="shared" si="17"/>
        <v/>
      </c>
      <c r="AP11" s="5" t="str">
        <f t="shared" si="17"/>
        <v/>
      </c>
      <c r="AQ11" s="5" t="str">
        <f t="shared" si="17"/>
        <v/>
      </c>
      <c r="AR11" s="5" t="str">
        <f t="shared" si="17"/>
        <v/>
      </c>
      <c r="AS11" s="5" t="str">
        <f t="shared" si="17"/>
        <v/>
      </c>
    </row>
    <row r="12" spans="1:45" s="1" customFormat="1" ht="11">
      <c r="A12" s="7">
        <f>SUM(C12:AS12)</f>
        <v>3</v>
      </c>
      <c r="B12" s="6" t="s">
        <v>17</v>
      </c>
      <c r="C12" s="74">
        <v>0</v>
      </c>
      <c r="D12" s="5">
        <f t="shared" ref="D12:AL12" si="18">IF(D5="","",C5+C6-D5)</f>
        <v>0</v>
      </c>
      <c r="E12" s="5">
        <f t="shared" si="18"/>
        <v>0</v>
      </c>
      <c r="F12" s="59">
        <f t="shared" si="18"/>
        <v>0</v>
      </c>
      <c r="G12" s="5">
        <f t="shared" si="18"/>
        <v>0</v>
      </c>
      <c r="H12" s="5">
        <f t="shared" si="18"/>
        <v>0</v>
      </c>
      <c r="I12" s="59">
        <f t="shared" si="18"/>
        <v>0</v>
      </c>
      <c r="J12" s="5">
        <f t="shared" si="18"/>
        <v>0</v>
      </c>
      <c r="K12" s="5">
        <f t="shared" si="18"/>
        <v>0</v>
      </c>
      <c r="L12" s="59">
        <f t="shared" si="18"/>
        <v>0</v>
      </c>
      <c r="M12" s="5">
        <f t="shared" si="18"/>
        <v>0</v>
      </c>
      <c r="N12" s="5">
        <f t="shared" si="18"/>
        <v>0</v>
      </c>
      <c r="O12" s="5">
        <f t="shared" si="18"/>
        <v>2</v>
      </c>
      <c r="P12" s="59">
        <f t="shared" si="18"/>
        <v>0</v>
      </c>
      <c r="Q12" s="5">
        <f t="shared" si="18"/>
        <v>0</v>
      </c>
      <c r="R12" s="5">
        <f t="shared" si="18"/>
        <v>0</v>
      </c>
      <c r="S12" s="5">
        <f t="shared" si="18"/>
        <v>0</v>
      </c>
      <c r="T12" s="5">
        <f t="shared" si="18"/>
        <v>0</v>
      </c>
      <c r="U12" s="5">
        <f t="shared" si="18"/>
        <v>0</v>
      </c>
      <c r="V12" s="5">
        <f t="shared" si="18"/>
        <v>0</v>
      </c>
      <c r="W12" s="5">
        <f t="shared" si="18"/>
        <v>0</v>
      </c>
      <c r="X12" s="5">
        <f t="shared" si="18"/>
        <v>0</v>
      </c>
      <c r="Y12" s="5">
        <f t="shared" si="18"/>
        <v>0</v>
      </c>
      <c r="Z12" s="5">
        <f t="shared" si="18"/>
        <v>0</v>
      </c>
      <c r="AA12" s="5">
        <f t="shared" si="18"/>
        <v>0</v>
      </c>
      <c r="AB12" s="5">
        <f t="shared" si="18"/>
        <v>0</v>
      </c>
      <c r="AC12" s="5">
        <f t="shared" si="18"/>
        <v>1</v>
      </c>
      <c r="AD12" s="74">
        <f t="shared" si="18"/>
        <v>0</v>
      </c>
      <c r="AE12" s="5">
        <f t="shared" si="18"/>
        <v>0</v>
      </c>
      <c r="AF12" s="5">
        <f t="shared" si="18"/>
        <v>0</v>
      </c>
      <c r="AG12" s="5" t="str">
        <f t="shared" si="18"/>
        <v/>
      </c>
      <c r="AH12" s="5" t="str">
        <f t="shared" si="18"/>
        <v/>
      </c>
      <c r="AI12" s="5" t="str">
        <f t="shared" si="18"/>
        <v/>
      </c>
      <c r="AJ12" s="5" t="str">
        <f t="shared" si="18"/>
        <v/>
      </c>
      <c r="AK12" s="5" t="str">
        <f t="shared" si="18"/>
        <v/>
      </c>
      <c r="AL12" s="5" t="str">
        <f t="shared" si="18"/>
        <v/>
      </c>
      <c r="AM12" s="5" t="str">
        <f t="shared" ref="AM12:AS12" si="19">IF(AM5="","",AL5+AL6-AM5)</f>
        <v/>
      </c>
      <c r="AN12" s="5" t="str">
        <f t="shared" si="19"/>
        <v/>
      </c>
      <c r="AO12" s="5" t="str">
        <f t="shared" si="19"/>
        <v/>
      </c>
      <c r="AP12" s="5" t="str">
        <f t="shared" si="19"/>
        <v/>
      </c>
      <c r="AQ12" s="5" t="str">
        <f t="shared" si="19"/>
        <v/>
      </c>
      <c r="AR12" s="5" t="str">
        <f t="shared" si="19"/>
        <v/>
      </c>
      <c r="AS12" s="5" t="str">
        <f t="shared" si="19"/>
        <v/>
      </c>
    </row>
    <row r="13" spans="1:45" s="1" customFormat="1" ht="11">
      <c r="A13" s="7">
        <f>SUM(C13:AS13)</f>
        <v>1500</v>
      </c>
      <c r="B13" s="6" t="s">
        <v>18</v>
      </c>
      <c r="C13" s="74">
        <v>0</v>
      </c>
      <c r="D13" s="5">
        <f t="shared" ref="D13:AL13" si="20">IF(D3="","",D12*D7)</f>
        <v>0</v>
      </c>
      <c r="E13" s="5">
        <f t="shared" si="20"/>
        <v>0</v>
      </c>
      <c r="F13" s="59">
        <f t="shared" si="20"/>
        <v>0</v>
      </c>
      <c r="G13" s="5">
        <f t="shared" si="20"/>
        <v>0</v>
      </c>
      <c r="H13" s="5">
        <f t="shared" si="20"/>
        <v>0</v>
      </c>
      <c r="I13" s="59">
        <f t="shared" si="20"/>
        <v>0</v>
      </c>
      <c r="J13" s="5">
        <f t="shared" si="20"/>
        <v>0</v>
      </c>
      <c r="K13" s="5">
        <f t="shared" si="20"/>
        <v>0</v>
      </c>
      <c r="L13" s="59">
        <f t="shared" si="20"/>
        <v>0</v>
      </c>
      <c r="M13" s="5">
        <f t="shared" si="20"/>
        <v>0</v>
      </c>
      <c r="N13" s="5">
        <f t="shared" si="20"/>
        <v>0</v>
      </c>
      <c r="O13" s="5">
        <f t="shared" si="20"/>
        <v>1000</v>
      </c>
      <c r="P13" s="59">
        <f t="shared" si="20"/>
        <v>0</v>
      </c>
      <c r="Q13" s="5">
        <f t="shared" si="20"/>
        <v>0</v>
      </c>
      <c r="R13" s="5">
        <f t="shared" si="20"/>
        <v>0</v>
      </c>
      <c r="S13" s="5">
        <f t="shared" si="20"/>
        <v>0</v>
      </c>
      <c r="T13" s="5">
        <f t="shared" si="20"/>
        <v>0</v>
      </c>
      <c r="U13" s="5">
        <f t="shared" si="20"/>
        <v>0</v>
      </c>
      <c r="V13" s="5">
        <f t="shared" si="20"/>
        <v>0</v>
      </c>
      <c r="W13" s="5">
        <f t="shared" si="20"/>
        <v>0</v>
      </c>
      <c r="X13" s="5">
        <f t="shared" si="20"/>
        <v>0</v>
      </c>
      <c r="Y13" s="5">
        <f t="shared" si="20"/>
        <v>0</v>
      </c>
      <c r="Z13" s="5">
        <f t="shared" si="20"/>
        <v>0</v>
      </c>
      <c r="AA13" s="5">
        <f t="shared" si="20"/>
        <v>0</v>
      </c>
      <c r="AB13" s="5">
        <f t="shared" si="20"/>
        <v>0</v>
      </c>
      <c r="AC13" s="5">
        <f t="shared" si="20"/>
        <v>500</v>
      </c>
      <c r="AD13" s="74">
        <f t="shared" si="20"/>
        <v>0</v>
      </c>
      <c r="AE13" s="5">
        <f t="shared" si="20"/>
        <v>0</v>
      </c>
      <c r="AF13" s="5">
        <f t="shared" si="20"/>
        <v>0</v>
      </c>
      <c r="AG13" s="5" t="str">
        <f t="shared" si="20"/>
        <v/>
      </c>
      <c r="AH13" s="5" t="str">
        <f t="shared" si="20"/>
        <v/>
      </c>
      <c r="AI13" s="5" t="str">
        <f t="shared" si="20"/>
        <v/>
      </c>
      <c r="AJ13" s="5" t="str">
        <f t="shared" si="20"/>
        <v/>
      </c>
      <c r="AK13" s="5" t="str">
        <f t="shared" si="20"/>
        <v/>
      </c>
      <c r="AL13" s="5" t="str">
        <f t="shared" si="20"/>
        <v/>
      </c>
      <c r="AM13" s="5" t="str">
        <f t="shared" ref="AM13:AS13" si="21">IF(AM3="","",AM12*AM7)</f>
        <v/>
      </c>
      <c r="AN13" s="5" t="str">
        <f t="shared" si="21"/>
        <v/>
      </c>
      <c r="AO13" s="5" t="str">
        <f t="shared" si="21"/>
        <v/>
      </c>
      <c r="AP13" s="5" t="str">
        <f t="shared" si="21"/>
        <v/>
      </c>
      <c r="AQ13" s="5" t="str">
        <f t="shared" si="21"/>
        <v/>
      </c>
      <c r="AR13" s="5" t="str">
        <f t="shared" si="21"/>
        <v/>
      </c>
      <c r="AS13" s="5" t="str">
        <f t="shared" si="21"/>
        <v/>
      </c>
    </row>
    <row r="14" spans="1:45" s="1" customFormat="1" ht="12" thickBot="1">
      <c r="A14" s="4">
        <f>IF(A13="","",A13/(A10*100))</f>
        <v>4.0322580645161289E-2</v>
      </c>
      <c r="B14" s="6" t="s">
        <v>20</v>
      </c>
      <c r="C14" s="76" t="s">
        <v>21</v>
      </c>
      <c r="D14" s="18" t="str">
        <f t="shared" ref="D14:AL14" si="22">IF(D13="","",IF(D13=0,"",D13/(D10*100)))</f>
        <v/>
      </c>
      <c r="E14" s="18" t="str">
        <f t="shared" si="22"/>
        <v/>
      </c>
      <c r="F14" s="62" t="str">
        <f t="shared" si="22"/>
        <v/>
      </c>
      <c r="G14" s="18" t="str">
        <f t="shared" si="22"/>
        <v/>
      </c>
      <c r="H14" s="18" t="str">
        <f t="shared" si="22"/>
        <v/>
      </c>
      <c r="I14" s="62" t="str">
        <f t="shared" si="22"/>
        <v/>
      </c>
      <c r="J14" s="18" t="str">
        <f t="shared" si="22"/>
        <v/>
      </c>
      <c r="K14" s="18" t="str">
        <f t="shared" si="22"/>
        <v/>
      </c>
      <c r="L14" s="62" t="str">
        <f t="shared" si="22"/>
        <v/>
      </c>
      <c r="M14" s="18" t="str">
        <f t="shared" si="22"/>
        <v/>
      </c>
      <c r="N14" s="18" t="str">
        <f t="shared" si="22"/>
        <v/>
      </c>
      <c r="O14" s="18">
        <f t="shared" si="22"/>
        <v>7.9365079365079361E-2</v>
      </c>
      <c r="P14" s="62" t="str">
        <f t="shared" si="22"/>
        <v/>
      </c>
      <c r="Q14" s="18" t="str">
        <f t="shared" si="22"/>
        <v/>
      </c>
      <c r="R14" s="18" t="str">
        <f t="shared" si="22"/>
        <v/>
      </c>
      <c r="S14" s="18" t="str">
        <f t="shared" si="22"/>
        <v/>
      </c>
      <c r="T14" s="18" t="str">
        <f t="shared" si="22"/>
        <v/>
      </c>
      <c r="U14" s="18" t="str">
        <f t="shared" si="22"/>
        <v/>
      </c>
      <c r="V14" s="18" t="str">
        <f t="shared" si="22"/>
        <v/>
      </c>
      <c r="W14" s="18" t="str">
        <f t="shared" si="22"/>
        <v/>
      </c>
      <c r="X14" s="18" t="str">
        <f t="shared" si="22"/>
        <v/>
      </c>
      <c r="Y14" s="18" t="str">
        <f t="shared" si="22"/>
        <v/>
      </c>
      <c r="Z14" s="18" t="str">
        <f t="shared" si="22"/>
        <v/>
      </c>
      <c r="AA14" s="18" t="str">
        <f t="shared" si="22"/>
        <v/>
      </c>
      <c r="AB14" s="18" t="str">
        <f t="shared" si="22"/>
        <v/>
      </c>
      <c r="AC14" s="18">
        <f t="shared" si="22"/>
        <v>9.0909090909090912E-2</v>
      </c>
      <c r="AD14" s="76" t="str">
        <f t="shared" si="22"/>
        <v/>
      </c>
      <c r="AE14" s="18" t="str">
        <f t="shared" si="22"/>
        <v/>
      </c>
      <c r="AF14" s="18" t="str">
        <f t="shared" si="22"/>
        <v/>
      </c>
      <c r="AG14" s="18" t="str">
        <f t="shared" si="22"/>
        <v/>
      </c>
      <c r="AH14" s="18" t="str">
        <f t="shared" si="22"/>
        <v/>
      </c>
      <c r="AI14" s="18" t="str">
        <f t="shared" si="22"/>
        <v/>
      </c>
      <c r="AJ14" s="18" t="str">
        <f t="shared" si="22"/>
        <v/>
      </c>
      <c r="AK14" s="18" t="str">
        <f t="shared" si="22"/>
        <v/>
      </c>
      <c r="AL14" s="18" t="str">
        <f t="shared" si="22"/>
        <v/>
      </c>
      <c r="AM14" s="18" t="str">
        <f t="shared" ref="AM14:AS14" si="23">IF(AM13="","",IF(AM13=0,"",AM13/(AM10*100)))</f>
        <v/>
      </c>
      <c r="AN14" s="18" t="str">
        <f t="shared" si="23"/>
        <v/>
      </c>
      <c r="AO14" s="18" t="str">
        <f t="shared" si="23"/>
        <v/>
      </c>
      <c r="AP14" s="18" t="str">
        <f t="shared" si="23"/>
        <v/>
      </c>
      <c r="AQ14" s="18" t="str">
        <f t="shared" si="23"/>
        <v/>
      </c>
      <c r="AR14" s="18" t="str">
        <f t="shared" si="23"/>
        <v/>
      </c>
      <c r="AS14" s="18" t="str">
        <f t="shared" si="23"/>
        <v/>
      </c>
    </row>
    <row r="15" spans="1:45" s="1" customFormat="1" ht="11">
      <c r="A15" s="17" t="s">
        <v>61</v>
      </c>
      <c r="B15" s="9" t="s">
        <v>2</v>
      </c>
      <c r="C15" s="74">
        <v>5792</v>
      </c>
      <c r="D15" s="8">
        <f>IF(D3="","",C15)</f>
        <v>5792</v>
      </c>
      <c r="E15" s="8">
        <v>5830</v>
      </c>
      <c r="F15" s="59">
        <f>IF(F3="","",E15)</f>
        <v>5830</v>
      </c>
      <c r="G15" s="8">
        <f>IF(G3="","",F15)</f>
        <v>5830</v>
      </c>
      <c r="H15" s="8">
        <v>5875</v>
      </c>
      <c r="I15" s="59">
        <f>IF(I3="","",H15)</f>
        <v>5875</v>
      </c>
      <c r="J15" s="8">
        <f>IF(J3="","",I15)</f>
        <v>5875</v>
      </c>
      <c r="K15" s="8">
        <v>5966</v>
      </c>
      <c r="L15" s="59">
        <f>IF(L3="","",K15)</f>
        <v>5966</v>
      </c>
      <c r="M15" s="8">
        <f>IF(M3="","",L15)</f>
        <v>5966</v>
      </c>
      <c r="N15" s="8">
        <f>IF(N3="","",M15)</f>
        <v>5966</v>
      </c>
      <c r="O15" s="8">
        <v>6041</v>
      </c>
      <c r="P15" s="59">
        <f>IF(P3="","",O15)</f>
        <v>6041</v>
      </c>
      <c r="Q15" s="8">
        <f>IF(Q3="","",P15)</f>
        <v>6041</v>
      </c>
      <c r="R15" s="8">
        <v>6131</v>
      </c>
      <c r="S15" s="8">
        <f t="shared" ref="S15:AL15" si="24">IF(S3="","",R15)</f>
        <v>6131</v>
      </c>
      <c r="T15" s="8">
        <f t="shared" si="24"/>
        <v>6131</v>
      </c>
      <c r="U15" s="8">
        <f t="shared" si="24"/>
        <v>6131</v>
      </c>
      <c r="V15" s="8">
        <v>6150</v>
      </c>
      <c r="W15" s="8">
        <f t="shared" si="24"/>
        <v>6150</v>
      </c>
      <c r="X15" s="8">
        <f t="shared" si="24"/>
        <v>6150</v>
      </c>
      <c r="Y15" s="8">
        <v>6230</v>
      </c>
      <c r="Z15" s="8">
        <f t="shared" si="24"/>
        <v>6230</v>
      </c>
      <c r="AA15" s="8">
        <f t="shared" si="24"/>
        <v>6230</v>
      </c>
      <c r="AB15" s="8">
        <f t="shared" si="24"/>
        <v>6230</v>
      </c>
      <c r="AC15" s="8">
        <v>6317</v>
      </c>
      <c r="AD15" s="74">
        <f t="shared" si="24"/>
        <v>6317</v>
      </c>
      <c r="AE15" s="8">
        <f t="shared" si="24"/>
        <v>6317</v>
      </c>
      <c r="AF15" s="8">
        <v>6378</v>
      </c>
      <c r="AG15" s="8" t="str">
        <f t="shared" si="24"/>
        <v/>
      </c>
      <c r="AH15" s="8" t="str">
        <f t="shared" si="24"/>
        <v/>
      </c>
      <c r="AI15" s="8" t="str">
        <f t="shared" si="24"/>
        <v/>
      </c>
      <c r="AJ15" s="8" t="str">
        <f t="shared" si="24"/>
        <v/>
      </c>
      <c r="AK15" s="8" t="str">
        <f t="shared" si="24"/>
        <v/>
      </c>
      <c r="AL15" s="8" t="str">
        <f t="shared" si="24"/>
        <v/>
      </c>
      <c r="AM15" s="8" t="str">
        <f t="shared" ref="AM15:AS15" si="25">IF(AM3="","",AL15)</f>
        <v/>
      </c>
      <c r="AN15" s="8" t="str">
        <f t="shared" si="25"/>
        <v/>
      </c>
      <c r="AO15" s="8" t="str">
        <f t="shared" si="25"/>
        <v/>
      </c>
      <c r="AP15" s="8" t="str">
        <f t="shared" si="25"/>
        <v/>
      </c>
      <c r="AQ15" s="8" t="str">
        <f t="shared" si="25"/>
        <v/>
      </c>
      <c r="AR15" s="8" t="str">
        <f t="shared" si="25"/>
        <v/>
      </c>
      <c r="AS15" s="8" t="str">
        <f t="shared" si="25"/>
        <v/>
      </c>
    </row>
    <row r="16" spans="1:45" s="1" customFormat="1" ht="11">
      <c r="A16" s="16" t="s">
        <v>3</v>
      </c>
      <c r="B16" s="9" t="s">
        <v>4</v>
      </c>
      <c r="C16" s="74">
        <v>80</v>
      </c>
      <c r="D16" s="8">
        <f>IF(D3="","",C16)</f>
        <v>80</v>
      </c>
      <c r="E16" s="8">
        <v>81</v>
      </c>
      <c r="F16" s="59">
        <f>IF(F3="","",E16)</f>
        <v>81</v>
      </c>
      <c r="G16" s="8">
        <f>IF(G3="","",F16)</f>
        <v>81</v>
      </c>
      <c r="H16" s="8">
        <v>82</v>
      </c>
      <c r="I16" s="59">
        <f>IF(I3="","",H16)</f>
        <v>82</v>
      </c>
      <c r="J16" s="8">
        <f>IF(J3="","",I16)</f>
        <v>82</v>
      </c>
      <c r="K16" s="8">
        <v>83</v>
      </c>
      <c r="L16" s="59">
        <f>IF(L3="","",K16)</f>
        <v>83</v>
      </c>
      <c r="M16" s="8">
        <f>IF(M3="","",L16)</f>
        <v>83</v>
      </c>
      <c r="N16" s="8">
        <f>IF(N3="","",M16)</f>
        <v>83</v>
      </c>
      <c r="O16" s="8">
        <v>84</v>
      </c>
      <c r="P16" s="59">
        <f t="shared" ref="P16:AL16" si="26">IF(P3="","",O16)</f>
        <v>84</v>
      </c>
      <c r="Q16" s="8">
        <f t="shared" si="26"/>
        <v>84</v>
      </c>
      <c r="R16" s="8">
        <f t="shared" si="26"/>
        <v>84</v>
      </c>
      <c r="S16" s="8">
        <f t="shared" si="26"/>
        <v>84</v>
      </c>
      <c r="T16" s="8">
        <f t="shared" si="26"/>
        <v>84</v>
      </c>
      <c r="U16" s="8">
        <f t="shared" si="26"/>
        <v>84</v>
      </c>
      <c r="V16" s="8">
        <f t="shared" si="26"/>
        <v>84</v>
      </c>
      <c r="W16" s="8">
        <f t="shared" si="26"/>
        <v>84</v>
      </c>
      <c r="X16" s="8">
        <f t="shared" si="26"/>
        <v>84</v>
      </c>
      <c r="Y16" s="8">
        <v>85</v>
      </c>
      <c r="Z16" s="8">
        <f t="shared" si="26"/>
        <v>85</v>
      </c>
      <c r="AA16" s="8">
        <f t="shared" si="26"/>
        <v>85</v>
      </c>
      <c r="AB16" s="8">
        <f t="shared" si="26"/>
        <v>85</v>
      </c>
      <c r="AC16" s="8">
        <v>86</v>
      </c>
      <c r="AD16" s="74">
        <f t="shared" si="26"/>
        <v>86</v>
      </c>
      <c r="AE16" s="8">
        <f t="shared" si="26"/>
        <v>86</v>
      </c>
      <c r="AF16" s="8">
        <v>87</v>
      </c>
      <c r="AG16" s="8" t="str">
        <f t="shared" si="26"/>
        <v/>
      </c>
      <c r="AH16" s="8" t="str">
        <f t="shared" si="26"/>
        <v/>
      </c>
      <c r="AI16" s="8" t="str">
        <f t="shared" si="26"/>
        <v/>
      </c>
      <c r="AJ16" s="8" t="str">
        <f t="shared" si="26"/>
        <v/>
      </c>
      <c r="AK16" s="8" t="str">
        <f t="shared" si="26"/>
        <v/>
      </c>
      <c r="AL16" s="8" t="str">
        <f t="shared" si="26"/>
        <v/>
      </c>
      <c r="AM16" s="8" t="str">
        <f t="shared" ref="AM16:AS16" si="27">IF(AM3="","",AL16)</f>
        <v/>
      </c>
      <c r="AN16" s="8" t="str">
        <f t="shared" si="27"/>
        <v/>
      </c>
      <c r="AO16" s="8" t="str">
        <f t="shared" si="27"/>
        <v/>
      </c>
      <c r="AP16" s="8" t="str">
        <f t="shared" si="27"/>
        <v/>
      </c>
      <c r="AQ16" s="8" t="str">
        <f t="shared" si="27"/>
        <v/>
      </c>
      <c r="AR16" s="8" t="str">
        <f t="shared" si="27"/>
        <v/>
      </c>
      <c r="AS16" s="8" t="str">
        <f t="shared" si="27"/>
        <v/>
      </c>
    </row>
    <row r="17" spans="1:45" s="1" customFormat="1" ht="11">
      <c r="A17" s="15">
        <v>2</v>
      </c>
      <c r="B17" s="9" t="s">
        <v>5</v>
      </c>
      <c r="C17" s="74">
        <v>5</v>
      </c>
      <c r="D17" s="8">
        <f>IF(D15="","",(C17+C18))</f>
        <v>5</v>
      </c>
      <c r="E17" s="8">
        <f>IF(E15="","",(D17+D18))</f>
        <v>5</v>
      </c>
      <c r="F17" s="59">
        <f>IF(F15="","",(E17+E18))</f>
        <v>5</v>
      </c>
      <c r="G17" s="8">
        <f>IF(G15="","",(F17+F18))</f>
        <v>5</v>
      </c>
      <c r="H17" s="8">
        <v>4</v>
      </c>
      <c r="I17" s="59">
        <f>IF(I15="","",(H17+H18))</f>
        <v>5</v>
      </c>
      <c r="J17" s="8">
        <f>IF(J15="","",(I17+I18))</f>
        <v>5</v>
      </c>
      <c r="K17" s="8">
        <v>4</v>
      </c>
      <c r="L17" s="59">
        <f>IF(L15="","",(K17+K18))</f>
        <v>7</v>
      </c>
      <c r="M17" s="8">
        <f>IF(M15="","",(L17+L18))</f>
        <v>7</v>
      </c>
      <c r="N17" s="8">
        <f>IF(N15="","",(M17+M18))</f>
        <v>7</v>
      </c>
      <c r="O17" s="8">
        <v>6</v>
      </c>
      <c r="P17" s="59">
        <f t="shared" ref="P17:AL17" si="28">IF(P15="","",(O17+O18))</f>
        <v>7</v>
      </c>
      <c r="Q17" s="8">
        <f t="shared" si="28"/>
        <v>7</v>
      </c>
      <c r="R17" s="8">
        <f t="shared" si="28"/>
        <v>7</v>
      </c>
      <c r="S17" s="8">
        <f t="shared" si="28"/>
        <v>7</v>
      </c>
      <c r="T17" s="8">
        <f t="shared" si="28"/>
        <v>7</v>
      </c>
      <c r="U17" s="8">
        <f t="shared" si="28"/>
        <v>7</v>
      </c>
      <c r="V17" s="8">
        <f t="shared" si="28"/>
        <v>7</v>
      </c>
      <c r="W17" s="8">
        <f t="shared" si="28"/>
        <v>7</v>
      </c>
      <c r="X17" s="8">
        <f t="shared" si="28"/>
        <v>7</v>
      </c>
      <c r="Y17" s="8">
        <f t="shared" si="28"/>
        <v>7</v>
      </c>
      <c r="Z17" s="8">
        <f t="shared" si="28"/>
        <v>7</v>
      </c>
      <c r="AA17" s="8">
        <f t="shared" si="28"/>
        <v>7</v>
      </c>
      <c r="AB17" s="8">
        <f t="shared" si="28"/>
        <v>7</v>
      </c>
      <c r="AC17" s="8">
        <f t="shared" si="28"/>
        <v>7</v>
      </c>
      <c r="AD17" s="74">
        <f t="shared" si="28"/>
        <v>7</v>
      </c>
      <c r="AE17" s="8">
        <f t="shared" si="28"/>
        <v>7</v>
      </c>
      <c r="AF17" s="8">
        <v>5</v>
      </c>
      <c r="AG17" s="8" t="str">
        <f t="shared" si="28"/>
        <v/>
      </c>
      <c r="AH17" s="8" t="str">
        <f t="shared" si="28"/>
        <v/>
      </c>
      <c r="AI17" s="8" t="str">
        <f t="shared" si="28"/>
        <v/>
      </c>
      <c r="AJ17" s="8" t="str">
        <f t="shared" si="28"/>
        <v/>
      </c>
      <c r="AK17" s="8" t="str">
        <f t="shared" si="28"/>
        <v/>
      </c>
      <c r="AL17" s="8" t="str">
        <f t="shared" si="28"/>
        <v/>
      </c>
      <c r="AM17" s="8" t="str">
        <f t="shared" ref="AM17:AS17" si="29">IF(AM15="","",(AL17+AL18))</f>
        <v/>
      </c>
      <c r="AN17" s="8" t="str">
        <f t="shared" si="29"/>
        <v/>
      </c>
      <c r="AO17" s="8" t="str">
        <f t="shared" si="29"/>
        <v/>
      </c>
      <c r="AP17" s="8" t="str">
        <f t="shared" si="29"/>
        <v/>
      </c>
      <c r="AQ17" s="8" t="str">
        <f t="shared" si="29"/>
        <v/>
      </c>
      <c r="AR17" s="8" t="str">
        <f t="shared" si="29"/>
        <v/>
      </c>
      <c r="AS17" s="8" t="str">
        <f t="shared" si="29"/>
        <v/>
      </c>
    </row>
    <row r="18" spans="1:45" s="1" customFormat="1" ht="11">
      <c r="A18" s="14"/>
      <c r="B18" s="9" t="s">
        <v>7</v>
      </c>
      <c r="C18" s="74"/>
      <c r="D18" s="8"/>
      <c r="E18" s="8"/>
      <c r="F18" s="59"/>
      <c r="G18" s="8"/>
      <c r="H18" s="8">
        <v>1</v>
      </c>
      <c r="I18" s="59"/>
      <c r="J18" s="8"/>
      <c r="K18" s="8">
        <v>3</v>
      </c>
      <c r="L18" s="59"/>
      <c r="M18" s="8"/>
      <c r="N18" s="8"/>
      <c r="O18" s="8">
        <v>1</v>
      </c>
      <c r="P18" s="59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74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s="1" customFormat="1" ht="11">
      <c r="A19" s="7"/>
      <c r="B19" s="9" t="s">
        <v>8</v>
      </c>
      <c r="C19" s="74">
        <v>800</v>
      </c>
      <c r="D19" s="8">
        <f t="shared" ref="D19:AL19" si="30">IF(D15="","",C19)</f>
        <v>800</v>
      </c>
      <c r="E19" s="8">
        <f t="shared" si="30"/>
        <v>800</v>
      </c>
      <c r="F19" s="59">
        <f t="shared" si="30"/>
        <v>800</v>
      </c>
      <c r="G19" s="8">
        <f t="shared" si="30"/>
        <v>800</v>
      </c>
      <c r="H19" s="8">
        <f t="shared" si="30"/>
        <v>800</v>
      </c>
      <c r="I19" s="59">
        <f t="shared" si="30"/>
        <v>800</v>
      </c>
      <c r="J19" s="8">
        <f t="shared" si="30"/>
        <v>800</v>
      </c>
      <c r="K19" s="8">
        <f t="shared" si="30"/>
        <v>800</v>
      </c>
      <c r="L19" s="59">
        <f t="shared" si="30"/>
        <v>800</v>
      </c>
      <c r="M19" s="8">
        <f t="shared" si="30"/>
        <v>800</v>
      </c>
      <c r="N19" s="8">
        <f t="shared" si="30"/>
        <v>800</v>
      </c>
      <c r="O19" s="8">
        <f t="shared" si="30"/>
        <v>800</v>
      </c>
      <c r="P19" s="59">
        <f t="shared" si="30"/>
        <v>800</v>
      </c>
      <c r="Q19" s="8">
        <f t="shared" si="30"/>
        <v>800</v>
      </c>
      <c r="R19" s="8">
        <f t="shared" si="30"/>
        <v>800</v>
      </c>
      <c r="S19" s="8">
        <f t="shared" si="30"/>
        <v>800</v>
      </c>
      <c r="T19" s="8">
        <f t="shared" si="30"/>
        <v>800</v>
      </c>
      <c r="U19" s="8">
        <f t="shared" si="30"/>
        <v>800</v>
      </c>
      <c r="V19" s="8">
        <f t="shared" si="30"/>
        <v>800</v>
      </c>
      <c r="W19" s="8">
        <f t="shared" si="30"/>
        <v>800</v>
      </c>
      <c r="X19" s="8">
        <f t="shared" si="30"/>
        <v>800</v>
      </c>
      <c r="Y19" s="8">
        <f t="shared" si="30"/>
        <v>800</v>
      </c>
      <c r="Z19" s="8">
        <f t="shared" si="30"/>
        <v>800</v>
      </c>
      <c r="AA19" s="8">
        <f t="shared" si="30"/>
        <v>800</v>
      </c>
      <c r="AB19" s="8">
        <f t="shared" si="30"/>
        <v>800</v>
      </c>
      <c r="AC19" s="8">
        <f t="shared" si="30"/>
        <v>800</v>
      </c>
      <c r="AD19" s="74">
        <f t="shared" si="30"/>
        <v>800</v>
      </c>
      <c r="AE19" s="8">
        <f t="shared" si="30"/>
        <v>800</v>
      </c>
      <c r="AF19" s="8">
        <f t="shared" si="30"/>
        <v>800</v>
      </c>
      <c r="AG19" s="8" t="str">
        <f t="shared" si="30"/>
        <v/>
      </c>
      <c r="AH19" s="8" t="str">
        <f t="shared" si="30"/>
        <v/>
      </c>
      <c r="AI19" s="8" t="str">
        <f t="shared" si="30"/>
        <v/>
      </c>
      <c r="AJ19" s="8" t="str">
        <f t="shared" si="30"/>
        <v/>
      </c>
      <c r="AK19" s="8" t="str">
        <f t="shared" si="30"/>
        <v/>
      </c>
      <c r="AL19" s="8" t="str">
        <f t="shared" si="30"/>
        <v/>
      </c>
      <c r="AM19" s="8" t="str">
        <f t="shared" ref="AM19:AS19" si="31">IF(AM15="","",AL19)</f>
        <v/>
      </c>
      <c r="AN19" s="8" t="str">
        <f t="shared" si="31"/>
        <v/>
      </c>
      <c r="AO19" s="8" t="str">
        <f t="shared" si="31"/>
        <v/>
      </c>
      <c r="AP19" s="8" t="str">
        <f t="shared" si="31"/>
        <v/>
      </c>
      <c r="AQ19" s="8" t="str">
        <f t="shared" si="31"/>
        <v/>
      </c>
      <c r="AR19" s="8" t="str">
        <f t="shared" si="31"/>
        <v/>
      </c>
      <c r="AS19" s="8" t="str">
        <f t="shared" si="31"/>
        <v/>
      </c>
    </row>
    <row r="20" spans="1:45" s="94" customFormat="1" ht="11">
      <c r="A20" s="14" t="s">
        <v>9</v>
      </c>
      <c r="B20" s="13" t="s">
        <v>10</v>
      </c>
      <c r="C20" s="75" t="s">
        <v>63</v>
      </c>
      <c r="D20" s="12" t="str">
        <f t="shared" ref="D20:AL20" si="32">IF(D15="","",C20)</f>
        <v>ミニデジタルカメラ</v>
      </c>
      <c r="E20" s="12" t="str">
        <f t="shared" si="32"/>
        <v>ミニデジタルカメラ</v>
      </c>
      <c r="F20" s="131" t="str">
        <f t="shared" si="32"/>
        <v>ミニデジタルカメラ</v>
      </c>
      <c r="G20" s="12" t="str">
        <f t="shared" si="32"/>
        <v>ミニデジタルカメラ</v>
      </c>
      <c r="H20" s="12" t="str">
        <f t="shared" si="32"/>
        <v>ミニデジタルカメラ</v>
      </c>
      <c r="I20" s="131" t="str">
        <f t="shared" si="32"/>
        <v>ミニデジタルカメラ</v>
      </c>
      <c r="J20" s="12" t="str">
        <f t="shared" si="32"/>
        <v>ミニデジタルカメラ</v>
      </c>
      <c r="K20" s="12" t="str">
        <f t="shared" si="32"/>
        <v>ミニデジタルカメラ</v>
      </c>
      <c r="L20" s="131" t="str">
        <f t="shared" si="32"/>
        <v>ミニデジタルカメラ</v>
      </c>
      <c r="M20" s="12" t="str">
        <f t="shared" si="32"/>
        <v>ミニデジタルカメラ</v>
      </c>
      <c r="N20" s="12" t="str">
        <f t="shared" si="32"/>
        <v>ミニデジタルカメラ</v>
      </c>
      <c r="O20" s="12" t="str">
        <f t="shared" si="32"/>
        <v>ミニデジタルカメラ</v>
      </c>
      <c r="P20" s="131" t="str">
        <f t="shared" si="32"/>
        <v>ミニデジタルカメラ</v>
      </c>
      <c r="Q20" s="12" t="str">
        <f t="shared" si="32"/>
        <v>ミニデジタルカメラ</v>
      </c>
      <c r="R20" s="12" t="str">
        <f t="shared" si="32"/>
        <v>ミニデジタルカメラ</v>
      </c>
      <c r="S20" s="12" t="str">
        <f t="shared" si="32"/>
        <v>ミニデジタルカメラ</v>
      </c>
      <c r="T20" s="12" t="str">
        <f t="shared" si="32"/>
        <v>ミニデジタルカメラ</v>
      </c>
      <c r="U20" s="12" t="str">
        <f t="shared" si="32"/>
        <v>ミニデジタルカメラ</v>
      </c>
      <c r="V20" s="12" t="str">
        <f t="shared" si="32"/>
        <v>ミニデジタルカメラ</v>
      </c>
      <c r="W20" s="12" t="str">
        <f t="shared" si="32"/>
        <v>ミニデジタルカメラ</v>
      </c>
      <c r="X20" s="12" t="str">
        <f t="shared" si="32"/>
        <v>ミニデジタルカメラ</v>
      </c>
      <c r="Y20" s="12" t="str">
        <f t="shared" si="32"/>
        <v>ミニデジタルカメラ</v>
      </c>
      <c r="Z20" s="12" t="str">
        <f t="shared" si="32"/>
        <v>ミニデジタルカメラ</v>
      </c>
      <c r="AA20" s="12" t="str">
        <f t="shared" si="32"/>
        <v>ミニデジタルカメラ</v>
      </c>
      <c r="AB20" s="12" t="str">
        <f t="shared" si="32"/>
        <v>ミニデジタルカメラ</v>
      </c>
      <c r="AC20" s="12" t="str">
        <f t="shared" si="32"/>
        <v>ミニデジタルカメラ</v>
      </c>
      <c r="AD20" s="75" t="str">
        <f t="shared" si="32"/>
        <v>ミニデジタルカメラ</v>
      </c>
      <c r="AE20" s="12" t="str">
        <f t="shared" si="32"/>
        <v>ミニデジタルカメラ</v>
      </c>
      <c r="AF20" s="12" t="str">
        <f t="shared" si="32"/>
        <v>ミニデジタルカメラ</v>
      </c>
      <c r="AG20" s="12" t="str">
        <f t="shared" si="32"/>
        <v/>
      </c>
      <c r="AH20" s="12" t="str">
        <f t="shared" si="32"/>
        <v/>
      </c>
      <c r="AI20" s="12" t="str">
        <f t="shared" si="32"/>
        <v/>
      </c>
      <c r="AJ20" s="12" t="str">
        <f t="shared" si="32"/>
        <v/>
      </c>
      <c r="AK20" s="12" t="str">
        <f t="shared" si="32"/>
        <v/>
      </c>
      <c r="AL20" s="12" t="str">
        <f t="shared" si="32"/>
        <v/>
      </c>
      <c r="AM20" s="12" t="str">
        <f t="shared" ref="AM20:AS20" si="33">IF(AM15="","",AL20)</f>
        <v/>
      </c>
      <c r="AN20" s="12" t="str">
        <f t="shared" si="33"/>
        <v/>
      </c>
      <c r="AO20" s="12" t="str">
        <f t="shared" si="33"/>
        <v/>
      </c>
      <c r="AP20" s="12" t="str">
        <f t="shared" si="33"/>
        <v/>
      </c>
      <c r="AQ20" s="12" t="str">
        <f t="shared" si="33"/>
        <v/>
      </c>
      <c r="AR20" s="12" t="str">
        <f t="shared" si="33"/>
        <v/>
      </c>
      <c r="AS20" s="12" t="str">
        <f t="shared" si="33"/>
        <v/>
      </c>
    </row>
    <row r="21" spans="1:45" s="1" customFormat="1" ht="11">
      <c r="A21" s="7">
        <f>AVERAGE(C22:AS22)*30*100</f>
        <v>58600</v>
      </c>
      <c r="B21" s="9" t="s">
        <v>14</v>
      </c>
      <c r="C21" s="74"/>
      <c r="D21" s="8"/>
      <c r="E21" s="8"/>
      <c r="F21" s="59"/>
      <c r="G21" s="8"/>
      <c r="H21" s="8"/>
      <c r="I21" s="59"/>
      <c r="J21" s="8"/>
      <c r="K21" s="8"/>
      <c r="L21" s="59"/>
      <c r="M21" s="8"/>
      <c r="N21" s="8"/>
      <c r="O21" s="8"/>
      <c r="P21" s="5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74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s="1" customFormat="1" ht="11">
      <c r="A22" s="7">
        <f>SUM(C22:AS22)</f>
        <v>586</v>
      </c>
      <c r="B22" s="6" t="s">
        <v>15</v>
      </c>
      <c r="C22" s="74">
        <v>0</v>
      </c>
      <c r="D22" s="5">
        <f t="shared" ref="D22:AL22" si="34">IF(D15="","",D15-C15)</f>
        <v>0</v>
      </c>
      <c r="E22" s="5">
        <f t="shared" si="34"/>
        <v>38</v>
      </c>
      <c r="F22" s="59">
        <f t="shared" si="34"/>
        <v>0</v>
      </c>
      <c r="G22" s="5">
        <f t="shared" si="34"/>
        <v>0</v>
      </c>
      <c r="H22" s="5">
        <f t="shared" si="34"/>
        <v>45</v>
      </c>
      <c r="I22" s="59">
        <f t="shared" si="34"/>
        <v>0</v>
      </c>
      <c r="J22" s="5">
        <f t="shared" si="34"/>
        <v>0</v>
      </c>
      <c r="K22" s="5">
        <f t="shared" si="34"/>
        <v>91</v>
      </c>
      <c r="L22" s="59">
        <f t="shared" si="34"/>
        <v>0</v>
      </c>
      <c r="M22" s="5">
        <f t="shared" si="34"/>
        <v>0</v>
      </c>
      <c r="N22" s="5">
        <f t="shared" si="34"/>
        <v>0</v>
      </c>
      <c r="O22" s="5">
        <f t="shared" si="34"/>
        <v>75</v>
      </c>
      <c r="P22" s="59">
        <f t="shared" si="34"/>
        <v>0</v>
      </c>
      <c r="Q22" s="5">
        <f t="shared" si="34"/>
        <v>0</v>
      </c>
      <c r="R22" s="5">
        <f t="shared" si="34"/>
        <v>90</v>
      </c>
      <c r="S22" s="5">
        <f t="shared" si="34"/>
        <v>0</v>
      </c>
      <c r="T22" s="5">
        <f t="shared" si="34"/>
        <v>0</v>
      </c>
      <c r="U22" s="5">
        <f t="shared" si="34"/>
        <v>0</v>
      </c>
      <c r="V22" s="5">
        <f t="shared" si="34"/>
        <v>19</v>
      </c>
      <c r="W22" s="5">
        <f t="shared" si="34"/>
        <v>0</v>
      </c>
      <c r="X22" s="5">
        <f t="shared" si="34"/>
        <v>0</v>
      </c>
      <c r="Y22" s="5">
        <f t="shared" si="34"/>
        <v>80</v>
      </c>
      <c r="Z22" s="5">
        <f t="shared" si="34"/>
        <v>0</v>
      </c>
      <c r="AA22" s="5">
        <f t="shared" si="34"/>
        <v>0</v>
      </c>
      <c r="AB22" s="5">
        <f t="shared" si="34"/>
        <v>0</v>
      </c>
      <c r="AC22" s="5">
        <f t="shared" si="34"/>
        <v>87</v>
      </c>
      <c r="AD22" s="74">
        <f t="shared" si="34"/>
        <v>0</v>
      </c>
      <c r="AE22" s="5">
        <f t="shared" si="34"/>
        <v>0</v>
      </c>
      <c r="AF22" s="5">
        <f t="shared" si="34"/>
        <v>61</v>
      </c>
      <c r="AG22" s="5" t="str">
        <f t="shared" si="34"/>
        <v/>
      </c>
      <c r="AH22" s="5" t="str">
        <f t="shared" si="34"/>
        <v/>
      </c>
      <c r="AI22" s="5" t="str">
        <f t="shared" si="34"/>
        <v/>
      </c>
      <c r="AJ22" s="5" t="str">
        <f t="shared" si="34"/>
        <v/>
      </c>
      <c r="AK22" s="5" t="str">
        <f t="shared" si="34"/>
        <v/>
      </c>
      <c r="AL22" s="5" t="str">
        <f t="shared" si="34"/>
        <v/>
      </c>
      <c r="AM22" s="5" t="str">
        <f t="shared" ref="AM22:AS22" si="35">IF(AM15="","",AM15-AL15)</f>
        <v/>
      </c>
      <c r="AN22" s="5" t="str">
        <f t="shared" si="35"/>
        <v/>
      </c>
      <c r="AO22" s="5" t="str">
        <f t="shared" si="35"/>
        <v/>
      </c>
      <c r="AP22" s="5" t="str">
        <f t="shared" si="35"/>
        <v/>
      </c>
      <c r="AQ22" s="5" t="str">
        <f t="shared" si="35"/>
        <v/>
      </c>
      <c r="AR22" s="5" t="str">
        <f t="shared" si="35"/>
        <v/>
      </c>
      <c r="AS22" s="5" t="str">
        <f t="shared" si="35"/>
        <v/>
      </c>
    </row>
    <row r="23" spans="1:45" s="1" customFormat="1" ht="11">
      <c r="A23" s="7">
        <f>SUM(C23:AS23)</f>
        <v>7</v>
      </c>
      <c r="B23" s="6" t="s">
        <v>16</v>
      </c>
      <c r="C23" s="74">
        <v>0</v>
      </c>
      <c r="D23" s="5">
        <f t="shared" ref="D23:AL23" si="36">IF(D16="","",D16-C16)</f>
        <v>0</v>
      </c>
      <c r="E23" s="5">
        <f t="shared" si="36"/>
        <v>1</v>
      </c>
      <c r="F23" s="59">
        <f t="shared" si="36"/>
        <v>0</v>
      </c>
      <c r="G23" s="5">
        <f t="shared" si="36"/>
        <v>0</v>
      </c>
      <c r="H23" s="5">
        <f t="shared" si="36"/>
        <v>1</v>
      </c>
      <c r="I23" s="59">
        <f t="shared" si="36"/>
        <v>0</v>
      </c>
      <c r="J23" s="5">
        <f t="shared" si="36"/>
        <v>0</v>
      </c>
      <c r="K23" s="5">
        <f t="shared" si="36"/>
        <v>1</v>
      </c>
      <c r="L23" s="59">
        <f t="shared" si="36"/>
        <v>0</v>
      </c>
      <c r="M23" s="5">
        <f t="shared" si="36"/>
        <v>0</v>
      </c>
      <c r="N23" s="5">
        <f t="shared" si="36"/>
        <v>0</v>
      </c>
      <c r="O23" s="5">
        <f t="shared" si="36"/>
        <v>1</v>
      </c>
      <c r="P23" s="59">
        <f t="shared" si="36"/>
        <v>0</v>
      </c>
      <c r="Q23" s="5">
        <f t="shared" si="36"/>
        <v>0</v>
      </c>
      <c r="R23" s="5">
        <f t="shared" si="36"/>
        <v>0</v>
      </c>
      <c r="S23" s="5">
        <f t="shared" si="36"/>
        <v>0</v>
      </c>
      <c r="T23" s="5">
        <f t="shared" si="36"/>
        <v>0</v>
      </c>
      <c r="U23" s="5">
        <f t="shared" si="36"/>
        <v>0</v>
      </c>
      <c r="V23" s="5">
        <f t="shared" si="36"/>
        <v>0</v>
      </c>
      <c r="W23" s="5">
        <f t="shared" si="36"/>
        <v>0</v>
      </c>
      <c r="X23" s="5">
        <f t="shared" si="36"/>
        <v>0</v>
      </c>
      <c r="Y23" s="5">
        <f t="shared" si="36"/>
        <v>1</v>
      </c>
      <c r="Z23" s="5">
        <f t="shared" si="36"/>
        <v>0</v>
      </c>
      <c r="AA23" s="5">
        <f t="shared" si="36"/>
        <v>0</v>
      </c>
      <c r="AB23" s="5">
        <f t="shared" si="36"/>
        <v>0</v>
      </c>
      <c r="AC23" s="5">
        <f t="shared" si="36"/>
        <v>1</v>
      </c>
      <c r="AD23" s="74">
        <f t="shared" si="36"/>
        <v>0</v>
      </c>
      <c r="AE23" s="5">
        <f t="shared" si="36"/>
        <v>0</v>
      </c>
      <c r="AF23" s="5">
        <f t="shared" si="36"/>
        <v>1</v>
      </c>
      <c r="AG23" s="5" t="str">
        <f t="shared" si="36"/>
        <v/>
      </c>
      <c r="AH23" s="5" t="str">
        <f t="shared" si="36"/>
        <v/>
      </c>
      <c r="AI23" s="5" t="str">
        <f t="shared" si="36"/>
        <v/>
      </c>
      <c r="AJ23" s="5" t="str">
        <f t="shared" si="36"/>
        <v/>
      </c>
      <c r="AK23" s="5" t="str">
        <f t="shared" si="36"/>
        <v/>
      </c>
      <c r="AL23" s="5" t="str">
        <f t="shared" si="36"/>
        <v/>
      </c>
      <c r="AM23" s="5" t="str">
        <f t="shared" ref="AM23:AS23" si="37">IF(AM16="","",AM16-AL16)</f>
        <v/>
      </c>
      <c r="AN23" s="5" t="str">
        <f t="shared" si="37"/>
        <v/>
      </c>
      <c r="AO23" s="5" t="str">
        <f t="shared" si="37"/>
        <v/>
      </c>
      <c r="AP23" s="5" t="str">
        <f t="shared" si="37"/>
        <v/>
      </c>
      <c r="AQ23" s="5" t="str">
        <f t="shared" si="37"/>
        <v/>
      </c>
      <c r="AR23" s="5" t="str">
        <f t="shared" si="37"/>
        <v/>
      </c>
      <c r="AS23" s="5" t="str">
        <f t="shared" si="37"/>
        <v/>
      </c>
    </row>
    <row r="24" spans="1:45" s="1" customFormat="1" ht="11">
      <c r="A24" s="7">
        <f>SUM(C24:AS24)</f>
        <v>5</v>
      </c>
      <c r="B24" s="6" t="s">
        <v>17</v>
      </c>
      <c r="C24" s="74">
        <v>0</v>
      </c>
      <c r="D24" s="5">
        <f t="shared" ref="D24:AL24" si="38">IF(D17="","",C17+C18-D17)</f>
        <v>0</v>
      </c>
      <c r="E24" s="5">
        <f t="shared" si="38"/>
        <v>0</v>
      </c>
      <c r="F24" s="59">
        <f t="shared" si="38"/>
        <v>0</v>
      </c>
      <c r="G24" s="5">
        <f t="shared" si="38"/>
        <v>0</v>
      </c>
      <c r="H24" s="5">
        <f t="shared" si="38"/>
        <v>1</v>
      </c>
      <c r="I24" s="59">
        <f t="shared" si="38"/>
        <v>0</v>
      </c>
      <c r="J24" s="5">
        <f t="shared" si="38"/>
        <v>0</v>
      </c>
      <c r="K24" s="5">
        <f t="shared" si="38"/>
        <v>1</v>
      </c>
      <c r="L24" s="59">
        <f t="shared" si="38"/>
        <v>0</v>
      </c>
      <c r="M24" s="5">
        <f t="shared" si="38"/>
        <v>0</v>
      </c>
      <c r="N24" s="5">
        <f t="shared" si="38"/>
        <v>0</v>
      </c>
      <c r="O24" s="5">
        <f t="shared" si="38"/>
        <v>1</v>
      </c>
      <c r="P24" s="59">
        <f t="shared" si="38"/>
        <v>0</v>
      </c>
      <c r="Q24" s="5">
        <f t="shared" si="38"/>
        <v>0</v>
      </c>
      <c r="R24" s="5">
        <f t="shared" si="38"/>
        <v>0</v>
      </c>
      <c r="S24" s="5">
        <f t="shared" si="38"/>
        <v>0</v>
      </c>
      <c r="T24" s="5">
        <f t="shared" si="38"/>
        <v>0</v>
      </c>
      <c r="U24" s="5">
        <f t="shared" si="38"/>
        <v>0</v>
      </c>
      <c r="V24" s="5">
        <f t="shared" si="38"/>
        <v>0</v>
      </c>
      <c r="W24" s="5">
        <f t="shared" si="38"/>
        <v>0</v>
      </c>
      <c r="X24" s="5">
        <f t="shared" si="38"/>
        <v>0</v>
      </c>
      <c r="Y24" s="5">
        <f t="shared" si="38"/>
        <v>0</v>
      </c>
      <c r="Z24" s="5">
        <f t="shared" si="38"/>
        <v>0</v>
      </c>
      <c r="AA24" s="5">
        <f t="shared" si="38"/>
        <v>0</v>
      </c>
      <c r="AB24" s="5">
        <f t="shared" si="38"/>
        <v>0</v>
      </c>
      <c r="AC24" s="5">
        <f t="shared" si="38"/>
        <v>0</v>
      </c>
      <c r="AD24" s="74">
        <f t="shared" si="38"/>
        <v>0</v>
      </c>
      <c r="AE24" s="5">
        <f t="shared" si="38"/>
        <v>0</v>
      </c>
      <c r="AF24" s="5">
        <f t="shared" si="38"/>
        <v>2</v>
      </c>
      <c r="AG24" s="5" t="str">
        <f t="shared" si="38"/>
        <v/>
      </c>
      <c r="AH24" s="5" t="str">
        <f t="shared" si="38"/>
        <v/>
      </c>
      <c r="AI24" s="5" t="str">
        <f t="shared" si="38"/>
        <v/>
      </c>
      <c r="AJ24" s="5" t="str">
        <f t="shared" si="38"/>
        <v/>
      </c>
      <c r="AK24" s="5" t="str">
        <f t="shared" si="38"/>
        <v/>
      </c>
      <c r="AL24" s="5" t="str">
        <f t="shared" si="38"/>
        <v/>
      </c>
      <c r="AM24" s="5" t="str">
        <f t="shared" ref="AM24:AS24" si="39">IF(AM17="","",AL17+AL18-AM17)</f>
        <v/>
      </c>
      <c r="AN24" s="5" t="str">
        <f t="shared" si="39"/>
        <v/>
      </c>
      <c r="AO24" s="5" t="str">
        <f t="shared" si="39"/>
        <v/>
      </c>
      <c r="AP24" s="5" t="str">
        <f t="shared" si="39"/>
        <v/>
      </c>
      <c r="AQ24" s="5" t="str">
        <f t="shared" si="39"/>
        <v/>
      </c>
      <c r="AR24" s="5" t="str">
        <f t="shared" si="39"/>
        <v/>
      </c>
      <c r="AS24" s="5" t="str">
        <f t="shared" si="39"/>
        <v/>
      </c>
    </row>
    <row r="25" spans="1:45" s="1" customFormat="1" ht="11">
      <c r="A25" s="7">
        <f>SUM(C25:AS25)</f>
        <v>4000</v>
      </c>
      <c r="B25" s="6" t="s">
        <v>18</v>
      </c>
      <c r="C25" s="74">
        <v>0</v>
      </c>
      <c r="D25" s="5">
        <f t="shared" ref="D25:AL25" si="40">IF(D15="","",D24*D19)</f>
        <v>0</v>
      </c>
      <c r="E25" s="5">
        <f t="shared" si="40"/>
        <v>0</v>
      </c>
      <c r="F25" s="59">
        <f t="shared" si="40"/>
        <v>0</v>
      </c>
      <c r="G25" s="5">
        <f t="shared" si="40"/>
        <v>0</v>
      </c>
      <c r="H25" s="5">
        <f t="shared" si="40"/>
        <v>800</v>
      </c>
      <c r="I25" s="59">
        <f t="shared" si="40"/>
        <v>0</v>
      </c>
      <c r="J25" s="5">
        <f t="shared" si="40"/>
        <v>0</v>
      </c>
      <c r="K25" s="5">
        <f t="shared" si="40"/>
        <v>800</v>
      </c>
      <c r="L25" s="59">
        <f t="shared" si="40"/>
        <v>0</v>
      </c>
      <c r="M25" s="5">
        <f t="shared" si="40"/>
        <v>0</v>
      </c>
      <c r="N25" s="5">
        <f t="shared" si="40"/>
        <v>0</v>
      </c>
      <c r="O25" s="5">
        <f t="shared" si="40"/>
        <v>800</v>
      </c>
      <c r="P25" s="59">
        <f t="shared" si="40"/>
        <v>0</v>
      </c>
      <c r="Q25" s="5">
        <f t="shared" si="40"/>
        <v>0</v>
      </c>
      <c r="R25" s="5">
        <f t="shared" si="40"/>
        <v>0</v>
      </c>
      <c r="S25" s="5">
        <f t="shared" si="40"/>
        <v>0</v>
      </c>
      <c r="T25" s="5">
        <f t="shared" si="40"/>
        <v>0</v>
      </c>
      <c r="U25" s="5">
        <f t="shared" si="40"/>
        <v>0</v>
      </c>
      <c r="V25" s="5">
        <f t="shared" si="40"/>
        <v>0</v>
      </c>
      <c r="W25" s="5">
        <f t="shared" si="40"/>
        <v>0</v>
      </c>
      <c r="X25" s="5">
        <f t="shared" si="40"/>
        <v>0</v>
      </c>
      <c r="Y25" s="5">
        <f t="shared" si="40"/>
        <v>0</v>
      </c>
      <c r="Z25" s="5">
        <f t="shared" si="40"/>
        <v>0</v>
      </c>
      <c r="AA25" s="5">
        <f t="shared" si="40"/>
        <v>0</v>
      </c>
      <c r="AB25" s="5">
        <f t="shared" si="40"/>
        <v>0</v>
      </c>
      <c r="AC25" s="5">
        <f t="shared" si="40"/>
        <v>0</v>
      </c>
      <c r="AD25" s="74">
        <f t="shared" si="40"/>
        <v>0</v>
      </c>
      <c r="AE25" s="5">
        <f t="shared" si="40"/>
        <v>0</v>
      </c>
      <c r="AF25" s="5">
        <f t="shared" si="40"/>
        <v>1600</v>
      </c>
      <c r="AG25" s="5" t="str">
        <f t="shared" si="40"/>
        <v/>
      </c>
      <c r="AH25" s="5" t="str">
        <f t="shared" si="40"/>
        <v/>
      </c>
      <c r="AI25" s="5" t="str">
        <f t="shared" si="40"/>
        <v/>
      </c>
      <c r="AJ25" s="5" t="str">
        <f t="shared" si="40"/>
        <v/>
      </c>
      <c r="AK25" s="5" t="str">
        <f t="shared" si="40"/>
        <v/>
      </c>
      <c r="AL25" s="5" t="str">
        <f t="shared" si="40"/>
        <v/>
      </c>
      <c r="AM25" s="5" t="str">
        <f t="shared" ref="AM25:AS25" si="41">IF(AM15="","",AM24*AM19)</f>
        <v/>
      </c>
      <c r="AN25" s="5" t="str">
        <f t="shared" si="41"/>
        <v/>
      </c>
      <c r="AO25" s="5" t="str">
        <f t="shared" si="41"/>
        <v/>
      </c>
      <c r="AP25" s="5" t="str">
        <f t="shared" si="41"/>
        <v/>
      </c>
      <c r="AQ25" s="5" t="str">
        <f t="shared" si="41"/>
        <v/>
      </c>
      <c r="AR25" s="5" t="str">
        <f t="shared" si="41"/>
        <v/>
      </c>
      <c r="AS25" s="5" t="str">
        <f t="shared" si="41"/>
        <v/>
      </c>
    </row>
    <row r="26" spans="1:45" s="1" customFormat="1" ht="12" thickBot="1">
      <c r="A26" s="4">
        <f>IF(A25="","",A25/(A22*100))</f>
        <v>6.8259385665529013E-2</v>
      </c>
      <c r="B26" s="6" t="s">
        <v>20</v>
      </c>
      <c r="C26" s="76" t="s">
        <v>21</v>
      </c>
      <c r="D26" s="18" t="str">
        <f t="shared" ref="D26:AL26" si="42">IF(D25="","",IF(D25=0,"",D25/(D22*100)))</f>
        <v/>
      </c>
      <c r="E26" s="18" t="str">
        <f t="shared" si="42"/>
        <v/>
      </c>
      <c r="F26" s="62" t="str">
        <f t="shared" si="42"/>
        <v/>
      </c>
      <c r="G26" s="18" t="str">
        <f t="shared" si="42"/>
        <v/>
      </c>
      <c r="H26" s="18">
        <f t="shared" si="42"/>
        <v>0.17777777777777778</v>
      </c>
      <c r="I26" s="62" t="str">
        <f t="shared" si="42"/>
        <v/>
      </c>
      <c r="J26" s="18" t="str">
        <f t="shared" si="42"/>
        <v/>
      </c>
      <c r="K26" s="18">
        <f t="shared" si="42"/>
        <v>8.7912087912087919E-2</v>
      </c>
      <c r="L26" s="62" t="str">
        <f t="shared" si="42"/>
        <v/>
      </c>
      <c r="M26" s="18" t="str">
        <f t="shared" si="42"/>
        <v/>
      </c>
      <c r="N26" s="18" t="str">
        <f t="shared" si="42"/>
        <v/>
      </c>
      <c r="O26" s="18">
        <f t="shared" si="42"/>
        <v>0.10666666666666667</v>
      </c>
      <c r="P26" s="62" t="str">
        <f t="shared" si="42"/>
        <v/>
      </c>
      <c r="Q26" s="18" t="str">
        <f t="shared" si="42"/>
        <v/>
      </c>
      <c r="R26" s="18" t="str">
        <f t="shared" si="42"/>
        <v/>
      </c>
      <c r="S26" s="18" t="str">
        <f t="shared" si="42"/>
        <v/>
      </c>
      <c r="T26" s="18" t="str">
        <f t="shared" si="42"/>
        <v/>
      </c>
      <c r="U26" s="18" t="str">
        <f t="shared" si="42"/>
        <v/>
      </c>
      <c r="V26" s="18" t="str">
        <f t="shared" si="42"/>
        <v/>
      </c>
      <c r="W26" s="18" t="str">
        <f t="shared" si="42"/>
        <v/>
      </c>
      <c r="X26" s="18" t="str">
        <f t="shared" si="42"/>
        <v/>
      </c>
      <c r="Y26" s="18" t="str">
        <f t="shared" si="42"/>
        <v/>
      </c>
      <c r="Z26" s="18" t="str">
        <f t="shared" si="42"/>
        <v/>
      </c>
      <c r="AA26" s="18" t="str">
        <f t="shared" si="42"/>
        <v/>
      </c>
      <c r="AB26" s="18" t="str">
        <f t="shared" si="42"/>
        <v/>
      </c>
      <c r="AC26" s="18" t="str">
        <f t="shared" si="42"/>
        <v/>
      </c>
      <c r="AD26" s="76" t="str">
        <f t="shared" si="42"/>
        <v/>
      </c>
      <c r="AE26" s="18" t="str">
        <f t="shared" si="42"/>
        <v/>
      </c>
      <c r="AF26" s="18">
        <f t="shared" si="42"/>
        <v>0.26229508196721313</v>
      </c>
      <c r="AG26" s="18" t="str">
        <f t="shared" si="42"/>
        <v/>
      </c>
      <c r="AH26" s="18" t="str">
        <f t="shared" si="42"/>
        <v/>
      </c>
      <c r="AI26" s="18" t="str">
        <f t="shared" si="42"/>
        <v/>
      </c>
      <c r="AJ26" s="18" t="str">
        <f t="shared" si="42"/>
        <v/>
      </c>
      <c r="AK26" s="18" t="str">
        <f t="shared" si="42"/>
        <v/>
      </c>
      <c r="AL26" s="18" t="str">
        <f t="shared" si="42"/>
        <v/>
      </c>
      <c r="AM26" s="18" t="str">
        <f t="shared" ref="AM26:AS26" si="43">IF(AM25="","",IF(AM25=0,"",AM25/(AM22*100)))</f>
        <v/>
      </c>
      <c r="AN26" s="18" t="str">
        <f t="shared" si="43"/>
        <v/>
      </c>
      <c r="AO26" s="18" t="str">
        <f t="shared" si="43"/>
        <v/>
      </c>
      <c r="AP26" s="18" t="str">
        <f t="shared" si="43"/>
        <v/>
      </c>
      <c r="AQ26" s="18" t="str">
        <f t="shared" si="43"/>
        <v/>
      </c>
      <c r="AR26" s="18" t="str">
        <f t="shared" si="43"/>
        <v/>
      </c>
      <c r="AS26" s="18" t="str">
        <f t="shared" si="43"/>
        <v/>
      </c>
    </row>
    <row r="27" spans="1:45" s="1" customFormat="1" ht="11">
      <c r="A27" s="17" t="s">
        <v>61</v>
      </c>
      <c r="B27" s="9" t="s">
        <v>2</v>
      </c>
      <c r="C27" s="74">
        <v>6425</v>
      </c>
      <c r="D27" s="8">
        <f>IF(D3="","",C27)</f>
        <v>6425</v>
      </c>
      <c r="E27" s="8">
        <v>6514</v>
      </c>
      <c r="F27" s="59">
        <f>IF(F3="","",E27)</f>
        <v>6514</v>
      </c>
      <c r="G27" s="8">
        <f>IF(G3="","",F27)</f>
        <v>6514</v>
      </c>
      <c r="H27" s="8">
        <v>6531</v>
      </c>
      <c r="I27" s="59">
        <f>IF(I3="","",H27)</f>
        <v>6531</v>
      </c>
      <c r="J27" s="8">
        <f>IF(J3="","",I27)</f>
        <v>6531</v>
      </c>
      <c r="K27" s="8">
        <v>6601</v>
      </c>
      <c r="L27" s="59">
        <f>IF(L3="","",K27)</f>
        <v>6601</v>
      </c>
      <c r="M27" s="8">
        <f>IF(M3="","",L27)</f>
        <v>6601</v>
      </c>
      <c r="N27" s="8">
        <f>IF(N3="","",M27)</f>
        <v>6601</v>
      </c>
      <c r="O27" s="8">
        <v>6627</v>
      </c>
      <c r="P27" s="59">
        <f>IF(P3="","",O27)</f>
        <v>6627</v>
      </c>
      <c r="Q27" s="8">
        <f>IF(Q3="","",P27)</f>
        <v>6627</v>
      </c>
      <c r="R27" s="8">
        <v>6719</v>
      </c>
      <c r="S27" s="8">
        <f t="shared" ref="S27:AL27" si="44">IF(S3="","",R27)</f>
        <v>6719</v>
      </c>
      <c r="T27" s="8">
        <f t="shared" si="44"/>
        <v>6719</v>
      </c>
      <c r="U27" s="8">
        <f t="shared" si="44"/>
        <v>6719</v>
      </c>
      <c r="V27" s="8">
        <v>6773</v>
      </c>
      <c r="W27" s="8">
        <f t="shared" si="44"/>
        <v>6773</v>
      </c>
      <c r="X27" s="8">
        <f t="shared" si="44"/>
        <v>6773</v>
      </c>
      <c r="Y27" s="8">
        <v>6803</v>
      </c>
      <c r="Z27" s="8">
        <f t="shared" si="44"/>
        <v>6803</v>
      </c>
      <c r="AA27" s="8">
        <f t="shared" si="44"/>
        <v>6803</v>
      </c>
      <c r="AB27" s="8">
        <f t="shared" si="44"/>
        <v>6803</v>
      </c>
      <c r="AC27" s="8">
        <v>6840</v>
      </c>
      <c r="AD27" s="74">
        <f t="shared" si="44"/>
        <v>6840</v>
      </c>
      <c r="AE27" s="8">
        <f t="shared" si="44"/>
        <v>6840</v>
      </c>
      <c r="AF27" s="8">
        <v>6908</v>
      </c>
      <c r="AG27" s="8" t="str">
        <f t="shared" si="44"/>
        <v/>
      </c>
      <c r="AH27" s="8" t="str">
        <f t="shared" si="44"/>
        <v/>
      </c>
      <c r="AI27" s="8" t="str">
        <f t="shared" si="44"/>
        <v/>
      </c>
      <c r="AJ27" s="8" t="str">
        <f t="shared" si="44"/>
        <v/>
      </c>
      <c r="AK27" s="8" t="str">
        <f t="shared" si="44"/>
        <v/>
      </c>
      <c r="AL27" s="8" t="str">
        <f t="shared" si="44"/>
        <v/>
      </c>
      <c r="AM27" s="8" t="str">
        <f t="shared" ref="AM27:AS27" si="45">IF(AM3="","",AL27)</f>
        <v/>
      </c>
      <c r="AN27" s="8" t="str">
        <f t="shared" si="45"/>
        <v/>
      </c>
      <c r="AO27" s="8" t="str">
        <f t="shared" si="45"/>
        <v/>
      </c>
      <c r="AP27" s="8" t="str">
        <f t="shared" si="45"/>
        <v/>
      </c>
      <c r="AQ27" s="8" t="str">
        <f t="shared" si="45"/>
        <v/>
      </c>
      <c r="AR27" s="8" t="str">
        <f t="shared" si="45"/>
        <v/>
      </c>
      <c r="AS27" s="8" t="str">
        <f t="shared" si="45"/>
        <v/>
      </c>
    </row>
    <row r="28" spans="1:45" s="1" customFormat="1" ht="11">
      <c r="A28" s="16" t="s">
        <v>3</v>
      </c>
      <c r="B28" s="9" t="s">
        <v>4</v>
      </c>
      <c r="C28" s="74">
        <v>236</v>
      </c>
      <c r="D28" s="8">
        <f>IF(D3="","",C28)</f>
        <v>236</v>
      </c>
      <c r="E28" s="8">
        <v>237</v>
      </c>
      <c r="F28" s="59">
        <f>IF(F3="","",E28)</f>
        <v>237</v>
      </c>
      <c r="G28" s="8">
        <f>IF(G3="","",F28)</f>
        <v>237</v>
      </c>
      <c r="H28" s="8">
        <f>IF(H3="","",G28)</f>
        <v>237</v>
      </c>
      <c r="I28" s="59">
        <f>IF(I3="","",H28)</f>
        <v>237</v>
      </c>
      <c r="J28" s="8">
        <f>IF(J3="","",I28)</f>
        <v>237</v>
      </c>
      <c r="K28" s="8">
        <v>238</v>
      </c>
      <c r="L28" s="59">
        <f t="shared" ref="L28:Q28" si="46">IF(L3="","",K28)</f>
        <v>238</v>
      </c>
      <c r="M28" s="8">
        <f t="shared" si="46"/>
        <v>238</v>
      </c>
      <c r="N28" s="8">
        <f t="shared" si="46"/>
        <v>238</v>
      </c>
      <c r="O28" s="8">
        <f t="shared" si="46"/>
        <v>238</v>
      </c>
      <c r="P28" s="59">
        <f t="shared" si="46"/>
        <v>238</v>
      </c>
      <c r="Q28" s="8">
        <f t="shared" si="46"/>
        <v>238</v>
      </c>
      <c r="R28" s="8">
        <v>240</v>
      </c>
      <c r="S28" s="8">
        <f t="shared" ref="S28:AL28" si="47">IF(S3="","",R28)</f>
        <v>240</v>
      </c>
      <c r="T28" s="8">
        <f t="shared" si="47"/>
        <v>240</v>
      </c>
      <c r="U28" s="8">
        <f t="shared" si="47"/>
        <v>240</v>
      </c>
      <c r="V28" s="8">
        <f t="shared" si="47"/>
        <v>240</v>
      </c>
      <c r="W28" s="8">
        <f t="shared" si="47"/>
        <v>240</v>
      </c>
      <c r="X28" s="8">
        <f t="shared" si="47"/>
        <v>240</v>
      </c>
      <c r="Y28" s="8">
        <v>241</v>
      </c>
      <c r="Z28" s="8">
        <f t="shared" si="47"/>
        <v>241</v>
      </c>
      <c r="AA28" s="8">
        <f t="shared" si="47"/>
        <v>241</v>
      </c>
      <c r="AB28" s="8">
        <f t="shared" si="47"/>
        <v>241</v>
      </c>
      <c r="AC28" s="8">
        <f t="shared" si="47"/>
        <v>241</v>
      </c>
      <c r="AD28" s="74">
        <f t="shared" si="47"/>
        <v>241</v>
      </c>
      <c r="AE28" s="8">
        <f t="shared" si="47"/>
        <v>241</v>
      </c>
      <c r="AF28" s="8">
        <v>242</v>
      </c>
      <c r="AG28" s="8" t="str">
        <f t="shared" si="47"/>
        <v/>
      </c>
      <c r="AH28" s="8" t="str">
        <f t="shared" si="47"/>
        <v/>
      </c>
      <c r="AI28" s="8" t="str">
        <f t="shared" si="47"/>
        <v/>
      </c>
      <c r="AJ28" s="8" t="str">
        <f t="shared" si="47"/>
        <v/>
      </c>
      <c r="AK28" s="8" t="str">
        <f t="shared" si="47"/>
        <v/>
      </c>
      <c r="AL28" s="8" t="str">
        <f t="shared" si="47"/>
        <v/>
      </c>
      <c r="AM28" s="8" t="str">
        <f t="shared" ref="AM28:AS28" si="48">IF(AM3="","",AL28)</f>
        <v/>
      </c>
      <c r="AN28" s="8" t="str">
        <f t="shared" si="48"/>
        <v/>
      </c>
      <c r="AO28" s="8" t="str">
        <f t="shared" si="48"/>
        <v/>
      </c>
      <c r="AP28" s="8" t="str">
        <f t="shared" si="48"/>
        <v/>
      </c>
      <c r="AQ28" s="8" t="str">
        <f t="shared" si="48"/>
        <v/>
      </c>
      <c r="AR28" s="8" t="str">
        <f t="shared" si="48"/>
        <v/>
      </c>
      <c r="AS28" s="8" t="str">
        <f t="shared" si="48"/>
        <v/>
      </c>
    </row>
    <row r="29" spans="1:45" s="1" customFormat="1" ht="11">
      <c r="A29" s="15">
        <v>3</v>
      </c>
      <c r="B29" s="9" t="s">
        <v>5</v>
      </c>
      <c r="C29" s="74">
        <v>11</v>
      </c>
      <c r="D29" s="8">
        <f>IF(D27="","",(C29+C30))</f>
        <v>11</v>
      </c>
      <c r="E29" s="8">
        <v>10</v>
      </c>
      <c r="F29" s="59">
        <f>IF(F27="","",(E29+E30))</f>
        <v>10</v>
      </c>
      <c r="G29" s="8">
        <f>IF(G27="","",(F29+F30))</f>
        <v>10</v>
      </c>
      <c r="H29" s="8">
        <f>IF(H27="","",(G29+G30))</f>
        <v>10</v>
      </c>
      <c r="I29" s="59">
        <f>IF(I27="","",(H29+H30))</f>
        <v>10</v>
      </c>
      <c r="J29" s="8">
        <f>IF(J27="","",(I29+I30))</f>
        <v>10</v>
      </c>
      <c r="K29" s="8">
        <v>9</v>
      </c>
      <c r="L29" s="59">
        <f t="shared" ref="L29:Q29" si="49">IF(L27="","",(K29+K30))</f>
        <v>9</v>
      </c>
      <c r="M29" s="8">
        <f t="shared" si="49"/>
        <v>9</v>
      </c>
      <c r="N29" s="8">
        <f t="shared" si="49"/>
        <v>9</v>
      </c>
      <c r="O29" s="8">
        <f t="shared" si="49"/>
        <v>9</v>
      </c>
      <c r="P29" s="59">
        <f t="shared" si="49"/>
        <v>9</v>
      </c>
      <c r="Q29" s="8">
        <f t="shared" si="49"/>
        <v>9</v>
      </c>
      <c r="R29" s="8">
        <v>7</v>
      </c>
      <c r="S29" s="8">
        <f t="shared" ref="S29:AL29" si="50">IF(S27="","",(R29+R30))</f>
        <v>7</v>
      </c>
      <c r="T29" s="8">
        <f t="shared" si="50"/>
        <v>7</v>
      </c>
      <c r="U29" s="8">
        <f t="shared" si="50"/>
        <v>7</v>
      </c>
      <c r="V29" s="8">
        <f t="shared" si="50"/>
        <v>7</v>
      </c>
      <c r="W29" s="8">
        <f t="shared" si="50"/>
        <v>8</v>
      </c>
      <c r="X29" s="8">
        <f t="shared" si="50"/>
        <v>8</v>
      </c>
      <c r="Y29" s="8">
        <f t="shared" si="50"/>
        <v>8</v>
      </c>
      <c r="Z29" s="8">
        <f t="shared" si="50"/>
        <v>8</v>
      </c>
      <c r="AA29" s="8">
        <f t="shared" si="50"/>
        <v>8</v>
      </c>
      <c r="AB29" s="8">
        <f t="shared" si="50"/>
        <v>8</v>
      </c>
      <c r="AC29" s="8">
        <f t="shared" si="50"/>
        <v>8</v>
      </c>
      <c r="AD29" s="74">
        <f t="shared" si="50"/>
        <v>9</v>
      </c>
      <c r="AE29" s="8">
        <f t="shared" si="50"/>
        <v>9</v>
      </c>
      <c r="AF29" s="8">
        <v>8</v>
      </c>
      <c r="AG29" s="8" t="str">
        <f t="shared" si="50"/>
        <v/>
      </c>
      <c r="AH29" s="8" t="str">
        <f t="shared" si="50"/>
        <v/>
      </c>
      <c r="AI29" s="8" t="str">
        <f t="shared" si="50"/>
        <v/>
      </c>
      <c r="AJ29" s="8" t="str">
        <f t="shared" si="50"/>
        <v/>
      </c>
      <c r="AK29" s="8" t="str">
        <f t="shared" si="50"/>
        <v/>
      </c>
      <c r="AL29" s="8" t="str">
        <f t="shared" si="50"/>
        <v/>
      </c>
      <c r="AM29" s="8" t="str">
        <f t="shared" ref="AM29:AS29" si="51">IF(AM27="","",(AL29+AL30))</f>
        <v/>
      </c>
      <c r="AN29" s="8" t="str">
        <f t="shared" si="51"/>
        <v/>
      </c>
      <c r="AO29" s="8" t="str">
        <f t="shared" si="51"/>
        <v/>
      </c>
      <c r="AP29" s="8" t="str">
        <f t="shared" si="51"/>
        <v/>
      </c>
      <c r="AQ29" s="8" t="str">
        <f t="shared" si="51"/>
        <v/>
      </c>
      <c r="AR29" s="8" t="str">
        <f t="shared" si="51"/>
        <v/>
      </c>
      <c r="AS29" s="8" t="str">
        <f t="shared" si="51"/>
        <v/>
      </c>
    </row>
    <row r="30" spans="1:45" s="1" customFormat="1" ht="11">
      <c r="A30" s="14"/>
      <c r="B30" s="9" t="s">
        <v>7</v>
      </c>
      <c r="C30" s="74"/>
      <c r="D30" s="8"/>
      <c r="E30" s="8"/>
      <c r="F30" s="59"/>
      <c r="G30" s="8"/>
      <c r="H30" s="8"/>
      <c r="I30" s="59"/>
      <c r="J30" s="8"/>
      <c r="K30" s="8"/>
      <c r="L30" s="59"/>
      <c r="M30" s="8"/>
      <c r="N30" s="8"/>
      <c r="O30" s="8"/>
      <c r="P30" s="59"/>
      <c r="Q30" s="8"/>
      <c r="R30" s="8"/>
      <c r="S30" s="8"/>
      <c r="T30" s="8"/>
      <c r="U30" s="8"/>
      <c r="V30" s="8">
        <v>1</v>
      </c>
      <c r="W30" s="8"/>
      <c r="X30" s="8"/>
      <c r="Y30" s="8"/>
      <c r="Z30" s="8"/>
      <c r="AA30" s="8"/>
      <c r="AB30" s="8"/>
      <c r="AC30" s="8">
        <v>1</v>
      </c>
      <c r="AD30" s="74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s="1" customFormat="1" ht="11">
      <c r="A31" s="7"/>
      <c r="B31" s="9" t="s">
        <v>8</v>
      </c>
      <c r="C31" s="74">
        <v>175</v>
      </c>
      <c r="D31" s="8">
        <f t="shared" ref="D31:AL31" si="52">IF(D27="","",C31)</f>
        <v>175</v>
      </c>
      <c r="E31" s="8">
        <f t="shared" si="52"/>
        <v>175</v>
      </c>
      <c r="F31" s="59">
        <f t="shared" si="52"/>
        <v>175</v>
      </c>
      <c r="G31" s="8">
        <f t="shared" si="52"/>
        <v>175</v>
      </c>
      <c r="H31" s="8">
        <f t="shared" si="52"/>
        <v>175</v>
      </c>
      <c r="I31" s="59">
        <f t="shared" si="52"/>
        <v>175</v>
      </c>
      <c r="J31" s="8">
        <f t="shared" si="52"/>
        <v>175</v>
      </c>
      <c r="K31" s="8">
        <f t="shared" si="52"/>
        <v>175</v>
      </c>
      <c r="L31" s="59">
        <f t="shared" si="52"/>
        <v>175</v>
      </c>
      <c r="M31" s="8">
        <f t="shared" si="52"/>
        <v>175</v>
      </c>
      <c r="N31" s="8">
        <f t="shared" si="52"/>
        <v>175</v>
      </c>
      <c r="O31" s="8">
        <f t="shared" si="52"/>
        <v>175</v>
      </c>
      <c r="P31" s="59">
        <f t="shared" si="52"/>
        <v>175</v>
      </c>
      <c r="Q31" s="8">
        <f t="shared" si="52"/>
        <v>175</v>
      </c>
      <c r="R31" s="8">
        <f t="shared" si="52"/>
        <v>175</v>
      </c>
      <c r="S31" s="8">
        <f t="shared" si="52"/>
        <v>175</v>
      </c>
      <c r="T31" s="8">
        <f t="shared" si="52"/>
        <v>175</v>
      </c>
      <c r="U31" s="8">
        <f t="shared" si="52"/>
        <v>175</v>
      </c>
      <c r="V31" s="8">
        <f t="shared" si="52"/>
        <v>175</v>
      </c>
      <c r="W31" s="8">
        <f t="shared" si="52"/>
        <v>175</v>
      </c>
      <c r="X31" s="8">
        <f t="shared" si="52"/>
        <v>175</v>
      </c>
      <c r="Y31" s="8">
        <f t="shared" si="52"/>
        <v>175</v>
      </c>
      <c r="Z31" s="8">
        <f t="shared" si="52"/>
        <v>175</v>
      </c>
      <c r="AA31" s="8">
        <f t="shared" si="52"/>
        <v>175</v>
      </c>
      <c r="AB31" s="8">
        <f t="shared" si="52"/>
        <v>175</v>
      </c>
      <c r="AC31" s="8">
        <f t="shared" si="52"/>
        <v>175</v>
      </c>
      <c r="AD31" s="74">
        <f t="shared" si="52"/>
        <v>175</v>
      </c>
      <c r="AE31" s="8">
        <f t="shared" si="52"/>
        <v>175</v>
      </c>
      <c r="AF31" s="8">
        <f t="shared" si="52"/>
        <v>175</v>
      </c>
      <c r="AG31" s="8" t="str">
        <f t="shared" si="52"/>
        <v/>
      </c>
      <c r="AH31" s="8" t="str">
        <f t="shared" si="52"/>
        <v/>
      </c>
      <c r="AI31" s="8" t="str">
        <f t="shared" si="52"/>
        <v/>
      </c>
      <c r="AJ31" s="8" t="str">
        <f t="shared" si="52"/>
        <v/>
      </c>
      <c r="AK31" s="8" t="str">
        <f t="shared" si="52"/>
        <v/>
      </c>
      <c r="AL31" s="8" t="str">
        <f t="shared" si="52"/>
        <v/>
      </c>
      <c r="AM31" s="8" t="str">
        <f t="shared" ref="AM31:AS31" si="53">IF(AM27="","",AL31)</f>
        <v/>
      </c>
      <c r="AN31" s="8" t="str">
        <f t="shared" si="53"/>
        <v/>
      </c>
      <c r="AO31" s="8" t="str">
        <f t="shared" si="53"/>
        <v/>
      </c>
      <c r="AP31" s="8" t="str">
        <f t="shared" si="53"/>
        <v/>
      </c>
      <c r="AQ31" s="8" t="str">
        <f t="shared" si="53"/>
        <v/>
      </c>
      <c r="AR31" s="8" t="str">
        <f t="shared" si="53"/>
        <v/>
      </c>
      <c r="AS31" s="8" t="str">
        <f t="shared" si="53"/>
        <v/>
      </c>
    </row>
    <row r="32" spans="1:45" s="94" customFormat="1" ht="11">
      <c r="A32" s="14" t="s">
        <v>9</v>
      </c>
      <c r="B32" s="13" t="s">
        <v>10</v>
      </c>
      <c r="C32" s="75" t="s">
        <v>64</v>
      </c>
      <c r="D32" s="12" t="str">
        <f t="shared" ref="D32:AL32" si="54">IF(D27="","",C32)</f>
        <v>スライム</v>
      </c>
      <c r="E32" s="12" t="str">
        <f t="shared" si="54"/>
        <v>スライム</v>
      </c>
      <c r="F32" s="131" t="str">
        <f t="shared" si="54"/>
        <v>スライム</v>
      </c>
      <c r="G32" s="12" t="str">
        <f t="shared" si="54"/>
        <v>スライム</v>
      </c>
      <c r="H32" s="12" t="str">
        <f t="shared" si="54"/>
        <v>スライム</v>
      </c>
      <c r="I32" s="131" t="str">
        <f t="shared" si="54"/>
        <v>スライム</v>
      </c>
      <c r="J32" s="12" t="str">
        <f t="shared" si="54"/>
        <v>スライム</v>
      </c>
      <c r="K32" s="12" t="str">
        <f t="shared" si="54"/>
        <v>スライム</v>
      </c>
      <c r="L32" s="131" t="str">
        <f t="shared" si="54"/>
        <v>スライム</v>
      </c>
      <c r="M32" s="12" t="str">
        <f t="shared" si="54"/>
        <v>スライム</v>
      </c>
      <c r="N32" s="12" t="str">
        <f t="shared" si="54"/>
        <v>スライム</v>
      </c>
      <c r="O32" s="12" t="str">
        <f t="shared" si="54"/>
        <v>スライム</v>
      </c>
      <c r="P32" s="131" t="str">
        <f t="shared" si="54"/>
        <v>スライム</v>
      </c>
      <c r="Q32" s="12" t="str">
        <f t="shared" si="54"/>
        <v>スライム</v>
      </c>
      <c r="R32" s="12" t="str">
        <f t="shared" si="54"/>
        <v>スライム</v>
      </c>
      <c r="S32" s="12" t="str">
        <f t="shared" si="54"/>
        <v>スライム</v>
      </c>
      <c r="T32" s="12" t="str">
        <f t="shared" si="54"/>
        <v>スライム</v>
      </c>
      <c r="U32" s="12" t="str">
        <f t="shared" si="54"/>
        <v>スライム</v>
      </c>
      <c r="V32" s="12" t="str">
        <f t="shared" si="54"/>
        <v>スライム</v>
      </c>
      <c r="W32" s="12" t="str">
        <f t="shared" si="54"/>
        <v>スライム</v>
      </c>
      <c r="X32" s="12" t="str">
        <f t="shared" si="54"/>
        <v>スライム</v>
      </c>
      <c r="Y32" s="12" t="str">
        <f t="shared" si="54"/>
        <v>スライム</v>
      </c>
      <c r="Z32" s="12" t="str">
        <f t="shared" si="54"/>
        <v>スライム</v>
      </c>
      <c r="AA32" s="12" t="str">
        <f t="shared" si="54"/>
        <v>スライム</v>
      </c>
      <c r="AB32" s="12" t="str">
        <f t="shared" si="54"/>
        <v>スライム</v>
      </c>
      <c r="AC32" s="12" t="str">
        <f t="shared" si="54"/>
        <v>スライム</v>
      </c>
      <c r="AD32" s="75" t="str">
        <f t="shared" si="54"/>
        <v>スライム</v>
      </c>
      <c r="AE32" s="12" t="str">
        <f t="shared" si="54"/>
        <v>スライム</v>
      </c>
      <c r="AF32" s="12" t="str">
        <f t="shared" si="54"/>
        <v>スライム</v>
      </c>
      <c r="AG32" s="12" t="str">
        <f t="shared" si="54"/>
        <v/>
      </c>
      <c r="AH32" s="12" t="str">
        <f t="shared" si="54"/>
        <v/>
      </c>
      <c r="AI32" s="12" t="str">
        <f t="shared" si="54"/>
        <v/>
      </c>
      <c r="AJ32" s="12" t="str">
        <f t="shared" si="54"/>
        <v/>
      </c>
      <c r="AK32" s="12" t="str">
        <f t="shared" si="54"/>
        <v/>
      </c>
      <c r="AL32" s="12" t="str">
        <f t="shared" si="54"/>
        <v/>
      </c>
      <c r="AM32" s="12" t="str">
        <f t="shared" ref="AM32:AS32" si="55">IF(AM27="","",AL32)</f>
        <v/>
      </c>
      <c r="AN32" s="12" t="str">
        <f t="shared" si="55"/>
        <v/>
      </c>
      <c r="AO32" s="12" t="str">
        <f t="shared" si="55"/>
        <v/>
      </c>
      <c r="AP32" s="12" t="str">
        <f t="shared" si="55"/>
        <v/>
      </c>
      <c r="AQ32" s="12" t="str">
        <f t="shared" si="55"/>
        <v/>
      </c>
      <c r="AR32" s="12" t="str">
        <f t="shared" si="55"/>
        <v/>
      </c>
      <c r="AS32" s="12" t="str">
        <f t="shared" si="55"/>
        <v/>
      </c>
    </row>
    <row r="33" spans="1:45" s="1" customFormat="1" ht="11">
      <c r="A33" s="7">
        <f>AVERAGE(C34:AS34)*30*100</f>
        <v>48300.000000000007</v>
      </c>
      <c r="B33" s="9" t="s">
        <v>14</v>
      </c>
      <c r="C33" s="74"/>
      <c r="D33" s="8"/>
      <c r="E33" s="8"/>
      <c r="F33" s="59"/>
      <c r="G33" s="8"/>
      <c r="H33" s="8"/>
      <c r="I33" s="59"/>
      <c r="J33" s="8"/>
      <c r="K33" s="8"/>
      <c r="L33" s="59"/>
      <c r="M33" s="8"/>
      <c r="N33" s="8"/>
      <c r="O33" s="8"/>
      <c r="P33" s="5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74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s="1" customFormat="1" ht="11">
      <c r="A34" s="7">
        <f>SUM(C34:AS34)</f>
        <v>483</v>
      </c>
      <c r="B34" s="6" t="s">
        <v>15</v>
      </c>
      <c r="C34" s="74">
        <v>0</v>
      </c>
      <c r="D34" s="5">
        <f t="shared" ref="D34:AL34" si="56">IF(D27="","",D27-C27)</f>
        <v>0</v>
      </c>
      <c r="E34" s="5">
        <f t="shared" si="56"/>
        <v>89</v>
      </c>
      <c r="F34" s="59">
        <f t="shared" si="56"/>
        <v>0</v>
      </c>
      <c r="G34" s="5">
        <f t="shared" si="56"/>
        <v>0</v>
      </c>
      <c r="H34" s="5">
        <f t="shared" si="56"/>
        <v>17</v>
      </c>
      <c r="I34" s="59">
        <f t="shared" si="56"/>
        <v>0</v>
      </c>
      <c r="J34" s="5">
        <f t="shared" si="56"/>
        <v>0</v>
      </c>
      <c r="K34" s="5">
        <f t="shared" si="56"/>
        <v>70</v>
      </c>
      <c r="L34" s="59">
        <f t="shared" si="56"/>
        <v>0</v>
      </c>
      <c r="M34" s="5">
        <f t="shared" si="56"/>
        <v>0</v>
      </c>
      <c r="N34" s="5">
        <f t="shared" si="56"/>
        <v>0</v>
      </c>
      <c r="O34" s="5">
        <f t="shared" si="56"/>
        <v>26</v>
      </c>
      <c r="P34" s="59">
        <f t="shared" si="56"/>
        <v>0</v>
      </c>
      <c r="Q34" s="5">
        <f t="shared" si="56"/>
        <v>0</v>
      </c>
      <c r="R34" s="5">
        <f t="shared" si="56"/>
        <v>92</v>
      </c>
      <c r="S34" s="5">
        <f t="shared" si="56"/>
        <v>0</v>
      </c>
      <c r="T34" s="5">
        <f t="shared" si="56"/>
        <v>0</v>
      </c>
      <c r="U34" s="5">
        <f t="shared" si="56"/>
        <v>0</v>
      </c>
      <c r="V34" s="5">
        <f t="shared" si="56"/>
        <v>54</v>
      </c>
      <c r="W34" s="5">
        <f t="shared" si="56"/>
        <v>0</v>
      </c>
      <c r="X34" s="5">
        <f t="shared" si="56"/>
        <v>0</v>
      </c>
      <c r="Y34" s="5">
        <f t="shared" si="56"/>
        <v>30</v>
      </c>
      <c r="Z34" s="5">
        <f t="shared" si="56"/>
        <v>0</v>
      </c>
      <c r="AA34" s="5">
        <f t="shared" si="56"/>
        <v>0</v>
      </c>
      <c r="AB34" s="5">
        <f t="shared" si="56"/>
        <v>0</v>
      </c>
      <c r="AC34" s="5">
        <f t="shared" si="56"/>
        <v>37</v>
      </c>
      <c r="AD34" s="74">
        <f t="shared" si="56"/>
        <v>0</v>
      </c>
      <c r="AE34" s="5">
        <f t="shared" si="56"/>
        <v>0</v>
      </c>
      <c r="AF34" s="5">
        <f t="shared" si="56"/>
        <v>68</v>
      </c>
      <c r="AG34" s="5" t="str">
        <f t="shared" si="56"/>
        <v/>
      </c>
      <c r="AH34" s="5" t="str">
        <f t="shared" si="56"/>
        <v/>
      </c>
      <c r="AI34" s="5" t="str">
        <f t="shared" si="56"/>
        <v/>
      </c>
      <c r="AJ34" s="5" t="str">
        <f t="shared" si="56"/>
        <v/>
      </c>
      <c r="AK34" s="5" t="str">
        <f t="shared" si="56"/>
        <v/>
      </c>
      <c r="AL34" s="5" t="str">
        <f t="shared" si="56"/>
        <v/>
      </c>
      <c r="AM34" s="5" t="str">
        <f t="shared" ref="AM34:AS34" si="57">IF(AM27="","",AM27-AL27)</f>
        <v/>
      </c>
      <c r="AN34" s="5" t="str">
        <f t="shared" si="57"/>
        <v/>
      </c>
      <c r="AO34" s="5" t="str">
        <f t="shared" si="57"/>
        <v/>
      </c>
      <c r="AP34" s="5" t="str">
        <f t="shared" si="57"/>
        <v/>
      </c>
      <c r="AQ34" s="5" t="str">
        <f t="shared" si="57"/>
        <v/>
      </c>
      <c r="AR34" s="5" t="str">
        <f t="shared" si="57"/>
        <v/>
      </c>
      <c r="AS34" s="5" t="str">
        <f t="shared" si="57"/>
        <v/>
      </c>
    </row>
    <row r="35" spans="1:45" s="1" customFormat="1" ht="11">
      <c r="A35" s="7">
        <f>SUM(C35:AS35)</f>
        <v>6</v>
      </c>
      <c r="B35" s="6" t="s">
        <v>16</v>
      </c>
      <c r="C35" s="74">
        <v>0</v>
      </c>
      <c r="D35" s="5">
        <f t="shared" ref="D35:AL35" si="58">IF(D28="","",D28-C28)</f>
        <v>0</v>
      </c>
      <c r="E35" s="5">
        <f t="shared" si="58"/>
        <v>1</v>
      </c>
      <c r="F35" s="59">
        <f t="shared" si="58"/>
        <v>0</v>
      </c>
      <c r="G35" s="5">
        <f t="shared" si="58"/>
        <v>0</v>
      </c>
      <c r="H35" s="5">
        <f t="shared" si="58"/>
        <v>0</v>
      </c>
      <c r="I35" s="59">
        <f t="shared" si="58"/>
        <v>0</v>
      </c>
      <c r="J35" s="5">
        <f t="shared" si="58"/>
        <v>0</v>
      </c>
      <c r="K35" s="5">
        <f t="shared" si="58"/>
        <v>1</v>
      </c>
      <c r="L35" s="59">
        <f t="shared" si="58"/>
        <v>0</v>
      </c>
      <c r="M35" s="5">
        <f t="shared" si="58"/>
        <v>0</v>
      </c>
      <c r="N35" s="5">
        <f t="shared" si="58"/>
        <v>0</v>
      </c>
      <c r="O35" s="5">
        <f t="shared" si="58"/>
        <v>0</v>
      </c>
      <c r="P35" s="59">
        <f t="shared" si="58"/>
        <v>0</v>
      </c>
      <c r="Q35" s="5">
        <f t="shared" si="58"/>
        <v>0</v>
      </c>
      <c r="R35" s="5">
        <f t="shared" si="58"/>
        <v>2</v>
      </c>
      <c r="S35" s="5">
        <f t="shared" si="58"/>
        <v>0</v>
      </c>
      <c r="T35" s="5">
        <f t="shared" si="58"/>
        <v>0</v>
      </c>
      <c r="U35" s="5">
        <f t="shared" si="58"/>
        <v>0</v>
      </c>
      <c r="V35" s="5">
        <f t="shared" si="58"/>
        <v>0</v>
      </c>
      <c r="W35" s="5">
        <f t="shared" si="58"/>
        <v>0</v>
      </c>
      <c r="X35" s="5">
        <f t="shared" si="58"/>
        <v>0</v>
      </c>
      <c r="Y35" s="5">
        <f t="shared" si="58"/>
        <v>1</v>
      </c>
      <c r="Z35" s="5">
        <f t="shared" si="58"/>
        <v>0</v>
      </c>
      <c r="AA35" s="5">
        <f t="shared" si="58"/>
        <v>0</v>
      </c>
      <c r="AB35" s="5">
        <f t="shared" si="58"/>
        <v>0</v>
      </c>
      <c r="AC35" s="5">
        <f t="shared" si="58"/>
        <v>0</v>
      </c>
      <c r="AD35" s="74">
        <f t="shared" si="58"/>
        <v>0</v>
      </c>
      <c r="AE35" s="5">
        <f t="shared" si="58"/>
        <v>0</v>
      </c>
      <c r="AF35" s="5">
        <f t="shared" si="58"/>
        <v>1</v>
      </c>
      <c r="AG35" s="5" t="str">
        <f t="shared" si="58"/>
        <v/>
      </c>
      <c r="AH35" s="5" t="str">
        <f t="shared" si="58"/>
        <v/>
      </c>
      <c r="AI35" s="5" t="str">
        <f t="shared" si="58"/>
        <v/>
      </c>
      <c r="AJ35" s="5" t="str">
        <f t="shared" si="58"/>
        <v/>
      </c>
      <c r="AK35" s="5" t="str">
        <f t="shared" si="58"/>
        <v/>
      </c>
      <c r="AL35" s="5" t="str">
        <f t="shared" si="58"/>
        <v/>
      </c>
      <c r="AM35" s="5" t="str">
        <f t="shared" ref="AM35:AS35" si="59">IF(AM28="","",AM28-AL28)</f>
        <v/>
      </c>
      <c r="AN35" s="5" t="str">
        <f t="shared" si="59"/>
        <v/>
      </c>
      <c r="AO35" s="5" t="str">
        <f t="shared" si="59"/>
        <v/>
      </c>
      <c r="AP35" s="5" t="str">
        <f t="shared" si="59"/>
        <v/>
      </c>
      <c r="AQ35" s="5" t="str">
        <f t="shared" si="59"/>
        <v/>
      </c>
      <c r="AR35" s="5" t="str">
        <f t="shared" si="59"/>
        <v/>
      </c>
      <c r="AS35" s="5" t="str">
        <f t="shared" si="59"/>
        <v/>
      </c>
    </row>
    <row r="36" spans="1:45" s="1" customFormat="1" ht="11">
      <c r="A36" s="7">
        <f>SUM(C36:AS36)</f>
        <v>5</v>
      </c>
      <c r="B36" s="6" t="s">
        <v>17</v>
      </c>
      <c r="C36" s="74">
        <v>0</v>
      </c>
      <c r="D36" s="5">
        <f t="shared" ref="D36:AL36" si="60">IF(D29="","",C29+C30-D29)</f>
        <v>0</v>
      </c>
      <c r="E36" s="5">
        <f t="shared" si="60"/>
        <v>1</v>
      </c>
      <c r="F36" s="59">
        <f t="shared" si="60"/>
        <v>0</v>
      </c>
      <c r="G36" s="5">
        <f t="shared" si="60"/>
        <v>0</v>
      </c>
      <c r="H36" s="5">
        <f t="shared" si="60"/>
        <v>0</v>
      </c>
      <c r="I36" s="59">
        <f t="shared" si="60"/>
        <v>0</v>
      </c>
      <c r="J36" s="5">
        <f t="shared" si="60"/>
        <v>0</v>
      </c>
      <c r="K36" s="5">
        <f t="shared" si="60"/>
        <v>1</v>
      </c>
      <c r="L36" s="59">
        <f t="shared" si="60"/>
        <v>0</v>
      </c>
      <c r="M36" s="5">
        <f t="shared" si="60"/>
        <v>0</v>
      </c>
      <c r="N36" s="5">
        <f t="shared" si="60"/>
        <v>0</v>
      </c>
      <c r="O36" s="5">
        <f t="shared" si="60"/>
        <v>0</v>
      </c>
      <c r="P36" s="59">
        <f t="shared" si="60"/>
        <v>0</v>
      </c>
      <c r="Q36" s="5">
        <f t="shared" si="60"/>
        <v>0</v>
      </c>
      <c r="R36" s="5">
        <f t="shared" si="60"/>
        <v>2</v>
      </c>
      <c r="S36" s="5">
        <f t="shared" si="60"/>
        <v>0</v>
      </c>
      <c r="T36" s="5">
        <f t="shared" si="60"/>
        <v>0</v>
      </c>
      <c r="U36" s="5">
        <f t="shared" si="60"/>
        <v>0</v>
      </c>
      <c r="V36" s="5">
        <f t="shared" si="60"/>
        <v>0</v>
      </c>
      <c r="W36" s="5">
        <f t="shared" si="60"/>
        <v>0</v>
      </c>
      <c r="X36" s="5">
        <f t="shared" si="60"/>
        <v>0</v>
      </c>
      <c r="Y36" s="5">
        <f t="shared" si="60"/>
        <v>0</v>
      </c>
      <c r="Z36" s="5">
        <f t="shared" si="60"/>
        <v>0</v>
      </c>
      <c r="AA36" s="5">
        <f t="shared" si="60"/>
        <v>0</v>
      </c>
      <c r="AB36" s="5">
        <f t="shared" si="60"/>
        <v>0</v>
      </c>
      <c r="AC36" s="5">
        <f t="shared" si="60"/>
        <v>0</v>
      </c>
      <c r="AD36" s="74">
        <f t="shared" si="60"/>
        <v>0</v>
      </c>
      <c r="AE36" s="5">
        <f t="shared" si="60"/>
        <v>0</v>
      </c>
      <c r="AF36" s="5">
        <f t="shared" si="60"/>
        <v>1</v>
      </c>
      <c r="AG36" s="5" t="str">
        <f t="shared" si="60"/>
        <v/>
      </c>
      <c r="AH36" s="5" t="str">
        <f t="shared" si="60"/>
        <v/>
      </c>
      <c r="AI36" s="5" t="str">
        <f t="shared" si="60"/>
        <v/>
      </c>
      <c r="AJ36" s="5" t="str">
        <f t="shared" si="60"/>
        <v/>
      </c>
      <c r="AK36" s="5" t="str">
        <f t="shared" si="60"/>
        <v/>
      </c>
      <c r="AL36" s="5" t="str">
        <f t="shared" si="60"/>
        <v/>
      </c>
      <c r="AM36" s="5" t="str">
        <f t="shared" ref="AM36:AS36" si="61">IF(AM29="","",AL29+AL30-AM29)</f>
        <v/>
      </c>
      <c r="AN36" s="5" t="str">
        <f t="shared" si="61"/>
        <v/>
      </c>
      <c r="AO36" s="5" t="str">
        <f t="shared" si="61"/>
        <v/>
      </c>
      <c r="AP36" s="5" t="str">
        <f t="shared" si="61"/>
        <v/>
      </c>
      <c r="AQ36" s="5" t="str">
        <f t="shared" si="61"/>
        <v/>
      </c>
      <c r="AR36" s="5" t="str">
        <f t="shared" si="61"/>
        <v/>
      </c>
      <c r="AS36" s="5" t="str">
        <f t="shared" si="61"/>
        <v/>
      </c>
    </row>
    <row r="37" spans="1:45" s="1" customFormat="1" ht="11">
      <c r="A37" s="7">
        <f>SUM(C37:AS37)</f>
        <v>875</v>
      </c>
      <c r="B37" s="6" t="s">
        <v>18</v>
      </c>
      <c r="C37" s="74">
        <v>0</v>
      </c>
      <c r="D37" s="5">
        <f t="shared" ref="D37:AL37" si="62">IF(D27="","",D36*D31)</f>
        <v>0</v>
      </c>
      <c r="E37" s="5">
        <f t="shared" si="62"/>
        <v>175</v>
      </c>
      <c r="F37" s="59">
        <f t="shared" si="62"/>
        <v>0</v>
      </c>
      <c r="G37" s="5">
        <f t="shared" si="62"/>
        <v>0</v>
      </c>
      <c r="H37" s="5">
        <f t="shared" si="62"/>
        <v>0</v>
      </c>
      <c r="I37" s="59">
        <f t="shared" si="62"/>
        <v>0</v>
      </c>
      <c r="J37" s="5">
        <f t="shared" si="62"/>
        <v>0</v>
      </c>
      <c r="K37" s="5">
        <f t="shared" si="62"/>
        <v>175</v>
      </c>
      <c r="L37" s="59">
        <f t="shared" si="62"/>
        <v>0</v>
      </c>
      <c r="M37" s="5">
        <f t="shared" si="62"/>
        <v>0</v>
      </c>
      <c r="N37" s="5">
        <f t="shared" si="62"/>
        <v>0</v>
      </c>
      <c r="O37" s="5">
        <f t="shared" si="62"/>
        <v>0</v>
      </c>
      <c r="P37" s="59">
        <f t="shared" si="62"/>
        <v>0</v>
      </c>
      <c r="Q37" s="5">
        <f t="shared" si="62"/>
        <v>0</v>
      </c>
      <c r="R37" s="5">
        <f t="shared" si="62"/>
        <v>350</v>
      </c>
      <c r="S37" s="5">
        <f t="shared" si="62"/>
        <v>0</v>
      </c>
      <c r="T37" s="5">
        <f t="shared" si="62"/>
        <v>0</v>
      </c>
      <c r="U37" s="5">
        <f t="shared" si="62"/>
        <v>0</v>
      </c>
      <c r="V37" s="5">
        <f t="shared" si="62"/>
        <v>0</v>
      </c>
      <c r="W37" s="5">
        <f t="shared" si="62"/>
        <v>0</v>
      </c>
      <c r="X37" s="5">
        <f t="shared" si="62"/>
        <v>0</v>
      </c>
      <c r="Y37" s="5">
        <f t="shared" si="62"/>
        <v>0</v>
      </c>
      <c r="Z37" s="5">
        <f t="shared" si="62"/>
        <v>0</v>
      </c>
      <c r="AA37" s="5">
        <f t="shared" si="62"/>
        <v>0</v>
      </c>
      <c r="AB37" s="5">
        <f t="shared" si="62"/>
        <v>0</v>
      </c>
      <c r="AC37" s="5">
        <f t="shared" si="62"/>
        <v>0</v>
      </c>
      <c r="AD37" s="74">
        <f t="shared" si="62"/>
        <v>0</v>
      </c>
      <c r="AE37" s="5">
        <f t="shared" si="62"/>
        <v>0</v>
      </c>
      <c r="AF37" s="5">
        <f t="shared" si="62"/>
        <v>175</v>
      </c>
      <c r="AG37" s="5" t="str">
        <f t="shared" si="62"/>
        <v/>
      </c>
      <c r="AH37" s="5" t="str">
        <f t="shared" si="62"/>
        <v/>
      </c>
      <c r="AI37" s="5" t="str">
        <f t="shared" si="62"/>
        <v/>
      </c>
      <c r="AJ37" s="5" t="str">
        <f t="shared" si="62"/>
        <v/>
      </c>
      <c r="AK37" s="5" t="str">
        <f t="shared" si="62"/>
        <v/>
      </c>
      <c r="AL37" s="5" t="str">
        <f t="shared" si="62"/>
        <v/>
      </c>
      <c r="AM37" s="5" t="str">
        <f t="shared" ref="AM37:AS37" si="63">IF(AM27="","",AM36*AM31)</f>
        <v/>
      </c>
      <c r="AN37" s="5" t="str">
        <f t="shared" si="63"/>
        <v/>
      </c>
      <c r="AO37" s="5" t="str">
        <f t="shared" si="63"/>
        <v/>
      </c>
      <c r="AP37" s="5" t="str">
        <f t="shared" si="63"/>
        <v/>
      </c>
      <c r="AQ37" s="5" t="str">
        <f t="shared" si="63"/>
        <v/>
      </c>
      <c r="AR37" s="5" t="str">
        <f t="shared" si="63"/>
        <v/>
      </c>
      <c r="AS37" s="5" t="str">
        <f t="shared" si="63"/>
        <v/>
      </c>
    </row>
    <row r="38" spans="1:45" s="1" customFormat="1" ht="12" thickBot="1">
      <c r="A38" s="4">
        <f>IF(A37="","",A37/(A34*100))</f>
        <v>1.8115942028985508E-2</v>
      </c>
      <c r="B38" s="6" t="s">
        <v>20</v>
      </c>
      <c r="C38" s="76" t="s">
        <v>21</v>
      </c>
      <c r="D38" s="18" t="str">
        <f t="shared" ref="D38:AL38" si="64">IF(D37="","",IF(D37=0,"",D37/(D34*100)))</f>
        <v/>
      </c>
      <c r="E38" s="18">
        <f t="shared" si="64"/>
        <v>1.9662921348314606E-2</v>
      </c>
      <c r="F38" s="62" t="str">
        <f t="shared" si="64"/>
        <v/>
      </c>
      <c r="G38" s="18" t="str">
        <f t="shared" si="64"/>
        <v/>
      </c>
      <c r="H38" s="18" t="str">
        <f t="shared" si="64"/>
        <v/>
      </c>
      <c r="I38" s="62" t="str">
        <f t="shared" si="64"/>
        <v/>
      </c>
      <c r="J38" s="18" t="str">
        <f t="shared" si="64"/>
        <v/>
      </c>
      <c r="K38" s="18">
        <f t="shared" si="64"/>
        <v>2.5000000000000001E-2</v>
      </c>
      <c r="L38" s="62" t="str">
        <f t="shared" si="64"/>
        <v/>
      </c>
      <c r="M38" s="18" t="str">
        <f t="shared" si="64"/>
        <v/>
      </c>
      <c r="N38" s="18" t="str">
        <f t="shared" si="64"/>
        <v/>
      </c>
      <c r="O38" s="18" t="str">
        <f t="shared" si="64"/>
        <v/>
      </c>
      <c r="P38" s="62" t="str">
        <f t="shared" si="64"/>
        <v/>
      </c>
      <c r="Q38" s="18" t="str">
        <f t="shared" si="64"/>
        <v/>
      </c>
      <c r="R38" s="18">
        <f t="shared" si="64"/>
        <v>3.8043478260869568E-2</v>
      </c>
      <c r="S38" s="18" t="str">
        <f t="shared" si="64"/>
        <v/>
      </c>
      <c r="T38" s="18" t="str">
        <f t="shared" si="64"/>
        <v/>
      </c>
      <c r="U38" s="18" t="str">
        <f t="shared" si="64"/>
        <v/>
      </c>
      <c r="V38" s="18" t="str">
        <f t="shared" si="64"/>
        <v/>
      </c>
      <c r="W38" s="18" t="str">
        <f t="shared" si="64"/>
        <v/>
      </c>
      <c r="X38" s="18" t="str">
        <f t="shared" si="64"/>
        <v/>
      </c>
      <c r="Y38" s="18" t="str">
        <f t="shared" si="64"/>
        <v/>
      </c>
      <c r="Z38" s="18" t="str">
        <f t="shared" si="64"/>
        <v/>
      </c>
      <c r="AA38" s="18" t="str">
        <f t="shared" si="64"/>
        <v/>
      </c>
      <c r="AB38" s="18" t="str">
        <f t="shared" si="64"/>
        <v/>
      </c>
      <c r="AC38" s="18" t="str">
        <f t="shared" si="64"/>
        <v/>
      </c>
      <c r="AD38" s="76" t="str">
        <f t="shared" si="64"/>
        <v/>
      </c>
      <c r="AE38" s="18" t="str">
        <f t="shared" si="64"/>
        <v/>
      </c>
      <c r="AF38" s="18">
        <f t="shared" si="64"/>
        <v>2.5735294117647058E-2</v>
      </c>
      <c r="AG38" s="18" t="str">
        <f t="shared" si="64"/>
        <v/>
      </c>
      <c r="AH38" s="18" t="str">
        <f t="shared" si="64"/>
        <v/>
      </c>
      <c r="AI38" s="18" t="str">
        <f t="shared" si="64"/>
        <v/>
      </c>
      <c r="AJ38" s="18" t="str">
        <f t="shared" si="64"/>
        <v/>
      </c>
      <c r="AK38" s="18" t="str">
        <f t="shared" si="64"/>
        <v/>
      </c>
      <c r="AL38" s="18" t="str">
        <f t="shared" si="64"/>
        <v/>
      </c>
      <c r="AM38" s="18" t="str">
        <f t="shared" ref="AM38:AS38" si="65">IF(AM37="","",IF(AM37=0,"",AM37/(AM34*100)))</f>
        <v/>
      </c>
      <c r="AN38" s="18" t="str">
        <f t="shared" si="65"/>
        <v/>
      </c>
      <c r="AO38" s="18" t="str">
        <f t="shared" si="65"/>
        <v/>
      </c>
      <c r="AP38" s="18" t="str">
        <f t="shared" si="65"/>
        <v/>
      </c>
      <c r="AQ38" s="18" t="str">
        <f t="shared" si="65"/>
        <v/>
      </c>
      <c r="AR38" s="18" t="str">
        <f t="shared" si="65"/>
        <v/>
      </c>
      <c r="AS38" s="18" t="str">
        <f t="shared" si="65"/>
        <v/>
      </c>
    </row>
    <row r="39" spans="1:45" s="1" customFormat="1" ht="11">
      <c r="A39" s="17" t="s">
        <v>61</v>
      </c>
      <c r="B39" s="9" t="s">
        <v>2</v>
      </c>
      <c r="C39" s="74">
        <v>3171</v>
      </c>
      <c r="D39" s="8">
        <f>IF(D3="","",C39)</f>
        <v>3171</v>
      </c>
      <c r="E39" s="8">
        <v>3209</v>
      </c>
      <c r="F39" s="59">
        <f>IF(F3="","",E39)</f>
        <v>3209</v>
      </c>
      <c r="G39" s="8">
        <f>IF(G3="","",F39)</f>
        <v>3209</v>
      </c>
      <c r="H39" s="8">
        <v>3214</v>
      </c>
      <c r="I39" s="59">
        <f>IF(I3="","",H39)</f>
        <v>3214</v>
      </c>
      <c r="J39" s="8">
        <f>IF(J3="","",I39)</f>
        <v>3214</v>
      </c>
      <c r="K39" s="8">
        <v>3244</v>
      </c>
      <c r="L39" s="59">
        <f>IF(L3="","",K39)</f>
        <v>3244</v>
      </c>
      <c r="M39" s="8">
        <f>IF(M3="","",L39)</f>
        <v>3244</v>
      </c>
      <c r="N39" s="8">
        <f>IF(N3="","",M39)</f>
        <v>3244</v>
      </c>
      <c r="O39" s="8">
        <v>3268</v>
      </c>
      <c r="P39" s="59">
        <f>IF(P3="","",O39)</f>
        <v>3268</v>
      </c>
      <c r="Q39" s="8">
        <f>IF(Q3="","",P39)</f>
        <v>3268</v>
      </c>
      <c r="R39" s="8">
        <v>3351</v>
      </c>
      <c r="S39" s="8">
        <f t="shared" ref="S39:AL39" si="66">IF(S3="","",R39)</f>
        <v>3351</v>
      </c>
      <c r="T39" s="8">
        <f t="shared" si="66"/>
        <v>3351</v>
      </c>
      <c r="U39" s="8">
        <f t="shared" si="66"/>
        <v>3351</v>
      </c>
      <c r="V39" s="8">
        <v>3386</v>
      </c>
      <c r="W39" s="8">
        <f t="shared" si="66"/>
        <v>3386</v>
      </c>
      <c r="X39" s="8">
        <f t="shared" si="66"/>
        <v>3386</v>
      </c>
      <c r="Y39" s="8">
        <v>3413</v>
      </c>
      <c r="Z39" s="8">
        <f t="shared" si="66"/>
        <v>3413</v>
      </c>
      <c r="AA39" s="8">
        <f t="shared" si="66"/>
        <v>3413</v>
      </c>
      <c r="AB39" s="8">
        <f t="shared" si="66"/>
        <v>3413</v>
      </c>
      <c r="AC39" s="8">
        <v>3452</v>
      </c>
      <c r="AD39" s="74">
        <f t="shared" si="66"/>
        <v>3452</v>
      </c>
      <c r="AE39" s="8">
        <f t="shared" si="66"/>
        <v>3452</v>
      </c>
      <c r="AF39" s="8">
        <v>3495</v>
      </c>
      <c r="AG39" s="8" t="str">
        <f t="shared" si="66"/>
        <v/>
      </c>
      <c r="AH39" s="8" t="str">
        <f t="shared" si="66"/>
        <v/>
      </c>
      <c r="AI39" s="8" t="str">
        <f t="shared" si="66"/>
        <v/>
      </c>
      <c r="AJ39" s="8" t="str">
        <f t="shared" si="66"/>
        <v/>
      </c>
      <c r="AK39" s="8" t="str">
        <f t="shared" si="66"/>
        <v/>
      </c>
      <c r="AL39" s="8" t="str">
        <f t="shared" si="66"/>
        <v/>
      </c>
      <c r="AM39" s="8" t="str">
        <f t="shared" ref="AM39:AS39" si="67">IF(AM3="","",AL39)</f>
        <v/>
      </c>
      <c r="AN39" s="8" t="str">
        <f t="shared" si="67"/>
        <v/>
      </c>
      <c r="AO39" s="8" t="str">
        <f t="shared" si="67"/>
        <v/>
      </c>
      <c r="AP39" s="8" t="str">
        <f t="shared" si="67"/>
        <v/>
      </c>
      <c r="AQ39" s="8" t="str">
        <f t="shared" si="67"/>
        <v/>
      </c>
      <c r="AR39" s="8" t="str">
        <f t="shared" si="67"/>
        <v/>
      </c>
      <c r="AS39" s="8" t="str">
        <f t="shared" si="67"/>
        <v/>
      </c>
    </row>
    <row r="40" spans="1:45" s="1" customFormat="1" ht="11">
      <c r="A40" s="16" t="s">
        <v>3</v>
      </c>
      <c r="B40" s="9" t="s">
        <v>4</v>
      </c>
      <c r="C40" s="74">
        <v>61</v>
      </c>
      <c r="D40" s="8">
        <f>IF(D3="","",C40)</f>
        <v>61</v>
      </c>
      <c r="E40" s="8">
        <v>64</v>
      </c>
      <c r="F40" s="59">
        <f>IF(F3="","",E40)</f>
        <v>64</v>
      </c>
      <c r="G40" s="8">
        <f>IF(G3="","",F40)</f>
        <v>64</v>
      </c>
      <c r="H40" s="8">
        <f>IF(H3="","",G40)</f>
        <v>64</v>
      </c>
      <c r="I40" s="59">
        <f>IF(I3="","",H40)</f>
        <v>64</v>
      </c>
      <c r="J40" s="8">
        <f>IF(J3="","",I40)</f>
        <v>64</v>
      </c>
      <c r="K40" s="8">
        <v>65</v>
      </c>
      <c r="L40" s="59">
        <f>IF(L3="","",K40)</f>
        <v>65</v>
      </c>
      <c r="M40" s="8">
        <f>IF(M3="","",L40)</f>
        <v>65</v>
      </c>
      <c r="N40" s="8">
        <f>IF(N3="","",M40)</f>
        <v>65</v>
      </c>
      <c r="O40" s="8">
        <v>66</v>
      </c>
      <c r="P40" s="59">
        <f>IF(P3="","",O40)</f>
        <v>66</v>
      </c>
      <c r="Q40" s="8">
        <f>IF(Q3="","",P40)</f>
        <v>66</v>
      </c>
      <c r="R40" s="8">
        <v>67</v>
      </c>
      <c r="S40" s="8">
        <f t="shared" ref="S40:AL40" si="68">IF(S3="","",R40)</f>
        <v>67</v>
      </c>
      <c r="T40" s="8">
        <f t="shared" si="68"/>
        <v>67</v>
      </c>
      <c r="U40" s="8">
        <f t="shared" si="68"/>
        <v>67</v>
      </c>
      <c r="V40" s="8">
        <v>68</v>
      </c>
      <c r="W40" s="8">
        <f t="shared" si="68"/>
        <v>68</v>
      </c>
      <c r="X40" s="8">
        <f t="shared" si="68"/>
        <v>68</v>
      </c>
      <c r="Y40" s="8">
        <v>69</v>
      </c>
      <c r="Z40" s="8">
        <f t="shared" si="68"/>
        <v>69</v>
      </c>
      <c r="AA40" s="8">
        <f t="shared" si="68"/>
        <v>69</v>
      </c>
      <c r="AB40" s="8">
        <f t="shared" si="68"/>
        <v>69</v>
      </c>
      <c r="AC40" s="8">
        <v>70</v>
      </c>
      <c r="AD40" s="74">
        <f t="shared" si="68"/>
        <v>70</v>
      </c>
      <c r="AE40" s="8">
        <f t="shared" si="68"/>
        <v>70</v>
      </c>
      <c r="AF40" s="8">
        <v>73</v>
      </c>
      <c r="AG40" s="8" t="str">
        <f t="shared" si="68"/>
        <v/>
      </c>
      <c r="AH40" s="8" t="str">
        <f t="shared" si="68"/>
        <v/>
      </c>
      <c r="AI40" s="8" t="str">
        <f t="shared" si="68"/>
        <v/>
      </c>
      <c r="AJ40" s="8" t="str">
        <f t="shared" si="68"/>
        <v/>
      </c>
      <c r="AK40" s="8" t="str">
        <f t="shared" si="68"/>
        <v/>
      </c>
      <c r="AL40" s="8" t="str">
        <f t="shared" si="68"/>
        <v/>
      </c>
      <c r="AM40" s="8" t="str">
        <f t="shared" ref="AM40:AS40" si="69">IF(AM3="","",AL40)</f>
        <v/>
      </c>
      <c r="AN40" s="8" t="str">
        <f t="shared" si="69"/>
        <v/>
      </c>
      <c r="AO40" s="8" t="str">
        <f t="shared" si="69"/>
        <v/>
      </c>
      <c r="AP40" s="8" t="str">
        <f t="shared" si="69"/>
        <v/>
      </c>
      <c r="AQ40" s="8" t="str">
        <f t="shared" si="69"/>
        <v/>
      </c>
      <c r="AR40" s="8" t="str">
        <f t="shared" si="69"/>
        <v/>
      </c>
      <c r="AS40" s="8" t="str">
        <f t="shared" si="69"/>
        <v/>
      </c>
    </row>
    <row r="41" spans="1:45" s="1" customFormat="1" ht="11">
      <c r="A41" s="15">
        <v>4</v>
      </c>
      <c r="B41" s="9" t="s">
        <v>5</v>
      </c>
      <c r="C41" s="74">
        <v>51</v>
      </c>
      <c r="D41" s="8">
        <f>IF(D39="","",(C41+C42))</f>
        <v>51</v>
      </c>
      <c r="E41" s="8">
        <v>48</v>
      </c>
      <c r="F41" s="59">
        <f>IF(F39="","",(E41+E42))</f>
        <v>48</v>
      </c>
      <c r="G41" s="8">
        <f>IF(G39="","",(F41+F42))</f>
        <v>48</v>
      </c>
      <c r="H41" s="8">
        <f>IF(H39="","",(G41+G42))</f>
        <v>48</v>
      </c>
      <c r="I41" s="59">
        <f>IF(I39="","",(H41+H42))</f>
        <v>48</v>
      </c>
      <c r="J41" s="8">
        <f>IF(J39="","",(I41+I42))</f>
        <v>48</v>
      </c>
      <c r="K41" s="8">
        <v>47</v>
      </c>
      <c r="L41" s="59">
        <f t="shared" ref="L41:Q41" si="70">IF(L39="","",(K41+K42))</f>
        <v>97</v>
      </c>
      <c r="M41" s="8">
        <f t="shared" si="70"/>
        <v>97</v>
      </c>
      <c r="N41" s="8">
        <f t="shared" si="70"/>
        <v>97</v>
      </c>
      <c r="O41" s="8">
        <f t="shared" si="70"/>
        <v>97</v>
      </c>
      <c r="P41" s="59">
        <f t="shared" si="70"/>
        <v>97</v>
      </c>
      <c r="Q41" s="8">
        <f t="shared" si="70"/>
        <v>97</v>
      </c>
      <c r="R41" s="8">
        <v>96</v>
      </c>
      <c r="S41" s="8">
        <f t="shared" ref="S41:AL41" si="71">IF(S39="","",(R41+R42))</f>
        <v>96</v>
      </c>
      <c r="T41" s="8">
        <f t="shared" si="71"/>
        <v>96</v>
      </c>
      <c r="U41" s="8">
        <f t="shared" si="71"/>
        <v>96</v>
      </c>
      <c r="V41" s="8">
        <v>95</v>
      </c>
      <c r="W41" s="8">
        <f t="shared" si="71"/>
        <v>95</v>
      </c>
      <c r="X41" s="8">
        <f t="shared" si="71"/>
        <v>95</v>
      </c>
      <c r="Y41" s="8">
        <v>94</v>
      </c>
      <c r="Z41" s="8">
        <f t="shared" si="71"/>
        <v>94</v>
      </c>
      <c r="AA41" s="8">
        <f t="shared" si="71"/>
        <v>94</v>
      </c>
      <c r="AB41" s="8">
        <f t="shared" si="71"/>
        <v>94</v>
      </c>
      <c r="AC41" s="8">
        <f t="shared" si="71"/>
        <v>94</v>
      </c>
      <c r="AD41" s="74">
        <f t="shared" si="71"/>
        <v>94</v>
      </c>
      <c r="AE41" s="8">
        <f t="shared" si="71"/>
        <v>94</v>
      </c>
      <c r="AF41" s="8">
        <v>91</v>
      </c>
      <c r="AG41" s="8" t="str">
        <f t="shared" si="71"/>
        <v/>
      </c>
      <c r="AH41" s="8" t="str">
        <f t="shared" si="71"/>
        <v/>
      </c>
      <c r="AI41" s="8" t="str">
        <f t="shared" si="71"/>
        <v/>
      </c>
      <c r="AJ41" s="8" t="str">
        <f t="shared" si="71"/>
        <v/>
      </c>
      <c r="AK41" s="8" t="str">
        <f t="shared" si="71"/>
        <v/>
      </c>
      <c r="AL41" s="8" t="str">
        <f t="shared" si="71"/>
        <v/>
      </c>
      <c r="AM41" s="8" t="str">
        <f t="shared" ref="AM41:AS41" si="72">IF(AM39="","",(AL41+AL42))</f>
        <v/>
      </c>
      <c r="AN41" s="8" t="str">
        <f t="shared" si="72"/>
        <v/>
      </c>
      <c r="AO41" s="8" t="str">
        <f t="shared" si="72"/>
        <v/>
      </c>
      <c r="AP41" s="8" t="str">
        <f t="shared" si="72"/>
        <v/>
      </c>
      <c r="AQ41" s="8" t="str">
        <f t="shared" si="72"/>
        <v/>
      </c>
      <c r="AR41" s="8" t="str">
        <f t="shared" si="72"/>
        <v/>
      </c>
      <c r="AS41" s="8" t="str">
        <f t="shared" si="72"/>
        <v/>
      </c>
    </row>
    <row r="42" spans="1:45" s="1" customFormat="1" ht="11">
      <c r="A42" s="14"/>
      <c r="B42" s="9" t="s">
        <v>7</v>
      </c>
      <c r="C42" s="74"/>
      <c r="D42" s="8"/>
      <c r="E42" s="8"/>
      <c r="F42" s="59"/>
      <c r="G42" s="8"/>
      <c r="H42" s="8"/>
      <c r="I42" s="59"/>
      <c r="J42" s="8"/>
      <c r="K42" s="8">
        <v>50</v>
      </c>
      <c r="L42" s="59"/>
      <c r="M42" s="8"/>
      <c r="N42" s="8"/>
      <c r="O42" s="8"/>
      <c r="P42" s="5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74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s="1" customFormat="1" ht="11">
      <c r="A43" s="7"/>
      <c r="B43" s="9" t="s">
        <v>8</v>
      </c>
      <c r="C43" s="74">
        <v>100</v>
      </c>
      <c r="D43" s="8">
        <f t="shared" ref="D43:AL43" si="73">IF(D39="","",C43)</f>
        <v>100</v>
      </c>
      <c r="E43" s="8">
        <f t="shared" si="73"/>
        <v>100</v>
      </c>
      <c r="F43" s="59">
        <f t="shared" si="73"/>
        <v>100</v>
      </c>
      <c r="G43" s="8">
        <f t="shared" si="73"/>
        <v>100</v>
      </c>
      <c r="H43" s="8">
        <f t="shared" si="73"/>
        <v>100</v>
      </c>
      <c r="I43" s="59">
        <f t="shared" si="73"/>
        <v>100</v>
      </c>
      <c r="J43" s="8">
        <f t="shared" si="73"/>
        <v>100</v>
      </c>
      <c r="K43" s="8">
        <f t="shared" si="73"/>
        <v>100</v>
      </c>
      <c r="L43" s="59">
        <f t="shared" si="73"/>
        <v>100</v>
      </c>
      <c r="M43" s="8">
        <f t="shared" si="73"/>
        <v>100</v>
      </c>
      <c r="N43" s="8">
        <f t="shared" si="73"/>
        <v>100</v>
      </c>
      <c r="O43" s="8">
        <f t="shared" si="73"/>
        <v>100</v>
      </c>
      <c r="P43" s="59">
        <f t="shared" si="73"/>
        <v>100</v>
      </c>
      <c r="Q43" s="8">
        <f t="shared" si="73"/>
        <v>100</v>
      </c>
      <c r="R43" s="8">
        <f t="shared" si="73"/>
        <v>100</v>
      </c>
      <c r="S43" s="8">
        <f t="shared" si="73"/>
        <v>100</v>
      </c>
      <c r="T43" s="8">
        <f t="shared" si="73"/>
        <v>100</v>
      </c>
      <c r="U43" s="8">
        <f t="shared" si="73"/>
        <v>100</v>
      </c>
      <c r="V43" s="8">
        <f t="shared" si="73"/>
        <v>100</v>
      </c>
      <c r="W43" s="8">
        <f t="shared" si="73"/>
        <v>100</v>
      </c>
      <c r="X43" s="8">
        <f t="shared" si="73"/>
        <v>100</v>
      </c>
      <c r="Y43" s="8">
        <f t="shared" si="73"/>
        <v>100</v>
      </c>
      <c r="Z43" s="8">
        <f t="shared" si="73"/>
        <v>100</v>
      </c>
      <c r="AA43" s="8">
        <f t="shared" si="73"/>
        <v>100</v>
      </c>
      <c r="AB43" s="8">
        <f t="shared" si="73"/>
        <v>100</v>
      </c>
      <c r="AC43" s="8">
        <f t="shared" si="73"/>
        <v>100</v>
      </c>
      <c r="AD43" s="74">
        <f t="shared" si="73"/>
        <v>100</v>
      </c>
      <c r="AE43" s="8">
        <f t="shared" si="73"/>
        <v>100</v>
      </c>
      <c r="AF43" s="8">
        <f t="shared" si="73"/>
        <v>100</v>
      </c>
      <c r="AG43" s="8" t="str">
        <f t="shared" si="73"/>
        <v/>
      </c>
      <c r="AH43" s="8" t="str">
        <f t="shared" si="73"/>
        <v/>
      </c>
      <c r="AI43" s="8" t="str">
        <f t="shared" si="73"/>
        <v/>
      </c>
      <c r="AJ43" s="8" t="str">
        <f t="shared" si="73"/>
        <v/>
      </c>
      <c r="AK43" s="8" t="str">
        <f t="shared" si="73"/>
        <v/>
      </c>
      <c r="AL43" s="8" t="str">
        <f t="shared" si="73"/>
        <v/>
      </c>
      <c r="AM43" s="8" t="str">
        <f t="shared" ref="AM43:AS43" si="74">IF(AM39="","",AL43)</f>
        <v/>
      </c>
      <c r="AN43" s="8" t="str">
        <f t="shared" si="74"/>
        <v/>
      </c>
      <c r="AO43" s="8" t="str">
        <f t="shared" si="74"/>
        <v/>
      </c>
      <c r="AP43" s="8" t="str">
        <f t="shared" si="74"/>
        <v/>
      </c>
      <c r="AQ43" s="8" t="str">
        <f t="shared" si="74"/>
        <v/>
      </c>
      <c r="AR43" s="8" t="str">
        <f t="shared" si="74"/>
        <v/>
      </c>
      <c r="AS43" s="8" t="str">
        <f t="shared" si="74"/>
        <v/>
      </c>
    </row>
    <row r="44" spans="1:45" s="94" customFormat="1" ht="11">
      <c r="A44" s="14" t="s">
        <v>9</v>
      </c>
      <c r="B44" s="13" t="s">
        <v>10</v>
      </c>
      <c r="C44" s="75" t="s">
        <v>25</v>
      </c>
      <c r="D44" s="12" t="str">
        <f t="shared" ref="D44:AL44" si="75">IF(D39="","",C44)</f>
        <v>アングリー</v>
      </c>
      <c r="E44" s="12" t="str">
        <f t="shared" si="75"/>
        <v>アングリー</v>
      </c>
      <c r="F44" s="131" t="str">
        <f t="shared" si="75"/>
        <v>アングリー</v>
      </c>
      <c r="G44" s="12" t="str">
        <f t="shared" si="75"/>
        <v>アングリー</v>
      </c>
      <c r="H44" s="12" t="str">
        <f t="shared" si="75"/>
        <v>アングリー</v>
      </c>
      <c r="I44" s="131" t="str">
        <f t="shared" si="75"/>
        <v>アングリー</v>
      </c>
      <c r="J44" s="12" t="str">
        <f t="shared" si="75"/>
        <v>アングリー</v>
      </c>
      <c r="K44" s="12" t="str">
        <f t="shared" si="75"/>
        <v>アングリー</v>
      </c>
      <c r="L44" s="131" t="str">
        <f t="shared" si="75"/>
        <v>アングリー</v>
      </c>
      <c r="M44" s="12" t="str">
        <f t="shared" si="75"/>
        <v>アングリー</v>
      </c>
      <c r="N44" s="12" t="str">
        <f t="shared" si="75"/>
        <v>アングリー</v>
      </c>
      <c r="O44" s="12" t="str">
        <f t="shared" si="75"/>
        <v>アングリー</v>
      </c>
      <c r="P44" s="131" t="str">
        <f t="shared" si="75"/>
        <v>アングリー</v>
      </c>
      <c r="Q44" s="12" t="str">
        <f t="shared" si="75"/>
        <v>アングリー</v>
      </c>
      <c r="R44" s="12" t="str">
        <f t="shared" si="75"/>
        <v>アングリー</v>
      </c>
      <c r="S44" s="12" t="str">
        <f t="shared" si="75"/>
        <v>アングリー</v>
      </c>
      <c r="T44" s="12" t="str">
        <f t="shared" si="75"/>
        <v>アングリー</v>
      </c>
      <c r="U44" s="12" t="str">
        <f t="shared" si="75"/>
        <v>アングリー</v>
      </c>
      <c r="V44" s="12" t="str">
        <f t="shared" si="75"/>
        <v>アングリー</v>
      </c>
      <c r="W44" s="12" t="str">
        <f t="shared" si="75"/>
        <v>アングリー</v>
      </c>
      <c r="X44" s="12" t="str">
        <f t="shared" si="75"/>
        <v>アングリー</v>
      </c>
      <c r="Y44" s="12" t="str">
        <f t="shared" si="75"/>
        <v>アングリー</v>
      </c>
      <c r="Z44" s="12" t="str">
        <f t="shared" si="75"/>
        <v>アングリー</v>
      </c>
      <c r="AA44" s="12" t="str">
        <f t="shared" si="75"/>
        <v>アングリー</v>
      </c>
      <c r="AB44" s="12" t="str">
        <f t="shared" si="75"/>
        <v>アングリー</v>
      </c>
      <c r="AC44" s="12" t="str">
        <f t="shared" si="75"/>
        <v>アングリー</v>
      </c>
      <c r="AD44" s="75" t="str">
        <f t="shared" si="75"/>
        <v>アングリー</v>
      </c>
      <c r="AE44" s="12" t="str">
        <f t="shared" si="75"/>
        <v>アングリー</v>
      </c>
      <c r="AF44" s="12" t="str">
        <f t="shared" si="75"/>
        <v>アングリー</v>
      </c>
      <c r="AG44" s="12" t="str">
        <f t="shared" si="75"/>
        <v/>
      </c>
      <c r="AH44" s="12" t="str">
        <f t="shared" si="75"/>
        <v/>
      </c>
      <c r="AI44" s="12" t="str">
        <f t="shared" si="75"/>
        <v/>
      </c>
      <c r="AJ44" s="12" t="str">
        <f t="shared" si="75"/>
        <v/>
      </c>
      <c r="AK44" s="12" t="str">
        <f t="shared" si="75"/>
        <v/>
      </c>
      <c r="AL44" s="12" t="str">
        <f t="shared" si="75"/>
        <v/>
      </c>
      <c r="AM44" s="12" t="str">
        <f t="shared" ref="AM44:AS44" si="76">IF(AM39="","",AL44)</f>
        <v/>
      </c>
      <c r="AN44" s="12" t="str">
        <f t="shared" si="76"/>
        <v/>
      </c>
      <c r="AO44" s="12" t="str">
        <f t="shared" si="76"/>
        <v/>
      </c>
      <c r="AP44" s="12" t="str">
        <f t="shared" si="76"/>
        <v/>
      </c>
      <c r="AQ44" s="12" t="str">
        <f t="shared" si="76"/>
        <v/>
      </c>
      <c r="AR44" s="12" t="str">
        <f t="shared" si="76"/>
        <v/>
      </c>
      <c r="AS44" s="12" t="str">
        <f t="shared" si="76"/>
        <v/>
      </c>
    </row>
    <row r="45" spans="1:45" s="1" customFormat="1" ht="11">
      <c r="A45" s="7">
        <f>AVERAGE(C46:AS46)*30*100</f>
        <v>32400</v>
      </c>
      <c r="B45" s="9" t="s">
        <v>14</v>
      </c>
      <c r="C45" s="74"/>
      <c r="D45" s="8"/>
      <c r="E45" s="8"/>
      <c r="F45" s="59"/>
      <c r="G45" s="8"/>
      <c r="H45" s="8"/>
      <c r="I45" s="59"/>
      <c r="J45" s="8"/>
      <c r="K45" s="8"/>
      <c r="L45" s="59"/>
      <c r="M45" s="8"/>
      <c r="N45" s="8"/>
      <c r="O45" s="8"/>
      <c r="P45" s="59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74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s="1" customFormat="1" ht="11">
      <c r="A46" s="7">
        <f>SUM(C46:AS46)</f>
        <v>324</v>
      </c>
      <c r="B46" s="6" t="s">
        <v>15</v>
      </c>
      <c r="C46" s="74">
        <v>0</v>
      </c>
      <c r="D46" s="5">
        <f t="shared" ref="D46:AL46" si="77">IF(D39="","",D39-C39)</f>
        <v>0</v>
      </c>
      <c r="E46" s="5">
        <f t="shared" si="77"/>
        <v>38</v>
      </c>
      <c r="F46" s="59">
        <f t="shared" si="77"/>
        <v>0</v>
      </c>
      <c r="G46" s="5">
        <f t="shared" si="77"/>
        <v>0</v>
      </c>
      <c r="H46" s="5">
        <f t="shared" si="77"/>
        <v>5</v>
      </c>
      <c r="I46" s="59">
        <f t="shared" si="77"/>
        <v>0</v>
      </c>
      <c r="J46" s="5">
        <f t="shared" si="77"/>
        <v>0</v>
      </c>
      <c r="K46" s="5">
        <f t="shared" si="77"/>
        <v>30</v>
      </c>
      <c r="L46" s="59">
        <f t="shared" si="77"/>
        <v>0</v>
      </c>
      <c r="M46" s="5">
        <f t="shared" si="77"/>
        <v>0</v>
      </c>
      <c r="N46" s="5">
        <f t="shared" si="77"/>
        <v>0</v>
      </c>
      <c r="O46" s="5">
        <f t="shared" si="77"/>
        <v>24</v>
      </c>
      <c r="P46" s="59">
        <f t="shared" si="77"/>
        <v>0</v>
      </c>
      <c r="Q46" s="5">
        <f t="shared" si="77"/>
        <v>0</v>
      </c>
      <c r="R46" s="5">
        <f t="shared" si="77"/>
        <v>83</v>
      </c>
      <c r="S46" s="5">
        <f t="shared" si="77"/>
        <v>0</v>
      </c>
      <c r="T46" s="5">
        <f t="shared" si="77"/>
        <v>0</v>
      </c>
      <c r="U46" s="5">
        <f t="shared" si="77"/>
        <v>0</v>
      </c>
      <c r="V46" s="5">
        <f t="shared" si="77"/>
        <v>35</v>
      </c>
      <c r="W46" s="5">
        <f t="shared" si="77"/>
        <v>0</v>
      </c>
      <c r="X46" s="5">
        <f t="shared" si="77"/>
        <v>0</v>
      </c>
      <c r="Y46" s="5">
        <f t="shared" si="77"/>
        <v>27</v>
      </c>
      <c r="Z46" s="5">
        <f t="shared" si="77"/>
        <v>0</v>
      </c>
      <c r="AA46" s="5">
        <f t="shared" si="77"/>
        <v>0</v>
      </c>
      <c r="AB46" s="5">
        <f t="shared" si="77"/>
        <v>0</v>
      </c>
      <c r="AC46" s="5">
        <f t="shared" si="77"/>
        <v>39</v>
      </c>
      <c r="AD46" s="74">
        <f t="shared" si="77"/>
        <v>0</v>
      </c>
      <c r="AE46" s="5">
        <f t="shared" si="77"/>
        <v>0</v>
      </c>
      <c r="AF46" s="5">
        <f t="shared" si="77"/>
        <v>43</v>
      </c>
      <c r="AG46" s="5" t="str">
        <f t="shared" si="77"/>
        <v/>
      </c>
      <c r="AH46" s="5" t="str">
        <f t="shared" si="77"/>
        <v/>
      </c>
      <c r="AI46" s="5" t="str">
        <f t="shared" si="77"/>
        <v/>
      </c>
      <c r="AJ46" s="5" t="str">
        <f t="shared" si="77"/>
        <v/>
      </c>
      <c r="AK46" s="5" t="str">
        <f t="shared" si="77"/>
        <v/>
      </c>
      <c r="AL46" s="5" t="str">
        <f t="shared" si="77"/>
        <v/>
      </c>
      <c r="AM46" s="5" t="str">
        <f t="shared" ref="AM46:AS46" si="78">IF(AM39="","",AM39-AL39)</f>
        <v/>
      </c>
      <c r="AN46" s="5" t="str">
        <f t="shared" si="78"/>
        <v/>
      </c>
      <c r="AO46" s="5" t="str">
        <f t="shared" si="78"/>
        <v/>
      </c>
      <c r="AP46" s="5" t="str">
        <f t="shared" si="78"/>
        <v/>
      </c>
      <c r="AQ46" s="5" t="str">
        <f t="shared" si="78"/>
        <v/>
      </c>
      <c r="AR46" s="5" t="str">
        <f t="shared" si="78"/>
        <v/>
      </c>
      <c r="AS46" s="5" t="str">
        <f t="shared" si="78"/>
        <v/>
      </c>
    </row>
    <row r="47" spans="1:45" s="1" customFormat="1" ht="11">
      <c r="A47" s="7">
        <f>SUM(C47:AS47)</f>
        <v>12</v>
      </c>
      <c r="B47" s="6" t="s">
        <v>16</v>
      </c>
      <c r="C47" s="74">
        <v>0</v>
      </c>
      <c r="D47" s="5">
        <f t="shared" ref="D47:AL47" si="79">IF(D40="","",D40-C40)</f>
        <v>0</v>
      </c>
      <c r="E47" s="5">
        <f t="shared" si="79"/>
        <v>3</v>
      </c>
      <c r="F47" s="59">
        <f t="shared" si="79"/>
        <v>0</v>
      </c>
      <c r="G47" s="5">
        <f t="shared" si="79"/>
        <v>0</v>
      </c>
      <c r="H47" s="5">
        <f t="shared" si="79"/>
        <v>0</v>
      </c>
      <c r="I47" s="59">
        <f t="shared" si="79"/>
        <v>0</v>
      </c>
      <c r="J47" s="5">
        <f t="shared" si="79"/>
        <v>0</v>
      </c>
      <c r="K47" s="5">
        <f t="shared" si="79"/>
        <v>1</v>
      </c>
      <c r="L47" s="59">
        <f t="shared" si="79"/>
        <v>0</v>
      </c>
      <c r="M47" s="5">
        <f t="shared" si="79"/>
        <v>0</v>
      </c>
      <c r="N47" s="5">
        <f t="shared" si="79"/>
        <v>0</v>
      </c>
      <c r="O47" s="5">
        <f t="shared" si="79"/>
        <v>1</v>
      </c>
      <c r="P47" s="59">
        <f t="shared" si="79"/>
        <v>0</v>
      </c>
      <c r="Q47" s="5">
        <f t="shared" si="79"/>
        <v>0</v>
      </c>
      <c r="R47" s="5">
        <f t="shared" si="79"/>
        <v>1</v>
      </c>
      <c r="S47" s="5">
        <f t="shared" si="79"/>
        <v>0</v>
      </c>
      <c r="T47" s="5">
        <f t="shared" si="79"/>
        <v>0</v>
      </c>
      <c r="U47" s="5">
        <f t="shared" si="79"/>
        <v>0</v>
      </c>
      <c r="V47" s="5">
        <f t="shared" si="79"/>
        <v>1</v>
      </c>
      <c r="W47" s="5">
        <f t="shared" si="79"/>
        <v>0</v>
      </c>
      <c r="X47" s="5">
        <f t="shared" si="79"/>
        <v>0</v>
      </c>
      <c r="Y47" s="5">
        <f t="shared" si="79"/>
        <v>1</v>
      </c>
      <c r="Z47" s="5">
        <f t="shared" si="79"/>
        <v>0</v>
      </c>
      <c r="AA47" s="5">
        <f t="shared" si="79"/>
        <v>0</v>
      </c>
      <c r="AB47" s="5">
        <f t="shared" si="79"/>
        <v>0</v>
      </c>
      <c r="AC47" s="5">
        <f t="shared" si="79"/>
        <v>1</v>
      </c>
      <c r="AD47" s="74">
        <f t="shared" si="79"/>
        <v>0</v>
      </c>
      <c r="AE47" s="5">
        <f t="shared" si="79"/>
        <v>0</v>
      </c>
      <c r="AF47" s="5">
        <f t="shared" si="79"/>
        <v>3</v>
      </c>
      <c r="AG47" s="5" t="str">
        <f t="shared" si="79"/>
        <v/>
      </c>
      <c r="AH47" s="5" t="str">
        <f t="shared" si="79"/>
        <v/>
      </c>
      <c r="AI47" s="5" t="str">
        <f t="shared" si="79"/>
        <v/>
      </c>
      <c r="AJ47" s="5" t="str">
        <f t="shared" si="79"/>
        <v/>
      </c>
      <c r="AK47" s="5" t="str">
        <f t="shared" si="79"/>
        <v/>
      </c>
      <c r="AL47" s="5" t="str">
        <f t="shared" si="79"/>
        <v/>
      </c>
      <c r="AM47" s="5" t="str">
        <f t="shared" ref="AM47:AS47" si="80">IF(AM40="","",AM40-AL40)</f>
        <v/>
      </c>
      <c r="AN47" s="5" t="str">
        <f t="shared" si="80"/>
        <v/>
      </c>
      <c r="AO47" s="5" t="str">
        <f t="shared" si="80"/>
        <v/>
      </c>
      <c r="AP47" s="5" t="str">
        <f t="shared" si="80"/>
        <v/>
      </c>
      <c r="AQ47" s="5" t="str">
        <f t="shared" si="80"/>
        <v/>
      </c>
      <c r="AR47" s="5" t="str">
        <f t="shared" si="80"/>
        <v/>
      </c>
      <c r="AS47" s="5" t="str">
        <f t="shared" si="80"/>
        <v/>
      </c>
    </row>
    <row r="48" spans="1:45" s="1" customFormat="1" ht="11">
      <c r="A48" s="7">
        <f>SUM(C48:AS48)</f>
        <v>10</v>
      </c>
      <c r="B48" s="6" t="s">
        <v>17</v>
      </c>
      <c r="C48" s="74">
        <v>0</v>
      </c>
      <c r="D48" s="5">
        <f t="shared" ref="D48:AL48" si="81">IF(D41="","",C41+C42-D41)</f>
        <v>0</v>
      </c>
      <c r="E48" s="5">
        <f t="shared" si="81"/>
        <v>3</v>
      </c>
      <c r="F48" s="59">
        <f t="shared" si="81"/>
        <v>0</v>
      </c>
      <c r="G48" s="5">
        <f t="shared" si="81"/>
        <v>0</v>
      </c>
      <c r="H48" s="5">
        <f t="shared" si="81"/>
        <v>0</v>
      </c>
      <c r="I48" s="59">
        <f t="shared" si="81"/>
        <v>0</v>
      </c>
      <c r="J48" s="5">
        <f t="shared" si="81"/>
        <v>0</v>
      </c>
      <c r="K48" s="5">
        <f t="shared" si="81"/>
        <v>1</v>
      </c>
      <c r="L48" s="59">
        <f t="shared" si="81"/>
        <v>0</v>
      </c>
      <c r="M48" s="5">
        <f t="shared" si="81"/>
        <v>0</v>
      </c>
      <c r="N48" s="5">
        <f t="shared" si="81"/>
        <v>0</v>
      </c>
      <c r="O48" s="5">
        <f t="shared" si="81"/>
        <v>0</v>
      </c>
      <c r="P48" s="59">
        <f t="shared" si="81"/>
        <v>0</v>
      </c>
      <c r="Q48" s="5">
        <f t="shared" si="81"/>
        <v>0</v>
      </c>
      <c r="R48" s="5">
        <f t="shared" si="81"/>
        <v>1</v>
      </c>
      <c r="S48" s="5">
        <f t="shared" si="81"/>
        <v>0</v>
      </c>
      <c r="T48" s="5">
        <f t="shared" si="81"/>
        <v>0</v>
      </c>
      <c r="U48" s="5">
        <f t="shared" si="81"/>
        <v>0</v>
      </c>
      <c r="V48" s="5">
        <f t="shared" si="81"/>
        <v>1</v>
      </c>
      <c r="W48" s="5">
        <f t="shared" si="81"/>
        <v>0</v>
      </c>
      <c r="X48" s="5">
        <f t="shared" si="81"/>
        <v>0</v>
      </c>
      <c r="Y48" s="5">
        <f t="shared" si="81"/>
        <v>1</v>
      </c>
      <c r="Z48" s="5">
        <f t="shared" si="81"/>
        <v>0</v>
      </c>
      <c r="AA48" s="5">
        <f t="shared" si="81"/>
        <v>0</v>
      </c>
      <c r="AB48" s="5">
        <f t="shared" si="81"/>
        <v>0</v>
      </c>
      <c r="AC48" s="5">
        <f t="shared" si="81"/>
        <v>0</v>
      </c>
      <c r="AD48" s="74">
        <f t="shared" si="81"/>
        <v>0</v>
      </c>
      <c r="AE48" s="5">
        <f t="shared" si="81"/>
        <v>0</v>
      </c>
      <c r="AF48" s="5">
        <f t="shared" si="81"/>
        <v>3</v>
      </c>
      <c r="AG48" s="5" t="str">
        <f t="shared" si="81"/>
        <v/>
      </c>
      <c r="AH48" s="5" t="str">
        <f t="shared" si="81"/>
        <v/>
      </c>
      <c r="AI48" s="5" t="str">
        <f t="shared" si="81"/>
        <v/>
      </c>
      <c r="AJ48" s="5" t="str">
        <f t="shared" si="81"/>
        <v/>
      </c>
      <c r="AK48" s="5" t="str">
        <f t="shared" si="81"/>
        <v/>
      </c>
      <c r="AL48" s="5" t="str">
        <f t="shared" si="81"/>
        <v/>
      </c>
      <c r="AM48" s="5" t="str">
        <f t="shared" ref="AM48:AS48" si="82">IF(AM41="","",AL41+AL42-AM41)</f>
        <v/>
      </c>
      <c r="AN48" s="5" t="str">
        <f t="shared" si="82"/>
        <v/>
      </c>
      <c r="AO48" s="5" t="str">
        <f t="shared" si="82"/>
        <v/>
      </c>
      <c r="AP48" s="5" t="str">
        <f t="shared" si="82"/>
        <v/>
      </c>
      <c r="AQ48" s="5" t="str">
        <f t="shared" si="82"/>
        <v/>
      </c>
      <c r="AR48" s="5" t="str">
        <f t="shared" si="82"/>
        <v/>
      </c>
      <c r="AS48" s="5" t="str">
        <f t="shared" si="82"/>
        <v/>
      </c>
    </row>
    <row r="49" spans="1:45" s="1" customFormat="1" ht="11">
      <c r="A49" s="7">
        <f>SUM(C49:AS49)</f>
        <v>1000</v>
      </c>
      <c r="B49" s="6" t="s">
        <v>18</v>
      </c>
      <c r="C49" s="74">
        <v>0</v>
      </c>
      <c r="D49" s="5">
        <f t="shared" ref="D49:AL49" si="83">IF(D39="","",D48*D43)</f>
        <v>0</v>
      </c>
      <c r="E49" s="5">
        <f t="shared" si="83"/>
        <v>300</v>
      </c>
      <c r="F49" s="59">
        <f t="shared" si="83"/>
        <v>0</v>
      </c>
      <c r="G49" s="5">
        <f t="shared" si="83"/>
        <v>0</v>
      </c>
      <c r="H49" s="5">
        <f t="shared" si="83"/>
        <v>0</v>
      </c>
      <c r="I49" s="59">
        <f t="shared" si="83"/>
        <v>0</v>
      </c>
      <c r="J49" s="5">
        <f t="shared" si="83"/>
        <v>0</v>
      </c>
      <c r="K49" s="5">
        <f t="shared" si="83"/>
        <v>100</v>
      </c>
      <c r="L49" s="59">
        <f t="shared" si="83"/>
        <v>0</v>
      </c>
      <c r="M49" s="5">
        <f t="shared" si="83"/>
        <v>0</v>
      </c>
      <c r="N49" s="5">
        <f t="shared" si="83"/>
        <v>0</v>
      </c>
      <c r="O49" s="5">
        <f t="shared" si="83"/>
        <v>0</v>
      </c>
      <c r="P49" s="59">
        <f t="shared" si="83"/>
        <v>0</v>
      </c>
      <c r="Q49" s="5">
        <f t="shared" si="83"/>
        <v>0</v>
      </c>
      <c r="R49" s="5">
        <f t="shared" si="83"/>
        <v>100</v>
      </c>
      <c r="S49" s="5">
        <f t="shared" si="83"/>
        <v>0</v>
      </c>
      <c r="T49" s="5">
        <f t="shared" si="83"/>
        <v>0</v>
      </c>
      <c r="U49" s="5">
        <f t="shared" si="83"/>
        <v>0</v>
      </c>
      <c r="V49" s="5">
        <f t="shared" si="83"/>
        <v>100</v>
      </c>
      <c r="W49" s="5">
        <f t="shared" si="83"/>
        <v>0</v>
      </c>
      <c r="X49" s="5">
        <f t="shared" si="83"/>
        <v>0</v>
      </c>
      <c r="Y49" s="5">
        <f t="shared" si="83"/>
        <v>100</v>
      </c>
      <c r="Z49" s="5">
        <f t="shared" si="83"/>
        <v>0</v>
      </c>
      <c r="AA49" s="5">
        <f t="shared" si="83"/>
        <v>0</v>
      </c>
      <c r="AB49" s="5">
        <f t="shared" si="83"/>
        <v>0</v>
      </c>
      <c r="AC49" s="5">
        <f t="shared" si="83"/>
        <v>0</v>
      </c>
      <c r="AD49" s="74">
        <f t="shared" si="83"/>
        <v>0</v>
      </c>
      <c r="AE49" s="5">
        <f t="shared" si="83"/>
        <v>0</v>
      </c>
      <c r="AF49" s="5">
        <f t="shared" si="83"/>
        <v>300</v>
      </c>
      <c r="AG49" s="5" t="str">
        <f t="shared" si="83"/>
        <v/>
      </c>
      <c r="AH49" s="5" t="str">
        <f t="shared" si="83"/>
        <v/>
      </c>
      <c r="AI49" s="5" t="str">
        <f t="shared" si="83"/>
        <v/>
      </c>
      <c r="AJ49" s="5" t="str">
        <f t="shared" si="83"/>
        <v/>
      </c>
      <c r="AK49" s="5" t="str">
        <f t="shared" si="83"/>
        <v/>
      </c>
      <c r="AL49" s="5" t="str">
        <f t="shared" si="83"/>
        <v/>
      </c>
      <c r="AM49" s="5" t="str">
        <f t="shared" ref="AM49:AS49" si="84">IF(AM39="","",AM48*AM43)</f>
        <v/>
      </c>
      <c r="AN49" s="5" t="str">
        <f t="shared" si="84"/>
        <v/>
      </c>
      <c r="AO49" s="5" t="str">
        <f t="shared" si="84"/>
        <v/>
      </c>
      <c r="AP49" s="5" t="str">
        <f t="shared" si="84"/>
        <v/>
      </c>
      <c r="AQ49" s="5" t="str">
        <f t="shared" si="84"/>
        <v/>
      </c>
      <c r="AR49" s="5" t="str">
        <f t="shared" si="84"/>
        <v/>
      </c>
      <c r="AS49" s="5" t="str">
        <f t="shared" si="84"/>
        <v/>
      </c>
    </row>
    <row r="50" spans="1:45" s="1" customFormat="1" ht="12" thickBot="1">
      <c r="A50" s="4">
        <f>IF(A49="","",A49/(A46*100))</f>
        <v>3.0864197530864196E-2</v>
      </c>
      <c r="B50" s="3" t="s">
        <v>20</v>
      </c>
      <c r="C50" s="77" t="s">
        <v>21</v>
      </c>
      <c r="D50" s="2" t="str">
        <f t="shared" ref="D50:AL50" si="85">IF(D49="","",IF(D49=0,"",D49/(D46*100)))</f>
        <v/>
      </c>
      <c r="E50" s="2">
        <f t="shared" si="85"/>
        <v>7.8947368421052627E-2</v>
      </c>
      <c r="F50" s="57" t="str">
        <f t="shared" si="85"/>
        <v/>
      </c>
      <c r="G50" s="2" t="str">
        <f t="shared" si="85"/>
        <v/>
      </c>
      <c r="H50" s="2" t="str">
        <f t="shared" si="85"/>
        <v/>
      </c>
      <c r="I50" s="57" t="str">
        <f t="shared" si="85"/>
        <v/>
      </c>
      <c r="J50" s="2" t="str">
        <f t="shared" si="85"/>
        <v/>
      </c>
      <c r="K50" s="2">
        <f t="shared" si="85"/>
        <v>3.3333333333333333E-2</v>
      </c>
      <c r="L50" s="57" t="str">
        <f t="shared" si="85"/>
        <v/>
      </c>
      <c r="M50" s="2" t="str">
        <f t="shared" si="85"/>
        <v/>
      </c>
      <c r="N50" s="2" t="str">
        <f t="shared" si="85"/>
        <v/>
      </c>
      <c r="O50" s="2" t="str">
        <f t="shared" si="85"/>
        <v/>
      </c>
      <c r="P50" s="57" t="str">
        <f t="shared" si="85"/>
        <v/>
      </c>
      <c r="Q50" s="2" t="str">
        <f t="shared" si="85"/>
        <v/>
      </c>
      <c r="R50" s="2">
        <f t="shared" si="85"/>
        <v>1.2048192771084338E-2</v>
      </c>
      <c r="S50" s="2" t="str">
        <f t="shared" si="85"/>
        <v/>
      </c>
      <c r="T50" s="2" t="str">
        <f t="shared" si="85"/>
        <v/>
      </c>
      <c r="U50" s="2" t="str">
        <f t="shared" si="85"/>
        <v/>
      </c>
      <c r="V50" s="2">
        <f t="shared" si="85"/>
        <v>2.8571428571428571E-2</v>
      </c>
      <c r="W50" s="2" t="str">
        <f t="shared" si="85"/>
        <v/>
      </c>
      <c r="X50" s="2" t="str">
        <f t="shared" si="85"/>
        <v/>
      </c>
      <c r="Y50" s="2">
        <f t="shared" si="85"/>
        <v>3.7037037037037035E-2</v>
      </c>
      <c r="Z50" s="2" t="str">
        <f t="shared" si="85"/>
        <v/>
      </c>
      <c r="AA50" s="2" t="str">
        <f t="shared" si="85"/>
        <v/>
      </c>
      <c r="AB50" s="2" t="str">
        <f t="shared" si="85"/>
        <v/>
      </c>
      <c r="AC50" s="2" t="str">
        <f t="shared" si="85"/>
        <v/>
      </c>
      <c r="AD50" s="77" t="str">
        <f t="shared" si="85"/>
        <v/>
      </c>
      <c r="AE50" s="2" t="str">
        <f t="shared" si="85"/>
        <v/>
      </c>
      <c r="AF50" s="2">
        <f t="shared" si="85"/>
        <v>6.9767441860465115E-2</v>
      </c>
      <c r="AG50" s="2" t="str">
        <f t="shared" si="85"/>
        <v/>
      </c>
      <c r="AH50" s="2" t="str">
        <f t="shared" si="85"/>
        <v/>
      </c>
      <c r="AI50" s="2" t="str">
        <f t="shared" si="85"/>
        <v/>
      </c>
      <c r="AJ50" s="2" t="str">
        <f t="shared" si="85"/>
        <v/>
      </c>
      <c r="AK50" s="2" t="str">
        <f t="shared" si="85"/>
        <v/>
      </c>
      <c r="AL50" s="2" t="str">
        <f t="shared" si="85"/>
        <v/>
      </c>
      <c r="AM50" s="2" t="str">
        <f t="shared" ref="AM50:AS50" si="86">IF(AM49="","",IF(AM49=0,"",AM49/(AM46*100)))</f>
        <v/>
      </c>
      <c r="AN50" s="2" t="str">
        <f t="shared" si="86"/>
        <v/>
      </c>
      <c r="AO50" s="2" t="str">
        <f t="shared" si="86"/>
        <v/>
      </c>
      <c r="AP50" s="2" t="str">
        <f t="shared" si="86"/>
        <v/>
      </c>
      <c r="AQ50" s="2" t="str">
        <f t="shared" si="86"/>
        <v/>
      </c>
      <c r="AR50" s="2" t="str">
        <f t="shared" si="86"/>
        <v/>
      </c>
      <c r="AS50" s="2" t="str">
        <f t="shared" si="86"/>
        <v/>
      </c>
    </row>
    <row r="51" spans="1:45" s="1" customFormat="1" ht="11">
      <c r="A51" s="22" t="s">
        <v>61</v>
      </c>
      <c r="B51" s="21" t="s">
        <v>2</v>
      </c>
      <c r="C51" s="73">
        <v>3134</v>
      </c>
      <c r="D51" s="20">
        <f>IF(D$3="","",C51)</f>
        <v>3134</v>
      </c>
      <c r="E51" s="20">
        <v>3225</v>
      </c>
      <c r="F51" s="130">
        <f>IF(F$3="","",E51)</f>
        <v>3225</v>
      </c>
      <c r="G51" s="20">
        <f>IF(G$3="","",F51)</f>
        <v>3225</v>
      </c>
      <c r="H51" s="20">
        <v>3260</v>
      </c>
      <c r="I51" s="130">
        <f>IF(I$3="","",H51)</f>
        <v>3260</v>
      </c>
      <c r="J51" s="20">
        <f>IF(J$3="","",I51)</f>
        <v>3260</v>
      </c>
      <c r="K51" s="20">
        <v>3338</v>
      </c>
      <c r="L51" s="130">
        <f t="shared" ref="L51:N52" si="87">IF(L$3="","",K51)</f>
        <v>3338</v>
      </c>
      <c r="M51" s="20">
        <f t="shared" si="87"/>
        <v>3338</v>
      </c>
      <c r="N51" s="20">
        <f t="shared" si="87"/>
        <v>3338</v>
      </c>
      <c r="O51" s="20">
        <v>3352</v>
      </c>
      <c r="P51" s="130">
        <f>IF(P$3="","",O51)</f>
        <v>3352</v>
      </c>
      <c r="Q51" s="20">
        <f>IF(Q$3="","",P51)</f>
        <v>3352</v>
      </c>
      <c r="R51" s="20">
        <v>3429</v>
      </c>
      <c r="S51" s="20">
        <f t="shared" ref="S51:AL51" si="88">IF(S$3="","",R51)</f>
        <v>3429</v>
      </c>
      <c r="T51" s="20">
        <f t="shared" si="88"/>
        <v>3429</v>
      </c>
      <c r="U51" s="20">
        <f t="shared" si="88"/>
        <v>3429</v>
      </c>
      <c r="V51" s="20">
        <v>3447</v>
      </c>
      <c r="W51" s="20">
        <f t="shared" si="88"/>
        <v>3447</v>
      </c>
      <c r="X51" s="20">
        <f t="shared" si="88"/>
        <v>3447</v>
      </c>
      <c r="Y51" s="20">
        <v>3455</v>
      </c>
      <c r="Z51" s="20">
        <f t="shared" si="88"/>
        <v>3455</v>
      </c>
      <c r="AA51" s="20">
        <f t="shared" si="88"/>
        <v>3455</v>
      </c>
      <c r="AB51" s="20">
        <f t="shared" si="88"/>
        <v>3455</v>
      </c>
      <c r="AC51" s="20">
        <v>3466</v>
      </c>
      <c r="AD51" s="73">
        <f t="shared" si="88"/>
        <v>3466</v>
      </c>
      <c r="AE51" s="20">
        <f t="shared" si="88"/>
        <v>3466</v>
      </c>
      <c r="AF51" s="20">
        <v>3500</v>
      </c>
      <c r="AG51" s="20" t="str">
        <f t="shared" si="88"/>
        <v/>
      </c>
      <c r="AH51" s="20" t="str">
        <f t="shared" si="88"/>
        <v/>
      </c>
      <c r="AI51" s="20" t="str">
        <f t="shared" si="88"/>
        <v/>
      </c>
      <c r="AJ51" s="20" t="str">
        <f t="shared" si="88"/>
        <v/>
      </c>
      <c r="AK51" s="20" t="str">
        <f t="shared" si="88"/>
        <v/>
      </c>
      <c r="AL51" s="20" t="str">
        <f t="shared" si="88"/>
        <v/>
      </c>
      <c r="AM51" s="20" t="str">
        <f t="shared" ref="AM51:AS51" si="89">IF(AM$3="","",AL51)</f>
        <v/>
      </c>
      <c r="AN51" s="20" t="str">
        <f t="shared" si="89"/>
        <v/>
      </c>
      <c r="AO51" s="20" t="str">
        <f t="shared" si="89"/>
        <v/>
      </c>
      <c r="AP51" s="20" t="str">
        <f t="shared" si="89"/>
        <v/>
      </c>
      <c r="AQ51" s="20" t="str">
        <f t="shared" si="89"/>
        <v/>
      </c>
      <c r="AR51" s="20" t="str">
        <f t="shared" si="89"/>
        <v/>
      </c>
      <c r="AS51" s="20" t="str">
        <f t="shared" si="89"/>
        <v/>
      </c>
    </row>
    <row r="52" spans="1:45" s="1" customFormat="1" ht="11">
      <c r="A52" s="16" t="s">
        <v>30</v>
      </c>
      <c r="B52" s="9" t="s">
        <v>4</v>
      </c>
      <c r="C52" s="74">
        <v>89</v>
      </c>
      <c r="D52" s="8">
        <f>IF(D$3="","",C52)</f>
        <v>89</v>
      </c>
      <c r="E52" s="8">
        <v>90</v>
      </c>
      <c r="F52" s="59">
        <f>IF(F$3="","",E52)</f>
        <v>90</v>
      </c>
      <c r="G52" s="8">
        <f>IF(G$3="","",F52)</f>
        <v>90</v>
      </c>
      <c r="H52" s="8">
        <v>91</v>
      </c>
      <c r="I52" s="59">
        <f>IF(I$3="","",H52)</f>
        <v>91</v>
      </c>
      <c r="J52" s="8">
        <f>IF(J$3="","",I52)</f>
        <v>91</v>
      </c>
      <c r="K52" s="8">
        <v>93</v>
      </c>
      <c r="L52" s="59">
        <f t="shared" si="87"/>
        <v>93</v>
      </c>
      <c r="M52" s="8">
        <f t="shared" si="87"/>
        <v>93</v>
      </c>
      <c r="N52" s="8">
        <f t="shared" si="87"/>
        <v>93</v>
      </c>
      <c r="O52" s="8">
        <f>IF(O$3="","",N52)</f>
        <v>93</v>
      </c>
      <c r="P52" s="59">
        <f>IF(P$3="","",O52)</f>
        <v>93</v>
      </c>
      <c r="Q52" s="8">
        <f>IF(Q$3="","",P52)</f>
        <v>93</v>
      </c>
      <c r="R52" s="8">
        <v>95</v>
      </c>
      <c r="S52" s="8">
        <f t="shared" ref="S52:AL52" si="90">IF(S$3="","",R52)</f>
        <v>95</v>
      </c>
      <c r="T52" s="8">
        <f t="shared" si="90"/>
        <v>95</v>
      </c>
      <c r="U52" s="8">
        <f t="shared" si="90"/>
        <v>95</v>
      </c>
      <c r="V52" s="8">
        <v>96</v>
      </c>
      <c r="W52" s="8">
        <f t="shared" si="90"/>
        <v>96</v>
      </c>
      <c r="X52" s="8">
        <f t="shared" si="90"/>
        <v>96</v>
      </c>
      <c r="Y52" s="8">
        <f t="shared" si="90"/>
        <v>96</v>
      </c>
      <c r="Z52" s="8">
        <f t="shared" si="90"/>
        <v>96</v>
      </c>
      <c r="AA52" s="8">
        <f t="shared" si="90"/>
        <v>96</v>
      </c>
      <c r="AB52" s="8">
        <f t="shared" si="90"/>
        <v>96</v>
      </c>
      <c r="AC52" s="8">
        <f t="shared" si="90"/>
        <v>96</v>
      </c>
      <c r="AD52" s="74">
        <f t="shared" si="90"/>
        <v>96</v>
      </c>
      <c r="AE52" s="8">
        <f t="shared" si="90"/>
        <v>96</v>
      </c>
      <c r="AF52" s="8">
        <v>98</v>
      </c>
      <c r="AG52" s="8" t="str">
        <f t="shared" si="90"/>
        <v/>
      </c>
      <c r="AH52" s="8" t="str">
        <f t="shared" si="90"/>
        <v/>
      </c>
      <c r="AI52" s="8" t="str">
        <f t="shared" si="90"/>
        <v/>
      </c>
      <c r="AJ52" s="8" t="str">
        <f t="shared" si="90"/>
        <v/>
      </c>
      <c r="AK52" s="8" t="str">
        <f t="shared" si="90"/>
        <v/>
      </c>
      <c r="AL52" s="8" t="str">
        <f t="shared" si="90"/>
        <v/>
      </c>
      <c r="AM52" s="8" t="str">
        <f t="shared" ref="AM52:AS52" si="91">IF(AM$3="","",AL52)</f>
        <v/>
      </c>
      <c r="AN52" s="8" t="str">
        <f t="shared" si="91"/>
        <v/>
      </c>
      <c r="AO52" s="8" t="str">
        <f t="shared" si="91"/>
        <v/>
      </c>
      <c r="AP52" s="8" t="str">
        <f t="shared" si="91"/>
        <v/>
      </c>
      <c r="AQ52" s="8" t="str">
        <f t="shared" si="91"/>
        <v/>
      </c>
      <c r="AR52" s="8" t="str">
        <f t="shared" si="91"/>
        <v/>
      </c>
      <c r="AS52" s="8" t="str">
        <f t="shared" si="91"/>
        <v/>
      </c>
    </row>
    <row r="53" spans="1:45" s="1" customFormat="1" ht="11">
      <c r="A53" s="15">
        <v>1</v>
      </c>
      <c r="B53" s="9" t="s">
        <v>5</v>
      </c>
      <c r="C53" s="74">
        <v>13</v>
      </c>
      <c r="D53" s="8">
        <f>IF(D$3="","",(C53+C54))</f>
        <v>13</v>
      </c>
      <c r="E53" s="8">
        <v>12</v>
      </c>
      <c r="F53" s="59">
        <f>IF(F$3="","",(E53+E54))</f>
        <v>12</v>
      </c>
      <c r="G53" s="8">
        <f>IF(G$3="","",(F53+F54))</f>
        <v>12</v>
      </c>
      <c r="H53" s="8">
        <v>11</v>
      </c>
      <c r="I53" s="59">
        <f>IF(I$3="","",(H53+H54))</f>
        <v>11</v>
      </c>
      <c r="J53" s="8">
        <f>IF(J$3="","",(I53+I54))</f>
        <v>11</v>
      </c>
      <c r="K53" s="8">
        <v>9</v>
      </c>
      <c r="L53" s="59">
        <f t="shared" ref="L53:Q53" si="92">IF(L$3="","",(K53+K54))</f>
        <v>9</v>
      </c>
      <c r="M53" s="8">
        <f t="shared" si="92"/>
        <v>9</v>
      </c>
      <c r="N53" s="8">
        <f t="shared" si="92"/>
        <v>9</v>
      </c>
      <c r="O53" s="8">
        <f t="shared" si="92"/>
        <v>9</v>
      </c>
      <c r="P53" s="59">
        <f t="shared" si="92"/>
        <v>9</v>
      </c>
      <c r="Q53" s="8">
        <f t="shared" si="92"/>
        <v>9</v>
      </c>
      <c r="R53" s="8">
        <v>7</v>
      </c>
      <c r="S53" s="8">
        <f t="shared" ref="S53:AL53" si="93">IF(S$3="","",(R53+R54))</f>
        <v>20</v>
      </c>
      <c r="T53" s="8">
        <f t="shared" si="93"/>
        <v>20</v>
      </c>
      <c r="U53" s="8">
        <f t="shared" si="93"/>
        <v>20</v>
      </c>
      <c r="V53" s="8">
        <f t="shared" si="93"/>
        <v>20</v>
      </c>
      <c r="W53" s="8">
        <f t="shared" si="93"/>
        <v>20</v>
      </c>
      <c r="X53" s="8">
        <f t="shared" si="93"/>
        <v>20</v>
      </c>
      <c r="Y53" s="8">
        <f t="shared" si="93"/>
        <v>20</v>
      </c>
      <c r="Z53" s="8">
        <f t="shared" si="93"/>
        <v>20</v>
      </c>
      <c r="AA53" s="8">
        <f t="shared" si="93"/>
        <v>20</v>
      </c>
      <c r="AB53" s="8">
        <f t="shared" si="93"/>
        <v>20</v>
      </c>
      <c r="AC53" s="8">
        <f t="shared" si="93"/>
        <v>20</v>
      </c>
      <c r="AD53" s="74">
        <f t="shared" si="93"/>
        <v>20</v>
      </c>
      <c r="AE53" s="8">
        <f t="shared" si="93"/>
        <v>20</v>
      </c>
      <c r="AF53" s="8">
        <v>17</v>
      </c>
      <c r="AG53" s="8" t="str">
        <f t="shared" si="93"/>
        <v/>
      </c>
      <c r="AH53" s="8" t="str">
        <f t="shared" si="93"/>
        <v/>
      </c>
      <c r="AI53" s="8" t="str">
        <f t="shared" si="93"/>
        <v/>
      </c>
      <c r="AJ53" s="8" t="str">
        <f t="shared" si="93"/>
        <v/>
      </c>
      <c r="AK53" s="8" t="str">
        <f t="shared" si="93"/>
        <v/>
      </c>
      <c r="AL53" s="8" t="str">
        <f t="shared" si="93"/>
        <v/>
      </c>
      <c r="AM53" s="8" t="str">
        <f t="shared" ref="AM53:AS53" si="94">IF(AM$3="","",(AL53+AL54))</f>
        <v/>
      </c>
      <c r="AN53" s="8" t="str">
        <f t="shared" si="94"/>
        <v/>
      </c>
      <c r="AO53" s="8" t="str">
        <f t="shared" si="94"/>
        <v/>
      </c>
      <c r="AP53" s="8" t="str">
        <f t="shared" si="94"/>
        <v/>
      </c>
      <c r="AQ53" s="8" t="str">
        <f t="shared" si="94"/>
        <v/>
      </c>
      <c r="AR53" s="8" t="str">
        <f t="shared" si="94"/>
        <v/>
      </c>
      <c r="AS53" s="8" t="str">
        <f t="shared" si="94"/>
        <v/>
      </c>
    </row>
    <row r="54" spans="1:45" s="1" customFormat="1" ht="11">
      <c r="A54" s="101" t="s">
        <v>6</v>
      </c>
      <c r="B54" s="9" t="s">
        <v>7</v>
      </c>
      <c r="C54" s="74"/>
      <c r="D54" s="8"/>
      <c r="E54" s="8"/>
      <c r="F54" s="59"/>
      <c r="G54" s="8"/>
      <c r="H54" s="8"/>
      <c r="I54" s="59"/>
      <c r="J54" s="8"/>
      <c r="K54" s="8"/>
      <c r="L54" s="59"/>
      <c r="M54" s="8"/>
      <c r="N54" s="8"/>
      <c r="O54" s="8"/>
      <c r="P54" s="59"/>
      <c r="Q54" s="8"/>
      <c r="R54" s="8">
        <v>13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74"/>
      <c r="AE54" s="8"/>
      <c r="AF54" s="8">
        <v>3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s="1" customFormat="1" ht="11">
      <c r="A55" s="102">
        <f>+(A58+A70+A82+A94)*100</f>
        <v>122100</v>
      </c>
      <c r="B55" s="9" t="s">
        <v>8</v>
      </c>
      <c r="C55" s="74">
        <v>250</v>
      </c>
      <c r="D55" s="8">
        <f t="shared" ref="D55:AL55" si="95">IF(D$3="","",C55)</f>
        <v>250</v>
      </c>
      <c r="E55" s="8">
        <f t="shared" si="95"/>
        <v>250</v>
      </c>
      <c r="F55" s="59">
        <f t="shared" si="95"/>
        <v>250</v>
      </c>
      <c r="G55" s="8">
        <f t="shared" si="95"/>
        <v>250</v>
      </c>
      <c r="H55" s="8">
        <f t="shared" si="95"/>
        <v>250</v>
      </c>
      <c r="I55" s="59">
        <f t="shared" si="95"/>
        <v>250</v>
      </c>
      <c r="J55" s="8">
        <f t="shared" si="95"/>
        <v>250</v>
      </c>
      <c r="K55" s="8">
        <f t="shared" si="95"/>
        <v>250</v>
      </c>
      <c r="L55" s="59">
        <f t="shared" si="95"/>
        <v>250</v>
      </c>
      <c r="M55" s="8">
        <f t="shared" si="95"/>
        <v>250</v>
      </c>
      <c r="N55" s="8">
        <f t="shared" si="95"/>
        <v>250</v>
      </c>
      <c r="O55" s="8">
        <f t="shared" si="95"/>
        <v>250</v>
      </c>
      <c r="P55" s="59">
        <f t="shared" si="95"/>
        <v>250</v>
      </c>
      <c r="Q55" s="8">
        <f t="shared" si="95"/>
        <v>250</v>
      </c>
      <c r="R55" s="8">
        <f t="shared" si="95"/>
        <v>250</v>
      </c>
      <c r="S55" s="8">
        <f t="shared" si="95"/>
        <v>250</v>
      </c>
      <c r="T55" s="8">
        <f t="shared" si="95"/>
        <v>250</v>
      </c>
      <c r="U55" s="8">
        <f t="shared" si="95"/>
        <v>250</v>
      </c>
      <c r="V55" s="8">
        <f t="shared" si="95"/>
        <v>250</v>
      </c>
      <c r="W55" s="8">
        <f t="shared" si="95"/>
        <v>250</v>
      </c>
      <c r="X55" s="8">
        <f t="shared" si="95"/>
        <v>250</v>
      </c>
      <c r="Y55" s="8">
        <f t="shared" si="95"/>
        <v>250</v>
      </c>
      <c r="Z55" s="8">
        <f t="shared" si="95"/>
        <v>250</v>
      </c>
      <c r="AA55" s="8">
        <f t="shared" si="95"/>
        <v>250</v>
      </c>
      <c r="AB55" s="8">
        <f t="shared" si="95"/>
        <v>250</v>
      </c>
      <c r="AC55" s="8">
        <f t="shared" si="95"/>
        <v>250</v>
      </c>
      <c r="AD55" s="74">
        <f t="shared" si="95"/>
        <v>250</v>
      </c>
      <c r="AE55" s="8">
        <f t="shared" si="95"/>
        <v>250</v>
      </c>
      <c r="AF55" s="8">
        <f t="shared" si="95"/>
        <v>250</v>
      </c>
      <c r="AG55" s="8" t="str">
        <f t="shared" si="95"/>
        <v/>
      </c>
      <c r="AH55" s="8" t="str">
        <f t="shared" si="95"/>
        <v/>
      </c>
      <c r="AI55" s="8" t="str">
        <f t="shared" si="95"/>
        <v/>
      </c>
      <c r="AJ55" s="8" t="str">
        <f t="shared" si="95"/>
        <v/>
      </c>
      <c r="AK55" s="8" t="str">
        <f t="shared" si="95"/>
        <v/>
      </c>
      <c r="AL55" s="8" t="str">
        <f t="shared" si="95"/>
        <v/>
      </c>
      <c r="AM55" s="8" t="str">
        <f t="shared" ref="AM55:AS55" si="96">IF(AM$3="","",AL55)</f>
        <v/>
      </c>
      <c r="AN55" s="8" t="str">
        <f t="shared" si="96"/>
        <v/>
      </c>
      <c r="AO55" s="8" t="str">
        <f t="shared" si="96"/>
        <v/>
      </c>
      <c r="AP55" s="8" t="str">
        <f t="shared" si="96"/>
        <v/>
      </c>
      <c r="AQ55" s="8" t="str">
        <f t="shared" si="96"/>
        <v/>
      </c>
      <c r="AR55" s="8" t="str">
        <f t="shared" si="96"/>
        <v/>
      </c>
      <c r="AS55" s="8" t="str">
        <f t="shared" si="96"/>
        <v/>
      </c>
    </row>
    <row r="56" spans="1:45" s="94" customFormat="1" ht="11">
      <c r="A56" s="14" t="s">
        <v>9</v>
      </c>
      <c r="B56" s="13" t="s">
        <v>10</v>
      </c>
      <c r="C56" s="75" t="s">
        <v>13</v>
      </c>
      <c r="D56" s="12" t="str">
        <f t="shared" ref="D56:AL56" si="97">IF(D$3="","",C56)</f>
        <v>電ブル</v>
      </c>
      <c r="E56" s="12" t="str">
        <f t="shared" si="97"/>
        <v>電ブル</v>
      </c>
      <c r="F56" s="131" t="str">
        <f t="shared" si="97"/>
        <v>電ブル</v>
      </c>
      <c r="G56" s="12" t="str">
        <f t="shared" si="97"/>
        <v>電ブル</v>
      </c>
      <c r="H56" s="12" t="str">
        <f t="shared" si="97"/>
        <v>電ブル</v>
      </c>
      <c r="I56" s="131" t="str">
        <f t="shared" si="97"/>
        <v>電ブル</v>
      </c>
      <c r="J56" s="12" t="str">
        <f t="shared" si="97"/>
        <v>電ブル</v>
      </c>
      <c r="K56" s="12" t="str">
        <f t="shared" si="97"/>
        <v>電ブル</v>
      </c>
      <c r="L56" s="131" t="str">
        <f t="shared" si="97"/>
        <v>電ブル</v>
      </c>
      <c r="M56" s="12" t="str">
        <f t="shared" si="97"/>
        <v>電ブル</v>
      </c>
      <c r="N56" s="12" t="str">
        <f t="shared" si="97"/>
        <v>電ブル</v>
      </c>
      <c r="O56" s="12" t="str">
        <f t="shared" si="97"/>
        <v>電ブル</v>
      </c>
      <c r="P56" s="131" t="str">
        <f t="shared" si="97"/>
        <v>電ブル</v>
      </c>
      <c r="Q56" s="12" t="str">
        <f t="shared" si="97"/>
        <v>電ブル</v>
      </c>
      <c r="R56" s="12" t="str">
        <f t="shared" si="97"/>
        <v>電ブル</v>
      </c>
      <c r="S56" s="12" t="str">
        <f t="shared" si="97"/>
        <v>電ブル</v>
      </c>
      <c r="T56" s="12" t="str">
        <f t="shared" si="97"/>
        <v>電ブル</v>
      </c>
      <c r="U56" s="12" t="str">
        <f t="shared" si="97"/>
        <v>電ブル</v>
      </c>
      <c r="V56" s="12" t="str">
        <f t="shared" si="97"/>
        <v>電ブル</v>
      </c>
      <c r="W56" s="12" t="str">
        <f t="shared" si="97"/>
        <v>電ブル</v>
      </c>
      <c r="X56" s="12" t="str">
        <f t="shared" si="97"/>
        <v>電ブル</v>
      </c>
      <c r="Y56" s="12" t="str">
        <f t="shared" si="97"/>
        <v>電ブル</v>
      </c>
      <c r="Z56" s="12" t="str">
        <f t="shared" si="97"/>
        <v>電ブル</v>
      </c>
      <c r="AA56" s="12" t="str">
        <f t="shared" si="97"/>
        <v>電ブル</v>
      </c>
      <c r="AB56" s="12" t="str">
        <f t="shared" si="97"/>
        <v>電ブル</v>
      </c>
      <c r="AC56" s="12" t="str">
        <f t="shared" si="97"/>
        <v>電ブル</v>
      </c>
      <c r="AD56" s="75" t="str">
        <f t="shared" si="97"/>
        <v>電ブル</v>
      </c>
      <c r="AE56" s="12" t="str">
        <f t="shared" si="97"/>
        <v>電ブル</v>
      </c>
      <c r="AF56" s="12" t="str">
        <f t="shared" si="97"/>
        <v>電ブル</v>
      </c>
      <c r="AG56" s="12" t="str">
        <f t="shared" si="97"/>
        <v/>
      </c>
      <c r="AH56" s="12" t="str">
        <f t="shared" si="97"/>
        <v/>
      </c>
      <c r="AI56" s="12" t="str">
        <f t="shared" si="97"/>
        <v/>
      </c>
      <c r="AJ56" s="12" t="str">
        <f t="shared" si="97"/>
        <v/>
      </c>
      <c r="AK56" s="12" t="str">
        <f t="shared" si="97"/>
        <v/>
      </c>
      <c r="AL56" s="12" t="str">
        <f t="shared" si="97"/>
        <v/>
      </c>
      <c r="AM56" s="12" t="str">
        <f t="shared" ref="AM56:AS56" si="98">IF(AM$3="","",AL56)</f>
        <v/>
      </c>
      <c r="AN56" s="12" t="str">
        <f t="shared" si="98"/>
        <v/>
      </c>
      <c r="AO56" s="12" t="str">
        <f t="shared" si="98"/>
        <v/>
      </c>
      <c r="AP56" s="12" t="str">
        <f t="shared" si="98"/>
        <v/>
      </c>
      <c r="AQ56" s="12" t="str">
        <f t="shared" si="98"/>
        <v/>
      </c>
      <c r="AR56" s="12" t="str">
        <f t="shared" si="98"/>
        <v/>
      </c>
      <c r="AS56" s="12" t="str">
        <f t="shared" si="98"/>
        <v/>
      </c>
    </row>
    <row r="57" spans="1:45" s="1" customFormat="1" ht="11">
      <c r="A57" s="7">
        <f>AVERAGE(C58:AS58)*30*100</f>
        <v>36600</v>
      </c>
      <c r="B57" s="9" t="s">
        <v>14</v>
      </c>
      <c r="C57" s="74"/>
      <c r="D57" s="8"/>
      <c r="E57" s="8"/>
      <c r="F57" s="59"/>
      <c r="G57" s="8"/>
      <c r="H57" s="8"/>
      <c r="I57" s="59"/>
      <c r="J57" s="8"/>
      <c r="K57" s="8"/>
      <c r="L57" s="59"/>
      <c r="M57" s="8"/>
      <c r="N57" s="8"/>
      <c r="O57" s="8"/>
      <c r="P57" s="5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74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s="1" customFormat="1" ht="11">
      <c r="A58" s="7">
        <f>SUM(C58:AS58)</f>
        <v>366</v>
      </c>
      <c r="B58" s="6" t="s">
        <v>15</v>
      </c>
      <c r="C58" s="74">
        <v>0</v>
      </c>
      <c r="D58" s="5">
        <f t="shared" ref="D58:AL58" si="99">IF(D$3="","",D51-C51)</f>
        <v>0</v>
      </c>
      <c r="E58" s="5">
        <f t="shared" si="99"/>
        <v>91</v>
      </c>
      <c r="F58" s="59">
        <f t="shared" si="99"/>
        <v>0</v>
      </c>
      <c r="G58" s="5">
        <f t="shared" si="99"/>
        <v>0</v>
      </c>
      <c r="H58" s="5">
        <f t="shared" si="99"/>
        <v>35</v>
      </c>
      <c r="I58" s="59">
        <f t="shared" si="99"/>
        <v>0</v>
      </c>
      <c r="J58" s="5">
        <f t="shared" si="99"/>
        <v>0</v>
      </c>
      <c r="K58" s="5">
        <f t="shared" si="99"/>
        <v>78</v>
      </c>
      <c r="L58" s="59">
        <f t="shared" si="99"/>
        <v>0</v>
      </c>
      <c r="M58" s="5">
        <f t="shared" si="99"/>
        <v>0</v>
      </c>
      <c r="N58" s="5">
        <f t="shared" si="99"/>
        <v>0</v>
      </c>
      <c r="O58" s="5">
        <f t="shared" si="99"/>
        <v>14</v>
      </c>
      <c r="P58" s="59">
        <f t="shared" si="99"/>
        <v>0</v>
      </c>
      <c r="Q58" s="5">
        <f t="shared" si="99"/>
        <v>0</v>
      </c>
      <c r="R58" s="5">
        <f t="shared" si="99"/>
        <v>77</v>
      </c>
      <c r="S58" s="5">
        <f t="shared" si="99"/>
        <v>0</v>
      </c>
      <c r="T58" s="5">
        <f t="shared" si="99"/>
        <v>0</v>
      </c>
      <c r="U58" s="5">
        <f t="shared" si="99"/>
        <v>0</v>
      </c>
      <c r="V58" s="5">
        <f t="shared" si="99"/>
        <v>18</v>
      </c>
      <c r="W58" s="5">
        <f t="shared" si="99"/>
        <v>0</v>
      </c>
      <c r="X58" s="5">
        <f t="shared" si="99"/>
        <v>0</v>
      </c>
      <c r="Y58" s="5">
        <f t="shared" si="99"/>
        <v>8</v>
      </c>
      <c r="Z58" s="5">
        <f t="shared" si="99"/>
        <v>0</v>
      </c>
      <c r="AA58" s="5">
        <f t="shared" si="99"/>
        <v>0</v>
      </c>
      <c r="AB58" s="5">
        <f t="shared" si="99"/>
        <v>0</v>
      </c>
      <c r="AC58" s="5">
        <f t="shared" si="99"/>
        <v>11</v>
      </c>
      <c r="AD58" s="74">
        <f t="shared" si="99"/>
        <v>0</v>
      </c>
      <c r="AE58" s="5">
        <f t="shared" si="99"/>
        <v>0</v>
      </c>
      <c r="AF58" s="5">
        <f t="shared" si="99"/>
        <v>34</v>
      </c>
      <c r="AG58" s="5" t="str">
        <f t="shared" si="99"/>
        <v/>
      </c>
      <c r="AH58" s="5" t="str">
        <f t="shared" si="99"/>
        <v/>
      </c>
      <c r="AI58" s="5" t="str">
        <f t="shared" si="99"/>
        <v/>
      </c>
      <c r="AJ58" s="5" t="str">
        <f t="shared" si="99"/>
        <v/>
      </c>
      <c r="AK58" s="5" t="str">
        <f t="shared" si="99"/>
        <v/>
      </c>
      <c r="AL58" s="5" t="str">
        <f t="shared" si="99"/>
        <v/>
      </c>
      <c r="AM58" s="5" t="str">
        <f t="shared" ref="AM58:AS58" si="100">IF(AM$3="","",AM51-AL51)</f>
        <v/>
      </c>
      <c r="AN58" s="5" t="str">
        <f t="shared" si="100"/>
        <v/>
      </c>
      <c r="AO58" s="5" t="str">
        <f t="shared" si="100"/>
        <v/>
      </c>
      <c r="AP58" s="5" t="str">
        <f t="shared" si="100"/>
        <v/>
      </c>
      <c r="AQ58" s="5" t="str">
        <f t="shared" si="100"/>
        <v/>
      </c>
      <c r="AR58" s="5" t="str">
        <f t="shared" si="100"/>
        <v/>
      </c>
      <c r="AS58" s="5" t="str">
        <f t="shared" si="100"/>
        <v/>
      </c>
    </row>
    <row r="59" spans="1:45" s="1" customFormat="1" ht="11">
      <c r="A59" s="7">
        <f>SUM(C59:AS59)</f>
        <v>9</v>
      </c>
      <c r="B59" s="6" t="s">
        <v>16</v>
      </c>
      <c r="C59" s="74">
        <v>0</v>
      </c>
      <c r="D59" s="5">
        <f t="shared" ref="D59:AL59" si="101">IF(D$3="","",D52-C52)</f>
        <v>0</v>
      </c>
      <c r="E59" s="5">
        <f t="shared" si="101"/>
        <v>1</v>
      </c>
      <c r="F59" s="59">
        <f t="shared" si="101"/>
        <v>0</v>
      </c>
      <c r="G59" s="5">
        <f t="shared" si="101"/>
        <v>0</v>
      </c>
      <c r="H59" s="5">
        <f t="shared" si="101"/>
        <v>1</v>
      </c>
      <c r="I59" s="59">
        <f t="shared" si="101"/>
        <v>0</v>
      </c>
      <c r="J59" s="5">
        <f t="shared" si="101"/>
        <v>0</v>
      </c>
      <c r="K59" s="5">
        <f t="shared" si="101"/>
        <v>2</v>
      </c>
      <c r="L59" s="59">
        <f t="shared" si="101"/>
        <v>0</v>
      </c>
      <c r="M59" s="5">
        <f t="shared" si="101"/>
        <v>0</v>
      </c>
      <c r="N59" s="5">
        <f t="shared" si="101"/>
        <v>0</v>
      </c>
      <c r="O59" s="5">
        <f t="shared" si="101"/>
        <v>0</v>
      </c>
      <c r="P59" s="59">
        <f t="shared" si="101"/>
        <v>0</v>
      </c>
      <c r="Q59" s="5">
        <f t="shared" si="101"/>
        <v>0</v>
      </c>
      <c r="R59" s="5">
        <f t="shared" si="101"/>
        <v>2</v>
      </c>
      <c r="S59" s="5">
        <f t="shared" si="101"/>
        <v>0</v>
      </c>
      <c r="T59" s="5">
        <f t="shared" si="101"/>
        <v>0</v>
      </c>
      <c r="U59" s="5">
        <f t="shared" si="101"/>
        <v>0</v>
      </c>
      <c r="V59" s="5">
        <f t="shared" si="101"/>
        <v>1</v>
      </c>
      <c r="W59" s="5">
        <f t="shared" si="101"/>
        <v>0</v>
      </c>
      <c r="X59" s="5">
        <f t="shared" si="101"/>
        <v>0</v>
      </c>
      <c r="Y59" s="5">
        <f t="shared" si="101"/>
        <v>0</v>
      </c>
      <c r="Z59" s="5">
        <f t="shared" si="101"/>
        <v>0</v>
      </c>
      <c r="AA59" s="5">
        <f t="shared" si="101"/>
        <v>0</v>
      </c>
      <c r="AB59" s="5">
        <f t="shared" si="101"/>
        <v>0</v>
      </c>
      <c r="AC59" s="5">
        <f t="shared" si="101"/>
        <v>0</v>
      </c>
      <c r="AD59" s="74">
        <f t="shared" si="101"/>
        <v>0</v>
      </c>
      <c r="AE59" s="5">
        <f t="shared" si="101"/>
        <v>0</v>
      </c>
      <c r="AF59" s="5">
        <f t="shared" si="101"/>
        <v>2</v>
      </c>
      <c r="AG59" s="5" t="str">
        <f t="shared" si="101"/>
        <v/>
      </c>
      <c r="AH59" s="5" t="str">
        <f t="shared" si="101"/>
        <v/>
      </c>
      <c r="AI59" s="5" t="str">
        <f t="shared" si="101"/>
        <v/>
      </c>
      <c r="AJ59" s="5" t="str">
        <f t="shared" si="101"/>
        <v/>
      </c>
      <c r="AK59" s="5" t="str">
        <f t="shared" si="101"/>
        <v/>
      </c>
      <c r="AL59" s="5" t="str">
        <f t="shared" si="101"/>
        <v/>
      </c>
      <c r="AM59" s="5" t="str">
        <f t="shared" ref="AM59:AS59" si="102">IF(AM$3="","",AM52-AL52)</f>
        <v/>
      </c>
      <c r="AN59" s="5" t="str">
        <f t="shared" si="102"/>
        <v/>
      </c>
      <c r="AO59" s="5" t="str">
        <f t="shared" si="102"/>
        <v/>
      </c>
      <c r="AP59" s="5" t="str">
        <f t="shared" si="102"/>
        <v/>
      </c>
      <c r="AQ59" s="5" t="str">
        <f t="shared" si="102"/>
        <v/>
      </c>
      <c r="AR59" s="5" t="str">
        <f t="shared" si="102"/>
        <v/>
      </c>
      <c r="AS59" s="5" t="str">
        <f t="shared" si="102"/>
        <v/>
      </c>
    </row>
    <row r="60" spans="1:45" s="1" customFormat="1" ht="11">
      <c r="A60" s="7">
        <f>SUM(C60:AS60)</f>
        <v>9</v>
      </c>
      <c r="B60" s="6" t="s">
        <v>17</v>
      </c>
      <c r="C60" s="74">
        <v>0</v>
      </c>
      <c r="D60" s="5">
        <f t="shared" ref="D60:AL60" si="103">IF(D$3="","",C53+C54-D53)</f>
        <v>0</v>
      </c>
      <c r="E60" s="5">
        <f t="shared" si="103"/>
        <v>1</v>
      </c>
      <c r="F60" s="59">
        <f t="shared" si="103"/>
        <v>0</v>
      </c>
      <c r="G60" s="5">
        <f t="shared" si="103"/>
        <v>0</v>
      </c>
      <c r="H60" s="5">
        <f t="shared" si="103"/>
        <v>1</v>
      </c>
      <c r="I60" s="59">
        <f t="shared" si="103"/>
        <v>0</v>
      </c>
      <c r="J60" s="5">
        <f t="shared" si="103"/>
        <v>0</v>
      </c>
      <c r="K60" s="5">
        <f t="shared" si="103"/>
        <v>2</v>
      </c>
      <c r="L60" s="59">
        <f t="shared" si="103"/>
        <v>0</v>
      </c>
      <c r="M60" s="5">
        <f t="shared" si="103"/>
        <v>0</v>
      </c>
      <c r="N60" s="5">
        <f t="shared" si="103"/>
        <v>0</v>
      </c>
      <c r="O60" s="5">
        <f t="shared" si="103"/>
        <v>0</v>
      </c>
      <c r="P60" s="59">
        <f t="shared" si="103"/>
        <v>0</v>
      </c>
      <c r="Q60" s="5">
        <f t="shared" si="103"/>
        <v>0</v>
      </c>
      <c r="R60" s="5">
        <f t="shared" si="103"/>
        <v>2</v>
      </c>
      <c r="S60" s="5">
        <f t="shared" si="103"/>
        <v>0</v>
      </c>
      <c r="T60" s="5">
        <f t="shared" si="103"/>
        <v>0</v>
      </c>
      <c r="U60" s="5">
        <f t="shared" si="103"/>
        <v>0</v>
      </c>
      <c r="V60" s="5">
        <f t="shared" si="103"/>
        <v>0</v>
      </c>
      <c r="W60" s="5">
        <f t="shared" si="103"/>
        <v>0</v>
      </c>
      <c r="X60" s="5">
        <f t="shared" si="103"/>
        <v>0</v>
      </c>
      <c r="Y60" s="5">
        <f t="shared" si="103"/>
        <v>0</v>
      </c>
      <c r="Z60" s="5">
        <f t="shared" si="103"/>
        <v>0</v>
      </c>
      <c r="AA60" s="5">
        <f t="shared" si="103"/>
        <v>0</v>
      </c>
      <c r="AB60" s="5">
        <f t="shared" si="103"/>
        <v>0</v>
      </c>
      <c r="AC60" s="5">
        <f t="shared" si="103"/>
        <v>0</v>
      </c>
      <c r="AD60" s="74">
        <f t="shared" si="103"/>
        <v>0</v>
      </c>
      <c r="AE60" s="5">
        <f t="shared" si="103"/>
        <v>0</v>
      </c>
      <c r="AF60" s="5">
        <f t="shared" si="103"/>
        <v>3</v>
      </c>
      <c r="AG60" s="5" t="str">
        <f t="shared" si="103"/>
        <v/>
      </c>
      <c r="AH60" s="5" t="str">
        <f t="shared" si="103"/>
        <v/>
      </c>
      <c r="AI60" s="5" t="str">
        <f t="shared" si="103"/>
        <v/>
      </c>
      <c r="AJ60" s="5" t="str">
        <f t="shared" si="103"/>
        <v/>
      </c>
      <c r="AK60" s="5" t="str">
        <f t="shared" si="103"/>
        <v/>
      </c>
      <c r="AL60" s="5" t="str">
        <f t="shared" si="103"/>
        <v/>
      </c>
      <c r="AM60" s="5" t="str">
        <f t="shared" ref="AM60:AS60" si="104">IF(AM$3="","",AL53+AL54-AM53)</f>
        <v/>
      </c>
      <c r="AN60" s="5" t="str">
        <f t="shared" si="104"/>
        <v/>
      </c>
      <c r="AO60" s="5" t="str">
        <f t="shared" si="104"/>
        <v/>
      </c>
      <c r="AP60" s="5" t="str">
        <f t="shared" si="104"/>
        <v/>
      </c>
      <c r="AQ60" s="5" t="str">
        <f t="shared" si="104"/>
        <v/>
      </c>
      <c r="AR60" s="5" t="str">
        <f t="shared" si="104"/>
        <v/>
      </c>
      <c r="AS60" s="5" t="str">
        <f t="shared" si="104"/>
        <v/>
      </c>
    </row>
    <row r="61" spans="1:45" s="1" customFormat="1" ht="11">
      <c r="A61" s="7">
        <f>SUM(C61:AS61)</f>
        <v>2250</v>
      </c>
      <c r="B61" s="6" t="s">
        <v>18</v>
      </c>
      <c r="C61" s="74">
        <v>0</v>
      </c>
      <c r="D61" s="5">
        <f t="shared" ref="D61:AL61" si="105">IF(D$3="","",D60*D55)</f>
        <v>0</v>
      </c>
      <c r="E61" s="5">
        <f t="shared" si="105"/>
        <v>250</v>
      </c>
      <c r="F61" s="59">
        <f t="shared" si="105"/>
        <v>0</v>
      </c>
      <c r="G61" s="5">
        <f t="shared" si="105"/>
        <v>0</v>
      </c>
      <c r="H61" s="5">
        <f t="shared" si="105"/>
        <v>250</v>
      </c>
      <c r="I61" s="59">
        <f t="shared" si="105"/>
        <v>0</v>
      </c>
      <c r="J61" s="5">
        <f t="shared" si="105"/>
        <v>0</v>
      </c>
      <c r="K61" s="5">
        <f t="shared" si="105"/>
        <v>500</v>
      </c>
      <c r="L61" s="59">
        <f t="shared" si="105"/>
        <v>0</v>
      </c>
      <c r="M61" s="5">
        <f t="shared" si="105"/>
        <v>0</v>
      </c>
      <c r="N61" s="5">
        <f t="shared" si="105"/>
        <v>0</v>
      </c>
      <c r="O61" s="5">
        <f t="shared" si="105"/>
        <v>0</v>
      </c>
      <c r="P61" s="59">
        <f t="shared" si="105"/>
        <v>0</v>
      </c>
      <c r="Q61" s="5">
        <f t="shared" si="105"/>
        <v>0</v>
      </c>
      <c r="R61" s="5">
        <f t="shared" si="105"/>
        <v>500</v>
      </c>
      <c r="S61" s="5">
        <f t="shared" si="105"/>
        <v>0</v>
      </c>
      <c r="T61" s="5">
        <f t="shared" si="105"/>
        <v>0</v>
      </c>
      <c r="U61" s="5">
        <f t="shared" si="105"/>
        <v>0</v>
      </c>
      <c r="V61" s="5">
        <f t="shared" si="105"/>
        <v>0</v>
      </c>
      <c r="W61" s="5">
        <f t="shared" si="105"/>
        <v>0</v>
      </c>
      <c r="X61" s="5">
        <f t="shared" si="105"/>
        <v>0</v>
      </c>
      <c r="Y61" s="5">
        <f t="shared" si="105"/>
        <v>0</v>
      </c>
      <c r="Z61" s="5">
        <f t="shared" si="105"/>
        <v>0</v>
      </c>
      <c r="AA61" s="5">
        <f t="shared" si="105"/>
        <v>0</v>
      </c>
      <c r="AB61" s="5">
        <f t="shared" si="105"/>
        <v>0</v>
      </c>
      <c r="AC61" s="5">
        <f t="shared" si="105"/>
        <v>0</v>
      </c>
      <c r="AD61" s="74">
        <f t="shared" si="105"/>
        <v>0</v>
      </c>
      <c r="AE61" s="5">
        <f t="shared" si="105"/>
        <v>0</v>
      </c>
      <c r="AF61" s="5">
        <f t="shared" si="105"/>
        <v>750</v>
      </c>
      <c r="AG61" s="5" t="str">
        <f t="shared" si="105"/>
        <v/>
      </c>
      <c r="AH61" s="5" t="str">
        <f t="shared" si="105"/>
        <v/>
      </c>
      <c r="AI61" s="5" t="str">
        <f t="shared" si="105"/>
        <v/>
      </c>
      <c r="AJ61" s="5" t="str">
        <f t="shared" si="105"/>
        <v/>
      </c>
      <c r="AK61" s="5" t="str">
        <f t="shared" si="105"/>
        <v/>
      </c>
      <c r="AL61" s="5" t="str">
        <f t="shared" si="105"/>
        <v/>
      </c>
      <c r="AM61" s="5" t="str">
        <f t="shared" ref="AM61:AS61" si="106">IF(AM$3="","",AM60*AM55)</f>
        <v/>
      </c>
      <c r="AN61" s="5" t="str">
        <f t="shared" si="106"/>
        <v/>
      </c>
      <c r="AO61" s="5" t="str">
        <f t="shared" si="106"/>
        <v/>
      </c>
      <c r="AP61" s="5" t="str">
        <f t="shared" si="106"/>
        <v/>
      </c>
      <c r="AQ61" s="5" t="str">
        <f t="shared" si="106"/>
        <v/>
      </c>
      <c r="AR61" s="5" t="str">
        <f t="shared" si="106"/>
        <v/>
      </c>
      <c r="AS61" s="5" t="str">
        <f t="shared" si="106"/>
        <v/>
      </c>
    </row>
    <row r="62" spans="1:45" s="1" customFormat="1" ht="12" thickBot="1">
      <c r="A62" s="4">
        <f>IF(A61="","",A61/(A58*100))</f>
        <v>6.1475409836065573E-2</v>
      </c>
      <c r="B62" s="6" t="s">
        <v>20</v>
      </c>
      <c r="C62" s="76" t="s">
        <v>21</v>
      </c>
      <c r="D62" s="18" t="str">
        <f t="shared" ref="D62:AL62" si="107">IF(D$3="","",IF(D61=0,"",D61/(D58*100)))</f>
        <v/>
      </c>
      <c r="E62" s="18">
        <f t="shared" si="107"/>
        <v>2.7472527472527472E-2</v>
      </c>
      <c r="F62" s="62" t="str">
        <f t="shared" si="107"/>
        <v/>
      </c>
      <c r="G62" s="18" t="str">
        <f t="shared" si="107"/>
        <v/>
      </c>
      <c r="H62" s="18">
        <f t="shared" si="107"/>
        <v>7.1428571428571425E-2</v>
      </c>
      <c r="I62" s="62" t="str">
        <f t="shared" si="107"/>
        <v/>
      </c>
      <c r="J62" s="18" t="str">
        <f t="shared" si="107"/>
        <v/>
      </c>
      <c r="K62" s="18">
        <f t="shared" si="107"/>
        <v>6.4102564102564097E-2</v>
      </c>
      <c r="L62" s="62" t="str">
        <f t="shared" si="107"/>
        <v/>
      </c>
      <c r="M62" s="18" t="str">
        <f t="shared" si="107"/>
        <v/>
      </c>
      <c r="N62" s="18" t="str">
        <f t="shared" si="107"/>
        <v/>
      </c>
      <c r="O62" s="18" t="str">
        <f t="shared" si="107"/>
        <v/>
      </c>
      <c r="P62" s="62" t="str">
        <f t="shared" si="107"/>
        <v/>
      </c>
      <c r="Q62" s="18" t="str">
        <f t="shared" si="107"/>
        <v/>
      </c>
      <c r="R62" s="18">
        <f t="shared" si="107"/>
        <v>6.4935064935064929E-2</v>
      </c>
      <c r="S62" s="18" t="str">
        <f t="shared" si="107"/>
        <v/>
      </c>
      <c r="T62" s="18" t="str">
        <f t="shared" si="107"/>
        <v/>
      </c>
      <c r="U62" s="18" t="str">
        <f t="shared" si="107"/>
        <v/>
      </c>
      <c r="V62" s="18" t="str">
        <f t="shared" si="107"/>
        <v/>
      </c>
      <c r="W62" s="18" t="str">
        <f t="shared" si="107"/>
        <v/>
      </c>
      <c r="X62" s="18" t="str">
        <f t="shared" si="107"/>
        <v/>
      </c>
      <c r="Y62" s="18" t="str">
        <f t="shared" si="107"/>
        <v/>
      </c>
      <c r="Z62" s="18" t="str">
        <f t="shared" si="107"/>
        <v/>
      </c>
      <c r="AA62" s="18" t="str">
        <f t="shared" si="107"/>
        <v/>
      </c>
      <c r="AB62" s="18" t="str">
        <f t="shared" si="107"/>
        <v/>
      </c>
      <c r="AC62" s="18" t="str">
        <f t="shared" si="107"/>
        <v/>
      </c>
      <c r="AD62" s="76" t="str">
        <f t="shared" si="107"/>
        <v/>
      </c>
      <c r="AE62" s="18" t="str">
        <f t="shared" si="107"/>
        <v/>
      </c>
      <c r="AF62" s="18">
        <f t="shared" si="107"/>
        <v>0.22058823529411764</v>
      </c>
      <c r="AG62" s="18" t="str">
        <f t="shared" si="107"/>
        <v/>
      </c>
      <c r="AH62" s="18" t="str">
        <f t="shared" si="107"/>
        <v/>
      </c>
      <c r="AI62" s="18" t="str">
        <f t="shared" si="107"/>
        <v/>
      </c>
      <c r="AJ62" s="18" t="str">
        <f t="shared" si="107"/>
        <v/>
      </c>
      <c r="AK62" s="18" t="str">
        <f t="shared" si="107"/>
        <v/>
      </c>
      <c r="AL62" s="18" t="str">
        <f t="shared" si="107"/>
        <v/>
      </c>
      <c r="AM62" s="18" t="str">
        <f t="shared" ref="AM62:AS62" si="108">IF(AM$3="","",IF(AM61=0,"",AM61/(AM58*100)))</f>
        <v/>
      </c>
      <c r="AN62" s="18" t="str">
        <f t="shared" si="108"/>
        <v/>
      </c>
      <c r="AO62" s="18" t="str">
        <f t="shared" si="108"/>
        <v/>
      </c>
      <c r="AP62" s="18" t="str">
        <f t="shared" si="108"/>
        <v/>
      </c>
      <c r="AQ62" s="18" t="str">
        <f t="shared" si="108"/>
        <v/>
      </c>
      <c r="AR62" s="18" t="str">
        <f t="shared" si="108"/>
        <v/>
      </c>
      <c r="AS62" s="18" t="str">
        <f t="shared" si="108"/>
        <v/>
      </c>
    </row>
    <row r="63" spans="1:45" s="1" customFormat="1" ht="11">
      <c r="A63" s="17" t="s">
        <v>61</v>
      </c>
      <c r="B63" s="9" t="s">
        <v>2</v>
      </c>
      <c r="C63" s="74">
        <v>3015</v>
      </c>
      <c r="D63" s="8">
        <f>IF(D$3="","",C63)</f>
        <v>3015</v>
      </c>
      <c r="E63" s="8">
        <v>3035</v>
      </c>
      <c r="F63" s="59">
        <f>IF(F$3="","",E63)</f>
        <v>3035</v>
      </c>
      <c r="G63" s="8">
        <f>IF(G$3="","",F63)</f>
        <v>3035</v>
      </c>
      <c r="H63" s="8">
        <v>3052</v>
      </c>
      <c r="I63" s="59">
        <f>IF(I$3="","",H63)</f>
        <v>3052</v>
      </c>
      <c r="J63" s="8">
        <f>IF(J$3="","",I63)</f>
        <v>3052</v>
      </c>
      <c r="K63" s="8">
        <v>3083</v>
      </c>
      <c r="L63" s="59">
        <f t="shared" ref="L63:N64" si="109">IF(L$3="","",K63)</f>
        <v>3083</v>
      </c>
      <c r="M63" s="8">
        <f t="shared" si="109"/>
        <v>3083</v>
      </c>
      <c r="N63" s="8">
        <f t="shared" si="109"/>
        <v>3083</v>
      </c>
      <c r="O63" s="8">
        <v>3129</v>
      </c>
      <c r="P63" s="59">
        <f>IF(P$3="","",O63)</f>
        <v>3129</v>
      </c>
      <c r="Q63" s="8">
        <f>IF(Q$3="","",P63)</f>
        <v>3129</v>
      </c>
      <c r="R63" s="8">
        <v>3147</v>
      </c>
      <c r="S63" s="8">
        <f t="shared" ref="S63:AL63" si="110">IF(S$3="","",R63)</f>
        <v>3147</v>
      </c>
      <c r="T63" s="8">
        <f t="shared" si="110"/>
        <v>3147</v>
      </c>
      <c r="U63" s="8">
        <f t="shared" si="110"/>
        <v>3147</v>
      </c>
      <c r="V63" s="8">
        <v>3179</v>
      </c>
      <c r="W63" s="8">
        <f t="shared" si="110"/>
        <v>3179</v>
      </c>
      <c r="X63" s="8">
        <f t="shared" si="110"/>
        <v>3179</v>
      </c>
      <c r="Y63" s="8">
        <v>3191</v>
      </c>
      <c r="Z63" s="8">
        <f t="shared" si="110"/>
        <v>3191</v>
      </c>
      <c r="AA63" s="8">
        <f t="shared" si="110"/>
        <v>3191</v>
      </c>
      <c r="AB63" s="8">
        <f t="shared" si="110"/>
        <v>3191</v>
      </c>
      <c r="AC63" s="8">
        <v>3198</v>
      </c>
      <c r="AD63" s="74">
        <f t="shared" si="110"/>
        <v>3198</v>
      </c>
      <c r="AE63" s="8">
        <f t="shared" si="110"/>
        <v>3198</v>
      </c>
      <c r="AF63" s="8">
        <v>3225</v>
      </c>
      <c r="AG63" s="8" t="str">
        <f t="shared" si="110"/>
        <v/>
      </c>
      <c r="AH63" s="8" t="str">
        <f t="shared" si="110"/>
        <v/>
      </c>
      <c r="AI63" s="8" t="str">
        <f t="shared" si="110"/>
        <v/>
      </c>
      <c r="AJ63" s="8" t="str">
        <f t="shared" si="110"/>
        <v/>
      </c>
      <c r="AK63" s="8" t="str">
        <f t="shared" si="110"/>
        <v/>
      </c>
      <c r="AL63" s="8" t="str">
        <f t="shared" si="110"/>
        <v/>
      </c>
      <c r="AM63" s="8" t="str">
        <f t="shared" ref="AM63:AS63" si="111">IF(AM$3="","",AL63)</f>
        <v/>
      </c>
      <c r="AN63" s="8" t="str">
        <f t="shared" si="111"/>
        <v/>
      </c>
      <c r="AO63" s="8" t="str">
        <f t="shared" si="111"/>
        <v/>
      </c>
      <c r="AP63" s="8" t="str">
        <f t="shared" si="111"/>
        <v/>
      </c>
      <c r="AQ63" s="8" t="str">
        <f t="shared" si="111"/>
        <v/>
      </c>
      <c r="AR63" s="8" t="str">
        <f t="shared" si="111"/>
        <v/>
      </c>
      <c r="AS63" s="8" t="str">
        <f t="shared" si="111"/>
        <v/>
      </c>
    </row>
    <row r="64" spans="1:45" s="1" customFormat="1" ht="11">
      <c r="A64" s="16" t="s">
        <v>30</v>
      </c>
      <c r="B64" s="9" t="s">
        <v>4</v>
      </c>
      <c r="C64" s="74">
        <v>64</v>
      </c>
      <c r="D64" s="8">
        <f>IF(D$3="","",C64)</f>
        <v>64</v>
      </c>
      <c r="E64" s="8">
        <f>IF(E$3="","",D64)</f>
        <v>64</v>
      </c>
      <c r="F64" s="59">
        <f>IF(F$3="","",E64)</f>
        <v>64</v>
      </c>
      <c r="G64" s="8">
        <f>IF(G$3="","",F64)</f>
        <v>64</v>
      </c>
      <c r="H64" s="8">
        <v>65</v>
      </c>
      <c r="I64" s="59">
        <f>IF(I$3="","",H64)</f>
        <v>65</v>
      </c>
      <c r="J64" s="8">
        <f>IF(J$3="","",I64)</f>
        <v>65</v>
      </c>
      <c r="K64" s="8">
        <f>IF(K$3="","",J64)</f>
        <v>65</v>
      </c>
      <c r="L64" s="59">
        <f t="shared" si="109"/>
        <v>65</v>
      </c>
      <c r="M64" s="8">
        <f t="shared" si="109"/>
        <v>65</v>
      </c>
      <c r="N64" s="8">
        <f t="shared" si="109"/>
        <v>65</v>
      </c>
      <c r="O64" s="8">
        <v>66</v>
      </c>
      <c r="P64" s="59">
        <f>IF(P$3="","",O64)</f>
        <v>66</v>
      </c>
      <c r="Q64" s="8">
        <f>IF(Q$3="","",P64)</f>
        <v>66</v>
      </c>
      <c r="R64" s="8">
        <f>IF(R$3="","",Q64)</f>
        <v>66</v>
      </c>
      <c r="S64" s="8">
        <f t="shared" ref="S64:AL64" si="112">IF(S$3="","",R64)</f>
        <v>66</v>
      </c>
      <c r="T64" s="8">
        <f t="shared" si="112"/>
        <v>66</v>
      </c>
      <c r="U64" s="8">
        <f t="shared" si="112"/>
        <v>66</v>
      </c>
      <c r="V64" s="8">
        <v>67</v>
      </c>
      <c r="W64" s="8">
        <f t="shared" si="112"/>
        <v>67</v>
      </c>
      <c r="X64" s="8">
        <f t="shared" si="112"/>
        <v>67</v>
      </c>
      <c r="Y64" s="8">
        <f t="shared" si="112"/>
        <v>67</v>
      </c>
      <c r="Z64" s="8">
        <f t="shared" si="112"/>
        <v>67</v>
      </c>
      <c r="AA64" s="8">
        <f t="shared" si="112"/>
        <v>67</v>
      </c>
      <c r="AB64" s="8">
        <f t="shared" si="112"/>
        <v>67</v>
      </c>
      <c r="AC64" s="8">
        <f t="shared" si="112"/>
        <v>67</v>
      </c>
      <c r="AD64" s="74">
        <f t="shared" si="112"/>
        <v>67</v>
      </c>
      <c r="AE64" s="8">
        <f t="shared" si="112"/>
        <v>67</v>
      </c>
      <c r="AF64" s="8">
        <f t="shared" si="112"/>
        <v>67</v>
      </c>
      <c r="AG64" s="8" t="str">
        <f t="shared" si="112"/>
        <v/>
      </c>
      <c r="AH64" s="8" t="str">
        <f t="shared" si="112"/>
        <v/>
      </c>
      <c r="AI64" s="8" t="str">
        <f t="shared" si="112"/>
        <v/>
      </c>
      <c r="AJ64" s="8" t="str">
        <f t="shared" si="112"/>
        <v/>
      </c>
      <c r="AK64" s="8" t="str">
        <f t="shared" si="112"/>
        <v/>
      </c>
      <c r="AL64" s="8" t="str">
        <f t="shared" si="112"/>
        <v/>
      </c>
      <c r="AM64" s="8" t="str">
        <f t="shared" ref="AM64:AS64" si="113">IF(AM$3="","",AL64)</f>
        <v/>
      </c>
      <c r="AN64" s="8" t="str">
        <f t="shared" si="113"/>
        <v/>
      </c>
      <c r="AO64" s="8" t="str">
        <f t="shared" si="113"/>
        <v/>
      </c>
      <c r="AP64" s="8" t="str">
        <f t="shared" si="113"/>
        <v/>
      </c>
      <c r="AQ64" s="8" t="str">
        <f t="shared" si="113"/>
        <v/>
      </c>
      <c r="AR64" s="8" t="str">
        <f t="shared" si="113"/>
        <v/>
      </c>
      <c r="AS64" s="8" t="str">
        <f t="shared" si="113"/>
        <v/>
      </c>
    </row>
    <row r="65" spans="1:45" s="1" customFormat="1" ht="11">
      <c r="A65" s="15">
        <v>2</v>
      </c>
      <c r="B65" s="9" t="s">
        <v>5</v>
      </c>
      <c r="C65" s="74">
        <v>7</v>
      </c>
      <c r="D65" s="8">
        <f t="shared" ref="D65:N65" si="114">IF(D$3="","",(C65+C66))</f>
        <v>7</v>
      </c>
      <c r="E65" s="8">
        <f t="shared" si="114"/>
        <v>7</v>
      </c>
      <c r="F65" s="59">
        <f t="shared" si="114"/>
        <v>7</v>
      </c>
      <c r="G65" s="8">
        <f t="shared" si="114"/>
        <v>7</v>
      </c>
      <c r="H65" s="8">
        <f t="shared" si="114"/>
        <v>7</v>
      </c>
      <c r="I65" s="59">
        <f t="shared" si="114"/>
        <v>7</v>
      </c>
      <c r="J65" s="8">
        <f t="shared" si="114"/>
        <v>7</v>
      </c>
      <c r="K65" s="8">
        <f t="shared" si="114"/>
        <v>7</v>
      </c>
      <c r="L65" s="59">
        <f t="shared" si="114"/>
        <v>7</v>
      </c>
      <c r="M65" s="8">
        <f t="shared" si="114"/>
        <v>7</v>
      </c>
      <c r="N65" s="8">
        <f t="shared" si="114"/>
        <v>7</v>
      </c>
      <c r="O65" s="8">
        <v>6</v>
      </c>
      <c r="P65" s="59">
        <f t="shared" ref="P65:AL65" si="115">IF(P$3="","",(O65+O66))</f>
        <v>7</v>
      </c>
      <c r="Q65" s="8">
        <f t="shared" si="115"/>
        <v>7</v>
      </c>
      <c r="R65" s="8">
        <f t="shared" si="115"/>
        <v>7</v>
      </c>
      <c r="S65" s="8">
        <f t="shared" si="115"/>
        <v>7</v>
      </c>
      <c r="T65" s="8">
        <f t="shared" si="115"/>
        <v>7</v>
      </c>
      <c r="U65" s="8">
        <f t="shared" si="115"/>
        <v>7</v>
      </c>
      <c r="V65" s="8">
        <f t="shared" si="115"/>
        <v>7</v>
      </c>
      <c r="W65" s="8">
        <f t="shared" si="115"/>
        <v>7</v>
      </c>
      <c r="X65" s="8">
        <f t="shared" si="115"/>
        <v>7</v>
      </c>
      <c r="Y65" s="8">
        <f t="shared" si="115"/>
        <v>7</v>
      </c>
      <c r="Z65" s="8">
        <f t="shared" si="115"/>
        <v>7</v>
      </c>
      <c r="AA65" s="8">
        <f t="shared" si="115"/>
        <v>7</v>
      </c>
      <c r="AB65" s="8">
        <f t="shared" si="115"/>
        <v>7</v>
      </c>
      <c r="AC65" s="8">
        <f t="shared" si="115"/>
        <v>7</v>
      </c>
      <c r="AD65" s="74">
        <f t="shared" si="115"/>
        <v>7</v>
      </c>
      <c r="AE65" s="8">
        <f t="shared" si="115"/>
        <v>7</v>
      </c>
      <c r="AF65" s="8">
        <f t="shared" si="115"/>
        <v>7</v>
      </c>
      <c r="AG65" s="8" t="str">
        <f t="shared" si="115"/>
        <v/>
      </c>
      <c r="AH65" s="8" t="str">
        <f t="shared" si="115"/>
        <v/>
      </c>
      <c r="AI65" s="8" t="str">
        <f t="shared" si="115"/>
        <v/>
      </c>
      <c r="AJ65" s="8" t="str">
        <f t="shared" si="115"/>
        <v/>
      </c>
      <c r="AK65" s="8" t="str">
        <f t="shared" si="115"/>
        <v/>
      </c>
      <c r="AL65" s="8" t="str">
        <f t="shared" si="115"/>
        <v/>
      </c>
      <c r="AM65" s="8" t="str">
        <f t="shared" ref="AM65:AS65" si="116">IF(AM$3="","",(AL65+AL66))</f>
        <v/>
      </c>
      <c r="AN65" s="8" t="str">
        <f t="shared" si="116"/>
        <v/>
      </c>
      <c r="AO65" s="8" t="str">
        <f t="shared" si="116"/>
        <v/>
      </c>
      <c r="AP65" s="8" t="str">
        <f t="shared" si="116"/>
        <v/>
      </c>
      <c r="AQ65" s="8" t="str">
        <f t="shared" si="116"/>
        <v/>
      </c>
      <c r="AR65" s="8" t="str">
        <f t="shared" si="116"/>
        <v/>
      </c>
      <c r="AS65" s="8" t="str">
        <f t="shared" si="116"/>
        <v/>
      </c>
    </row>
    <row r="66" spans="1:45" s="1" customFormat="1" ht="11">
      <c r="A66" s="14"/>
      <c r="B66" s="9" t="s">
        <v>7</v>
      </c>
      <c r="C66" s="74"/>
      <c r="D66" s="8"/>
      <c r="E66" s="8"/>
      <c r="F66" s="59"/>
      <c r="G66" s="8"/>
      <c r="H66" s="8"/>
      <c r="I66" s="59"/>
      <c r="J66" s="8"/>
      <c r="K66" s="8"/>
      <c r="L66" s="59"/>
      <c r="M66" s="8"/>
      <c r="N66" s="8"/>
      <c r="O66" s="8">
        <v>1</v>
      </c>
      <c r="P66" s="5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74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s="1" customFormat="1" ht="11">
      <c r="A67" s="7"/>
      <c r="B67" s="9" t="s">
        <v>8</v>
      </c>
      <c r="C67" s="74">
        <v>750</v>
      </c>
      <c r="D67" s="8">
        <f t="shared" ref="D67:AL67" si="117">IF(D$3="","",C67)</f>
        <v>750</v>
      </c>
      <c r="E67" s="8">
        <f t="shared" si="117"/>
        <v>750</v>
      </c>
      <c r="F67" s="59">
        <f t="shared" si="117"/>
        <v>750</v>
      </c>
      <c r="G67" s="8">
        <f t="shared" si="117"/>
        <v>750</v>
      </c>
      <c r="H67" s="8">
        <f t="shared" si="117"/>
        <v>750</v>
      </c>
      <c r="I67" s="59">
        <f t="shared" si="117"/>
        <v>750</v>
      </c>
      <c r="J67" s="8">
        <f t="shared" si="117"/>
        <v>750</v>
      </c>
      <c r="K67" s="8">
        <f t="shared" si="117"/>
        <v>750</v>
      </c>
      <c r="L67" s="59">
        <f t="shared" si="117"/>
        <v>750</v>
      </c>
      <c r="M67" s="8">
        <f t="shared" si="117"/>
        <v>750</v>
      </c>
      <c r="N67" s="8">
        <f t="shared" si="117"/>
        <v>750</v>
      </c>
      <c r="O67" s="8">
        <f t="shared" si="117"/>
        <v>750</v>
      </c>
      <c r="P67" s="59">
        <f t="shared" si="117"/>
        <v>750</v>
      </c>
      <c r="Q67" s="8">
        <f t="shared" si="117"/>
        <v>750</v>
      </c>
      <c r="R67" s="8">
        <f t="shared" si="117"/>
        <v>750</v>
      </c>
      <c r="S67" s="8">
        <f t="shared" si="117"/>
        <v>750</v>
      </c>
      <c r="T67" s="8">
        <f t="shared" si="117"/>
        <v>750</v>
      </c>
      <c r="U67" s="8">
        <f t="shared" si="117"/>
        <v>750</v>
      </c>
      <c r="V67" s="8">
        <f t="shared" si="117"/>
        <v>750</v>
      </c>
      <c r="W67" s="8">
        <f t="shared" si="117"/>
        <v>750</v>
      </c>
      <c r="X67" s="8">
        <f t="shared" si="117"/>
        <v>750</v>
      </c>
      <c r="Y67" s="8">
        <f t="shared" si="117"/>
        <v>750</v>
      </c>
      <c r="Z67" s="8">
        <f t="shared" si="117"/>
        <v>750</v>
      </c>
      <c r="AA67" s="8">
        <f t="shared" si="117"/>
        <v>750</v>
      </c>
      <c r="AB67" s="8">
        <f t="shared" si="117"/>
        <v>750</v>
      </c>
      <c r="AC67" s="8">
        <f t="shared" si="117"/>
        <v>750</v>
      </c>
      <c r="AD67" s="74">
        <f t="shared" si="117"/>
        <v>750</v>
      </c>
      <c r="AE67" s="8">
        <f t="shared" si="117"/>
        <v>750</v>
      </c>
      <c r="AF67" s="8">
        <f t="shared" si="117"/>
        <v>750</v>
      </c>
      <c r="AG67" s="8" t="str">
        <f t="shared" si="117"/>
        <v/>
      </c>
      <c r="AH67" s="8" t="str">
        <f t="shared" si="117"/>
        <v/>
      </c>
      <c r="AI67" s="8" t="str">
        <f t="shared" si="117"/>
        <v/>
      </c>
      <c r="AJ67" s="8" t="str">
        <f t="shared" si="117"/>
        <v/>
      </c>
      <c r="AK67" s="8" t="str">
        <f t="shared" si="117"/>
        <v/>
      </c>
      <c r="AL67" s="8" t="str">
        <f t="shared" si="117"/>
        <v/>
      </c>
      <c r="AM67" s="8" t="str">
        <f t="shared" ref="AM67:AS67" si="118">IF(AM$3="","",AL67)</f>
        <v/>
      </c>
      <c r="AN67" s="8" t="str">
        <f t="shared" si="118"/>
        <v/>
      </c>
      <c r="AO67" s="8" t="str">
        <f t="shared" si="118"/>
        <v/>
      </c>
      <c r="AP67" s="8" t="str">
        <f t="shared" si="118"/>
        <v/>
      </c>
      <c r="AQ67" s="8" t="str">
        <f t="shared" si="118"/>
        <v/>
      </c>
      <c r="AR67" s="8" t="str">
        <f t="shared" si="118"/>
        <v/>
      </c>
      <c r="AS67" s="8" t="str">
        <f t="shared" si="118"/>
        <v/>
      </c>
    </row>
    <row r="68" spans="1:45" s="94" customFormat="1" ht="11">
      <c r="A68" s="14" t="s">
        <v>9</v>
      </c>
      <c r="B68" s="13" t="s">
        <v>10</v>
      </c>
      <c r="C68" s="75" t="s">
        <v>65</v>
      </c>
      <c r="D68" s="12" t="str">
        <f t="shared" ref="D68:AL68" si="119">IF(D$3="","",C68)</f>
        <v>PRO4イヤホン</v>
      </c>
      <c r="E68" s="12" t="str">
        <f t="shared" si="119"/>
        <v>PRO4イヤホン</v>
      </c>
      <c r="F68" s="131" t="str">
        <f t="shared" si="119"/>
        <v>PRO4イヤホン</v>
      </c>
      <c r="G68" s="12" t="str">
        <f t="shared" si="119"/>
        <v>PRO4イヤホン</v>
      </c>
      <c r="H68" s="12" t="str">
        <f t="shared" si="119"/>
        <v>PRO4イヤホン</v>
      </c>
      <c r="I68" s="131" t="str">
        <f t="shared" si="119"/>
        <v>PRO4イヤホン</v>
      </c>
      <c r="J68" s="12" t="str">
        <f t="shared" si="119"/>
        <v>PRO4イヤホン</v>
      </c>
      <c r="K68" s="12" t="str">
        <f t="shared" si="119"/>
        <v>PRO4イヤホン</v>
      </c>
      <c r="L68" s="131" t="str">
        <f t="shared" si="119"/>
        <v>PRO4イヤホン</v>
      </c>
      <c r="M68" s="12" t="str">
        <f t="shared" si="119"/>
        <v>PRO4イヤホン</v>
      </c>
      <c r="N68" s="12" t="str">
        <f t="shared" si="119"/>
        <v>PRO4イヤホン</v>
      </c>
      <c r="O68" s="12" t="str">
        <f t="shared" si="119"/>
        <v>PRO4イヤホン</v>
      </c>
      <c r="P68" s="131" t="str">
        <f t="shared" si="119"/>
        <v>PRO4イヤホン</v>
      </c>
      <c r="Q68" s="12" t="str">
        <f t="shared" si="119"/>
        <v>PRO4イヤホン</v>
      </c>
      <c r="R68" s="12" t="str">
        <f t="shared" si="119"/>
        <v>PRO4イヤホン</v>
      </c>
      <c r="S68" s="12" t="str">
        <f t="shared" si="119"/>
        <v>PRO4イヤホン</v>
      </c>
      <c r="T68" s="12" t="str">
        <f t="shared" si="119"/>
        <v>PRO4イヤホン</v>
      </c>
      <c r="U68" s="12" t="str">
        <f t="shared" si="119"/>
        <v>PRO4イヤホン</v>
      </c>
      <c r="V68" s="12" t="str">
        <f t="shared" si="119"/>
        <v>PRO4イヤホン</v>
      </c>
      <c r="W68" s="12" t="str">
        <f t="shared" si="119"/>
        <v>PRO4イヤホン</v>
      </c>
      <c r="X68" s="12" t="str">
        <f t="shared" si="119"/>
        <v>PRO4イヤホン</v>
      </c>
      <c r="Y68" s="12" t="str">
        <f t="shared" si="119"/>
        <v>PRO4イヤホン</v>
      </c>
      <c r="Z68" s="12" t="str">
        <f t="shared" si="119"/>
        <v>PRO4イヤホン</v>
      </c>
      <c r="AA68" s="12" t="str">
        <f t="shared" si="119"/>
        <v>PRO4イヤホン</v>
      </c>
      <c r="AB68" s="12" t="str">
        <f t="shared" si="119"/>
        <v>PRO4イヤホン</v>
      </c>
      <c r="AC68" s="12" t="str">
        <f t="shared" si="119"/>
        <v>PRO4イヤホン</v>
      </c>
      <c r="AD68" s="75" t="str">
        <f t="shared" si="119"/>
        <v>PRO4イヤホン</v>
      </c>
      <c r="AE68" s="12" t="str">
        <f t="shared" si="119"/>
        <v>PRO4イヤホン</v>
      </c>
      <c r="AF68" s="12" t="str">
        <f t="shared" si="119"/>
        <v>PRO4イヤホン</v>
      </c>
      <c r="AG68" s="12" t="str">
        <f t="shared" si="119"/>
        <v/>
      </c>
      <c r="AH68" s="12" t="str">
        <f t="shared" si="119"/>
        <v/>
      </c>
      <c r="AI68" s="12" t="str">
        <f t="shared" si="119"/>
        <v/>
      </c>
      <c r="AJ68" s="12" t="str">
        <f t="shared" si="119"/>
        <v/>
      </c>
      <c r="AK68" s="12" t="str">
        <f t="shared" si="119"/>
        <v/>
      </c>
      <c r="AL68" s="12" t="str">
        <f t="shared" si="119"/>
        <v/>
      </c>
      <c r="AM68" s="12" t="str">
        <f t="shared" ref="AM68:AS68" si="120">IF(AM$3="","",AL68)</f>
        <v/>
      </c>
      <c r="AN68" s="12" t="str">
        <f t="shared" si="120"/>
        <v/>
      </c>
      <c r="AO68" s="12" t="str">
        <f t="shared" si="120"/>
        <v/>
      </c>
      <c r="AP68" s="12" t="str">
        <f t="shared" si="120"/>
        <v/>
      </c>
      <c r="AQ68" s="12" t="str">
        <f t="shared" si="120"/>
        <v/>
      </c>
      <c r="AR68" s="12" t="str">
        <f t="shared" si="120"/>
        <v/>
      </c>
      <c r="AS68" s="12" t="str">
        <f t="shared" si="120"/>
        <v/>
      </c>
    </row>
    <row r="69" spans="1:45" s="1" customFormat="1" ht="11">
      <c r="A69" s="7">
        <f>AVERAGE(C70:AS70)*30*100</f>
        <v>21000</v>
      </c>
      <c r="B69" s="9" t="s">
        <v>14</v>
      </c>
      <c r="C69" s="74"/>
      <c r="D69" s="8"/>
      <c r="E69" s="8"/>
      <c r="F69" s="59"/>
      <c r="G69" s="8"/>
      <c r="H69" s="8"/>
      <c r="I69" s="59"/>
      <c r="J69" s="8"/>
      <c r="K69" s="8"/>
      <c r="L69" s="59"/>
      <c r="M69" s="8"/>
      <c r="N69" s="8"/>
      <c r="O69" s="8"/>
      <c r="P69" s="59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74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s="1" customFormat="1" ht="11">
      <c r="A70" s="7">
        <f>SUM(C70:AS70)</f>
        <v>210</v>
      </c>
      <c r="B70" s="6" t="s">
        <v>15</v>
      </c>
      <c r="C70" s="74">
        <v>0</v>
      </c>
      <c r="D70" s="5">
        <f t="shared" ref="D70:AL70" si="121">IF(D$3="","",D63-C63)</f>
        <v>0</v>
      </c>
      <c r="E70" s="5">
        <f t="shared" si="121"/>
        <v>20</v>
      </c>
      <c r="F70" s="59">
        <f t="shared" si="121"/>
        <v>0</v>
      </c>
      <c r="G70" s="5">
        <f t="shared" si="121"/>
        <v>0</v>
      </c>
      <c r="H70" s="5">
        <f t="shared" si="121"/>
        <v>17</v>
      </c>
      <c r="I70" s="59">
        <f t="shared" si="121"/>
        <v>0</v>
      </c>
      <c r="J70" s="5">
        <f t="shared" si="121"/>
        <v>0</v>
      </c>
      <c r="K70" s="5">
        <f t="shared" si="121"/>
        <v>31</v>
      </c>
      <c r="L70" s="59">
        <f t="shared" si="121"/>
        <v>0</v>
      </c>
      <c r="M70" s="5">
        <f t="shared" si="121"/>
        <v>0</v>
      </c>
      <c r="N70" s="5">
        <f t="shared" si="121"/>
        <v>0</v>
      </c>
      <c r="O70" s="5">
        <f t="shared" si="121"/>
        <v>46</v>
      </c>
      <c r="P70" s="59">
        <f t="shared" si="121"/>
        <v>0</v>
      </c>
      <c r="Q70" s="5">
        <f t="shared" si="121"/>
        <v>0</v>
      </c>
      <c r="R70" s="5">
        <f t="shared" si="121"/>
        <v>18</v>
      </c>
      <c r="S70" s="5">
        <f t="shared" si="121"/>
        <v>0</v>
      </c>
      <c r="T70" s="5">
        <f t="shared" si="121"/>
        <v>0</v>
      </c>
      <c r="U70" s="5">
        <f t="shared" si="121"/>
        <v>0</v>
      </c>
      <c r="V70" s="5">
        <f t="shared" si="121"/>
        <v>32</v>
      </c>
      <c r="W70" s="5">
        <f t="shared" si="121"/>
        <v>0</v>
      </c>
      <c r="X70" s="5">
        <f t="shared" si="121"/>
        <v>0</v>
      </c>
      <c r="Y70" s="5">
        <f t="shared" si="121"/>
        <v>12</v>
      </c>
      <c r="Z70" s="5">
        <f t="shared" si="121"/>
        <v>0</v>
      </c>
      <c r="AA70" s="5">
        <f t="shared" si="121"/>
        <v>0</v>
      </c>
      <c r="AB70" s="5">
        <f t="shared" si="121"/>
        <v>0</v>
      </c>
      <c r="AC70" s="5">
        <f t="shared" si="121"/>
        <v>7</v>
      </c>
      <c r="AD70" s="74">
        <f t="shared" si="121"/>
        <v>0</v>
      </c>
      <c r="AE70" s="5">
        <f t="shared" si="121"/>
        <v>0</v>
      </c>
      <c r="AF70" s="5">
        <f t="shared" si="121"/>
        <v>27</v>
      </c>
      <c r="AG70" s="5" t="str">
        <f t="shared" si="121"/>
        <v/>
      </c>
      <c r="AH70" s="5" t="str">
        <f t="shared" si="121"/>
        <v/>
      </c>
      <c r="AI70" s="5" t="str">
        <f t="shared" si="121"/>
        <v/>
      </c>
      <c r="AJ70" s="5" t="str">
        <f t="shared" si="121"/>
        <v/>
      </c>
      <c r="AK70" s="5" t="str">
        <f t="shared" si="121"/>
        <v/>
      </c>
      <c r="AL70" s="5" t="str">
        <f t="shared" si="121"/>
        <v/>
      </c>
      <c r="AM70" s="5" t="str">
        <f t="shared" ref="AM70:AS70" si="122">IF(AM$3="","",AM63-AL63)</f>
        <v/>
      </c>
      <c r="AN70" s="5" t="str">
        <f t="shared" si="122"/>
        <v/>
      </c>
      <c r="AO70" s="5" t="str">
        <f t="shared" si="122"/>
        <v/>
      </c>
      <c r="AP70" s="5" t="str">
        <f t="shared" si="122"/>
        <v/>
      </c>
      <c r="AQ70" s="5" t="str">
        <f t="shared" si="122"/>
        <v/>
      </c>
      <c r="AR70" s="5" t="str">
        <f t="shared" si="122"/>
        <v/>
      </c>
      <c r="AS70" s="5" t="str">
        <f t="shared" si="122"/>
        <v/>
      </c>
    </row>
    <row r="71" spans="1:45" s="1" customFormat="1" ht="11">
      <c r="A71" s="7">
        <f>SUM(C71:AS71)</f>
        <v>3</v>
      </c>
      <c r="B71" s="6" t="s">
        <v>16</v>
      </c>
      <c r="C71" s="74">
        <v>0</v>
      </c>
      <c r="D71" s="5">
        <f t="shared" ref="D71:AL71" si="123">IF(D$3="","",D64-C64)</f>
        <v>0</v>
      </c>
      <c r="E71" s="5">
        <f t="shared" si="123"/>
        <v>0</v>
      </c>
      <c r="F71" s="59">
        <f t="shared" si="123"/>
        <v>0</v>
      </c>
      <c r="G71" s="5">
        <f t="shared" si="123"/>
        <v>0</v>
      </c>
      <c r="H71" s="5">
        <f t="shared" si="123"/>
        <v>1</v>
      </c>
      <c r="I71" s="59">
        <f t="shared" si="123"/>
        <v>0</v>
      </c>
      <c r="J71" s="5">
        <f t="shared" si="123"/>
        <v>0</v>
      </c>
      <c r="K71" s="5">
        <f t="shared" si="123"/>
        <v>0</v>
      </c>
      <c r="L71" s="59">
        <f t="shared" si="123"/>
        <v>0</v>
      </c>
      <c r="M71" s="5">
        <f t="shared" si="123"/>
        <v>0</v>
      </c>
      <c r="N71" s="5">
        <f t="shared" si="123"/>
        <v>0</v>
      </c>
      <c r="O71" s="5">
        <f t="shared" si="123"/>
        <v>1</v>
      </c>
      <c r="P71" s="59">
        <f t="shared" si="123"/>
        <v>0</v>
      </c>
      <c r="Q71" s="5">
        <f t="shared" si="123"/>
        <v>0</v>
      </c>
      <c r="R71" s="5">
        <f t="shared" si="123"/>
        <v>0</v>
      </c>
      <c r="S71" s="5">
        <f t="shared" si="123"/>
        <v>0</v>
      </c>
      <c r="T71" s="5">
        <f t="shared" si="123"/>
        <v>0</v>
      </c>
      <c r="U71" s="5">
        <f t="shared" si="123"/>
        <v>0</v>
      </c>
      <c r="V71" s="5">
        <f t="shared" si="123"/>
        <v>1</v>
      </c>
      <c r="W71" s="5">
        <f t="shared" si="123"/>
        <v>0</v>
      </c>
      <c r="X71" s="5">
        <f t="shared" si="123"/>
        <v>0</v>
      </c>
      <c r="Y71" s="5">
        <f t="shared" si="123"/>
        <v>0</v>
      </c>
      <c r="Z71" s="5">
        <f t="shared" si="123"/>
        <v>0</v>
      </c>
      <c r="AA71" s="5">
        <f t="shared" si="123"/>
        <v>0</v>
      </c>
      <c r="AB71" s="5">
        <f t="shared" si="123"/>
        <v>0</v>
      </c>
      <c r="AC71" s="5">
        <f t="shared" si="123"/>
        <v>0</v>
      </c>
      <c r="AD71" s="74">
        <f t="shared" si="123"/>
        <v>0</v>
      </c>
      <c r="AE71" s="5">
        <f t="shared" si="123"/>
        <v>0</v>
      </c>
      <c r="AF71" s="5">
        <f t="shared" si="123"/>
        <v>0</v>
      </c>
      <c r="AG71" s="5" t="str">
        <f t="shared" si="123"/>
        <v/>
      </c>
      <c r="AH71" s="5" t="str">
        <f t="shared" si="123"/>
        <v/>
      </c>
      <c r="AI71" s="5" t="str">
        <f t="shared" si="123"/>
        <v/>
      </c>
      <c r="AJ71" s="5" t="str">
        <f t="shared" si="123"/>
        <v/>
      </c>
      <c r="AK71" s="5" t="str">
        <f t="shared" si="123"/>
        <v/>
      </c>
      <c r="AL71" s="5" t="str">
        <f t="shared" si="123"/>
        <v/>
      </c>
      <c r="AM71" s="5" t="str">
        <f t="shared" ref="AM71:AS71" si="124">IF(AM$3="","",AM64-AL64)</f>
        <v/>
      </c>
      <c r="AN71" s="5" t="str">
        <f t="shared" si="124"/>
        <v/>
      </c>
      <c r="AO71" s="5" t="str">
        <f t="shared" si="124"/>
        <v/>
      </c>
      <c r="AP71" s="5" t="str">
        <f t="shared" si="124"/>
        <v/>
      </c>
      <c r="AQ71" s="5" t="str">
        <f t="shared" si="124"/>
        <v/>
      </c>
      <c r="AR71" s="5" t="str">
        <f t="shared" si="124"/>
        <v/>
      </c>
      <c r="AS71" s="5" t="str">
        <f t="shared" si="124"/>
        <v/>
      </c>
    </row>
    <row r="72" spans="1:45" s="1" customFormat="1" ht="11">
      <c r="A72" s="7">
        <f>SUM(C72:AS72)</f>
        <v>1</v>
      </c>
      <c r="B72" s="6" t="s">
        <v>17</v>
      </c>
      <c r="C72" s="74">
        <v>0</v>
      </c>
      <c r="D72" s="5">
        <f t="shared" ref="D72:AL72" si="125">IF(D$3="","",C65+C66-D65)</f>
        <v>0</v>
      </c>
      <c r="E72" s="5">
        <f t="shared" si="125"/>
        <v>0</v>
      </c>
      <c r="F72" s="59">
        <f t="shared" si="125"/>
        <v>0</v>
      </c>
      <c r="G72" s="5">
        <f t="shared" si="125"/>
        <v>0</v>
      </c>
      <c r="H72" s="5">
        <f t="shared" si="125"/>
        <v>0</v>
      </c>
      <c r="I72" s="59">
        <f t="shared" si="125"/>
        <v>0</v>
      </c>
      <c r="J72" s="5">
        <f t="shared" si="125"/>
        <v>0</v>
      </c>
      <c r="K72" s="5">
        <f t="shared" si="125"/>
        <v>0</v>
      </c>
      <c r="L72" s="59">
        <f t="shared" si="125"/>
        <v>0</v>
      </c>
      <c r="M72" s="5">
        <f t="shared" si="125"/>
        <v>0</v>
      </c>
      <c r="N72" s="5">
        <f t="shared" si="125"/>
        <v>0</v>
      </c>
      <c r="O72" s="5">
        <f t="shared" si="125"/>
        <v>1</v>
      </c>
      <c r="P72" s="59">
        <f t="shared" si="125"/>
        <v>0</v>
      </c>
      <c r="Q72" s="5">
        <f t="shared" si="125"/>
        <v>0</v>
      </c>
      <c r="R72" s="5">
        <f t="shared" si="125"/>
        <v>0</v>
      </c>
      <c r="S72" s="5">
        <f t="shared" si="125"/>
        <v>0</v>
      </c>
      <c r="T72" s="5">
        <f t="shared" si="125"/>
        <v>0</v>
      </c>
      <c r="U72" s="5">
        <f t="shared" si="125"/>
        <v>0</v>
      </c>
      <c r="V72" s="5">
        <f t="shared" si="125"/>
        <v>0</v>
      </c>
      <c r="W72" s="5">
        <f t="shared" si="125"/>
        <v>0</v>
      </c>
      <c r="X72" s="5">
        <f t="shared" si="125"/>
        <v>0</v>
      </c>
      <c r="Y72" s="5">
        <f t="shared" si="125"/>
        <v>0</v>
      </c>
      <c r="Z72" s="5">
        <f t="shared" si="125"/>
        <v>0</v>
      </c>
      <c r="AA72" s="5">
        <f t="shared" si="125"/>
        <v>0</v>
      </c>
      <c r="AB72" s="5">
        <f t="shared" si="125"/>
        <v>0</v>
      </c>
      <c r="AC72" s="5">
        <f t="shared" si="125"/>
        <v>0</v>
      </c>
      <c r="AD72" s="74">
        <f t="shared" si="125"/>
        <v>0</v>
      </c>
      <c r="AE72" s="5">
        <f t="shared" si="125"/>
        <v>0</v>
      </c>
      <c r="AF72" s="5">
        <f t="shared" si="125"/>
        <v>0</v>
      </c>
      <c r="AG72" s="5" t="str">
        <f t="shared" si="125"/>
        <v/>
      </c>
      <c r="AH72" s="5" t="str">
        <f t="shared" si="125"/>
        <v/>
      </c>
      <c r="AI72" s="5" t="str">
        <f t="shared" si="125"/>
        <v/>
      </c>
      <c r="AJ72" s="5" t="str">
        <f t="shared" si="125"/>
        <v/>
      </c>
      <c r="AK72" s="5" t="str">
        <f t="shared" si="125"/>
        <v/>
      </c>
      <c r="AL72" s="5" t="str">
        <f t="shared" si="125"/>
        <v/>
      </c>
      <c r="AM72" s="5" t="str">
        <f t="shared" ref="AM72:AS72" si="126">IF(AM$3="","",AL65+AL66-AM65)</f>
        <v/>
      </c>
      <c r="AN72" s="5" t="str">
        <f t="shared" si="126"/>
        <v/>
      </c>
      <c r="AO72" s="5" t="str">
        <f t="shared" si="126"/>
        <v/>
      </c>
      <c r="AP72" s="5" t="str">
        <f t="shared" si="126"/>
        <v/>
      </c>
      <c r="AQ72" s="5" t="str">
        <f t="shared" si="126"/>
        <v/>
      </c>
      <c r="AR72" s="5" t="str">
        <f t="shared" si="126"/>
        <v/>
      </c>
      <c r="AS72" s="5" t="str">
        <f t="shared" si="126"/>
        <v/>
      </c>
    </row>
    <row r="73" spans="1:45" s="1" customFormat="1" ht="11">
      <c r="A73" s="7">
        <f>SUM(C73:AS73)</f>
        <v>750</v>
      </c>
      <c r="B73" s="6" t="s">
        <v>18</v>
      </c>
      <c r="C73" s="74">
        <v>0</v>
      </c>
      <c r="D73" s="5">
        <f t="shared" ref="D73:AL73" si="127">IF(D$3="","",D72*D67)</f>
        <v>0</v>
      </c>
      <c r="E73" s="5">
        <f t="shared" si="127"/>
        <v>0</v>
      </c>
      <c r="F73" s="59">
        <f t="shared" si="127"/>
        <v>0</v>
      </c>
      <c r="G73" s="5">
        <f t="shared" si="127"/>
        <v>0</v>
      </c>
      <c r="H73" s="5">
        <f t="shared" si="127"/>
        <v>0</v>
      </c>
      <c r="I73" s="59">
        <f t="shared" si="127"/>
        <v>0</v>
      </c>
      <c r="J73" s="5">
        <f t="shared" si="127"/>
        <v>0</v>
      </c>
      <c r="K73" s="5">
        <f t="shared" si="127"/>
        <v>0</v>
      </c>
      <c r="L73" s="59">
        <f t="shared" si="127"/>
        <v>0</v>
      </c>
      <c r="M73" s="5">
        <f t="shared" si="127"/>
        <v>0</v>
      </c>
      <c r="N73" s="5">
        <f t="shared" si="127"/>
        <v>0</v>
      </c>
      <c r="O73" s="5">
        <f t="shared" si="127"/>
        <v>750</v>
      </c>
      <c r="P73" s="59">
        <f t="shared" si="127"/>
        <v>0</v>
      </c>
      <c r="Q73" s="5">
        <f t="shared" si="127"/>
        <v>0</v>
      </c>
      <c r="R73" s="5">
        <f t="shared" si="127"/>
        <v>0</v>
      </c>
      <c r="S73" s="5">
        <f t="shared" si="127"/>
        <v>0</v>
      </c>
      <c r="T73" s="5">
        <f t="shared" si="127"/>
        <v>0</v>
      </c>
      <c r="U73" s="5">
        <f t="shared" si="127"/>
        <v>0</v>
      </c>
      <c r="V73" s="5">
        <f t="shared" si="127"/>
        <v>0</v>
      </c>
      <c r="W73" s="5">
        <f t="shared" si="127"/>
        <v>0</v>
      </c>
      <c r="X73" s="5">
        <f t="shared" si="127"/>
        <v>0</v>
      </c>
      <c r="Y73" s="5">
        <f t="shared" si="127"/>
        <v>0</v>
      </c>
      <c r="Z73" s="5">
        <f t="shared" si="127"/>
        <v>0</v>
      </c>
      <c r="AA73" s="5">
        <f t="shared" si="127"/>
        <v>0</v>
      </c>
      <c r="AB73" s="5">
        <f t="shared" si="127"/>
        <v>0</v>
      </c>
      <c r="AC73" s="5">
        <f t="shared" si="127"/>
        <v>0</v>
      </c>
      <c r="AD73" s="74">
        <f t="shared" si="127"/>
        <v>0</v>
      </c>
      <c r="AE73" s="5">
        <f t="shared" si="127"/>
        <v>0</v>
      </c>
      <c r="AF73" s="5">
        <f t="shared" si="127"/>
        <v>0</v>
      </c>
      <c r="AG73" s="5" t="str">
        <f t="shared" si="127"/>
        <v/>
      </c>
      <c r="AH73" s="5" t="str">
        <f t="shared" si="127"/>
        <v/>
      </c>
      <c r="AI73" s="5" t="str">
        <f t="shared" si="127"/>
        <v/>
      </c>
      <c r="AJ73" s="5" t="str">
        <f t="shared" si="127"/>
        <v/>
      </c>
      <c r="AK73" s="5" t="str">
        <f t="shared" si="127"/>
        <v/>
      </c>
      <c r="AL73" s="5" t="str">
        <f t="shared" si="127"/>
        <v/>
      </c>
      <c r="AM73" s="5" t="str">
        <f t="shared" ref="AM73:AS73" si="128">IF(AM$3="","",AM72*AM67)</f>
        <v/>
      </c>
      <c r="AN73" s="5" t="str">
        <f t="shared" si="128"/>
        <v/>
      </c>
      <c r="AO73" s="5" t="str">
        <f t="shared" si="128"/>
        <v/>
      </c>
      <c r="AP73" s="5" t="str">
        <f t="shared" si="128"/>
        <v/>
      </c>
      <c r="AQ73" s="5" t="str">
        <f t="shared" si="128"/>
        <v/>
      </c>
      <c r="AR73" s="5" t="str">
        <f t="shared" si="128"/>
        <v/>
      </c>
      <c r="AS73" s="5" t="str">
        <f t="shared" si="128"/>
        <v/>
      </c>
    </row>
    <row r="74" spans="1:45" s="1" customFormat="1" ht="12" thickBot="1">
      <c r="A74" s="4">
        <f>IF(A73="","",A73/(A70*100))</f>
        <v>3.5714285714285712E-2</v>
      </c>
      <c r="B74" s="6" t="s">
        <v>20</v>
      </c>
      <c r="C74" s="76" t="s">
        <v>21</v>
      </c>
      <c r="D74" s="18" t="str">
        <f t="shared" ref="D74:AL74" si="129">IF(D$3="","",IF(D73=0,"",D73/(D70*100)))</f>
        <v/>
      </c>
      <c r="E74" s="18" t="str">
        <f t="shared" si="129"/>
        <v/>
      </c>
      <c r="F74" s="62" t="str">
        <f t="shared" si="129"/>
        <v/>
      </c>
      <c r="G74" s="18" t="str">
        <f t="shared" si="129"/>
        <v/>
      </c>
      <c r="H74" s="18" t="str">
        <f t="shared" si="129"/>
        <v/>
      </c>
      <c r="I74" s="62" t="str">
        <f t="shared" si="129"/>
        <v/>
      </c>
      <c r="J74" s="18" t="str">
        <f t="shared" si="129"/>
        <v/>
      </c>
      <c r="K74" s="18" t="str">
        <f t="shared" si="129"/>
        <v/>
      </c>
      <c r="L74" s="62" t="str">
        <f t="shared" si="129"/>
        <v/>
      </c>
      <c r="M74" s="18" t="str">
        <f t="shared" si="129"/>
        <v/>
      </c>
      <c r="N74" s="18" t="str">
        <f t="shared" si="129"/>
        <v/>
      </c>
      <c r="O74" s="18">
        <f t="shared" si="129"/>
        <v>0.16304347826086957</v>
      </c>
      <c r="P74" s="62" t="str">
        <f t="shared" si="129"/>
        <v/>
      </c>
      <c r="Q74" s="18" t="str">
        <f t="shared" si="129"/>
        <v/>
      </c>
      <c r="R74" s="18" t="str">
        <f t="shared" si="129"/>
        <v/>
      </c>
      <c r="S74" s="18" t="str">
        <f t="shared" si="129"/>
        <v/>
      </c>
      <c r="T74" s="18" t="str">
        <f t="shared" si="129"/>
        <v/>
      </c>
      <c r="U74" s="18" t="str">
        <f t="shared" si="129"/>
        <v/>
      </c>
      <c r="V74" s="18" t="str">
        <f t="shared" si="129"/>
        <v/>
      </c>
      <c r="W74" s="18" t="str">
        <f t="shared" si="129"/>
        <v/>
      </c>
      <c r="X74" s="18" t="str">
        <f t="shared" si="129"/>
        <v/>
      </c>
      <c r="Y74" s="18" t="str">
        <f t="shared" si="129"/>
        <v/>
      </c>
      <c r="Z74" s="18" t="str">
        <f t="shared" si="129"/>
        <v/>
      </c>
      <c r="AA74" s="18" t="str">
        <f t="shared" si="129"/>
        <v/>
      </c>
      <c r="AB74" s="18" t="str">
        <f t="shared" si="129"/>
        <v/>
      </c>
      <c r="AC74" s="18" t="str">
        <f t="shared" si="129"/>
        <v/>
      </c>
      <c r="AD74" s="76" t="str">
        <f t="shared" si="129"/>
        <v/>
      </c>
      <c r="AE74" s="18" t="str">
        <f t="shared" si="129"/>
        <v/>
      </c>
      <c r="AF74" s="18" t="str">
        <f t="shared" si="129"/>
        <v/>
      </c>
      <c r="AG74" s="18" t="str">
        <f t="shared" si="129"/>
        <v/>
      </c>
      <c r="AH74" s="18" t="str">
        <f t="shared" si="129"/>
        <v/>
      </c>
      <c r="AI74" s="18" t="str">
        <f t="shared" si="129"/>
        <v/>
      </c>
      <c r="AJ74" s="18" t="str">
        <f t="shared" si="129"/>
        <v/>
      </c>
      <c r="AK74" s="18" t="str">
        <f t="shared" si="129"/>
        <v/>
      </c>
      <c r="AL74" s="18" t="str">
        <f t="shared" si="129"/>
        <v/>
      </c>
      <c r="AM74" s="18" t="str">
        <f t="shared" ref="AM74:AS74" si="130">IF(AM$3="","",IF(AM73=0,"",AM73/(AM70*100)))</f>
        <v/>
      </c>
      <c r="AN74" s="18" t="str">
        <f t="shared" si="130"/>
        <v/>
      </c>
      <c r="AO74" s="18" t="str">
        <f t="shared" si="130"/>
        <v/>
      </c>
      <c r="AP74" s="18" t="str">
        <f t="shared" si="130"/>
        <v/>
      </c>
      <c r="AQ74" s="18" t="str">
        <f t="shared" si="130"/>
        <v/>
      </c>
      <c r="AR74" s="18" t="str">
        <f t="shared" si="130"/>
        <v/>
      </c>
      <c r="AS74" s="18" t="str">
        <f t="shared" si="130"/>
        <v/>
      </c>
    </row>
    <row r="75" spans="1:45" s="1" customFormat="1" ht="11">
      <c r="A75" s="17" t="s">
        <v>61</v>
      </c>
      <c r="B75" s="9" t="s">
        <v>2</v>
      </c>
      <c r="C75" s="74">
        <v>3512</v>
      </c>
      <c r="D75" s="8">
        <f>IF(D$3="","",C75)</f>
        <v>3512</v>
      </c>
      <c r="E75" s="8">
        <v>3573</v>
      </c>
      <c r="F75" s="59">
        <f>IF(F$3="","",E75)</f>
        <v>3573</v>
      </c>
      <c r="G75" s="8">
        <f>IF(G$3="","",F75)</f>
        <v>3573</v>
      </c>
      <c r="H75" s="8">
        <v>3579</v>
      </c>
      <c r="I75" s="59">
        <f>IF(I$3="","",H75)</f>
        <v>3579</v>
      </c>
      <c r="J75" s="8">
        <f>IF(J$3="","",I75)</f>
        <v>3579</v>
      </c>
      <c r="K75" s="8">
        <v>3660</v>
      </c>
      <c r="L75" s="59">
        <f t="shared" ref="L75:N76" si="131">IF(L$3="","",K75)</f>
        <v>3660</v>
      </c>
      <c r="M75" s="8">
        <f t="shared" si="131"/>
        <v>3660</v>
      </c>
      <c r="N75" s="8">
        <f t="shared" si="131"/>
        <v>3660</v>
      </c>
      <c r="O75" s="8">
        <v>3671</v>
      </c>
      <c r="P75" s="59">
        <f>IF(P$3="","",O75)</f>
        <v>3671</v>
      </c>
      <c r="Q75" s="8">
        <f>IF(Q$3="","",P75)</f>
        <v>3671</v>
      </c>
      <c r="R75" s="8">
        <v>3711</v>
      </c>
      <c r="S75" s="8">
        <f t="shared" ref="S75:AL75" si="132">IF(S$3="","",R75)</f>
        <v>3711</v>
      </c>
      <c r="T75" s="8">
        <f t="shared" si="132"/>
        <v>3711</v>
      </c>
      <c r="U75" s="8">
        <f t="shared" si="132"/>
        <v>3711</v>
      </c>
      <c r="V75" s="8">
        <v>3721</v>
      </c>
      <c r="W75" s="8">
        <f t="shared" si="132"/>
        <v>3721</v>
      </c>
      <c r="X75" s="8">
        <f t="shared" si="132"/>
        <v>3721</v>
      </c>
      <c r="Y75" s="8">
        <v>3748</v>
      </c>
      <c r="Z75" s="8">
        <f t="shared" si="132"/>
        <v>3748</v>
      </c>
      <c r="AA75" s="8">
        <f t="shared" si="132"/>
        <v>3748</v>
      </c>
      <c r="AB75" s="8">
        <f t="shared" si="132"/>
        <v>3748</v>
      </c>
      <c r="AC75" s="8">
        <v>3773</v>
      </c>
      <c r="AD75" s="74">
        <f t="shared" si="132"/>
        <v>3773</v>
      </c>
      <c r="AE75" s="8">
        <f t="shared" si="132"/>
        <v>3773</v>
      </c>
      <c r="AF75" s="8">
        <v>3805</v>
      </c>
      <c r="AG75" s="8" t="str">
        <f t="shared" si="132"/>
        <v/>
      </c>
      <c r="AH75" s="8" t="str">
        <f t="shared" si="132"/>
        <v/>
      </c>
      <c r="AI75" s="8" t="str">
        <f t="shared" si="132"/>
        <v/>
      </c>
      <c r="AJ75" s="8" t="str">
        <f t="shared" si="132"/>
        <v/>
      </c>
      <c r="AK75" s="8" t="str">
        <f t="shared" si="132"/>
        <v/>
      </c>
      <c r="AL75" s="8" t="str">
        <f t="shared" si="132"/>
        <v/>
      </c>
      <c r="AM75" s="8" t="str">
        <f t="shared" ref="AM75:AS75" si="133">IF(AM$3="","",AL75)</f>
        <v/>
      </c>
      <c r="AN75" s="8" t="str">
        <f t="shared" si="133"/>
        <v/>
      </c>
      <c r="AO75" s="8" t="str">
        <f t="shared" si="133"/>
        <v/>
      </c>
      <c r="AP75" s="8" t="str">
        <f t="shared" si="133"/>
        <v/>
      </c>
      <c r="AQ75" s="8" t="str">
        <f t="shared" si="133"/>
        <v/>
      </c>
      <c r="AR75" s="8" t="str">
        <f t="shared" si="133"/>
        <v/>
      </c>
      <c r="AS75" s="8" t="str">
        <f t="shared" si="133"/>
        <v/>
      </c>
    </row>
    <row r="76" spans="1:45" s="1" customFormat="1" ht="11">
      <c r="A76" s="16" t="s">
        <v>30</v>
      </c>
      <c r="B76" s="9" t="s">
        <v>4</v>
      </c>
      <c r="C76" s="74">
        <v>145</v>
      </c>
      <c r="D76" s="8">
        <f>IF(D$3="","",C76)</f>
        <v>145</v>
      </c>
      <c r="E76" s="8">
        <v>146</v>
      </c>
      <c r="F76" s="59">
        <f>IF(F$3="","",E76)</f>
        <v>146</v>
      </c>
      <c r="G76" s="8">
        <f>IF(G$3="","",F76)</f>
        <v>146</v>
      </c>
      <c r="H76" s="8">
        <v>148</v>
      </c>
      <c r="I76" s="59">
        <f>IF(I$3="","",H76)</f>
        <v>148</v>
      </c>
      <c r="J76" s="8">
        <f>IF(J$3="","",I76)</f>
        <v>148</v>
      </c>
      <c r="K76" s="8">
        <v>150</v>
      </c>
      <c r="L76" s="59">
        <f t="shared" si="131"/>
        <v>150</v>
      </c>
      <c r="M76" s="8">
        <f t="shared" si="131"/>
        <v>150</v>
      </c>
      <c r="N76" s="8">
        <f t="shared" si="131"/>
        <v>150</v>
      </c>
      <c r="O76" s="8">
        <f>IF(O$3="","",N76)</f>
        <v>150</v>
      </c>
      <c r="P76" s="59">
        <f>IF(P$3="","",O76)</f>
        <v>150</v>
      </c>
      <c r="Q76" s="8">
        <f>IF(Q$3="","",P76)</f>
        <v>150</v>
      </c>
      <c r="R76" s="8">
        <v>151</v>
      </c>
      <c r="S76" s="8">
        <f t="shared" ref="S76:AL76" si="134">IF(S$3="","",R76)</f>
        <v>151</v>
      </c>
      <c r="T76" s="8">
        <f t="shared" si="134"/>
        <v>151</v>
      </c>
      <c r="U76" s="8">
        <f t="shared" si="134"/>
        <v>151</v>
      </c>
      <c r="V76" s="8">
        <v>153</v>
      </c>
      <c r="W76" s="8">
        <f t="shared" si="134"/>
        <v>153</v>
      </c>
      <c r="X76" s="8">
        <f t="shared" si="134"/>
        <v>153</v>
      </c>
      <c r="Y76" s="8">
        <v>158</v>
      </c>
      <c r="Z76" s="8">
        <f t="shared" si="134"/>
        <v>158</v>
      </c>
      <c r="AA76" s="8">
        <f t="shared" si="134"/>
        <v>158</v>
      </c>
      <c r="AB76" s="8">
        <f t="shared" si="134"/>
        <v>158</v>
      </c>
      <c r="AC76" s="8">
        <f t="shared" si="134"/>
        <v>158</v>
      </c>
      <c r="AD76" s="74">
        <f t="shared" si="134"/>
        <v>158</v>
      </c>
      <c r="AE76" s="8">
        <f t="shared" si="134"/>
        <v>158</v>
      </c>
      <c r="AF76" s="8">
        <v>161</v>
      </c>
      <c r="AG76" s="8" t="str">
        <f t="shared" si="134"/>
        <v/>
      </c>
      <c r="AH76" s="8" t="str">
        <f t="shared" si="134"/>
        <v/>
      </c>
      <c r="AI76" s="8" t="str">
        <f t="shared" si="134"/>
        <v/>
      </c>
      <c r="AJ76" s="8" t="str">
        <f t="shared" si="134"/>
        <v/>
      </c>
      <c r="AK76" s="8" t="str">
        <f t="shared" si="134"/>
        <v/>
      </c>
      <c r="AL76" s="8" t="str">
        <f t="shared" si="134"/>
        <v/>
      </c>
      <c r="AM76" s="8" t="str">
        <f t="shared" ref="AM76:AS76" si="135">IF(AM$3="","",AL76)</f>
        <v/>
      </c>
      <c r="AN76" s="8" t="str">
        <f t="shared" si="135"/>
        <v/>
      </c>
      <c r="AO76" s="8" t="str">
        <f t="shared" si="135"/>
        <v/>
      </c>
      <c r="AP76" s="8" t="str">
        <f t="shared" si="135"/>
        <v/>
      </c>
      <c r="AQ76" s="8" t="str">
        <f t="shared" si="135"/>
        <v/>
      </c>
      <c r="AR76" s="8" t="str">
        <f t="shared" si="135"/>
        <v/>
      </c>
      <c r="AS76" s="8" t="str">
        <f t="shared" si="135"/>
        <v/>
      </c>
    </row>
    <row r="77" spans="1:45" s="1" customFormat="1" ht="11">
      <c r="A77" s="15">
        <v>3</v>
      </c>
      <c r="B77" s="9" t="s">
        <v>5</v>
      </c>
      <c r="C77" s="74">
        <v>5</v>
      </c>
      <c r="D77" s="8">
        <f t="shared" ref="D77:J77" si="136">IF(D$3="","",(C77+C78))</f>
        <v>5</v>
      </c>
      <c r="E77" s="8">
        <f t="shared" si="136"/>
        <v>5</v>
      </c>
      <c r="F77" s="59">
        <f t="shared" si="136"/>
        <v>5</v>
      </c>
      <c r="G77" s="8">
        <f t="shared" si="136"/>
        <v>5</v>
      </c>
      <c r="H77" s="8">
        <f t="shared" si="136"/>
        <v>5</v>
      </c>
      <c r="I77" s="59">
        <f t="shared" si="136"/>
        <v>5</v>
      </c>
      <c r="J77" s="8">
        <f t="shared" si="136"/>
        <v>5</v>
      </c>
      <c r="K77" s="8">
        <v>3</v>
      </c>
      <c r="L77" s="59">
        <f t="shared" ref="L77:AL77" si="137">IF(L$3="","",(K77+K78))</f>
        <v>5</v>
      </c>
      <c r="M77" s="8">
        <f t="shared" si="137"/>
        <v>5</v>
      </c>
      <c r="N77" s="8">
        <f t="shared" si="137"/>
        <v>5</v>
      </c>
      <c r="O77" s="8">
        <f t="shared" si="137"/>
        <v>5</v>
      </c>
      <c r="P77" s="59">
        <f t="shared" si="137"/>
        <v>5</v>
      </c>
      <c r="Q77" s="8">
        <f t="shared" si="137"/>
        <v>5</v>
      </c>
      <c r="R77" s="8">
        <f t="shared" si="137"/>
        <v>5</v>
      </c>
      <c r="S77" s="8">
        <f t="shared" si="137"/>
        <v>5</v>
      </c>
      <c r="T77" s="8">
        <f t="shared" si="137"/>
        <v>5</v>
      </c>
      <c r="U77" s="8">
        <f t="shared" si="137"/>
        <v>5</v>
      </c>
      <c r="V77" s="8">
        <f t="shared" si="137"/>
        <v>5</v>
      </c>
      <c r="W77" s="8">
        <f t="shared" si="137"/>
        <v>5</v>
      </c>
      <c r="X77" s="8">
        <f t="shared" si="137"/>
        <v>5</v>
      </c>
      <c r="Y77" s="8">
        <v>4</v>
      </c>
      <c r="Z77" s="8">
        <f t="shared" si="137"/>
        <v>4</v>
      </c>
      <c r="AA77" s="8">
        <f t="shared" si="137"/>
        <v>4</v>
      </c>
      <c r="AB77" s="8">
        <f t="shared" si="137"/>
        <v>4</v>
      </c>
      <c r="AC77" s="8">
        <f t="shared" si="137"/>
        <v>4</v>
      </c>
      <c r="AD77" s="74">
        <f t="shared" si="137"/>
        <v>4</v>
      </c>
      <c r="AE77" s="8">
        <f t="shared" si="137"/>
        <v>4</v>
      </c>
      <c r="AF77" s="8">
        <v>3</v>
      </c>
      <c r="AG77" s="8" t="str">
        <f t="shared" si="137"/>
        <v/>
      </c>
      <c r="AH77" s="8" t="str">
        <f t="shared" si="137"/>
        <v/>
      </c>
      <c r="AI77" s="8" t="str">
        <f t="shared" si="137"/>
        <v/>
      </c>
      <c r="AJ77" s="8" t="str">
        <f t="shared" si="137"/>
        <v/>
      </c>
      <c r="AK77" s="8" t="str">
        <f t="shared" si="137"/>
        <v/>
      </c>
      <c r="AL77" s="8" t="str">
        <f t="shared" si="137"/>
        <v/>
      </c>
      <c r="AM77" s="8" t="str">
        <f t="shared" ref="AM77:AS77" si="138">IF(AM$3="","",(AL77+AL78))</f>
        <v/>
      </c>
      <c r="AN77" s="8" t="str">
        <f t="shared" si="138"/>
        <v/>
      </c>
      <c r="AO77" s="8" t="str">
        <f t="shared" si="138"/>
        <v/>
      </c>
      <c r="AP77" s="8" t="str">
        <f t="shared" si="138"/>
        <v/>
      </c>
      <c r="AQ77" s="8" t="str">
        <f t="shared" si="138"/>
        <v/>
      </c>
      <c r="AR77" s="8" t="str">
        <f t="shared" si="138"/>
        <v/>
      </c>
      <c r="AS77" s="8" t="str">
        <f t="shared" si="138"/>
        <v/>
      </c>
    </row>
    <row r="78" spans="1:45" s="1" customFormat="1" ht="11">
      <c r="A78" s="14"/>
      <c r="B78" s="9" t="s">
        <v>7</v>
      </c>
      <c r="C78" s="74"/>
      <c r="D78" s="8"/>
      <c r="E78" s="8"/>
      <c r="F78" s="59"/>
      <c r="G78" s="8"/>
      <c r="H78" s="8"/>
      <c r="I78" s="59"/>
      <c r="J78" s="8"/>
      <c r="K78" s="8">
        <v>2</v>
      </c>
      <c r="L78" s="59"/>
      <c r="M78" s="8"/>
      <c r="N78" s="8"/>
      <c r="O78" s="8"/>
      <c r="P78" s="59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74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s="1" customFormat="1" ht="11">
      <c r="A79" s="7"/>
      <c r="B79" s="9" t="s">
        <v>8</v>
      </c>
      <c r="C79" s="74">
        <v>400</v>
      </c>
      <c r="D79" s="8">
        <f t="shared" ref="D79:AL79" si="139">IF(D$3="","",C79)</f>
        <v>400</v>
      </c>
      <c r="E79" s="8">
        <f t="shared" si="139"/>
        <v>400</v>
      </c>
      <c r="F79" s="59">
        <f t="shared" si="139"/>
        <v>400</v>
      </c>
      <c r="G79" s="8">
        <f t="shared" si="139"/>
        <v>400</v>
      </c>
      <c r="H79" s="8">
        <f t="shared" si="139"/>
        <v>400</v>
      </c>
      <c r="I79" s="59">
        <f t="shared" si="139"/>
        <v>400</v>
      </c>
      <c r="J79" s="8">
        <f t="shared" si="139"/>
        <v>400</v>
      </c>
      <c r="K79" s="8">
        <f t="shared" si="139"/>
        <v>400</v>
      </c>
      <c r="L79" s="59">
        <f t="shared" si="139"/>
        <v>400</v>
      </c>
      <c r="M79" s="8">
        <f t="shared" si="139"/>
        <v>400</v>
      </c>
      <c r="N79" s="8">
        <f t="shared" si="139"/>
        <v>400</v>
      </c>
      <c r="O79" s="8">
        <f t="shared" si="139"/>
        <v>400</v>
      </c>
      <c r="P79" s="59">
        <f t="shared" si="139"/>
        <v>400</v>
      </c>
      <c r="Q79" s="8">
        <f t="shared" si="139"/>
        <v>400</v>
      </c>
      <c r="R79" s="8">
        <f t="shared" si="139"/>
        <v>400</v>
      </c>
      <c r="S79" s="8">
        <f t="shared" si="139"/>
        <v>400</v>
      </c>
      <c r="T79" s="8">
        <f t="shared" si="139"/>
        <v>400</v>
      </c>
      <c r="U79" s="8">
        <f t="shared" si="139"/>
        <v>400</v>
      </c>
      <c r="V79" s="8">
        <f t="shared" si="139"/>
        <v>400</v>
      </c>
      <c r="W79" s="8">
        <f t="shared" si="139"/>
        <v>400</v>
      </c>
      <c r="X79" s="8">
        <f t="shared" si="139"/>
        <v>400</v>
      </c>
      <c r="Y79" s="8">
        <f t="shared" si="139"/>
        <v>400</v>
      </c>
      <c r="Z79" s="8">
        <f t="shared" si="139"/>
        <v>400</v>
      </c>
      <c r="AA79" s="8">
        <f t="shared" si="139"/>
        <v>400</v>
      </c>
      <c r="AB79" s="8">
        <f t="shared" si="139"/>
        <v>400</v>
      </c>
      <c r="AC79" s="8">
        <f t="shared" si="139"/>
        <v>400</v>
      </c>
      <c r="AD79" s="74">
        <f t="shared" si="139"/>
        <v>400</v>
      </c>
      <c r="AE79" s="8">
        <f t="shared" si="139"/>
        <v>400</v>
      </c>
      <c r="AF79" s="8">
        <f t="shared" si="139"/>
        <v>400</v>
      </c>
      <c r="AG79" s="8" t="str">
        <f t="shared" si="139"/>
        <v/>
      </c>
      <c r="AH79" s="8" t="str">
        <f t="shared" si="139"/>
        <v/>
      </c>
      <c r="AI79" s="8" t="str">
        <f t="shared" si="139"/>
        <v/>
      </c>
      <c r="AJ79" s="8" t="str">
        <f t="shared" si="139"/>
        <v/>
      </c>
      <c r="AK79" s="8" t="str">
        <f t="shared" si="139"/>
        <v/>
      </c>
      <c r="AL79" s="8" t="str">
        <f t="shared" si="139"/>
        <v/>
      </c>
      <c r="AM79" s="8" t="str">
        <f t="shared" ref="AM79:AS79" si="140">IF(AM$3="","",AL79)</f>
        <v/>
      </c>
      <c r="AN79" s="8" t="str">
        <f t="shared" si="140"/>
        <v/>
      </c>
      <c r="AO79" s="8" t="str">
        <f t="shared" si="140"/>
        <v/>
      </c>
      <c r="AP79" s="8" t="str">
        <f t="shared" si="140"/>
        <v/>
      </c>
      <c r="AQ79" s="8" t="str">
        <f t="shared" si="140"/>
        <v/>
      </c>
      <c r="AR79" s="8" t="str">
        <f t="shared" si="140"/>
        <v/>
      </c>
      <c r="AS79" s="8" t="str">
        <f t="shared" si="140"/>
        <v/>
      </c>
    </row>
    <row r="80" spans="1:45" s="94" customFormat="1" ht="11">
      <c r="A80" s="14" t="s">
        <v>9</v>
      </c>
      <c r="B80" s="13" t="s">
        <v>10</v>
      </c>
      <c r="C80" s="75" t="s">
        <v>40</v>
      </c>
      <c r="D80" s="12" t="str">
        <f t="shared" ref="D80:AL80" si="141">IF(D$3="","",C80)</f>
        <v>ゲームアーク</v>
      </c>
      <c r="E80" s="12" t="str">
        <f t="shared" si="141"/>
        <v>ゲームアーク</v>
      </c>
      <c r="F80" s="131" t="str">
        <f t="shared" si="141"/>
        <v>ゲームアーク</v>
      </c>
      <c r="G80" s="12" t="str">
        <f t="shared" si="141"/>
        <v>ゲームアーク</v>
      </c>
      <c r="H80" s="12" t="str">
        <f t="shared" si="141"/>
        <v>ゲームアーク</v>
      </c>
      <c r="I80" s="131" t="str">
        <f t="shared" si="141"/>
        <v>ゲームアーク</v>
      </c>
      <c r="J80" s="12" t="str">
        <f t="shared" si="141"/>
        <v>ゲームアーク</v>
      </c>
      <c r="K80" s="12" t="str">
        <f t="shared" si="141"/>
        <v>ゲームアーク</v>
      </c>
      <c r="L80" s="131" t="str">
        <f t="shared" si="141"/>
        <v>ゲームアーク</v>
      </c>
      <c r="M80" s="12" t="str">
        <f t="shared" si="141"/>
        <v>ゲームアーク</v>
      </c>
      <c r="N80" s="12" t="str">
        <f t="shared" si="141"/>
        <v>ゲームアーク</v>
      </c>
      <c r="O80" s="12" t="str">
        <f t="shared" si="141"/>
        <v>ゲームアーク</v>
      </c>
      <c r="P80" s="131" t="str">
        <f t="shared" si="141"/>
        <v>ゲームアーク</v>
      </c>
      <c r="Q80" s="12" t="str">
        <f t="shared" si="141"/>
        <v>ゲームアーク</v>
      </c>
      <c r="R80" s="12" t="str">
        <f t="shared" si="141"/>
        <v>ゲームアーク</v>
      </c>
      <c r="S80" s="12" t="str">
        <f t="shared" si="141"/>
        <v>ゲームアーク</v>
      </c>
      <c r="T80" s="12" t="str">
        <f t="shared" si="141"/>
        <v>ゲームアーク</v>
      </c>
      <c r="U80" s="12" t="str">
        <f t="shared" si="141"/>
        <v>ゲームアーク</v>
      </c>
      <c r="V80" s="12" t="str">
        <f t="shared" si="141"/>
        <v>ゲームアーク</v>
      </c>
      <c r="W80" s="12" t="str">
        <f t="shared" si="141"/>
        <v>ゲームアーク</v>
      </c>
      <c r="X80" s="12" t="str">
        <f t="shared" si="141"/>
        <v>ゲームアーク</v>
      </c>
      <c r="Y80" s="12" t="str">
        <f t="shared" si="141"/>
        <v>ゲームアーク</v>
      </c>
      <c r="Z80" s="12" t="str">
        <f t="shared" si="141"/>
        <v>ゲームアーク</v>
      </c>
      <c r="AA80" s="12" t="str">
        <f t="shared" si="141"/>
        <v>ゲームアーク</v>
      </c>
      <c r="AB80" s="12" t="str">
        <f t="shared" si="141"/>
        <v>ゲームアーク</v>
      </c>
      <c r="AC80" s="12" t="str">
        <f t="shared" si="141"/>
        <v>ゲームアーク</v>
      </c>
      <c r="AD80" s="75" t="str">
        <f t="shared" si="141"/>
        <v>ゲームアーク</v>
      </c>
      <c r="AE80" s="12" t="str">
        <f t="shared" si="141"/>
        <v>ゲームアーク</v>
      </c>
      <c r="AF80" s="12" t="str">
        <f t="shared" si="141"/>
        <v>ゲームアーク</v>
      </c>
      <c r="AG80" s="12" t="str">
        <f t="shared" si="141"/>
        <v/>
      </c>
      <c r="AH80" s="12" t="str">
        <f t="shared" si="141"/>
        <v/>
      </c>
      <c r="AI80" s="12" t="str">
        <f t="shared" si="141"/>
        <v/>
      </c>
      <c r="AJ80" s="12" t="str">
        <f t="shared" si="141"/>
        <v/>
      </c>
      <c r="AK80" s="12" t="str">
        <f t="shared" si="141"/>
        <v/>
      </c>
      <c r="AL80" s="12" t="str">
        <f t="shared" si="141"/>
        <v/>
      </c>
      <c r="AM80" s="12" t="str">
        <f t="shared" ref="AM80:AS80" si="142">IF(AM$3="","",AL80)</f>
        <v/>
      </c>
      <c r="AN80" s="12" t="str">
        <f t="shared" si="142"/>
        <v/>
      </c>
      <c r="AO80" s="12" t="str">
        <f t="shared" si="142"/>
        <v/>
      </c>
      <c r="AP80" s="12" t="str">
        <f t="shared" si="142"/>
        <v/>
      </c>
      <c r="AQ80" s="12" t="str">
        <f t="shared" si="142"/>
        <v/>
      </c>
      <c r="AR80" s="12" t="str">
        <f t="shared" si="142"/>
        <v/>
      </c>
      <c r="AS80" s="12" t="str">
        <f t="shared" si="142"/>
        <v/>
      </c>
    </row>
    <row r="81" spans="1:45" s="1" customFormat="1" ht="11">
      <c r="A81" s="7">
        <f>AVERAGE(C82:AS82)*30*100</f>
        <v>29300</v>
      </c>
      <c r="B81" s="9" t="s">
        <v>14</v>
      </c>
      <c r="C81" s="74"/>
      <c r="D81" s="8"/>
      <c r="E81" s="8"/>
      <c r="F81" s="59"/>
      <c r="G81" s="8"/>
      <c r="H81" s="8"/>
      <c r="I81" s="59"/>
      <c r="J81" s="8"/>
      <c r="K81" s="8"/>
      <c r="L81" s="59"/>
      <c r="M81" s="8"/>
      <c r="N81" s="8"/>
      <c r="O81" s="8"/>
      <c r="P81" s="59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74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s="1" customFormat="1" ht="11">
      <c r="A82" s="7">
        <f>SUM(C82:AS82)</f>
        <v>293</v>
      </c>
      <c r="B82" s="6" t="s">
        <v>15</v>
      </c>
      <c r="C82" s="74">
        <v>0</v>
      </c>
      <c r="D82" s="5">
        <f t="shared" ref="D82:AL82" si="143">IF(D$3="","",D75-C75)</f>
        <v>0</v>
      </c>
      <c r="E82" s="5">
        <f t="shared" si="143"/>
        <v>61</v>
      </c>
      <c r="F82" s="59">
        <f t="shared" si="143"/>
        <v>0</v>
      </c>
      <c r="G82" s="5">
        <f t="shared" si="143"/>
        <v>0</v>
      </c>
      <c r="H82" s="5">
        <f t="shared" si="143"/>
        <v>6</v>
      </c>
      <c r="I82" s="59">
        <f t="shared" si="143"/>
        <v>0</v>
      </c>
      <c r="J82" s="5">
        <f t="shared" si="143"/>
        <v>0</v>
      </c>
      <c r="K82" s="5">
        <f t="shared" si="143"/>
        <v>81</v>
      </c>
      <c r="L82" s="59">
        <f t="shared" si="143"/>
        <v>0</v>
      </c>
      <c r="M82" s="5">
        <f t="shared" si="143"/>
        <v>0</v>
      </c>
      <c r="N82" s="5">
        <f t="shared" si="143"/>
        <v>0</v>
      </c>
      <c r="O82" s="5">
        <f t="shared" si="143"/>
        <v>11</v>
      </c>
      <c r="P82" s="59">
        <f t="shared" si="143"/>
        <v>0</v>
      </c>
      <c r="Q82" s="5">
        <f t="shared" si="143"/>
        <v>0</v>
      </c>
      <c r="R82" s="5">
        <f t="shared" si="143"/>
        <v>40</v>
      </c>
      <c r="S82" s="5">
        <f t="shared" si="143"/>
        <v>0</v>
      </c>
      <c r="T82" s="5">
        <f t="shared" si="143"/>
        <v>0</v>
      </c>
      <c r="U82" s="5">
        <f t="shared" si="143"/>
        <v>0</v>
      </c>
      <c r="V82" s="5">
        <f t="shared" si="143"/>
        <v>10</v>
      </c>
      <c r="W82" s="5">
        <f t="shared" si="143"/>
        <v>0</v>
      </c>
      <c r="X82" s="5">
        <f t="shared" si="143"/>
        <v>0</v>
      </c>
      <c r="Y82" s="5">
        <f t="shared" si="143"/>
        <v>27</v>
      </c>
      <c r="Z82" s="5">
        <f t="shared" si="143"/>
        <v>0</v>
      </c>
      <c r="AA82" s="5">
        <f t="shared" si="143"/>
        <v>0</v>
      </c>
      <c r="AB82" s="5">
        <f t="shared" si="143"/>
        <v>0</v>
      </c>
      <c r="AC82" s="5">
        <f t="shared" si="143"/>
        <v>25</v>
      </c>
      <c r="AD82" s="74">
        <f t="shared" si="143"/>
        <v>0</v>
      </c>
      <c r="AE82" s="5">
        <f t="shared" si="143"/>
        <v>0</v>
      </c>
      <c r="AF82" s="5">
        <f t="shared" si="143"/>
        <v>32</v>
      </c>
      <c r="AG82" s="5" t="str">
        <f t="shared" si="143"/>
        <v/>
      </c>
      <c r="AH82" s="5" t="str">
        <f t="shared" si="143"/>
        <v/>
      </c>
      <c r="AI82" s="5" t="str">
        <f t="shared" si="143"/>
        <v/>
      </c>
      <c r="AJ82" s="5" t="str">
        <f t="shared" si="143"/>
        <v/>
      </c>
      <c r="AK82" s="5" t="str">
        <f t="shared" si="143"/>
        <v/>
      </c>
      <c r="AL82" s="5" t="str">
        <f t="shared" si="143"/>
        <v/>
      </c>
      <c r="AM82" s="5" t="str">
        <f t="shared" ref="AM82:AS82" si="144">IF(AM$3="","",AM75-AL75)</f>
        <v/>
      </c>
      <c r="AN82" s="5" t="str">
        <f t="shared" si="144"/>
        <v/>
      </c>
      <c r="AO82" s="5" t="str">
        <f t="shared" si="144"/>
        <v/>
      </c>
      <c r="AP82" s="5" t="str">
        <f t="shared" si="144"/>
        <v/>
      </c>
      <c r="AQ82" s="5" t="str">
        <f t="shared" si="144"/>
        <v/>
      </c>
      <c r="AR82" s="5" t="str">
        <f t="shared" si="144"/>
        <v/>
      </c>
      <c r="AS82" s="5" t="str">
        <f t="shared" si="144"/>
        <v/>
      </c>
    </row>
    <row r="83" spans="1:45" s="1" customFormat="1" ht="11">
      <c r="A83" s="7">
        <f>SUM(C83:AS83)</f>
        <v>16</v>
      </c>
      <c r="B83" s="6" t="s">
        <v>16</v>
      </c>
      <c r="C83" s="74">
        <v>0</v>
      </c>
      <c r="D83" s="5">
        <f t="shared" ref="D83:AL83" si="145">IF(D$3="","",D76-C76)</f>
        <v>0</v>
      </c>
      <c r="E83" s="5">
        <f t="shared" si="145"/>
        <v>1</v>
      </c>
      <c r="F83" s="59">
        <f t="shared" si="145"/>
        <v>0</v>
      </c>
      <c r="G83" s="5">
        <f t="shared" si="145"/>
        <v>0</v>
      </c>
      <c r="H83" s="5">
        <f t="shared" si="145"/>
        <v>2</v>
      </c>
      <c r="I83" s="59">
        <f t="shared" si="145"/>
        <v>0</v>
      </c>
      <c r="J83" s="5">
        <f t="shared" si="145"/>
        <v>0</v>
      </c>
      <c r="K83" s="5">
        <f t="shared" si="145"/>
        <v>2</v>
      </c>
      <c r="L83" s="59">
        <f t="shared" si="145"/>
        <v>0</v>
      </c>
      <c r="M83" s="5">
        <f t="shared" si="145"/>
        <v>0</v>
      </c>
      <c r="N83" s="5">
        <f t="shared" si="145"/>
        <v>0</v>
      </c>
      <c r="O83" s="5">
        <f t="shared" si="145"/>
        <v>0</v>
      </c>
      <c r="P83" s="59">
        <f t="shared" si="145"/>
        <v>0</v>
      </c>
      <c r="Q83" s="5">
        <f t="shared" si="145"/>
        <v>0</v>
      </c>
      <c r="R83" s="5">
        <f t="shared" si="145"/>
        <v>1</v>
      </c>
      <c r="S83" s="5">
        <f t="shared" si="145"/>
        <v>0</v>
      </c>
      <c r="T83" s="5">
        <f t="shared" si="145"/>
        <v>0</v>
      </c>
      <c r="U83" s="5">
        <f t="shared" si="145"/>
        <v>0</v>
      </c>
      <c r="V83" s="5">
        <f t="shared" si="145"/>
        <v>2</v>
      </c>
      <c r="W83" s="5">
        <f t="shared" si="145"/>
        <v>0</v>
      </c>
      <c r="X83" s="5">
        <f t="shared" si="145"/>
        <v>0</v>
      </c>
      <c r="Y83" s="5">
        <f t="shared" si="145"/>
        <v>5</v>
      </c>
      <c r="Z83" s="5">
        <f t="shared" si="145"/>
        <v>0</v>
      </c>
      <c r="AA83" s="5">
        <f t="shared" si="145"/>
        <v>0</v>
      </c>
      <c r="AB83" s="5">
        <f t="shared" si="145"/>
        <v>0</v>
      </c>
      <c r="AC83" s="5">
        <f t="shared" si="145"/>
        <v>0</v>
      </c>
      <c r="AD83" s="74">
        <f t="shared" si="145"/>
        <v>0</v>
      </c>
      <c r="AE83" s="5">
        <f t="shared" si="145"/>
        <v>0</v>
      </c>
      <c r="AF83" s="5">
        <f t="shared" si="145"/>
        <v>3</v>
      </c>
      <c r="AG83" s="5" t="str">
        <f t="shared" si="145"/>
        <v/>
      </c>
      <c r="AH83" s="5" t="str">
        <f t="shared" si="145"/>
        <v/>
      </c>
      <c r="AI83" s="5" t="str">
        <f t="shared" si="145"/>
        <v/>
      </c>
      <c r="AJ83" s="5" t="str">
        <f t="shared" si="145"/>
        <v/>
      </c>
      <c r="AK83" s="5" t="str">
        <f t="shared" si="145"/>
        <v/>
      </c>
      <c r="AL83" s="5" t="str">
        <f t="shared" si="145"/>
        <v/>
      </c>
      <c r="AM83" s="5" t="str">
        <f t="shared" ref="AM83:AS83" si="146">IF(AM$3="","",AM76-AL76)</f>
        <v/>
      </c>
      <c r="AN83" s="5" t="str">
        <f t="shared" si="146"/>
        <v/>
      </c>
      <c r="AO83" s="5" t="str">
        <f t="shared" si="146"/>
        <v/>
      </c>
      <c r="AP83" s="5" t="str">
        <f t="shared" si="146"/>
        <v/>
      </c>
      <c r="AQ83" s="5" t="str">
        <f t="shared" si="146"/>
        <v/>
      </c>
      <c r="AR83" s="5" t="str">
        <f t="shared" si="146"/>
        <v/>
      </c>
      <c r="AS83" s="5" t="str">
        <f t="shared" si="146"/>
        <v/>
      </c>
    </row>
    <row r="84" spans="1:45" s="1" customFormat="1" ht="11">
      <c r="A84" s="7">
        <f>SUM(C84:AS84)</f>
        <v>4</v>
      </c>
      <c r="B84" s="6" t="s">
        <v>17</v>
      </c>
      <c r="C84" s="74">
        <v>0</v>
      </c>
      <c r="D84" s="5">
        <f t="shared" ref="D84:AL84" si="147">IF(D$3="","",C77+C78-D77)</f>
        <v>0</v>
      </c>
      <c r="E84" s="5">
        <f t="shared" si="147"/>
        <v>0</v>
      </c>
      <c r="F84" s="59">
        <f t="shared" si="147"/>
        <v>0</v>
      </c>
      <c r="G84" s="5">
        <f t="shared" si="147"/>
        <v>0</v>
      </c>
      <c r="H84" s="5">
        <f t="shared" si="147"/>
        <v>0</v>
      </c>
      <c r="I84" s="59">
        <f t="shared" si="147"/>
        <v>0</v>
      </c>
      <c r="J84" s="5">
        <f t="shared" si="147"/>
        <v>0</v>
      </c>
      <c r="K84" s="5">
        <f t="shared" si="147"/>
        <v>2</v>
      </c>
      <c r="L84" s="59">
        <f t="shared" si="147"/>
        <v>0</v>
      </c>
      <c r="M84" s="5">
        <f t="shared" si="147"/>
        <v>0</v>
      </c>
      <c r="N84" s="5">
        <f t="shared" si="147"/>
        <v>0</v>
      </c>
      <c r="O84" s="5">
        <f t="shared" si="147"/>
        <v>0</v>
      </c>
      <c r="P84" s="59">
        <f t="shared" si="147"/>
        <v>0</v>
      </c>
      <c r="Q84" s="5">
        <f t="shared" si="147"/>
        <v>0</v>
      </c>
      <c r="R84" s="5">
        <f t="shared" si="147"/>
        <v>0</v>
      </c>
      <c r="S84" s="5">
        <f t="shared" si="147"/>
        <v>0</v>
      </c>
      <c r="T84" s="5">
        <f t="shared" si="147"/>
        <v>0</v>
      </c>
      <c r="U84" s="5">
        <f t="shared" si="147"/>
        <v>0</v>
      </c>
      <c r="V84" s="5">
        <f t="shared" si="147"/>
        <v>0</v>
      </c>
      <c r="W84" s="5">
        <f t="shared" si="147"/>
        <v>0</v>
      </c>
      <c r="X84" s="5">
        <f t="shared" si="147"/>
        <v>0</v>
      </c>
      <c r="Y84" s="5">
        <f t="shared" si="147"/>
        <v>1</v>
      </c>
      <c r="Z84" s="5">
        <f t="shared" si="147"/>
        <v>0</v>
      </c>
      <c r="AA84" s="5">
        <f t="shared" si="147"/>
        <v>0</v>
      </c>
      <c r="AB84" s="5">
        <f t="shared" si="147"/>
        <v>0</v>
      </c>
      <c r="AC84" s="5">
        <f t="shared" si="147"/>
        <v>0</v>
      </c>
      <c r="AD84" s="74">
        <f t="shared" si="147"/>
        <v>0</v>
      </c>
      <c r="AE84" s="5">
        <f t="shared" si="147"/>
        <v>0</v>
      </c>
      <c r="AF84" s="5">
        <f t="shared" si="147"/>
        <v>1</v>
      </c>
      <c r="AG84" s="5" t="str">
        <f t="shared" si="147"/>
        <v/>
      </c>
      <c r="AH84" s="5" t="str">
        <f t="shared" si="147"/>
        <v/>
      </c>
      <c r="AI84" s="5" t="str">
        <f t="shared" si="147"/>
        <v/>
      </c>
      <c r="AJ84" s="5" t="str">
        <f t="shared" si="147"/>
        <v/>
      </c>
      <c r="AK84" s="5" t="str">
        <f t="shared" si="147"/>
        <v/>
      </c>
      <c r="AL84" s="5" t="str">
        <f t="shared" si="147"/>
        <v/>
      </c>
      <c r="AM84" s="5" t="str">
        <f t="shared" ref="AM84:AS84" si="148">IF(AM$3="","",AL77+AL78-AM77)</f>
        <v/>
      </c>
      <c r="AN84" s="5" t="str">
        <f t="shared" si="148"/>
        <v/>
      </c>
      <c r="AO84" s="5" t="str">
        <f t="shared" si="148"/>
        <v/>
      </c>
      <c r="AP84" s="5" t="str">
        <f t="shared" si="148"/>
        <v/>
      </c>
      <c r="AQ84" s="5" t="str">
        <f t="shared" si="148"/>
        <v/>
      </c>
      <c r="AR84" s="5" t="str">
        <f t="shared" si="148"/>
        <v/>
      </c>
      <c r="AS84" s="5" t="str">
        <f t="shared" si="148"/>
        <v/>
      </c>
    </row>
    <row r="85" spans="1:45" s="1" customFormat="1" ht="11">
      <c r="A85" s="7">
        <f>SUM(C85:AS85)</f>
        <v>1600</v>
      </c>
      <c r="B85" s="6" t="s">
        <v>18</v>
      </c>
      <c r="C85" s="74">
        <v>0</v>
      </c>
      <c r="D85" s="5">
        <f t="shared" ref="D85:AL85" si="149">IF(D$3="","",D84*D79)</f>
        <v>0</v>
      </c>
      <c r="E85" s="5">
        <f t="shared" si="149"/>
        <v>0</v>
      </c>
      <c r="F85" s="59">
        <f t="shared" si="149"/>
        <v>0</v>
      </c>
      <c r="G85" s="5">
        <f t="shared" si="149"/>
        <v>0</v>
      </c>
      <c r="H85" s="5">
        <f t="shared" si="149"/>
        <v>0</v>
      </c>
      <c r="I85" s="59">
        <f t="shared" si="149"/>
        <v>0</v>
      </c>
      <c r="J85" s="5">
        <f t="shared" si="149"/>
        <v>0</v>
      </c>
      <c r="K85" s="5">
        <f t="shared" si="149"/>
        <v>800</v>
      </c>
      <c r="L85" s="59">
        <f t="shared" si="149"/>
        <v>0</v>
      </c>
      <c r="M85" s="5">
        <f t="shared" si="149"/>
        <v>0</v>
      </c>
      <c r="N85" s="5">
        <f t="shared" si="149"/>
        <v>0</v>
      </c>
      <c r="O85" s="5">
        <f t="shared" si="149"/>
        <v>0</v>
      </c>
      <c r="P85" s="59">
        <f t="shared" si="149"/>
        <v>0</v>
      </c>
      <c r="Q85" s="5">
        <f t="shared" si="149"/>
        <v>0</v>
      </c>
      <c r="R85" s="5">
        <f t="shared" si="149"/>
        <v>0</v>
      </c>
      <c r="S85" s="5">
        <f t="shared" si="149"/>
        <v>0</v>
      </c>
      <c r="T85" s="5">
        <f t="shared" si="149"/>
        <v>0</v>
      </c>
      <c r="U85" s="5">
        <f t="shared" si="149"/>
        <v>0</v>
      </c>
      <c r="V85" s="5">
        <f t="shared" si="149"/>
        <v>0</v>
      </c>
      <c r="W85" s="5">
        <f t="shared" si="149"/>
        <v>0</v>
      </c>
      <c r="X85" s="5">
        <f t="shared" si="149"/>
        <v>0</v>
      </c>
      <c r="Y85" s="5">
        <f t="shared" si="149"/>
        <v>400</v>
      </c>
      <c r="Z85" s="5">
        <f t="shared" si="149"/>
        <v>0</v>
      </c>
      <c r="AA85" s="5">
        <f t="shared" si="149"/>
        <v>0</v>
      </c>
      <c r="AB85" s="5">
        <f t="shared" si="149"/>
        <v>0</v>
      </c>
      <c r="AC85" s="5">
        <f t="shared" si="149"/>
        <v>0</v>
      </c>
      <c r="AD85" s="74">
        <f t="shared" si="149"/>
        <v>0</v>
      </c>
      <c r="AE85" s="5">
        <f t="shared" si="149"/>
        <v>0</v>
      </c>
      <c r="AF85" s="5">
        <f t="shared" si="149"/>
        <v>400</v>
      </c>
      <c r="AG85" s="5" t="str">
        <f t="shared" si="149"/>
        <v/>
      </c>
      <c r="AH85" s="5" t="str">
        <f t="shared" si="149"/>
        <v/>
      </c>
      <c r="AI85" s="5" t="str">
        <f t="shared" si="149"/>
        <v/>
      </c>
      <c r="AJ85" s="5" t="str">
        <f t="shared" si="149"/>
        <v/>
      </c>
      <c r="AK85" s="5" t="str">
        <f t="shared" si="149"/>
        <v/>
      </c>
      <c r="AL85" s="5" t="str">
        <f t="shared" si="149"/>
        <v/>
      </c>
      <c r="AM85" s="5" t="str">
        <f t="shared" ref="AM85:AS85" si="150">IF(AM$3="","",AM84*AM79)</f>
        <v/>
      </c>
      <c r="AN85" s="5" t="str">
        <f t="shared" si="150"/>
        <v/>
      </c>
      <c r="AO85" s="5" t="str">
        <f t="shared" si="150"/>
        <v/>
      </c>
      <c r="AP85" s="5" t="str">
        <f t="shared" si="150"/>
        <v/>
      </c>
      <c r="AQ85" s="5" t="str">
        <f t="shared" si="150"/>
        <v/>
      </c>
      <c r="AR85" s="5" t="str">
        <f t="shared" si="150"/>
        <v/>
      </c>
      <c r="AS85" s="5" t="str">
        <f t="shared" si="150"/>
        <v/>
      </c>
    </row>
    <row r="86" spans="1:45" s="1" customFormat="1" ht="12" thickBot="1">
      <c r="A86" s="4">
        <f>IF(A85="","",A85/(A82*100))</f>
        <v>5.4607508532423209E-2</v>
      </c>
      <c r="B86" s="6" t="s">
        <v>20</v>
      </c>
      <c r="C86" s="76" t="s">
        <v>21</v>
      </c>
      <c r="D86" s="18" t="str">
        <f t="shared" ref="D86:AL86" si="151">IF(D$3="","",IF(D85=0,"",D85/(D82*100)))</f>
        <v/>
      </c>
      <c r="E86" s="18" t="str">
        <f t="shared" si="151"/>
        <v/>
      </c>
      <c r="F86" s="62" t="str">
        <f t="shared" si="151"/>
        <v/>
      </c>
      <c r="G86" s="18" t="str">
        <f t="shared" si="151"/>
        <v/>
      </c>
      <c r="H86" s="18" t="str">
        <f t="shared" si="151"/>
        <v/>
      </c>
      <c r="I86" s="62" t="str">
        <f t="shared" si="151"/>
        <v/>
      </c>
      <c r="J86" s="18" t="str">
        <f t="shared" si="151"/>
        <v/>
      </c>
      <c r="K86" s="18">
        <f t="shared" si="151"/>
        <v>9.8765432098765427E-2</v>
      </c>
      <c r="L86" s="62" t="str">
        <f t="shared" si="151"/>
        <v/>
      </c>
      <c r="M86" s="18" t="str">
        <f t="shared" si="151"/>
        <v/>
      </c>
      <c r="N86" s="18" t="str">
        <f t="shared" si="151"/>
        <v/>
      </c>
      <c r="O86" s="18" t="str">
        <f t="shared" si="151"/>
        <v/>
      </c>
      <c r="P86" s="62" t="str">
        <f t="shared" si="151"/>
        <v/>
      </c>
      <c r="Q86" s="18" t="str">
        <f t="shared" si="151"/>
        <v/>
      </c>
      <c r="R86" s="18" t="str">
        <f t="shared" si="151"/>
        <v/>
      </c>
      <c r="S86" s="18" t="str">
        <f t="shared" si="151"/>
        <v/>
      </c>
      <c r="T86" s="18" t="str">
        <f t="shared" si="151"/>
        <v/>
      </c>
      <c r="U86" s="18" t="str">
        <f t="shared" si="151"/>
        <v/>
      </c>
      <c r="V86" s="18" t="str">
        <f t="shared" si="151"/>
        <v/>
      </c>
      <c r="W86" s="18" t="str">
        <f t="shared" si="151"/>
        <v/>
      </c>
      <c r="X86" s="18" t="str">
        <f t="shared" si="151"/>
        <v/>
      </c>
      <c r="Y86" s="18">
        <f t="shared" si="151"/>
        <v>0.14814814814814814</v>
      </c>
      <c r="Z86" s="18" t="str">
        <f t="shared" si="151"/>
        <v/>
      </c>
      <c r="AA86" s="18" t="str">
        <f t="shared" si="151"/>
        <v/>
      </c>
      <c r="AB86" s="18" t="str">
        <f t="shared" si="151"/>
        <v/>
      </c>
      <c r="AC86" s="18" t="str">
        <f t="shared" si="151"/>
        <v/>
      </c>
      <c r="AD86" s="76" t="str">
        <f t="shared" si="151"/>
        <v/>
      </c>
      <c r="AE86" s="18" t="str">
        <f t="shared" si="151"/>
        <v/>
      </c>
      <c r="AF86" s="18">
        <f t="shared" si="151"/>
        <v>0.125</v>
      </c>
      <c r="AG86" s="18" t="str">
        <f t="shared" si="151"/>
        <v/>
      </c>
      <c r="AH86" s="18" t="str">
        <f t="shared" si="151"/>
        <v/>
      </c>
      <c r="AI86" s="18" t="str">
        <f t="shared" si="151"/>
        <v/>
      </c>
      <c r="AJ86" s="18" t="str">
        <f t="shared" si="151"/>
        <v/>
      </c>
      <c r="AK86" s="18" t="str">
        <f t="shared" si="151"/>
        <v/>
      </c>
      <c r="AL86" s="18" t="str">
        <f t="shared" si="151"/>
        <v/>
      </c>
      <c r="AM86" s="18" t="str">
        <f t="shared" ref="AM86:AS86" si="152">IF(AM$3="","",IF(AM85=0,"",AM85/(AM82*100)))</f>
        <v/>
      </c>
      <c r="AN86" s="18" t="str">
        <f t="shared" si="152"/>
        <v/>
      </c>
      <c r="AO86" s="18" t="str">
        <f t="shared" si="152"/>
        <v/>
      </c>
      <c r="AP86" s="18" t="str">
        <f t="shared" si="152"/>
        <v/>
      </c>
      <c r="AQ86" s="18" t="str">
        <f t="shared" si="152"/>
        <v/>
      </c>
      <c r="AR86" s="18" t="str">
        <f t="shared" si="152"/>
        <v/>
      </c>
      <c r="AS86" s="18" t="str">
        <f t="shared" si="152"/>
        <v/>
      </c>
    </row>
    <row r="87" spans="1:45" s="1" customFormat="1" ht="11">
      <c r="A87" s="17" t="s">
        <v>61</v>
      </c>
      <c r="B87" s="9" t="s">
        <v>2</v>
      </c>
      <c r="C87" s="74">
        <v>2652</v>
      </c>
      <c r="D87" s="8">
        <f>IF(D$3="","",C87)</f>
        <v>2652</v>
      </c>
      <c r="E87" s="8">
        <v>2726</v>
      </c>
      <c r="F87" s="59">
        <f>IF(F$3="","",E87)</f>
        <v>2726</v>
      </c>
      <c r="G87" s="8">
        <f>IF(G$3="","",F87)</f>
        <v>2726</v>
      </c>
      <c r="H87" s="8">
        <v>2760</v>
      </c>
      <c r="I87" s="59">
        <f>IF(I$3="","",H87)</f>
        <v>2760</v>
      </c>
      <c r="J87" s="8">
        <f>IF(J$3="","",I87)</f>
        <v>2760</v>
      </c>
      <c r="K87" s="8">
        <v>2851</v>
      </c>
      <c r="L87" s="59">
        <f t="shared" ref="L87:N88" si="153">IF(L$3="","",K87)</f>
        <v>2851</v>
      </c>
      <c r="M87" s="8">
        <f t="shared" si="153"/>
        <v>2851</v>
      </c>
      <c r="N87" s="8">
        <f t="shared" si="153"/>
        <v>2851</v>
      </c>
      <c r="O87" s="8">
        <v>2878</v>
      </c>
      <c r="P87" s="59">
        <f>IF(P$3="","",O87)</f>
        <v>2878</v>
      </c>
      <c r="Q87" s="8">
        <f>IF(Q$3="","",P87)</f>
        <v>2878</v>
      </c>
      <c r="R87" s="8">
        <v>2904</v>
      </c>
      <c r="S87" s="8">
        <f t="shared" ref="S87:AL87" si="154">IF(S$3="","",R87)</f>
        <v>2904</v>
      </c>
      <c r="T87" s="8">
        <f t="shared" si="154"/>
        <v>2904</v>
      </c>
      <c r="U87" s="8">
        <f t="shared" si="154"/>
        <v>2904</v>
      </c>
      <c r="V87" s="8">
        <v>2907</v>
      </c>
      <c r="W87" s="8">
        <f t="shared" si="154"/>
        <v>2907</v>
      </c>
      <c r="X87" s="8">
        <f t="shared" si="154"/>
        <v>2907</v>
      </c>
      <c r="Y87" s="8">
        <v>2937</v>
      </c>
      <c r="Z87" s="8">
        <f t="shared" si="154"/>
        <v>2937</v>
      </c>
      <c r="AA87" s="8">
        <f t="shared" si="154"/>
        <v>2937</v>
      </c>
      <c r="AB87" s="8">
        <f t="shared" si="154"/>
        <v>2937</v>
      </c>
      <c r="AC87" s="8">
        <v>2956</v>
      </c>
      <c r="AD87" s="74">
        <f t="shared" si="154"/>
        <v>2956</v>
      </c>
      <c r="AE87" s="8">
        <f t="shared" si="154"/>
        <v>2956</v>
      </c>
      <c r="AF87" s="8">
        <v>3004</v>
      </c>
      <c r="AG87" s="8" t="str">
        <f t="shared" si="154"/>
        <v/>
      </c>
      <c r="AH87" s="8" t="str">
        <f t="shared" si="154"/>
        <v/>
      </c>
      <c r="AI87" s="8" t="str">
        <f t="shared" si="154"/>
        <v/>
      </c>
      <c r="AJ87" s="8" t="str">
        <f t="shared" si="154"/>
        <v/>
      </c>
      <c r="AK87" s="8" t="str">
        <f t="shared" si="154"/>
        <v/>
      </c>
      <c r="AL87" s="8" t="str">
        <f t="shared" si="154"/>
        <v/>
      </c>
      <c r="AM87" s="8" t="str">
        <f t="shared" ref="AM87:AS87" si="155">IF(AM$3="","",AL87)</f>
        <v/>
      </c>
      <c r="AN87" s="8" t="str">
        <f t="shared" si="155"/>
        <v/>
      </c>
      <c r="AO87" s="8" t="str">
        <f t="shared" si="155"/>
        <v/>
      </c>
      <c r="AP87" s="8" t="str">
        <f t="shared" si="155"/>
        <v/>
      </c>
      <c r="AQ87" s="8" t="str">
        <f t="shared" si="155"/>
        <v/>
      </c>
      <c r="AR87" s="8" t="str">
        <f t="shared" si="155"/>
        <v/>
      </c>
      <c r="AS87" s="8" t="str">
        <f t="shared" si="155"/>
        <v/>
      </c>
    </row>
    <row r="88" spans="1:45" s="1" customFormat="1" ht="11">
      <c r="A88" s="16" t="s">
        <v>28</v>
      </c>
      <c r="B88" s="9" t="s">
        <v>4</v>
      </c>
      <c r="C88" s="74">
        <v>104</v>
      </c>
      <c r="D88" s="8">
        <f>IF(D$3="","",C88)</f>
        <v>104</v>
      </c>
      <c r="E88" s="8">
        <f>IF(E$3="","",D88)</f>
        <v>104</v>
      </c>
      <c r="F88" s="59">
        <f>IF(F$3="","",E88)</f>
        <v>104</v>
      </c>
      <c r="G88" s="8">
        <f>IF(G$3="","",F88)</f>
        <v>104</v>
      </c>
      <c r="H88" s="8">
        <f>IF(H$3="","",G88)</f>
        <v>104</v>
      </c>
      <c r="I88" s="59">
        <f>IF(I$3="","",H88)</f>
        <v>104</v>
      </c>
      <c r="J88" s="8">
        <f>IF(J$3="","",I88)</f>
        <v>104</v>
      </c>
      <c r="K88" s="8">
        <f>IF(K$3="","",J88)</f>
        <v>104</v>
      </c>
      <c r="L88" s="59">
        <f t="shared" si="153"/>
        <v>104</v>
      </c>
      <c r="M88" s="8">
        <f t="shared" si="153"/>
        <v>104</v>
      </c>
      <c r="N88" s="8">
        <f t="shared" si="153"/>
        <v>104</v>
      </c>
      <c r="O88" s="8">
        <f>IF(O$3="","",N88)</f>
        <v>104</v>
      </c>
      <c r="P88" s="59">
        <f>IF(P$3="","",O88)</f>
        <v>104</v>
      </c>
      <c r="Q88" s="8">
        <f>IF(Q$3="","",P88)</f>
        <v>104</v>
      </c>
      <c r="R88" s="8">
        <v>105</v>
      </c>
      <c r="S88" s="8">
        <f t="shared" ref="S88:AL88" si="156">IF(S$3="","",R88)</f>
        <v>105</v>
      </c>
      <c r="T88" s="8">
        <f t="shared" si="156"/>
        <v>105</v>
      </c>
      <c r="U88" s="8">
        <f t="shared" si="156"/>
        <v>105</v>
      </c>
      <c r="V88" s="8">
        <f t="shared" si="156"/>
        <v>105</v>
      </c>
      <c r="W88" s="8">
        <f t="shared" si="156"/>
        <v>105</v>
      </c>
      <c r="X88" s="8">
        <f t="shared" si="156"/>
        <v>105</v>
      </c>
      <c r="Y88" s="8">
        <v>107</v>
      </c>
      <c r="Z88" s="8">
        <f t="shared" si="156"/>
        <v>107</v>
      </c>
      <c r="AA88" s="8">
        <f t="shared" si="156"/>
        <v>107</v>
      </c>
      <c r="AB88" s="8">
        <f t="shared" si="156"/>
        <v>107</v>
      </c>
      <c r="AC88" s="8">
        <f t="shared" si="156"/>
        <v>107</v>
      </c>
      <c r="AD88" s="74">
        <f t="shared" si="156"/>
        <v>107</v>
      </c>
      <c r="AE88" s="8">
        <f t="shared" si="156"/>
        <v>107</v>
      </c>
      <c r="AF88" s="8">
        <v>108</v>
      </c>
      <c r="AG88" s="8" t="str">
        <f t="shared" si="156"/>
        <v/>
      </c>
      <c r="AH88" s="8" t="str">
        <f t="shared" si="156"/>
        <v/>
      </c>
      <c r="AI88" s="8" t="str">
        <f t="shared" si="156"/>
        <v/>
      </c>
      <c r="AJ88" s="8" t="str">
        <f t="shared" si="156"/>
        <v/>
      </c>
      <c r="AK88" s="8" t="str">
        <f t="shared" si="156"/>
        <v/>
      </c>
      <c r="AL88" s="8" t="str">
        <f t="shared" si="156"/>
        <v/>
      </c>
      <c r="AM88" s="8" t="str">
        <f t="shared" ref="AM88:AS88" si="157">IF(AM$3="","",AL88)</f>
        <v/>
      </c>
      <c r="AN88" s="8" t="str">
        <f t="shared" si="157"/>
        <v/>
      </c>
      <c r="AO88" s="8" t="str">
        <f t="shared" si="157"/>
        <v/>
      </c>
      <c r="AP88" s="8" t="str">
        <f t="shared" si="157"/>
        <v/>
      </c>
      <c r="AQ88" s="8" t="str">
        <f t="shared" si="157"/>
        <v/>
      </c>
      <c r="AR88" s="8" t="str">
        <f t="shared" si="157"/>
        <v/>
      </c>
      <c r="AS88" s="8" t="str">
        <f t="shared" si="157"/>
        <v/>
      </c>
    </row>
    <row r="89" spans="1:45" s="1" customFormat="1" ht="11">
      <c r="A89" s="15">
        <v>4</v>
      </c>
      <c r="B89" s="9" t="s">
        <v>5</v>
      </c>
      <c r="C89" s="74">
        <v>5</v>
      </c>
      <c r="D89" s="8">
        <f t="shared" ref="D89:Q89" si="158">IF(D$3="","",(C89+C90))</f>
        <v>5</v>
      </c>
      <c r="E89" s="8">
        <f t="shared" si="158"/>
        <v>5</v>
      </c>
      <c r="F89" s="59">
        <f t="shared" si="158"/>
        <v>5</v>
      </c>
      <c r="G89" s="8">
        <f t="shared" si="158"/>
        <v>5</v>
      </c>
      <c r="H89" s="8">
        <f t="shared" si="158"/>
        <v>5</v>
      </c>
      <c r="I89" s="59">
        <f t="shared" si="158"/>
        <v>5</v>
      </c>
      <c r="J89" s="8">
        <f t="shared" si="158"/>
        <v>5</v>
      </c>
      <c r="K89" s="8">
        <f t="shared" si="158"/>
        <v>5</v>
      </c>
      <c r="L89" s="59">
        <f t="shared" si="158"/>
        <v>5</v>
      </c>
      <c r="M89" s="8">
        <f t="shared" si="158"/>
        <v>5</v>
      </c>
      <c r="N89" s="8">
        <f t="shared" si="158"/>
        <v>5</v>
      </c>
      <c r="O89" s="8">
        <f t="shared" si="158"/>
        <v>5</v>
      </c>
      <c r="P89" s="59">
        <f t="shared" si="158"/>
        <v>5</v>
      </c>
      <c r="Q89" s="8">
        <f t="shared" si="158"/>
        <v>5</v>
      </c>
      <c r="R89" s="8">
        <v>4</v>
      </c>
      <c r="S89" s="8">
        <f t="shared" ref="S89:AL89" si="159">IF(S$3="","",(R89+R90))</f>
        <v>6</v>
      </c>
      <c r="T89" s="8">
        <f t="shared" si="159"/>
        <v>6</v>
      </c>
      <c r="U89" s="8">
        <f t="shared" si="159"/>
        <v>6</v>
      </c>
      <c r="V89" s="8">
        <f t="shared" si="159"/>
        <v>6</v>
      </c>
      <c r="W89" s="8">
        <f t="shared" si="159"/>
        <v>6</v>
      </c>
      <c r="X89" s="8">
        <f t="shared" si="159"/>
        <v>6</v>
      </c>
      <c r="Y89" s="8">
        <f t="shared" si="159"/>
        <v>6</v>
      </c>
      <c r="Z89" s="8">
        <f t="shared" si="159"/>
        <v>6</v>
      </c>
      <c r="AA89" s="8">
        <f t="shared" si="159"/>
        <v>6</v>
      </c>
      <c r="AB89" s="8">
        <f t="shared" si="159"/>
        <v>6</v>
      </c>
      <c r="AC89" s="8">
        <f t="shared" si="159"/>
        <v>6</v>
      </c>
      <c r="AD89" s="74">
        <f t="shared" si="159"/>
        <v>6</v>
      </c>
      <c r="AE89" s="8">
        <f t="shared" si="159"/>
        <v>6</v>
      </c>
      <c r="AF89" s="8">
        <v>5</v>
      </c>
      <c r="AG89" s="8" t="str">
        <f t="shared" si="159"/>
        <v/>
      </c>
      <c r="AH89" s="8" t="str">
        <f t="shared" si="159"/>
        <v/>
      </c>
      <c r="AI89" s="8" t="str">
        <f t="shared" si="159"/>
        <v/>
      </c>
      <c r="AJ89" s="8" t="str">
        <f t="shared" si="159"/>
        <v/>
      </c>
      <c r="AK89" s="8" t="str">
        <f t="shared" si="159"/>
        <v/>
      </c>
      <c r="AL89" s="8" t="str">
        <f t="shared" si="159"/>
        <v/>
      </c>
      <c r="AM89" s="8" t="str">
        <f t="shared" ref="AM89:AS89" si="160">IF(AM$3="","",(AL89+AL90))</f>
        <v/>
      </c>
      <c r="AN89" s="8" t="str">
        <f t="shared" si="160"/>
        <v/>
      </c>
      <c r="AO89" s="8" t="str">
        <f t="shared" si="160"/>
        <v/>
      </c>
      <c r="AP89" s="8" t="str">
        <f t="shared" si="160"/>
        <v/>
      </c>
      <c r="AQ89" s="8" t="str">
        <f t="shared" si="160"/>
        <v/>
      </c>
      <c r="AR89" s="8" t="str">
        <f t="shared" si="160"/>
        <v/>
      </c>
      <c r="AS89" s="8" t="str">
        <f t="shared" si="160"/>
        <v/>
      </c>
    </row>
    <row r="90" spans="1:45" s="1" customFormat="1" ht="11">
      <c r="A90" s="14"/>
      <c r="B90" s="9" t="s">
        <v>7</v>
      </c>
      <c r="C90" s="74"/>
      <c r="D90" s="8"/>
      <c r="E90" s="8"/>
      <c r="F90" s="59"/>
      <c r="G90" s="8"/>
      <c r="H90" s="8"/>
      <c r="I90" s="59"/>
      <c r="J90" s="8"/>
      <c r="K90" s="8"/>
      <c r="L90" s="59"/>
      <c r="M90" s="8"/>
      <c r="N90" s="8"/>
      <c r="O90" s="8"/>
      <c r="P90" s="59"/>
      <c r="Q90" s="8"/>
      <c r="R90" s="8">
        <v>2</v>
      </c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74"/>
      <c r="AE90" s="8"/>
      <c r="AF90" s="8">
        <v>1</v>
      </c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s="1" customFormat="1" ht="11">
      <c r="A91" s="7"/>
      <c r="B91" s="9" t="s">
        <v>8</v>
      </c>
      <c r="C91" s="74">
        <v>750</v>
      </c>
      <c r="D91" s="8">
        <f t="shared" ref="D91:AL91" si="161">IF(D$3="","",C91)</f>
        <v>750</v>
      </c>
      <c r="E91" s="8">
        <f t="shared" si="161"/>
        <v>750</v>
      </c>
      <c r="F91" s="59">
        <f t="shared" si="161"/>
        <v>750</v>
      </c>
      <c r="G91" s="8">
        <f t="shared" si="161"/>
        <v>750</v>
      </c>
      <c r="H91" s="8">
        <f t="shared" si="161"/>
        <v>750</v>
      </c>
      <c r="I91" s="59">
        <f t="shared" si="161"/>
        <v>750</v>
      </c>
      <c r="J91" s="8">
        <f t="shared" si="161"/>
        <v>750</v>
      </c>
      <c r="K91" s="8">
        <f t="shared" si="161"/>
        <v>750</v>
      </c>
      <c r="L91" s="59">
        <f t="shared" si="161"/>
        <v>750</v>
      </c>
      <c r="M91" s="8">
        <f t="shared" si="161"/>
        <v>750</v>
      </c>
      <c r="N91" s="8">
        <f t="shared" si="161"/>
        <v>750</v>
      </c>
      <c r="O91" s="8">
        <f t="shared" si="161"/>
        <v>750</v>
      </c>
      <c r="P91" s="59">
        <f t="shared" si="161"/>
        <v>750</v>
      </c>
      <c r="Q91" s="8">
        <f t="shared" si="161"/>
        <v>750</v>
      </c>
      <c r="R91" s="8">
        <f t="shared" si="161"/>
        <v>750</v>
      </c>
      <c r="S91" s="8">
        <f t="shared" si="161"/>
        <v>750</v>
      </c>
      <c r="T91" s="8">
        <f t="shared" si="161"/>
        <v>750</v>
      </c>
      <c r="U91" s="8">
        <f t="shared" si="161"/>
        <v>750</v>
      </c>
      <c r="V91" s="8">
        <f t="shared" si="161"/>
        <v>750</v>
      </c>
      <c r="W91" s="8">
        <f t="shared" si="161"/>
        <v>750</v>
      </c>
      <c r="X91" s="8">
        <f t="shared" si="161"/>
        <v>750</v>
      </c>
      <c r="Y91" s="8">
        <f t="shared" si="161"/>
        <v>750</v>
      </c>
      <c r="Z91" s="8">
        <f t="shared" si="161"/>
        <v>750</v>
      </c>
      <c r="AA91" s="8">
        <f t="shared" si="161"/>
        <v>750</v>
      </c>
      <c r="AB91" s="8">
        <f t="shared" si="161"/>
        <v>750</v>
      </c>
      <c r="AC91" s="8">
        <f t="shared" si="161"/>
        <v>750</v>
      </c>
      <c r="AD91" s="74">
        <f t="shared" si="161"/>
        <v>750</v>
      </c>
      <c r="AE91" s="8">
        <f t="shared" si="161"/>
        <v>750</v>
      </c>
      <c r="AF91" s="8">
        <f t="shared" si="161"/>
        <v>750</v>
      </c>
      <c r="AG91" s="8" t="str">
        <f t="shared" si="161"/>
        <v/>
      </c>
      <c r="AH91" s="8" t="str">
        <f t="shared" si="161"/>
        <v/>
      </c>
      <c r="AI91" s="8" t="str">
        <f t="shared" si="161"/>
        <v/>
      </c>
      <c r="AJ91" s="8" t="str">
        <f t="shared" si="161"/>
        <v/>
      </c>
      <c r="AK91" s="8" t="str">
        <f t="shared" si="161"/>
        <v/>
      </c>
      <c r="AL91" s="8" t="str">
        <f t="shared" si="161"/>
        <v/>
      </c>
      <c r="AM91" s="8" t="str">
        <f t="shared" ref="AM91:AS91" si="162">IF(AM$3="","",AL91)</f>
        <v/>
      </c>
      <c r="AN91" s="8" t="str">
        <f t="shared" si="162"/>
        <v/>
      </c>
      <c r="AO91" s="8" t="str">
        <f t="shared" si="162"/>
        <v/>
      </c>
      <c r="AP91" s="8" t="str">
        <f t="shared" si="162"/>
        <v/>
      </c>
      <c r="AQ91" s="8" t="str">
        <f t="shared" si="162"/>
        <v/>
      </c>
      <c r="AR91" s="8" t="str">
        <f t="shared" si="162"/>
        <v/>
      </c>
      <c r="AS91" s="8" t="str">
        <f t="shared" si="162"/>
        <v/>
      </c>
    </row>
    <row r="92" spans="1:45" s="94" customFormat="1" ht="11">
      <c r="A92" s="14" t="s">
        <v>9</v>
      </c>
      <c r="B92" s="13" t="s">
        <v>10</v>
      </c>
      <c r="C92" s="75" t="s">
        <v>66</v>
      </c>
      <c r="D92" s="12" t="str">
        <f t="shared" ref="D92:AL92" si="163">IF(D$3="","",C92)</f>
        <v>サンリオヒョウ柄キーケース</v>
      </c>
      <c r="E92" s="12" t="str">
        <f t="shared" si="163"/>
        <v>サンリオヒョウ柄キーケース</v>
      </c>
      <c r="F92" s="131" t="str">
        <f t="shared" si="163"/>
        <v>サンリオヒョウ柄キーケース</v>
      </c>
      <c r="G92" s="12" t="str">
        <f t="shared" si="163"/>
        <v>サンリオヒョウ柄キーケース</v>
      </c>
      <c r="H92" s="12" t="str">
        <f t="shared" si="163"/>
        <v>サンリオヒョウ柄キーケース</v>
      </c>
      <c r="I92" s="131" t="str">
        <f t="shared" si="163"/>
        <v>サンリオヒョウ柄キーケース</v>
      </c>
      <c r="J92" s="12" t="str">
        <f t="shared" si="163"/>
        <v>サンリオヒョウ柄キーケース</v>
      </c>
      <c r="K92" s="12" t="str">
        <f t="shared" si="163"/>
        <v>サンリオヒョウ柄キーケース</v>
      </c>
      <c r="L92" s="131" t="str">
        <f t="shared" si="163"/>
        <v>サンリオヒョウ柄キーケース</v>
      </c>
      <c r="M92" s="12" t="str">
        <f t="shared" si="163"/>
        <v>サンリオヒョウ柄キーケース</v>
      </c>
      <c r="N92" s="12" t="str">
        <f t="shared" si="163"/>
        <v>サンリオヒョウ柄キーケース</v>
      </c>
      <c r="O92" s="12" t="str">
        <f t="shared" si="163"/>
        <v>サンリオヒョウ柄キーケース</v>
      </c>
      <c r="P92" s="131" t="str">
        <f t="shared" si="163"/>
        <v>サンリオヒョウ柄キーケース</v>
      </c>
      <c r="Q92" s="12" t="str">
        <f t="shared" si="163"/>
        <v>サンリオヒョウ柄キーケース</v>
      </c>
      <c r="R92" s="12" t="str">
        <f t="shared" si="163"/>
        <v>サンリオヒョウ柄キーケース</v>
      </c>
      <c r="S92" s="12" t="str">
        <f t="shared" si="163"/>
        <v>サンリオヒョウ柄キーケース</v>
      </c>
      <c r="T92" s="12" t="str">
        <f t="shared" si="163"/>
        <v>サンリオヒョウ柄キーケース</v>
      </c>
      <c r="U92" s="12" t="str">
        <f t="shared" si="163"/>
        <v>サンリオヒョウ柄キーケース</v>
      </c>
      <c r="V92" s="12" t="str">
        <f t="shared" si="163"/>
        <v>サンリオヒョウ柄キーケース</v>
      </c>
      <c r="W92" s="12" t="str">
        <f t="shared" si="163"/>
        <v>サンリオヒョウ柄キーケース</v>
      </c>
      <c r="X92" s="12" t="str">
        <f t="shared" si="163"/>
        <v>サンリオヒョウ柄キーケース</v>
      </c>
      <c r="Y92" s="12" t="str">
        <f t="shared" si="163"/>
        <v>サンリオヒョウ柄キーケース</v>
      </c>
      <c r="Z92" s="12" t="str">
        <f t="shared" si="163"/>
        <v>サンリオヒョウ柄キーケース</v>
      </c>
      <c r="AA92" s="12" t="str">
        <f t="shared" si="163"/>
        <v>サンリオヒョウ柄キーケース</v>
      </c>
      <c r="AB92" s="12" t="str">
        <f t="shared" si="163"/>
        <v>サンリオヒョウ柄キーケース</v>
      </c>
      <c r="AC92" s="12" t="str">
        <f t="shared" si="163"/>
        <v>サンリオヒョウ柄キーケース</v>
      </c>
      <c r="AD92" s="75" t="str">
        <f t="shared" si="163"/>
        <v>サンリオヒョウ柄キーケース</v>
      </c>
      <c r="AE92" s="12" t="str">
        <f t="shared" si="163"/>
        <v>サンリオヒョウ柄キーケース</v>
      </c>
      <c r="AF92" s="12" t="str">
        <f t="shared" si="163"/>
        <v>サンリオヒョウ柄キーケース</v>
      </c>
      <c r="AG92" s="12" t="str">
        <f t="shared" si="163"/>
        <v/>
      </c>
      <c r="AH92" s="12" t="str">
        <f t="shared" si="163"/>
        <v/>
      </c>
      <c r="AI92" s="12" t="str">
        <f t="shared" si="163"/>
        <v/>
      </c>
      <c r="AJ92" s="12" t="str">
        <f t="shared" si="163"/>
        <v/>
      </c>
      <c r="AK92" s="12" t="str">
        <f t="shared" si="163"/>
        <v/>
      </c>
      <c r="AL92" s="12" t="str">
        <f t="shared" si="163"/>
        <v/>
      </c>
      <c r="AM92" s="12" t="str">
        <f t="shared" ref="AM92:AS92" si="164">IF(AM$3="","",AL92)</f>
        <v/>
      </c>
      <c r="AN92" s="12" t="str">
        <f t="shared" si="164"/>
        <v/>
      </c>
      <c r="AO92" s="12" t="str">
        <f t="shared" si="164"/>
        <v/>
      </c>
      <c r="AP92" s="12" t="str">
        <f t="shared" si="164"/>
        <v/>
      </c>
      <c r="AQ92" s="12" t="str">
        <f t="shared" si="164"/>
        <v/>
      </c>
      <c r="AR92" s="12" t="str">
        <f t="shared" si="164"/>
        <v/>
      </c>
      <c r="AS92" s="12" t="str">
        <f t="shared" si="164"/>
        <v/>
      </c>
    </row>
    <row r="93" spans="1:45" s="1" customFormat="1" ht="11">
      <c r="A93" s="7">
        <f>AVERAGE(C94:AS94)*30*100</f>
        <v>35200</v>
      </c>
      <c r="B93" s="9" t="s">
        <v>14</v>
      </c>
      <c r="C93" s="74"/>
      <c r="D93" s="8"/>
      <c r="E93" s="8"/>
      <c r="F93" s="59"/>
      <c r="G93" s="8"/>
      <c r="H93" s="8"/>
      <c r="I93" s="59"/>
      <c r="J93" s="8"/>
      <c r="K93" s="8"/>
      <c r="L93" s="59"/>
      <c r="M93" s="8"/>
      <c r="N93" s="8"/>
      <c r="O93" s="8"/>
      <c r="P93" s="59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74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s="1" customFormat="1" ht="11">
      <c r="A94" s="7">
        <f>SUM(C94:AS94)</f>
        <v>352</v>
      </c>
      <c r="B94" s="6" t="s">
        <v>15</v>
      </c>
      <c r="C94" s="74">
        <v>0</v>
      </c>
      <c r="D94" s="5">
        <f t="shared" ref="D94:AL94" si="165">IF(D$3="","",D87-C87)</f>
        <v>0</v>
      </c>
      <c r="E94" s="5">
        <f t="shared" si="165"/>
        <v>74</v>
      </c>
      <c r="F94" s="59">
        <f t="shared" si="165"/>
        <v>0</v>
      </c>
      <c r="G94" s="5">
        <f t="shared" si="165"/>
        <v>0</v>
      </c>
      <c r="H94" s="5">
        <f t="shared" si="165"/>
        <v>34</v>
      </c>
      <c r="I94" s="59">
        <f t="shared" si="165"/>
        <v>0</v>
      </c>
      <c r="J94" s="5">
        <f t="shared" si="165"/>
        <v>0</v>
      </c>
      <c r="K94" s="5">
        <f t="shared" si="165"/>
        <v>91</v>
      </c>
      <c r="L94" s="59">
        <f t="shared" si="165"/>
        <v>0</v>
      </c>
      <c r="M94" s="5">
        <f t="shared" si="165"/>
        <v>0</v>
      </c>
      <c r="N94" s="5">
        <f t="shared" si="165"/>
        <v>0</v>
      </c>
      <c r="O94" s="5">
        <f t="shared" si="165"/>
        <v>27</v>
      </c>
      <c r="P94" s="59">
        <f t="shared" si="165"/>
        <v>0</v>
      </c>
      <c r="Q94" s="5">
        <f t="shared" si="165"/>
        <v>0</v>
      </c>
      <c r="R94" s="5">
        <f t="shared" si="165"/>
        <v>26</v>
      </c>
      <c r="S94" s="5">
        <f t="shared" si="165"/>
        <v>0</v>
      </c>
      <c r="T94" s="5">
        <f t="shared" si="165"/>
        <v>0</v>
      </c>
      <c r="U94" s="5">
        <f t="shared" si="165"/>
        <v>0</v>
      </c>
      <c r="V94" s="5">
        <f t="shared" si="165"/>
        <v>3</v>
      </c>
      <c r="W94" s="5">
        <f t="shared" si="165"/>
        <v>0</v>
      </c>
      <c r="X94" s="5">
        <f t="shared" si="165"/>
        <v>0</v>
      </c>
      <c r="Y94" s="5">
        <f t="shared" si="165"/>
        <v>30</v>
      </c>
      <c r="Z94" s="5">
        <f t="shared" si="165"/>
        <v>0</v>
      </c>
      <c r="AA94" s="5">
        <f t="shared" si="165"/>
        <v>0</v>
      </c>
      <c r="AB94" s="5">
        <f t="shared" si="165"/>
        <v>0</v>
      </c>
      <c r="AC94" s="5">
        <f t="shared" si="165"/>
        <v>19</v>
      </c>
      <c r="AD94" s="74">
        <f t="shared" si="165"/>
        <v>0</v>
      </c>
      <c r="AE94" s="5">
        <f t="shared" si="165"/>
        <v>0</v>
      </c>
      <c r="AF94" s="5">
        <f t="shared" si="165"/>
        <v>48</v>
      </c>
      <c r="AG94" s="5" t="str">
        <f t="shared" si="165"/>
        <v/>
      </c>
      <c r="AH94" s="5" t="str">
        <f t="shared" si="165"/>
        <v/>
      </c>
      <c r="AI94" s="5" t="str">
        <f t="shared" si="165"/>
        <v/>
      </c>
      <c r="AJ94" s="5" t="str">
        <f t="shared" si="165"/>
        <v/>
      </c>
      <c r="AK94" s="5" t="str">
        <f t="shared" si="165"/>
        <v/>
      </c>
      <c r="AL94" s="5" t="str">
        <f t="shared" si="165"/>
        <v/>
      </c>
      <c r="AM94" s="5" t="str">
        <f t="shared" ref="AM94:AS94" si="166">IF(AM$3="","",AM87-AL87)</f>
        <v/>
      </c>
      <c r="AN94" s="5" t="str">
        <f t="shared" si="166"/>
        <v/>
      </c>
      <c r="AO94" s="5" t="str">
        <f t="shared" si="166"/>
        <v/>
      </c>
      <c r="AP94" s="5" t="str">
        <f t="shared" si="166"/>
        <v/>
      </c>
      <c r="AQ94" s="5" t="str">
        <f t="shared" si="166"/>
        <v/>
      </c>
      <c r="AR94" s="5" t="str">
        <f t="shared" si="166"/>
        <v/>
      </c>
      <c r="AS94" s="5" t="str">
        <f t="shared" si="166"/>
        <v/>
      </c>
    </row>
    <row r="95" spans="1:45" s="1" customFormat="1" ht="11">
      <c r="A95" s="7">
        <f>SUM(C95:AS95)</f>
        <v>4</v>
      </c>
      <c r="B95" s="6" t="s">
        <v>16</v>
      </c>
      <c r="C95" s="74">
        <v>0</v>
      </c>
      <c r="D95" s="5">
        <f t="shared" ref="D95:AL95" si="167">IF(D$3="","",D88-C88)</f>
        <v>0</v>
      </c>
      <c r="E95" s="5">
        <f t="shared" si="167"/>
        <v>0</v>
      </c>
      <c r="F95" s="59">
        <f t="shared" si="167"/>
        <v>0</v>
      </c>
      <c r="G95" s="5">
        <f t="shared" si="167"/>
        <v>0</v>
      </c>
      <c r="H95" s="5">
        <f t="shared" si="167"/>
        <v>0</v>
      </c>
      <c r="I95" s="59">
        <f t="shared" si="167"/>
        <v>0</v>
      </c>
      <c r="J95" s="5">
        <f t="shared" si="167"/>
        <v>0</v>
      </c>
      <c r="K95" s="5">
        <f t="shared" si="167"/>
        <v>0</v>
      </c>
      <c r="L95" s="59">
        <f t="shared" si="167"/>
        <v>0</v>
      </c>
      <c r="M95" s="5">
        <f t="shared" si="167"/>
        <v>0</v>
      </c>
      <c r="N95" s="5">
        <f t="shared" si="167"/>
        <v>0</v>
      </c>
      <c r="O95" s="5">
        <f t="shared" si="167"/>
        <v>0</v>
      </c>
      <c r="P95" s="59">
        <f t="shared" si="167"/>
        <v>0</v>
      </c>
      <c r="Q95" s="5">
        <f t="shared" si="167"/>
        <v>0</v>
      </c>
      <c r="R95" s="5">
        <f t="shared" si="167"/>
        <v>1</v>
      </c>
      <c r="S95" s="5">
        <f t="shared" si="167"/>
        <v>0</v>
      </c>
      <c r="T95" s="5">
        <f t="shared" si="167"/>
        <v>0</v>
      </c>
      <c r="U95" s="5">
        <f t="shared" si="167"/>
        <v>0</v>
      </c>
      <c r="V95" s="5">
        <f t="shared" si="167"/>
        <v>0</v>
      </c>
      <c r="W95" s="5">
        <f t="shared" si="167"/>
        <v>0</v>
      </c>
      <c r="X95" s="5">
        <f t="shared" si="167"/>
        <v>0</v>
      </c>
      <c r="Y95" s="5">
        <f t="shared" si="167"/>
        <v>2</v>
      </c>
      <c r="Z95" s="5">
        <f t="shared" si="167"/>
        <v>0</v>
      </c>
      <c r="AA95" s="5">
        <f t="shared" si="167"/>
        <v>0</v>
      </c>
      <c r="AB95" s="5">
        <f t="shared" si="167"/>
        <v>0</v>
      </c>
      <c r="AC95" s="5">
        <f t="shared" si="167"/>
        <v>0</v>
      </c>
      <c r="AD95" s="74">
        <f t="shared" si="167"/>
        <v>0</v>
      </c>
      <c r="AE95" s="5">
        <f t="shared" si="167"/>
        <v>0</v>
      </c>
      <c r="AF95" s="5">
        <f t="shared" si="167"/>
        <v>1</v>
      </c>
      <c r="AG95" s="5" t="str">
        <f t="shared" si="167"/>
        <v/>
      </c>
      <c r="AH95" s="5" t="str">
        <f t="shared" si="167"/>
        <v/>
      </c>
      <c r="AI95" s="5" t="str">
        <f t="shared" si="167"/>
        <v/>
      </c>
      <c r="AJ95" s="5" t="str">
        <f t="shared" si="167"/>
        <v/>
      </c>
      <c r="AK95" s="5" t="str">
        <f t="shared" si="167"/>
        <v/>
      </c>
      <c r="AL95" s="5" t="str">
        <f t="shared" si="167"/>
        <v/>
      </c>
      <c r="AM95" s="5" t="str">
        <f t="shared" ref="AM95:AS95" si="168">IF(AM$3="","",AM88-AL88)</f>
        <v/>
      </c>
      <c r="AN95" s="5" t="str">
        <f t="shared" si="168"/>
        <v/>
      </c>
      <c r="AO95" s="5" t="str">
        <f t="shared" si="168"/>
        <v/>
      </c>
      <c r="AP95" s="5" t="str">
        <f t="shared" si="168"/>
        <v/>
      </c>
      <c r="AQ95" s="5" t="str">
        <f t="shared" si="168"/>
        <v/>
      </c>
      <c r="AR95" s="5" t="str">
        <f t="shared" si="168"/>
        <v/>
      </c>
      <c r="AS95" s="5" t="str">
        <f t="shared" si="168"/>
        <v/>
      </c>
    </row>
    <row r="96" spans="1:45" s="1" customFormat="1" ht="11">
      <c r="A96" s="7">
        <f>SUM(C96:AS96)</f>
        <v>2</v>
      </c>
      <c r="B96" s="6" t="s">
        <v>17</v>
      </c>
      <c r="C96" s="74">
        <v>0</v>
      </c>
      <c r="D96" s="5">
        <f t="shared" ref="D96:AL96" si="169">IF(D$3="","",C89+C90-D89)</f>
        <v>0</v>
      </c>
      <c r="E96" s="5">
        <f t="shared" si="169"/>
        <v>0</v>
      </c>
      <c r="F96" s="59">
        <f t="shared" si="169"/>
        <v>0</v>
      </c>
      <c r="G96" s="5">
        <f t="shared" si="169"/>
        <v>0</v>
      </c>
      <c r="H96" s="5">
        <f t="shared" si="169"/>
        <v>0</v>
      </c>
      <c r="I96" s="59">
        <f t="shared" si="169"/>
        <v>0</v>
      </c>
      <c r="J96" s="5">
        <f t="shared" si="169"/>
        <v>0</v>
      </c>
      <c r="K96" s="5">
        <f t="shared" si="169"/>
        <v>0</v>
      </c>
      <c r="L96" s="59">
        <f t="shared" si="169"/>
        <v>0</v>
      </c>
      <c r="M96" s="5">
        <f t="shared" si="169"/>
        <v>0</v>
      </c>
      <c r="N96" s="5">
        <f t="shared" si="169"/>
        <v>0</v>
      </c>
      <c r="O96" s="5">
        <f t="shared" si="169"/>
        <v>0</v>
      </c>
      <c r="P96" s="59">
        <f t="shared" si="169"/>
        <v>0</v>
      </c>
      <c r="Q96" s="5">
        <f t="shared" si="169"/>
        <v>0</v>
      </c>
      <c r="R96" s="5">
        <f t="shared" si="169"/>
        <v>1</v>
      </c>
      <c r="S96" s="5">
        <f t="shared" si="169"/>
        <v>0</v>
      </c>
      <c r="T96" s="5">
        <f t="shared" si="169"/>
        <v>0</v>
      </c>
      <c r="U96" s="5">
        <f t="shared" si="169"/>
        <v>0</v>
      </c>
      <c r="V96" s="5">
        <f t="shared" si="169"/>
        <v>0</v>
      </c>
      <c r="W96" s="5">
        <f t="shared" si="169"/>
        <v>0</v>
      </c>
      <c r="X96" s="5">
        <f t="shared" si="169"/>
        <v>0</v>
      </c>
      <c r="Y96" s="5">
        <f t="shared" si="169"/>
        <v>0</v>
      </c>
      <c r="Z96" s="5">
        <f t="shared" si="169"/>
        <v>0</v>
      </c>
      <c r="AA96" s="5">
        <f t="shared" si="169"/>
        <v>0</v>
      </c>
      <c r="AB96" s="5">
        <f t="shared" si="169"/>
        <v>0</v>
      </c>
      <c r="AC96" s="5">
        <f t="shared" si="169"/>
        <v>0</v>
      </c>
      <c r="AD96" s="74">
        <f t="shared" si="169"/>
        <v>0</v>
      </c>
      <c r="AE96" s="5">
        <f t="shared" si="169"/>
        <v>0</v>
      </c>
      <c r="AF96" s="5">
        <f t="shared" si="169"/>
        <v>1</v>
      </c>
      <c r="AG96" s="5" t="str">
        <f t="shared" si="169"/>
        <v/>
      </c>
      <c r="AH96" s="5" t="str">
        <f t="shared" si="169"/>
        <v/>
      </c>
      <c r="AI96" s="5" t="str">
        <f t="shared" si="169"/>
        <v/>
      </c>
      <c r="AJ96" s="5" t="str">
        <f t="shared" si="169"/>
        <v/>
      </c>
      <c r="AK96" s="5" t="str">
        <f t="shared" si="169"/>
        <v/>
      </c>
      <c r="AL96" s="5" t="str">
        <f t="shared" si="169"/>
        <v/>
      </c>
      <c r="AM96" s="5" t="str">
        <f t="shared" ref="AM96:AS96" si="170">IF(AM$3="","",AL89+AL90-AM89)</f>
        <v/>
      </c>
      <c r="AN96" s="5" t="str">
        <f t="shared" si="170"/>
        <v/>
      </c>
      <c r="AO96" s="5" t="str">
        <f t="shared" si="170"/>
        <v/>
      </c>
      <c r="AP96" s="5" t="str">
        <f t="shared" si="170"/>
        <v/>
      </c>
      <c r="AQ96" s="5" t="str">
        <f t="shared" si="170"/>
        <v/>
      </c>
      <c r="AR96" s="5" t="str">
        <f t="shared" si="170"/>
        <v/>
      </c>
      <c r="AS96" s="5" t="str">
        <f t="shared" si="170"/>
        <v/>
      </c>
    </row>
    <row r="97" spans="1:45" s="1" customFormat="1" ht="11">
      <c r="A97" s="7">
        <f>SUM(C97:AS97)</f>
        <v>1500</v>
      </c>
      <c r="B97" s="6" t="s">
        <v>18</v>
      </c>
      <c r="C97" s="74">
        <v>0</v>
      </c>
      <c r="D97" s="5">
        <f t="shared" ref="D97:AL97" si="171">IF(D$3="","",D96*D91)</f>
        <v>0</v>
      </c>
      <c r="E97" s="5">
        <f t="shared" si="171"/>
        <v>0</v>
      </c>
      <c r="F97" s="59">
        <f t="shared" si="171"/>
        <v>0</v>
      </c>
      <c r="G97" s="5">
        <f t="shared" si="171"/>
        <v>0</v>
      </c>
      <c r="H97" s="5">
        <f t="shared" si="171"/>
        <v>0</v>
      </c>
      <c r="I97" s="59">
        <f t="shared" si="171"/>
        <v>0</v>
      </c>
      <c r="J97" s="5">
        <f t="shared" si="171"/>
        <v>0</v>
      </c>
      <c r="K97" s="5">
        <f t="shared" si="171"/>
        <v>0</v>
      </c>
      <c r="L97" s="59">
        <f t="shared" si="171"/>
        <v>0</v>
      </c>
      <c r="M97" s="5">
        <f t="shared" si="171"/>
        <v>0</v>
      </c>
      <c r="N97" s="5">
        <f t="shared" si="171"/>
        <v>0</v>
      </c>
      <c r="O97" s="5">
        <f t="shared" si="171"/>
        <v>0</v>
      </c>
      <c r="P97" s="59">
        <f t="shared" si="171"/>
        <v>0</v>
      </c>
      <c r="Q97" s="5">
        <f t="shared" si="171"/>
        <v>0</v>
      </c>
      <c r="R97" s="5">
        <f t="shared" si="171"/>
        <v>750</v>
      </c>
      <c r="S97" s="5">
        <f t="shared" si="171"/>
        <v>0</v>
      </c>
      <c r="T97" s="5">
        <f t="shared" si="171"/>
        <v>0</v>
      </c>
      <c r="U97" s="5">
        <f t="shared" si="171"/>
        <v>0</v>
      </c>
      <c r="V97" s="5">
        <f t="shared" si="171"/>
        <v>0</v>
      </c>
      <c r="W97" s="5">
        <f t="shared" si="171"/>
        <v>0</v>
      </c>
      <c r="X97" s="5">
        <f t="shared" si="171"/>
        <v>0</v>
      </c>
      <c r="Y97" s="5">
        <f t="shared" si="171"/>
        <v>0</v>
      </c>
      <c r="Z97" s="5">
        <f t="shared" si="171"/>
        <v>0</v>
      </c>
      <c r="AA97" s="5">
        <f t="shared" si="171"/>
        <v>0</v>
      </c>
      <c r="AB97" s="5">
        <f t="shared" si="171"/>
        <v>0</v>
      </c>
      <c r="AC97" s="5">
        <f t="shared" si="171"/>
        <v>0</v>
      </c>
      <c r="AD97" s="74">
        <f t="shared" si="171"/>
        <v>0</v>
      </c>
      <c r="AE97" s="5">
        <f t="shared" si="171"/>
        <v>0</v>
      </c>
      <c r="AF97" s="5">
        <f t="shared" si="171"/>
        <v>750</v>
      </c>
      <c r="AG97" s="5" t="str">
        <f t="shared" si="171"/>
        <v/>
      </c>
      <c r="AH97" s="5" t="str">
        <f t="shared" si="171"/>
        <v/>
      </c>
      <c r="AI97" s="5" t="str">
        <f t="shared" si="171"/>
        <v/>
      </c>
      <c r="AJ97" s="5" t="str">
        <f t="shared" si="171"/>
        <v/>
      </c>
      <c r="AK97" s="5" t="str">
        <f t="shared" si="171"/>
        <v/>
      </c>
      <c r="AL97" s="5" t="str">
        <f t="shared" si="171"/>
        <v/>
      </c>
      <c r="AM97" s="5" t="str">
        <f t="shared" ref="AM97:AS97" si="172">IF(AM$3="","",AM96*AM91)</f>
        <v/>
      </c>
      <c r="AN97" s="5" t="str">
        <f t="shared" si="172"/>
        <v/>
      </c>
      <c r="AO97" s="5" t="str">
        <f t="shared" si="172"/>
        <v/>
      </c>
      <c r="AP97" s="5" t="str">
        <f t="shared" si="172"/>
        <v/>
      </c>
      <c r="AQ97" s="5" t="str">
        <f t="shared" si="172"/>
        <v/>
      </c>
      <c r="AR97" s="5" t="str">
        <f t="shared" si="172"/>
        <v/>
      </c>
      <c r="AS97" s="5" t="str">
        <f t="shared" si="172"/>
        <v/>
      </c>
    </row>
    <row r="98" spans="1:45" s="1" customFormat="1" ht="12" thickBot="1">
      <c r="A98" s="4">
        <f>IF(A97="","",A97/(A94*100))</f>
        <v>4.261363636363636E-2</v>
      </c>
      <c r="B98" s="3" t="s">
        <v>20</v>
      </c>
      <c r="C98" s="77" t="s">
        <v>21</v>
      </c>
      <c r="D98" s="2" t="str">
        <f t="shared" ref="D98:AL98" si="173">IF(D$3="","",IF(D97=0,"",D97/(D94*100)))</f>
        <v/>
      </c>
      <c r="E98" s="2" t="str">
        <f t="shared" si="173"/>
        <v/>
      </c>
      <c r="F98" s="57" t="str">
        <f t="shared" si="173"/>
        <v/>
      </c>
      <c r="G98" s="2" t="str">
        <f t="shared" si="173"/>
        <v/>
      </c>
      <c r="H98" s="2" t="str">
        <f t="shared" si="173"/>
        <v/>
      </c>
      <c r="I98" s="57" t="str">
        <f t="shared" si="173"/>
        <v/>
      </c>
      <c r="J98" s="2" t="str">
        <f t="shared" si="173"/>
        <v/>
      </c>
      <c r="K98" s="2" t="str">
        <f t="shared" si="173"/>
        <v/>
      </c>
      <c r="L98" s="57" t="str">
        <f t="shared" si="173"/>
        <v/>
      </c>
      <c r="M98" s="2" t="str">
        <f t="shared" si="173"/>
        <v/>
      </c>
      <c r="N98" s="2" t="str">
        <f t="shared" si="173"/>
        <v/>
      </c>
      <c r="O98" s="2" t="str">
        <f t="shared" si="173"/>
        <v/>
      </c>
      <c r="P98" s="57" t="str">
        <f t="shared" si="173"/>
        <v/>
      </c>
      <c r="Q98" s="2" t="str">
        <f t="shared" si="173"/>
        <v/>
      </c>
      <c r="R98" s="2">
        <f t="shared" si="173"/>
        <v>0.28846153846153844</v>
      </c>
      <c r="S98" s="2" t="str">
        <f t="shared" si="173"/>
        <v/>
      </c>
      <c r="T98" s="2" t="str">
        <f t="shared" si="173"/>
        <v/>
      </c>
      <c r="U98" s="2" t="str">
        <f t="shared" si="173"/>
        <v/>
      </c>
      <c r="V98" s="2" t="str">
        <f t="shared" si="173"/>
        <v/>
      </c>
      <c r="W98" s="2" t="str">
        <f t="shared" si="173"/>
        <v/>
      </c>
      <c r="X98" s="2" t="str">
        <f t="shared" si="173"/>
        <v/>
      </c>
      <c r="Y98" s="2" t="str">
        <f t="shared" si="173"/>
        <v/>
      </c>
      <c r="Z98" s="2" t="str">
        <f t="shared" si="173"/>
        <v/>
      </c>
      <c r="AA98" s="2" t="str">
        <f t="shared" si="173"/>
        <v/>
      </c>
      <c r="AB98" s="2" t="str">
        <f t="shared" si="173"/>
        <v/>
      </c>
      <c r="AC98" s="2" t="str">
        <f t="shared" si="173"/>
        <v/>
      </c>
      <c r="AD98" s="77" t="str">
        <f t="shared" si="173"/>
        <v/>
      </c>
      <c r="AE98" s="2" t="str">
        <f t="shared" si="173"/>
        <v/>
      </c>
      <c r="AF98" s="2">
        <f t="shared" si="173"/>
        <v>0.15625</v>
      </c>
      <c r="AG98" s="2" t="str">
        <f t="shared" si="173"/>
        <v/>
      </c>
      <c r="AH98" s="2" t="str">
        <f t="shared" si="173"/>
        <v/>
      </c>
      <c r="AI98" s="2" t="str">
        <f t="shared" si="173"/>
        <v/>
      </c>
      <c r="AJ98" s="2" t="str">
        <f t="shared" si="173"/>
        <v/>
      </c>
      <c r="AK98" s="2" t="str">
        <f t="shared" si="173"/>
        <v/>
      </c>
      <c r="AL98" s="2" t="str">
        <f t="shared" si="173"/>
        <v/>
      </c>
      <c r="AM98" s="2" t="str">
        <f t="shared" ref="AM98:AS98" si="174">IF(AM$3="","",IF(AM97=0,"",AM97/(AM94*100)))</f>
        <v/>
      </c>
      <c r="AN98" s="2" t="str">
        <f t="shared" si="174"/>
        <v/>
      </c>
      <c r="AO98" s="2" t="str">
        <f t="shared" si="174"/>
        <v/>
      </c>
      <c r="AP98" s="2" t="str">
        <f t="shared" si="174"/>
        <v/>
      </c>
      <c r="AQ98" s="2" t="str">
        <f t="shared" si="174"/>
        <v/>
      </c>
      <c r="AR98" s="2" t="str">
        <f t="shared" si="174"/>
        <v/>
      </c>
      <c r="AS98" s="2" t="str">
        <f t="shared" si="174"/>
        <v/>
      </c>
    </row>
    <row r="99" spans="1:45" s="1" customFormat="1" ht="11">
      <c r="A99" s="22" t="s">
        <v>61</v>
      </c>
      <c r="B99" s="21" t="s">
        <v>2</v>
      </c>
      <c r="C99" s="73">
        <v>2788</v>
      </c>
      <c r="D99" s="20">
        <f>IF(D$3="","",C99)</f>
        <v>2788</v>
      </c>
      <c r="E99" s="20">
        <v>2828</v>
      </c>
      <c r="F99" s="130">
        <f>IF(F$3="","",E99)</f>
        <v>2828</v>
      </c>
      <c r="G99" s="20">
        <f>IF(G$3="","",F99)</f>
        <v>2828</v>
      </c>
      <c r="H99" s="20">
        <v>2853</v>
      </c>
      <c r="I99" s="130">
        <f>IF(I$3="","",H99)</f>
        <v>2853</v>
      </c>
      <c r="J99" s="20">
        <f>IF(J$3="","",I99)</f>
        <v>2853</v>
      </c>
      <c r="K99" s="20">
        <v>2885</v>
      </c>
      <c r="L99" s="130">
        <f t="shared" ref="L99:N100" si="175">IF(L$3="","",K99)</f>
        <v>2885</v>
      </c>
      <c r="M99" s="20">
        <f t="shared" si="175"/>
        <v>2885</v>
      </c>
      <c r="N99" s="20">
        <f t="shared" si="175"/>
        <v>2885</v>
      </c>
      <c r="O99" s="20">
        <v>2923</v>
      </c>
      <c r="P99" s="130">
        <f>IF(P$3="","",O99)</f>
        <v>2923</v>
      </c>
      <c r="Q99" s="20">
        <f>IF(Q$3="","",P99)</f>
        <v>2923</v>
      </c>
      <c r="R99" s="20">
        <v>2963</v>
      </c>
      <c r="S99" s="20">
        <f t="shared" ref="S99:AL99" si="176">IF(S$3="","",R99)</f>
        <v>2963</v>
      </c>
      <c r="T99" s="20">
        <f t="shared" si="176"/>
        <v>2963</v>
      </c>
      <c r="U99" s="20">
        <f t="shared" si="176"/>
        <v>2963</v>
      </c>
      <c r="V99" s="20">
        <v>2981</v>
      </c>
      <c r="W99" s="20">
        <f t="shared" si="176"/>
        <v>2981</v>
      </c>
      <c r="X99" s="20">
        <f t="shared" si="176"/>
        <v>2981</v>
      </c>
      <c r="Y99" s="20">
        <v>3004</v>
      </c>
      <c r="Z99" s="20">
        <f t="shared" si="176"/>
        <v>3004</v>
      </c>
      <c r="AA99" s="20">
        <f t="shared" si="176"/>
        <v>3004</v>
      </c>
      <c r="AB99" s="20">
        <f t="shared" si="176"/>
        <v>3004</v>
      </c>
      <c r="AC99" s="20">
        <v>3031</v>
      </c>
      <c r="AD99" s="73">
        <f t="shared" si="176"/>
        <v>3031</v>
      </c>
      <c r="AE99" s="20">
        <f t="shared" si="176"/>
        <v>3031</v>
      </c>
      <c r="AF99" s="20">
        <v>3081</v>
      </c>
      <c r="AG99" s="20" t="str">
        <f t="shared" si="176"/>
        <v/>
      </c>
      <c r="AH99" s="20" t="str">
        <f t="shared" si="176"/>
        <v/>
      </c>
      <c r="AI99" s="20" t="str">
        <f t="shared" si="176"/>
        <v/>
      </c>
      <c r="AJ99" s="20" t="str">
        <f t="shared" si="176"/>
        <v/>
      </c>
      <c r="AK99" s="20" t="str">
        <f t="shared" si="176"/>
        <v/>
      </c>
      <c r="AL99" s="20" t="str">
        <f t="shared" si="176"/>
        <v/>
      </c>
      <c r="AM99" s="20" t="str">
        <f t="shared" ref="AM99:AS99" si="177">IF(AM$3="","",AL99)</f>
        <v/>
      </c>
      <c r="AN99" s="20" t="str">
        <f t="shared" si="177"/>
        <v/>
      </c>
      <c r="AO99" s="20" t="str">
        <f t="shared" si="177"/>
        <v/>
      </c>
      <c r="AP99" s="20" t="str">
        <f t="shared" si="177"/>
        <v/>
      </c>
      <c r="AQ99" s="20" t="str">
        <f t="shared" si="177"/>
        <v/>
      </c>
      <c r="AR99" s="20" t="str">
        <f t="shared" si="177"/>
        <v/>
      </c>
      <c r="AS99" s="20" t="str">
        <f t="shared" si="177"/>
        <v/>
      </c>
    </row>
    <row r="100" spans="1:45" s="1" customFormat="1" ht="11">
      <c r="A100" s="16" t="s">
        <v>37</v>
      </c>
      <c r="B100" s="9" t="s">
        <v>4</v>
      </c>
      <c r="C100" s="74">
        <v>93</v>
      </c>
      <c r="D100" s="8">
        <f>IF(D$3="","",C100)</f>
        <v>93</v>
      </c>
      <c r="E100" s="8">
        <f>IF(E$3="","",D100)</f>
        <v>93</v>
      </c>
      <c r="F100" s="59">
        <f>IF(F$3="","",E100)</f>
        <v>93</v>
      </c>
      <c r="G100" s="8">
        <f>IF(G$3="","",F100)</f>
        <v>93</v>
      </c>
      <c r="H100" s="8">
        <v>94</v>
      </c>
      <c r="I100" s="59">
        <f>IF(I$3="","",H100)</f>
        <v>94</v>
      </c>
      <c r="J100" s="8">
        <f>IF(J$3="","",I100)</f>
        <v>94</v>
      </c>
      <c r="K100" s="8">
        <f>IF(K$3="","",J100)</f>
        <v>94</v>
      </c>
      <c r="L100" s="59">
        <f t="shared" si="175"/>
        <v>94</v>
      </c>
      <c r="M100" s="8">
        <f t="shared" si="175"/>
        <v>94</v>
      </c>
      <c r="N100" s="8">
        <f t="shared" si="175"/>
        <v>94</v>
      </c>
      <c r="O100" s="8">
        <v>95</v>
      </c>
      <c r="P100" s="59">
        <f>IF(P$3="","",O100)</f>
        <v>95</v>
      </c>
      <c r="Q100" s="8">
        <f>IF(Q$3="","",P100)</f>
        <v>95</v>
      </c>
      <c r="R100" s="8">
        <f>IF(R$3="","",Q100)</f>
        <v>95</v>
      </c>
      <c r="S100" s="8">
        <f t="shared" ref="S100:AL100" si="178">IF(S$3="","",R100)</f>
        <v>95</v>
      </c>
      <c r="T100" s="8">
        <f t="shared" si="178"/>
        <v>95</v>
      </c>
      <c r="U100" s="8">
        <f t="shared" si="178"/>
        <v>95</v>
      </c>
      <c r="V100" s="8">
        <f t="shared" si="178"/>
        <v>95</v>
      </c>
      <c r="W100" s="8">
        <f t="shared" si="178"/>
        <v>95</v>
      </c>
      <c r="X100" s="8">
        <f t="shared" si="178"/>
        <v>95</v>
      </c>
      <c r="Y100" s="8">
        <v>96</v>
      </c>
      <c r="Z100" s="8">
        <f t="shared" si="178"/>
        <v>96</v>
      </c>
      <c r="AA100" s="8">
        <f t="shared" si="178"/>
        <v>96</v>
      </c>
      <c r="AB100" s="8">
        <f t="shared" si="178"/>
        <v>96</v>
      </c>
      <c r="AC100" s="8">
        <v>98</v>
      </c>
      <c r="AD100" s="74">
        <f t="shared" si="178"/>
        <v>98</v>
      </c>
      <c r="AE100" s="8">
        <f t="shared" si="178"/>
        <v>98</v>
      </c>
      <c r="AF100" s="8">
        <v>105</v>
      </c>
      <c r="AG100" s="8" t="str">
        <f t="shared" si="178"/>
        <v/>
      </c>
      <c r="AH100" s="8" t="str">
        <f t="shared" si="178"/>
        <v/>
      </c>
      <c r="AI100" s="8" t="str">
        <f t="shared" si="178"/>
        <v/>
      </c>
      <c r="AJ100" s="8" t="str">
        <f t="shared" si="178"/>
        <v/>
      </c>
      <c r="AK100" s="8" t="str">
        <f t="shared" si="178"/>
        <v/>
      </c>
      <c r="AL100" s="8" t="str">
        <f t="shared" si="178"/>
        <v/>
      </c>
      <c r="AM100" s="8" t="str">
        <f t="shared" ref="AM100:AS100" si="179">IF(AM$3="","",AL100)</f>
        <v/>
      </c>
      <c r="AN100" s="8" t="str">
        <f t="shared" si="179"/>
        <v/>
      </c>
      <c r="AO100" s="8" t="str">
        <f t="shared" si="179"/>
        <v/>
      </c>
      <c r="AP100" s="8" t="str">
        <f t="shared" si="179"/>
        <v/>
      </c>
      <c r="AQ100" s="8" t="str">
        <f t="shared" si="179"/>
        <v/>
      </c>
      <c r="AR100" s="8" t="str">
        <f t="shared" si="179"/>
        <v/>
      </c>
      <c r="AS100" s="8" t="str">
        <f t="shared" si="179"/>
        <v/>
      </c>
    </row>
    <row r="101" spans="1:45" s="1" customFormat="1" ht="11">
      <c r="A101" s="15">
        <v>1</v>
      </c>
      <c r="B101" s="9" t="s">
        <v>5</v>
      </c>
      <c r="C101" s="74">
        <v>5</v>
      </c>
      <c r="D101" s="8">
        <f>IF(D$3="","",(C101+C102))</f>
        <v>5</v>
      </c>
      <c r="E101" s="8">
        <f>IF(E$3="","",(D101+D102))</f>
        <v>5</v>
      </c>
      <c r="F101" s="59">
        <f>IF(F$3="","",(E101+E102))</f>
        <v>5</v>
      </c>
      <c r="G101" s="8">
        <f>IF(G$3="","",(F101+F102))</f>
        <v>5</v>
      </c>
      <c r="H101" s="8">
        <v>4</v>
      </c>
      <c r="I101" s="59">
        <f t="shared" ref="I101:N101" si="180">IF(I$3="","",(H101+H102))</f>
        <v>5</v>
      </c>
      <c r="J101" s="8">
        <f t="shared" si="180"/>
        <v>5</v>
      </c>
      <c r="K101" s="8">
        <f t="shared" si="180"/>
        <v>5</v>
      </c>
      <c r="L101" s="59">
        <f t="shared" si="180"/>
        <v>5</v>
      </c>
      <c r="M101" s="8">
        <f t="shared" si="180"/>
        <v>5</v>
      </c>
      <c r="N101" s="8">
        <f t="shared" si="180"/>
        <v>5</v>
      </c>
      <c r="O101" s="8">
        <v>4</v>
      </c>
      <c r="P101" s="59">
        <f t="shared" ref="P101:AL101" si="181">IF(P$3="","",(O101+O102))</f>
        <v>5</v>
      </c>
      <c r="Q101" s="8">
        <f t="shared" si="181"/>
        <v>5</v>
      </c>
      <c r="R101" s="8">
        <f t="shared" si="181"/>
        <v>5</v>
      </c>
      <c r="S101" s="8">
        <f t="shared" si="181"/>
        <v>5</v>
      </c>
      <c r="T101" s="8">
        <f t="shared" si="181"/>
        <v>5</v>
      </c>
      <c r="U101" s="8">
        <f t="shared" si="181"/>
        <v>5</v>
      </c>
      <c r="V101" s="8">
        <f t="shared" si="181"/>
        <v>5</v>
      </c>
      <c r="W101" s="8">
        <f t="shared" si="181"/>
        <v>5</v>
      </c>
      <c r="X101" s="8">
        <f t="shared" si="181"/>
        <v>5</v>
      </c>
      <c r="Y101" s="8">
        <v>4</v>
      </c>
      <c r="Z101" s="8">
        <f t="shared" si="181"/>
        <v>39</v>
      </c>
      <c r="AA101" s="8">
        <f t="shared" si="181"/>
        <v>39</v>
      </c>
      <c r="AB101" s="8">
        <f t="shared" si="181"/>
        <v>39</v>
      </c>
      <c r="AC101" s="8">
        <v>37</v>
      </c>
      <c r="AD101" s="74">
        <f t="shared" si="181"/>
        <v>37</v>
      </c>
      <c r="AE101" s="8">
        <f t="shared" si="181"/>
        <v>37</v>
      </c>
      <c r="AF101" s="8">
        <v>30</v>
      </c>
      <c r="AG101" s="8" t="str">
        <f t="shared" si="181"/>
        <v/>
      </c>
      <c r="AH101" s="8" t="str">
        <f t="shared" si="181"/>
        <v/>
      </c>
      <c r="AI101" s="8" t="str">
        <f t="shared" si="181"/>
        <v/>
      </c>
      <c r="AJ101" s="8" t="str">
        <f t="shared" si="181"/>
        <v/>
      </c>
      <c r="AK101" s="8" t="str">
        <f t="shared" si="181"/>
        <v/>
      </c>
      <c r="AL101" s="8" t="str">
        <f t="shared" si="181"/>
        <v/>
      </c>
      <c r="AM101" s="8" t="str">
        <f t="shared" ref="AM101:AS101" si="182">IF(AM$3="","",(AL101+AL102))</f>
        <v/>
      </c>
      <c r="AN101" s="8" t="str">
        <f t="shared" si="182"/>
        <v/>
      </c>
      <c r="AO101" s="8" t="str">
        <f t="shared" si="182"/>
        <v/>
      </c>
      <c r="AP101" s="8" t="str">
        <f t="shared" si="182"/>
        <v/>
      </c>
      <c r="AQ101" s="8" t="str">
        <f t="shared" si="182"/>
        <v/>
      </c>
      <c r="AR101" s="8" t="str">
        <f t="shared" si="182"/>
        <v/>
      </c>
      <c r="AS101" s="8" t="str">
        <f t="shared" si="182"/>
        <v/>
      </c>
    </row>
    <row r="102" spans="1:45" s="1" customFormat="1" ht="11">
      <c r="A102" s="101" t="s">
        <v>6</v>
      </c>
      <c r="B102" s="9" t="s">
        <v>7</v>
      </c>
      <c r="C102" s="74"/>
      <c r="D102" s="8"/>
      <c r="E102" s="8"/>
      <c r="F102" s="59"/>
      <c r="G102" s="8"/>
      <c r="H102" s="8">
        <v>1</v>
      </c>
      <c r="I102" s="59"/>
      <c r="J102" s="8"/>
      <c r="K102" s="8"/>
      <c r="L102" s="59"/>
      <c r="M102" s="8"/>
      <c r="N102" s="8"/>
      <c r="O102" s="8">
        <v>1</v>
      </c>
      <c r="P102" s="59"/>
      <c r="Q102" s="8"/>
      <c r="R102" s="8"/>
      <c r="S102" s="8"/>
      <c r="T102" s="8"/>
      <c r="U102" s="8"/>
      <c r="V102" s="8"/>
      <c r="W102" s="8"/>
      <c r="X102" s="8"/>
      <c r="Y102" s="8">
        <v>35</v>
      </c>
      <c r="Z102" s="8"/>
      <c r="AA102" s="8"/>
      <c r="AB102" s="8"/>
      <c r="AC102" s="8"/>
      <c r="AD102" s="74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</row>
    <row r="103" spans="1:45" s="1" customFormat="1" ht="11">
      <c r="A103" s="102">
        <f>+(A106+A118+A130+A142)*100</f>
        <v>185900</v>
      </c>
      <c r="B103" s="9" t="s">
        <v>8</v>
      </c>
      <c r="C103" s="74">
        <v>750</v>
      </c>
      <c r="D103" s="8">
        <f t="shared" ref="D103:AL103" si="183">IF(D$3="","",C103)</f>
        <v>750</v>
      </c>
      <c r="E103" s="8">
        <f t="shared" si="183"/>
        <v>750</v>
      </c>
      <c r="F103" s="59">
        <f t="shared" si="183"/>
        <v>750</v>
      </c>
      <c r="G103" s="8">
        <f t="shared" si="183"/>
        <v>750</v>
      </c>
      <c r="H103" s="8">
        <f t="shared" si="183"/>
        <v>750</v>
      </c>
      <c r="I103" s="59">
        <f t="shared" si="183"/>
        <v>750</v>
      </c>
      <c r="J103" s="8">
        <f t="shared" si="183"/>
        <v>750</v>
      </c>
      <c r="K103" s="8">
        <f t="shared" si="183"/>
        <v>750</v>
      </c>
      <c r="L103" s="59">
        <f t="shared" si="183"/>
        <v>750</v>
      </c>
      <c r="M103" s="8">
        <f t="shared" si="183"/>
        <v>750</v>
      </c>
      <c r="N103" s="8">
        <f t="shared" si="183"/>
        <v>750</v>
      </c>
      <c r="O103" s="8">
        <f t="shared" si="183"/>
        <v>750</v>
      </c>
      <c r="P103" s="59">
        <f t="shared" si="183"/>
        <v>750</v>
      </c>
      <c r="Q103" s="8">
        <f t="shared" si="183"/>
        <v>750</v>
      </c>
      <c r="R103" s="8">
        <f t="shared" si="183"/>
        <v>750</v>
      </c>
      <c r="S103" s="8">
        <f t="shared" si="183"/>
        <v>750</v>
      </c>
      <c r="T103" s="8">
        <f t="shared" si="183"/>
        <v>750</v>
      </c>
      <c r="U103" s="8">
        <f t="shared" si="183"/>
        <v>750</v>
      </c>
      <c r="V103" s="8">
        <f t="shared" si="183"/>
        <v>750</v>
      </c>
      <c r="W103" s="8">
        <f t="shared" si="183"/>
        <v>750</v>
      </c>
      <c r="X103" s="8">
        <f t="shared" si="183"/>
        <v>750</v>
      </c>
      <c r="Y103" s="8">
        <f t="shared" si="183"/>
        <v>750</v>
      </c>
      <c r="Z103" s="8">
        <f t="shared" si="183"/>
        <v>750</v>
      </c>
      <c r="AA103" s="8">
        <f t="shared" si="183"/>
        <v>750</v>
      </c>
      <c r="AB103" s="8">
        <f t="shared" si="183"/>
        <v>750</v>
      </c>
      <c r="AC103" s="8">
        <f t="shared" si="183"/>
        <v>750</v>
      </c>
      <c r="AD103" s="74">
        <f t="shared" si="183"/>
        <v>750</v>
      </c>
      <c r="AE103" s="8">
        <f t="shared" si="183"/>
        <v>750</v>
      </c>
      <c r="AF103" s="8">
        <f t="shared" si="183"/>
        <v>750</v>
      </c>
      <c r="AG103" s="8" t="str">
        <f t="shared" si="183"/>
        <v/>
      </c>
      <c r="AH103" s="8" t="str">
        <f t="shared" si="183"/>
        <v/>
      </c>
      <c r="AI103" s="8" t="str">
        <f t="shared" si="183"/>
        <v/>
      </c>
      <c r="AJ103" s="8" t="str">
        <f t="shared" si="183"/>
        <v/>
      </c>
      <c r="AK103" s="8" t="str">
        <f t="shared" si="183"/>
        <v/>
      </c>
      <c r="AL103" s="8" t="str">
        <f t="shared" si="183"/>
        <v/>
      </c>
      <c r="AM103" s="8" t="str">
        <f t="shared" ref="AM103:AS103" si="184">IF(AM$3="","",AL103)</f>
        <v/>
      </c>
      <c r="AN103" s="8" t="str">
        <f t="shared" si="184"/>
        <v/>
      </c>
      <c r="AO103" s="8" t="str">
        <f t="shared" si="184"/>
        <v/>
      </c>
      <c r="AP103" s="8" t="str">
        <f t="shared" si="184"/>
        <v/>
      </c>
      <c r="AQ103" s="8" t="str">
        <f t="shared" si="184"/>
        <v/>
      </c>
      <c r="AR103" s="8" t="str">
        <f t="shared" si="184"/>
        <v/>
      </c>
      <c r="AS103" s="8" t="str">
        <f t="shared" si="184"/>
        <v/>
      </c>
    </row>
    <row r="104" spans="1:45" s="94" customFormat="1" ht="11">
      <c r="A104" s="14" t="s">
        <v>9</v>
      </c>
      <c r="B104" s="13" t="s">
        <v>10</v>
      </c>
      <c r="C104" s="75" t="s">
        <v>54</v>
      </c>
      <c r="D104" s="12" t="str">
        <f t="shared" ref="D104:AL104" si="185">IF(D$3="","",C104)</f>
        <v>サンリオバンズクリップ</v>
      </c>
      <c r="E104" s="12" t="str">
        <f t="shared" si="185"/>
        <v>サンリオバンズクリップ</v>
      </c>
      <c r="F104" s="131" t="str">
        <f t="shared" si="185"/>
        <v>サンリオバンズクリップ</v>
      </c>
      <c r="G104" s="12" t="str">
        <f t="shared" si="185"/>
        <v>サンリオバンズクリップ</v>
      </c>
      <c r="H104" s="12" t="str">
        <f t="shared" si="185"/>
        <v>サンリオバンズクリップ</v>
      </c>
      <c r="I104" s="131" t="str">
        <f t="shared" si="185"/>
        <v>サンリオバンズクリップ</v>
      </c>
      <c r="J104" s="12" t="str">
        <f t="shared" si="185"/>
        <v>サンリオバンズクリップ</v>
      </c>
      <c r="K104" s="12" t="str">
        <f t="shared" si="185"/>
        <v>サンリオバンズクリップ</v>
      </c>
      <c r="L104" s="131" t="str">
        <f t="shared" si="185"/>
        <v>サンリオバンズクリップ</v>
      </c>
      <c r="M104" s="12" t="str">
        <f t="shared" si="185"/>
        <v>サンリオバンズクリップ</v>
      </c>
      <c r="N104" s="12" t="str">
        <f t="shared" si="185"/>
        <v>サンリオバンズクリップ</v>
      </c>
      <c r="O104" s="12" t="str">
        <f t="shared" si="185"/>
        <v>サンリオバンズクリップ</v>
      </c>
      <c r="P104" s="131" t="str">
        <f t="shared" si="185"/>
        <v>サンリオバンズクリップ</v>
      </c>
      <c r="Q104" s="12" t="str">
        <f t="shared" si="185"/>
        <v>サンリオバンズクリップ</v>
      </c>
      <c r="R104" s="12" t="str">
        <f t="shared" si="185"/>
        <v>サンリオバンズクリップ</v>
      </c>
      <c r="S104" s="12" t="str">
        <f t="shared" si="185"/>
        <v>サンリオバンズクリップ</v>
      </c>
      <c r="T104" s="12" t="str">
        <f t="shared" si="185"/>
        <v>サンリオバンズクリップ</v>
      </c>
      <c r="U104" s="12" t="str">
        <f t="shared" si="185"/>
        <v>サンリオバンズクリップ</v>
      </c>
      <c r="V104" s="12" t="str">
        <f t="shared" si="185"/>
        <v>サンリオバンズクリップ</v>
      </c>
      <c r="W104" s="12" t="str">
        <f t="shared" si="185"/>
        <v>サンリオバンズクリップ</v>
      </c>
      <c r="X104" s="12" t="str">
        <f t="shared" si="185"/>
        <v>サンリオバンズクリップ</v>
      </c>
      <c r="Y104" s="12" t="s">
        <v>42</v>
      </c>
      <c r="Z104" s="12" t="str">
        <f t="shared" si="185"/>
        <v>サンリオブレスレット</v>
      </c>
      <c r="AA104" s="12" t="str">
        <f t="shared" si="185"/>
        <v>サンリオブレスレット</v>
      </c>
      <c r="AB104" s="12" t="str">
        <f t="shared" si="185"/>
        <v>サンリオブレスレット</v>
      </c>
      <c r="AC104" s="12" t="str">
        <f t="shared" si="185"/>
        <v>サンリオブレスレット</v>
      </c>
      <c r="AD104" s="75" t="str">
        <f t="shared" si="185"/>
        <v>サンリオブレスレット</v>
      </c>
      <c r="AE104" s="12" t="str">
        <f t="shared" si="185"/>
        <v>サンリオブレスレット</v>
      </c>
      <c r="AF104" s="12" t="str">
        <f t="shared" si="185"/>
        <v>サンリオブレスレット</v>
      </c>
      <c r="AG104" s="12" t="str">
        <f t="shared" si="185"/>
        <v/>
      </c>
      <c r="AH104" s="12" t="str">
        <f t="shared" si="185"/>
        <v/>
      </c>
      <c r="AI104" s="12" t="str">
        <f t="shared" si="185"/>
        <v/>
      </c>
      <c r="AJ104" s="12" t="str">
        <f t="shared" si="185"/>
        <v/>
      </c>
      <c r="AK104" s="12" t="str">
        <f t="shared" si="185"/>
        <v/>
      </c>
      <c r="AL104" s="12" t="str">
        <f t="shared" si="185"/>
        <v/>
      </c>
      <c r="AM104" s="12" t="str">
        <f t="shared" ref="AM104:AS104" si="186">IF(AM$3="","",AL104)</f>
        <v/>
      </c>
      <c r="AN104" s="12" t="str">
        <f t="shared" si="186"/>
        <v/>
      </c>
      <c r="AO104" s="12" t="str">
        <f t="shared" si="186"/>
        <v/>
      </c>
      <c r="AP104" s="12" t="str">
        <f t="shared" si="186"/>
        <v/>
      </c>
      <c r="AQ104" s="12" t="str">
        <f t="shared" si="186"/>
        <v/>
      </c>
      <c r="AR104" s="12" t="str">
        <f t="shared" si="186"/>
        <v/>
      </c>
      <c r="AS104" s="12" t="str">
        <f t="shared" si="186"/>
        <v/>
      </c>
    </row>
    <row r="105" spans="1:45" s="1" customFormat="1" ht="11">
      <c r="A105" s="7">
        <f>AVERAGE(C106:AS106)*30*100</f>
        <v>29300</v>
      </c>
      <c r="B105" s="9" t="s">
        <v>14</v>
      </c>
      <c r="C105" s="74"/>
      <c r="D105" s="8"/>
      <c r="E105" s="8"/>
      <c r="F105" s="59"/>
      <c r="G105" s="8"/>
      <c r="H105" s="8"/>
      <c r="I105" s="59"/>
      <c r="J105" s="8"/>
      <c r="K105" s="8"/>
      <c r="L105" s="59"/>
      <c r="M105" s="8"/>
      <c r="N105" s="8"/>
      <c r="O105" s="8"/>
      <c r="P105" s="59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74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</row>
    <row r="106" spans="1:45" s="1" customFormat="1" ht="11">
      <c r="A106" s="7">
        <f>SUM(C106:AS106)</f>
        <v>293</v>
      </c>
      <c r="B106" s="6" t="s">
        <v>15</v>
      </c>
      <c r="C106" s="74">
        <v>0</v>
      </c>
      <c r="D106" s="5">
        <f t="shared" ref="D106:AL106" si="187">IF(D$3="","",D99-C99)</f>
        <v>0</v>
      </c>
      <c r="E106" s="5">
        <f t="shared" si="187"/>
        <v>40</v>
      </c>
      <c r="F106" s="59">
        <f t="shared" si="187"/>
        <v>0</v>
      </c>
      <c r="G106" s="5">
        <f t="shared" si="187"/>
        <v>0</v>
      </c>
      <c r="H106" s="5">
        <f t="shared" si="187"/>
        <v>25</v>
      </c>
      <c r="I106" s="59">
        <f t="shared" si="187"/>
        <v>0</v>
      </c>
      <c r="J106" s="5">
        <f t="shared" si="187"/>
        <v>0</v>
      </c>
      <c r="K106" s="5">
        <f t="shared" si="187"/>
        <v>32</v>
      </c>
      <c r="L106" s="59">
        <f t="shared" si="187"/>
        <v>0</v>
      </c>
      <c r="M106" s="5">
        <f t="shared" si="187"/>
        <v>0</v>
      </c>
      <c r="N106" s="5">
        <f t="shared" si="187"/>
        <v>0</v>
      </c>
      <c r="O106" s="5">
        <f t="shared" si="187"/>
        <v>38</v>
      </c>
      <c r="P106" s="59">
        <f t="shared" si="187"/>
        <v>0</v>
      </c>
      <c r="Q106" s="5">
        <f t="shared" si="187"/>
        <v>0</v>
      </c>
      <c r="R106" s="5">
        <f t="shared" si="187"/>
        <v>40</v>
      </c>
      <c r="S106" s="5">
        <f t="shared" si="187"/>
        <v>0</v>
      </c>
      <c r="T106" s="5">
        <f t="shared" si="187"/>
        <v>0</v>
      </c>
      <c r="U106" s="5">
        <f t="shared" si="187"/>
        <v>0</v>
      </c>
      <c r="V106" s="5">
        <f t="shared" si="187"/>
        <v>18</v>
      </c>
      <c r="W106" s="5">
        <f t="shared" si="187"/>
        <v>0</v>
      </c>
      <c r="X106" s="5">
        <f t="shared" si="187"/>
        <v>0</v>
      </c>
      <c r="Y106" s="5">
        <f t="shared" si="187"/>
        <v>23</v>
      </c>
      <c r="Z106" s="5">
        <f t="shared" si="187"/>
        <v>0</v>
      </c>
      <c r="AA106" s="5">
        <f t="shared" si="187"/>
        <v>0</v>
      </c>
      <c r="AB106" s="5">
        <f t="shared" si="187"/>
        <v>0</v>
      </c>
      <c r="AC106" s="5">
        <f t="shared" si="187"/>
        <v>27</v>
      </c>
      <c r="AD106" s="74">
        <f t="shared" si="187"/>
        <v>0</v>
      </c>
      <c r="AE106" s="5">
        <f t="shared" si="187"/>
        <v>0</v>
      </c>
      <c r="AF106" s="5">
        <f t="shared" si="187"/>
        <v>50</v>
      </c>
      <c r="AG106" s="5" t="str">
        <f t="shared" si="187"/>
        <v/>
      </c>
      <c r="AH106" s="5" t="str">
        <f t="shared" si="187"/>
        <v/>
      </c>
      <c r="AI106" s="5" t="str">
        <f t="shared" si="187"/>
        <v/>
      </c>
      <c r="AJ106" s="5" t="str">
        <f t="shared" si="187"/>
        <v/>
      </c>
      <c r="AK106" s="5" t="str">
        <f t="shared" si="187"/>
        <v/>
      </c>
      <c r="AL106" s="5" t="str">
        <f t="shared" si="187"/>
        <v/>
      </c>
      <c r="AM106" s="5" t="str">
        <f t="shared" ref="AM106:AS106" si="188">IF(AM$3="","",AM99-AL99)</f>
        <v/>
      </c>
      <c r="AN106" s="5" t="str">
        <f t="shared" si="188"/>
        <v/>
      </c>
      <c r="AO106" s="5" t="str">
        <f t="shared" si="188"/>
        <v/>
      </c>
      <c r="AP106" s="5" t="str">
        <f t="shared" si="188"/>
        <v/>
      </c>
      <c r="AQ106" s="5" t="str">
        <f t="shared" si="188"/>
        <v/>
      </c>
      <c r="AR106" s="5" t="str">
        <f t="shared" si="188"/>
        <v/>
      </c>
      <c r="AS106" s="5" t="str">
        <f t="shared" si="188"/>
        <v/>
      </c>
    </row>
    <row r="107" spans="1:45" s="1" customFormat="1" ht="11">
      <c r="A107" s="7">
        <f>SUM(C107:AS107)</f>
        <v>12</v>
      </c>
      <c r="B107" s="6" t="s">
        <v>16</v>
      </c>
      <c r="C107" s="74">
        <v>0</v>
      </c>
      <c r="D107" s="5">
        <f t="shared" ref="D107:AL107" si="189">IF(D$3="","",D100-C100)</f>
        <v>0</v>
      </c>
      <c r="E107" s="5">
        <f t="shared" si="189"/>
        <v>0</v>
      </c>
      <c r="F107" s="59">
        <f t="shared" si="189"/>
        <v>0</v>
      </c>
      <c r="G107" s="5">
        <f t="shared" si="189"/>
        <v>0</v>
      </c>
      <c r="H107" s="5">
        <f t="shared" si="189"/>
        <v>1</v>
      </c>
      <c r="I107" s="59">
        <f t="shared" si="189"/>
        <v>0</v>
      </c>
      <c r="J107" s="5">
        <f t="shared" si="189"/>
        <v>0</v>
      </c>
      <c r="K107" s="5">
        <f t="shared" si="189"/>
        <v>0</v>
      </c>
      <c r="L107" s="59">
        <f t="shared" si="189"/>
        <v>0</v>
      </c>
      <c r="M107" s="5">
        <f t="shared" si="189"/>
        <v>0</v>
      </c>
      <c r="N107" s="5">
        <f t="shared" si="189"/>
        <v>0</v>
      </c>
      <c r="O107" s="5">
        <f t="shared" si="189"/>
        <v>1</v>
      </c>
      <c r="P107" s="59">
        <f t="shared" si="189"/>
        <v>0</v>
      </c>
      <c r="Q107" s="5">
        <f t="shared" si="189"/>
        <v>0</v>
      </c>
      <c r="R107" s="5">
        <f t="shared" si="189"/>
        <v>0</v>
      </c>
      <c r="S107" s="5">
        <f t="shared" si="189"/>
        <v>0</v>
      </c>
      <c r="T107" s="5">
        <f t="shared" si="189"/>
        <v>0</v>
      </c>
      <c r="U107" s="5">
        <f t="shared" si="189"/>
        <v>0</v>
      </c>
      <c r="V107" s="5">
        <f t="shared" si="189"/>
        <v>0</v>
      </c>
      <c r="W107" s="5">
        <f t="shared" si="189"/>
        <v>0</v>
      </c>
      <c r="X107" s="5">
        <f t="shared" si="189"/>
        <v>0</v>
      </c>
      <c r="Y107" s="5">
        <f t="shared" si="189"/>
        <v>1</v>
      </c>
      <c r="Z107" s="5">
        <f t="shared" si="189"/>
        <v>0</v>
      </c>
      <c r="AA107" s="5">
        <f t="shared" si="189"/>
        <v>0</v>
      </c>
      <c r="AB107" s="5">
        <f t="shared" si="189"/>
        <v>0</v>
      </c>
      <c r="AC107" s="5">
        <f t="shared" si="189"/>
        <v>2</v>
      </c>
      <c r="AD107" s="74">
        <f t="shared" si="189"/>
        <v>0</v>
      </c>
      <c r="AE107" s="5">
        <f t="shared" si="189"/>
        <v>0</v>
      </c>
      <c r="AF107" s="5">
        <f t="shared" si="189"/>
        <v>7</v>
      </c>
      <c r="AG107" s="5" t="str">
        <f t="shared" si="189"/>
        <v/>
      </c>
      <c r="AH107" s="5" t="str">
        <f t="shared" si="189"/>
        <v/>
      </c>
      <c r="AI107" s="5" t="str">
        <f t="shared" si="189"/>
        <v/>
      </c>
      <c r="AJ107" s="5" t="str">
        <f t="shared" si="189"/>
        <v/>
      </c>
      <c r="AK107" s="5" t="str">
        <f t="shared" si="189"/>
        <v/>
      </c>
      <c r="AL107" s="5" t="str">
        <f t="shared" si="189"/>
        <v/>
      </c>
      <c r="AM107" s="5" t="str">
        <f t="shared" ref="AM107:AS107" si="190">IF(AM$3="","",AM100-AL100)</f>
        <v/>
      </c>
      <c r="AN107" s="5" t="str">
        <f t="shared" si="190"/>
        <v/>
      </c>
      <c r="AO107" s="5" t="str">
        <f t="shared" si="190"/>
        <v/>
      </c>
      <c r="AP107" s="5" t="str">
        <f t="shared" si="190"/>
        <v/>
      </c>
      <c r="AQ107" s="5" t="str">
        <f t="shared" si="190"/>
        <v/>
      </c>
      <c r="AR107" s="5" t="str">
        <f t="shared" si="190"/>
        <v/>
      </c>
      <c r="AS107" s="5" t="str">
        <f t="shared" si="190"/>
        <v/>
      </c>
    </row>
    <row r="108" spans="1:45" s="1" customFormat="1" ht="11">
      <c r="A108" s="7">
        <f>SUM(C108:AS108)</f>
        <v>12</v>
      </c>
      <c r="B108" s="6" t="s">
        <v>17</v>
      </c>
      <c r="C108" s="74">
        <v>0</v>
      </c>
      <c r="D108" s="5">
        <f t="shared" ref="D108:AL108" si="191">IF(D$3="","",C101+C102-D101)</f>
        <v>0</v>
      </c>
      <c r="E108" s="5">
        <f t="shared" si="191"/>
        <v>0</v>
      </c>
      <c r="F108" s="59">
        <f t="shared" si="191"/>
        <v>0</v>
      </c>
      <c r="G108" s="5">
        <f t="shared" si="191"/>
        <v>0</v>
      </c>
      <c r="H108" s="5">
        <f t="shared" si="191"/>
        <v>1</v>
      </c>
      <c r="I108" s="59">
        <f t="shared" si="191"/>
        <v>0</v>
      </c>
      <c r="J108" s="5">
        <f t="shared" si="191"/>
        <v>0</v>
      </c>
      <c r="K108" s="5">
        <f t="shared" si="191"/>
        <v>0</v>
      </c>
      <c r="L108" s="59">
        <f t="shared" si="191"/>
        <v>0</v>
      </c>
      <c r="M108" s="5">
        <f t="shared" si="191"/>
        <v>0</v>
      </c>
      <c r="N108" s="5">
        <f t="shared" si="191"/>
        <v>0</v>
      </c>
      <c r="O108" s="5">
        <f t="shared" si="191"/>
        <v>1</v>
      </c>
      <c r="P108" s="59">
        <f t="shared" si="191"/>
        <v>0</v>
      </c>
      <c r="Q108" s="5">
        <f t="shared" si="191"/>
        <v>0</v>
      </c>
      <c r="R108" s="5">
        <f t="shared" si="191"/>
        <v>0</v>
      </c>
      <c r="S108" s="5">
        <f t="shared" si="191"/>
        <v>0</v>
      </c>
      <c r="T108" s="5">
        <f t="shared" si="191"/>
        <v>0</v>
      </c>
      <c r="U108" s="5">
        <f t="shared" si="191"/>
        <v>0</v>
      </c>
      <c r="V108" s="5">
        <f t="shared" si="191"/>
        <v>0</v>
      </c>
      <c r="W108" s="5">
        <f t="shared" si="191"/>
        <v>0</v>
      </c>
      <c r="X108" s="5">
        <f t="shared" si="191"/>
        <v>0</v>
      </c>
      <c r="Y108" s="5">
        <f t="shared" si="191"/>
        <v>1</v>
      </c>
      <c r="Z108" s="5">
        <f t="shared" si="191"/>
        <v>0</v>
      </c>
      <c r="AA108" s="5">
        <f t="shared" si="191"/>
        <v>0</v>
      </c>
      <c r="AB108" s="5">
        <f t="shared" si="191"/>
        <v>0</v>
      </c>
      <c r="AC108" s="5">
        <f t="shared" si="191"/>
        <v>2</v>
      </c>
      <c r="AD108" s="74">
        <f t="shared" si="191"/>
        <v>0</v>
      </c>
      <c r="AE108" s="5">
        <f t="shared" si="191"/>
        <v>0</v>
      </c>
      <c r="AF108" s="5">
        <f t="shared" si="191"/>
        <v>7</v>
      </c>
      <c r="AG108" s="5" t="str">
        <f t="shared" si="191"/>
        <v/>
      </c>
      <c r="AH108" s="5" t="str">
        <f t="shared" si="191"/>
        <v/>
      </c>
      <c r="AI108" s="5" t="str">
        <f t="shared" si="191"/>
        <v/>
      </c>
      <c r="AJ108" s="5" t="str">
        <f t="shared" si="191"/>
        <v/>
      </c>
      <c r="AK108" s="5" t="str">
        <f t="shared" si="191"/>
        <v/>
      </c>
      <c r="AL108" s="5" t="str">
        <f t="shared" si="191"/>
        <v/>
      </c>
      <c r="AM108" s="5" t="str">
        <f t="shared" ref="AM108:AS108" si="192">IF(AM$3="","",AL101+AL102-AM101)</f>
        <v/>
      </c>
      <c r="AN108" s="5" t="str">
        <f t="shared" si="192"/>
        <v/>
      </c>
      <c r="AO108" s="5" t="str">
        <f t="shared" si="192"/>
        <v/>
      </c>
      <c r="AP108" s="5" t="str">
        <f t="shared" si="192"/>
        <v/>
      </c>
      <c r="AQ108" s="5" t="str">
        <f t="shared" si="192"/>
        <v/>
      </c>
      <c r="AR108" s="5" t="str">
        <f t="shared" si="192"/>
        <v/>
      </c>
      <c r="AS108" s="5" t="str">
        <f t="shared" si="192"/>
        <v/>
      </c>
    </row>
    <row r="109" spans="1:45" s="1" customFormat="1" ht="11">
      <c r="A109" s="7">
        <f>SUM(C109:AS109)</f>
        <v>9000</v>
      </c>
      <c r="B109" s="6" t="s">
        <v>18</v>
      </c>
      <c r="C109" s="74">
        <v>0</v>
      </c>
      <c r="D109" s="5">
        <f t="shared" ref="D109:AL109" si="193">IF(D$3="","",D108*D103)</f>
        <v>0</v>
      </c>
      <c r="E109" s="5">
        <f t="shared" si="193"/>
        <v>0</v>
      </c>
      <c r="F109" s="59">
        <f t="shared" si="193"/>
        <v>0</v>
      </c>
      <c r="G109" s="5">
        <f t="shared" si="193"/>
        <v>0</v>
      </c>
      <c r="H109" s="5">
        <f t="shared" si="193"/>
        <v>750</v>
      </c>
      <c r="I109" s="59">
        <f t="shared" si="193"/>
        <v>0</v>
      </c>
      <c r="J109" s="5">
        <f t="shared" si="193"/>
        <v>0</v>
      </c>
      <c r="K109" s="5">
        <f t="shared" si="193"/>
        <v>0</v>
      </c>
      <c r="L109" s="59">
        <f t="shared" si="193"/>
        <v>0</v>
      </c>
      <c r="M109" s="5">
        <f t="shared" si="193"/>
        <v>0</v>
      </c>
      <c r="N109" s="5">
        <f t="shared" si="193"/>
        <v>0</v>
      </c>
      <c r="O109" s="5">
        <f t="shared" si="193"/>
        <v>750</v>
      </c>
      <c r="P109" s="59">
        <f t="shared" si="193"/>
        <v>0</v>
      </c>
      <c r="Q109" s="5">
        <f t="shared" si="193"/>
        <v>0</v>
      </c>
      <c r="R109" s="5">
        <f t="shared" si="193"/>
        <v>0</v>
      </c>
      <c r="S109" s="5">
        <f t="shared" si="193"/>
        <v>0</v>
      </c>
      <c r="T109" s="5">
        <f t="shared" si="193"/>
        <v>0</v>
      </c>
      <c r="U109" s="5">
        <f t="shared" si="193"/>
        <v>0</v>
      </c>
      <c r="V109" s="5">
        <f t="shared" si="193"/>
        <v>0</v>
      </c>
      <c r="W109" s="5">
        <f t="shared" si="193"/>
        <v>0</v>
      </c>
      <c r="X109" s="5">
        <f t="shared" si="193"/>
        <v>0</v>
      </c>
      <c r="Y109" s="5">
        <f t="shared" si="193"/>
        <v>750</v>
      </c>
      <c r="Z109" s="5">
        <f t="shared" si="193"/>
        <v>0</v>
      </c>
      <c r="AA109" s="5">
        <f t="shared" si="193"/>
        <v>0</v>
      </c>
      <c r="AB109" s="5">
        <f t="shared" si="193"/>
        <v>0</v>
      </c>
      <c r="AC109" s="5">
        <f t="shared" si="193"/>
        <v>1500</v>
      </c>
      <c r="AD109" s="74">
        <f t="shared" si="193"/>
        <v>0</v>
      </c>
      <c r="AE109" s="5">
        <f t="shared" si="193"/>
        <v>0</v>
      </c>
      <c r="AF109" s="5">
        <f t="shared" si="193"/>
        <v>5250</v>
      </c>
      <c r="AG109" s="5" t="str">
        <f t="shared" si="193"/>
        <v/>
      </c>
      <c r="AH109" s="5" t="str">
        <f t="shared" si="193"/>
        <v/>
      </c>
      <c r="AI109" s="5" t="str">
        <f t="shared" si="193"/>
        <v/>
      </c>
      <c r="AJ109" s="5" t="str">
        <f t="shared" si="193"/>
        <v/>
      </c>
      <c r="AK109" s="5" t="str">
        <f t="shared" si="193"/>
        <v/>
      </c>
      <c r="AL109" s="5" t="str">
        <f t="shared" si="193"/>
        <v/>
      </c>
      <c r="AM109" s="5" t="str">
        <f t="shared" ref="AM109:AS109" si="194">IF(AM$3="","",AM108*AM103)</f>
        <v/>
      </c>
      <c r="AN109" s="5" t="str">
        <f t="shared" si="194"/>
        <v/>
      </c>
      <c r="AO109" s="5" t="str">
        <f t="shared" si="194"/>
        <v/>
      </c>
      <c r="AP109" s="5" t="str">
        <f t="shared" si="194"/>
        <v/>
      </c>
      <c r="AQ109" s="5" t="str">
        <f t="shared" si="194"/>
        <v/>
      </c>
      <c r="AR109" s="5" t="str">
        <f t="shared" si="194"/>
        <v/>
      </c>
      <c r="AS109" s="5" t="str">
        <f t="shared" si="194"/>
        <v/>
      </c>
    </row>
    <row r="110" spans="1:45" s="1" customFormat="1" ht="12" thickBot="1">
      <c r="A110" s="4">
        <f>IF(A109="","",A109/(A106*100))</f>
        <v>0.30716723549488056</v>
      </c>
      <c r="B110" s="6" t="s">
        <v>20</v>
      </c>
      <c r="C110" s="76" t="s">
        <v>21</v>
      </c>
      <c r="D110" s="18" t="str">
        <f t="shared" ref="D110:AL110" si="195">IF(D$3="","",IF(D109=0,"",D109/(D106*100)))</f>
        <v/>
      </c>
      <c r="E110" s="18" t="str">
        <f t="shared" si="195"/>
        <v/>
      </c>
      <c r="F110" s="62" t="str">
        <f t="shared" si="195"/>
        <v/>
      </c>
      <c r="G110" s="18" t="str">
        <f t="shared" si="195"/>
        <v/>
      </c>
      <c r="H110" s="18">
        <f t="shared" si="195"/>
        <v>0.3</v>
      </c>
      <c r="I110" s="62" t="str">
        <f t="shared" si="195"/>
        <v/>
      </c>
      <c r="J110" s="18" t="str">
        <f t="shared" si="195"/>
        <v/>
      </c>
      <c r="K110" s="18" t="str">
        <f t="shared" si="195"/>
        <v/>
      </c>
      <c r="L110" s="62" t="str">
        <f t="shared" si="195"/>
        <v/>
      </c>
      <c r="M110" s="18" t="str">
        <f t="shared" si="195"/>
        <v/>
      </c>
      <c r="N110" s="18" t="str">
        <f t="shared" si="195"/>
        <v/>
      </c>
      <c r="O110" s="18">
        <f t="shared" si="195"/>
        <v>0.19736842105263158</v>
      </c>
      <c r="P110" s="62" t="str">
        <f t="shared" si="195"/>
        <v/>
      </c>
      <c r="Q110" s="18" t="str">
        <f t="shared" si="195"/>
        <v/>
      </c>
      <c r="R110" s="18" t="str">
        <f t="shared" si="195"/>
        <v/>
      </c>
      <c r="S110" s="18" t="str">
        <f t="shared" si="195"/>
        <v/>
      </c>
      <c r="T110" s="18" t="str">
        <f t="shared" si="195"/>
        <v/>
      </c>
      <c r="U110" s="18" t="str">
        <f t="shared" si="195"/>
        <v/>
      </c>
      <c r="V110" s="18" t="str">
        <f t="shared" si="195"/>
        <v/>
      </c>
      <c r="W110" s="18" t="str">
        <f t="shared" si="195"/>
        <v/>
      </c>
      <c r="X110" s="18" t="str">
        <f t="shared" si="195"/>
        <v/>
      </c>
      <c r="Y110" s="18">
        <f t="shared" si="195"/>
        <v>0.32608695652173914</v>
      </c>
      <c r="Z110" s="18" t="str">
        <f t="shared" si="195"/>
        <v/>
      </c>
      <c r="AA110" s="18" t="str">
        <f t="shared" si="195"/>
        <v/>
      </c>
      <c r="AB110" s="18" t="str">
        <f t="shared" si="195"/>
        <v/>
      </c>
      <c r="AC110" s="18">
        <f t="shared" si="195"/>
        <v>0.55555555555555558</v>
      </c>
      <c r="AD110" s="76" t="str">
        <f t="shared" si="195"/>
        <v/>
      </c>
      <c r="AE110" s="18" t="str">
        <f t="shared" si="195"/>
        <v/>
      </c>
      <c r="AF110" s="18">
        <f t="shared" si="195"/>
        <v>1.05</v>
      </c>
      <c r="AG110" s="18" t="str">
        <f t="shared" si="195"/>
        <v/>
      </c>
      <c r="AH110" s="18" t="str">
        <f t="shared" si="195"/>
        <v/>
      </c>
      <c r="AI110" s="18" t="str">
        <f t="shared" si="195"/>
        <v/>
      </c>
      <c r="AJ110" s="18" t="str">
        <f t="shared" si="195"/>
        <v/>
      </c>
      <c r="AK110" s="18" t="str">
        <f t="shared" si="195"/>
        <v/>
      </c>
      <c r="AL110" s="18" t="str">
        <f t="shared" si="195"/>
        <v/>
      </c>
      <c r="AM110" s="18" t="str">
        <f t="shared" ref="AM110:AS110" si="196">IF(AM$3="","",IF(AM109=0,"",AM109/(AM106*100)))</f>
        <v/>
      </c>
      <c r="AN110" s="18" t="str">
        <f t="shared" si="196"/>
        <v/>
      </c>
      <c r="AO110" s="18" t="str">
        <f t="shared" si="196"/>
        <v/>
      </c>
      <c r="AP110" s="18" t="str">
        <f t="shared" si="196"/>
        <v/>
      </c>
      <c r="AQ110" s="18" t="str">
        <f t="shared" si="196"/>
        <v/>
      </c>
      <c r="AR110" s="18" t="str">
        <f t="shared" si="196"/>
        <v/>
      </c>
      <c r="AS110" s="18" t="str">
        <f t="shared" si="196"/>
        <v/>
      </c>
    </row>
    <row r="111" spans="1:45" s="1" customFormat="1" ht="11">
      <c r="A111" s="17" t="s">
        <v>61</v>
      </c>
      <c r="B111" s="9" t="s">
        <v>2</v>
      </c>
      <c r="C111" s="74">
        <v>2232</v>
      </c>
      <c r="D111" s="8">
        <f>IF(D$3="","",C111)</f>
        <v>2232</v>
      </c>
      <c r="E111" s="8">
        <v>2316</v>
      </c>
      <c r="F111" s="59">
        <f>IF(F$3="","",E111)</f>
        <v>2316</v>
      </c>
      <c r="G111" s="8">
        <f>IF(G$3="","",F111)</f>
        <v>2316</v>
      </c>
      <c r="H111" s="8">
        <v>2336</v>
      </c>
      <c r="I111" s="59">
        <f>IF(I$3="","",H111)</f>
        <v>2336</v>
      </c>
      <c r="J111" s="8">
        <f>IF(J$3="","",I111)</f>
        <v>2336</v>
      </c>
      <c r="K111" s="8">
        <v>2388</v>
      </c>
      <c r="L111" s="59">
        <f t="shared" ref="L111:N112" si="197">IF(L$3="","",K111)</f>
        <v>2388</v>
      </c>
      <c r="M111" s="8">
        <f t="shared" si="197"/>
        <v>2388</v>
      </c>
      <c r="N111" s="8">
        <f t="shared" si="197"/>
        <v>2388</v>
      </c>
      <c r="O111" s="8">
        <v>2470</v>
      </c>
      <c r="P111" s="59">
        <f>IF(P$3="","",O111)</f>
        <v>2470</v>
      </c>
      <c r="Q111" s="8">
        <f>IF(Q$3="","",P111)</f>
        <v>2470</v>
      </c>
      <c r="R111" s="8">
        <v>2506</v>
      </c>
      <c r="S111" s="8">
        <f t="shared" ref="S111:AL111" si="198">IF(S$3="","",R111)</f>
        <v>2506</v>
      </c>
      <c r="T111" s="8">
        <f t="shared" si="198"/>
        <v>2506</v>
      </c>
      <c r="U111" s="8">
        <f t="shared" si="198"/>
        <v>2506</v>
      </c>
      <c r="V111" s="8">
        <v>2551</v>
      </c>
      <c r="W111" s="8">
        <f t="shared" si="198"/>
        <v>2551</v>
      </c>
      <c r="X111" s="8">
        <f t="shared" si="198"/>
        <v>2551</v>
      </c>
      <c r="Y111" s="8">
        <v>2588</v>
      </c>
      <c r="Z111" s="8">
        <f t="shared" si="198"/>
        <v>2588</v>
      </c>
      <c r="AA111" s="8">
        <f t="shared" si="198"/>
        <v>2588</v>
      </c>
      <c r="AB111" s="8">
        <f t="shared" si="198"/>
        <v>2588</v>
      </c>
      <c r="AC111" s="8">
        <v>2638</v>
      </c>
      <c r="AD111" s="74">
        <f t="shared" si="198"/>
        <v>2638</v>
      </c>
      <c r="AE111" s="8">
        <f t="shared" si="198"/>
        <v>2638</v>
      </c>
      <c r="AF111" s="8">
        <v>2660</v>
      </c>
      <c r="AG111" s="8" t="str">
        <f t="shared" si="198"/>
        <v/>
      </c>
      <c r="AH111" s="8" t="str">
        <f t="shared" si="198"/>
        <v/>
      </c>
      <c r="AI111" s="8" t="str">
        <f t="shared" si="198"/>
        <v/>
      </c>
      <c r="AJ111" s="8" t="str">
        <f t="shared" si="198"/>
        <v/>
      </c>
      <c r="AK111" s="8" t="str">
        <f t="shared" si="198"/>
        <v/>
      </c>
      <c r="AL111" s="8" t="str">
        <f t="shared" si="198"/>
        <v/>
      </c>
      <c r="AM111" s="8" t="str">
        <f t="shared" ref="AM111:AS111" si="199">IF(AM$3="","",AL111)</f>
        <v/>
      </c>
      <c r="AN111" s="8" t="str">
        <f t="shared" si="199"/>
        <v/>
      </c>
      <c r="AO111" s="8" t="str">
        <f t="shared" si="199"/>
        <v/>
      </c>
      <c r="AP111" s="8" t="str">
        <f t="shared" si="199"/>
        <v/>
      </c>
      <c r="AQ111" s="8" t="str">
        <f t="shared" si="199"/>
        <v/>
      </c>
      <c r="AR111" s="8" t="str">
        <f t="shared" si="199"/>
        <v/>
      </c>
      <c r="AS111" s="8" t="str">
        <f t="shared" si="199"/>
        <v/>
      </c>
    </row>
    <row r="112" spans="1:45" s="1" customFormat="1" ht="11">
      <c r="A112" s="16" t="s">
        <v>37</v>
      </c>
      <c r="B112" s="9" t="s">
        <v>4</v>
      </c>
      <c r="C112" s="74">
        <v>55</v>
      </c>
      <c r="D112" s="8">
        <f>IF(D$3="","",C112)</f>
        <v>55</v>
      </c>
      <c r="E112" s="8">
        <f>IF(E$3="","",D112)</f>
        <v>55</v>
      </c>
      <c r="F112" s="59">
        <f>IF(F$3="","",E112)</f>
        <v>55</v>
      </c>
      <c r="G112" s="8">
        <f>IF(G$3="","",F112)</f>
        <v>55</v>
      </c>
      <c r="H112" s="8">
        <f>IF(H$3="","",G112)</f>
        <v>55</v>
      </c>
      <c r="I112" s="59">
        <f>IF(I$3="","",H112)</f>
        <v>55</v>
      </c>
      <c r="J112" s="8">
        <f>IF(J$3="","",I112)</f>
        <v>55</v>
      </c>
      <c r="K112" s="8">
        <v>56</v>
      </c>
      <c r="L112" s="59">
        <f t="shared" si="197"/>
        <v>56</v>
      </c>
      <c r="M112" s="8">
        <f t="shared" si="197"/>
        <v>56</v>
      </c>
      <c r="N112" s="8">
        <f t="shared" si="197"/>
        <v>56</v>
      </c>
      <c r="O112" s="8">
        <v>57</v>
      </c>
      <c r="P112" s="59">
        <f>IF(P$3="","",O112)</f>
        <v>57</v>
      </c>
      <c r="Q112" s="8">
        <f>IF(Q$3="","",P112)</f>
        <v>57</v>
      </c>
      <c r="R112" s="8">
        <f>IF(R$3="","",Q112)</f>
        <v>57</v>
      </c>
      <c r="S112" s="8">
        <f t="shared" ref="S112:AL112" si="200">IF(S$3="","",R112)</f>
        <v>57</v>
      </c>
      <c r="T112" s="8">
        <f t="shared" si="200"/>
        <v>57</v>
      </c>
      <c r="U112" s="8">
        <f t="shared" si="200"/>
        <v>57</v>
      </c>
      <c r="V112" s="8">
        <f t="shared" si="200"/>
        <v>57</v>
      </c>
      <c r="W112" s="8">
        <f t="shared" si="200"/>
        <v>57</v>
      </c>
      <c r="X112" s="8">
        <f t="shared" si="200"/>
        <v>57</v>
      </c>
      <c r="Y112" s="8">
        <v>58</v>
      </c>
      <c r="Z112" s="8">
        <f t="shared" si="200"/>
        <v>58</v>
      </c>
      <c r="AA112" s="8">
        <f t="shared" si="200"/>
        <v>58</v>
      </c>
      <c r="AB112" s="8">
        <f t="shared" si="200"/>
        <v>58</v>
      </c>
      <c r="AC112" s="8">
        <f t="shared" si="200"/>
        <v>58</v>
      </c>
      <c r="AD112" s="74">
        <f t="shared" si="200"/>
        <v>58</v>
      </c>
      <c r="AE112" s="8">
        <f t="shared" si="200"/>
        <v>58</v>
      </c>
      <c r="AF112" s="8">
        <v>59</v>
      </c>
      <c r="AG112" s="8" t="str">
        <f t="shared" si="200"/>
        <v/>
      </c>
      <c r="AH112" s="8" t="str">
        <f t="shared" si="200"/>
        <v/>
      </c>
      <c r="AI112" s="8" t="str">
        <f t="shared" si="200"/>
        <v/>
      </c>
      <c r="AJ112" s="8" t="str">
        <f t="shared" si="200"/>
        <v/>
      </c>
      <c r="AK112" s="8" t="str">
        <f t="shared" si="200"/>
        <v/>
      </c>
      <c r="AL112" s="8" t="str">
        <f t="shared" si="200"/>
        <v/>
      </c>
      <c r="AM112" s="8" t="str">
        <f t="shared" ref="AM112:AS112" si="201">IF(AM$3="","",AL112)</f>
        <v/>
      </c>
      <c r="AN112" s="8" t="str">
        <f t="shared" si="201"/>
        <v/>
      </c>
      <c r="AO112" s="8" t="str">
        <f t="shared" si="201"/>
        <v/>
      </c>
      <c r="AP112" s="8" t="str">
        <f t="shared" si="201"/>
        <v/>
      </c>
      <c r="AQ112" s="8" t="str">
        <f t="shared" si="201"/>
        <v/>
      </c>
      <c r="AR112" s="8" t="str">
        <f t="shared" si="201"/>
        <v/>
      </c>
      <c r="AS112" s="8" t="str">
        <f t="shared" si="201"/>
        <v/>
      </c>
    </row>
    <row r="113" spans="1:45" s="1" customFormat="1" ht="11">
      <c r="A113" s="15">
        <v>2</v>
      </c>
      <c r="B113" s="9" t="s">
        <v>5</v>
      </c>
      <c r="C113" s="74">
        <v>5</v>
      </c>
      <c r="D113" s="8">
        <f>IF(D$3="","",(C113+C114))</f>
        <v>5</v>
      </c>
      <c r="E113" s="8">
        <v>3</v>
      </c>
      <c r="F113" s="59">
        <f>IF(F$3="","",(E113+E114))</f>
        <v>3</v>
      </c>
      <c r="G113" s="8">
        <f>IF(G$3="","",(F113+F114))</f>
        <v>3</v>
      </c>
      <c r="H113" s="8">
        <f>IF(H$3="","",(G113+G114))</f>
        <v>3</v>
      </c>
      <c r="I113" s="59">
        <f>IF(I$3="","",(H113+H114))</f>
        <v>4</v>
      </c>
      <c r="J113" s="8">
        <f>IF(J$3="","",(I113+I114))</f>
        <v>4</v>
      </c>
      <c r="K113" s="8">
        <v>3</v>
      </c>
      <c r="L113" s="59">
        <f t="shared" ref="L113:AL113" si="202">IF(L$3="","",(K113+K114))</f>
        <v>3</v>
      </c>
      <c r="M113" s="8">
        <f t="shared" si="202"/>
        <v>3</v>
      </c>
      <c r="N113" s="8">
        <f t="shared" si="202"/>
        <v>3</v>
      </c>
      <c r="O113" s="8">
        <f t="shared" si="202"/>
        <v>3</v>
      </c>
      <c r="P113" s="59">
        <f t="shared" si="202"/>
        <v>3</v>
      </c>
      <c r="Q113" s="8">
        <f t="shared" si="202"/>
        <v>3</v>
      </c>
      <c r="R113" s="8">
        <f t="shared" si="202"/>
        <v>3</v>
      </c>
      <c r="S113" s="8">
        <f t="shared" si="202"/>
        <v>4</v>
      </c>
      <c r="T113" s="8">
        <f t="shared" si="202"/>
        <v>4</v>
      </c>
      <c r="U113" s="8">
        <f t="shared" si="202"/>
        <v>4</v>
      </c>
      <c r="V113" s="8">
        <f t="shared" si="202"/>
        <v>4</v>
      </c>
      <c r="W113" s="8">
        <f t="shared" si="202"/>
        <v>4</v>
      </c>
      <c r="X113" s="8">
        <f t="shared" si="202"/>
        <v>4</v>
      </c>
      <c r="Y113" s="8">
        <v>3</v>
      </c>
      <c r="Z113" s="8">
        <f t="shared" si="202"/>
        <v>7</v>
      </c>
      <c r="AA113" s="8">
        <f t="shared" si="202"/>
        <v>7</v>
      </c>
      <c r="AB113" s="8">
        <f t="shared" si="202"/>
        <v>7</v>
      </c>
      <c r="AC113" s="8">
        <f t="shared" si="202"/>
        <v>7</v>
      </c>
      <c r="AD113" s="74">
        <f t="shared" si="202"/>
        <v>7</v>
      </c>
      <c r="AE113" s="8">
        <f t="shared" si="202"/>
        <v>7</v>
      </c>
      <c r="AF113" s="8">
        <v>5</v>
      </c>
      <c r="AG113" s="8" t="str">
        <f t="shared" si="202"/>
        <v/>
      </c>
      <c r="AH113" s="8" t="str">
        <f t="shared" si="202"/>
        <v/>
      </c>
      <c r="AI113" s="8" t="str">
        <f t="shared" si="202"/>
        <v/>
      </c>
      <c r="AJ113" s="8" t="str">
        <f t="shared" si="202"/>
        <v/>
      </c>
      <c r="AK113" s="8" t="str">
        <f t="shared" si="202"/>
        <v/>
      </c>
      <c r="AL113" s="8" t="str">
        <f t="shared" si="202"/>
        <v/>
      </c>
      <c r="AM113" s="8" t="str">
        <f t="shared" ref="AM113:AS113" si="203">IF(AM$3="","",(AL113+AL114))</f>
        <v/>
      </c>
      <c r="AN113" s="8" t="str">
        <f t="shared" si="203"/>
        <v/>
      </c>
      <c r="AO113" s="8" t="str">
        <f t="shared" si="203"/>
        <v/>
      </c>
      <c r="AP113" s="8" t="str">
        <f t="shared" si="203"/>
        <v/>
      </c>
      <c r="AQ113" s="8" t="str">
        <f t="shared" si="203"/>
        <v/>
      </c>
      <c r="AR113" s="8" t="str">
        <f t="shared" si="203"/>
        <v/>
      </c>
      <c r="AS113" s="8" t="str">
        <f t="shared" si="203"/>
        <v/>
      </c>
    </row>
    <row r="114" spans="1:45" s="1" customFormat="1" ht="11">
      <c r="A114" s="14"/>
      <c r="B114" s="9" t="s">
        <v>7</v>
      </c>
      <c r="C114" s="74"/>
      <c r="D114" s="8"/>
      <c r="E114" s="8"/>
      <c r="F114" s="59"/>
      <c r="G114" s="8"/>
      <c r="H114" s="8">
        <v>1</v>
      </c>
      <c r="I114" s="59"/>
      <c r="J114" s="8"/>
      <c r="K114" s="8"/>
      <c r="L114" s="59"/>
      <c r="M114" s="8"/>
      <c r="N114" s="8"/>
      <c r="O114" s="8"/>
      <c r="P114" s="59"/>
      <c r="Q114" s="8"/>
      <c r="R114" s="8">
        <v>1</v>
      </c>
      <c r="S114" s="8"/>
      <c r="T114" s="8"/>
      <c r="U114" s="8"/>
      <c r="V114" s="8"/>
      <c r="W114" s="8"/>
      <c r="X114" s="8"/>
      <c r="Y114" s="8">
        <v>4</v>
      </c>
      <c r="Z114" s="8"/>
      <c r="AA114" s="8"/>
      <c r="AB114" s="8"/>
      <c r="AC114" s="8"/>
      <c r="AD114" s="74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</row>
    <row r="115" spans="1:45" s="1" customFormat="1" ht="11">
      <c r="A115" s="7"/>
      <c r="B115" s="9" t="s">
        <v>8</v>
      </c>
      <c r="C115" s="74">
        <v>700</v>
      </c>
      <c r="D115" s="8">
        <f t="shared" ref="D115:AL115" si="204">IF(D$3="","",C115)</f>
        <v>700</v>
      </c>
      <c r="E115" s="8">
        <f t="shared" si="204"/>
        <v>700</v>
      </c>
      <c r="F115" s="59">
        <f t="shared" si="204"/>
        <v>700</v>
      </c>
      <c r="G115" s="8">
        <f t="shared" si="204"/>
        <v>700</v>
      </c>
      <c r="H115" s="8">
        <f t="shared" si="204"/>
        <v>700</v>
      </c>
      <c r="I115" s="59">
        <f t="shared" si="204"/>
        <v>700</v>
      </c>
      <c r="J115" s="8">
        <f t="shared" si="204"/>
        <v>700</v>
      </c>
      <c r="K115" s="8">
        <f t="shared" si="204"/>
        <v>700</v>
      </c>
      <c r="L115" s="59">
        <f t="shared" si="204"/>
        <v>700</v>
      </c>
      <c r="M115" s="8">
        <f t="shared" si="204"/>
        <v>700</v>
      </c>
      <c r="N115" s="8">
        <f t="shared" si="204"/>
        <v>700</v>
      </c>
      <c r="O115" s="8">
        <f t="shared" si="204"/>
        <v>700</v>
      </c>
      <c r="P115" s="59">
        <f t="shared" si="204"/>
        <v>700</v>
      </c>
      <c r="Q115" s="8">
        <f t="shared" si="204"/>
        <v>700</v>
      </c>
      <c r="R115" s="8">
        <f t="shared" si="204"/>
        <v>700</v>
      </c>
      <c r="S115" s="8">
        <f t="shared" si="204"/>
        <v>700</v>
      </c>
      <c r="T115" s="8">
        <f t="shared" si="204"/>
        <v>700</v>
      </c>
      <c r="U115" s="8">
        <f t="shared" si="204"/>
        <v>700</v>
      </c>
      <c r="V115" s="8">
        <f t="shared" si="204"/>
        <v>700</v>
      </c>
      <c r="W115" s="8">
        <f t="shared" si="204"/>
        <v>700</v>
      </c>
      <c r="X115" s="8">
        <f t="shared" si="204"/>
        <v>700</v>
      </c>
      <c r="Y115" s="8">
        <f t="shared" si="204"/>
        <v>700</v>
      </c>
      <c r="Z115" s="8">
        <f t="shared" si="204"/>
        <v>700</v>
      </c>
      <c r="AA115" s="8">
        <f t="shared" si="204"/>
        <v>700</v>
      </c>
      <c r="AB115" s="8">
        <f t="shared" si="204"/>
        <v>700</v>
      </c>
      <c r="AC115" s="8">
        <f t="shared" si="204"/>
        <v>700</v>
      </c>
      <c r="AD115" s="74">
        <f t="shared" si="204"/>
        <v>700</v>
      </c>
      <c r="AE115" s="8">
        <f t="shared" si="204"/>
        <v>700</v>
      </c>
      <c r="AF115" s="8">
        <f t="shared" si="204"/>
        <v>700</v>
      </c>
      <c r="AG115" s="8" t="str">
        <f t="shared" si="204"/>
        <v/>
      </c>
      <c r="AH115" s="8" t="str">
        <f t="shared" si="204"/>
        <v/>
      </c>
      <c r="AI115" s="8" t="str">
        <f t="shared" si="204"/>
        <v/>
      </c>
      <c r="AJ115" s="8" t="str">
        <f t="shared" si="204"/>
        <v/>
      </c>
      <c r="AK115" s="8" t="str">
        <f t="shared" si="204"/>
        <v/>
      </c>
      <c r="AL115" s="8" t="str">
        <f t="shared" si="204"/>
        <v/>
      </c>
      <c r="AM115" s="8" t="str">
        <f t="shared" ref="AM115:AS115" si="205">IF(AM$3="","",AL115)</f>
        <v/>
      </c>
      <c r="AN115" s="8" t="str">
        <f t="shared" si="205"/>
        <v/>
      </c>
      <c r="AO115" s="8" t="str">
        <f t="shared" si="205"/>
        <v/>
      </c>
      <c r="AP115" s="8" t="str">
        <f t="shared" si="205"/>
        <v/>
      </c>
      <c r="AQ115" s="8" t="str">
        <f t="shared" si="205"/>
        <v/>
      </c>
      <c r="AR115" s="8" t="str">
        <f t="shared" si="205"/>
        <v/>
      </c>
      <c r="AS115" s="8" t="str">
        <f t="shared" si="205"/>
        <v/>
      </c>
    </row>
    <row r="116" spans="1:45" s="94" customFormat="1" ht="11">
      <c r="A116" s="14" t="s">
        <v>9</v>
      </c>
      <c r="B116" s="13" t="s">
        <v>10</v>
      </c>
      <c r="C116" s="75" t="s">
        <v>67</v>
      </c>
      <c r="D116" s="12" t="str">
        <f t="shared" ref="D116:AL116" si="206">IF(D$3="","",C116)</f>
        <v>キティバンスクリップ</v>
      </c>
      <c r="E116" s="12" t="str">
        <f t="shared" si="206"/>
        <v>キティバンスクリップ</v>
      </c>
      <c r="F116" s="131" t="str">
        <f t="shared" si="206"/>
        <v>キティバンスクリップ</v>
      </c>
      <c r="G116" s="12" t="str">
        <f t="shared" si="206"/>
        <v>キティバンスクリップ</v>
      </c>
      <c r="H116" s="12" t="str">
        <f t="shared" si="206"/>
        <v>キティバンスクリップ</v>
      </c>
      <c r="I116" s="131" t="str">
        <f t="shared" si="206"/>
        <v>キティバンスクリップ</v>
      </c>
      <c r="J116" s="12" t="str">
        <f t="shared" si="206"/>
        <v>キティバンスクリップ</v>
      </c>
      <c r="K116" s="12" t="str">
        <f t="shared" si="206"/>
        <v>キティバンスクリップ</v>
      </c>
      <c r="L116" s="131" t="str">
        <f t="shared" si="206"/>
        <v>キティバンスクリップ</v>
      </c>
      <c r="M116" s="12" t="str">
        <f t="shared" si="206"/>
        <v>キティバンスクリップ</v>
      </c>
      <c r="N116" s="12" t="str">
        <f t="shared" si="206"/>
        <v>キティバンスクリップ</v>
      </c>
      <c r="O116" s="12" t="str">
        <f t="shared" si="206"/>
        <v>キティバンスクリップ</v>
      </c>
      <c r="P116" s="131" t="str">
        <f t="shared" si="206"/>
        <v>キティバンスクリップ</v>
      </c>
      <c r="Q116" s="12" t="str">
        <f t="shared" si="206"/>
        <v>キティバンスクリップ</v>
      </c>
      <c r="R116" s="12" t="str">
        <f t="shared" si="206"/>
        <v>キティバンスクリップ</v>
      </c>
      <c r="S116" s="12" t="str">
        <f t="shared" si="206"/>
        <v>キティバンスクリップ</v>
      </c>
      <c r="T116" s="12" t="str">
        <f t="shared" si="206"/>
        <v>キティバンスクリップ</v>
      </c>
      <c r="U116" s="12" t="str">
        <f t="shared" si="206"/>
        <v>キティバンスクリップ</v>
      </c>
      <c r="V116" s="12" t="str">
        <f t="shared" si="206"/>
        <v>キティバンスクリップ</v>
      </c>
      <c r="W116" s="12" t="str">
        <f t="shared" si="206"/>
        <v>キティバンスクリップ</v>
      </c>
      <c r="X116" s="12" t="str">
        <f t="shared" si="206"/>
        <v>キティバンスクリップ</v>
      </c>
      <c r="Y116" s="12" t="str">
        <f t="shared" si="206"/>
        <v>キティバンスクリップ</v>
      </c>
      <c r="Z116" s="12" t="str">
        <f t="shared" si="206"/>
        <v>キティバンスクリップ</v>
      </c>
      <c r="AA116" s="12" t="str">
        <f t="shared" si="206"/>
        <v>キティバンスクリップ</v>
      </c>
      <c r="AB116" s="12" t="str">
        <f t="shared" si="206"/>
        <v>キティバンスクリップ</v>
      </c>
      <c r="AC116" s="12" t="str">
        <f t="shared" si="206"/>
        <v>キティバンスクリップ</v>
      </c>
      <c r="AD116" s="75" t="str">
        <f t="shared" si="206"/>
        <v>キティバンスクリップ</v>
      </c>
      <c r="AE116" s="12" t="str">
        <f t="shared" si="206"/>
        <v>キティバンスクリップ</v>
      </c>
      <c r="AF116" s="12" t="str">
        <f t="shared" si="206"/>
        <v>キティバンスクリップ</v>
      </c>
      <c r="AG116" s="12" t="str">
        <f t="shared" si="206"/>
        <v/>
      </c>
      <c r="AH116" s="12" t="str">
        <f t="shared" si="206"/>
        <v/>
      </c>
      <c r="AI116" s="12" t="str">
        <f t="shared" si="206"/>
        <v/>
      </c>
      <c r="AJ116" s="12" t="str">
        <f t="shared" si="206"/>
        <v/>
      </c>
      <c r="AK116" s="12" t="str">
        <f t="shared" si="206"/>
        <v/>
      </c>
      <c r="AL116" s="12" t="str">
        <f t="shared" si="206"/>
        <v/>
      </c>
      <c r="AM116" s="12" t="str">
        <f t="shared" ref="AM116:AS116" si="207">IF(AM$3="","",AL116)</f>
        <v/>
      </c>
      <c r="AN116" s="12" t="str">
        <f t="shared" si="207"/>
        <v/>
      </c>
      <c r="AO116" s="12" t="str">
        <f t="shared" si="207"/>
        <v/>
      </c>
      <c r="AP116" s="12" t="str">
        <f t="shared" si="207"/>
        <v/>
      </c>
      <c r="AQ116" s="12" t="str">
        <f t="shared" si="207"/>
        <v/>
      </c>
      <c r="AR116" s="12" t="str">
        <f t="shared" si="207"/>
        <v/>
      </c>
      <c r="AS116" s="12" t="str">
        <f t="shared" si="207"/>
        <v/>
      </c>
    </row>
    <row r="117" spans="1:45" s="1" customFormat="1" ht="11">
      <c r="A117" s="7">
        <f>AVERAGE(C118:AS118)*30*100</f>
        <v>42800</v>
      </c>
      <c r="B117" s="9" t="s">
        <v>14</v>
      </c>
      <c r="C117" s="74"/>
      <c r="D117" s="8"/>
      <c r="E117" s="8"/>
      <c r="F117" s="59"/>
      <c r="G117" s="8"/>
      <c r="H117" s="8"/>
      <c r="I117" s="59"/>
      <c r="J117" s="8"/>
      <c r="K117" s="8"/>
      <c r="L117" s="59"/>
      <c r="M117" s="8"/>
      <c r="N117" s="8"/>
      <c r="O117" s="8"/>
      <c r="P117" s="59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74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</row>
    <row r="118" spans="1:45" s="1" customFormat="1" ht="11">
      <c r="A118" s="7">
        <f>SUM(C118:AS118)</f>
        <v>428</v>
      </c>
      <c r="B118" s="6" t="s">
        <v>15</v>
      </c>
      <c r="C118" s="74">
        <v>0</v>
      </c>
      <c r="D118" s="5">
        <f t="shared" ref="D118:AL118" si="208">IF(D$3="","",D111-C111)</f>
        <v>0</v>
      </c>
      <c r="E118" s="5">
        <f t="shared" si="208"/>
        <v>84</v>
      </c>
      <c r="F118" s="59">
        <f t="shared" si="208"/>
        <v>0</v>
      </c>
      <c r="G118" s="5">
        <f t="shared" si="208"/>
        <v>0</v>
      </c>
      <c r="H118" s="5">
        <f t="shared" si="208"/>
        <v>20</v>
      </c>
      <c r="I118" s="59">
        <f t="shared" si="208"/>
        <v>0</v>
      </c>
      <c r="J118" s="5">
        <f t="shared" si="208"/>
        <v>0</v>
      </c>
      <c r="K118" s="5">
        <f t="shared" si="208"/>
        <v>52</v>
      </c>
      <c r="L118" s="59">
        <f t="shared" si="208"/>
        <v>0</v>
      </c>
      <c r="M118" s="5">
        <f t="shared" si="208"/>
        <v>0</v>
      </c>
      <c r="N118" s="5">
        <f t="shared" si="208"/>
        <v>0</v>
      </c>
      <c r="O118" s="5">
        <f t="shared" si="208"/>
        <v>82</v>
      </c>
      <c r="P118" s="59">
        <f t="shared" si="208"/>
        <v>0</v>
      </c>
      <c r="Q118" s="5">
        <f t="shared" si="208"/>
        <v>0</v>
      </c>
      <c r="R118" s="5">
        <f t="shared" si="208"/>
        <v>36</v>
      </c>
      <c r="S118" s="5">
        <f t="shared" si="208"/>
        <v>0</v>
      </c>
      <c r="T118" s="5">
        <f t="shared" si="208"/>
        <v>0</v>
      </c>
      <c r="U118" s="5">
        <f t="shared" si="208"/>
        <v>0</v>
      </c>
      <c r="V118" s="5">
        <f t="shared" si="208"/>
        <v>45</v>
      </c>
      <c r="W118" s="5">
        <f t="shared" si="208"/>
        <v>0</v>
      </c>
      <c r="X118" s="5">
        <f t="shared" si="208"/>
        <v>0</v>
      </c>
      <c r="Y118" s="5">
        <f t="shared" si="208"/>
        <v>37</v>
      </c>
      <c r="Z118" s="5">
        <f t="shared" si="208"/>
        <v>0</v>
      </c>
      <c r="AA118" s="5">
        <f t="shared" si="208"/>
        <v>0</v>
      </c>
      <c r="AB118" s="5">
        <f t="shared" si="208"/>
        <v>0</v>
      </c>
      <c r="AC118" s="5">
        <f t="shared" si="208"/>
        <v>50</v>
      </c>
      <c r="AD118" s="74">
        <f t="shared" si="208"/>
        <v>0</v>
      </c>
      <c r="AE118" s="5">
        <f t="shared" si="208"/>
        <v>0</v>
      </c>
      <c r="AF118" s="5">
        <f t="shared" si="208"/>
        <v>22</v>
      </c>
      <c r="AG118" s="5" t="str">
        <f t="shared" si="208"/>
        <v/>
      </c>
      <c r="AH118" s="5" t="str">
        <f t="shared" si="208"/>
        <v/>
      </c>
      <c r="AI118" s="5" t="str">
        <f t="shared" si="208"/>
        <v/>
      </c>
      <c r="AJ118" s="5" t="str">
        <f t="shared" si="208"/>
        <v/>
      </c>
      <c r="AK118" s="5" t="str">
        <f t="shared" si="208"/>
        <v/>
      </c>
      <c r="AL118" s="5" t="str">
        <f t="shared" si="208"/>
        <v/>
      </c>
      <c r="AM118" s="5" t="str">
        <f t="shared" ref="AM118:AS118" si="209">IF(AM$3="","",AM111-AL111)</f>
        <v/>
      </c>
      <c r="AN118" s="5" t="str">
        <f t="shared" si="209"/>
        <v/>
      </c>
      <c r="AO118" s="5" t="str">
        <f t="shared" si="209"/>
        <v/>
      </c>
      <c r="AP118" s="5" t="str">
        <f t="shared" si="209"/>
        <v/>
      </c>
      <c r="AQ118" s="5" t="str">
        <f t="shared" si="209"/>
        <v/>
      </c>
      <c r="AR118" s="5" t="str">
        <f t="shared" si="209"/>
        <v/>
      </c>
      <c r="AS118" s="5" t="str">
        <f t="shared" si="209"/>
        <v/>
      </c>
    </row>
    <row r="119" spans="1:45" s="1" customFormat="1" ht="11">
      <c r="A119" s="7">
        <f>SUM(C119:AS119)</f>
        <v>4</v>
      </c>
      <c r="B119" s="6" t="s">
        <v>16</v>
      </c>
      <c r="C119" s="74">
        <v>0</v>
      </c>
      <c r="D119" s="5">
        <f t="shared" ref="D119:AL119" si="210">IF(D$3="","",D112-C112)</f>
        <v>0</v>
      </c>
      <c r="E119" s="5">
        <f t="shared" si="210"/>
        <v>0</v>
      </c>
      <c r="F119" s="59">
        <f t="shared" si="210"/>
        <v>0</v>
      </c>
      <c r="G119" s="5">
        <f t="shared" si="210"/>
        <v>0</v>
      </c>
      <c r="H119" s="5">
        <f t="shared" si="210"/>
        <v>0</v>
      </c>
      <c r="I119" s="59">
        <f t="shared" si="210"/>
        <v>0</v>
      </c>
      <c r="J119" s="5">
        <f t="shared" si="210"/>
        <v>0</v>
      </c>
      <c r="K119" s="5">
        <f t="shared" si="210"/>
        <v>1</v>
      </c>
      <c r="L119" s="59">
        <f t="shared" si="210"/>
        <v>0</v>
      </c>
      <c r="M119" s="5">
        <f t="shared" si="210"/>
        <v>0</v>
      </c>
      <c r="N119" s="5">
        <f t="shared" si="210"/>
        <v>0</v>
      </c>
      <c r="O119" s="5">
        <f t="shared" si="210"/>
        <v>1</v>
      </c>
      <c r="P119" s="59">
        <f t="shared" si="210"/>
        <v>0</v>
      </c>
      <c r="Q119" s="5">
        <f t="shared" si="210"/>
        <v>0</v>
      </c>
      <c r="R119" s="5">
        <f t="shared" si="210"/>
        <v>0</v>
      </c>
      <c r="S119" s="5">
        <f t="shared" si="210"/>
        <v>0</v>
      </c>
      <c r="T119" s="5">
        <f t="shared" si="210"/>
        <v>0</v>
      </c>
      <c r="U119" s="5">
        <f t="shared" si="210"/>
        <v>0</v>
      </c>
      <c r="V119" s="5">
        <f t="shared" si="210"/>
        <v>0</v>
      </c>
      <c r="W119" s="5">
        <f t="shared" si="210"/>
        <v>0</v>
      </c>
      <c r="X119" s="5">
        <f t="shared" si="210"/>
        <v>0</v>
      </c>
      <c r="Y119" s="5">
        <f t="shared" si="210"/>
        <v>1</v>
      </c>
      <c r="Z119" s="5">
        <f t="shared" si="210"/>
        <v>0</v>
      </c>
      <c r="AA119" s="5">
        <f t="shared" si="210"/>
        <v>0</v>
      </c>
      <c r="AB119" s="5">
        <f t="shared" si="210"/>
        <v>0</v>
      </c>
      <c r="AC119" s="5">
        <f t="shared" si="210"/>
        <v>0</v>
      </c>
      <c r="AD119" s="74">
        <f t="shared" si="210"/>
        <v>0</v>
      </c>
      <c r="AE119" s="5">
        <f t="shared" si="210"/>
        <v>0</v>
      </c>
      <c r="AF119" s="5">
        <f t="shared" si="210"/>
        <v>1</v>
      </c>
      <c r="AG119" s="5" t="str">
        <f t="shared" si="210"/>
        <v/>
      </c>
      <c r="AH119" s="5" t="str">
        <f t="shared" si="210"/>
        <v/>
      </c>
      <c r="AI119" s="5" t="str">
        <f t="shared" si="210"/>
        <v/>
      </c>
      <c r="AJ119" s="5" t="str">
        <f t="shared" si="210"/>
        <v/>
      </c>
      <c r="AK119" s="5" t="str">
        <f t="shared" si="210"/>
        <v/>
      </c>
      <c r="AL119" s="5" t="str">
        <f t="shared" si="210"/>
        <v/>
      </c>
      <c r="AM119" s="5" t="str">
        <f t="shared" ref="AM119:AS119" si="211">IF(AM$3="","",AM112-AL112)</f>
        <v/>
      </c>
      <c r="AN119" s="5" t="str">
        <f t="shared" si="211"/>
        <v/>
      </c>
      <c r="AO119" s="5" t="str">
        <f t="shared" si="211"/>
        <v/>
      </c>
      <c r="AP119" s="5" t="str">
        <f t="shared" si="211"/>
        <v/>
      </c>
      <c r="AQ119" s="5" t="str">
        <f t="shared" si="211"/>
        <v/>
      </c>
      <c r="AR119" s="5" t="str">
        <f t="shared" si="211"/>
        <v/>
      </c>
      <c r="AS119" s="5" t="str">
        <f t="shared" si="211"/>
        <v/>
      </c>
    </row>
    <row r="120" spans="1:45" s="1" customFormat="1" ht="11">
      <c r="A120" s="7">
        <f>SUM(C120:AS120)</f>
        <v>6</v>
      </c>
      <c r="B120" s="6" t="s">
        <v>17</v>
      </c>
      <c r="C120" s="74">
        <v>0</v>
      </c>
      <c r="D120" s="5">
        <f t="shared" ref="D120:AL120" si="212">IF(D$3="","",C113+C114-D113)</f>
        <v>0</v>
      </c>
      <c r="E120" s="5">
        <f t="shared" si="212"/>
        <v>2</v>
      </c>
      <c r="F120" s="59">
        <f t="shared" si="212"/>
        <v>0</v>
      </c>
      <c r="G120" s="5">
        <f t="shared" si="212"/>
        <v>0</v>
      </c>
      <c r="H120" s="5">
        <f t="shared" si="212"/>
        <v>0</v>
      </c>
      <c r="I120" s="59">
        <f t="shared" si="212"/>
        <v>0</v>
      </c>
      <c r="J120" s="5">
        <f t="shared" si="212"/>
        <v>0</v>
      </c>
      <c r="K120" s="5">
        <f t="shared" si="212"/>
        <v>1</v>
      </c>
      <c r="L120" s="59">
        <f t="shared" si="212"/>
        <v>0</v>
      </c>
      <c r="M120" s="5">
        <f t="shared" si="212"/>
        <v>0</v>
      </c>
      <c r="N120" s="5">
        <f t="shared" si="212"/>
        <v>0</v>
      </c>
      <c r="O120" s="5">
        <f t="shared" si="212"/>
        <v>0</v>
      </c>
      <c r="P120" s="59">
        <f t="shared" si="212"/>
        <v>0</v>
      </c>
      <c r="Q120" s="5">
        <f t="shared" si="212"/>
        <v>0</v>
      </c>
      <c r="R120" s="5">
        <f t="shared" si="212"/>
        <v>0</v>
      </c>
      <c r="S120" s="5">
        <f t="shared" si="212"/>
        <v>0</v>
      </c>
      <c r="T120" s="5">
        <f t="shared" si="212"/>
        <v>0</v>
      </c>
      <c r="U120" s="5">
        <f t="shared" si="212"/>
        <v>0</v>
      </c>
      <c r="V120" s="5">
        <f t="shared" si="212"/>
        <v>0</v>
      </c>
      <c r="W120" s="5">
        <f t="shared" si="212"/>
        <v>0</v>
      </c>
      <c r="X120" s="5">
        <f t="shared" si="212"/>
        <v>0</v>
      </c>
      <c r="Y120" s="5">
        <f t="shared" si="212"/>
        <v>1</v>
      </c>
      <c r="Z120" s="5">
        <f t="shared" si="212"/>
        <v>0</v>
      </c>
      <c r="AA120" s="5">
        <f t="shared" si="212"/>
        <v>0</v>
      </c>
      <c r="AB120" s="5">
        <f t="shared" si="212"/>
        <v>0</v>
      </c>
      <c r="AC120" s="5">
        <f t="shared" si="212"/>
        <v>0</v>
      </c>
      <c r="AD120" s="74">
        <f t="shared" si="212"/>
        <v>0</v>
      </c>
      <c r="AE120" s="5">
        <f t="shared" si="212"/>
        <v>0</v>
      </c>
      <c r="AF120" s="5">
        <f t="shared" si="212"/>
        <v>2</v>
      </c>
      <c r="AG120" s="5" t="str">
        <f t="shared" si="212"/>
        <v/>
      </c>
      <c r="AH120" s="5" t="str">
        <f t="shared" si="212"/>
        <v/>
      </c>
      <c r="AI120" s="5" t="str">
        <f t="shared" si="212"/>
        <v/>
      </c>
      <c r="AJ120" s="5" t="str">
        <f t="shared" si="212"/>
        <v/>
      </c>
      <c r="AK120" s="5" t="str">
        <f t="shared" si="212"/>
        <v/>
      </c>
      <c r="AL120" s="5" t="str">
        <f t="shared" si="212"/>
        <v/>
      </c>
      <c r="AM120" s="5" t="str">
        <f t="shared" ref="AM120:AS120" si="213">IF(AM$3="","",AL113+AL114-AM113)</f>
        <v/>
      </c>
      <c r="AN120" s="5" t="str">
        <f t="shared" si="213"/>
        <v/>
      </c>
      <c r="AO120" s="5" t="str">
        <f t="shared" si="213"/>
        <v/>
      </c>
      <c r="AP120" s="5" t="str">
        <f t="shared" si="213"/>
        <v/>
      </c>
      <c r="AQ120" s="5" t="str">
        <f t="shared" si="213"/>
        <v/>
      </c>
      <c r="AR120" s="5" t="str">
        <f t="shared" si="213"/>
        <v/>
      </c>
      <c r="AS120" s="5" t="str">
        <f t="shared" si="213"/>
        <v/>
      </c>
    </row>
    <row r="121" spans="1:45" s="1" customFormat="1" ht="11">
      <c r="A121" s="7">
        <f>SUM(C121:AS121)</f>
        <v>4200</v>
      </c>
      <c r="B121" s="6" t="s">
        <v>18</v>
      </c>
      <c r="C121" s="74">
        <v>0</v>
      </c>
      <c r="D121" s="5">
        <f t="shared" ref="D121:AL121" si="214">IF(D$3="","",D120*D115)</f>
        <v>0</v>
      </c>
      <c r="E121" s="5">
        <f t="shared" si="214"/>
        <v>1400</v>
      </c>
      <c r="F121" s="59">
        <f t="shared" si="214"/>
        <v>0</v>
      </c>
      <c r="G121" s="5">
        <f t="shared" si="214"/>
        <v>0</v>
      </c>
      <c r="H121" s="5">
        <f t="shared" si="214"/>
        <v>0</v>
      </c>
      <c r="I121" s="59">
        <f t="shared" si="214"/>
        <v>0</v>
      </c>
      <c r="J121" s="5">
        <f t="shared" si="214"/>
        <v>0</v>
      </c>
      <c r="K121" s="5">
        <f t="shared" si="214"/>
        <v>700</v>
      </c>
      <c r="L121" s="59">
        <f t="shared" si="214"/>
        <v>0</v>
      </c>
      <c r="M121" s="5">
        <f t="shared" si="214"/>
        <v>0</v>
      </c>
      <c r="N121" s="5">
        <f t="shared" si="214"/>
        <v>0</v>
      </c>
      <c r="O121" s="5">
        <f t="shared" si="214"/>
        <v>0</v>
      </c>
      <c r="P121" s="59">
        <f t="shared" si="214"/>
        <v>0</v>
      </c>
      <c r="Q121" s="5">
        <f t="shared" si="214"/>
        <v>0</v>
      </c>
      <c r="R121" s="5">
        <f t="shared" si="214"/>
        <v>0</v>
      </c>
      <c r="S121" s="5">
        <f t="shared" si="214"/>
        <v>0</v>
      </c>
      <c r="T121" s="5">
        <f t="shared" si="214"/>
        <v>0</v>
      </c>
      <c r="U121" s="5">
        <f t="shared" si="214"/>
        <v>0</v>
      </c>
      <c r="V121" s="5">
        <f t="shared" si="214"/>
        <v>0</v>
      </c>
      <c r="W121" s="5">
        <f t="shared" si="214"/>
        <v>0</v>
      </c>
      <c r="X121" s="5">
        <f t="shared" si="214"/>
        <v>0</v>
      </c>
      <c r="Y121" s="5">
        <f t="shared" si="214"/>
        <v>700</v>
      </c>
      <c r="Z121" s="5">
        <f t="shared" si="214"/>
        <v>0</v>
      </c>
      <c r="AA121" s="5">
        <f t="shared" si="214"/>
        <v>0</v>
      </c>
      <c r="AB121" s="5">
        <f t="shared" si="214"/>
        <v>0</v>
      </c>
      <c r="AC121" s="5">
        <f t="shared" si="214"/>
        <v>0</v>
      </c>
      <c r="AD121" s="74">
        <f t="shared" si="214"/>
        <v>0</v>
      </c>
      <c r="AE121" s="5">
        <f t="shared" si="214"/>
        <v>0</v>
      </c>
      <c r="AF121" s="5">
        <f t="shared" si="214"/>
        <v>1400</v>
      </c>
      <c r="AG121" s="5" t="str">
        <f t="shared" si="214"/>
        <v/>
      </c>
      <c r="AH121" s="5" t="str">
        <f t="shared" si="214"/>
        <v/>
      </c>
      <c r="AI121" s="5" t="str">
        <f t="shared" si="214"/>
        <v/>
      </c>
      <c r="AJ121" s="5" t="str">
        <f t="shared" si="214"/>
        <v/>
      </c>
      <c r="AK121" s="5" t="str">
        <f t="shared" si="214"/>
        <v/>
      </c>
      <c r="AL121" s="5" t="str">
        <f t="shared" si="214"/>
        <v/>
      </c>
      <c r="AM121" s="5" t="str">
        <f t="shared" ref="AM121:AS121" si="215">IF(AM$3="","",AM120*AM115)</f>
        <v/>
      </c>
      <c r="AN121" s="5" t="str">
        <f t="shared" si="215"/>
        <v/>
      </c>
      <c r="AO121" s="5" t="str">
        <f t="shared" si="215"/>
        <v/>
      </c>
      <c r="AP121" s="5" t="str">
        <f t="shared" si="215"/>
        <v/>
      </c>
      <c r="AQ121" s="5" t="str">
        <f t="shared" si="215"/>
        <v/>
      </c>
      <c r="AR121" s="5" t="str">
        <f t="shared" si="215"/>
        <v/>
      </c>
      <c r="AS121" s="5" t="str">
        <f t="shared" si="215"/>
        <v/>
      </c>
    </row>
    <row r="122" spans="1:45" s="1" customFormat="1" ht="12" thickBot="1">
      <c r="A122" s="4">
        <f>IF(A121="","",A121/(A118*100))</f>
        <v>9.8130841121495324E-2</v>
      </c>
      <c r="B122" s="6" t="s">
        <v>20</v>
      </c>
      <c r="C122" s="76" t="s">
        <v>21</v>
      </c>
      <c r="D122" s="18" t="str">
        <f t="shared" ref="D122:AL122" si="216">IF(D$3="","",IF(D121=0,"",D121/(D118*100)))</f>
        <v/>
      </c>
      <c r="E122" s="18">
        <f t="shared" si="216"/>
        <v>0.16666666666666666</v>
      </c>
      <c r="F122" s="62" t="str">
        <f t="shared" si="216"/>
        <v/>
      </c>
      <c r="G122" s="18" t="str">
        <f t="shared" si="216"/>
        <v/>
      </c>
      <c r="H122" s="18" t="str">
        <f t="shared" si="216"/>
        <v/>
      </c>
      <c r="I122" s="62" t="str">
        <f t="shared" si="216"/>
        <v/>
      </c>
      <c r="J122" s="18" t="str">
        <f t="shared" si="216"/>
        <v/>
      </c>
      <c r="K122" s="18">
        <f t="shared" si="216"/>
        <v>0.13461538461538461</v>
      </c>
      <c r="L122" s="62" t="str">
        <f t="shared" si="216"/>
        <v/>
      </c>
      <c r="M122" s="18" t="str">
        <f t="shared" si="216"/>
        <v/>
      </c>
      <c r="N122" s="18" t="str">
        <f t="shared" si="216"/>
        <v/>
      </c>
      <c r="O122" s="18" t="str">
        <f t="shared" si="216"/>
        <v/>
      </c>
      <c r="P122" s="62" t="str">
        <f t="shared" si="216"/>
        <v/>
      </c>
      <c r="Q122" s="18" t="str">
        <f t="shared" si="216"/>
        <v/>
      </c>
      <c r="R122" s="18" t="str">
        <f t="shared" si="216"/>
        <v/>
      </c>
      <c r="S122" s="18" t="str">
        <f t="shared" si="216"/>
        <v/>
      </c>
      <c r="T122" s="18" t="str">
        <f t="shared" si="216"/>
        <v/>
      </c>
      <c r="U122" s="18" t="str">
        <f t="shared" si="216"/>
        <v/>
      </c>
      <c r="V122" s="18" t="str">
        <f t="shared" si="216"/>
        <v/>
      </c>
      <c r="W122" s="18" t="str">
        <f t="shared" si="216"/>
        <v/>
      </c>
      <c r="X122" s="18" t="str">
        <f t="shared" si="216"/>
        <v/>
      </c>
      <c r="Y122" s="18">
        <f t="shared" si="216"/>
        <v>0.1891891891891892</v>
      </c>
      <c r="Z122" s="18" t="str">
        <f t="shared" si="216"/>
        <v/>
      </c>
      <c r="AA122" s="18" t="str">
        <f t="shared" si="216"/>
        <v/>
      </c>
      <c r="AB122" s="18" t="str">
        <f t="shared" si="216"/>
        <v/>
      </c>
      <c r="AC122" s="18" t="str">
        <f t="shared" si="216"/>
        <v/>
      </c>
      <c r="AD122" s="76" t="str">
        <f t="shared" si="216"/>
        <v/>
      </c>
      <c r="AE122" s="18" t="str">
        <f t="shared" si="216"/>
        <v/>
      </c>
      <c r="AF122" s="18">
        <f t="shared" si="216"/>
        <v>0.63636363636363635</v>
      </c>
      <c r="AG122" s="18" t="str">
        <f t="shared" si="216"/>
        <v/>
      </c>
      <c r="AH122" s="18" t="str">
        <f t="shared" si="216"/>
        <v/>
      </c>
      <c r="AI122" s="18" t="str">
        <f t="shared" si="216"/>
        <v/>
      </c>
      <c r="AJ122" s="18" t="str">
        <f t="shared" si="216"/>
        <v/>
      </c>
      <c r="AK122" s="18" t="str">
        <f t="shared" si="216"/>
        <v/>
      </c>
      <c r="AL122" s="18" t="str">
        <f t="shared" si="216"/>
        <v/>
      </c>
      <c r="AM122" s="18" t="str">
        <f t="shared" ref="AM122:AS122" si="217">IF(AM$3="","",IF(AM121=0,"",AM121/(AM118*100)))</f>
        <v/>
      </c>
      <c r="AN122" s="18" t="str">
        <f t="shared" si="217"/>
        <v/>
      </c>
      <c r="AO122" s="18" t="str">
        <f t="shared" si="217"/>
        <v/>
      </c>
      <c r="AP122" s="18" t="str">
        <f t="shared" si="217"/>
        <v/>
      </c>
      <c r="AQ122" s="18" t="str">
        <f t="shared" si="217"/>
        <v/>
      </c>
      <c r="AR122" s="18" t="str">
        <f t="shared" si="217"/>
        <v/>
      </c>
      <c r="AS122" s="18" t="str">
        <f t="shared" si="217"/>
        <v/>
      </c>
    </row>
    <row r="123" spans="1:45" s="1" customFormat="1" ht="11">
      <c r="A123" s="17" t="s">
        <v>61</v>
      </c>
      <c r="B123" s="9" t="s">
        <v>2</v>
      </c>
      <c r="C123" s="74">
        <v>4946</v>
      </c>
      <c r="D123" s="8">
        <f>IF(D$3="","",C123)</f>
        <v>4946</v>
      </c>
      <c r="E123" s="8">
        <v>4985</v>
      </c>
      <c r="F123" s="59">
        <f>IF(F$3="","",E123)</f>
        <v>4985</v>
      </c>
      <c r="G123" s="8">
        <f>IF(G$3="","",F123)</f>
        <v>4985</v>
      </c>
      <c r="H123" s="8">
        <v>4993</v>
      </c>
      <c r="I123" s="59">
        <f>IF(I$3="","",H123)</f>
        <v>4993</v>
      </c>
      <c r="J123" s="8">
        <f>IF(J$3="","",I123)</f>
        <v>4993</v>
      </c>
      <c r="K123" s="8">
        <v>5070</v>
      </c>
      <c r="L123" s="59">
        <f t="shared" ref="L123:N124" si="218">IF(L$3="","",K123)</f>
        <v>5070</v>
      </c>
      <c r="M123" s="8">
        <f t="shared" si="218"/>
        <v>5070</v>
      </c>
      <c r="N123" s="8">
        <f t="shared" si="218"/>
        <v>5070</v>
      </c>
      <c r="O123" s="8">
        <v>5177</v>
      </c>
      <c r="P123" s="59">
        <f>IF(P$3="","",O123)</f>
        <v>5177</v>
      </c>
      <c r="Q123" s="8">
        <f>IF(Q$3="","",P123)</f>
        <v>5177</v>
      </c>
      <c r="R123" s="8">
        <v>5216</v>
      </c>
      <c r="S123" s="8">
        <f t="shared" ref="S123:AL123" si="219">IF(S$3="","",R123)</f>
        <v>5216</v>
      </c>
      <c r="T123" s="8">
        <f t="shared" si="219"/>
        <v>5216</v>
      </c>
      <c r="U123" s="8">
        <f t="shared" si="219"/>
        <v>5216</v>
      </c>
      <c r="V123" s="8">
        <v>5247</v>
      </c>
      <c r="W123" s="8">
        <f t="shared" si="219"/>
        <v>5247</v>
      </c>
      <c r="X123" s="8">
        <f t="shared" si="219"/>
        <v>5247</v>
      </c>
      <c r="Y123" s="8">
        <v>5264</v>
      </c>
      <c r="Z123" s="8">
        <f t="shared" si="219"/>
        <v>5264</v>
      </c>
      <c r="AA123" s="8">
        <f t="shared" si="219"/>
        <v>5264</v>
      </c>
      <c r="AB123" s="8">
        <f t="shared" si="219"/>
        <v>5264</v>
      </c>
      <c r="AC123" s="8">
        <v>5269</v>
      </c>
      <c r="AD123" s="74">
        <f t="shared" si="219"/>
        <v>5269</v>
      </c>
      <c r="AE123" s="8">
        <f t="shared" si="219"/>
        <v>5269</v>
      </c>
      <c r="AF123" s="8">
        <v>5302</v>
      </c>
      <c r="AG123" s="8" t="str">
        <f t="shared" si="219"/>
        <v/>
      </c>
      <c r="AH123" s="8" t="str">
        <f t="shared" si="219"/>
        <v/>
      </c>
      <c r="AI123" s="8" t="str">
        <f t="shared" si="219"/>
        <v/>
      </c>
      <c r="AJ123" s="8" t="str">
        <f t="shared" si="219"/>
        <v/>
      </c>
      <c r="AK123" s="8" t="str">
        <f t="shared" si="219"/>
        <v/>
      </c>
      <c r="AL123" s="8" t="str">
        <f t="shared" si="219"/>
        <v/>
      </c>
      <c r="AM123" s="8" t="str">
        <f t="shared" ref="AM123:AS123" si="220">IF(AM$3="","",AL123)</f>
        <v/>
      </c>
      <c r="AN123" s="8" t="str">
        <f t="shared" si="220"/>
        <v/>
      </c>
      <c r="AO123" s="8" t="str">
        <f t="shared" si="220"/>
        <v/>
      </c>
      <c r="AP123" s="8" t="str">
        <f t="shared" si="220"/>
        <v/>
      </c>
      <c r="AQ123" s="8" t="str">
        <f t="shared" si="220"/>
        <v/>
      </c>
      <c r="AR123" s="8" t="str">
        <f t="shared" si="220"/>
        <v/>
      </c>
      <c r="AS123" s="8" t="str">
        <f t="shared" si="220"/>
        <v/>
      </c>
    </row>
    <row r="124" spans="1:45" s="1" customFormat="1" ht="11">
      <c r="A124" s="16" t="s">
        <v>37</v>
      </c>
      <c r="B124" s="9" t="s">
        <v>4</v>
      </c>
      <c r="C124" s="74">
        <v>102</v>
      </c>
      <c r="D124" s="8">
        <f>IF(D$3="","",C124)</f>
        <v>102</v>
      </c>
      <c r="E124" s="8">
        <f>IF(E$3="","",D124)</f>
        <v>102</v>
      </c>
      <c r="F124" s="59">
        <f>IF(F$3="","",E124)</f>
        <v>102</v>
      </c>
      <c r="G124" s="8">
        <f>IF(G$3="","",F124)</f>
        <v>102</v>
      </c>
      <c r="H124" s="8">
        <f>IF(H$3="","",G124)</f>
        <v>102</v>
      </c>
      <c r="I124" s="59">
        <f>IF(I$3="","",H124)</f>
        <v>102</v>
      </c>
      <c r="J124" s="8">
        <f>IF(J$3="","",I124)</f>
        <v>102</v>
      </c>
      <c r="K124" s="8">
        <v>103</v>
      </c>
      <c r="L124" s="59">
        <f t="shared" si="218"/>
        <v>103</v>
      </c>
      <c r="M124" s="8">
        <f t="shared" si="218"/>
        <v>103</v>
      </c>
      <c r="N124" s="8">
        <f t="shared" si="218"/>
        <v>103</v>
      </c>
      <c r="O124" s="8">
        <v>105</v>
      </c>
      <c r="P124" s="59">
        <f>IF(P$3="","",O124)</f>
        <v>105</v>
      </c>
      <c r="Q124" s="8">
        <f>IF(Q$3="","",P124)</f>
        <v>105</v>
      </c>
      <c r="R124" s="8">
        <f>IF(R$3="","",Q124)</f>
        <v>105</v>
      </c>
      <c r="S124" s="8">
        <f t="shared" ref="S124:AL124" si="221">IF(S$3="","",R124)</f>
        <v>105</v>
      </c>
      <c r="T124" s="8">
        <f t="shared" si="221"/>
        <v>105</v>
      </c>
      <c r="U124" s="8">
        <f t="shared" si="221"/>
        <v>105</v>
      </c>
      <c r="V124" s="8">
        <v>106</v>
      </c>
      <c r="W124" s="8">
        <f t="shared" si="221"/>
        <v>106</v>
      </c>
      <c r="X124" s="8">
        <f t="shared" si="221"/>
        <v>106</v>
      </c>
      <c r="Y124" s="8">
        <f t="shared" si="221"/>
        <v>106</v>
      </c>
      <c r="Z124" s="8">
        <f t="shared" si="221"/>
        <v>106</v>
      </c>
      <c r="AA124" s="8">
        <f t="shared" si="221"/>
        <v>106</v>
      </c>
      <c r="AB124" s="8">
        <f t="shared" si="221"/>
        <v>106</v>
      </c>
      <c r="AC124" s="8">
        <f t="shared" si="221"/>
        <v>106</v>
      </c>
      <c r="AD124" s="74">
        <f t="shared" si="221"/>
        <v>106</v>
      </c>
      <c r="AE124" s="8">
        <f t="shared" si="221"/>
        <v>106</v>
      </c>
      <c r="AF124" s="8">
        <f t="shared" si="221"/>
        <v>106</v>
      </c>
      <c r="AG124" s="8" t="str">
        <f t="shared" si="221"/>
        <v/>
      </c>
      <c r="AH124" s="8" t="str">
        <f t="shared" si="221"/>
        <v/>
      </c>
      <c r="AI124" s="8" t="str">
        <f t="shared" si="221"/>
        <v/>
      </c>
      <c r="AJ124" s="8" t="str">
        <f t="shared" si="221"/>
        <v/>
      </c>
      <c r="AK124" s="8" t="str">
        <f t="shared" si="221"/>
        <v/>
      </c>
      <c r="AL124" s="8" t="str">
        <f t="shared" si="221"/>
        <v/>
      </c>
      <c r="AM124" s="8" t="str">
        <f t="shared" ref="AM124:AS124" si="222">IF(AM$3="","",AL124)</f>
        <v/>
      </c>
      <c r="AN124" s="8" t="str">
        <f t="shared" si="222"/>
        <v/>
      </c>
      <c r="AO124" s="8" t="str">
        <f t="shared" si="222"/>
        <v/>
      </c>
      <c r="AP124" s="8" t="str">
        <f t="shared" si="222"/>
        <v/>
      </c>
      <c r="AQ124" s="8" t="str">
        <f t="shared" si="222"/>
        <v/>
      </c>
      <c r="AR124" s="8" t="str">
        <f t="shared" si="222"/>
        <v/>
      </c>
      <c r="AS124" s="8" t="str">
        <f t="shared" si="222"/>
        <v/>
      </c>
    </row>
    <row r="125" spans="1:45" s="1" customFormat="1" ht="11">
      <c r="A125" s="15">
        <v>3</v>
      </c>
      <c r="B125" s="9" t="s">
        <v>5</v>
      </c>
      <c r="C125" s="74">
        <v>12</v>
      </c>
      <c r="D125" s="8">
        <f t="shared" ref="D125:J125" si="223">IF(D$3="","",(C125+C126))</f>
        <v>12</v>
      </c>
      <c r="E125" s="8">
        <f t="shared" si="223"/>
        <v>12</v>
      </c>
      <c r="F125" s="59">
        <f t="shared" si="223"/>
        <v>12</v>
      </c>
      <c r="G125" s="8">
        <f t="shared" si="223"/>
        <v>12</v>
      </c>
      <c r="H125" s="8">
        <f t="shared" si="223"/>
        <v>12</v>
      </c>
      <c r="I125" s="59">
        <f t="shared" si="223"/>
        <v>12</v>
      </c>
      <c r="J125" s="8">
        <f t="shared" si="223"/>
        <v>12</v>
      </c>
      <c r="K125" s="8">
        <v>11</v>
      </c>
      <c r="L125" s="59">
        <f>IF(L$3="","",(K125+K126))</f>
        <v>11</v>
      </c>
      <c r="M125" s="8">
        <f>IF(M$3="","",(L125+L126))</f>
        <v>11</v>
      </c>
      <c r="N125" s="8">
        <f>IF(N$3="","",(M125+M126))</f>
        <v>11</v>
      </c>
      <c r="O125" s="8">
        <v>9</v>
      </c>
      <c r="P125" s="59">
        <f t="shared" ref="P125:AL125" si="224">IF(P$3="","",(O125+O126))</f>
        <v>15</v>
      </c>
      <c r="Q125" s="8">
        <f t="shared" si="224"/>
        <v>15</v>
      </c>
      <c r="R125" s="8">
        <f t="shared" si="224"/>
        <v>15</v>
      </c>
      <c r="S125" s="8">
        <f t="shared" si="224"/>
        <v>15</v>
      </c>
      <c r="T125" s="8">
        <f t="shared" si="224"/>
        <v>15</v>
      </c>
      <c r="U125" s="8">
        <f t="shared" si="224"/>
        <v>15</v>
      </c>
      <c r="V125" s="8">
        <v>14</v>
      </c>
      <c r="W125" s="8">
        <f t="shared" si="224"/>
        <v>14</v>
      </c>
      <c r="X125" s="8">
        <f t="shared" si="224"/>
        <v>14</v>
      </c>
      <c r="Y125" s="8">
        <f t="shared" si="224"/>
        <v>14</v>
      </c>
      <c r="Z125" s="8">
        <f t="shared" si="224"/>
        <v>14</v>
      </c>
      <c r="AA125" s="8">
        <f t="shared" si="224"/>
        <v>14</v>
      </c>
      <c r="AB125" s="8">
        <f t="shared" si="224"/>
        <v>14</v>
      </c>
      <c r="AC125" s="8">
        <f t="shared" si="224"/>
        <v>14</v>
      </c>
      <c r="AD125" s="74">
        <f t="shared" si="224"/>
        <v>14</v>
      </c>
      <c r="AE125" s="8">
        <f t="shared" si="224"/>
        <v>14</v>
      </c>
      <c r="AF125" s="8">
        <f t="shared" si="224"/>
        <v>14</v>
      </c>
      <c r="AG125" s="8" t="str">
        <f t="shared" si="224"/>
        <v/>
      </c>
      <c r="AH125" s="8" t="str">
        <f t="shared" si="224"/>
        <v/>
      </c>
      <c r="AI125" s="8" t="str">
        <f t="shared" si="224"/>
        <v/>
      </c>
      <c r="AJ125" s="8" t="str">
        <f t="shared" si="224"/>
        <v/>
      </c>
      <c r="AK125" s="8" t="str">
        <f t="shared" si="224"/>
        <v/>
      </c>
      <c r="AL125" s="8" t="str">
        <f t="shared" si="224"/>
        <v/>
      </c>
      <c r="AM125" s="8" t="str">
        <f t="shared" ref="AM125:AS125" si="225">IF(AM$3="","",(AL125+AL126))</f>
        <v/>
      </c>
      <c r="AN125" s="8" t="str">
        <f t="shared" si="225"/>
        <v/>
      </c>
      <c r="AO125" s="8" t="str">
        <f t="shared" si="225"/>
        <v/>
      </c>
      <c r="AP125" s="8" t="str">
        <f t="shared" si="225"/>
        <v/>
      </c>
      <c r="AQ125" s="8" t="str">
        <f t="shared" si="225"/>
        <v/>
      </c>
      <c r="AR125" s="8" t="str">
        <f t="shared" si="225"/>
        <v/>
      </c>
      <c r="AS125" s="8" t="str">
        <f t="shared" si="225"/>
        <v/>
      </c>
    </row>
    <row r="126" spans="1:45" s="1" customFormat="1" ht="11">
      <c r="A126" s="14"/>
      <c r="B126" s="9" t="s">
        <v>7</v>
      </c>
      <c r="C126" s="74"/>
      <c r="D126" s="8"/>
      <c r="E126" s="8"/>
      <c r="F126" s="59"/>
      <c r="G126" s="8"/>
      <c r="H126" s="8"/>
      <c r="I126" s="59"/>
      <c r="J126" s="8"/>
      <c r="K126" s="8"/>
      <c r="L126" s="59"/>
      <c r="M126" s="8"/>
      <c r="N126" s="8"/>
      <c r="O126" s="8">
        <v>6</v>
      </c>
      <c r="P126" s="59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74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</row>
    <row r="127" spans="1:45" s="1" customFormat="1" ht="11">
      <c r="A127" s="7"/>
      <c r="B127" s="9" t="s">
        <v>8</v>
      </c>
      <c r="C127" s="74">
        <v>400</v>
      </c>
      <c r="D127" s="8">
        <f t="shared" ref="D127:AL127" si="226">IF(D$3="","",C127)</f>
        <v>400</v>
      </c>
      <c r="E127" s="8">
        <f t="shared" si="226"/>
        <v>400</v>
      </c>
      <c r="F127" s="59">
        <f t="shared" si="226"/>
        <v>400</v>
      </c>
      <c r="G127" s="8">
        <f t="shared" si="226"/>
        <v>400</v>
      </c>
      <c r="H127" s="8">
        <f t="shared" si="226"/>
        <v>400</v>
      </c>
      <c r="I127" s="59">
        <f t="shared" si="226"/>
        <v>400</v>
      </c>
      <c r="J127" s="8">
        <f t="shared" si="226"/>
        <v>400</v>
      </c>
      <c r="K127" s="8">
        <f t="shared" si="226"/>
        <v>400</v>
      </c>
      <c r="L127" s="59">
        <f t="shared" si="226"/>
        <v>400</v>
      </c>
      <c r="M127" s="8">
        <f t="shared" si="226"/>
        <v>400</v>
      </c>
      <c r="N127" s="8">
        <f t="shared" si="226"/>
        <v>400</v>
      </c>
      <c r="O127" s="8">
        <f t="shared" si="226"/>
        <v>400</v>
      </c>
      <c r="P127" s="59">
        <f t="shared" si="226"/>
        <v>400</v>
      </c>
      <c r="Q127" s="8">
        <f t="shared" si="226"/>
        <v>400</v>
      </c>
      <c r="R127" s="8">
        <f t="shared" si="226"/>
        <v>400</v>
      </c>
      <c r="S127" s="8">
        <f t="shared" si="226"/>
        <v>400</v>
      </c>
      <c r="T127" s="8">
        <f t="shared" si="226"/>
        <v>400</v>
      </c>
      <c r="U127" s="8">
        <f t="shared" si="226"/>
        <v>400</v>
      </c>
      <c r="V127" s="8">
        <f t="shared" si="226"/>
        <v>400</v>
      </c>
      <c r="W127" s="8">
        <f t="shared" si="226"/>
        <v>400</v>
      </c>
      <c r="X127" s="8">
        <f t="shared" si="226"/>
        <v>400</v>
      </c>
      <c r="Y127" s="8">
        <f t="shared" si="226"/>
        <v>400</v>
      </c>
      <c r="Z127" s="8">
        <f t="shared" si="226"/>
        <v>400</v>
      </c>
      <c r="AA127" s="8">
        <f t="shared" si="226"/>
        <v>400</v>
      </c>
      <c r="AB127" s="8">
        <f t="shared" si="226"/>
        <v>400</v>
      </c>
      <c r="AC127" s="8">
        <f t="shared" si="226"/>
        <v>400</v>
      </c>
      <c r="AD127" s="74">
        <f t="shared" si="226"/>
        <v>400</v>
      </c>
      <c r="AE127" s="8">
        <f t="shared" si="226"/>
        <v>400</v>
      </c>
      <c r="AF127" s="8">
        <f t="shared" si="226"/>
        <v>400</v>
      </c>
      <c r="AG127" s="8" t="str">
        <f t="shared" si="226"/>
        <v/>
      </c>
      <c r="AH127" s="8" t="str">
        <f t="shared" si="226"/>
        <v/>
      </c>
      <c r="AI127" s="8" t="str">
        <f t="shared" si="226"/>
        <v/>
      </c>
      <c r="AJ127" s="8" t="str">
        <f t="shared" si="226"/>
        <v/>
      </c>
      <c r="AK127" s="8" t="str">
        <f t="shared" si="226"/>
        <v/>
      </c>
      <c r="AL127" s="8" t="str">
        <f t="shared" si="226"/>
        <v/>
      </c>
      <c r="AM127" s="8" t="str">
        <f t="shared" ref="AM127:AS127" si="227">IF(AM$3="","",AL127)</f>
        <v/>
      </c>
      <c r="AN127" s="8" t="str">
        <f t="shared" si="227"/>
        <v/>
      </c>
      <c r="AO127" s="8" t="str">
        <f t="shared" si="227"/>
        <v/>
      </c>
      <c r="AP127" s="8" t="str">
        <f t="shared" si="227"/>
        <v/>
      </c>
      <c r="AQ127" s="8" t="str">
        <f t="shared" si="227"/>
        <v/>
      </c>
      <c r="AR127" s="8" t="str">
        <f t="shared" si="227"/>
        <v/>
      </c>
      <c r="AS127" s="8" t="str">
        <f t="shared" si="227"/>
        <v/>
      </c>
    </row>
    <row r="128" spans="1:45" s="94" customFormat="1" ht="11">
      <c r="A128" s="14" t="s">
        <v>9</v>
      </c>
      <c r="B128" s="13" t="s">
        <v>10</v>
      </c>
      <c r="C128" s="75" t="s">
        <v>68</v>
      </c>
      <c r="D128" s="12" t="str">
        <f t="shared" ref="D128:AL128" si="228">IF(D$3="","",C128)</f>
        <v>ラブブマスコット</v>
      </c>
      <c r="E128" s="12" t="str">
        <f t="shared" si="228"/>
        <v>ラブブマスコット</v>
      </c>
      <c r="F128" s="131" t="str">
        <f t="shared" si="228"/>
        <v>ラブブマスコット</v>
      </c>
      <c r="G128" s="12" t="str">
        <f t="shared" si="228"/>
        <v>ラブブマスコット</v>
      </c>
      <c r="H128" s="12" t="str">
        <f t="shared" si="228"/>
        <v>ラブブマスコット</v>
      </c>
      <c r="I128" s="131" t="str">
        <f t="shared" si="228"/>
        <v>ラブブマスコット</v>
      </c>
      <c r="J128" s="12" t="str">
        <f t="shared" si="228"/>
        <v>ラブブマスコット</v>
      </c>
      <c r="K128" s="12" t="str">
        <f t="shared" si="228"/>
        <v>ラブブマスコット</v>
      </c>
      <c r="L128" s="131" t="str">
        <f t="shared" si="228"/>
        <v>ラブブマスコット</v>
      </c>
      <c r="M128" s="12" t="str">
        <f t="shared" si="228"/>
        <v>ラブブマスコット</v>
      </c>
      <c r="N128" s="12" t="str">
        <f t="shared" si="228"/>
        <v>ラブブマスコット</v>
      </c>
      <c r="O128" s="12" t="str">
        <f t="shared" si="228"/>
        <v>ラブブマスコット</v>
      </c>
      <c r="P128" s="131" t="str">
        <f t="shared" si="228"/>
        <v>ラブブマスコット</v>
      </c>
      <c r="Q128" s="12" t="str">
        <f t="shared" si="228"/>
        <v>ラブブマスコット</v>
      </c>
      <c r="R128" s="12" t="str">
        <f t="shared" si="228"/>
        <v>ラブブマスコット</v>
      </c>
      <c r="S128" s="12" t="str">
        <f t="shared" si="228"/>
        <v>ラブブマスコット</v>
      </c>
      <c r="T128" s="12" t="str">
        <f t="shared" si="228"/>
        <v>ラブブマスコット</v>
      </c>
      <c r="U128" s="12" t="str">
        <f t="shared" si="228"/>
        <v>ラブブマスコット</v>
      </c>
      <c r="V128" s="12" t="str">
        <f t="shared" si="228"/>
        <v>ラブブマスコット</v>
      </c>
      <c r="W128" s="12" t="str">
        <f t="shared" si="228"/>
        <v>ラブブマスコット</v>
      </c>
      <c r="X128" s="12" t="str">
        <f t="shared" si="228"/>
        <v>ラブブマスコット</v>
      </c>
      <c r="Y128" s="12" t="str">
        <f t="shared" si="228"/>
        <v>ラブブマスコット</v>
      </c>
      <c r="Z128" s="12" t="str">
        <f t="shared" si="228"/>
        <v>ラブブマスコット</v>
      </c>
      <c r="AA128" s="12" t="str">
        <f t="shared" si="228"/>
        <v>ラブブマスコット</v>
      </c>
      <c r="AB128" s="12" t="str">
        <f t="shared" si="228"/>
        <v>ラブブマスコット</v>
      </c>
      <c r="AC128" s="12" t="str">
        <f t="shared" si="228"/>
        <v>ラブブマスコット</v>
      </c>
      <c r="AD128" s="75" t="str">
        <f t="shared" si="228"/>
        <v>ラブブマスコット</v>
      </c>
      <c r="AE128" s="12" t="str">
        <f t="shared" si="228"/>
        <v>ラブブマスコット</v>
      </c>
      <c r="AF128" s="12" t="str">
        <f t="shared" si="228"/>
        <v>ラブブマスコット</v>
      </c>
      <c r="AG128" s="12" t="str">
        <f t="shared" si="228"/>
        <v/>
      </c>
      <c r="AH128" s="12" t="str">
        <f t="shared" si="228"/>
        <v/>
      </c>
      <c r="AI128" s="12" t="str">
        <f t="shared" si="228"/>
        <v/>
      </c>
      <c r="AJ128" s="12" t="str">
        <f t="shared" si="228"/>
        <v/>
      </c>
      <c r="AK128" s="12" t="str">
        <f t="shared" si="228"/>
        <v/>
      </c>
      <c r="AL128" s="12" t="str">
        <f t="shared" si="228"/>
        <v/>
      </c>
      <c r="AM128" s="12" t="str">
        <f t="shared" ref="AM128:AS128" si="229">IF(AM$3="","",AL128)</f>
        <v/>
      </c>
      <c r="AN128" s="12" t="str">
        <f t="shared" si="229"/>
        <v/>
      </c>
      <c r="AO128" s="12" t="str">
        <f t="shared" si="229"/>
        <v/>
      </c>
      <c r="AP128" s="12" t="str">
        <f t="shared" si="229"/>
        <v/>
      </c>
      <c r="AQ128" s="12" t="str">
        <f t="shared" si="229"/>
        <v/>
      </c>
      <c r="AR128" s="12" t="str">
        <f t="shared" si="229"/>
        <v/>
      </c>
      <c r="AS128" s="12" t="str">
        <f t="shared" si="229"/>
        <v/>
      </c>
    </row>
    <row r="129" spans="1:45" s="1" customFormat="1" ht="11">
      <c r="A129" s="7">
        <f>AVERAGE(C130:AS130)*30*100</f>
        <v>35600</v>
      </c>
      <c r="B129" s="9" t="s">
        <v>14</v>
      </c>
      <c r="C129" s="74"/>
      <c r="D129" s="8"/>
      <c r="E129" s="8"/>
      <c r="F129" s="59"/>
      <c r="G129" s="8"/>
      <c r="H129" s="8"/>
      <c r="I129" s="59"/>
      <c r="J129" s="8"/>
      <c r="K129" s="8"/>
      <c r="L129" s="59"/>
      <c r="M129" s="8"/>
      <c r="N129" s="8"/>
      <c r="O129" s="8"/>
      <c r="P129" s="59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74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</row>
    <row r="130" spans="1:45" s="1" customFormat="1" ht="11">
      <c r="A130" s="7">
        <f>SUM(C130:AS130)</f>
        <v>356</v>
      </c>
      <c r="B130" s="6" t="s">
        <v>15</v>
      </c>
      <c r="C130" s="74">
        <v>0</v>
      </c>
      <c r="D130" s="5">
        <f t="shared" ref="D130:AL130" si="230">IF(D$3="","",D123-C123)</f>
        <v>0</v>
      </c>
      <c r="E130" s="5">
        <f t="shared" si="230"/>
        <v>39</v>
      </c>
      <c r="F130" s="59">
        <f t="shared" si="230"/>
        <v>0</v>
      </c>
      <c r="G130" s="5">
        <f t="shared" si="230"/>
        <v>0</v>
      </c>
      <c r="H130" s="5">
        <f t="shared" si="230"/>
        <v>8</v>
      </c>
      <c r="I130" s="59">
        <f t="shared" si="230"/>
        <v>0</v>
      </c>
      <c r="J130" s="5">
        <f t="shared" si="230"/>
        <v>0</v>
      </c>
      <c r="K130" s="5">
        <f t="shared" si="230"/>
        <v>77</v>
      </c>
      <c r="L130" s="59">
        <f t="shared" si="230"/>
        <v>0</v>
      </c>
      <c r="M130" s="5">
        <f t="shared" si="230"/>
        <v>0</v>
      </c>
      <c r="N130" s="5">
        <f t="shared" si="230"/>
        <v>0</v>
      </c>
      <c r="O130" s="5">
        <f t="shared" si="230"/>
        <v>107</v>
      </c>
      <c r="P130" s="59">
        <f t="shared" si="230"/>
        <v>0</v>
      </c>
      <c r="Q130" s="5">
        <f t="shared" si="230"/>
        <v>0</v>
      </c>
      <c r="R130" s="5">
        <f t="shared" si="230"/>
        <v>39</v>
      </c>
      <c r="S130" s="5">
        <f t="shared" si="230"/>
        <v>0</v>
      </c>
      <c r="T130" s="5">
        <f t="shared" si="230"/>
        <v>0</v>
      </c>
      <c r="U130" s="5">
        <f t="shared" si="230"/>
        <v>0</v>
      </c>
      <c r="V130" s="5">
        <f t="shared" si="230"/>
        <v>31</v>
      </c>
      <c r="W130" s="5">
        <f t="shared" si="230"/>
        <v>0</v>
      </c>
      <c r="X130" s="5">
        <f t="shared" si="230"/>
        <v>0</v>
      </c>
      <c r="Y130" s="5">
        <f t="shared" si="230"/>
        <v>17</v>
      </c>
      <c r="Z130" s="5">
        <f t="shared" si="230"/>
        <v>0</v>
      </c>
      <c r="AA130" s="5">
        <f t="shared" si="230"/>
        <v>0</v>
      </c>
      <c r="AB130" s="5">
        <f t="shared" si="230"/>
        <v>0</v>
      </c>
      <c r="AC130" s="5">
        <f t="shared" si="230"/>
        <v>5</v>
      </c>
      <c r="AD130" s="74">
        <f t="shared" si="230"/>
        <v>0</v>
      </c>
      <c r="AE130" s="5">
        <f t="shared" si="230"/>
        <v>0</v>
      </c>
      <c r="AF130" s="5">
        <f t="shared" si="230"/>
        <v>33</v>
      </c>
      <c r="AG130" s="5" t="str">
        <f t="shared" si="230"/>
        <v/>
      </c>
      <c r="AH130" s="5" t="str">
        <f t="shared" si="230"/>
        <v/>
      </c>
      <c r="AI130" s="5" t="str">
        <f t="shared" si="230"/>
        <v/>
      </c>
      <c r="AJ130" s="5" t="str">
        <f t="shared" si="230"/>
        <v/>
      </c>
      <c r="AK130" s="5" t="str">
        <f t="shared" si="230"/>
        <v/>
      </c>
      <c r="AL130" s="5" t="str">
        <f t="shared" si="230"/>
        <v/>
      </c>
      <c r="AM130" s="5" t="str">
        <f t="shared" ref="AM130:AS130" si="231">IF(AM$3="","",AM123-AL123)</f>
        <v/>
      </c>
      <c r="AN130" s="5" t="str">
        <f t="shared" si="231"/>
        <v/>
      </c>
      <c r="AO130" s="5" t="str">
        <f t="shared" si="231"/>
        <v/>
      </c>
      <c r="AP130" s="5" t="str">
        <f t="shared" si="231"/>
        <v/>
      </c>
      <c r="AQ130" s="5" t="str">
        <f t="shared" si="231"/>
        <v/>
      </c>
      <c r="AR130" s="5" t="str">
        <f t="shared" si="231"/>
        <v/>
      </c>
      <c r="AS130" s="5" t="str">
        <f t="shared" si="231"/>
        <v/>
      </c>
    </row>
    <row r="131" spans="1:45" s="1" customFormat="1" ht="11">
      <c r="A131" s="7">
        <f>SUM(C131:AS131)</f>
        <v>4</v>
      </c>
      <c r="B131" s="6" t="s">
        <v>16</v>
      </c>
      <c r="C131" s="74">
        <v>0</v>
      </c>
      <c r="D131" s="5">
        <f t="shared" ref="D131:AL131" si="232">IF(D$3="","",D124-C124)</f>
        <v>0</v>
      </c>
      <c r="E131" s="5">
        <f t="shared" si="232"/>
        <v>0</v>
      </c>
      <c r="F131" s="59">
        <f t="shared" si="232"/>
        <v>0</v>
      </c>
      <c r="G131" s="5">
        <f t="shared" si="232"/>
        <v>0</v>
      </c>
      <c r="H131" s="5">
        <f t="shared" si="232"/>
        <v>0</v>
      </c>
      <c r="I131" s="59">
        <f t="shared" si="232"/>
        <v>0</v>
      </c>
      <c r="J131" s="5">
        <f t="shared" si="232"/>
        <v>0</v>
      </c>
      <c r="K131" s="5">
        <f t="shared" si="232"/>
        <v>1</v>
      </c>
      <c r="L131" s="59">
        <f t="shared" si="232"/>
        <v>0</v>
      </c>
      <c r="M131" s="5">
        <f t="shared" si="232"/>
        <v>0</v>
      </c>
      <c r="N131" s="5">
        <f t="shared" si="232"/>
        <v>0</v>
      </c>
      <c r="O131" s="5">
        <f t="shared" si="232"/>
        <v>2</v>
      </c>
      <c r="P131" s="59">
        <f t="shared" si="232"/>
        <v>0</v>
      </c>
      <c r="Q131" s="5">
        <f t="shared" si="232"/>
        <v>0</v>
      </c>
      <c r="R131" s="5">
        <f t="shared" si="232"/>
        <v>0</v>
      </c>
      <c r="S131" s="5">
        <f t="shared" si="232"/>
        <v>0</v>
      </c>
      <c r="T131" s="5">
        <f t="shared" si="232"/>
        <v>0</v>
      </c>
      <c r="U131" s="5">
        <f t="shared" si="232"/>
        <v>0</v>
      </c>
      <c r="V131" s="5">
        <f t="shared" si="232"/>
        <v>1</v>
      </c>
      <c r="W131" s="5">
        <f t="shared" si="232"/>
        <v>0</v>
      </c>
      <c r="X131" s="5">
        <f t="shared" si="232"/>
        <v>0</v>
      </c>
      <c r="Y131" s="5">
        <f t="shared" si="232"/>
        <v>0</v>
      </c>
      <c r="Z131" s="5">
        <f t="shared" si="232"/>
        <v>0</v>
      </c>
      <c r="AA131" s="5">
        <f t="shared" si="232"/>
        <v>0</v>
      </c>
      <c r="AB131" s="5">
        <f t="shared" si="232"/>
        <v>0</v>
      </c>
      <c r="AC131" s="5">
        <f t="shared" si="232"/>
        <v>0</v>
      </c>
      <c r="AD131" s="74">
        <f t="shared" si="232"/>
        <v>0</v>
      </c>
      <c r="AE131" s="5">
        <f t="shared" si="232"/>
        <v>0</v>
      </c>
      <c r="AF131" s="5">
        <f t="shared" si="232"/>
        <v>0</v>
      </c>
      <c r="AG131" s="5" t="str">
        <f t="shared" si="232"/>
        <v/>
      </c>
      <c r="AH131" s="5" t="str">
        <f t="shared" si="232"/>
        <v/>
      </c>
      <c r="AI131" s="5" t="str">
        <f t="shared" si="232"/>
        <v/>
      </c>
      <c r="AJ131" s="5" t="str">
        <f t="shared" si="232"/>
        <v/>
      </c>
      <c r="AK131" s="5" t="str">
        <f t="shared" si="232"/>
        <v/>
      </c>
      <c r="AL131" s="5" t="str">
        <f t="shared" si="232"/>
        <v/>
      </c>
      <c r="AM131" s="5" t="str">
        <f t="shared" ref="AM131:AS131" si="233">IF(AM$3="","",AM124-AL124)</f>
        <v/>
      </c>
      <c r="AN131" s="5" t="str">
        <f t="shared" si="233"/>
        <v/>
      </c>
      <c r="AO131" s="5" t="str">
        <f t="shared" si="233"/>
        <v/>
      </c>
      <c r="AP131" s="5" t="str">
        <f t="shared" si="233"/>
        <v/>
      </c>
      <c r="AQ131" s="5" t="str">
        <f t="shared" si="233"/>
        <v/>
      </c>
      <c r="AR131" s="5" t="str">
        <f t="shared" si="233"/>
        <v/>
      </c>
      <c r="AS131" s="5" t="str">
        <f t="shared" si="233"/>
        <v/>
      </c>
    </row>
    <row r="132" spans="1:45" s="1" customFormat="1" ht="11">
      <c r="A132" s="7">
        <f>SUM(C132:AS132)</f>
        <v>4</v>
      </c>
      <c r="B132" s="6" t="s">
        <v>17</v>
      </c>
      <c r="C132" s="74">
        <v>0</v>
      </c>
      <c r="D132" s="5">
        <f t="shared" ref="D132:AL132" si="234">IF(D$3="","",C125+C126-D125)</f>
        <v>0</v>
      </c>
      <c r="E132" s="5">
        <f t="shared" si="234"/>
        <v>0</v>
      </c>
      <c r="F132" s="59">
        <f t="shared" si="234"/>
        <v>0</v>
      </c>
      <c r="G132" s="5">
        <f t="shared" si="234"/>
        <v>0</v>
      </c>
      <c r="H132" s="5">
        <f t="shared" si="234"/>
        <v>0</v>
      </c>
      <c r="I132" s="59">
        <f t="shared" si="234"/>
        <v>0</v>
      </c>
      <c r="J132" s="5">
        <f t="shared" si="234"/>
        <v>0</v>
      </c>
      <c r="K132" s="5">
        <f t="shared" si="234"/>
        <v>1</v>
      </c>
      <c r="L132" s="59">
        <f t="shared" si="234"/>
        <v>0</v>
      </c>
      <c r="M132" s="5">
        <f t="shared" si="234"/>
        <v>0</v>
      </c>
      <c r="N132" s="5">
        <f t="shared" si="234"/>
        <v>0</v>
      </c>
      <c r="O132" s="5">
        <f t="shared" si="234"/>
        <v>2</v>
      </c>
      <c r="P132" s="59">
        <f t="shared" si="234"/>
        <v>0</v>
      </c>
      <c r="Q132" s="5">
        <f t="shared" si="234"/>
        <v>0</v>
      </c>
      <c r="R132" s="5">
        <f t="shared" si="234"/>
        <v>0</v>
      </c>
      <c r="S132" s="5">
        <f t="shared" si="234"/>
        <v>0</v>
      </c>
      <c r="T132" s="5">
        <f t="shared" si="234"/>
        <v>0</v>
      </c>
      <c r="U132" s="5">
        <f t="shared" si="234"/>
        <v>0</v>
      </c>
      <c r="V132" s="5">
        <f t="shared" si="234"/>
        <v>1</v>
      </c>
      <c r="W132" s="5">
        <f t="shared" si="234"/>
        <v>0</v>
      </c>
      <c r="X132" s="5">
        <f t="shared" si="234"/>
        <v>0</v>
      </c>
      <c r="Y132" s="5">
        <f t="shared" si="234"/>
        <v>0</v>
      </c>
      <c r="Z132" s="5">
        <f t="shared" si="234"/>
        <v>0</v>
      </c>
      <c r="AA132" s="5">
        <f t="shared" si="234"/>
        <v>0</v>
      </c>
      <c r="AB132" s="5">
        <f t="shared" si="234"/>
        <v>0</v>
      </c>
      <c r="AC132" s="5">
        <f t="shared" si="234"/>
        <v>0</v>
      </c>
      <c r="AD132" s="74">
        <f t="shared" si="234"/>
        <v>0</v>
      </c>
      <c r="AE132" s="5">
        <f t="shared" si="234"/>
        <v>0</v>
      </c>
      <c r="AF132" s="5">
        <f t="shared" si="234"/>
        <v>0</v>
      </c>
      <c r="AG132" s="5" t="str">
        <f t="shared" si="234"/>
        <v/>
      </c>
      <c r="AH132" s="5" t="str">
        <f t="shared" si="234"/>
        <v/>
      </c>
      <c r="AI132" s="5" t="str">
        <f t="shared" si="234"/>
        <v/>
      </c>
      <c r="AJ132" s="5" t="str">
        <f t="shared" si="234"/>
        <v/>
      </c>
      <c r="AK132" s="5" t="str">
        <f t="shared" si="234"/>
        <v/>
      </c>
      <c r="AL132" s="5" t="str">
        <f t="shared" si="234"/>
        <v/>
      </c>
      <c r="AM132" s="5" t="str">
        <f t="shared" ref="AM132:AS132" si="235">IF(AM$3="","",AL125+AL126-AM125)</f>
        <v/>
      </c>
      <c r="AN132" s="5" t="str">
        <f t="shared" si="235"/>
        <v/>
      </c>
      <c r="AO132" s="5" t="str">
        <f t="shared" si="235"/>
        <v/>
      </c>
      <c r="AP132" s="5" t="str">
        <f t="shared" si="235"/>
        <v/>
      </c>
      <c r="AQ132" s="5" t="str">
        <f t="shared" si="235"/>
        <v/>
      </c>
      <c r="AR132" s="5" t="str">
        <f t="shared" si="235"/>
        <v/>
      </c>
      <c r="AS132" s="5" t="str">
        <f t="shared" si="235"/>
        <v/>
      </c>
    </row>
    <row r="133" spans="1:45" s="1" customFormat="1" ht="11">
      <c r="A133" s="7">
        <f>SUM(C133:AS133)</f>
        <v>1600</v>
      </c>
      <c r="B133" s="6" t="s">
        <v>18</v>
      </c>
      <c r="C133" s="74">
        <v>0</v>
      </c>
      <c r="D133" s="5">
        <f t="shared" ref="D133:AL133" si="236">IF(D$3="","",D132*D127)</f>
        <v>0</v>
      </c>
      <c r="E133" s="5">
        <f t="shared" si="236"/>
        <v>0</v>
      </c>
      <c r="F133" s="59">
        <f t="shared" si="236"/>
        <v>0</v>
      </c>
      <c r="G133" s="5">
        <f t="shared" si="236"/>
        <v>0</v>
      </c>
      <c r="H133" s="5">
        <f t="shared" si="236"/>
        <v>0</v>
      </c>
      <c r="I133" s="59">
        <f t="shared" si="236"/>
        <v>0</v>
      </c>
      <c r="J133" s="5">
        <f t="shared" si="236"/>
        <v>0</v>
      </c>
      <c r="K133" s="5">
        <f t="shared" si="236"/>
        <v>400</v>
      </c>
      <c r="L133" s="59">
        <f t="shared" si="236"/>
        <v>0</v>
      </c>
      <c r="M133" s="5">
        <f t="shared" si="236"/>
        <v>0</v>
      </c>
      <c r="N133" s="5">
        <f t="shared" si="236"/>
        <v>0</v>
      </c>
      <c r="O133" s="5">
        <f t="shared" si="236"/>
        <v>800</v>
      </c>
      <c r="P133" s="59">
        <f t="shared" si="236"/>
        <v>0</v>
      </c>
      <c r="Q133" s="5">
        <f t="shared" si="236"/>
        <v>0</v>
      </c>
      <c r="R133" s="5">
        <f t="shared" si="236"/>
        <v>0</v>
      </c>
      <c r="S133" s="5">
        <f t="shared" si="236"/>
        <v>0</v>
      </c>
      <c r="T133" s="5">
        <f t="shared" si="236"/>
        <v>0</v>
      </c>
      <c r="U133" s="5">
        <f t="shared" si="236"/>
        <v>0</v>
      </c>
      <c r="V133" s="5">
        <f t="shared" si="236"/>
        <v>400</v>
      </c>
      <c r="W133" s="5">
        <f t="shared" si="236"/>
        <v>0</v>
      </c>
      <c r="X133" s="5">
        <f t="shared" si="236"/>
        <v>0</v>
      </c>
      <c r="Y133" s="5">
        <f t="shared" si="236"/>
        <v>0</v>
      </c>
      <c r="Z133" s="5">
        <f t="shared" si="236"/>
        <v>0</v>
      </c>
      <c r="AA133" s="5">
        <f t="shared" si="236"/>
        <v>0</v>
      </c>
      <c r="AB133" s="5">
        <f t="shared" si="236"/>
        <v>0</v>
      </c>
      <c r="AC133" s="5">
        <f t="shared" si="236"/>
        <v>0</v>
      </c>
      <c r="AD133" s="74">
        <f t="shared" si="236"/>
        <v>0</v>
      </c>
      <c r="AE133" s="5">
        <f t="shared" si="236"/>
        <v>0</v>
      </c>
      <c r="AF133" s="5">
        <f t="shared" si="236"/>
        <v>0</v>
      </c>
      <c r="AG133" s="5" t="str">
        <f t="shared" si="236"/>
        <v/>
      </c>
      <c r="AH133" s="5" t="str">
        <f t="shared" si="236"/>
        <v/>
      </c>
      <c r="AI133" s="5" t="str">
        <f t="shared" si="236"/>
        <v/>
      </c>
      <c r="AJ133" s="5" t="str">
        <f t="shared" si="236"/>
        <v/>
      </c>
      <c r="AK133" s="5" t="str">
        <f t="shared" si="236"/>
        <v/>
      </c>
      <c r="AL133" s="5" t="str">
        <f t="shared" si="236"/>
        <v/>
      </c>
      <c r="AM133" s="5" t="str">
        <f t="shared" ref="AM133:AS133" si="237">IF(AM$3="","",AM132*AM127)</f>
        <v/>
      </c>
      <c r="AN133" s="5" t="str">
        <f t="shared" si="237"/>
        <v/>
      </c>
      <c r="AO133" s="5" t="str">
        <f t="shared" si="237"/>
        <v/>
      </c>
      <c r="AP133" s="5" t="str">
        <f t="shared" si="237"/>
        <v/>
      </c>
      <c r="AQ133" s="5" t="str">
        <f t="shared" si="237"/>
        <v/>
      </c>
      <c r="AR133" s="5" t="str">
        <f t="shared" si="237"/>
        <v/>
      </c>
      <c r="AS133" s="5" t="str">
        <f t="shared" si="237"/>
        <v/>
      </c>
    </row>
    <row r="134" spans="1:45" s="1" customFormat="1" ht="12" thickBot="1">
      <c r="A134" s="4">
        <f>IF(A133="","",A133/(A130*100))</f>
        <v>4.49438202247191E-2</v>
      </c>
      <c r="B134" s="6" t="s">
        <v>20</v>
      </c>
      <c r="C134" s="76" t="s">
        <v>21</v>
      </c>
      <c r="D134" s="18" t="str">
        <f t="shared" ref="D134:AL134" si="238">IF(D$3="","",IF(D133=0,"",D133/(D130*100)))</f>
        <v/>
      </c>
      <c r="E134" s="18" t="str">
        <f t="shared" si="238"/>
        <v/>
      </c>
      <c r="F134" s="62" t="str">
        <f t="shared" si="238"/>
        <v/>
      </c>
      <c r="G134" s="18" t="str">
        <f t="shared" si="238"/>
        <v/>
      </c>
      <c r="H134" s="18" t="str">
        <f t="shared" si="238"/>
        <v/>
      </c>
      <c r="I134" s="62" t="str">
        <f t="shared" si="238"/>
        <v/>
      </c>
      <c r="J134" s="18" t="str">
        <f t="shared" si="238"/>
        <v/>
      </c>
      <c r="K134" s="18">
        <f t="shared" si="238"/>
        <v>5.1948051948051951E-2</v>
      </c>
      <c r="L134" s="62" t="str">
        <f t="shared" si="238"/>
        <v/>
      </c>
      <c r="M134" s="18" t="str">
        <f t="shared" si="238"/>
        <v/>
      </c>
      <c r="N134" s="18" t="str">
        <f t="shared" si="238"/>
        <v/>
      </c>
      <c r="O134" s="18">
        <f t="shared" si="238"/>
        <v>7.476635514018691E-2</v>
      </c>
      <c r="P134" s="62" t="str">
        <f t="shared" si="238"/>
        <v/>
      </c>
      <c r="Q134" s="18" t="str">
        <f t="shared" si="238"/>
        <v/>
      </c>
      <c r="R134" s="18" t="str">
        <f t="shared" si="238"/>
        <v/>
      </c>
      <c r="S134" s="18" t="str">
        <f t="shared" si="238"/>
        <v/>
      </c>
      <c r="T134" s="18" t="str">
        <f t="shared" si="238"/>
        <v/>
      </c>
      <c r="U134" s="18" t="str">
        <f t="shared" si="238"/>
        <v/>
      </c>
      <c r="V134" s="18">
        <f t="shared" si="238"/>
        <v>0.12903225806451613</v>
      </c>
      <c r="W134" s="18" t="str">
        <f t="shared" si="238"/>
        <v/>
      </c>
      <c r="X134" s="18" t="str">
        <f t="shared" si="238"/>
        <v/>
      </c>
      <c r="Y134" s="18" t="str">
        <f t="shared" si="238"/>
        <v/>
      </c>
      <c r="Z134" s="18" t="str">
        <f t="shared" si="238"/>
        <v/>
      </c>
      <c r="AA134" s="18" t="str">
        <f t="shared" si="238"/>
        <v/>
      </c>
      <c r="AB134" s="18" t="str">
        <f t="shared" si="238"/>
        <v/>
      </c>
      <c r="AC134" s="18" t="str">
        <f t="shared" si="238"/>
        <v/>
      </c>
      <c r="AD134" s="76" t="str">
        <f t="shared" si="238"/>
        <v/>
      </c>
      <c r="AE134" s="18" t="str">
        <f t="shared" si="238"/>
        <v/>
      </c>
      <c r="AF134" s="18" t="str">
        <f t="shared" si="238"/>
        <v/>
      </c>
      <c r="AG134" s="18" t="str">
        <f t="shared" si="238"/>
        <v/>
      </c>
      <c r="AH134" s="18" t="str">
        <f t="shared" si="238"/>
        <v/>
      </c>
      <c r="AI134" s="18" t="str">
        <f t="shared" si="238"/>
        <v/>
      </c>
      <c r="AJ134" s="18" t="str">
        <f t="shared" si="238"/>
        <v/>
      </c>
      <c r="AK134" s="18" t="str">
        <f t="shared" si="238"/>
        <v/>
      </c>
      <c r="AL134" s="18" t="str">
        <f t="shared" si="238"/>
        <v/>
      </c>
      <c r="AM134" s="18" t="str">
        <f t="shared" ref="AM134:AS134" si="239">IF(AM$3="","",IF(AM133=0,"",AM133/(AM130*100)))</f>
        <v/>
      </c>
      <c r="AN134" s="18" t="str">
        <f t="shared" si="239"/>
        <v/>
      </c>
      <c r="AO134" s="18" t="str">
        <f t="shared" si="239"/>
        <v/>
      </c>
      <c r="AP134" s="18" t="str">
        <f t="shared" si="239"/>
        <v/>
      </c>
      <c r="AQ134" s="18" t="str">
        <f t="shared" si="239"/>
        <v/>
      </c>
      <c r="AR134" s="18" t="str">
        <f t="shared" si="239"/>
        <v/>
      </c>
      <c r="AS134" s="18" t="str">
        <f t="shared" si="239"/>
        <v/>
      </c>
    </row>
    <row r="135" spans="1:45" s="1" customFormat="1" ht="11">
      <c r="A135" s="17" t="s">
        <v>61</v>
      </c>
      <c r="B135" s="9" t="s">
        <v>2</v>
      </c>
      <c r="C135" s="74">
        <v>2593</v>
      </c>
      <c r="D135" s="8">
        <f>IF(D$3="","",C135)</f>
        <v>2593</v>
      </c>
      <c r="E135" s="8">
        <v>2620</v>
      </c>
      <c r="F135" s="59">
        <f>IF(F$3="","",E135)</f>
        <v>2620</v>
      </c>
      <c r="G135" s="8">
        <f>IF(G$3="","",F135)</f>
        <v>2620</v>
      </c>
      <c r="H135" s="8">
        <v>2716</v>
      </c>
      <c r="I135" s="59">
        <f>IF(I$3="","",H135)</f>
        <v>2716</v>
      </c>
      <c r="J135" s="8">
        <f>IF(J$3="","",I135)</f>
        <v>2716</v>
      </c>
      <c r="K135" s="8">
        <v>2885</v>
      </c>
      <c r="L135" s="59">
        <f t="shared" ref="L135:N136" si="240">IF(L$3="","",K135)</f>
        <v>2885</v>
      </c>
      <c r="M135" s="8">
        <f t="shared" si="240"/>
        <v>2885</v>
      </c>
      <c r="N135" s="8">
        <f t="shared" si="240"/>
        <v>2885</v>
      </c>
      <c r="O135" s="8">
        <v>2971</v>
      </c>
      <c r="P135" s="59">
        <f>IF(P$3="","",O135)</f>
        <v>2971</v>
      </c>
      <c r="Q135" s="8">
        <f>IF(Q$3="","",P135)</f>
        <v>2971</v>
      </c>
      <c r="R135" s="8">
        <v>3036</v>
      </c>
      <c r="S135" s="8">
        <f t="shared" ref="S135:AL135" si="241">IF(S$3="","",R135)</f>
        <v>3036</v>
      </c>
      <c r="T135" s="8">
        <f t="shared" si="241"/>
        <v>3036</v>
      </c>
      <c r="U135" s="8">
        <f t="shared" si="241"/>
        <v>3036</v>
      </c>
      <c r="V135" s="8">
        <v>3082</v>
      </c>
      <c r="W135" s="8">
        <f t="shared" si="241"/>
        <v>3082</v>
      </c>
      <c r="X135" s="8">
        <f t="shared" si="241"/>
        <v>3082</v>
      </c>
      <c r="Y135" s="8">
        <v>3159</v>
      </c>
      <c r="Z135" s="8">
        <f t="shared" si="241"/>
        <v>3159</v>
      </c>
      <c r="AA135" s="8">
        <f t="shared" si="241"/>
        <v>3159</v>
      </c>
      <c r="AB135" s="8">
        <f t="shared" si="241"/>
        <v>3159</v>
      </c>
      <c r="AC135" s="8">
        <v>3263</v>
      </c>
      <c r="AD135" s="74">
        <f t="shared" si="241"/>
        <v>3263</v>
      </c>
      <c r="AE135" s="8">
        <f t="shared" si="241"/>
        <v>3263</v>
      </c>
      <c r="AF135" s="8">
        <v>3375</v>
      </c>
      <c r="AG135" s="8" t="str">
        <f t="shared" si="241"/>
        <v/>
      </c>
      <c r="AH135" s="8" t="str">
        <f t="shared" si="241"/>
        <v/>
      </c>
      <c r="AI135" s="8" t="str">
        <f t="shared" si="241"/>
        <v/>
      </c>
      <c r="AJ135" s="8" t="str">
        <f t="shared" si="241"/>
        <v/>
      </c>
      <c r="AK135" s="8" t="str">
        <f t="shared" si="241"/>
        <v/>
      </c>
      <c r="AL135" s="8" t="str">
        <f t="shared" si="241"/>
        <v/>
      </c>
      <c r="AM135" s="8" t="str">
        <f t="shared" ref="AM135:AS135" si="242">IF(AM$3="","",AL135)</f>
        <v/>
      </c>
      <c r="AN135" s="8" t="str">
        <f t="shared" si="242"/>
        <v/>
      </c>
      <c r="AO135" s="8" t="str">
        <f t="shared" si="242"/>
        <v/>
      </c>
      <c r="AP135" s="8" t="str">
        <f t="shared" si="242"/>
        <v/>
      </c>
      <c r="AQ135" s="8" t="str">
        <f t="shared" si="242"/>
        <v/>
      </c>
      <c r="AR135" s="8" t="str">
        <f t="shared" si="242"/>
        <v/>
      </c>
      <c r="AS135" s="8" t="str">
        <f t="shared" si="242"/>
        <v/>
      </c>
    </row>
    <row r="136" spans="1:45" s="1" customFormat="1" ht="11">
      <c r="A136" s="16" t="s">
        <v>35</v>
      </c>
      <c r="B136" s="9" t="s">
        <v>4</v>
      </c>
      <c r="C136" s="74">
        <v>142</v>
      </c>
      <c r="D136" s="8">
        <f>IF(D$3="","",C136)</f>
        <v>142</v>
      </c>
      <c r="E136" s="8">
        <v>143</v>
      </c>
      <c r="F136" s="59">
        <f>IF(F$3="","",E136)</f>
        <v>143</v>
      </c>
      <c r="G136" s="8">
        <f>IF(G$3="","",F136)</f>
        <v>143</v>
      </c>
      <c r="H136" s="8">
        <v>145</v>
      </c>
      <c r="I136" s="59">
        <f>IF(I$3="","",H136)</f>
        <v>145</v>
      </c>
      <c r="J136" s="8">
        <f>IF(J$3="","",I136)</f>
        <v>145</v>
      </c>
      <c r="K136" s="8">
        <v>147</v>
      </c>
      <c r="L136" s="59">
        <f t="shared" si="240"/>
        <v>147</v>
      </c>
      <c r="M136" s="8">
        <f t="shared" si="240"/>
        <v>147</v>
      </c>
      <c r="N136" s="8">
        <f t="shared" si="240"/>
        <v>147</v>
      </c>
      <c r="O136" s="8">
        <v>148</v>
      </c>
      <c r="P136" s="59">
        <f>IF(P$3="","",O136)</f>
        <v>148</v>
      </c>
      <c r="Q136" s="8">
        <f>IF(Q$3="","",P136)</f>
        <v>148</v>
      </c>
      <c r="R136" s="8">
        <v>150</v>
      </c>
      <c r="S136" s="8">
        <f t="shared" ref="S136:AL136" si="243">IF(S$3="","",R136)</f>
        <v>150</v>
      </c>
      <c r="T136" s="8">
        <f t="shared" si="243"/>
        <v>150</v>
      </c>
      <c r="U136" s="8">
        <f t="shared" si="243"/>
        <v>150</v>
      </c>
      <c r="V136" s="8">
        <v>151</v>
      </c>
      <c r="W136" s="8">
        <f t="shared" si="243"/>
        <v>151</v>
      </c>
      <c r="X136" s="8">
        <f t="shared" si="243"/>
        <v>151</v>
      </c>
      <c r="Y136" s="8">
        <f t="shared" si="243"/>
        <v>151</v>
      </c>
      <c r="Z136" s="8">
        <f t="shared" si="243"/>
        <v>151</v>
      </c>
      <c r="AA136" s="8">
        <f t="shared" si="243"/>
        <v>151</v>
      </c>
      <c r="AB136" s="8">
        <f t="shared" si="243"/>
        <v>151</v>
      </c>
      <c r="AC136" s="8">
        <v>152</v>
      </c>
      <c r="AD136" s="74">
        <f t="shared" si="243"/>
        <v>152</v>
      </c>
      <c r="AE136" s="8">
        <f t="shared" si="243"/>
        <v>152</v>
      </c>
      <c r="AF136" s="8">
        <v>153</v>
      </c>
      <c r="AG136" s="8" t="str">
        <f t="shared" si="243"/>
        <v/>
      </c>
      <c r="AH136" s="8" t="str">
        <f t="shared" si="243"/>
        <v/>
      </c>
      <c r="AI136" s="8" t="str">
        <f t="shared" si="243"/>
        <v/>
      </c>
      <c r="AJ136" s="8" t="str">
        <f t="shared" si="243"/>
        <v/>
      </c>
      <c r="AK136" s="8" t="str">
        <f t="shared" si="243"/>
        <v/>
      </c>
      <c r="AL136" s="8" t="str">
        <f t="shared" si="243"/>
        <v/>
      </c>
      <c r="AM136" s="8" t="str">
        <f t="shared" ref="AM136:AS136" si="244">IF(AM$3="","",AL136)</f>
        <v/>
      </c>
      <c r="AN136" s="8" t="str">
        <f t="shared" si="244"/>
        <v/>
      </c>
      <c r="AO136" s="8" t="str">
        <f t="shared" si="244"/>
        <v/>
      </c>
      <c r="AP136" s="8" t="str">
        <f t="shared" si="244"/>
        <v/>
      </c>
      <c r="AQ136" s="8" t="str">
        <f t="shared" si="244"/>
        <v/>
      </c>
      <c r="AR136" s="8" t="str">
        <f t="shared" si="244"/>
        <v/>
      </c>
      <c r="AS136" s="8" t="str">
        <f t="shared" si="244"/>
        <v/>
      </c>
    </row>
    <row r="137" spans="1:45" s="1" customFormat="1" ht="11">
      <c r="A137" s="15">
        <v>4</v>
      </c>
      <c r="B137" s="9" t="s">
        <v>5</v>
      </c>
      <c r="C137" s="74">
        <v>7</v>
      </c>
      <c r="D137" s="8">
        <f>IF(D$3="","",(C137+C138))</f>
        <v>7</v>
      </c>
      <c r="E137" s="8">
        <v>6</v>
      </c>
      <c r="F137" s="59">
        <f>IF(F$3="","",(E137+E138))</f>
        <v>4</v>
      </c>
      <c r="G137" s="8">
        <f>IF(G$3="","",(F137+F138))</f>
        <v>4</v>
      </c>
      <c r="H137" s="8">
        <v>2</v>
      </c>
      <c r="I137" s="59">
        <f>IF(I$3="","",(H137+H138))</f>
        <v>10</v>
      </c>
      <c r="J137" s="8">
        <f>IF(J$3="","",(I137+I138))</f>
        <v>10</v>
      </c>
      <c r="K137" s="8">
        <v>8</v>
      </c>
      <c r="L137" s="59">
        <f>IF(L$3="","",(K137+K138))</f>
        <v>10</v>
      </c>
      <c r="M137" s="8">
        <f>IF(M$3="","",(L137+L138))</f>
        <v>10</v>
      </c>
      <c r="N137" s="8">
        <f>IF(N$3="","",(M137+M138))</f>
        <v>10</v>
      </c>
      <c r="O137" s="8">
        <v>5</v>
      </c>
      <c r="P137" s="59">
        <f>IF(P$3="","",(O137+O138))</f>
        <v>9</v>
      </c>
      <c r="Q137" s="8">
        <f>IF(Q$3="","",(P137+P138))</f>
        <v>9</v>
      </c>
      <c r="R137" s="8">
        <v>8</v>
      </c>
      <c r="S137" s="8">
        <f t="shared" ref="S137:AL137" si="245">IF(S$3="","",(R137+R138))</f>
        <v>8</v>
      </c>
      <c r="T137" s="8">
        <f t="shared" si="245"/>
        <v>8</v>
      </c>
      <c r="U137" s="8">
        <f t="shared" si="245"/>
        <v>8</v>
      </c>
      <c r="V137" s="8">
        <v>7</v>
      </c>
      <c r="W137" s="8">
        <f t="shared" si="245"/>
        <v>9</v>
      </c>
      <c r="X137" s="8">
        <f t="shared" si="245"/>
        <v>9</v>
      </c>
      <c r="Y137" s="8">
        <f t="shared" si="245"/>
        <v>9</v>
      </c>
      <c r="Z137" s="8">
        <f t="shared" si="245"/>
        <v>9</v>
      </c>
      <c r="AA137" s="8">
        <f t="shared" si="245"/>
        <v>9</v>
      </c>
      <c r="AB137" s="8">
        <f t="shared" si="245"/>
        <v>9</v>
      </c>
      <c r="AC137" s="8">
        <v>8</v>
      </c>
      <c r="AD137" s="74">
        <f t="shared" si="245"/>
        <v>8</v>
      </c>
      <c r="AE137" s="8">
        <f t="shared" si="245"/>
        <v>8</v>
      </c>
      <c r="AF137" s="8">
        <v>6</v>
      </c>
      <c r="AG137" s="8" t="str">
        <f t="shared" si="245"/>
        <v/>
      </c>
      <c r="AH137" s="8" t="str">
        <f t="shared" si="245"/>
        <v/>
      </c>
      <c r="AI137" s="8" t="str">
        <f t="shared" si="245"/>
        <v/>
      </c>
      <c r="AJ137" s="8" t="str">
        <f t="shared" si="245"/>
        <v/>
      </c>
      <c r="AK137" s="8" t="str">
        <f t="shared" si="245"/>
        <v/>
      </c>
      <c r="AL137" s="8" t="str">
        <f t="shared" si="245"/>
        <v/>
      </c>
      <c r="AM137" s="8" t="str">
        <f t="shared" ref="AM137:AS137" si="246">IF(AM$3="","",(AL137+AL138))</f>
        <v/>
      </c>
      <c r="AN137" s="8" t="str">
        <f t="shared" si="246"/>
        <v/>
      </c>
      <c r="AO137" s="8" t="str">
        <f t="shared" si="246"/>
        <v/>
      </c>
      <c r="AP137" s="8" t="str">
        <f t="shared" si="246"/>
        <v/>
      </c>
      <c r="AQ137" s="8" t="str">
        <f t="shared" si="246"/>
        <v/>
      </c>
      <c r="AR137" s="8" t="str">
        <f t="shared" si="246"/>
        <v/>
      </c>
      <c r="AS137" s="8" t="str">
        <f t="shared" si="246"/>
        <v/>
      </c>
    </row>
    <row r="138" spans="1:45" s="1" customFormat="1" ht="11">
      <c r="A138" s="14"/>
      <c r="B138" s="9" t="s">
        <v>7</v>
      </c>
      <c r="C138" s="74"/>
      <c r="D138" s="8"/>
      <c r="E138" s="8">
        <v>-2</v>
      </c>
      <c r="F138" s="59"/>
      <c r="G138" s="8"/>
      <c r="H138" s="8">
        <v>8</v>
      </c>
      <c r="I138" s="59"/>
      <c r="J138" s="8"/>
      <c r="K138" s="8">
        <v>2</v>
      </c>
      <c r="L138" s="59"/>
      <c r="M138" s="8"/>
      <c r="N138" s="8"/>
      <c r="O138" s="8">
        <v>4</v>
      </c>
      <c r="P138" s="59"/>
      <c r="Q138" s="8"/>
      <c r="R138" s="8"/>
      <c r="S138" s="8"/>
      <c r="T138" s="8"/>
      <c r="U138" s="8"/>
      <c r="V138" s="8">
        <v>2</v>
      </c>
      <c r="W138" s="8"/>
      <c r="X138" s="8"/>
      <c r="Y138" s="8"/>
      <c r="Z138" s="8"/>
      <c r="AA138" s="8"/>
      <c r="AB138" s="8"/>
      <c r="AC138" s="8"/>
      <c r="AD138" s="74"/>
      <c r="AE138" s="8"/>
      <c r="AF138" s="8">
        <v>1</v>
      </c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</row>
    <row r="139" spans="1:45" s="1" customFormat="1" ht="11">
      <c r="A139" s="7"/>
      <c r="B139" s="9" t="s">
        <v>8</v>
      </c>
      <c r="C139" s="74">
        <v>820</v>
      </c>
      <c r="D139" s="8">
        <f t="shared" ref="D139:AL139" si="247">IF(D$3="","",C139)</f>
        <v>820</v>
      </c>
      <c r="E139" s="8">
        <f t="shared" si="247"/>
        <v>820</v>
      </c>
      <c r="F139" s="59">
        <f t="shared" si="247"/>
        <v>820</v>
      </c>
      <c r="G139" s="8">
        <f t="shared" si="247"/>
        <v>820</v>
      </c>
      <c r="H139" s="8">
        <f t="shared" si="247"/>
        <v>820</v>
      </c>
      <c r="I139" s="59">
        <f t="shared" si="247"/>
        <v>820</v>
      </c>
      <c r="J139" s="8">
        <f t="shared" si="247"/>
        <v>820</v>
      </c>
      <c r="K139" s="8">
        <f t="shared" si="247"/>
        <v>820</v>
      </c>
      <c r="L139" s="59">
        <f t="shared" si="247"/>
        <v>820</v>
      </c>
      <c r="M139" s="8">
        <f t="shared" si="247"/>
        <v>820</v>
      </c>
      <c r="N139" s="8">
        <f t="shared" si="247"/>
        <v>820</v>
      </c>
      <c r="O139" s="8">
        <f t="shared" si="247"/>
        <v>820</v>
      </c>
      <c r="P139" s="59">
        <f t="shared" si="247"/>
        <v>820</v>
      </c>
      <c r="Q139" s="8">
        <f t="shared" si="247"/>
        <v>820</v>
      </c>
      <c r="R139" s="8">
        <f t="shared" si="247"/>
        <v>820</v>
      </c>
      <c r="S139" s="8">
        <f t="shared" si="247"/>
        <v>820</v>
      </c>
      <c r="T139" s="8">
        <f t="shared" si="247"/>
        <v>820</v>
      </c>
      <c r="U139" s="8">
        <f t="shared" si="247"/>
        <v>820</v>
      </c>
      <c r="V139" s="8">
        <f t="shared" si="247"/>
        <v>820</v>
      </c>
      <c r="W139" s="8">
        <f t="shared" si="247"/>
        <v>820</v>
      </c>
      <c r="X139" s="8">
        <f t="shared" si="247"/>
        <v>820</v>
      </c>
      <c r="Y139" s="8">
        <f t="shared" si="247"/>
        <v>820</v>
      </c>
      <c r="Z139" s="8">
        <f t="shared" si="247"/>
        <v>820</v>
      </c>
      <c r="AA139" s="8">
        <f t="shared" si="247"/>
        <v>820</v>
      </c>
      <c r="AB139" s="8">
        <f t="shared" si="247"/>
        <v>820</v>
      </c>
      <c r="AC139" s="8">
        <f t="shared" si="247"/>
        <v>820</v>
      </c>
      <c r="AD139" s="74">
        <f t="shared" si="247"/>
        <v>820</v>
      </c>
      <c r="AE139" s="8">
        <f t="shared" si="247"/>
        <v>820</v>
      </c>
      <c r="AF139" s="8">
        <f t="shared" si="247"/>
        <v>820</v>
      </c>
      <c r="AG139" s="8" t="str">
        <f t="shared" si="247"/>
        <v/>
      </c>
      <c r="AH139" s="8" t="str">
        <f t="shared" si="247"/>
        <v/>
      </c>
      <c r="AI139" s="8" t="str">
        <f t="shared" si="247"/>
        <v/>
      </c>
      <c r="AJ139" s="8" t="str">
        <f t="shared" si="247"/>
        <v/>
      </c>
      <c r="AK139" s="8" t="str">
        <f t="shared" si="247"/>
        <v/>
      </c>
      <c r="AL139" s="8" t="str">
        <f t="shared" si="247"/>
        <v/>
      </c>
      <c r="AM139" s="8" t="str">
        <f t="shared" ref="AM139:AS139" si="248">IF(AM$3="","",AL139)</f>
        <v/>
      </c>
      <c r="AN139" s="8" t="str">
        <f t="shared" si="248"/>
        <v/>
      </c>
      <c r="AO139" s="8" t="str">
        <f t="shared" si="248"/>
        <v/>
      </c>
      <c r="AP139" s="8" t="str">
        <f t="shared" si="248"/>
        <v/>
      </c>
      <c r="AQ139" s="8" t="str">
        <f t="shared" si="248"/>
        <v/>
      </c>
      <c r="AR139" s="8" t="str">
        <f t="shared" si="248"/>
        <v/>
      </c>
      <c r="AS139" s="8" t="str">
        <f t="shared" si="248"/>
        <v/>
      </c>
    </row>
    <row r="140" spans="1:45" s="94" customFormat="1" ht="11">
      <c r="A140" s="14" t="s">
        <v>9</v>
      </c>
      <c r="B140" s="13" t="s">
        <v>10</v>
      </c>
      <c r="C140" s="75" t="s">
        <v>45</v>
      </c>
      <c r="D140" s="12" t="str">
        <f>IF(D$3="","",C140)</f>
        <v>ギャルキティマスコット</v>
      </c>
      <c r="E140" s="12" t="s">
        <v>26</v>
      </c>
      <c r="F140" s="131" t="str">
        <f t="shared" ref="F140:AL140" si="249">IF(F$3="","",E140)</f>
        <v>たまごっちマスコット</v>
      </c>
      <c r="G140" s="12" t="str">
        <f t="shared" si="249"/>
        <v>たまごっちマスコット</v>
      </c>
      <c r="H140" s="12" t="str">
        <f t="shared" si="249"/>
        <v>たまごっちマスコット</v>
      </c>
      <c r="I140" s="131" t="str">
        <f t="shared" si="249"/>
        <v>たまごっちマスコット</v>
      </c>
      <c r="J140" s="12" t="str">
        <f t="shared" si="249"/>
        <v>たまごっちマスコット</v>
      </c>
      <c r="K140" s="12" t="str">
        <f t="shared" si="249"/>
        <v>たまごっちマスコット</v>
      </c>
      <c r="L140" s="131" t="str">
        <f t="shared" si="249"/>
        <v>たまごっちマスコット</v>
      </c>
      <c r="M140" s="12" t="str">
        <f t="shared" si="249"/>
        <v>たまごっちマスコット</v>
      </c>
      <c r="N140" s="12" t="str">
        <f t="shared" si="249"/>
        <v>たまごっちマスコット</v>
      </c>
      <c r="O140" s="12" t="str">
        <f t="shared" si="249"/>
        <v>たまごっちマスコット</v>
      </c>
      <c r="P140" s="131" t="str">
        <f t="shared" si="249"/>
        <v>たまごっちマスコット</v>
      </c>
      <c r="Q140" s="12" t="str">
        <f t="shared" si="249"/>
        <v>たまごっちマスコット</v>
      </c>
      <c r="R140" s="12" t="str">
        <f t="shared" si="249"/>
        <v>たまごっちマスコット</v>
      </c>
      <c r="S140" s="12" t="str">
        <f t="shared" si="249"/>
        <v>たまごっちマスコット</v>
      </c>
      <c r="T140" s="12" t="str">
        <f t="shared" si="249"/>
        <v>たまごっちマスコット</v>
      </c>
      <c r="U140" s="12" t="str">
        <f t="shared" si="249"/>
        <v>たまごっちマスコット</v>
      </c>
      <c r="V140" s="12" t="str">
        <f t="shared" si="249"/>
        <v>たまごっちマスコット</v>
      </c>
      <c r="W140" s="12" t="str">
        <f t="shared" si="249"/>
        <v>たまごっちマスコット</v>
      </c>
      <c r="X140" s="12" t="str">
        <f t="shared" si="249"/>
        <v>たまごっちマスコット</v>
      </c>
      <c r="Y140" s="12" t="str">
        <f t="shared" si="249"/>
        <v>たまごっちマスコット</v>
      </c>
      <c r="Z140" s="12" t="str">
        <f t="shared" si="249"/>
        <v>たまごっちマスコット</v>
      </c>
      <c r="AA140" s="12" t="str">
        <f t="shared" si="249"/>
        <v>たまごっちマスコット</v>
      </c>
      <c r="AB140" s="12" t="str">
        <f t="shared" si="249"/>
        <v>たまごっちマスコット</v>
      </c>
      <c r="AC140" s="12" t="str">
        <f t="shared" si="249"/>
        <v>たまごっちマスコット</v>
      </c>
      <c r="AD140" s="75" t="str">
        <f t="shared" si="249"/>
        <v>たまごっちマスコット</v>
      </c>
      <c r="AE140" s="12" t="str">
        <f t="shared" si="249"/>
        <v>たまごっちマスコット</v>
      </c>
      <c r="AF140" s="12" t="str">
        <f t="shared" si="249"/>
        <v>たまごっちマスコット</v>
      </c>
      <c r="AG140" s="12" t="str">
        <f t="shared" si="249"/>
        <v/>
      </c>
      <c r="AH140" s="12" t="str">
        <f t="shared" si="249"/>
        <v/>
      </c>
      <c r="AI140" s="12" t="str">
        <f t="shared" si="249"/>
        <v/>
      </c>
      <c r="AJ140" s="12" t="str">
        <f t="shared" si="249"/>
        <v/>
      </c>
      <c r="AK140" s="12" t="str">
        <f t="shared" si="249"/>
        <v/>
      </c>
      <c r="AL140" s="12" t="str">
        <f t="shared" si="249"/>
        <v/>
      </c>
      <c r="AM140" s="12" t="str">
        <f t="shared" ref="AM140:AS140" si="250">IF(AM$3="","",AL140)</f>
        <v/>
      </c>
      <c r="AN140" s="12" t="str">
        <f t="shared" si="250"/>
        <v/>
      </c>
      <c r="AO140" s="12" t="str">
        <f t="shared" si="250"/>
        <v/>
      </c>
      <c r="AP140" s="12" t="str">
        <f t="shared" si="250"/>
        <v/>
      </c>
      <c r="AQ140" s="12" t="str">
        <f t="shared" si="250"/>
        <v/>
      </c>
      <c r="AR140" s="12" t="str">
        <f t="shared" si="250"/>
        <v/>
      </c>
      <c r="AS140" s="12" t="str">
        <f t="shared" si="250"/>
        <v/>
      </c>
    </row>
    <row r="141" spans="1:45" s="1" customFormat="1" ht="11">
      <c r="A141" s="7">
        <f>AVERAGE(C142:AS142)*30*100</f>
        <v>78200</v>
      </c>
      <c r="B141" s="9" t="s">
        <v>14</v>
      </c>
      <c r="C141" s="74"/>
      <c r="D141" s="8"/>
      <c r="E141" s="8"/>
      <c r="F141" s="59"/>
      <c r="G141" s="8"/>
      <c r="H141" s="8"/>
      <c r="I141" s="59"/>
      <c r="J141" s="8"/>
      <c r="K141" s="8"/>
      <c r="L141" s="59"/>
      <c r="M141" s="8"/>
      <c r="N141" s="8"/>
      <c r="O141" s="8"/>
      <c r="P141" s="59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74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</row>
    <row r="142" spans="1:45" s="1" customFormat="1" ht="11">
      <c r="A142" s="7">
        <f>SUM(C142:AS142)</f>
        <v>782</v>
      </c>
      <c r="B142" s="6" t="s">
        <v>15</v>
      </c>
      <c r="C142" s="74">
        <v>0</v>
      </c>
      <c r="D142" s="5">
        <f t="shared" ref="D142:AL142" si="251">IF(D$3="","",D135-C135)</f>
        <v>0</v>
      </c>
      <c r="E142" s="5">
        <f t="shared" si="251"/>
        <v>27</v>
      </c>
      <c r="F142" s="59">
        <f t="shared" si="251"/>
        <v>0</v>
      </c>
      <c r="G142" s="5">
        <f t="shared" si="251"/>
        <v>0</v>
      </c>
      <c r="H142" s="5">
        <f t="shared" si="251"/>
        <v>96</v>
      </c>
      <c r="I142" s="59">
        <f t="shared" si="251"/>
        <v>0</v>
      </c>
      <c r="J142" s="5">
        <f t="shared" si="251"/>
        <v>0</v>
      </c>
      <c r="K142" s="5">
        <f t="shared" si="251"/>
        <v>169</v>
      </c>
      <c r="L142" s="59">
        <f t="shared" si="251"/>
        <v>0</v>
      </c>
      <c r="M142" s="5">
        <f t="shared" si="251"/>
        <v>0</v>
      </c>
      <c r="N142" s="5">
        <f t="shared" si="251"/>
        <v>0</v>
      </c>
      <c r="O142" s="5">
        <f t="shared" si="251"/>
        <v>86</v>
      </c>
      <c r="P142" s="59">
        <f t="shared" si="251"/>
        <v>0</v>
      </c>
      <c r="Q142" s="5">
        <f t="shared" si="251"/>
        <v>0</v>
      </c>
      <c r="R142" s="5">
        <f t="shared" si="251"/>
        <v>65</v>
      </c>
      <c r="S142" s="5">
        <f t="shared" si="251"/>
        <v>0</v>
      </c>
      <c r="T142" s="5">
        <f t="shared" si="251"/>
        <v>0</v>
      </c>
      <c r="U142" s="5">
        <f t="shared" si="251"/>
        <v>0</v>
      </c>
      <c r="V142" s="5">
        <f t="shared" si="251"/>
        <v>46</v>
      </c>
      <c r="W142" s="5">
        <f t="shared" si="251"/>
        <v>0</v>
      </c>
      <c r="X142" s="5">
        <f t="shared" si="251"/>
        <v>0</v>
      </c>
      <c r="Y142" s="5">
        <f t="shared" si="251"/>
        <v>77</v>
      </c>
      <c r="Z142" s="5">
        <f t="shared" si="251"/>
        <v>0</v>
      </c>
      <c r="AA142" s="5">
        <f t="shared" si="251"/>
        <v>0</v>
      </c>
      <c r="AB142" s="5">
        <f t="shared" si="251"/>
        <v>0</v>
      </c>
      <c r="AC142" s="5">
        <f t="shared" si="251"/>
        <v>104</v>
      </c>
      <c r="AD142" s="74">
        <f t="shared" si="251"/>
        <v>0</v>
      </c>
      <c r="AE142" s="5">
        <f t="shared" si="251"/>
        <v>0</v>
      </c>
      <c r="AF142" s="5">
        <f t="shared" si="251"/>
        <v>112</v>
      </c>
      <c r="AG142" s="5" t="str">
        <f t="shared" si="251"/>
        <v/>
      </c>
      <c r="AH142" s="5" t="str">
        <f t="shared" si="251"/>
        <v/>
      </c>
      <c r="AI142" s="5" t="str">
        <f t="shared" si="251"/>
        <v/>
      </c>
      <c r="AJ142" s="5" t="str">
        <f t="shared" si="251"/>
        <v/>
      </c>
      <c r="AK142" s="5" t="str">
        <f t="shared" si="251"/>
        <v/>
      </c>
      <c r="AL142" s="5" t="str">
        <f t="shared" si="251"/>
        <v/>
      </c>
      <c r="AM142" s="5" t="str">
        <f t="shared" ref="AM142:AS142" si="252">IF(AM$3="","",AM135-AL135)</f>
        <v/>
      </c>
      <c r="AN142" s="5" t="str">
        <f t="shared" si="252"/>
        <v/>
      </c>
      <c r="AO142" s="5" t="str">
        <f t="shared" si="252"/>
        <v/>
      </c>
      <c r="AP142" s="5" t="str">
        <f t="shared" si="252"/>
        <v/>
      </c>
      <c r="AQ142" s="5" t="str">
        <f t="shared" si="252"/>
        <v/>
      </c>
      <c r="AR142" s="5" t="str">
        <f t="shared" si="252"/>
        <v/>
      </c>
      <c r="AS142" s="5" t="str">
        <f t="shared" si="252"/>
        <v/>
      </c>
    </row>
    <row r="143" spans="1:45" s="1" customFormat="1" ht="11">
      <c r="A143" s="7">
        <f>SUM(C143:AS143)</f>
        <v>11</v>
      </c>
      <c r="B143" s="6" t="s">
        <v>16</v>
      </c>
      <c r="C143" s="74">
        <v>0</v>
      </c>
      <c r="D143" s="5">
        <f t="shared" ref="D143:AL143" si="253">IF(D$3="","",D136-C136)</f>
        <v>0</v>
      </c>
      <c r="E143" s="5">
        <f t="shared" si="253"/>
        <v>1</v>
      </c>
      <c r="F143" s="59">
        <f t="shared" si="253"/>
        <v>0</v>
      </c>
      <c r="G143" s="5">
        <f t="shared" si="253"/>
        <v>0</v>
      </c>
      <c r="H143" s="5">
        <f t="shared" si="253"/>
        <v>2</v>
      </c>
      <c r="I143" s="59">
        <f t="shared" si="253"/>
        <v>0</v>
      </c>
      <c r="J143" s="5">
        <f t="shared" si="253"/>
        <v>0</v>
      </c>
      <c r="K143" s="5">
        <f t="shared" si="253"/>
        <v>2</v>
      </c>
      <c r="L143" s="59">
        <f t="shared" si="253"/>
        <v>0</v>
      </c>
      <c r="M143" s="5">
        <f t="shared" si="253"/>
        <v>0</v>
      </c>
      <c r="N143" s="5">
        <f t="shared" si="253"/>
        <v>0</v>
      </c>
      <c r="O143" s="5">
        <f t="shared" si="253"/>
        <v>1</v>
      </c>
      <c r="P143" s="59">
        <f t="shared" si="253"/>
        <v>0</v>
      </c>
      <c r="Q143" s="5">
        <f t="shared" si="253"/>
        <v>0</v>
      </c>
      <c r="R143" s="5">
        <f t="shared" si="253"/>
        <v>2</v>
      </c>
      <c r="S143" s="5">
        <f t="shared" si="253"/>
        <v>0</v>
      </c>
      <c r="T143" s="5">
        <f t="shared" si="253"/>
        <v>0</v>
      </c>
      <c r="U143" s="5">
        <f t="shared" si="253"/>
        <v>0</v>
      </c>
      <c r="V143" s="5">
        <f t="shared" si="253"/>
        <v>1</v>
      </c>
      <c r="W143" s="5">
        <f t="shared" si="253"/>
        <v>0</v>
      </c>
      <c r="X143" s="5">
        <f t="shared" si="253"/>
        <v>0</v>
      </c>
      <c r="Y143" s="5">
        <f t="shared" si="253"/>
        <v>0</v>
      </c>
      <c r="Z143" s="5">
        <f t="shared" si="253"/>
        <v>0</v>
      </c>
      <c r="AA143" s="5">
        <f t="shared" si="253"/>
        <v>0</v>
      </c>
      <c r="AB143" s="5">
        <f t="shared" si="253"/>
        <v>0</v>
      </c>
      <c r="AC143" s="5">
        <f t="shared" si="253"/>
        <v>1</v>
      </c>
      <c r="AD143" s="74">
        <f t="shared" si="253"/>
        <v>0</v>
      </c>
      <c r="AE143" s="5">
        <f t="shared" si="253"/>
        <v>0</v>
      </c>
      <c r="AF143" s="5">
        <f t="shared" si="253"/>
        <v>1</v>
      </c>
      <c r="AG143" s="5" t="str">
        <f t="shared" si="253"/>
        <v/>
      </c>
      <c r="AH143" s="5" t="str">
        <f t="shared" si="253"/>
        <v/>
      </c>
      <c r="AI143" s="5" t="str">
        <f t="shared" si="253"/>
        <v/>
      </c>
      <c r="AJ143" s="5" t="str">
        <f t="shared" si="253"/>
        <v/>
      </c>
      <c r="AK143" s="5" t="str">
        <f t="shared" si="253"/>
        <v/>
      </c>
      <c r="AL143" s="5" t="str">
        <f t="shared" si="253"/>
        <v/>
      </c>
      <c r="AM143" s="5" t="str">
        <f t="shared" ref="AM143:AS143" si="254">IF(AM$3="","",AM136-AL136)</f>
        <v/>
      </c>
      <c r="AN143" s="5" t="str">
        <f t="shared" si="254"/>
        <v/>
      </c>
      <c r="AO143" s="5" t="str">
        <f t="shared" si="254"/>
        <v/>
      </c>
      <c r="AP143" s="5" t="str">
        <f t="shared" si="254"/>
        <v/>
      </c>
      <c r="AQ143" s="5" t="str">
        <f t="shared" si="254"/>
        <v/>
      </c>
      <c r="AR143" s="5" t="str">
        <f t="shared" si="254"/>
        <v/>
      </c>
      <c r="AS143" s="5" t="str">
        <f t="shared" si="254"/>
        <v/>
      </c>
    </row>
    <row r="144" spans="1:45" s="1" customFormat="1" ht="11">
      <c r="A144" s="7">
        <f>SUM(C144:AS144)</f>
        <v>15</v>
      </c>
      <c r="B144" s="6" t="s">
        <v>17</v>
      </c>
      <c r="C144" s="74">
        <v>0</v>
      </c>
      <c r="D144" s="5">
        <f t="shared" ref="D144:AL144" si="255">IF(D$3="","",C137+C138-D137)</f>
        <v>0</v>
      </c>
      <c r="E144" s="5">
        <f t="shared" si="255"/>
        <v>1</v>
      </c>
      <c r="F144" s="59">
        <f t="shared" si="255"/>
        <v>0</v>
      </c>
      <c r="G144" s="5">
        <f t="shared" si="255"/>
        <v>0</v>
      </c>
      <c r="H144" s="5">
        <f t="shared" si="255"/>
        <v>2</v>
      </c>
      <c r="I144" s="59">
        <f t="shared" si="255"/>
        <v>0</v>
      </c>
      <c r="J144" s="5">
        <f t="shared" si="255"/>
        <v>0</v>
      </c>
      <c r="K144" s="5">
        <f t="shared" si="255"/>
        <v>2</v>
      </c>
      <c r="L144" s="59">
        <f t="shared" si="255"/>
        <v>0</v>
      </c>
      <c r="M144" s="5">
        <f t="shared" si="255"/>
        <v>0</v>
      </c>
      <c r="N144" s="5">
        <f t="shared" si="255"/>
        <v>0</v>
      </c>
      <c r="O144" s="5">
        <f t="shared" si="255"/>
        <v>5</v>
      </c>
      <c r="P144" s="59">
        <f t="shared" si="255"/>
        <v>0</v>
      </c>
      <c r="Q144" s="5">
        <f t="shared" si="255"/>
        <v>0</v>
      </c>
      <c r="R144" s="5">
        <f t="shared" si="255"/>
        <v>1</v>
      </c>
      <c r="S144" s="5">
        <f t="shared" si="255"/>
        <v>0</v>
      </c>
      <c r="T144" s="5">
        <f t="shared" si="255"/>
        <v>0</v>
      </c>
      <c r="U144" s="5">
        <f t="shared" si="255"/>
        <v>0</v>
      </c>
      <c r="V144" s="5">
        <f t="shared" si="255"/>
        <v>1</v>
      </c>
      <c r="W144" s="5">
        <f t="shared" si="255"/>
        <v>0</v>
      </c>
      <c r="X144" s="5">
        <f t="shared" si="255"/>
        <v>0</v>
      </c>
      <c r="Y144" s="5">
        <f t="shared" si="255"/>
        <v>0</v>
      </c>
      <c r="Z144" s="5">
        <f t="shared" si="255"/>
        <v>0</v>
      </c>
      <c r="AA144" s="5">
        <f t="shared" si="255"/>
        <v>0</v>
      </c>
      <c r="AB144" s="5">
        <f t="shared" si="255"/>
        <v>0</v>
      </c>
      <c r="AC144" s="5">
        <f t="shared" si="255"/>
        <v>1</v>
      </c>
      <c r="AD144" s="74">
        <f t="shared" si="255"/>
        <v>0</v>
      </c>
      <c r="AE144" s="5">
        <f t="shared" si="255"/>
        <v>0</v>
      </c>
      <c r="AF144" s="5">
        <f t="shared" si="255"/>
        <v>2</v>
      </c>
      <c r="AG144" s="5" t="str">
        <f t="shared" si="255"/>
        <v/>
      </c>
      <c r="AH144" s="5" t="str">
        <f t="shared" si="255"/>
        <v/>
      </c>
      <c r="AI144" s="5" t="str">
        <f t="shared" si="255"/>
        <v/>
      </c>
      <c r="AJ144" s="5" t="str">
        <f t="shared" si="255"/>
        <v/>
      </c>
      <c r="AK144" s="5" t="str">
        <f t="shared" si="255"/>
        <v/>
      </c>
      <c r="AL144" s="5" t="str">
        <f t="shared" si="255"/>
        <v/>
      </c>
      <c r="AM144" s="5" t="str">
        <f t="shared" ref="AM144:AS144" si="256">IF(AM$3="","",AL137+AL138-AM137)</f>
        <v/>
      </c>
      <c r="AN144" s="5" t="str">
        <f t="shared" si="256"/>
        <v/>
      </c>
      <c r="AO144" s="5" t="str">
        <f t="shared" si="256"/>
        <v/>
      </c>
      <c r="AP144" s="5" t="str">
        <f t="shared" si="256"/>
        <v/>
      </c>
      <c r="AQ144" s="5" t="str">
        <f t="shared" si="256"/>
        <v/>
      </c>
      <c r="AR144" s="5" t="str">
        <f t="shared" si="256"/>
        <v/>
      </c>
      <c r="AS144" s="5" t="str">
        <f t="shared" si="256"/>
        <v/>
      </c>
    </row>
    <row r="145" spans="1:45" s="1" customFormat="1" ht="11">
      <c r="A145" s="7">
        <f>SUM(C145:AS145)</f>
        <v>12300</v>
      </c>
      <c r="B145" s="6" t="s">
        <v>18</v>
      </c>
      <c r="C145" s="74">
        <v>0</v>
      </c>
      <c r="D145" s="5">
        <f t="shared" ref="D145:AL145" si="257">IF(D$3="","",D144*D139)</f>
        <v>0</v>
      </c>
      <c r="E145" s="5">
        <f t="shared" si="257"/>
        <v>820</v>
      </c>
      <c r="F145" s="59">
        <f t="shared" si="257"/>
        <v>0</v>
      </c>
      <c r="G145" s="5">
        <f t="shared" si="257"/>
        <v>0</v>
      </c>
      <c r="H145" s="5">
        <f t="shared" si="257"/>
        <v>1640</v>
      </c>
      <c r="I145" s="59">
        <f t="shared" si="257"/>
        <v>0</v>
      </c>
      <c r="J145" s="5">
        <f t="shared" si="257"/>
        <v>0</v>
      </c>
      <c r="K145" s="5">
        <f t="shared" si="257"/>
        <v>1640</v>
      </c>
      <c r="L145" s="59">
        <f t="shared" si="257"/>
        <v>0</v>
      </c>
      <c r="M145" s="5">
        <f t="shared" si="257"/>
        <v>0</v>
      </c>
      <c r="N145" s="5">
        <f t="shared" si="257"/>
        <v>0</v>
      </c>
      <c r="O145" s="5">
        <f t="shared" si="257"/>
        <v>4100</v>
      </c>
      <c r="P145" s="59">
        <f t="shared" si="257"/>
        <v>0</v>
      </c>
      <c r="Q145" s="5">
        <f t="shared" si="257"/>
        <v>0</v>
      </c>
      <c r="R145" s="5">
        <f t="shared" si="257"/>
        <v>820</v>
      </c>
      <c r="S145" s="5">
        <f t="shared" si="257"/>
        <v>0</v>
      </c>
      <c r="T145" s="5">
        <f t="shared" si="257"/>
        <v>0</v>
      </c>
      <c r="U145" s="5">
        <f t="shared" si="257"/>
        <v>0</v>
      </c>
      <c r="V145" s="5">
        <f t="shared" si="257"/>
        <v>820</v>
      </c>
      <c r="W145" s="5">
        <f t="shared" si="257"/>
        <v>0</v>
      </c>
      <c r="X145" s="5">
        <f t="shared" si="257"/>
        <v>0</v>
      </c>
      <c r="Y145" s="5">
        <f t="shared" si="257"/>
        <v>0</v>
      </c>
      <c r="Z145" s="5">
        <f t="shared" si="257"/>
        <v>0</v>
      </c>
      <c r="AA145" s="5">
        <f t="shared" si="257"/>
        <v>0</v>
      </c>
      <c r="AB145" s="5">
        <f t="shared" si="257"/>
        <v>0</v>
      </c>
      <c r="AC145" s="5">
        <f t="shared" si="257"/>
        <v>820</v>
      </c>
      <c r="AD145" s="74">
        <f t="shared" si="257"/>
        <v>0</v>
      </c>
      <c r="AE145" s="5">
        <f t="shared" si="257"/>
        <v>0</v>
      </c>
      <c r="AF145" s="5">
        <f t="shared" si="257"/>
        <v>1640</v>
      </c>
      <c r="AG145" s="5" t="str">
        <f t="shared" si="257"/>
        <v/>
      </c>
      <c r="AH145" s="5" t="str">
        <f t="shared" si="257"/>
        <v/>
      </c>
      <c r="AI145" s="5" t="str">
        <f t="shared" si="257"/>
        <v/>
      </c>
      <c r="AJ145" s="5" t="str">
        <f t="shared" si="257"/>
        <v/>
      </c>
      <c r="AK145" s="5" t="str">
        <f t="shared" si="257"/>
        <v/>
      </c>
      <c r="AL145" s="5" t="str">
        <f t="shared" si="257"/>
        <v/>
      </c>
      <c r="AM145" s="5" t="str">
        <f t="shared" ref="AM145:AS145" si="258">IF(AM$3="","",AM144*AM139)</f>
        <v/>
      </c>
      <c r="AN145" s="5" t="str">
        <f t="shared" si="258"/>
        <v/>
      </c>
      <c r="AO145" s="5" t="str">
        <f t="shared" si="258"/>
        <v/>
      </c>
      <c r="AP145" s="5" t="str">
        <f t="shared" si="258"/>
        <v/>
      </c>
      <c r="AQ145" s="5" t="str">
        <f t="shared" si="258"/>
        <v/>
      </c>
      <c r="AR145" s="5" t="str">
        <f t="shared" si="258"/>
        <v/>
      </c>
      <c r="AS145" s="5" t="str">
        <f t="shared" si="258"/>
        <v/>
      </c>
    </row>
    <row r="146" spans="1:45" s="1" customFormat="1" ht="12" thickBot="1">
      <c r="A146" s="4">
        <f>IF(A145="","",A145/(A142*100))</f>
        <v>0.15728900255754474</v>
      </c>
      <c r="B146" s="3" t="s">
        <v>20</v>
      </c>
      <c r="C146" s="77" t="s">
        <v>21</v>
      </c>
      <c r="D146" s="2" t="str">
        <f t="shared" ref="D146:AL146" si="259">IF(D$3="","",IF(D145=0,"",D145/(D142*100)))</f>
        <v/>
      </c>
      <c r="E146" s="2">
        <f t="shared" si="259"/>
        <v>0.3037037037037037</v>
      </c>
      <c r="F146" s="57" t="str">
        <f t="shared" si="259"/>
        <v/>
      </c>
      <c r="G146" s="2" t="str">
        <f t="shared" si="259"/>
        <v/>
      </c>
      <c r="H146" s="2">
        <f t="shared" si="259"/>
        <v>0.17083333333333334</v>
      </c>
      <c r="I146" s="57" t="str">
        <f t="shared" si="259"/>
        <v/>
      </c>
      <c r="J146" s="2" t="str">
        <f t="shared" si="259"/>
        <v/>
      </c>
      <c r="K146" s="2">
        <f t="shared" si="259"/>
        <v>9.70414201183432E-2</v>
      </c>
      <c r="L146" s="57" t="str">
        <f t="shared" si="259"/>
        <v/>
      </c>
      <c r="M146" s="2" t="str">
        <f t="shared" si="259"/>
        <v/>
      </c>
      <c r="N146" s="2" t="str">
        <f t="shared" si="259"/>
        <v/>
      </c>
      <c r="O146" s="2">
        <f t="shared" si="259"/>
        <v>0.47674418604651164</v>
      </c>
      <c r="P146" s="57" t="str">
        <f t="shared" si="259"/>
        <v/>
      </c>
      <c r="Q146" s="2" t="str">
        <f t="shared" si="259"/>
        <v/>
      </c>
      <c r="R146" s="2">
        <f t="shared" si="259"/>
        <v>0.12615384615384614</v>
      </c>
      <c r="S146" s="2" t="str">
        <f t="shared" si="259"/>
        <v/>
      </c>
      <c r="T146" s="2" t="str">
        <f t="shared" si="259"/>
        <v/>
      </c>
      <c r="U146" s="2" t="str">
        <f t="shared" si="259"/>
        <v/>
      </c>
      <c r="V146" s="2">
        <f t="shared" si="259"/>
        <v>0.17826086956521739</v>
      </c>
      <c r="W146" s="2" t="str">
        <f t="shared" si="259"/>
        <v/>
      </c>
      <c r="X146" s="2" t="str">
        <f t="shared" si="259"/>
        <v/>
      </c>
      <c r="Y146" s="2" t="str">
        <f t="shared" si="259"/>
        <v/>
      </c>
      <c r="Z146" s="2" t="str">
        <f t="shared" si="259"/>
        <v/>
      </c>
      <c r="AA146" s="2" t="str">
        <f t="shared" si="259"/>
        <v/>
      </c>
      <c r="AB146" s="2" t="str">
        <f t="shared" si="259"/>
        <v/>
      </c>
      <c r="AC146" s="2">
        <f t="shared" si="259"/>
        <v>7.8846153846153844E-2</v>
      </c>
      <c r="AD146" s="77" t="str">
        <f t="shared" si="259"/>
        <v/>
      </c>
      <c r="AE146" s="2" t="str">
        <f t="shared" si="259"/>
        <v/>
      </c>
      <c r="AF146" s="2">
        <f t="shared" si="259"/>
        <v>0.14642857142857144</v>
      </c>
      <c r="AG146" s="2" t="str">
        <f t="shared" si="259"/>
        <v/>
      </c>
      <c r="AH146" s="2" t="str">
        <f t="shared" si="259"/>
        <v/>
      </c>
      <c r="AI146" s="2" t="str">
        <f t="shared" si="259"/>
        <v/>
      </c>
      <c r="AJ146" s="2" t="str">
        <f t="shared" si="259"/>
        <v/>
      </c>
      <c r="AK146" s="2" t="str">
        <f t="shared" si="259"/>
        <v/>
      </c>
      <c r="AL146" s="2" t="str">
        <f t="shared" si="259"/>
        <v/>
      </c>
      <c r="AM146" s="2" t="str">
        <f t="shared" ref="AM146:AS146" si="260">IF(AM$3="","",IF(AM145=0,"",AM145/(AM142*100)))</f>
        <v/>
      </c>
      <c r="AN146" s="2" t="str">
        <f t="shared" si="260"/>
        <v/>
      </c>
      <c r="AO146" s="2" t="str">
        <f t="shared" si="260"/>
        <v/>
      </c>
      <c r="AP146" s="2" t="str">
        <f t="shared" si="260"/>
        <v/>
      </c>
      <c r="AQ146" s="2" t="str">
        <f t="shared" si="260"/>
        <v/>
      </c>
      <c r="AR146" s="2" t="str">
        <f t="shared" si="260"/>
        <v/>
      </c>
      <c r="AS146" s="2" t="str">
        <f t="shared" si="260"/>
        <v/>
      </c>
    </row>
    <row r="147" spans="1:45" s="1" customFormat="1" ht="11">
      <c r="A147" s="22" t="s">
        <v>61</v>
      </c>
      <c r="B147" s="21" t="s">
        <v>2</v>
      </c>
      <c r="C147" s="73">
        <v>3615</v>
      </c>
      <c r="D147" s="20">
        <f>IF(D$3="","",C147)</f>
        <v>3615</v>
      </c>
      <c r="E147" s="20">
        <v>3662</v>
      </c>
      <c r="F147" s="130">
        <f>IF(F$3="","",E147)</f>
        <v>3662</v>
      </c>
      <c r="G147" s="20">
        <f>IF(G$3="","",F147)</f>
        <v>3662</v>
      </c>
      <c r="H147" s="20">
        <v>3723</v>
      </c>
      <c r="I147" s="130">
        <f>IF(I$3="","",H147)</f>
        <v>3723</v>
      </c>
      <c r="J147" s="20">
        <f>IF(J$3="","",I147)</f>
        <v>3723</v>
      </c>
      <c r="K147" s="20">
        <v>3740</v>
      </c>
      <c r="L147" s="130">
        <f t="shared" ref="L147:N148" si="261">IF(L$3="","",K147)</f>
        <v>3740</v>
      </c>
      <c r="M147" s="20">
        <f t="shared" si="261"/>
        <v>3740</v>
      </c>
      <c r="N147" s="20">
        <f t="shared" si="261"/>
        <v>3740</v>
      </c>
      <c r="O147" s="20">
        <v>3783</v>
      </c>
      <c r="P147" s="130">
        <f>IF(P$3="","",O147)</f>
        <v>3783</v>
      </c>
      <c r="Q147" s="20">
        <f>IF(Q$3="","",P147)</f>
        <v>3783</v>
      </c>
      <c r="R147" s="20">
        <v>3844</v>
      </c>
      <c r="S147" s="20">
        <f t="shared" ref="S147:AL147" si="262">IF(S$3="","",R147)</f>
        <v>3844</v>
      </c>
      <c r="T147" s="20">
        <f t="shared" si="262"/>
        <v>3844</v>
      </c>
      <c r="U147" s="20">
        <f t="shared" si="262"/>
        <v>3844</v>
      </c>
      <c r="V147" s="20">
        <v>3892</v>
      </c>
      <c r="W147" s="20">
        <f t="shared" si="262"/>
        <v>3892</v>
      </c>
      <c r="X147" s="20">
        <f t="shared" si="262"/>
        <v>3892</v>
      </c>
      <c r="Y147" s="20">
        <v>3930</v>
      </c>
      <c r="Z147" s="20">
        <f t="shared" si="262"/>
        <v>3930</v>
      </c>
      <c r="AA147" s="20">
        <f t="shared" si="262"/>
        <v>3930</v>
      </c>
      <c r="AB147" s="20">
        <f t="shared" si="262"/>
        <v>3930</v>
      </c>
      <c r="AC147" s="20">
        <v>3942</v>
      </c>
      <c r="AD147" s="73">
        <f t="shared" si="262"/>
        <v>3942</v>
      </c>
      <c r="AE147" s="20">
        <f t="shared" si="262"/>
        <v>3942</v>
      </c>
      <c r="AF147" s="20">
        <v>3957</v>
      </c>
      <c r="AG147" s="20" t="str">
        <f t="shared" si="262"/>
        <v/>
      </c>
      <c r="AH147" s="20" t="str">
        <f t="shared" si="262"/>
        <v/>
      </c>
      <c r="AI147" s="20" t="str">
        <f t="shared" si="262"/>
        <v/>
      </c>
      <c r="AJ147" s="20" t="str">
        <f t="shared" si="262"/>
        <v/>
      </c>
      <c r="AK147" s="20" t="str">
        <f t="shared" si="262"/>
        <v/>
      </c>
      <c r="AL147" s="20" t="str">
        <f t="shared" si="262"/>
        <v/>
      </c>
      <c r="AM147" s="20" t="str">
        <f t="shared" ref="AM147:AS147" si="263">IF(AM$3="","",AL147)</f>
        <v/>
      </c>
      <c r="AN147" s="20" t="str">
        <f t="shared" si="263"/>
        <v/>
      </c>
      <c r="AO147" s="20" t="str">
        <f t="shared" si="263"/>
        <v/>
      </c>
      <c r="AP147" s="20" t="str">
        <f t="shared" si="263"/>
        <v/>
      </c>
      <c r="AQ147" s="20" t="str">
        <f t="shared" si="263"/>
        <v/>
      </c>
      <c r="AR147" s="20" t="str">
        <f t="shared" si="263"/>
        <v/>
      </c>
      <c r="AS147" s="20" t="str">
        <f t="shared" si="263"/>
        <v/>
      </c>
    </row>
    <row r="148" spans="1:45" s="1" customFormat="1" ht="11">
      <c r="A148" s="16" t="s">
        <v>46</v>
      </c>
      <c r="B148" s="9" t="s">
        <v>4</v>
      </c>
      <c r="C148" s="74">
        <v>74</v>
      </c>
      <c r="D148" s="8">
        <f>IF(D$3="","",C148)</f>
        <v>74</v>
      </c>
      <c r="E148" s="8">
        <v>75</v>
      </c>
      <c r="F148" s="59">
        <f>IF(F$3="","",E148)</f>
        <v>75</v>
      </c>
      <c r="G148" s="8">
        <f>IF(G$3="","",F148)</f>
        <v>75</v>
      </c>
      <c r="H148" s="8">
        <v>76</v>
      </c>
      <c r="I148" s="59">
        <f>IF(I$3="","",H148)</f>
        <v>76</v>
      </c>
      <c r="J148" s="8">
        <f>IF(J$3="","",I148)</f>
        <v>76</v>
      </c>
      <c r="K148" s="8">
        <f>IF(K$3="","",J148)</f>
        <v>76</v>
      </c>
      <c r="L148" s="59">
        <f t="shared" si="261"/>
        <v>76</v>
      </c>
      <c r="M148" s="8">
        <f t="shared" si="261"/>
        <v>76</v>
      </c>
      <c r="N148" s="8">
        <f t="shared" si="261"/>
        <v>76</v>
      </c>
      <c r="O148" s="8">
        <v>77</v>
      </c>
      <c r="P148" s="59">
        <f>IF(P$3="","",O148)</f>
        <v>77</v>
      </c>
      <c r="Q148" s="8">
        <f>IF(Q$3="","",P148)</f>
        <v>77</v>
      </c>
      <c r="R148" s="8">
        <v>79</v>
      </c>
      <c r="S148" s="8">
        <f t="shared" ref="S148:AL148" si="264">IF(S$3="","",R148)</f>
        <v>79</v>
      </c>
      <c r="T148" s="8">
        <f t="shared" si="264"/>
        <v>79</v>
      </c>
      <c r="U148" s="8">
        <f t="shared" si="264"/>
        <v>79</v>
      </c>
      <c r="V148" s="8">
        <f t="shared" si="264"/>
        <v>79</v>
      </c>
      <c r="W148" s="8">
        <f t="shared" si="264"/>
        <v>79</v>
      </c>
      <c r="X148" s="8">
        <f t="shared" si="264"/>
        <v>79</v>
      </c>
      <c r="Y148" s="8">
        <v>80</v>
      </c>
      <c r="Z148" s="8">
        <f t="shared" si="264"/>
        <v>80</v>
      </c>
      <c r="AA148" s="8">
        <f t="shared" si="264"/>
        <v>80</v>
      </c>
      <c r="AB148" s="8">
        <f t="shared" si="264"/>
        <v>80</v>
      </c>
      <c r="AC148" s="8">
        <f t="shared" si="264"/>
        <v>80</v>
      </c>
      <c r="AD148" s="74">
        <f t="shared" si="264"/>
        <v>80</v>
      </c>
      <c r="AE148" s="8">
        <f t="shared" si="264"/>
        <v>80</v>
      </c>
      <c r="AF148" s="8">
        <f t="shared" si="264"/>
        <v>80</v>
      </c>
      <c r="AG148" s="8" t="str">
        <f t="shared" si="264"/>
        <v/>
      </c>
      <c r="AH148" s="8" t="str">
        <f t="shared" si="264"/>
        <v/>
      </c>
      <c r="AI148" s="8" t="str">
        <f t="shared" si="264"/>
        <v/>
      </c>
      <c r="AJ148" s="8" t="str">
        <f t="shared" si="264"/>
        <v/>
      </c>
      <c r="AK148" s="8" t="str">
        <f t="shared" si="264"/>
        <v/>
      </c>
      <c r="AL148" s="8" t="str">
        <f t="shared" si="264"/>
        <v/>
      </c>
      <c r="AM148" s="8" t="str">
        <f t="shared" ref="AM148:AS148" si="265">IF(AM$3="","",AL148)</f>
        <v/>
      </c>
      <c r="AN148" s="8" t="str">
        <f t="shared" si="265"/>
        <v/>
      </c>
      <c r="AO148" s="8" t="str">
        <f t="shared" si="265"/>
        <v/>
      </c>
      <c r="AP148" s="8" t="str">
        <f t="shared" si="265"/>
        <v/>
      </c>
      <c r="AQ148" s="8" t="str">
        <f t="shared" si="265"/>
        <v/>
      </c>
      <c r="AR148" s="8" t="str">
        <f t="shared" si="265"/>
        <v/>
      </c>
      <c r="AS148" s="8" t="str">
        <f t="shared" si="265"/>
        <v/>
      </c>
    </row>
    <row r="149" spans="1:45" s="1" customFormat="1" ht="11">
      <c r="A149" s="15">
        <v>1</v>
      </c>
      <c r="B149" s="9" t="s">
        <v>5</v>
      </c>
      <c r="C149" s="74">
        <v>7</v>
      </c>
      <c r="D149" s="8">
        <f>IF(D$3="","",(C149+C150))</f>
        <v>7</v>
      </c>
      <c r="E149" s="8">
        <v>6</v>
      </c>
      <c r="F149" s="59">
        <f t="shared" ref="F149:AL149" si="266">IF(F$3="","",(E149+E150))</f>
        <v>6</v>
      </c>
      <c r="G149" s="8">
        <f t="shared" si="266"/>
        <v>6</v>
      </c>
      <c r="H149" s="8">
        <f t="shared" si="266"/>
        <v>6</v>
      </c>
      <c r="I149" s="59">
        <f t="shared" si="266"/>
        <v>6</v>
      </c>
      <c r="J149" s="8">
        <f t="shared" si="266"/>
        <v>6</v>
      </c>
      <c r="K149" s="8">
        <f t="shared" si="266"/>
        <v>6</v>
      </c>
      <c r="L149" s="59">
        <f t="shared" si="266"/>
        <v>6</v>
      </c>
      <c r="M149" s="8">
        <f t="shared" si="266"/>
        <v>6</v>
      </c>
      <c r="N149" s="8">
        <f t="shared" si="266"/>
        <v>6</v>
      </c>
      <c r="O149" s="8">
        <f t="shared" si="266"/>
        <v>6</v>
      </c>
      <c r="P149" s="59">
        <f t="shared" si="266"/>
        <v>6</v>
      </c>
      <c r="Q149" s="8">
        <f t="shared" si="266"/>
        <v>6</v>
      </c>
      <c r="R149" s="8">
        <f t="shared" si="266"/>
        <v>6</v>
      </c>
      <c r="S149" s="8">
        <f t="shared" si="266"/>
        <v>6</v>
      </c>
      <c r="T149" s="8">
        <f t="shared" si="266"/>
        <v>6</v>
      </c>
      <c r="U149" s="8">
        <f t="shared" si="266"/>
        <v>6</v>
      </c>
      <c r="V149" s="8">
        <f t="shared" si="266"/>
        <v>6</v>
      </c>
      <c r="W149" s="8">
        <f t="shared" si="266"/>
        <v>6</v>
      </c>
      <c r="X149" s="8">
        <f t="shared" si="266"/>
        <v>6</v>
      </c>
      <c r="Y149" s="8">
        <f t="shared" si="266"/>
        <v>6</v>
      </c>
      <c r="Z149" s="8">
        <f t="shared" si="266"/>
        <v>6</v>
      </c>
      <c r="AA149" s="8">
        <f t="shared" si="266"/>
        <v>6</v>
      </c>
      <c r="AB149" s="8">
        <f t="shared" si="266"/>
        <v>6</v>
      </c>
      <c r="AC149" s="8">
        <f t="shared" si="266"/>
        <v>6</v>
      </c>
      <c r="AD149" s="74">
        <f t="shared" si="266"/>
        <v>7</v>
      </c>
      <c r="AE149" s="8">
        <f t="shared" si="266"/>
        <v>7</v>
      </c>
      <c r="AF149" s="8">
        <f t="shared" si="266"/>
        <v>7</v>
      </c>
      <c r="AG149" s="8" t="str">
        <f t="shared" si="266"/>
        <v/>
      </c>
      <c r="AH149" s="8" t="str">
        <f t="shared" si="266"/>
        <v/>
      </c>
      <c r="AI149" s="8" t="str">
        <f t="shared" si="266"/>
        <v/>
      </c>
      <c r="AJ149" s="8" t="str">
        <f t="shared" si="266"/>
        <v/>
      </c>
      <c r="AK149" s="8" t="str">
        <f t="shared" si="266"/>
        <v/>
      </c>
      <c r="AL149" s="8" t="str">
        <f t="shared" si="266"/>
        <v/>
      </c>
      <c r="AM149" s="8" t="str">
        <f t="shared" ref="AM149:AS149" si="267">IF(AM$3="","",(AL149+AL150))</f>
        <v/>
      </c>
      <c r="AN149" s="8" t="str">
        <f t="shared" si="267"/>
        <v/>
      </c>
      <c r="AO149" s="8" t="str">
        <f t="shared" si="267"/>
        <v/>
      </c>
      <c r="AP149" s="8" t="str">
        <f t="shared" si="267"/>
        <v/>
      </c>
      <c r="AQ149" s="8" t="str">
        <f t="shared" si="267"/>
        <v/>
      </c>
      <c r="AR149" s="8" t="str">
        <f t="shared" si="267"/>
        <v/>
      </c>
      <c r="AS149" s="8" t="str">
        <f t="shared" si="267"/>
        <v/>
      </c>
    </row>
    <row r="150" spans="1:45" s="1" customFormat="1" ht="11">
      <c r="A150" s="101" t="s">
        <v>6</v>
      </c>
      <c r="B150" s="9" t="s">
        <v>7</v>
      </c>
      <c r="C150" s="74"/>
      <c r="D150" s="8"/>
      <c r="E150" s="8"/>
      <c r="F150" s="59"/>
      <c r="G150" s="8"/>
      <c r="H150" s="8"/>
      <c r="I150" s="59"/>
      <c r="J150" s="8"/>
      <c r="K150" s="8"/>
      <c r="L150" s="59"/>
      <c r="M150" s="8"/>
      <c r="N150" s="8"/>
      <c r="O150" s="8"/>
      <c r="P150" s="5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>
        <v>1</v>
      </c>
      <c r="AD150" s="74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</row>
    <row r="151" spans="1:45" s="1" customFormat="1" ht="11">
      <c r="A151" s="102">
        <f>+(A154+A166+A178+A190)*100</f>
        <v>166600</v>
      </c>
      <c r="B151" s="9" t="s">
        <v>8</v>
      </c>
      <c r="C151" s="74">
        <v>600</v>
      </c>
      <c r="D151" s="8">
        <f t="shared" ref="D151:AL151" si="268">IF(D$3="","",C151)</f>
        <v>600</v>
      </c>
      <c r="E151" s="8">
        <f t="shared" si="268"/>
        <v>600</v>
      </c>
      <c r="F151" s="59">
        <f t="shared" si="268"/>
        <v>600</v>
      </c>
      <c r="G151" s="8">
        <f t="shared" si="268"/>
        <v>600</v>
      </c>
      <c r="H151" s="8">
        <f t="shared" si="268"/>
        <v>600</v>
      </c>
      <c r="I151" s="59">
        <f t="shared" si="268"/>
        <v>600</v>
      </c>
      <c r="J151" s="8">
        <f t="shared" si="268"/>
        <v>600</v>
      </c>
      <c r="K151" s="8">
        <f t="shared" si="268"/>
        <v>600</v>
      </c>
      <c r="L151" s="59">
        <f t="shared" si="268"/>
        <v>600</v>
      </c>
      <c r="M151" s="8">
        <f t="shared" si="268"/>
        <v>600</v>
      </c>
      <c r="N151" s="8">
        <f t="shared" si="268"/>
        <v>600</v>
      </c>
      <c r="O151" s="8">
        <f t="shared" si="268"/>
        <v>600</v>
      </c>
      <c r="P151" s="59">
        <f t="shared" si="268"/>
        <v>600</v>
      </c>
      <c r="Q151" s="8">
        <f t="shared" si="268"/>
        <v>600</v>
      </c>
      <c r="R151" s="8">
        <f t="shared" si="268"/>
        <v>600</v>
      </c>
      <c r="S151" s="8">
        <f t="shared" si="268"/>
        <v>600</v>
      </c>
      <c r="T151" s="8">
        <f t="shared" si="268"/>
        <v>600</v>
      </c>
      <c r="U151" s="8">
        <f t="shared" si="268"/>
        <v>600</v>
      </c>
      <c r="V151" s="8">
        <f t="shared" si="268"/>
        <v>600</v>
      </c>
      <c r="W151" s="8">
        <f t="shared" si="268"/>
        <v>600</v>
      </c>
      <c r="X151" s="8">
        <f t="shared" si="268"/>
        <v>600</v>
      </c>
      <c r="Y151" s="8">
        <f t="shared" si="268"/>
        <v>600</v>
      </c>
      <c r="Z151" s="8">
        <f t="shared" si="268"/>
        <v>600</v>
      </c>
      <c r="AA151" s="8">
        <f t="shared" si="268"/>
        <v>600</v>
      </c>
      <c r="AB151" s="8">
        <f t="shared" si="268"/>
        <v>600</v>
      </c>
      <c r="AC151" s="8">
        <f t="shared" si="268"/>
        <v>600</v>
      </c>
      <c r="AD151" s="74">
        <f t="shared" si="268"/>
        <v>600</v>
      </c>
      <c r="AE151" s="8">
        <f t="shared" si="268"/>
        <v>600</v>
      </c>
      <c r="AF151" s="8">
        <f t="shared" si="268"/>
        <v>600</v>
      </c>
      <c r="AG151" s="8" t="str">
        <f t="shared" si="268"/>
        <v/>
      </c>
      <c r="AH151" s="8" t="str">
        <f t="shared" si="268"/>
        <v/>
      </c>
      <c r="AI151" s="8" t="str">
        <f t="shared" si="268"/>
        <v/>
      </c>
      <c r="AJ151" s="8" t="str">
        <f t="shared" si="268"/>
        <v/>
      </c>
      <c r="AK151" s="8" t="str">
        <f t="shared" si="268"/>
        <v/>
      </c>
      <c r="AL151" s="8" t="str">
        <f t="shared" si="268"/>
        <v/>
      </c>
      <c r="AM151" s="8" t="str">
        <f t="shared" ref="AM151:AS151" si="269">IF(AM$3="","",AL151)</f>
        <v/>
      </c>
      <c r="AN151" s="8" t="str">
        <f t="shared" si="269"/>
        <v/>
      </c>
      <c r="AO151" s="8" t="str">
        <f t="shared" si="269"/>
        <v/>
      </c>
      <c r="AP151" s="8" t="str">
        <f t="shared" si="269"/>
        <v/>
      </c>
      <c r="AQ151" s="8" t="str">
        <f t="shared" si="269"/>
        <v/>
      </c>
      <c r="AR151" s="8" t="str">
        <f t="shared" si="269"/>
        <v/>
      </c>
      <c r="AS151" s="8" t="str">
        <f t="shared" si="269"/>
        <v/>
      </c>
    </row>
    <row r="152" spans="1:45" s="94" customFormat="1" ht="11">
      <c r="A152" s="14" t="s">
        <v>9</v>
      </c>
      <c r="B152" s="13" t="s">
        <v>10</v>
      </c>
      <c r="C152" s="75" t="s">
        <v>69</v>
      </c>
      <c r="D152" s="12" t="str">
        <f t="shared" ref="D152:AL152" si="270">IF(D$3="","",C152)</f>
        <v>ジャグラーサウンドボタン</v>
      </c>
      <c r="E152" s="12" t="str">
        <f t="shared" si="270"/>
        <v>ジャグラーサウンドボタン</v>
      </c>
      <c r="F152" s="131" t="str">
        <f t="shared" si="270"/>
        <v>ジャグラーサウンドボタン</v>
      </c>
      <c r="G152" s="12" t="str">
        <f t="shared" si="270"/>
        <v>ジャグラーサウンドボタン</v>
      </c>
      <c r="H152" s="12" t="str">
        <f t="shared" si="270"/>
        <v>ジャグラーサウンドボタン</v>
      </c>
      <c r="I152" s="131" t="str">
        <f t="shared" si="270"/>
        <v>ジャグラーサウンドボタン</v>
      </c>
      <c r="J152" s="12" t="str">
        <f t="shared" si="270"/>
        <v>ジャグラーサウンドボタン</v>
      </c>
      <c r="K152" s="12" t="str">
        <f t="shared" si="270"/>
        <v>ジャグラーサウンドボタン</v>
      </c>
      <c r="L152" s="131" t="str">
        <f t="shared" si="270"/>
        <v>ジャグラーサウンドボタン</v>
      </c>
      <c r="M152" s="12" t="str">
        <f t="shared" si="270"/>
        <v>ジャグラーサウンドボタン</v>
      </c>
      <c r="N152" s="12" t="str">
        <f t="shared" si="270"/>
        <v>ジャグラーサウンドボタン</v>
      </c>
      <c r="O152" s="12" t="str">
        <f t="shared" si="270"/>
        <v>ジャグラーサウンドボタン</v>
      </c>
      <c r="P152" s="131" t="str">
        <f t="shared" si="270"/>
        <v>ジャグラーサウンドボタン</v>
      </c>
      <c r="Q152" s="12" t="str">
        <f t="shared" si="270"/>
        <v>ジャグラーサウンドボタン</v>
      </c>
      <c r="R152" s="12" t="str">
        <f t="shared" si="270"/>
        <v>ジャグラーサウンドボタン</v>
      </c>
      <c r="S152" s="12" t="str">
        <f t="shared" si="270"/>
        <v>ジャグラーサウンドボタン</v>
      </c>
      <c r="T152" s="12" t="str">
        <f t="shared" si="270"/>
        <v>ジャグラーサウンドボタン</v>
      </c>
      <c r="U152" s="12" t="str">
        <f t="shared" si="270"/>
        <v>ジャグラーサウンドボタン</v>
      </c>
      <c r="V152" s="12" t="str">
        <f t="shared" si="270"/>
        <v>ジャグラーサウンドボタン</v>
      </c>
      <c r="W152" s="12" t="str">
        <f t="shared" si="270"/>
        <v>ジャグラーサウンドボタン</v>
      </c>
      <c r="X152" s="12" t="str">
        <f t="shared" si="270"/>
        <v>ジャグラーサウンドボタン</v>
      </c>
      <c r="Y152" s="12" t="str">
        <f t="shared" si="270"/>
        <v>ジャグラーサウンドボタン</v>
      </c>
      <c r="Z152" s="12" t="str">
        <f t="shared" si="270"/>
        <v>ジャグラーサウンドボタン</v>
      </c>
      <c r="AA152" s="12" t="str">
        <f t="shared" si="270"/>
        <v>ジャグラーサウンドボタン</v>
      </c>
      <c r="AB152" s="12" t="str">
        <f t="shared" si="270"/>
        <v>ジャグラーサウンドボタン</v>
      </c>
      <c r="AC152" s="12" t="str">
        <f t="shared" si="270"/>
        <v>ジャグラーサウンドボタン</v>
      </c>
      <c r="AD152" s="75" t="str">
        <f t="shared" si="270"/>
        <v>ジャグラーサウンドボタン</v>
      </c>
      <c r="AE152" s="12" t="str">
        <f t="shared" si="270"/>
        <v>ジャグラーサウンドボタン</v>
      </c>
      <c r="AF152" s="12" t="str">
        <f t="shared" si="270"/>
        <v>ジャグラーサウンドボタン</v>
      </c>
      <c r="AG152" s="12" t="str">
        <f t="shared" si="270"/>
        <v/>
      </c>
      <c r="AH152" s="12" t="str">
        <f t="shared" si="270"/>
        <v/>
      </c>
      <c r="AI152" s="12" t="str">
        <f t="shared" si="270"/>
        <v/>
      </c>
      <c r="AJ152" s="12" t="str">
        <f t="shared" si="270"/>
        <v/>
      </c>
      <c r="AK152" s="12" t="str">
        <f t="shared" si="270"/>
        <v/>
      </c>
      <c r="AL152" s="12" t="str">
        <f t="shared" si="270"/>
        <v/>
      </c>
      <c r="AM152" s="12" t="str">
        <f t="shared" ref="AM152:AS152" si="271">IF(AM$3="","",AL152)</f>
        <v/>
      </c>
      <c r="AN152" s="12" t="str">
        <f t="shared" si="271"/>
        <v/>
      </c>
      <c r="AO152" s="12" t="str">
        <f t="shared" si="271"/>
        <v/>
      </c>
      <c r="AP152" s="12" t="str">
        <f t="shared" si="271"/>
        <v/>
      </c>
      <c r="AQ152" s="12" t="str">
        <f t="shared" si="271"/>
        <v/>
      </c>
      <c r="AR152" s="12" t="str">
        <f t="shared" si="271"/>
        <v/>
      </c>
      <c r="AS152" s="12" t="str">
        <f t="shared" si="271"/>
        <v/>
      </c>
    </row>
    <row r="153" spans="1:45" s="1" customFormat="1" ht="11">
      <c r="A153" s="7">
        <f>AVERAGE(C154:AS154)*30*100</f>
        <v>34200</v>
      </c>
      <c r="B153" s="9" t="s">
        <v>14</v>
      </c>
      <c r="C153" s="74"/>
      <c r="D153" s="8"/>
      <c r="E153" s="8"/>
      <c r="F153" s="59"/>
      <c r="G153" s="8"/>
      <c r="H153" s="8"/>
      <c r="I153" s="59"/>
      <c r="J153" s="8"/>
      <c r="K153" s="8"/>
      <c r="L153" s="59"/>
      <c r="M153" s="8"/>
      <c r="N153" s="8"/>
      <c r="O153" s="8"/>
      <c r="P153" s="5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74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</row>
    <row r="154" spans="1:45" s="1" customFormat="1" ht="11">
      <c r="A154" s="7">
        <f>SUM(C154:AS154)</f>
        <v>342</v>
      </c>
      <c r="B154" s="6" t="s">
        <v>15</v>
      </c>
      <c r="C154" s="74">
        <v>0</v>
      </c>
      <c r="D154" s="5">
        <f t="shared" ref="D154:AL154" si="272">IF(D$3="","",D147-C147)</f>
        <v>0</v>
      </c>
      <c r="E154" s="5">
        <f t="shared" si="272"/>
        <v>47</v>
      </c>
      <c r="F154" s="59">
        <f t="shared" si="272"/>
        <v>0</v>
      </c>
      <c r="G154" s="5">
        <f t="shared" si="272"/>
        <v>0</v>
      </c>
      <c r="H154" s="5">
        <f t="shared" si="272"/>
        <v>61</v>
      </c>
      <c r="I154" s="59">
        <f t="shared" si="272"/>
        <v>0</v>
      </c>
      <c r="J154" s="5">
        <f t="shared" si="272"/>
        <v>0</v>
      </c>
      <c r="K154" s="5">
        <f t="shared" si="272"/>
        <v>17</v>
      </c>
      <c r="L154" s="59">
        <f t="shared" si="272"/>
        <v>0</v>
      </c>
      <c r="M154" s="5">
        <f t="shared" si="272"/>
        <v>0</v>
      </c>
      <c r="N154" s="5">
        <f t="shared" si="272"/>
        <v>0</v>
      </c>
      <c r="O154" s="5">
        <f t="shared" si="272"/>
        <v>43</v>
      </c>
      <c r="P154" s="59">
        <f t="shared" si="272"/>
        <v>0</v>
      </c>
      <c r="Q154" s="5">
        <f t="shared" si="272"/>
        <v>0</v>
      </c>
      <c r="R154" s="5">
        <f t="shared" si="272"/>
        <v>61</v>
      </c>
      <c r="S154" s="5">
        <f t="shared" si="272"/>
        <v>0</v>
      </c>
      <c r="T154" s="5">
        <f t="shared" si="272"/>
        <v>0</v>
      </c>
      <c r="U154" s="5">
        <f t="shared" si="272"/>
        <v>0</v>
      </c>
      <c r="V154" s="5">
        <f t="shared" si="272"/>
        <v>48</v>
      </c>
      <c r="W154" s="5">
        <f t="shared" si="272"/>
        <v>0</v>
      </c>
      <c r="X154" s="5">
        <f t="shared" si="272"/>
        <v>0</v>
      </c>
      <c r="Y154" s="5">
        <f t="shared" si="272"/>
        <v>38</v>
      </c>
      <c r="Z154" s="5">
        <f t="shared" si="272"/>
        <v>0</v>
      </c>
      <c r="AA154" s="5">
        <f t="shared" si="272"/>
        <v>0</v>
      </c>
      <c r="AB154" s="5">
        <f t="shared" si="272"/>
        <v>0</v>
      </c>
      <c r="AC154" s="5">
        <f t="shared" si="272"/>
        <v>12</v>
      </c>
      <c r="AD154" s="74">
        <f t="shared" si="272"/>
        <v>0</v>
      </c>
      <c r="AE154" s="5">
        <f t="shared" si="272"/>
        <v>0</v>
      </c>
      <c r="AF154" s="5">
        <f t="shared" si="272"/>
        <v>15</v>
      </c>
      <c r="AG154" s="5" t="str">
        <f t="shared" si="272"/>
        <v/>
      </c>
      <c r="AH154" s="5" t="str">
        <f t="shared" si="272"/>
        <v/>
      </c>
      <c r="AI154" s="5" t="str">
        <f t="shared" si="272"/>
        <v/>
      </c>
      <c r="AJ154" s="5" t="str">
        <f t="shared" si="272"/>
        <v/>
      </c>
      <c r="AK154" s="5" t="str">
        <f t="shared" si="272"/>
        <v/>
      </c>
      <c r="AL154" s="5" t="str">
        <f t="shared" si="272"/>
        <v/>
      </c>
      <c r="AM154" s="5" t="str">
        <f t="shared" ref="AM154:AS154" si="273">IF(AM$3="","",AM147-AL147)</f>
        <v/>
      </c>
      <c r="AN154" s="5" t="str">
        <f t="shared" si="273"/>
        <v/>
      </c>
      <c r="AO154" s="5" t="str">
        <f t="shared" si="273"/>
        <v/>
      </c>
      <c r="AP154" s="5" t="str">
        <f t="shared" si="273"/>
        <v/>
      </c>
      <c r="AQ154" s="5" t="str">
        <f t="shared" si="273"/>
        <v/>
      </c>
      <c r="AR154" s="5" t="str">
        <f t="shared" si="273"/>
        <v/>
      </c>
      <c r="AS154" s="5" t="str">
        <f t="shared" si="273"/>
        <v/>
      </c>
    </row>
    <row r="155" spans="1:45" s="1" customFormat="1" ht="11">
      <c r="A155" s="7">
        <f>SUM(C155:AS155)</f>
        <v>6</v>
      </c>
      <c r="B155" s="6" t="s">
        <v>16</v>
      </c>
      <c r="C155" s="74">
        <v>0</v>
      </c>
      <c r="D155" s="5">
        <f t="shared" ref="D155:AL155" si="274">IF(D$3="","",D148-C148)</f>
        <v>0</v>
      </c>
      <c r="E155" s="5">
        <f t="shared" si="274"/>
        <v>1</v>
      </c>
      <c r="F155" s="59">
        <f t="shared" si="274"/>
        <v>0</v>
      </c>
      <c r="G155" s="5">
        <f t="shared" si="274"/>
        <v>0</v>
      </c>
      <c r="H155" s="5">
        <f t="shared" si="274"/>
        <v>1</v>
      </c>
      <c r="I155" s="59">
        <f t="shared" si="274"/>
        <v>0</v>
      </c>
      <c r="J155" s="5">
        <f t="shared" si="274"/>
        <v>0</v>
      </c>
      <c r="K155" s="5">
        <f t="shared" si="274"/>
        <v>0</v>
      </c>
      <c r="L155" s="59">
        <f t="shared" si="274"/>
        <v>0</v>
      </c>
      <c r="M155" s="5">
        <f t="shared" si="274"/>
        <v>0</v>
      </c>
      <c r="N155" s="5">
        <f t="shared" si="274"/>
        <v>0</v>
      </c>
      <c r="O155" s="5">
        <f t="shared" si="274"/>
        <v>1</v>
      </c>
      <c r="P155" s="59">
        <f t="shared" si="274"/>
        <v>0</v>
      </c>
      <c r="Q155" s="5">
        <f t="shared" si="274"/>
        <v>0</v>
      </c>
      <c r="R155" s="5">
        <f t="shared" si="274"/>
        <v>2</v>
      </c>
      <c r="S155" s="5">
        <f t="shared" si="274"/>
        <v>0</v>
      </c>
      <c r="T155" s="5">
        <f t="shared" si="274"/>
        <v>0</v>
      </c>
      <c r="U155" s="5">
        <f t="shared" si="274"/>
        <v>0</v>
      </c>
      <c r="V155" s="5">
        <f t="shared" si="274"/>
        <v>0</v>
      </c>
      <c r="W155" s="5">
        <f t="shared" si="274"/>
        <v>0</v>
      </c>
      <c r="X155" s="5">
        <f t="shared" si="274"/>
        <v>0</v>
      </c>
      <c r="Y155" s="5">
        <f t="shared" si="274"/>
        <v>1</v>
      </c>
      <c r="Z155" s="5">
        <f t="shared" si="274"/>
        <v>0</v>
      </c>
      <c r="AA155" s="5">
        <f t="shared" si="274"/>
        <v>0</v>
      </c>
      <c r="AB155" s="5">
        <f t="shared" si="274"/>
        <v>0</v>
      </c>
      <c r="AC155" s="5">
        <f t="shared" si="274"/>
        <v>0</v>
      </c>
      <c r="AD155" s="74">
        <f t="shared" si="274"/>
        <v>0</v>
      </c>
      <c r="AE155" s="5">
        <f t="shared" si="274"/>
        <v>0</v>
      </c>
      <c r="AF155" s="5">
        <f t="shared" si="274"/>
        <v>0</v>
      </c>
      <c r="AG155" s="5" t="str">
        <f t="shared" si="274"/>
        <v/>
      </c>
      <c r="AH155" s="5" t="str">
        <f t="shared" si="274"/>
        <v/>
      </c>
      <c r="AI155" s="5" t="str">
        <f t="shared" si="274"/>
        <v/>
      </c>
      <c r="AJ155" s="5" t="str">
        <f t="shared" si="274"/>
        <v/>
      </c>
      <c r="AK155" s="5" t="str">
        <f t="shared" si="274"/>
        <v/>
      </c>
      <c r="AL155" s="5" t="str">
        <f t="shared" si="274"/>
        <v/>
      </c>
      <c r="AM155" s="5" t="str">
        <f t="shared" ref="AM155:AS155" si="275">IF(AM$3="","",AM148-AL148)</f>
        <v/>
      </c>
      <c r="AN155" s="5" t="str">
        <f t="shared" si="275"/>
        <v/>
      </c>
      <c r="AO155" s="5" t="str">
        <f t="shared" si="275"/>
        <v/>
      </c>
      <c r="AP155" s="5" t="str">
        <f t="shared" si="275"/>
        <v/>
      </c>
      <c r="AQ155" s="5" t="str">
        <f t="shared" si="275"/>
        <v/>
      </c>
      <c r="AR155" s="5" t="str">
        <f t="shared" si="275"/>
        <v/>
      </c>
      <c r="AS155" s="5" t="str">
        <f t="shared" si="275"/>
        <v/>
      </c>
    </row>
    <row r="156" spans="1:45" s="1" customFormat="1" ht="11">
      <c r="A156" s="7">
        <f>SUM(C156:AS156)</f>
        <v>1</v>
      </c>
      <c r="B156" s="6" t="s">
        <v>17</v>
      </c>
      <c r="C156" s="74">
        <v>0</v>
      </c>
      <c r="D156" s="5">
        <f t="shared" ref="D156:AL156" si="276">IF(D$3="","",C149+C150-D149)</f>
        <v>0</v>
      </c>
      <c r="E156" s="5">
        <f t="shared" si="276"/>
        <v>1</v>
      </c>
      <c r="F156" s="59">
        <f t="shared" si="276"/>
        <v>0</v>
      </c>
      <c r="G156" s="5">
        <f t="shared" si="276"/>
        <v>0</v>
      </c>
      <c r="H156" s="5">
        <f t="shared" si="276"/>
        <v>0</v>
      </c>
      <c r="I156" s="59">
        <f t="shared" si="276"/>
        <v>0</v>
      </c>
      <c r="J156" s="5">
        <f t="shared" si="276"/>
        <v>0</v>
      </c>
      <c r="K156" s="5">
        <f t="shared" si="276"/>
        <v>0</v>
      </c>
      <c r="L156" s="59">
        <f t="shared" si="276"/>
        <v>0</v>
      </c>
      <c r="M156" s="5">
        <f t="shared" si="276"/>
        <v>0</v>
      </c>
      <c r="N156" s="5">
        <f t="shared" si="276"/>
        <v>0</v>
      </c>
      <c r="O156" s="5">
        <f t="shared" si="276"/>
        <v>0</v>
      </c>
      <c r="P156" s="59">
        <f t="shared" si="276"/>
        <v>0</v>
      </c>
      <c r="Q156" s="5">
        <f t="shared" si="276"/>
        <v>0</v>
      </c>
      <c r="R156" s="5">
        <f t="shared" si="276"/>
        <v>0</v>
      </c>
      <c r="S156" s="5">
        <f t="shared" si="276"/>
        <v>0</v>
      </c>
      <c r="T156" s="5">
        <f t="shared" si="276"/>
        <v>0</v>
      </c>
      <c r="U156" s="5">
        <f t="shared" si="276"/>
        <v>0</v>
      </c>
      <c r="V156" s="5">
        <f t="shared" si="276"/>
        <v>0</v>
      </c>
      <c r="W156" s="5">
        <f t="shared" si="276"/>
        <v>0</v>
      </c>
      <c r="X156" s="5">
        <f t="shared" si="276"/>
        <v>0</v>
      </c>
      <c r="Y156" s="5">
        <f t="shared" si="276"/>
        <v>0</v>
      </c>
      <c r="Z156" s="5">
        <f t="shared" si="276"/>
        <v>0</v>
      </c>
      <c r="AA156" s="5">
        <f t="shared" si="276"/>
        <v>0</v>
      </c>
      <c r="AB156" s="5">
        <f t="shared" si="276"/>
        <v>0</v>
      </c>
      <c r="AC156" s="5">
        <f t="shared" si="276"/>
        <v>0</v>
      </c>
      <c r="AD156" s="74">
        <f t="shared" si="276"/>
        <v>0</v>
      </c>
      <c r="AE156" s="5">
        <f t="shared" si="276"/>
        <v>0</v>
      </c>
      <c r="AF156" s="5">
        <f t="shared" si="276"/>
        <v>0</v>
      </c>
      <c r="AG156" s="5" t="str">
        <f t="shared" si="276"/>
        <v/>
      </c>
      <c r="AH156" s="5" t="str">
        <f t="shared" si="276"/>
        <v/>
      </c>
      <c r="AI156" s="5" t="str">
        <f t="shared" si="276"/>
        <v/>
      </c>
      <c r="AJ156" s="5" t="str">
        <f t="shared" si="276"/>
        <v/>
      </c>
      <c r="AK156" s="5" t="str">
        <f t="shared" si="276"/>
        <v/>
      </c>
      <c r="AL156" s="5" t="str">
        <f t="shared" si="276"/>
        <v/>
      </c>
      <c r="AM156" s="5" t="str">
        <f t="shared" ref="AM156:AS156" si="277">IF(AM$3="","",AL149+AL150-AM149)</f>
        <v/>
      </c>
      <c r="AN156" s="5" t="str">
        <f t="shared" si="277"/>
        <v/>
      </c>
      <c r="AO156" s="5" t="str">
        <f t="shared" si="277"/>
        <v/>
      </c>
      <c r="AP156" s="5" t="str">
        <f t="shared" si="277"/>
        <v/>
      </c>
      <c r="AQ156" s="5" t="str">
        <f t="shared" si="277"/>
        <v/>
      </c>
      <c r="AR156" s="5" t="str">
        <f t="shared" si="277"/>
        <v/>
      </c>
      <c r="AS156" s="5" t="str">
        <f t="shared" si="277"/>
        <v/>
      </c>
    </row>
    <row r="157" spans="1:45" s="1" customFormat="1" ht="11">
      <c r="A157" s="7">
        <f>SUM(C157:AS157)</f>
        <v>600</v>
      </c>
      <c r="B157" s="6" t="s">
        <v>18</v>
      </c>
      <c r="C157" s="74">
        <v>0</v>
      </c>
      <c r="D157" s="5">
        <f t="shared" ref="D157:AL157" si="278">IF(D$3="","",D156*D151)</f>
        <v>0</v>
      </c>
      <c r="E157" s="5">
        <f t="shared" si="278"/>
        <v>600</v>
      </c>
      <c r="F157" s="59">
        <f t="shared" si="278"/>
        <v>0</v>
      </c>
      <c r="G157" s="5">
        <f t="shared" si="278"/>
        <v>0</v>
      </c>
      <c r="H157" s="5">
        <f t="shared" si="278"/>
        <v>0</v>
      </c>
      <c r="I157" s="59">
        <f t="shared" si="278"/>
        <v>0</v>
      </c>
      <c r="J157" s="5">
        <f t="shared" si="278"/>
        <v>0</v>
      </c>
      <c r="K157" s="5">
        <f t="shared" si="278"/>
        <v>0</v>
      </c>
      <c r="L157" s="59">
        <f t="shared" si="278"/>
        <v>0</v>
      </c>
      <c r="M157" s="5">
        <f t="shared" si="278"/>
        <v>0</v>
      </c>
      <c r="N157" s="5">
        <f t="shared" si="278"/>
        <v>0</v>
      </c>
      <c r="O157" s="5">
        <f t="shared" si="278"/>
        <v>0</v>
      </c>
      <c r="P157" s="59">
        <f t="shared" si="278"/>
        <v>0</v>
      </c>
      <c r="Q157" s="5">
        <f t="shared" si="278"/>
        <v>0</v>
      </c>
      <c r="R157" s="5">
        <f t="shared" si="278"/>
        <v>0</v>
      </c>
      <c r="S157" s="5">
        <f t="shared" si="278"/>
        <v>0</v>
      </c>
      <c r="T157" s="5">
        <f t="shared" si="278"/>
        <v>0</v>
      </c>
      <c r="U157" s="5">
        <f t="shared" si="278"/>
        <v>0</v>
      </c>
      <c r="V157" s="5">
        <f t="shared" si="278"/>
        <v>0</v>
      </c>
      <c r="W157" s="5">
        <f t="shared" si="278"/>
        <v>0</v>
      </c>
      <c r="X157" s="5">
        <f t="shared" si="278"/>
        <v>0</v>
      </c>
      <c r="Y157" s="5">
        <f t="shared" si="278"/>
        <v>0</v>
      </c>
      <c r="Z157" s="5">
        <f t="shared" si="278"/>
        <v>0</v>
      </c>
      <c r="AA157" s="5">
        <f t="shared" si="278"/>
        <v>0</v>
      </c>
      <c r="AB157" s="5">
        <f t="shared" si="278"/>
        <v>0</v>
      </c>
      <c r="AC157" s="5">
        <f t="shared" si="278"/>
        <v>0</v>
      </c>
      <c r="AD157" s="74">
        <f t="shared" si="278"/>
        <v>0</v>
      </c>
      <c r="AE157" s="5">
        <f t="shared" si="278"/>
        <v>0</v>
      </c>
      <c r="AF157" s="5">
        <f t="shared" si="278"/>
        <v>0</v>
      </c>
      <c r="AG157" s="5" t="str">
        <f t="shared" si="278"/>
        <v/>
      </c>
      <c r="AH157" s="5" t="str">
        <f t="shared" si="278"/>
        <v/>
      </c>
      <c r="AI157" s="5" t="str">
        <f t="shared" si="278"/>
        <v/>
      </c>
      <c r="AJ157" s="5" t="str">
        <f t="shared" si="278"/>
        <v/>
      </c>
      <c r="AK157" s="5" t="str">
        <f t="shared" si="278"/>
        <v/>
      </c>
      <c r="AL157" s="5" t="str">
        <f t="shared" si="278"/>
        <v/>
      </c>
      <c r="AM157" s="5" t="str">
        <f t="shared" ref="AM157:AS157" si="279">IF(AM$3="","",AM156*AM151)</f>
        <v/>
      </c>
      <c r="AN157" s="5" t="str">
        <f t="shared" si="279"/>
        <v/>
      </c>
      <c r="AO157" s="5" t="str">
        <f t="shared" si="279"/>
        <v/>
      </c>
      <c r="AP157" s="5" t="str">
        <f t="shared" si="279"/>
        <v/>
      </c>
      <c r="AQ157" s="5" t="str">
        <f t="shared" si="279"/>
        <v/>
      </c>
      <c r="AR157" s="5" t="str">
        <f t="shared" si="279"/>
        <v/>
      </c>
      <c r="AS157" s="5" t="str">
        <f t="shared" si="279"/>
        <v/>
      </c>
    </row>
    <row r="158" spans="1:45" s="1" customFormat="1" ht="12" thickBot="1">
      <c r="A158" s="4">
        <f>IF(A157="","",A157/(A154*100))</f>
        <v>1.7543859649122806E-2</v>
      </c>
      <c r="B158" s="6" t="s">
        <v>20</v>
      </c>
      <c r="C158" s="76" t="s">
        <v>21</v>
      </c>
      <c r="D158" s="18" t="str">
        <f t="shared" ref="D158:AL158" si="280">IF(D$3="","",IF(D157=0,"",D157/(D154*100)))</f>
        <v/>
      </c>
      <c r="E158" s="18">
        <f t="shared" si="280"/>
        <v>0.1276595744680851</v>
      </c>
      <c r="F158" s="62" t="str">
        <f t="shared" si="280"/>
        <v/>
      </c>
      <c r="G158" s="18" t="str">
        <f t="shared" si="280"/>
        <v/>
      </c>
      <c r="H158" s="18" t="str">
        <f t="shared" si="280"/>
        <v/>
      </c>
      <c r="I158" s="62" t="str">
        <f t="shared" si="280"/>
        <v/>
      </c>
      <c r="J158" s="18" t="str">
        <f t="shared" si="280"/>
        <v/>
      </c>
      <c r="K158" s="18" t="str">
        <f t="shared" si="280"/>
        <v/>
      </c>
      <c r="L158" s="62" t="str">
        <f t="shared" si="280"/>
        <v/>
      </c>
      <c r="M158" s="18" t="str">
        <f t="shared" si="280"/>
        <v/>
      </c>
      <c r="N158" s="18" t="str">
        <f t="shared" si="280"/>
        <v/>
      </c>
      <c r="O158" s="18" t="str">
        <f t="shared" si="280"/>
        <v/>
      </c>
      <c r="P158" s="62" t="str">
        <f t="shared" si="280"/>
        <v/>
      </c>
      <c r="Q158" s="18" t="str">
        <f t="shared" si="280"/>
        <v/>
      </c>
      <c r="R158" s="18" t="str">
        <f t="shared" si="280"/>
        <v/>
      </c>
      <c r="S158" s="18" t="str">
        <f t="shared" si="280"/>
        <v/>
      </c>
      <c r="T158" s="18" t="str">
        <f t="shared" si="280"/>
        <v/>
      </c>
      <c r="U158" s="18" t="str">
        <f t="shared" si="280"/>
        <v/>
      </c>
      <c r="V158" s="18" t="str">
        <f t="shared" si="280"/>
        <v/>
      </c>
      <c r="W158" s="18" t="str">
        <f t="shared" si="280"/>
        <v/>
      </c>
      <c r="X158" s="18" t="str">
        <f t="shared" si="280"/>
        <v/>
      </c>
      <c r="Y158" s="18" t="str">
        <f t="shared" si="280"/>
        <v/>
      </c>
      <c r="Z158" s="18" t="str">
        <f t="shared" si="280"/>
        <v/>
      </c>
      <c r="AA158" s="18" t="str">
        <f t="shared" si="280"/>
        <v/>
      </c>
      <c r="AB158" s="18" t="str">
        <f t="shared" si="280"/>
        <v/>
      </c>
      <c r="AC158" s="18" t="str">
        <f t="shared" si="280"/>
        <v/>
      </c>
      <c r="AD158" s="76" t="str">
        <f t="shared" si="280"/>
        <v/>
      </c>
      <c r="AE158" s="18" t="str">
        <f t="shared" si="280"/>
        <v/>
      </c>
      <c r="AF158" s="18" t="str">
        <f t="shared" si="280"/>
        <v/>
      </c>
      <c r="AG158" s="18" t="str">
        <f t="shared" si="280"/>
        <v/>
      </c>
      <c r="AH158" s="18" t="str">
        <f t="shared" si="280"/>
        <v/>
      </c>
      <c r="AI158" s="18" t="str">
        <f t="shared" si="280"/>
        <v/>
      </c>
      <c r="AJ158" s="18" t="str">
        <f t="shared" si="280"/>
        <v/>
      </c>
      <c r="AK158" s="18" t="str">
        <f t="shared" si="280"/>
        <v/>
      </c>
      <c r="AL158" s="18" t="str">
        <f t="shared" si="280"/>
        <v/>
      </c>
      <c r="AM158" s="18" t="str">
        <f t="shared" ref="AM158:AS158" si="281">IF(AM$3="","",IF(AM157=0,"",AM157/(AM154*100)))</f>
        <v/>
      </c>
      <c r="AN158" s="18" t="str">
        <f t="shared" si="281"/>
        <v/>
      </c>
      <c r="AO158" s="18" t="str">
        <f t="shared" si="281"/>
        <v/>
      </c>
      <c r="AP158" s="18" t="str">
        <f t="shared" si="281"/>
        <v/>
      </c>
      <c r="AQ158" s="18" t="str">
        <f t="shared" si="281"/>
        <v/>
      </c>
      <c r="AR158" s="18" t="str">
        <f t="shared" si="281"/>
        <v/>
      </c>
      <c r="AS158" s="18" t="str">
        <f t="shared" si="281"/>
        <v/>
      </c>
    </row>
    <row r="159" spans="1:45" s="1" customFormat="1" ht="11">
      <c r="A159" s="17" t="s">
        <v>61</v>
      </c>
      <c r="B159" s="9" t="s">
        <v>2</v>
      </c>
      <c r="C159" s="74">
        <v>3406</v>
      </c>
      <c r="D159" s="8">
        <f>IF(D$3="","",C159)</f>
        <v>3406</v>
      </c>
      <c r="E159" s="8">
        <v>3441</v>
      </c>
      <c r="F159" s="59">
        <f>IF(F$3="","",E159)</f>
        <v>3441</v>
      </c>
      <c r="G159" s="8">
        <f>IF(G$3="","",F159)</f>
        <v>3441</v>
      </c>
      <c r="H159" s="8">
        <v>3467</v>
      </c>
      <c r="I159" s="59">
        <f>IF(I$3="","",H159)</f>
        <v>3467</v>
      </c>
      <c r="J159" s="8">
        <f>IF(J$3="","",I159)</f>
        <v>3467</v>
      </c>
      <c r="K159" s="8">
        <v>3535</v>
      </c>
      <c r="L159" s="59">
        <f t="shared" ref="L159:N160" si="282">IF(L$3="","",K159)</f>
        <v>3535</v>
      </c>
      <c r="M159" s="8">
        <f t="shared" si="282"/>
        <v>3535</v>
      </c>
      <c r="N159" s="8">
        <f t="shared" si="282"/>
        <v>3535</v>
      </c>
      <c r="O159" s="8">
        <v>3577</v>
      </c>
      <c r="P159" s="59">
        <f>IF(P$3="","",O159)</f>
        <v>3577</v>
      </c>
      <c r="Q159" s="8">
        <f>IF(Q$3="","",P159)</f>
        <v>3577</v>
      </c>
      <c r="R159" s="8">
        <v>3602</v>
      </c>
      <c r="S159" s="8">
        <f t="shared" ref="S159:AL159" si="283">IF(S$3="","",R159)</f>
        <v>3602</v>
      </c>
      <c r="T159" s="8">
        <f t="shared" si="283"/>
        <v>3602</v>
      </c>
      <c r="U159" s="8">
        <f t="shared" si="283"/>
        <v>3602</v>
      </c>
      <c r="V159" s="8">
        <v>3637</v>
      </c>
      <c r="W159" s="8">
        <f t="shared" si="283"/>
        <v>3637</v>
      </c>
      <c r="X159" s="8">
        <f t="shared" si="283"/>
        <v>3637</v>
      </c>
      <c r="Y159" s="8">
        <v>3670</v>
      </c>
      <c r="Z159" s="8">
        <f t="shared" si="283"/>
        <v>3670</v>
      </c>
      <c r="AA159" s="8">
        <f t="shared" si="283"/>
        <v>3670</v>
      </c>
      <c r="AB159" s="8">
        <f t="shared" si="283"/>
        <v>3670</v>
      </c>
      <c r="AC159" s="8">
        <v>3714</v>
      </c>
      <c r="AD159" s="74">
        <f t="shared" si="283"/>
        <v>3714</v>
      </c>
      <c r="AE159" s="8">
        <f t="shared" si="283"/>
        <v>3714</v>
      </c>
      <c r="AF159" s="8">
        <v>3719</v>
      </c>
      <c r="AG159" s="8" t="str">
        <f t="shared" si="283"/>
        <v/>
      </c>
      <c r="AH159" s="8" t="str">
        <f t="shared" si="283"/>
        <v/>
      </c>
      <c r="AI159" s="8" t="str">
        <f t="shared" si="283"/>
        <v/>
      </c>
      <c r="AJ159" s="8" t="str">
        <f t="shared" si="283"/>
        <v/>
      </c>
      <c r="AK159" s="8" t="str">
        <f t="shared" si="283"/>
        <v/>
      </c>
      <c r="AL159" s="8" t="str">
        <f t="shared" si="283"/>
        <v/>
      </c>
      <c r="AM159" s="8" t="str">
        <f t="shared" ref="AM159:AS159" si="284">IF(AM$3="","",AL159)</f>
        <v/>
      </c>
      <c r="AN159" s="8" t="str">
        <f t="shared" si="284"/>
        <v/>
      </c>
      <c r="AO159" s="8" t="str">
        <f t="shared" si="284"/>
        <v/>
      </c>
      <c r="AP159" s="8" t="str">
        <f t="shared" si="284"/>
        <v/>
      </c>
      <c r="AQ159" s="8" t="str">
        <f t="shared" si="284"/>
        <v/>
      </c>
      <c r="AR159" s="8" t="str">
        <f t="shared" si="284"/>
        <v/>
      </c>
      <c r="AS159" s="8" t="str">
        <f t="shared" si="284"/>
        <v/>
      </c>
    </row>
    <row r="160" spans="1:45" s="1" customFormat="1" ht="11">
      <c r="A160" s="16" t="s">
        <v>44</v>
      </c>
      <c r="B160" s="9" t="s">
        <v>4</v>
      </c>
      <c r="C160" s="74">
        <v>93</v>
      </c>
      <c r="D160" s="8">
        <f>IF(D$3="","",C160)</f>
        <v>93</v>
      </c>
      <c r="E160" s="8">
        <v>94</v>
      </c>
      <c r="F160" s="59">
        <f>IF(F$3="","",E160)</f>
        <v>94</v>
      </c>
      <c r="G160" s="8">
        <f>IF(G$3="","",F160)</f>
        <v>94</v>
      </c>
      <c r="H160" s="8">
        <v>95</v>
      </c>
      <c r="I160" s="59">
        <f>IF(I$3="","",H160)</f>
        <v>95</v>
      </c>
      <c r="J160" s="8">
        <f>IF(J$3="","",I160)</f>
        <v>95</v>
      </c>
      <c r="K160" s="8">
        <f>IF(K$3="","",J160)</f>
        <v>95</v>
      </c>
      <c r="L160" s="59">
        <f t="shared" si="282"/>
        <v>95</v>
      </c>
      <c r="M160" s="8">
        <f t="shared" si="282"/>
        <v>95</v>
      </c>
      <c r="N160" s="8">
        <f t="shared" si="282"/>
        <v>95</v>
      </c>
      <c r="O160" s="8">
        <v>96</v>
      </c>
      <c r="P160" s="59">
        <f>IF(P$3="","",O160)</f>
        <v>96</v>
      </c>
      <c r="Q160" s="8">
        <f>IF(Q$3="","",P160)</f>
        <v>96</v>
      </c>
      <c r="R160" s="8">
        <f>IF(R$3="","",Q160)</f>
        <v>96</v>
      </c>
      <c r="S160" s="8">
        <f t="shared" ref="S160:AL160" si="285">IF(S$3="","",R160)</f>
        <v>96</v>
      </c>
      <c r="T160" s="8">
        <f t="shared" si="285"/>
        <v>96</v>
      </c>
      <c r="U160" s="8">
        <f t="shared" si="285"/>
        <v>96</v>
      </c>
      <c r="V160" s="8">
        <v>98</v>
      </c>
      <c r="W160" s="8">
        <f t="shared" si="285"/>
        <v>98</v>
      </c>
      <c r="X160" s="8">
        <f t="shared" si="285"/>
        <v>98</v>
      </c>
      <c r="Y160" s="8">
        <v>99</v>
      </c>
      <c r="Z160" s="8">
        <f t="shared" si="285"/>
        <v>99</v>
      </c>
      <c r="AA160" s="8">
        <f t="shared" si="285"/>
        <v>99</v>
      </c>
      <c r="AB160" s="8">
        <f t="shared" si="285"/>
        <v>99</v>
      </c>
      <c r="AC160" s="8">
        <v>100</v>
      </c>
      <c r="AD160" s="74">
        <f t="shared" si="285"/>
        <v>100</v>
      </c>
      <c r="AE160" s="8">
        <f t="shared" si="285"/>
        <v>100</v>
      </c>
      <c r="AF160" s="8">
        <f t="shared" si="285"/>
        <v>100</v>
      </c>
      <c r="AG160" s="8" t="str">
        <f t="shared" si="285"/>
        <v/>
      </c>
      <c r="AH160" s="8" t="str">
        <f t="shared" si="285"/>
        <v/>
      </c>
      <c r="AI160" s="8" t="str">
        <f t="shared" si="285"/>
        <v/>
      </c>
      <c r="AJ160" s="8" t="str">
        <f t="shared" si="285"/>
        <v/>
      </c>
      <c r="AK160" s="8" t="str">
        <f t="shared" si="285"/>
        <v/>
      </c>
      <c r="AL160" s="8" t="str">
        <f t="shared" si="285"/>
        <v/>
      </c>
      <c r="AM160" s="8" t="str">
        <f t="shared" ref="AM160:AS160" si="286">IF(AM$3="","",AL160)</f>
        <v/>
      </c>
      <c r="AN160" s="8" t="str">
        <f t="shared" si="286"/>
        <v/>
      </c>
      <c r="AO160" s="8" t="str">
        <f t="shared" si="286"/>
        <v/>
      </c>
      <c r="AP160" s="8" t="str">
        <f t="shared" si="286"/>
        <v/>
      </c>
      <c r="AQ160" s="8" t="str">
        <f t="shared" si="286"/>
        <v/>
      </c>
      <c r="AR160" s="8" t="str">
        <f t="shared" si="286"/>
        <v/>
      </c>
      <c r="AS160" s="8" t="str">
        <f t="shared" si="286"/>
        <v/>
      </c>
    </row>
    <row r="161" spans="1:45" s="1" customFormat="1" ht="11">
      <c r="A161" s="15">
        <v>2</v>
      </c>
      <c r="B161" s="9" t="s">
        <v>5</v>
      </c>
      <c r="C161" s="74">
        <v>4</v>
      </c>
      <c r="D161" s="8">
        <f t="shared" ref="D161:N161" si="287">IF(D$3="","",(C161+C162))</f>
        <v>4</v>
      </c>
      <c r="E161" s="8">
        <f t="shared" si="287"/>
        <v>4</v>
      </c>
      <c r="F161" s="59">
        <f t="shared" si="287"/>
        <v>6</v>
      </c>
      <c r="G161" s="8">
        <f t="shared" si="287"/>
        <v>6</v>
      </c>
      <c r="H161" s="8">
        <f t="shared" si="287"/>
        <v>6</v>
      </c>
      <c r="I161" s="59">
        <f t="shared" si="287"/>
        <v>7</v>
      </c>
      <c r="J161" s="8">
        <f t="shared" si="287"/>
        <v>7</v>
      </c>
      <c r="K161" s="8">
        <f t="shared" si="287"/>
        <v>7</v>
      </c>
      <c r="L161" s="59">
        <f t="shared" si="287"/>
        <v>7</v>
      </c>
      <c r="M161" s="8">
        <f t="shared" si="287"/>
        <v>7</v>
      </c>
      <c r="N161" s="8">
        <f t="shared" si="287"/>
        <v>7</v>
      </c>
      <c r="O161" s="8">
        <v>6</v>
      </c>
      <c r="P161" s="59">
        <f t="shared" ref="P161:AL161" si="288">IF(P$3="","",(O161+O162))</f>
        <v>7</v>
      </c>
      <c r="Q161" s="8">
        <f t="shared" si="288"/>
        <v>7</v>
      </c>
      <c r="R161" s="8">
        <f t="shared" si="288"/>
        <v>7</v>
      </c>
      <c r="S161" s="8">
        <f t="shared" si="288"/>
        <v>7</v>
      </c>
      <c r="T161" s="8">
        <f t="shared" si="288"/>
        <v>7</v>
      </c>
      <c r="U161" s="8">
        <f t="shared" si="288"/>
        <v>7</v>
      </c>
      <c r="V161" s="8">
        <v>5</v>
      </c>
      <c r="W161" s="8">
        <f t="shared" si="288"/>
        <v>5</v>
      </c>
      <c r="X161" s="8">
        <f t="shared" si="288"/>
        <v>5</v>
      </c>
      <c r="Y161" s="8">
        <v>4</v>
      </c>
      <c r="Z161" s="8">
        <f t="shared" si="288"/>
        <v>4</v>
      </c>
      <c r="AA161" s="8">
        <f t="shared" si="288"/>
        <v>4</v>
      </c>
      <c r="AB161" s="8">
        <f t="shared" si="288"/>
        <v>4</v>
      </c>
      <c r="AC161" s="8">
        <f t="shared" si="288"/>
        <v>4</v>
      </c>
      <c r="AD161" s="74">
        <f t="shared" si="288"/>
        <v>7</v>
      </c>
      <c r="AE161" s="8">
        <f t="shared" si="288"/>
        <v>7</v>
      </c>
      <c r="AF161" s="8">
        <f t="shared" si="288"/>
        <v>7</v>
      </c>
      <c r="AG161" s="8" t="str">
        <f t="shared" si="288"/>
        <v/>
      </c>
      <c r="AH161" s="8" t="str">
        <f t="shared" si="288"/>
        <v/>
      </c>
      <c r="AI161" s="8" t="str">
        <f t="shared" si="288"/>
        <v/>
      </c>
      <c r="AJ161" s="8" t="str">
        <f t="shared" si="288"/>
        <v/>
      </c>
      <c r="AK161" s="8" t="str">
        <f t="shared" si="288"/>
        <v/>
      </c>
      <c r="AL161" s="8" t="str">
        <f t="shared" si="288"/>
        <v/>
      </c>
      <c r="AM161" s="8" t="str">
        <f t="shared" ref="AM161:AS161" si="289">IF(AM$3="","",(AL161+AL162))</f>
        <v/>
      </c>
      <c r="AN161" s="8" t="str">
        <f t="shared" si="289"/>
        <v/>
      </c>
      <c r="AO161" s="8" t="str">
        <f t="shared" si="289"/>
        <v/>
      </c>
      <c r="AP161" s="8" t="str">
        <f t="shared" si="289"/>
        <v/>
      </c>
      <c r="AQ161" s="8" t="str">
        <f t="shared" si="289"/>
        <v/>
      </c>
      <c r="AR161" s="8" t="str">
        <f t="shared" si="289"/>
        <v/>
      </c>
      <c r="AS161" s="8" t="str">
        <f t="shared" si="289"/>
        <v/>
      </c>
    </row>
    <row r="162" spans="1:45" s="1" customFormat="1" ht="11">
      <c r="A162" s="14"/>
      <c r="B162" s="9" t="s">
        <v>7</v>
      </c>
      <c r="C162" s="74"/>
      <c r="D162" s="8"/>
      <c r="E162" s="8">
        <v>2</v>
      </c>
      <c r="F162" s="59"/>
      <c r="G162" s="8"/>
      <c r="H162" s="8">
        <v>1</v>
      </c>
      <c r="I162" s="59"/>
      <c r="J162" s="8"/>
      <c r="K162" s="8"/>
      <c r="L162" s="59"/>
      <c r="M162" s="8"/>
      <c r="N162" s="8"/>
      <c r="O162" s="8">
        <v>1</v>
      </c>
      <c r="P162" s="5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>
        <v>3</v>
      </c>
      <c r="AD162" s="74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</row>
    <row r="163" spans="1:45" s="1" customFormat="1" ht="11">
      <c r="A163" s="7"/>
      <c r="B163" s="9" t="s">
        <v>8</v>
      </c>
      <c r="C163" s="74">
        <v>750</v>
      </c>
      <c r="D163" s="8">
        <f t="shared" ref="D163:AL163" si="290">IF(D$3="","",C163)</f>
        <v>750</v>
      </c>
      <c r="E163" s="8">
        <f t="shared" si="290"/>
        <v>750</v>
      </c>
      <c r="F163" s="59">
        <f t="shared" si="290"/>
        <v>750</v>
      </c>
      <c r="G163" s="8">
        <f t="shared" si="290"/>
        <v>750</v>
      </c>
      <c r="H163" s="8">
        <f t="shared" si="290"/>
        <v>750</v>
      </c>
      <c r="I163" s="59">
        <f t="shared" si="290"/>
        <v>750</v>
      </c>
      <c r="J163" s="8">
        <f t="shared" si="290"/>
        <v>750</v>
      </c>
      <c r="K163" s="8">
        <f t="shared" si="290"/>
        <v>750</v>
      </c>
      <c r="L163" s="59">
        <f t="shared" si="290"/>
        <v>750</v>
      </c>
      <c r="M163" s="8">
        <f t="shared" si="290"/>
        <v>750</v>
      </c>
      <c r="N163" s="8">
        <f t="shared" si="290"/>
        <v>750</v>
      </c>
      <c r="O163" s="8">
        <f t="shared" si="290"/>
        <v>750</v>
      </c>
      <c r="P163" s="59">
        <f t="shared" si="290"/>
        <v>750</v>
      </c>
      <c r="Q163" s="8">
        <f t="shared" si="290"/>
        <v>750</v>
      </c>
      <c r="R163" s="8">
        <f t="shared" si="290"/>
        <v>750</v>
      </c>
      <c r="S163" s="8">
        <f t="shared" si="290"/>
        <v>750</v>
      </c>
      <c r="T163" s="8">
        <f t="shared" si="290"/>
        <v>750</v>
      </c>
      <c r="U163" s="8">
        <f t="shared" si="290"/>
        <v>750</v>
      </c>
      <c r="V163" s="8">
        <f t="shared" si="290"/>
        <v>750</v>
      </c>
      <c r="W163" s="8">
        <f t="shared" si="290"/>
        <v>750</v>
      </c>
      <c r="X163" s="8">
        <f t="shared" si="290"/>
        <v>750</v>
      </c>
      <c r="Y163" s="8">
        <f t="shared" si="290"/>
        <v>750</v>
      </c>
      <c r="Z163" s="8">
        <f t="shared" si="290"/>
        <v>750</v>
      </c>
      <c r="AA163" s="8">
        <f t="shared" si="290"/>
        <v>750</v>
      </c>
      <c r="AB163" s="8">
        <f t="shared" si="290"/>
        <v>750</v>
      </c>
      <c r="AC163" s="8">
        <f t="shared" si="290"/>
        <v>750</v>
      </c>
      <c r="AD163" s="74">
        <f t="shared" si="290"/>
        <v>750</v>
      </c>
      <c r="AE163" s="8">
        <f t="shared" si="290"/>
        <v>750</v>
      </c>
      <c r="AF163" s="8">
        <f t="shared" si="290"/>
        <v>750</v>
      </c>
      <c r="AG163" s="8" t="str">
        <f t="shared" si="290"/>
        <v/>
      </c>
      <c r="AH163" s="8" t="str">
        <f t="shared" si="290"/>
        <v/>
      </c>
      <c r="AI163" s="8" t="str">
        <f t="shared" si="290"/>
        <v/>
      </c>
      <c r="AJ163" s="8" t="str">
        <f t="shared" si="290"/>
        <v/>
      </c>
      <c r="AK163" s="8" t="str">
        <f t="shared" si="290"/>
        <v/>
      </c>
      <c r="AL163" s="8" t="str">
        <f t="shared" si="290"/>
        <v/>
      </c>
      <c r="AM163" s="8" t="str">
        <f t="shared" ref="AM163:AS163" si="291">IF(AM$3="","",AL163)</f>
        <v/>
      </c>
      <c r="AN163" s="8" t="str">
        <f t="shared" si="291"/>
        <v/>
      </c>
      <c r="AO163" s="8" t="str">
        <f t="shared" si="291"/>
        <v/>
      </c>
      <c r="AP163" s="8" t="str">
        <f t="shared" si="291"/>
        <v/>
      </c>
      <c r="AQ163" s="8" t="str">
        <f t="shared" si="291"/>
        <v/>
      </c>
      <c r="AR163" s="8" t="str">
        <f t="shared" si="291"/>
        <v/>
      </c>
      <c r="AS163" s="8" t="str">
        <f t="shared" si="291"/>
        <v/>
      </c>
    </row>
    <row r="164" spans="1:45" s="94" customFormat="1" ht="11">
      <c r="A164" s="14" t="s">
        <v>9</v>
      </c>
      <c r="B164" s="13" t="s">
        <v>10</v>
      </c>
      <c r="C164" s="75" t="s">
        <v>22</v>
      </c>
      <c r="D164" s="12" t="str">
        <f t="shared" ref="D164:AL164" si="292">IF(D$3="","",C164)</f>
        <v>ジャグラーボタン</v>
      </c>
      <c r="E164" s="12" t="str">
        <f t="shared" si="292"/>
        <v>ジャグラーボタン</v>
      </c>
      <c r="F164" s="131" t="str">
        <f t="shared" si="292"/>
        <v>ジャグラーボタン</v>
      </c>
      <c r="G164" s="12" t="str">
        <f t="shared" si="292"/>
        <v>ジャグラーボタン</v>
      </c>
      <c r="H164" s="12" t="str">
        <f t="shared" si="292"/>
        <v>ジャグラーボタン</v>
      </c>
      <c r="I164" s="131" t="str">
        <f t="shared" si="292"/>
        <v>ジャグラーボタン</v>
      </c>
      <c r="J164" s="12" t="str">
        <f t="shared" si="292"/>
        <v>ジャグラーボタン</v>
      </c>
      <c r="K164" s="12" t="str">
        <f t="shared" si="292"/>
        <v>ジャグラーボタン</v>
      </c>
      <c r="L164" s="131" t="str">
        <f t="shared" si="292"/>
        <v>ジャグラーボタン</v>
      </c>
      <c r="M164" s="12" t="str">
        <f t="shared" si="292"/>
        <v>ジャグラーボタン</v>
      </c>
      <c r="N164" s="12" t="str">
        <f t="shared" si="292"/>
        <v>ジャグラーボタン</v>
      </c>
      <c r="O164" s="12" t="str">
        <f t="shared" si="292"/>
        <v>ジャグラーボタン</v>
      </c>
      <c r="P164" s="131" t="str">
        <f t="shared" si="292"/>
        <v>ジャグラーボタン</v>
      </c>
      <c r="Q164" s="12" t="str">
        <f t="shared" si="292"/>
        <v>ジャグラーボタン</v>
      </c>
      <c r="R164" s="12" t="str">
        <f t="shared" si="292"/>
        <v>ジャグラーボタン</v>
      </c>
      <c r="S164" s="12" t="str">
        <f t="shared" si="292"/>
        <v>ジャグラーボタン</v>
      </c>
      <c r="T164" s="12" t="str">
        <f t="shared" si="292"/>
        <v>ジャグラーボタン</v>
      </c>
      <c r="U164" s="12" t="str">
        <f t="shared" si="292"/>
        <v>ジャグラーボタン</v>
      </c>
      <c r="V164" s="12" t="str">
        <f t="shared" si="292"/>
        <v>ジャグラーボタン</v>
      </c>
      <c r="W164" s="12" t="str">
        <f t="shared" si="292"/>
        <v>ジャグラーボタン</v>
      </c>
      <c r="X164" s="12" t="str">
        <f t="shared" si="292"/>
        <v>ジャグラーボタン</v>
      </c>
      <c r="Y164" s="12" t="str">
        <f t="shared" si="292"/>
        <v>ジャグラーボタン</v>
      </c>
      <c r="Z164" s="12" t="str">
        <f t="shared" si="292"/>
        <v>ジャグラーボタン</v>
      </c>
      <c r="AA164" s="12" t="str">
        <f t="shared" si="292"/>
        <v>ジャグラーボタン</v>
      </c>
      <c r="AB164" s="12" t="str">
        <f t="shared" si="292"/>
        <v>ジャグラーボタン</v>
      </c>
      <c r="AC164" s="12" t="str">
        <f t="shared" si="292"/>
        <v>ジャグラーボタン</v>
      </c>
      <c r="AD164" s="75" t="str">
        <f t="shared" si="292"/>
        <v>ジャグラーボタン</v>
      </c>
      <c r="AE164" s="12" t="str">
        <f t="shared" si="292"/>
        <v>ジャグラーボタン</v>
      </c>
      <c r="AF164" s="12" t="str">
        <f t="shared" si="292"/>
        <v>ジャグラーボタン</v>
      </c>
      <c r="AG164" s="12" t="str">
        <f t="shared" si="292"/>
        <v/>
      </c>
      <c r="AH164" s="12" t="str">
        <f t="shared" si="292"/>
        <v/>
      </c>
      <c r="AI164" s="12" t="str">
        <f t="shared" si="292"/>
        <v/>
      </c>
      <c r="AJ164" s="12" t="str">
        <f t="shared" si="292"/>
        <v/>
      </c>
      <c r="AK164" s="12" t="str">
        <f t="shared" si="292"/>
        <v/>
      </c>
      <c r="AL164" s="12" t="str">
        <f t="shared" si="292"/>
        <v/>
      </c>
      <c r="AM164" s="12" t="str">
        <f t="shared" ref="AM164:AS164" si="293">IF(AM$3="","",AL164)</f>
        <v/>
      </c>
      <c r="AN164" s="12" t="str">
        <f t="shared" si="293"/>
        <v/>
      </c>
      <c r="AO164" s="12" t="str">
        <f t="shared" si="293"/>
        <v/>
      </c>
      <c r="AP164" s="12" t="str">
        <f t="shared" si="293"/>
        <v/>
      </c>
      <c r="AQ164" s="12" t="str">
        <f t="shared" si="293"/>
        <v/>
      </c>
      <c r="AR164" s="12" t="str">
        <f t="shared" si="293"/>
        <v/>
      </c>
      <c r="AS164" s="12" t="str">
        <f t="shared" si="293"/>
        <v/>
      </c>
    </row>
    <row r="165" spans="1:45" s="1" customFormat="1" ht="11">
      <c r="A165" s="7">
        <f>AVERAGE(C166:AS166)*30*100</f>
        <v>31300</v>
      </c>
      <c r="B165" s="9" t="s">
        <v>14</v>
      </c>
      <c r="C165" s="74"/>
      <c r="D165" s="8"/>
      <c r="E165" s="8"/>
      <c r="F165" s="59"/>
      <c r="G165" s="8"/>
      <c r="H165" s="8"/>
      <c r="I165" s="59"/>
      <c r="J165" s="8"/>
      <c r="K165" s="8"/>
      <c r="L165" s="59"/>
      <c r="M165" s="8"/>
      <c r="N165" s="8"/>
      <c r="O165" s="8"/>
      <c r="P165" s="5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74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</row>
    <row r="166" spans="1:45" s="1" customFormat="1" ht="11">
      <c r="A166" s="7">
        <f>SUM(C166:AS166)</f>
        <v>313</v>
      </c>
      <c r="B166" s="6" t="s">
        <v>15</v>
      </c>
      <c r="C166" s="74">
        <v>0</v>
      </c>
      <c r="D166" s="5">
        <f t="shared" ref="D166:AL166" si="294">IF(D$3="","",D159-C159)</f>
        <v>0</v>
      </c>
      <c r="E166" s="5">
        <f t="shared" si="294"/>
        <v>35</v>
      </c>
      <c r="F166" s="59">
        <f t="shared" si="294"/>
        <v>0</v>
      </c>
      <c r="G166" s="5">
        <f t="shared" si="294"/>
        <v>0</v>
      </c>
      <c r="H166" s="5">
        <f t="shared" si="294"/>
        <v>26</v>
      </c>
      <c r="I166" s="59">
        <f t="shared" si="294"/>
        <v>0</v>
      </c>
      <c r="J166" s="5">
        <f t="shared" si="294"/>
        <v>0</v>
      </c>
      <c r="K166" s="5">
        <f t="shared" si="294"/>
        <v>68</v>
      </c>
      <c r="L166" s="59">
        <f t="shared" si="294"/>
        <v>0</v>
      </c>
      <c r="M166" s="5">
        <f t="shared" si="294"/>
        <v>0</v>
      </c>
      <c r="N166" s="5">
        <f t="shared" si="294"/>
        <v>0</v>
      </c>
      <c r="O166" s="5">
        <f t="shared" si="294"/>
        <v>42</v>
      </c>
      <c r="P166" s="59">
        <f t="shared" si="294"/>
        <v>0</v>
      </c>
      <c r="Q166" s="5">
        <f t="shared" si="294"/>
        <v>0</v>
      </c>
      <c r="R166" s="5">
        <f t="shared" si="294"/>
        <v>25</v>
      </c>
      <c r="S166" s="5">
        <f t="shared" si="294"/>
        <v>0</v>
      </c>
      <c r="T166" s="5">
        <f t="shared" si="294"/>
        <v>0</v>
      </c>
      <c r="U166" s="5">
        <f t="shared" si="294"/>
        <v>0</v>
      </c>
      <c r="V166" s="5">
        <f t="shared" si="294"/>
        <v>35</v>
      </c>
      <c r="W166" s="5">
        <f t="shared" si="294"/>
        <v>0</v>
      </c>
      <c r="X166" s="5">
        <f t="shared" si="294"/>
        <v>0</v>
      </c>
      <c r="Y166" s="5">
        <f t="shared" si="294"/>
        <v>33</v>
      </c>
      <c r="Z166" s="5">
        <f t="shared" si="294"/>
        <v>0</v>
      </c>
      <c r="AA166" s="5">
        <f t="shared" si="294"/>
        <v>0</v>
      </c>
      <c r="AB166" s="5">
        <f t="shared" si="294"/>
        <v>0</v>
      </c>
      <c r="AC166" s="5">
        <f t="shared" si="294"/>
        <v>44</v>
      </c>
      <c r="AD166" s="74">
        <f t="shared" si="294"/>
        <v>0</v>
      </c>
      <c r="AE166" s="5">
        <f t="shared" si="294"/>
        <v>0</v>
      </c>
      <c r="AF166" s="5">
        <f t="shared" si="294"/>
        <v>5</v>
      </c>
      <c r="AG166" s="5" t="str">
        <f t="shared" si="294"/>
        <v/>
      </c>
      <c r="AH166" s="5" t="str">
        <f t="shared" si="294"/>
        <v/>
      </c>
      <c r="AI166" s="5" t="str">
        <f t="shared" si="294"/>
        <v/>
      </c>
      <c r="AJ166" s="5" t="str">
        <f t="shared" si="294"/>
        <v/>
      </c>
      <c r="AK166" s="5" t="str">
        <f t="shared" si="294"/>
        <v/>
      </c>
      <c r="AL166" s="5" t="str">
        <f t="shared" si="294"/>
        <v/>
      </c>
      <c r="AM166" s="5" t="str">
        <f t="shared" ref="AM166:AS166" si="295">IF(AM$3="","",AM159-AL159)</f>
        <v/>
      </c>
      <c r="AN166" s="5" t="str">
        <f t="shared" si="295"/>
        <v/>
      </c>
      <c r="AO166" s="5" t="str">
        <f t="shared" si="295"/>
        <v/>
      </c>
      <c r="AP166" s="5" t="str">
        <f t="shared" si="295"/>
        <v/>
      </c>
      <c r="AQ166" s="5" t="str">
        <f t="shared" si="295"/>
        <v/>
      </c>
      <c r="AR166" s="5" t="str">
        <f t="shared" si="295"/>
        <v/>
      </c>
      <c r="AS166" s="5" t="str">
        <f t="shared" si="295"/>
        <v/>
      </c>
    </row>
    <row r="167" spans="1:45" s="1" customFormat="1" ht="11">
      <c r="A167" s="7">
        <f>SUM(C167:AS167)</f>
        <v>7</v>
      </c>
      <c r="B167" s="6" t="s">
        <v>16</v>
      </c>
      <c r="C167" s="74">
        <v>0</v>
      </c>
      <c r="D167" s="5">
        <f t="shared" ref="D167:AL167" si="296">IF(D$3="","",D160-C160)</f>
        <v>0</v>
      </c>
      <c r="E167" s="5">
        <f t="shared" si="296"/>
        <v>1</v>
      </c>
      <c r="F167" s="59">
        <f t="shared" si="296"/>
        <v>0</v>
      </c>
      <c r="G167" s="5">
        <f t="shared" si="296"/>
        <v>0</v>
      </c>
      <c r="H167" s="5">
        <f t="shared" si="296"/>
        <v>1</v>
      </c>
      <c r="I167" s="59">
        <f t="shared" si="296"/>
        <v>0</v>
      </c>
      <c r="J167" s="5">
        <f t="shared" si="296"/>
        <v>0</v>
      </c>
      <c r="K167" s="5">
        <f t="shared" si="296"/>
        <v>0</v>
      </c>
      <c r="L167" s="59">
        <f t="shared" si="296"/>
        <v>0</v>
      </c>
      <c r="M167" s="5">
        <f t="shared" si="296"/>
        <v>0</v>
      </c>
      <c r="N167" s="5">
        <f t="shared" si="296"/>
        <v>0</v>
      </c>
      <c r="O167" s="5">
        <f t="shared" si="296"/>
        <v>1</v>
      </c>
      <c r="P167" s="59">
        <f t="shared" si="296"/>
        <v>0</v>
      </c>
      <c r="Q167" s="5">
        <f t="shared" si="296"/>
        <v>0</v>
      </c>
      <c r="R167" s="5">
        <f t="shared" si="296"/>
        <v>0</v>
      </c>
      <c r="S167" s="5">
        <f t="shared" si="296"/>
        <v>0</v>
      </c>
      <c r="T167" s="5">
        <f t="shared" si="296"/>
        <v>0</v>
      </c>
      <c r="U167" s="5">
        <f t="shared" si="296"/>
        <v>0</v>
      </c>
      <c r="V167" s="5">
        <f t="shared" si="296"/>
        <v>2</v>
      </c>
      <c r="W167" s="5">
        <f t="shared" si="296"/>
        <v>0</v>
      </c>
      <c r="X167" s="5">
        <f t="shared" si="296"/>
        <v>0</v>
      </c>
      <c r="Y167" s="5">
        <f t="shared" si="296"/>
        <v>1</v>
      </c>
      <c r="Z167" s="5">
        <f t="shared" si="296"/>
        <v>0</v>
      </c>
      <c r="AA167" s="5">
        <f t="shared" si="296"/>
        <v>0</v>
      </c>
      <c r="AB167" s="5">
        <f t="shared" si="296"/>
        <v>0</v>
      </c>
      <c r="AC167" s="5">
        <f t="shared" si="296"/>
        <v>1</v>
      </c>
      <c r="AD167" s="74">
        <f t="shared" si="296"/>
        <v>0</v>
      </c>
      <c r="AE167" s="5">
        <f t="shared" si="296"/>
        <v>0</v>
      </c>
      <c r="AF167" s="5">
        <f t="shared" si="296"/>
        <v>0</v>
      </c>
      <c r="AG167" s="5" t="str">
        <f t="shared" si="296"/>
        <v/>
      </c>
      <c r="AH167" s="5" t="str">
        <f t="shared" si="296"/>
        <v/>
      </c>
      <c r="AI167" s="5" t="str">
        <f t="shared" si="296"/>
        <v/>
      </c>
      <c r="AJ167" s="5" t="str">
        <f t="shared" si="296"/>
        <v/>
      </c>
      <c r="AK167" s="5" t="str">
        <f t="shared" si="296"/>
        <v/>
      </c>
      <c r="AL167" s="5" t="str">
        <f t="shared" si="296"/>
        <v/>
      </c>
      <c r="AM167" s="5" t="str">
        <f t="shared" ref="AM167:AS167" si="297">IF(AM$3="","",AM160-AL160)</f>
        <v/>
      </c>
      <c r="AN167" s="5" t="str">
        <f t="shared" si="297"/>
        <v/>
      </c>
      <c r="AO167" s="5" t="str">
        <f t="shared" si="297"/>
        <v/>
      </c>
      <c r="AP167" s="5" t="str">
        <f t="shared" si="297"/>
        <v/>
      </c>
      <c r="AQ167" s="5" t="str">
        <f t="shared" si="297"/>
        <v/>
      </c>
      <c r="AR167" s="5" t="str">
        <f t="shared" si="297"/>
        <v/>
      </c>
      <c r="AS167" s="5" t="str">
        <f t="shared" si="297"/>
        <v/>
      </c>
    </row>
    <row r="168" spans="1:45" s="1" customFormat="1" ht="11">
      <c r="A168" s="7">
        <f>SUM(C168:AS168)</f>
        <v>4</v>
      </c>
      <c r="B168" s="6" t="s">
        <v>17</v>
      </c>
      <c r="C168" s="74">
        <v>0</v>
      </c>
      <c r="D168" s="5">
        <f t="shared" ref="D168:AL168" si="298">IF(D$3="","",C161+C162-D161)</f>
        <v>0</v>
      </c>
      <c r="E168" s="5">
        <f t="shared" si="298"/>
        <v>0</v>
      </c>
      <c r="F168" s="59">
        <f t="shared" si="298"/>
        <v>0</v>
      </c>
      <c r="G168" s="5">
        <f t="shared" si="298"/>
        <v>0</v>
      </c>
      <c r="H168" s="5">
        <f t="shared" si="298"/>
        <v>0</v>
      </c>
      <c r="I168" s="59">
        <f t="shared" si="298"/>
        <v>0</v>
      </c>
      <c r="J168" s="5">
        <f t="shared" si="298"/>
        <v>0</v>
      </c>
      <c r="K168" s="5">
        <f t="shared" si="298"/>
        <v>0</v>
      </c>
      <c r="L168" s="59">
        <f t="shared" si="298"/>
        <v>0</v>
      </c>
      <c r="M168" s="5">
        <f t="shared" si="298"/>
        <v>0</v>
      </c>
      <c r="N168" s="5">
        <f t="shared" si="298"/>
        <v>0</v>
      </c>
      <c r="O168" s="5">
        <f t="shared" si="298"/>
        <v>1</v>
      </c>
      <c r="P168" s="59">
        <f t="shared" si="298"/>
        <v>0</v>
      </c>
      <c r="Q168" s="5">
        <f t="shared" si="298"/>
        <v>0</v>
      </c>
      <c r="R168" s="5">
        <f t="shared" si="298"/>
        <v>0</v>
      </c>
      <c r="S168" s="5">
        <f t="shared" si="298"/>
        <v>0</v>
      </c>
      <c r="T168" s="5">
        <f t="shared" si="298"/>
        <v>0</v>
      </c>
      <c r="U168" s="5">
        <f t="shared" si="298"/>
        <v>0</v>
      </c>
      <c r="V168" s="5">
        <f t="shared" si="298"/>
        <v>2</v>
      </c>
      <c r="W168" s="5">
        <f t="shared" si="298"/>
        <v>0</v>
      </c>
      <c r="X168" s="5">
        <f t="shared" si="298"/>
        <v>0</v>
      </c>
      <c r="Y168" s="5">
        <f t="shared" si="298"/>
        <v>1</v>
      </c>
      <c r="Z168" s="5">
        <f t="shared" si="298"/>
        <v>0</v>
      </c>
      <c r="AA168" s="5">
        <f t="shared" si="298"/>
        <v>0</v>
      </c>
      <c r="AB168" s="5">
        <f t="shared" si="298"/>
        <v>0</v>
      </c>
      <c r="AC168" s="5">
        <f t="shared" si="298"/>
        <v>0</v>
      </c>
      <c r="AD168" s="74">
        <f t="shared" si="298"/>
        <v>0</v>
      </c>
      <c r="AE168" s="5">
        <f t="shared" si="298"/>
        <v>0</v>
      </c>
      <c r="AF168" s="5">
        <f t="shared" si="298"/>
        <v>0</v>
      </c>
      <c r="AG168" s="5" t="str">
        <f t="shared" si="298"/>
        <v/>
      </c>
      <c r="AH168" s="5" t="str">
        <f t="shared" si="298"/>
        <v/>
      </c>
      <c r="AI168" s="5" t="str">
        <f t="shared" si="298"/>
        <v/>
      </c>
      <c r="AJ168" s="5" t="str">
        <f t="shared" si="298"/>
        <v/>
      </c>
      <c r="AK168" s="5" t="str">
        <f t="shared" si="298"/>
        <v/>
      </c>
      <c r="AL168" s="5" t="str">
        <f t="shared" si="298"/>
        <v/>
      </c>
      <c r="AM168" s="5" t="str">
        <f t="shared" ref="AM168:AS168" si="299">IF(AM$3="","",AL161+AL162-AM161)</f>
        <v/>
      </c>
      <c r="AN168" s="5" t="str">
        <f t="shared" si="299"/>
        <v/>
      </c>
      <c r="AO168" s="5" t="str">
        <f t="shared" si="299"/>
        <v/>
      </c>
      <c r="AP168" s="5" t="str">
        <f t="shared" si="299"/>
        <v/>
      </c>
      <c r="AQ168" s="5" t="str">
        <f t="shared" si="299"/>
        <v/>
      </c>
      <c r="AR168" s="5" t="str">
        <f t="shared" si="299"/>
        <v/>
      </c>
      <c r="AS168" s="5" t="str">
        <f t="shared" si="299"/>
        <v/>
      </c>
    </row>
    <row r="169" spans="1:45" s="1" customFormat="1" ht="11">
      <c r="A169" s="7">
        <f>SUM(C169:AS169)</f>
        <v>3000</v>
      </c>
      <c r="B169" s="6" t="s">
        <v>18</v>
      </c>
      <c r="C169" s="74">
        <v>0</v>
      </c>
      <c r="D169" s="5">
        <f t="shared" ref="D169:AL169" si="300">IF(D$3="","",D168*D163)</f>
        <v>0</v>
      </c>
      <c r="E169" s="5">
        <f t="shared" si="300"/>
        <v>0</v>
      </c>
      <c r="F169" s="59">
        <f t="shared" si="300"/>
        <v>0</v>
      </c>
      <c r="G169" s="5">
        <f t="shared" si="300"/>
        <v>0</v>
      </c>
      <c r="H169" s="5">
        <f t="shared" si="300"/>
        <v>0</v>
      </c>
      <c r="I169" s="59">
        <f t="shared" si="300"/>
        <v>0</v>
      </c>
      <c r="J169" s="5">
        <f t="shared" si="300"/>
        <v>0</v>
      </c>
      <c r="K169" s="5">
        <f t="shared" si="300"/>
        <v>0</v>
      </c>
      <c r="L169" s="59">
        <f t="shared" si="300"/>
        <v>0</v>
      </c>
      <c r="M169" s="5">
        <f t="shared" si="300"/>
        <v>0</v>
      </c>
      <c r="N169" s="5">
        <f t="shared" si="300"/>
        <v>0</v>
      </c>
      <c r="O169" s="5">
        <f t="shared" si="300"/>
        <v>750</v>
      </c>
      <c r="P169" s="59">
        <f t="shared" si="300"/>
        <v>0</v>
      </c>
      <c r="Q169" s="5">
        <f t="shared" si="300"/>
        <v>0</v>
      </c>
      <c r="R169" s="5">
        <f t="shared" si="300"/>
        <v>0</v>
      </c>
      <c r="S169" s="5">
        <f t="shared" si="300"/>
        <v>0</v>
      </c>
      <c r="T169" s="5">
        <f t="shared" si="300"/>
        <v>0</v>
      </c>
      <c r="U169" s="5">
        <f t="shared" si="300"/>
        <v>0</v>
      </c>
      <c r="V169" s="5">
        <f t="shared" si="300"/>
        <v>1500</v>
      </c>
      <c r="W169" s="5">
        <f t="shared" si="300"/>
        <v>0</v>
      </c>
      <c r="X169" s="5">
        <f t="shared" si="300"/>
        <v>0</v>
      </c>
      <c r="Y169" s="5">
        <f t="shared" si="300"/>
        <v>750</v>
      </c>
      <c r="Z169" s="5">
        <f t="shared" si="300"/>
        <v>0</v>
      </c>
      <c r="AA169" s="5">
        <f t="shared" si="300"/>
        <v>0</v>
      </c>
      <c r="AB169" s="5">
        <f t="shared" si="300"/>
        <v>0</v>
      </c>
      <c r="AC169" s="5">
        <f t="shared" si="300"/>
        <v>0</v>
      </c>
      <c r="AD169" s="74">
        <f t="shared" si="300"/>
        <v>0</v>
      </c>
      <c r="AE169" s="5">
        <f t="shared" si="300"/>
        <v>0</v>
      </c>
      <c r="AF169" s="5">
        <f t="shared" si="300"/>
        <v>0</v>
      </c>
      <c r="AG169" s="5" t="str">
        <f t="shared" si="300"/>
        <v/>
      </c>
      <c r="AH169" s="5" t="str">
        <f t="shared" si="300"/>
        <v/>
      </c>
      <c r="AI169" s="5" t="str">
        <f t="shared" si="300"/>
        <v/>
      </c>
      <c r="AJ169" s="5" t="str">
        <f t="shared" si="300"/>
        <v/>
      </c>
      <c r="AK169" s="5" t="str">
        <f t="shared" si="300"/>
        <v/>
      </c>
      <c r="AL169" s="5" t="str">
        <f t="shared" si="300"/>
        <v/>
      </c>
      <c r="AM169" s="5" t="str">
        <f t="shared" ref="AM169:AS169" si="301">IF(AM$3="","",AM168*AM163)</f>
        <v/>
      </c>
      <c r="AN169" s="5" t="str">
        <f t="shared" si="301"/>
        <v/>
      </c>
      <c r="AO169" s="5" t="str">
        <f t="shared" si="301"/>
        <v/>
      </c>
      <c r="AP169" s="5" t="str">
        <f t="shared" si="301"/>
        <v/>
      </c>
      <c r="AQ169" s="5" t="str">
        <f t="shared" si="301"/>
        <v/>
      </c>
      <c r="AR169" s="5" t="str">
        <f t="shared" si="301"/>
        <v/>
      </c>
      <c r="AS169" s="5" t="str">
        <f t="shared" si="301"/>
        <v/>
      </c>
    </row>
    <row r="170" spans="1:45" s="1" customFormat="1" ht="12" thickBot="1">
      <c r="A170" s="4">
        <f>IF(A169="","",A169/(A166*100))</f>
        <v>9.5846645367412137E-2</v>
      </c>
      <c r="B170" s="6" t="s">
        <v>20</v>
      </c>
      <c r="C170" s="76" t="s">
        <v>21</v>
      </c>
      <c r="D170" s="18" t="str">
        <f t="shared" ref="D170:AL170" si="302">IF(D$3="","",IF(D169=0,"",D169/(D166*100)))</f>
        <v/>
      </c>
      <c r="E170" s="18" t="str">
        <f t="shared" si="302"/>
        <v/>
      </c>
      <c r="F170" s="62" t="str">
        <f t="shared" si="302"/>
        <v/>
      </c>
      <c r="G170" s="18" t="str">
        <f t="shared" si="302"/>
        <v/>
      </c>
      <c r="H170" s="18" t="str">
        <f t="shared" si="302"/>
        <v/>
      </c>
      <c r="I170" s="62" t="str">
        <f t="shared" si="302"/>
        <v/>
      </c>
      <c r="J170" s="18" t="str">
        <f t="shared" si="302"/>
        <v/>
      </c>
      <c r="K170" s="18" t="str">
        <f t="shared" si="302"/>
        <v/>
      </c>
      <c r="L170" s="62" t="str">
        <f t="shared" si="302"/>
        <v/>
      </c>
      <c r="M170" s="18" t="str">
        <f t="shared" si="302"/>
        <v/>
      </c>
      <c r="N170" s="18" t="str">
        <f t="shared" si="302"/>
        <v/>
      </c>
      <c r="O170" s="18">
        <f t="shared" si="302"/>
        <v>0.17857142857142858</v>
      </c>
      <c r="P170" s="62" t="str">
        <f t="shared" si="302"/>
        <v/>
      </c>
      <c r="Q170" s="18" t="str">
        <f t="shared" si="302"/>
        <v/>
      </c>
      <c r="R170" s="18" t="str">
        <f t="shared" si="302"/>
        <v/>
      </c>
      <c r="S170" s="18" t="str">
        <f t="shared" si="302"/>
        <v/>
      </c>
      <c r="T170" s="18" t="str">
        <f t="shared" si="302"/>
        <v/>
      </c>
      <c r="U170" s="18" t="str">
        <f t="shared" si="302"/>
        <v/>
      </c>
      <c r="V170" s="18">
        <f t="shared" si="302"/>
        <v>0.42857142857142855</v>
      </c>
      <c r="W170" s="18" t="str">
        <f t="shared" si="302"/>
        <v/>
      </c>
      <c r="X170" s="18" t="str">
        <f t="shared" si="302"/>
        <v/>
      </c>
      <c r="Y170" s="18">
        <f t="shared" si="302"/>
        <v>0.22727272727272727</v>
      </c>
      <c r="Z170" s="18" t="str">
        <f t="shared" si="302"/>
        <v/>
      </c>
      <c r="AA170" s="18" t="str">
        <f t="shared" si="302"/>
        <v/>
      </c>
      <c r="AB170" s="18" t="str">
        <f t="shared" si="302"/>
        <v/>
      </c>
      <c r="AC170" s="18" t="str">
        <f t="shared" si="302"/>
        <v/>
      </c>
      <c r="AD170" s="76" t="str">
        <f t="shared" si="302"/>
        <v/>
      </c>
      <c r="AE170" s="18" t="str">
        <f t="shared" si="302"/>
        <v/>
      </c>
      <c r="AF170" s="18" t="str">
        <f t="shared" si="302"/>
        <v/>
      </c>
      <c r="AG170" s="18" t="str">
        <f t="shared" si="302"/>
        <v/>
      </c>
      <c r="AH170" s="18" t="str">
        <f t="shared" si="302"/>
        <v/>
      </c>
      <c r="AI170" s="18" t="str">
        <f t="shared" si="302"/>
        <v/>
      </c>
      <c r="AJ170" s="18" t="str">
        <f t="shared" si="302"/>
        <v/>
      </c>
      <c r="AK170" s="18" t="str">
        <f t="shared" si="302"/>
        <v/>
      </c>
      <c r="AL170" s="18" t="str">
        <f t="shared" si="302"/>
        <v/>
      </c>
      <c r="AM170" s="18" t="str">
        <f t="shared" ref="AM170:AS170" si="303">IF(AM$3="","",IF(AM169=0,"",AM169/(AM166*100)))</f>
        <v/>
      </c>
      <c r="AN170" s="18" t="str">
        <f t="shared" si="303"/>
        <v/>
      </c>
      <c r="AO170" s="18" t="str">
        <f t="shared" si="303"/>
        <v/>
      </c>
      <c r="AP170" s="18" t="str">
        <f t="shared" si="303"/>
        <v/>
      </c>
      <c r="AQ170" s="18" t="str">
        <f t="shared" si="303"/>
        <v/>
      </c>
      <c r="AR170" s="18" t="str">
        <f t="shared" si="303"/>
        <v/>
      </c>
      <c r="AS170" s="18" t="str">
        <f t="shared" si="303"/>
        <v/>
      </c>
    </row>
    <row r="171" spans="1:45" s="1" customFormat="1" ht="11">
      <c r="A171" s="17" t="s">
        <v>61</v>
      </c>
      <c r="B171" s="9" t="s">
        <v>2</v>
      </c>
      <c r="C171" s="74">
        <v>5702</v>
      </c>
      <c r="D171" s="8">
        <f>IF(D$3="","",C171)</f>
        <v>5702</v>
      </c>
      <c r="E171" s="8">
        <v>5729</v>
      </c>
      <c r="F171" s="59">
        <f>IF(F$3="","",E171)</f>
        <v>5729</v>
      </c>
      <c r="G171" s="8">
        <f>IF(G$3="","",F171)</f>
        <v>5729</v>
      </c>
      <c r="H171" s="8">
        <v>5730</v>
      </c>
      <c r="I171" s="59">
        <f>IF(I$3="","",H171)</f>
        <v>5730</v>
      </c>
      <c r="J171" s="8">
        <f>IF(J$3="","",I171)</f>
        <v>5730</v>
      </c>
      <c r="K171" s="8">
        <v>5737</v>
      </c>
      <c r="L171" s="59">
        <f t="shared" ref="L171:N172" si="304">IF(L$3="","",K171)</f>
        <v>5737</v>
      </c>
      <c r="M171" s="8">
        <f t="shared" si="304"/>
        <v>5737</v>
      </c>
      <c r="N171" s="8">
        <f t="shared" si="304"/>
        <v>5737</v>
      </c>
      <c r="O171" s="8">
        <v>5774</v>
      </c>
      <c r="P171" s="59">
        <f>IF(P$3="","",O171)</f>
        <v>5774</v>
      </c>
      <c r="Q171" s="8">
        <f>IF(Q$3="","",P171)</f>
        <v>5774</v>
      </c>
      <c r="R171" s="8">
        <v>5836</v>
      </c>
      <c r="S171" s="8">
        <f t="shared" ref="S171:AL171" si="305">IF(S$3="","",R171)</f>
        <v>5836</v>
      </c>
      <c r="T171" s="8">
        <f t="shared" si="305"/>
        <v>5836</v>
      </c>
      <c r="U171" s="8">
        <f t="shared" si="305"/>
        <v>5836</v>
      </c>
      <c r="V171" s="8">
        <v>5864</v>
      </c>
      <c r="W171" s="8">
        <f t="shared" si="305"/>
        <v>5864</v>
      </c>
      <c r="X171" s="8">
        <f t="shared" si="305"/>
        <v>5864</v>
      </c>
      <c r="Y171" s="8">
        <v>5917</v>
      </c>
      <c r="Z171" s="8">
        <f t="shared" si="305"/>
        <v>5917</v>
      </c>
      <c r="AA171" s="8">
        <f t="shared" si="305"/>
        <v>5917</v>
      </c>
      <c r="AB171" s="8">
        <f t="shared" si="305"/>
        <v>5917</v>
      </c>
      <c r="AC171" s="8">
        <v>5981</v>
      </c>
      <c r="AD171" s="74">
        <f t="shared" si="305"/>
        <v>5981</v>
      </c>
      <c r="AE171" s="8">
        <f t="shared" si="305"/>
        <v>5981</v>
      </c>
      <c r="AF171" s="8">
        <v>6018</v>
      </c>
      <c r="AG171" s="8" t="str">
        <f t="shared" si="305"/>
        <v/>
      </c>
      <c r="AH171" s="8" t="str">
        <f t="shared" si="305"/>
        <v/>
      </c>
      <c r="AI171" s="8" t="str">
        <f t="shared" si="305"/>
        <v/>
      </c>
      <c r="AJ171" s="8" t="str">
        <f t="shared" si="305"/>
        <v/>
      </c>
      <c r="AK171" s="8" t="str">
        <f t="shared" si="305"/>
        <v/>
      </c>
      <c r="AL171" s="8" t="str">
        <f t="shared" si="305"/>
        <v/>
      </c>
      <c r="AM171" s="8" t="str">
        <f t="shared" ref="AM171:AS171" si="306">IF(AM$3="","",AL171)</f>
        <v/>
      </c>
      <c r="AN171" s="8" t="str">
        <f t="shared" si="306"/>
        <v/>
      </c>
      <c r="AO171" s="8" t="str">
        <f t="shared" si="306"/>
        <v/>
      </c>
      <c r="AP171" s="8" t="str">
        <f t="shared" si="306"/>
        <v/>
      </c>
      <c r="AQ171" s="8" t="str">
        <f t="shared" si="306"/>
        <v/>
      </c>
      <c r="AR171" s="8" t="str">
        <f t="shared" si="306"/>
        <v/>
      </c>
      <c r="AS171" s="8" t="str">
        <f t="shared" si="306"/>
        <v/>
      </c>
    </row>
    <row r="172" spans="1:45" s="1" customFormat="1" ht="11">
      <c r="A172" s="16" t="s">
        <v>44</v>
      </c>
      <c r="B172" s="9" t="s">
        <v>4</v>
      </c>
      <c r="C172" s="74">
        <v>135</v>
      </c>
      <c r="D172" s="8">
        <f>IF(D$3="","",C172)</f>
        <v>135</v>
      </c>
      <c r="E172" s="8">
        <v>136</v>
      </c>
      <c r="F172" s="59">
        <f>IF(F$3="","",E172)</f>
        <v>136</v>
      </c>
      <c r="G172" s="8">
        <f>IF(G$3="","",F172)</f>
        <v>136</v>
      </c>
      <c r="H172" s="8">
        <f>IF(H$3="","",G172)</f>
        <v>136</v>
      </c>
      <c r="I172" s="59">
        <f>IF(I$3="","",H172)</f>
        <v>136</v>
      </c>
      <c r="J172" s="8">
        <f>IF(J$3="","",I172)</f>
        <v>136</v>
      </c>
      <c r="K172" s="8">
        <f>IF(K$3="","",J172)</f>
        <v>136</v>
      </c>
      <c r="L172" s="59">
        <f t="shared" si="304"/>
        <v>136</v>
      </c>
      <c r="M172" s="8">
        <f t="shared" si="304"/>
        <v>136</v>
      </c>
      <c r="N172" s="8">
        <f t="shared" si="304"/>
        <v>136</v>
      </c>
      <c r="O172" s="8">
        <f>IF(O$3="","",N172)</f>
        <v>136</v>
      </c>
      <c r="P172" s="59">
        <f>IF(P$3="","",O172)</f>
        <v>136</v>
      </c>
      <c r="Q172" s="8">
        <f>IF(Q$3="","",P172)</f>
        <v>136</v>
      </c>
      <c r="R172" s="8">
        <f>IF(R$3="","",Q172)</f>
        <v>136</v>
      </c>
      <c r="S172" s="8">
        <f t="shared" ref="S172:AL172" si="307">IF(S$3="","",R172)</f>
        <v>136</v>
      </c>
      <c r="T172" s="8">
        <f t="shared" si="307"/>
        <v>136</v>
      </c>
      <c r="U172" s="8">
        <f t="shared" si="307"/>
        <v>136</v>
      </c>
      <c r="V172" s="8">
        <f t="shared" si="307"/>
        <v>136</v>
      </c>
      <c r="W172" s="8">
        <f t="shared" si="307"/>
        <v>136</v>
      </c>
      <c r="X172" s="8">
        <f t="shared" si="307"/>
        <v>136</v>
      </c>
      <c r="Y172" s="8">
        <v>137</v>
      </c>
      <c r="Z172" s="8">
        <f t="shared" si="307"/>
        <v>137</v>
      </c>
      <c r="AA172" s="8">
        <f t="shared" si="307"/>
        <v>137</v>
      </c>
      <c r="AB172" s="8">
        <f t="shared" si="307"/>
        <v>137</v>
      </c>
      <c r="AC172" s="8">
        <f t="shared" si="307"/>
        <v>137</v>
      </c>
      <c r="AD172" s="74">
        <f t="shared" si="307"/>
        <v>137</v>
      </c>
      <c r="AE172" s="8">
        <f t="shared" si="307"/>
        <v>137</v>
      </c>
      <c r="AF172" s="8">
        <f t="shared" si="307"/>
        <v>137</v>
      </c>
      <c r="AG172" s="8" t="str">
        <f t="shared" si="307"/>
        <v/>
      </c>
      <c r="AH172" s="8" t="str">
        <f t="shared" si="307"/>
        <v/>
      </c>
      <c r="AI172" s="8" t="str">
        <f t="shared" si="307"/>
        <v/>
      </c>
      <c r="AJ172" s="8" t="str">
        <f t="shared" si="307"/>
        <v/>
      </c>
      <c r="AK172" s="8" t="str">
        <f t="shared" si="307"/>
        <v/>
      </c>
      <c r="AL172" s="8" t="str">
        <f t="shared" si="307"/>
        <v/>
      </c>
      <c r="AM172" s="8" t="str">
        <f t="shared" ref="AM172:AS172" si="308">IF(AM$3="","",AL172)</f>
        <v/>
      </c>
      <c r="AN172" s="8" t="str">
        <f t="shared" si="308"/>
        <v/>
      </c>
      <c r="AO172" s="8" t="str">
        <f t="shared" si="308"/>
        <v/>
      </c>
      <c r="AP172" s="8" t="str">
        <f t="shared" si="308"/>
        <v/>
      </c>
      <c r="AQ172" s="8" t="str">
        <f t="shared" si="308"/>
        <v/>
      </c>
      <c r="AR172" s="8" t="str">
        <f t="shared" si="308"/>
        <v/>
      </c>
      <c r="AS172" s="8" t="str">
        <f t="shared" si="308"/>
        <v/>
      </c>
    </row>
    <row r="173" spans="1:45" s="1" customFormat="1" ht="11">
      <c r="A173" s="15">
        <v>3</v>
      </c>
      <c r="B173" s="9" t="s">
        <v>5</v>
      </c>
      <c r="C173" s="74">
        <v>4</v>
      </c>
      <c r="D173" s="8">
        <f>IF(D$3="","",(C173+C174))</f>
        <v>4</v>
      </c>
      <c r="E173" s="8">
        <v>3</v>
      </c>
      <c r="F173" s="59">
        <f t="shared" ref="F173:AL173" si="309">IF(F$3="","",(E173+E174))</f>
        <v>4</v>
      </c>
      <c r="G173" s="8">
        <f t="shared" si="309"/>
        <v>4</v>
      </c>
      <c r="H173" s="8">
        <f t="shared" si="309"/>
        <v>4</v>
      </c>
      <c r="I173" s="59">
        <f t="shared" si="309"/>
        <v>4</v>
      </c>
      <c r="J173" s="8">
        <f t="shared" si="309"/>
        <v>4</v>
      </c>
      <c r="K173" s="8">
        <f t="shared" si="309"/>
        <v>4</v>
      </c>
      <c r="L173" s="59">
        <f t="shared" si="309"/>
        <v>4</v>
      </c>
      <c r="M173" s="8">
        <f t="shared" si="309"/>
        <v>4</v>
      </c>
      <c r="N173" s="8">
        <f t="shared" si="309"/>
        <v>4</v>
      </c>
      <c r="O173" s="8">
        <f t="shared" si="309"/>
        <v>4</v>
      </c>
      <c r="P173" s="59">
        <f t="shared" si="309"/>
        <v>4</v>
      </c>
      <c r="Q173" s="8">
        <f t="shared" si="309"/>
        <v>4</v>
      </c>
      <c r="R173" s="8">
        <f t="shared" si="309"/>
        <v>4</v>
      </c>
      <c r="S173" s="8">
        <f t="shared" si="309"/>
        <v>4</v>
      </c>
      <c r="T173" s="8">
        <f t="shared" si="309"/>
        <v>4</v>
      </c>
      <c r="U173" s="8">
        <f t="shared" si="309"/>
        <v>4</v>
      </c>
      <c r="V173" s="8">
        <f t="shared" si="309"/>
        <v>4</v>
      </c>
      <c r="W173" s="8">
        <f t="shared" si="309"/>
        <v>4</v>
      </c>
      <c r="X173" s="8">
        <f t="shared" si="309"/>
        <v>4</v>
      </c>
      <c r="Y173" s="8">
        <v>2</v>
      </c>
      <c r="Z173" s="8">
        <f t="shared" si="309"/>
        <v>2</v>
      </c>
      <c r="AA173" s="8">
        <f t="shared" si="309"/>
        <v>2</v>
      </c>
      <c r="AB173" s="8">
        <f t="shared" si="309"/>
        <v>2</v>
      </c>
      <c r="AC173" s="8">
        <v>1</v>
      </c>
      <c r="AD173" s="74">
        <f t="shared" si="309"/>
        <v>42</v>
      </c>
      <c r="AE173" s="8">
        <f t="shared" si="309"/>
        <v>42</v>
      </c>
      <c r="AF173" s="8">
        <f t="shared" si="309"/>
        <v>42</v>
      </c>
      <c r="AG173" s="8" t="str">
        <f t="shared" si="309"/>
        <v/>
      </c>
      <c r="AH173" s="8" t="str">
        <f t="shared" si="309"/>
        <v/>
      </c>
      <c r="AI173" s="8" t="str">
        <f t="shared" si="309"/>
        <v/>
      </c>
      <c r="AJ173" s="8" t="str">
        <f t="shared" si="309"/>
        <v/>
      </c>
      <c r="AK173" s="8" t="str">
        <f t="shared" si="309"/>
        <v/>
      </c>
      <c r="AL173" s="8" t="str">
        <f t="shared" si="309"/>
        <v/>
      </c>
      <c r="AM173" s="8" t="str">
        <f t="shared" ref="AM173:AS173" si="310">IF(AM$3="","",(AL173+AL174))</f>
        <v/>
      </c>
      <c r="AN173" s="8" t="str">
        <f t="shared" si="310"/>
        <v/>
      </c>
      <c r="AO173" s="8" t="str">
        <f t="shared" si="310"/>
        <v/>
      </c>
      <c r="AP173" s="8" t="str">
        <f t="shared" si="310"/>
        <v/>
      </c>
      <c r="AQ173" s="8" t="str">
        <f t="shared" si="310"/>
        <v/>
      </c>
      <c r="AR173" s="8" t="str">
        <f t="shared" si="310"/>
        <v/>
      </c>
      <c r="AS173" s="8" t="str">
        <f t="shared" si="310"/>
        <v/>
      </c>
    </row>
    <row r="174" spans="1:45" s="1" customFormat="1" ht="11">
      <c r="A174" s="14"/>
      <c r="B174" s="9" t="s">
        <v>7</v>
      </c>
      <c r="C174" s="74"/>
      <c r="D174" s="8"/>
      <c r="E174" s="8">
        <v>1</v>
      </c>
      <c r="F174" s="59"/>
      <c r="G174" s="8"/>
      <c r="H174" s="8"/>
      <c r="I174" s="59"/>
      <c r="J174" s="8"/>
      <c r="K174" s="8"/>
      <c r="L174" s="59"/>
      <c r="M174" s="8"/>
      <c r="N174" s="8"/>
      <c r="O174" s="8"/>
      <c r="P174" s="59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>
        <v>41</v>
      </c>
      <c r="AD174" s="74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</row>
    <row r="175" spans="1:45" s="1" customFormat="1" ht="11">
      <c r="A175" s="7"/>
      <c r="B175" s="9" t="s">
        <v>8</v>
      </c>
      <c r="C175" s="74">
        <v>400</v>
      </c>
      <c r="D175" s="8">
        <f t="shared" ref="D175:AL175" si="311">IF(D$3="","",C175)</f>
        <v>400</v>
      </c>
      <c r="E175" s="8">
        <f t="shared" si="311"/>
        <v>400</v>
      </c>
      <c r="F175" s="59">
        <f t="shared" si="311"/>
        <v>400</v>
      </c>
      <c r="G175" s="8">
        <f t="shared" si="311"/>
        <v>400</v>
      </c>
      <c r="H175" s="8">
        <f t="shared" si="311"/>
        <v>400</v>
      </c>
      <c r="I175" s="59">
        <f t="shared" si="311"/>
        <v>400</v>
      </c>
      <c r="J175" s="8">
        <f t="shared" si="311"/>
        <v>400</v>
      </c>
      <c r="K175" s="8">
        <f t="shared" si="311"/>
        <v>400</v>
      </c>
      <c r="L175" s="59">
        <f t="shared" si="311"/>
        <v>400</v>
      </c>
      <c r="M175" s="8">
        <f t="shared" si="311"/>
        <v>400</v>
      </c>
      <c r="N175" s="8">
        <f t="shared" si="311"/>
        <v>400</v>
      </c>
      <c r="O175" s="8">
        <f t="shared" si="311"/>
        <v>400</v>
      </c>
      <c r="P175" s="59">
        <f t="shared" si="311"/>
        <v>400</v>
      </c>
      <c r="Q175" s="8">
        <f t="shared" si="311"/>
        <v>400</v>
      </c>
      <c r="R175" s="8">
        <f t="shared" si="311"/>
        <v>400</v>
      </c>
      <c r="S175" s="8">
        <f t="shared" si="311"/>
        <v>400</v>
      </c>
      <c r="T175" s="8">
        <f t="shared" si="311"/>
        <v>400</v>
      </c>
      <c r="U175" s="8">
        <f t="shared" si="311"/>
        <v>400</v>
      </c>
      <c r="V175" s="8">
        <f t="shared" si="311"/>
        <v>400</v>
      </c>
      <c r="W175" s="8">
        <f t="shared" si="311"/>
        <v>400</v>
      </c>
      <c r="X175" s="8">
        <f t="shared" si="311"/>
        <v>400</v>
      </c>
      <c r="Y175" s="8">
        <f t="shared" si="311"/>
        <v>400</v>
      </c>
      <c r="Z175" s="8">
        <f t="shared" si="311"/>
        <v>400</v>
      </c>
      <c r="AA175" s="8">
        <f t="shared" si="311"/>
        <v>400</v>
      </c>
      <c r="AB175" s="8">
        <f t="shared" si="311"/>
        <v>400</v>
      </c>
      <c r="AC175" s="8">
        <f t="shared" si="311"/>
        <v>400</v>
      </c>
      <c r="AD175" s="74">
        <f t="shared" si="311"/>
        <v>400</v>
      </c>
      <c r="AE175" s="8">
        <f t="shared" si="311"/>
        <v>400</v>
      </c>
      <c r="AF175" s="8">
        <f t="shared" si="311"/>
        <v>400</v>
      </c>
      <c r="AG175" s="8" t="str">
        <f t="shared" si="311"/>
        <v/>
      </c>
      <c r="AH175" s="8" t="str">
        <f t="shared" si="311"/>
        <v/>
      </c>
      <c r="AI175" s="8" t="str">
        <f t="shared" si="311"/>
        <v/>
      </c>
      <c r="AJ175" s="8" t="str">
        <f t="shared" si="311"/>
        <v/>
      </c>
      <c r="AK175" s="8" t="str">
        <f t="shared" si="311"/>
        <v/>
      </c>
      <c r="AL175" s="8" t="str">
        <f t="shared" si="311"/>
        <v/>
      </c>
      <c r="AM175" s="8" t="str">
        <f t="shared" ref="AM175:AS175" si="312">IF(AM$3="","",AL175)</f>
        <v/>
      </c>
      <c r="AN175" s="8" t="str">
        <f t="shared" si="312"/>
        <v/>
      </c>
      <c r="AO175" s="8" t="str">
        <f t="shared" si="312"/>
        <v/>
      </c>
      <c r="AP175" s="8" t="str">
        <f t="shared" si="312"/>
        <v/>
      </c>
      <c r="AQ175" s="8" t="str">
        <f t="shared" si="312"/>
        <v/>
      </c>
      <c r="AR175" s="8" t="str">
        <f t="shared" si="312"/>
        <v/>
      </c>
      <c r="AS175" s="8" t="str">
        <f t="shared" si="312"/>
        <v/>
      </c>
    </row>
    <row r="176" spans="1:45" s="94" customFormat="1" ht="11">
      <c r="A176" s="14" t="s">
        <v>9</v>
      </c>
      <c r="B176" s="13" t="s">
        <v>10</v>
      </c>
      <c r="C176" s="75" t="s">
        <v>70</v>
      </c>
      <c r="D176" s="12" t="str">
        <f>IF(D$3="","",C176)</f>
        <v>ヤヤ　バースデイ</v>
      </c>
      <c r="E176" s="12" t="s">
        <v>12</v>
      </c>
      <c r="F176" s="131" t="str">
        <f>IF(F$3="","",E176)</f>
        <v>ポメラニアン</v>
      </c>
      <c r="G176" s="12" t="str">
        <f>IF(G$3="","",F176)</f>
        <v>ポメラニアン</v>
      </c>
      <c r="H176" s="12" t="str">
        <f>IF(H$3="","",G176)</f>
        <v>ポメラニアン</v>
      </c>
      <c r="I176" s="131" t="str">
        <f>IF(I$3="","",H176)</f>
        <v>ポメラニアン</v>
      </c>
      <c r="J176" s="12" t="str">
        <f>IF(J$3="","",I176)</f>
        <v>ポメラニアン</v>
      </c>
      <c r="K176" s="12" t="s">
        <v>33</v>
      </c>
      <c r="L176" s="131" t="str">
        <f t="shared" ref="L176:AL176" si="313">IF(L$3="","",K176)</f>
        <v>パステルケーキ</v>
      </c>
      <c r="M176" s="12" t="str">
        <f t="shared" si="313"/>
        <v>パステルケーキ</v>
      </c>
      <c r="N176" s="12" t="str">
        <f t="shared" si="313"/>
        <v>パステルケーキ</v>
      </c>
      <c r="O176" s="12" t="str">
        <f t="shared" si="313"/>
        <v>パステルケーキ</v>
      </c>
      <c r="P176" s="131" t="str">
        <f t="shared" si="313"/>
        <v>パステルケーキ</v>
      </c>
      <c r="Q176" s="12" t="str">
        <f t="shared" si="313"/>
        <v>パステルケーキ</v>
      </c>
      <c r="R176" s="12" t="str">
        <f t="shared" si="313"/>
        <v>パステルケーキ</v>
      </c>
      <c r="S176" s="12" t="str">
        <f t="shared" si="313"/>
        <v>パステルケーキ</v>
      </c>
      <c r="T176" s="12" t="str">
        <f t="shared" si="313"/>
        <v>パステルケーキ</v>
      </c>
      <c r="U176" s="12" t="str">
        <f t="shared" si="313"/>
        <v>パステルケーキ</v>
      </c>
      <c r="V176" s="12" t="str">
        <f t="shared" si="313"/>
        <v>パステルケーキ</v>
      </c>
      <c r="W176" s="12" t="str">
        <f t="shared" si="313"/>
        <v>パステルケーキ</v>
      </c>
      <c r="X176" s="12" t="str">
        <f t="shared" si="313"/>
        <v>パステルケーキ</v>
      </c>
      <c r="Y176" s="12" t="str">
        <f t="shared" si="313"/>
        <v>パステルケーキ</v>
      </c>
      <c r="Z176" s="12" t="str">
        <f t="shared" si="313"/>
        <v>パステルケーキ</v>
      </c>
      <c r="AA176" s="12" t="str">
        <f t="shared" si="313"/>
        <v>パステルケーキ</v>
      </c>
      <c r="AB176" s="12" t="str">
        <f t="shared" si="313"/>
        <v>パステルケーキ</v>
      </c>
      <c r="AC176" s="12" t="s">
        <v>132</v>
      </c>
      <c r="AD176" s="75" t="str">
        <f t="shared" si="313"/>
        <v>サンリオスイーツ</v>
      </c>
      <c r="AE176" s="12" t="str">
        <f t="shared" si="313"/>
        <v>サンリオスイーツ</v>
      </c>
      <c r="AF176" s="12" t="str">
        <f t="shared" si="313"/>
        <v>サンリオスイーツ</v>
      </c>
      <c r="AG176" s="12" t="str">
        <f t="shared" si="313"/>
        <v/>
      </c>
      <c r="AH176" s="12" t="str">
        <f t="shared" si="313"/>
        <v/>
      </c>
      <c r="AI176" s="12" t="str">
        <f t="shared" si="313"/>
        <v/>
      </c>
      <c r="AJ176" s="12" t="str">
        <f t="shared" si="313"/>
        <v/>
      </c>
      <c r="AK176" s="12" t="str">
        <f t="shared" si="313"/>
        <v/>
      </c>
      <c r="AL176" s="12" t="str">
        <f t="shared" si="313"/>
        <v/>
      </c>
      <c r="AM176" s="12" t="str">
        <f t="shared" ref="AM176:AS176" si="314">IF(AM$3="","",AL176)</f>
        <v/>
      </c>
      <c r="AN176" s="12" t="str">
        <f t="shared" si="314"/>
        <v/>
      </c>
      <c r="AO176" s="12" t="str">
        <f t="shared" si="314"/>
        <v/>
      </c>
      <c r="AP176" s="12" t="str">
        <f t="shared" si="314"/>
        <v/>
      </c>
      <c r="AQ176" s="12" t="str">
        <f t="shared" si="314"/>
        <v/>
      </c>
      <c r="AR176" s="12" t="str">
        <f t="shared" si="314"/>
        <v/>
      </c>
      <c r="AS176" s="12" t="str">
        <f t="shared" si="314"/>
        <v/>
      </c>
    </row>
    <row r="177" spans="1:45" s="1" customFormat="1" ht="11">
      <c r="A177" s="7">
        <f>AVERAGE(C178:AS178)*30*100</f>
        <v>31600</v>
      </c>
      <c r="B177" s="9" t="s">
        <v>14</v>
      </c>
      <c r="C177" s="74"/>
      <c r="D177" s="8"/>
      <c r="E177" s="8"/>
      <c r="F177" s="59"/>
      <c r="G177" s="8"/>
      <c r="H177" s="8"/>
      <c r="I177" s="59"/>
      <c r="J177" s="8"/>
      <c r="K177" s="8"/>
      <c r="L177" s="59"/>
      <c r="M177" s="8"/>
      <c r="N177" s="8"/>
      <c r="O177" s="8"/>
      <c r="P177" s="59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74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</row>
    <row r="178" spans="1:45" s="1" customFormat="1" ht="11">
      <c r="A178" s="7">
        <f>SUM(C178:AS178)</f>
        <v>316</v>
      </c>
      <c r="B178" s="6" t="s">
        <v>15</v>
      </c>
      <c r="C178" s="74">
        <v>0</v>
      </c>
      <c r="D178" s="5">
        <f t="shared" ref="D178:AL178" si="315">IF(D$3="","",D171-C171)</f>
        <v>0</v>
      </c>
      <c r="E178" s="5">
        <f t="shared" si="315"/>
        <v>27</v>
      </c>
      <c r="F178" s="59">
        <f t="shared" si="315"/>
        <v>0</v>
      </c>
      <c r="G178" s="5">
        <f t="shared" si="315"/>
        <v>0</v>
      </c>
      <c r="H178" s="5">
        <f t="shared" si="315"/>
        <v>1</v>
      </c>
      <c r="I178" s="59">
        <f t="shared" si="315"/>
        <v>0</v>
      </c>
      <c r="J178" s="5">
        <f t="shared" si="315"/>
        <v>0</v>
      </c>
      <c r="K178" s="5">
        <f t="shared" si="315"/>
        <v>7</v>
      </c>
      <c r="L178" s="59">
        <f t="shared" si="315"/>
        <v>0</v>
      </c>
      <c r="M178" s="5">
        <f t="shared" si="315"/>
        <v>0</v>
      </c>
      <c r="N178" s="5">
        <f t="shared" si="315"/>
        <v>0</v>
      </c>
      <c r="O178" s="5">
        <f t="shared" si="315"/>
        <v>37</v>
      </c>
      <c r="P178" s="59">
        <f t="shared" si="315"/>
        <v>0</v>
      </c>
      <c r="Q178" s="5">
        <f t="shared" si="315"/>
        <v>0</v>
      </c>
      <c r="R178" s="5">
        <f t="shared" si="315"/>
        <v>62</v>
      </c>
      <c r="S178" s="5">
        <f t="shared" si="315"/>
        <v>0</v>
      </c>
      <c r="T178" s="5">
        <f t="shared" si="315"/>
        <v>0</v>
      </c>
      <c r="U178" s="5">
        <f t="shared" si="315"/>
        <v>0</v>
      </c>
      <c r="V178" s="5">
        <f t="shared" si="315"/>
        <v>28</v>
      </c>
      <c r="W178" s="5">
        <f t="shared" si="315"/>
        <v>0</v>
      </c>
      <c r="X178" s="5">
        <f t="shared" si="315"/>
        <v>0</v>
      </c>
      <c r="Y178" s="5">
        <f t="shared" si="315"/>
        <v>53</v>
      </c>
      <c r="Z178" s="5">
        <f t="shared" si="315"/>
        <v>0</v>
      </c>
      <c r="AA178" s="5">
        <f t="shared" si="315"/>
        <v>0</v>
      </c>
      <c r="AB178" s="5">
        <f t="shared" si="315"/>
        <v>0</v>
      </c>
      <c r="AC178" s="5">
        <f t="shared" si="315"/>
        <v>64</v>
      </c>
      <c r="AD178" s="74">
        <f t="shared" si="315"/>
        <v>0</v>
      </c>
      <c r="AE178" s="5">
        <f t="shared" si="315"/>
        <v>0</v>
      </c>
      <c r="AF178" s="5">
        <f t="shared" si="315"/>
        <v>37</v>
      </c>
      <c r="AG178" s="5" t="str">
        <f t="shared" si="315"/>
        <v/>
      </c>
      <c r="AH178" s="5" t="str">
        <f t="shared" si="315"/>
        <v/>
      </c>
      <c r="AI178" s="5" t="str">
        <f t="shared" si="315"/>
        <v/>
      </c>
      <c r="AJ178" s="5" t="str">
        <f t="shared" si="315"/>
        <v/>
      </c>
      <c r="AK178" s="5" t="str">
        <f t="shared" si="315"/>
        <v/>
      </c>
      <c r="AL178" s="5" t="str">
        <f t="shared" si="315"/>
        <v/>
      </c>
      <c r="AM178" s="5" t="str">
        <f t="shared" ref="AM178:AS178" si="316">IF(AM$3="","",AM171-AL171)</f>
        <v/>
      </c>
      <c r="AN178" s="5" t="str">
        <f t="shared" si="316"/>
        <v/>
      </c>
      <c r="AO178" s="5" t="str">
        <f t="shared" si="316"/>
        <v/>
      </c>
      <c r="AP178" s="5" t="str">
        <f t="shared" si="316"/>
        <v/>
      </c>
      <c r="AQ178" s="5" t="str">
        <f t="shared" si="316"/>
        <v/>
      </c>
      <c r="AR178" s="5" t="str">
        <f t="shared" si="316"/>
        <v/>
      </c>
      <c r="AS178" s="5" t="str">
        <f t="shared" si="316"/>
        <v/>
      </c>
    </row>
    <row r="179" spans="1:45" s="1" customFormat="1" ht="11">
      <c r="A179" s="7">
        <f>SUM(C179:AS179)</f>
        <v>2</v>
      </c>
      <c r="B179" s="6" t="s">
        <v>16</v>
      </c>
      <c r="C179" s="74">
        <v>0</v>
      </c>
      <c r="D179" s="5">
        <f t="shared" ref="D179:AL179" si="317">IF(D$3="","",D172-C172)</f>
        <v>0</v>
      </c>
      <c r="E179" s="5">
        <f t="shared" si="317"/>
        <v>1</v>
      </c>
      <c r="F179" s="59">
        <f t="shared" si="317"/>
        <v>0</v>
      </c>
      <c r="G179" s="5">
        <f t="shared" si="317"/>
        <v>0</v>
      </c>
      <c r="H179" s="5">
        <f t="shared" si="317"/>
        <v>0</v>
      </c>
      <c r="I179" s="59">
        <f t="shared" si="317"/>
        <v>0</v>
      </c>
      <c r="J179" s="5">
        <f t="shared" si="317"/>
        <v>0</v>
      </c>
      <c r="K179" s="5">
        <f t="shared" si="317"/>
        <v>0</v>
      </c>
      <c r="L179" s="59">
        <f t="shared" si="317"/>
        <v>0</v>
      </c>
      <c r="M179" s="5">
        <f t="shared" si="317"/>
        <v>0</v>
      </c>
      <c r="N179" s="5">
        <f t="shared" si="317"/>
        <v>0</v>
      </c>
      <c r="O179" s="5">
        <f t="shared" si="317"/>
        <v>0</v>
      </c>
      <c r="P179" s="59">
        <f t="shared" si="317"/>
        <v>0</v>
      </c>
      <c r="Q179" s="5">
        <f t="shared" si="317"/>
        <v>0</v>
      </c>
      <c r="R179" s="5">
        <f t="shared" si="317"/>
        <v>0</v>
      </c>
      <c r="S179" s="5">
        <f t="shared" si="317"/>
        <v>0</v>
      </c>
      <c r="T179" s="5">
        <f t="shared" si="317"/>
        <v>0</v>
      </c>
      <c r="U179" s="5">
        <f t="shared" si="317"/>
        <v>0</v>
      </c>
      <c r="V179" s="5">
        <f t="shared" si="317"/>
        <v>0</v>
      </c>
      <c r="W179" s="5">
        <f t="shared" si="317"/>
        <v>0</v>
      </c>
      <c r="X179" s="5">
        <f t="shared" si="317"/>
        <v>0</v>
      </c>
      <c r="Y179" s="5">
        <f t="shared" si="317"/>
        <v>1</v>
      </c>
      <c r="Z179" s="5">
        <f t="shared" si="317"/>
        <v>0</v>
      </c>
      <c r="AA179" s="5">
        <f t="shared" si="317"/>
        <v>0</v>
      </c>
      <c r="AB179" s="5">
        <f t="shared" si="317"/>
        <v>0</v>
      </c>
      <c r="AC179" s="5">
        <f t="shared" si="317"/>
        <v>0</v>
      </c>
      <c r="AD179" s="74">
        <f t="shared" si="317"/>
        <v>0</v>
      </c>
      <c r="AE179" s="5">
        <f t="shared" si="317"/>
        <v>0</v>
      </c>
      <c r="AF179" s="5">
        <f t="shared" si="317"/>
        <v>0</v>
      </c>
      <c r="AG179" s="5" t="str">
        <f t="shared" si="317"/>
        <v/>
      </c>
      <c r="AH179" s="5" t="str">
        <f t="shared" si="317"/>
        <v/>
      </c>
      <c r="AI179" s="5" t="str">
        <f t="shared" si="317"/>
        <v/>
      </c>
      <c r="AJ179" s="5" t="str">
        <f t="shared" si="317"/>
        <v/>
      </c>
      <c r="AK179" s="5" t="str">
        <f t="shared" si="317"/>
        <v/>
      </c>
      <c r="AL179" s="5" t="str">
        <f t="shared" si="317"/>
        <v/>
      </c>
      <c r="AM179" s="5" t="str">
        <f t="shared" ref="AM179:AS179" si="318">IF(AM$3="","",AM172-AL172)</f>
        <v/>
      </c>
      <c r="AN179" s="5" t="str">
        <f t="shared" si="318"/>
        <v/>
      </c>
      <c r="AO179" s="5" t="str">
        <f t="shared" si="318"/>
        <v/>
      </c>
      <c r="AP179" s="5" t="str">
        <f t="shared" si="318"/>
        <v/>
      </c>
      <c r="AQ179" s="5" t="str">
        <f t="shared" si="318"/>
        <v/>
      </c>
      <c r="AR179" s="5" t="str">
        <f t="shared" si="318"/>
        <v/>
      </c>
      <c r="AS179" s="5" t="str">
        <f t="shared" si="318"/>
        <v/>
      </c>
    </row>
    <row r="180" spans="1:45" s="1" customFormat="1" ht="11">
      <c r="A180" s="7">
        <f>SUM(C180:AS180)</f>
        <v>4</v>
      </c>
      <c r="B180" s="6" t="s">
        <v>17</v>
      </c>
      <c r="C180" s="74">
        <v>0</v>
      </c>
      <c r="D180" s="5">
        <f t="shared" ref="D180:AL180" si="319">IF(D$3="","",C173+C174-D173)</f>
        <v>0</v>
      </c>
      <c r="E180" s="5">
        <f t="shared" si="319"/>
        <v>1</v>
      </c>
      <c r="F180" s="59">
        <f t="shared" si="319"/>
        <v>0</v>
      </c>
      <c r="G180" s="5">
        <f t="shared" si="319"/>
        <v>0</v>
      </c>
      <c r="H180" s="5">
        <f t="shared" si="319"/>
        <v>0</v>
      </c>
      <c r="I180" s="59">
        <f t="shared" si="319"/>
        <v>0</v>
      </c>
      <c r="J180" s="5">
        <f t="shared" si="319"/>
        <v>0</v>
      </c>
      <c r="K180" s="5">
        <f t="shared" si="319"/>
        <v>0</v>
      </c>
      <c r="L180" s="59">
        <f t="shared" si="319"/>
        <v>0</v>
      </c>
      <c r="M180" s="5">
        <f t="shared" si="319"/>
        <v>0</v>
      </c>
      <c r="N180" s="5">
        <f t="shared" si="319"/>
        <v>0</v>
      </c>
      <c r="O180" s="5">
        <f t="shared" si="319"/>
        <v>0</v>
      </c>
      <c r="P180" s="59">
        <f t="shared" si="319"/>
        <v>0</v>
      </c>
      <c r="Q180" s="5">
        <f t="shared" si="319"/>
        <v>0</v>
      </c>
      <c r="R180" s="5">
        <f t="shared" si="319"/>
        <v>0</v>
      </c>
      <c r="S180" s="5">
        <f t="shared" si="319"/>
        <v>0</v>
      </c>
      <c r="T180" s="5">
        <f t="shared" si="319"/>
        <v>0</v>
      </c>
      <c r="U180" s="5">
        <f t="shared" si="319"/>
        <v>0</v>
      </c>
      <c r="V180" s="5">
        <f t="shared" si="319"/>
        <v>0</v>
      </c>
      <c r="W180" s="5">
        <f t="shared" si="319"/>
        <v>0</v>
      </c>
      <c r="X180" s="5">
        <f t="shared" si="319"/>
        <v>0</v>
      </c>
      <c r="Y180" s="5">
        <f t="shared" si="319"/>
        <v>2</v>
      </c>
      <c r="Z180" s="5">
        <f t="shared" si="319"/>
        <v>0</v>
      </c>
      <c r="AA180" s="5">
        <f t="shared" si="319"/>
        <v>0</v>
      </c>
      <c r="AB180" s="5">
        <f t="shared" si="319"/>
        <v>0</v>
      </c>
      <c r="AC180" s="5">
        <f t="shared" si="319"/>
        <v>1</v>
      </c>
      <c r="AD180" s="74">
        <f t="shared" si="319"/>
        <v>0</v>
      </c>
      <c r="AE180" s="5">
        <f t="shared" si="319"/>
        <v>0</v>
      </c>
      <c r="AF180" s="5">
        <f t="shared" si="319"/>
        <v>0</v>
      </c>
      <c r="AG180" s="5" t="str">
        <f t="shared" si="319"/>
        <v/>
      </c>
      <c r="AH180" s="5" t="str">
        <f t="shared" si="319"/>
        <v/>
      </c>
      <c r="AI180" s="5" t="str">
        <f t="shared" si="319"/>
        <v/>
      </c>
      <c r="AJ180" s="5" t="str">
        <f t="shared" si="319"/>
        <v/>
      </c>
      <c r="AK180" s="5" t="str">
        <f t="shared" si="319"/>
        <v/>
      </c>
      <c r="AL180" s="5" t="str">
        <f t="shared" si="319"/>
        <v/>
      </c>
      <c r="AM180" s="5" t="str">
        <f t="shared" ref="AM180:AS180" si="320">IF(AM$3="","",AL173+AL174-AM173)</f>
        <v/>
      </c>
      <c r="AN180" s="5" t="str">
        <f t="shared" si="320"/>
        <v/>
      </c>
      <c r="AO180" s="5" t="str">
        <f t="shared" si="320"/>
        <v/>
      </c>
      <c r="AP180" s="5" t="str">
        <f t="shared" si="320"/>
        <v/>
      </c>
      <c r="AQ180" s="5" t="str">
        <f t="shared" si="320"/>
        <v/>
      </c>
      <c r="AR180" s="5" t="str">
        <f t="shared" si="320"/>
        <v/>
      </c>
      <c r="AS180" s="5" t="str">
        <f t="shared" si="320"/>
        <v/>
      </c>
    </row>
    <row r="181" spans="1:45" s="1" customFormat="1" ht="11">
      <c r="A181" s="7">
        <f>SUM(C181:AS181)</f>
        <v>1600</v>
      </c>
      <c r="B181" s="6" t="s">
        <v>18</v>
      </c>
      <c r="C181" s="74">
        <v>0</v>
      </c>
      <c r="D181" s="5">
        <f t="shared" ref="D181:AL181" si="321">IF(D$3="","",D180*D175)</f>
        <v>0</v>
      </c>
      <c r="E181" s="5">
        <f t="shared" si="321"/>
        <v>400</v>
      </c>
      <c r="F181" s="59">
        <f t="shared" si="321"/>
        <v>0</v>
      </c>
      <c r="G181" s="5">
        <f t="shared" si="321"/>
        <v>0</v>
      </c>
      <c r="H181" s="5">
        <f t="shared" si="321"/>
        <v>0</v>
      </c>
      <c r="I181" s="59">
        <f t="shared" si="321"/>
        <v>0</v>
      </c>
      <c r="J181" s="5">
        <f t="shared" si="321"/>
        <v>0</v>
      </c>
      <c r="K181" s="5">
        <f t="shared" si="321"/>
        <v>0</v>
      </c>
      <c r="L181" s="59">
        <f t="shared" si="321"/>
        <v>0</v>
      </c>
      <c r="M181" s="5">
        <f t="shared" si="321"/>
        <v>0</v>
      </c>
      <c r="N181" s="5">
        <f t="shared" si="321"/>
        <v>0</v>
      </c>
      <c r="O181" s="5">
        <f t="shared" si="321"/>
        <v>0</v>
      </c>
      <c r="P181" s="59">
        <f t="shared" si="321"/>
        <v>0</v>
      </c>
      <c r="Q181" s="5">
        <f t="shared" si="321"/>
        <v>0</v>
      </c>
      <c r="R181" s="5">
        <f t="shared" si="321"/>
        <v>0</v>
      </c>
      <c r="S181" s="5">
        <f t="shared" si="321"/>
        <v>0</v>
      </c>
      <c r="T181" s="5">
        <f t="shared" si="321"/>
        <v>0</v>
      </c>
      <c r="U181" s="5">
        <f t="shared" si="321"/>
        <v>0</v>
      </c>
      <c r="V181" s="5">
        <f t="shared" si="321"/>
        <v>0</v>
      </c>
      <c r="W181" s="5">
        <f t="shared" si="321"/>
        <v>0</v>
      </c>
      <c r="X181" s="5">
        <f t="shared" si="321"/>
        <v>0</v>
      </c>
      <c r="Y181" s="5">
        <f t="shared" si="321"/>
        <v>800</v>
      </c>
      <c r="Z181" s="5">
        <f t="shared" si="321"/>
        <v>0</v>
      </c>
      <c r="AA181" s="5">
        <f t="shared" si="321"/>
        <v>0</v>
      </c>
      <c r="AB181" s="5">
        <f t="shared" si="321"/>
        <v>0</v>
      </c>
      <c r="AC181" s="5">
        <f t="shared" si="321"/>
        <v>400</v>
      </c>
      <c r="AD181" s="74">
        <f t="shared" si="321"/>
        <v>0</v>
      </c>
      <c r="AE181" s="5">
        <f t="shared" si="321"/>
        <v>0</v>
      </c>
      <c r="AF181" s="5">
        <f t="shared" si="321"/>
        <v>0</v>
      </c>
      <c r="AG181" s="5" t="str">
        <f t="shared" si="321"/>
        <v/>
      </c>
      <c r="AH181" s="5" t="str">
        <f t="shared" si="321"/>
        <v/>
      </c>
      <c r="AI181" s="5" t="str">
        <f t="shared" si="321"/>
        <v/>
      </c>
      <c r="AJ181" s="5" t="str">
        <f t="shared" si="321"/>
        <v/>
      </c>
      <c r="AK181" s="5" t="str">
        <f t="shared" si="321"/>
        <v/>
      </c>
      <c r="AL181" s="5" t="str">
        <f t="shared" si="321"/>
        <v/>
      </c>
      <c r="AM181" s="5" t="str">
        <f t="shared" ref="AM181:AS181" si="322">IF(AM$3="","",AM180*AM175)</f>
        <v/>
      </c>
      <c r="AN181" s="5" t="str">
        <f t="shared" si="322"/>
        <v/>
      </c>
      <c r="AO181" s="5" t="str">
        <f t="shared" si="322"/>
        <v/>
      </c>
      <c r="AP181" s="5" t="str">
        <f t="shared" si="322"/>
        <v/>
      </c>
      <c r="AQ181" s="5" t="str">
        <f t="shared" si="322"/>
        <v/>
      </c>
      <c r="AR181" s="5" t="str">
        <f t="shared" si="322"/>
        <v/>
      </c>
      <c r="AS181" s="5" t="str">
        <f t="shared" si="322"/>
        <v/>
      </c>
    </row>
    <row r="182" spans="1:45" s="1" customFormat="1" ht="12" thickBot="1">
      <c r="A182" s="4">
        <f>IF(A181="","",A181/(A178*100))</f>
        <v>5.0632911392405063E-2</v>
      </c>
      <c r="B182" s="6" t="s">
        <v>20</v>
      </c>
      <c r="C182" s="76" t="s">
        <v>21</v>
      </c>
      <c r="D182" s="18" t="str">
        <f t="shared" ref="D182:AL182" si="323">IF(D$3="","",IF(D181=0,"",D181/(D178*100)))</f>
        <v/>
      </c>
      <c r="E182" s="18">
        <f t="shared" si="323"/>
        <v>0.14814814814814814</v>
      </c>
      <c r="F182" s="62" t="str">
        <f t="shared" si="323"/>
        <v/>
      </c>
      <c r="G182" s="18" t="str">
        <f t="shared" si="323"/>
        <v/>
      </c>
      <c r="H182" s="18" t="str">
        <f t="shared" si="323"/>
        <v/>
      </c>
      <c r="I182" s="62" t="str">
        <f t="shared" si="323"/>
        <v/>
      </c>
      <c r="J182" s="18" t="str">
        <f t="shared" si="323"/>
        <v/>
      </c>
      <c r="K182" s="18" t="str">
        <f t="shared" si="323"/>
        <v/>
      </c>
      <c r="L182" s="62" t="str">
        <f t="shared" si="323"/>
        <v/>
      </c>
      <c r="M182" s="18" t="str">
        <f t="shared" si="323"/>
        <v/>
      </c>
      <c r="N182" s="18" t="str">
        <f t="shared" si="323"/>
        <v/>
      </c>
      <c r="O182" s="18" t="str">
        <f t="shared" si="323"/>
        <v/>
      </c>
      <c r="P182" s="62" t="str">
        <f t="shared" si="323"/>
        <v/>
      </c>
      <c r="Q182" s="18" t="str">
        <f t="shared" si="323"/>
        <v/>
      </c>
      <c r="R182" s="18" t="str">
        <f t="shared" si="323"/>
        <v/>
      </c>
      <c r="S182" s="18" t="str">
        <f t="shared" si="323"/>
        <v/>
      </c>
      <c r="T182" s="18" t="str">
        <f t="shared" si="323"/>
        <v/>
      </c>
      <c r="U182" s="18" t="str">
        <f t="shared" si="323"/>
        <v/>
      </c>
      <c r="V182" s="18" t="str">
        <f t="shared" si="323"/>
        <v/>
      </c>
      <c r="W182" s="18" t="str">
        <f t="shared" si="323"/>
        <v/>
      </c>
      <c r="X182" s="18" t="str">
        <f t="shared" si="323"/>
        <v/>
      </c>
      <c r="Y182" s="18">
        <f t="shared" si="323"/>
        <v>0.15094339622641509</v>
      </c>
      <c r="Z182" s="18" t="str">
        <f t="shared" si="323"/>
        <v/>
      </c>
      <c r="AA182" s="18" t="str">
        <f t="shared" si="323"/>
        <v/>
      </c>
      <c r="AB182" s="18" t="str">
        <f t="shared" si="323"/>
        <v/>
      </c>
      <c r="AC182" s="18">
        <f t="shared" si="323"/>
        <v>6.25E-2</v>
      </c>
      <c r="AD182" s="76" t="str">
        <f t="shared" si="323"/>
        <v/>
      </c>
      <c r="AE182" s="18" t="str">
        <f t="shared" si="323"/>
        <v/>
      </c>
      <c r="AF182" s="18" t="str">
        <f t="shared" si="323"/>
        <v/>
      </c>
      <c r="AG182" s="18" t="str">
        <f t="shared" si="323"/>
        <v/>
      </c>
      <c r="AH182" s="18" t="str">
        <f t="shared" si="323"/>
        <v/>
      </c>
      <c r="AI182" s="18" t="str">
        <f t="shared" si="323"/>
        <v/>
      </c>
      <c r="AJ182" s="18" t="str">
        <f t="shared" si="323"/>
        <v/>
      </c>
      <c r="AK182" s="18" t="str">
        <f t="shared" si="323"/>
        <v/>
      </c>
      <c r="AL182" s="18" t="str">
        <f t="shared" si="323"/>
        <v/>
      </c>
      <c r="AM182" s="18" t="str">
        <f t="shared" ref="AM182:AS182" si="324">IF(AM$3="","",IF(AM181=0,"",AM181/(AM178*100)))</f>
        <v/>
      </c>
      <c r="AN182" s="18" t="str">
        <f t="shared" si="324"/>
        <v/>
      </c>
      <c r="AO182" s="18" t="str">
        <f t="shared" si="324"/>
        <v/>
      </c>
      <c r="AP182" s="18" t="str">
        <f t="shared" si="324"/>
        <v/>
      </c>
      <c r="AQ182" s="18" t="str">
        <f t="shared" si="324"/>
        <v/>
      </c>
      <c r="AR182" s="18" t="str">
        <f t="shared" si="324"/>
        <v/>
      </c>
      <c r="AS182" s="18" t="str">
        <f t="shared" si="324"/>
        <v/>
      </c>
    </row>
    <row r="183" spans="1:45" s="1" customFormat="1" ht="11">
      <c r="A183" s="17" t="s">
        <v>61</v>
      </c>
      <c r="B183" s="9" t="s">
        <v>2</v>
      </c>
      <c r="C183" s="74">
        <v>3775</v>
      </c>
      <c r="D183" s="8">
        <f>IF(D$3="","",C183)</f>
        <v>3775</v>
      </c>
      <c r="E183" s="8">
        <v>3903</v>
      </c>
      <c r="F183" s="59">
        <f>IF(F$3="","",E183)</f>
        <v>3903</v>
      </c>
      <c r="G183" s="8">
        <f>IF(G$3="","",F183)</f>
        <v>3903</v>
      </c>
      <c r="H183" s="8">
        <v>3943</v>
      </c>
      <c r="I183" s="59">
        <f>IF(I$3="","",H183)</f>
        <v>3943</v>
      </c>
      <c r="J183" s="8">
        <f>IF(J$3="","",I183)</f>
        <v>3943</v>
      </c>
      <c r="K183" s="8">
        <v>4008</v>
      </c>
      <c r="L183" s="59">
        <f t="shared" ref="L183:N184" si="325">IF(L$3="","",K183)</f>
        <v>4008</v>
      </c>
      <c r="M183" s="8">
        <f t="shared" si="325"/>
        <v>4008</v>
      </c>
      <c r="N183" s="8">
        <f t="shared" si="325"/>
        <v>4008</v>
      </c>
      <c r="O183" s="8">
        <v>4213</v>
      </c>
      <c r="P183" s="59">
        <f>IF(P$3="","",O183)</f>
        <v>4213</v>
      </c>
      <c r="Q183" s="8">
        <f>IF(Q$3="","",P183)</f>
        <v>4213</v>
      </c>
      <c r="R183" s="8">
        <v>4249</v>
      </c>
      <c r="S183" s="8">
        <f t="shared" ref="S183:AL183" si="326">IF(S$3="","",R183)</f>
        <v>4249</v>
      </c>
      <c r="T183" s="8">
        <f t="shared" si="326"/>
        <v>4249</v>
      </c>
      <c r="U183" s="8">
        <f t="shared" si="326"/>
        <v>4249</v>
      </c>
      <c r="V183" s="8">
        <v>4272</v>
      </c>
      <c r="W183" s="8">
        <f t="shared" si="326"/>
        <v>4272</v>
      </c>
      <c r="X183" s="8">
        <f t="shared" si="326"/>
        <v>4272</v>
      </c>
      <c r="Y183" s="8">
        <v>4366</v>
      </c>
      <c r="Z183" s="8">
        <f t="shared" si="326"/>
        <v>4366</v>
      </c>
      <c r="AA183" s="8">
        <f t="shared" si="326"/>
        <v>4366</v>
      </c>
      <c r="AB183" s="8">
        <f t="shared" si="326"/>
        <v>4366</v>
      </c>
      <c r="AC183" s="8">
        <v>4436</v>
      </c>
      <c r="AD183" s="74">
        <f t="shared" si="326"/>
        <v>4436</v>
      </c>
      <c r="AE183" s="8">
        <f t="shared" si="326"/>
        <v>4436</v>
      </c>
      <c r="AF183" s="8">
        <v>4470</v>
      </c>
      <c r="AG183" s="8" t="str">
        <f t="shared" si="326"/>
        <v/>
      </c>
      <c r="AH183" s="8" t="str">
        <f t="shared" si="326"/>
        <v/>
      </c>
      <c r="AI183" s="8" t="str">
        <f t="shared" si="326"/>
        <v/>
      </c>
      <c r="AJ183" s="8" t="str">
        <f t="shared" si="326"/>
        <v/>
      </c>
      <c r="AK183" s="8" t="str">
        <f t="shared" si="326"/>
        <v/>
      </c>
      <c r="AL183" s="8" t="str">
        <f t="shared" si="326"/>
        <v/>
      </c>
      <c r="AM183" s="8" t="str">
        <f t="shared" ref="AM183:AS183" si="327">IF(AM$3="","",AL183)</f>
        <v/>
      </c>
      <c r="AN183" s="8" t="str">
        <f t="shared" si="327"/>
        <v/>
      </c>
      <c r="AO183" s="8" t="str">
        <f t="shared" si="327"/>
        <v/>
      </c>
      <c r="AP183" s="8" t="str">
        <f t="shared" si="327"/>
        <v/>
      </c>
      <c r="AQ183" s="8" t="str">
        <f t="shared" si="327"/>
        <v/>
      </c>
      <c r="AR183" s="8" t="str">
        <f t="shared" si="327"/>
        <v/>
      </c>
      <c r="AS183" s="8" t="str">
        <f t="shared" si="327"/>
        <v/>
      </c>
    </row>
    <row r="184" spans="1:45" s="1" customFormat="1" ht="11">
      <c r="A184" s="16" t="s">
        <v>44</v>
      </c>
      <c r="B184" s="9" t="s">
        <v>4</v>
      </c>
      <c r="C184" s="74">
        <v>61</v>
      </c>
      <c r="D184" s="8">
        <f>IF(D$3="","",C184)</f>
        <v>61</v>
      </c>
      <c r="E184" s="8">
        <v>62</v>
      </c>
      <c r="F184" s="59">
        <f>IF(F$3="","",E184)</f>
        <v>62</v>
      </c>
      <c r="G184" s="8">
        <f>IF(G$3="","",F184)</f>
        <v>62</v>
      </c>
      <c r="H184" s="8">
        <v>63</v>
      </c>
      <c r="I184" s="59">
        <f>IF(I$3="","",H184)</f>
        <v>63</v>
      </c>
      <c r="J184" s="8">
        <f>IF(J$3="","",I184)</f>
        <v>63</v>
      </c>
      <c r="K184" s="8">
        <v>64</v>
      </c>
      <c r="L184" s="59">
        <f t="shared" si="325"/>
        <v>64</v>
      </c>
      <c r="M184" s="8">
        <f t="shared" si="325"/>
        <v>64</v>
      </c>
      <c r="N184" s="8">
        <f t="shared" si="325"/>
        <v>64</v>
      </c>
      <c r="O184" s="8">
        <v>66</v>
      </c>
      <c r="P184" s="59">
        <f>IF(P$3="","",O184)</f>
        <v>66</v>
      </c>
      <c r="Q184" s="8">
        <f>IF(Q$3="","",P184)</f>
        <v>66</v>
      </c>
      <c r="R184" s="8">
        <v>67</v>
      </c>
      <c r="S184" s="8">
        <f t="shared" ref="S184:AL184" si="328">IF(S$3="","",R184)</f>
        <v>67</v>
      </c>
      <c r="T184" s="8">
        <f t="shared" si="328"/>
        <v>67</v>
      </c>
      <c r="U184" s="8">
        <f t="shared" si="328"/>
        <v>67</v>
      </c>
      <c r="V184" s="8">
        <f t="shared" si="328"/>
        <v>67</v>
      </c>
      <c r="W184" s="8">
        <f t="shared" si="328"/>
        <v>67</v>
      </c>
      <c r="X184" s="8">
        <f t="shared" si="328"/>
        <v>67</v>
      </c>
      <c r="Y184" s="8">
        <v>69</v>
      </c>
      <c r="Z184" s="8">
        <f t="shared" si="328"/>
        <v>69</v>
      </c>
      <c r="AA184" s="8">
        <f t="shared" si="328"/>
        <v>69</v>
      </c>
      <c r="AB184" s="8">
        <f t="shared" si="328"/>
        <v>69</v>
      </c>
      <c r="AC184" s="8">
        <f t="shared" si="328"/>
        <v>69</v>
      </c>
      <c r="AD184" s="74">
        <f t="shared" si="328"/>
        <v>69</v>
      </c>
      <c r="AE184" s="8">
        <f t="shared" si="328"/>
        <v>69</v>
      </c>
      <c r="AF184" s="8">
        <v>72</v>
      </c>
      <c r="AG184" s="8" t="str">
        <f t="shared" si="328"/>
        <v/>
      </c>
      <c r="AH184" s="8" t="str">
        <f t="shared" si="328"/>
        <v/>
      </c>
      <c r="AI184" s="8" t="str">
        <f t="shared" si="328"/>
        <v/>
      </c>
      <c r="AJ184" s="8" t="str">
        <f t="shared" si="328"/>
        <v/>
      </c>
      <c r="AK184" s="8" t="str">
        <f t="shared" si="328"/>
        <v/>
      </c>
      <c r="AL184" s="8" t="str">
        <f t="shared" si="328"/>
        <v/>
      </c>
      <c r="AM184" s="8" t="str">
        <f t="shared" ref="AM184:AS184" si="329">IF(AM$3="","",AL184)</f>
        <v/>
      </c>
      <c r="AN184" s="8" t="str">
        <f t="shared" si="329"/>
        <v/>
      </c>
      <c r="AO184" s="8" t="str">
        <f t="shared" si="329"/>
        <v/>
      </c>
      <c r="AP184" s="8" t="str">
        <f t="shared" si="329"/>
        <v/>
      </c>
      <c r="AQ184" s="8" t="str">
        <f t="shared" si="329"/>
        <v/>
      </c>
      <c r="AR184" s="8" t="str">
        <f t="shared" si="329"/>
        <v/>
      </c>
      <c r="AS184" s="8" t="str">
        <f t="shared" si="329"/>
        <v/>
      </c>
    </row>
    <row r="185" spans="1:45" s="1" customFormat="1" ht="11">
      <c r="A185" s="15">
        <v>4</v>
      </c>
      <c r="B185" s="9" t="s">
        <v>5</v>
      </c>
      <c r="C185" s="74">
        <v>5</v>
      </c>
      <c r="D185" s="8">
        <f>IF(D$3="","",(C185+C186))</f>
        <v>5</v>
      </c>
      <c r="E185" s="8">
        <v>4</v>
      </c>
      <c r="F185" s="59">
        <f>IF(F$3="","",(E185+E186))</f>
        <v>6</v>
      </c>
      <c r="G185" s="8">
        <f>IF(G$3="","",(F185+F186))</f>
        <v>6</v>
      </c>
      <c r="H185" s="8">
        <v>5</v>
      </c>
      <c r="I185" s="59">
        <f>IF(I$3="","",(H185+H186))</f>
        <v>5</v>
      </c>
      <c r="J185" s="8">
        <f>IF(J$3="","",(I185+I186))</f>
        <v>5</v>
      </c>
      <c r="K185" s="8">
        <v>4</v>
      </c>
      <c r="L185" s="59">
        <f>IF(L$3="","",(K185+K186))</f>
        <v>4</v>
      </c>
      <c r="M185" s="8">
        <f>IF(M$3="","",(L185+L186))</f>
        <v>4</v>
      </c>
      <c r="N185" s="8">
        <f>IF(N$3="","",(M185+M186))</f>
        <v>4</v>
      </c>
      <c r="O185" s="8">
        <v>3</v>
      </c>
      <c r="P185" s="59">
        <f>IF(P$3="","",(O185+O186))</f>
        <v>6</v>
      </c>
      <c r="Q185" s="8">
        <f>IF(Q$3="","",(P185+P186))</f>
        <v>6</v>
      </c>
      <c r="R185" s="8">
        <v>5</v>
      </c>
      <c r="S185" s="8">
        <f t="shared" ref="S185:AL185" si="330">IF(S$3="","",(R185+R186))</f>
        <v>5</v>
      </c>
      <c r="T185" s="8">
        <f t="shared" si="330"/>
        <v>5</v>
      </c>
      <c r="U185" s="8">
        <f t="shared" si="330"/>
        <v>5</v>
      </c>
      <c r="V185" s="8">
        <f t="shared" si="330"/>
        <v>5</v>
      </c>
      <c r="W185" s="8">
        <f t="shared" si="330"/>
        <v>5</v>
      </c>
      <c r="X185" s="8">
        <f t="shared" si="330"/>
        <v>5</v>
      </c>
      <c r="Y185" s="8">
        <v>3</v>
      </c>
      <c r="Z185" s="8">
        <f t="shared" si="330"/>
        <v>3</v>
      </c>
      <c r="AA185" s="8">
        <f t="shared" si="330"/>
        <v>3</v>
      </c>
      <c r="AB185" s="8">
        <f t="shared" si="330"/>
        <v>3</v>
      </c>
      <c r="AC185" s="8">
        <f t="shared" si="330"/>
        <v>3</v>
      </c>
      <c r="AD185" s="74">
        <f t="shared" si="330"/>
        <v>3</v>
      </c>
      <c r="AE185" s="8">
        <f t="shared" si="330"/>
        <v>3</v>
      </c>
      <c r="AF185" s="8">
        <v>1</v>
      </c>
      <c r="AG185" s="8" t="str">
        <f t="shared" si="330"/>
        <v/>
      </c>
      <c r="AH185" s="8" t="str">
        <f t="shared" si="330"/>
        <v/>
      </c>
      <c r="AI185" s="8" t="str">
        <f t="shared" si="330"/>
        <v/>
      </c>
      <c r="AJ185" s="8" t="str">
        <f t="shared" si="330"/>
        <v/>
      </c>
      <c r="AK185" s="8" t="str">
        <f t="shared" si="330"/>
        <v/>
      </c>
      <c r="AL185" s="8" t="str">
        <f t="shared" si="330"/>
        <v/>
      </c>
      <c r="AM185" s="8" t="str">
        <f t="shared" ref="AM185:AS185" si="331">IF(AM$3="","",(AL185+AL186))</f>
        <v/>
      </c>
      <c r="AN185" s="8" t="str">
        <f t="shared" si="331"/>
        <v/>
      </c>
      <c r="AO185" s="8" t="str">
        <f t="shared" si="331"/>
        <v/>
      </c>
      <c r="AP185" s="8" t="str">
        <f t="shared" si="331"/>
        <v/>
      </c>
      <c r="AQ185" s="8" t="str">
        <f t="shared" si="331"/>
        <v/>
      </c>
      <c r="AR185" s="8" t="str">
        <f t="shared" si="331"/>
        <v/>
      </c>
      <c r="AS185" s="8" t="str">
        <f t="shared" si="331"/>
        <v/>
      </c>
    </row>
    <row r="186" spans="1:45" s="1" customFormat="1" ht="11">
      <c r="A186" s="14"/>
      <c r="B186" s="9" t="s">
        <v>7</v>
      </c>
      <c r="C186" s="74"/>
      <c r="D186" s="8"/>
      <c r="E186" s="8">
        <v>2</v>
      </c>
      <c r="F186" s="59"/>
      <c r="G186" s="8"/>
      <c r="H186" s="8"/>
      <c r="I186" s="59"/>
      <c r="J186" s="8"/>
      <c r="K186" s="8"/>
      <c r="L186" s="59"/>
      <c r="M186" s="8"/>
      <c r="N186" s="8"/>
      <c r="O186" s="8">
        <v>3</v>
      </c>
      <c r="P186" s="59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74"/>
      <c r="AE186" s="8"/>
      <c r="AF186" s="8">
        <v>4</v>
      </c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</row>
    <row r="187" spans="1:45" s="1" customFormat="1" ht="11">
      <c r="A187" s="7"/>
      <c r="B187" s="9" t="s">
        <v>8</v>
      </c>
      <c r="C187" s="74">
        <v>400</v>
      </c>
      <c r="D187" s="8">
        <f t="shared" ref="D187:AL187" si="332">IF(D$3="","",C187)</f>
        <v>400</v>
      </c>
      <c r="E187" s="8">
        <f t="shared" si="332"/>
        <v>400</v>
      </c>
      <c r="F187" s="59">
        <f t="shared" si="332"/>
        <v>400</v>
      </c>
      <c r="G187" s="8">
        <f t="shared" si="332"/>
        <v>400</v>
      </c>
      <c r="H187" s="8">
        <f t="shared" si="332"/>
        <v>400</v>
      </c>
      <c r="I187" s="59">
        <f t="shared" si="332"/>
        <v>400</v>
      </c>
      <c r="J187" s="8">
        <f t="shared" si="332"/>
        <v>400</v>
      </c>
      <c r="K187" s="8">
        <f t="shared" si="332"/>
        <v>400</v>
      </c>
      <c r="L187" s="59">
        <f t="shared" si="332"/>
        <v>400</v>
      </c>
      <c r="M187" s="8">
        <f t="shared" si="332"/>
        <v>400</v>
      </c>
      <c r="N187" s="8">
        <f t="shared" si="332"/>
        <v>400</v>
      </c>
      <c r="O187" s="8">
        <f t="shared" si="332"/>
        <v>400</v>
      </c>
      <c r="P187" s="59">
        <f t="shared" si="332"/>
        <v>400</v>
      </c>
      <c r="Q187" s="8">
        <f t="shared" si="332"/>
        <v>400</v>
      </c>
      <c r="R187" s="8">
        <f t="shared" si="332"/>
        <v>400</v>
      </c>
      <c r="S187" s="8">
        <f t="shared" si="332"/>
        <v>400</v>
      </c>
      <c r="T187" s="8">
        <f t="shared" si="332"/>
        <v>400</v>
      </c>
      <c r="U187" s="8">
        <f t="shared" si="332"/>
        <v>400</v>
      </c>
      <c r="V187" s="8">
        <f t="shared" si="332"/>
        <v>400</v>
      </c>
      <c r="W187" s="8">
        <f t="shared" si="332"/>
        <v>400</v>
      </c>
      <c r="X187" s="8">
        <f t="shared" si="332"/>
        <v>400</v>
      </c>
      <c r="Y187" s="8">
        <f t="shared" si="332"/>
        <v>400</v>
      </c>
      <c r="Z187" s="8">
        <f t="shared" si="332"/>
        <v>400</v>
      </c>
      <c r="AA187" s="8">
        <f t="shared" si="332"/>
        <v>400</v>
      </c>
      <c r="AB187" s="8">
        <f t="shared" si="332"/>
        <v>400</v>
      </c>
      <c r="AC187" s="8">
        <f t="shared" si="332"/>
        <v>400</v>
      </c>
      <c r="AD187" s="74">
        <f t="shared" si="332"/>
        <v>400</v>
      </c>
      <c r="AE187" s="8">
        <f t="shared" si="332"/>
        <v>400</v>
      </c>
      <c r="AF187" s="8">
        <f t="shared" si="332"/>
        <v>400</v>
      </c>
      <c r="AG187" s="8" t="str">
        <f t="shared" si="332"/>
        <v/>
      </c>
      <c r="AH187" s="8" t="str">
        <f t="shared" si="332"/>
        <v/>
      </c>
      <c r="AI187" s="8" t="str">
        <f t="shared" si="332"/>
        <v/>
      </c>
      <c r="AJ187" s="8" t="str">
        <f t="shared" si="332"/>
        <v/>
      </c>
      <c r="AK187" s="8" t="str">
        <f t="shared" si="332"/>
        <v/>
      </c>
      <c r="AL187" s="8" t="str">
        <f t="shared" si="332"/>
        <v/>
      </c>
      <c r="AM187" s="8" t="str">
        <f t="shared" ref="AM187:AS187" si="333">IF(AM$3="","",AL187)</f>
        <v/>
      </c>
      <c r="AN187" s="8" t="str">
        <f t="shared" si="333"/>
        <v/>
      </c>
      <c r="AO187" s="8" t="str">
        <f t="shared" si="333"/>
        <v/>
      </c>
      <c r="AP187" s="8" t="str">
        <f t="shared" si="333"/>
        <v/>
      </c>
      <c r="AQ187" s="8" t="str">
        <f t="shared" si="333"/>
        <v/>
      </c>
      <c r="AR187" s="8" t="str">
        <f t="shared" si="333"/>
        <v/>
      </c>
      <c r="AS187" s="8" t="str">
        <f t="shared" si="333"/>
        <v/>
      </c>
    </row>
    <row r="188" spans="1:45" s="94" customFormat="1" ht="11">
      <c r="A188" s="14" t="s">
        <v>9</v>
      </c>
      <c r="B188" s="13" t="s">
        <v>10</v>
      </c>
      <c r="C188" s="75" t="s">
        <v>71</v>
      </c>
      <c r="D188" s="12" t="str">
        <f t="shared" ref="D188:AL188" si="334">IF(D$3="","",C188)</f>
        <v>ギャルキティフェイスポーチ</v>
      </c>
      <c r="E188" s="12" t="str">
        <f t="shared" si="334"/>
        <v>ギャルキティフェイスポーチ</v>
      </c>
      <c r="F188" s="131" t="str">
        <f t="shared" si="334"/>
        <v>ギャルキティフェイスポーチ</v>
      </c>
      <c r="G188" s="12" t="str">
        <f t="shared" si="334"/>
        <v>ギャルキティフェイスポーチ</v>
      </c>
      <c r="H188" s="12" t="str">
        <f t="shared" si="334"/>
        <v>ギャルキティフェイスポーチ</v>
      </c>
      <c r="I188" s="131" t="str">
        <f t="shared" si="334"/>
        <v>ギャルキティフェイスポーチ</v>
      </c>
      <c r="J188" s="12" t="str">
        <f t="shared" si="334"/>
        <v>ギャルキティフェイスポーチ</v>
      </c>
      <c r="K188" s="12" t="str">
        <f t="shared" si="334"/>
        <v>ギャルキティフェイスポーチ</v>
      </c>
      <c r="L188" s="131" t="str">
        <f t="shared" si="334"/>
        <v>ギャルキティフェイスポーチ</v>
      </c>
      <c r="M188" s="12" t="str">
        <f t="shared" si="334"/>
        <v>ギャルキティフェイスポーチ</v>
      </c>
      <c r="N188" s="12" t="str">
        <f t="shared" si="334"/>
        <v>ギャルキティフェイスポーチ</v>
      </c>
      <c r="O188" s="12" t="str">
        <f t="shared" si="334"/>
        <v>ギャルキティフェイスポーチ</v>
      </c>
      <c r="P188" s="131" t="str">
        <f t="shared" si="334"/>
        <v>ギャルキティフェイスポーチ</v>
      </c>
      <c r="Q188" s="12" t="str">
        <f t="shared" si="334"/>
        <v>ギャルキティフェイスポーチ</v>
      </c>
      <c r="R188" s="12" t="str">
        <f t="shared" si="334"/>
        <v>ギャルキティフェイスポーチ</v>
      </c>
      <c r="S188" s="12" t="str">
        <f t="shared" si="334"/>
        <v>ギャルキティフェイスポーチ</v>
      </c>
      <c r="T188" s="12" t="str">
        <f t="shared" si="334"/>
        <v>ギャルキティフェイスポーチ</v>
      </c>
      <c r="U188" s="12" t="str">
        <f t="shared" si="334"/>
        <v>ギャルキティフェイスポーチ</v>
      </c>
      <c r="V188" s="12" t="str">
        <f t="shared" si="334"/>
        <v>ギャルキティフェイスポーチ</v>
      </c>
      <c r="W188" s="12" t="str">
        <f t="shared" si="334"/>
        <v>ギャルキティフェイスポーチ</v>
      </c>
      <c r="X188" s="12" t="str">
        <f t="shared" si="334"/>
        <v>ギャルキティフェイスポーチ</v>
      </c>
      <c r="Y188" s="12" t="str">
        <f t="shared" si="334"/>
        <v>ギャルキティフェイスポーチ</v>
      </c>
      <c r="Z188" s="12" t="str">
        <f t="shared" si="334"/>
        <v>ギャルキティフェイスポーチ</v>
      </c>
      <c r="AA188" s="12" t="str">
        <f t="shared" si="334"/>
        <v>ギャルキティフェイスポーチ</v>
      </c>
      <c r="AB188" s="12" t="str">
        <f t="shared" si="334"/>
        <v>ギャルキティフェイスポーチ</v>
      </c>
      <c r="AC188" s="12" t="str">
        <f t="shared" si="334"/>
        <v>ギャルキティフェイスポーチ</v>
      </c>
      <c r="AD188" s="75" t="str">
        <f t="shared" si="334"/>
        <v>ギャルキティフェイスポーチ</v>
      </c>
      <c r="AE188" s="12" t="str">
        <f t="shared" si="334"/>
        <v>ギャルキティフェイスポーチ</v>
      </c>
      <c r="AF188" s="12" t="str">
        <f t="shared" si="334"/>
        <v>ギャルキティフェイスポーチ</v>
      </c>
      <c r="AG188" s="12" t="str">
        <f t="shared" si="334"/>
        <v/>
      </c>
      <c r="AH188" s="12" t="str">
        <f t="shared" si="334"/>
        <v/>
      </c>
      <c r="AI188" s="12" t="str">
        <f t="shared" si="334"/>
        <v/>
      </c>
      <c r="AJ188" s="12" t="str">
        <f t="shared" si="334"/>
        <v/>
      </c>
      <c r="AK188" s="12" t="str">
        <f t="shared" si="334"/>
        <v/>
      </c>
      <c r="AL188" s="12" t="str">
        <f t="shared" si="334"/>
        <v/>
      </c>
      <c r="AM188" s="12" t="str">
        <f t="shared" ref="AM188:AS188" si="335">IF(AM$3="","",AL188)</f>
        <v/>
      </c>
      <c r="AN188" s="12" t="str">
        <f t="shared" si="335"/>
        <v/>
      </c>
      <c r="AO188" s="12" t="str">
        <f t="shared" si="335"/>
        <v/>
      </c>
      <c r="AP188" s="12" t="str">
        <f t="shared" si="335"/>
        <v/>
      </c>
      <c r="AQ188" s="12" t="str">
        <f t="shared" si="335"/>
        <v/>
      </c>
      <c r="AR188" s="12" t="str">
        <f t="shared" si="335"/>
        <v/>
      </c>
      <c r="AS188" s="12" t="str">
        <f t="shared" si="335"/>
        <v/>
      </c>
    </row>
    <row r="189" spans="1:45" s="1" customFormat="1" ht="11">
      <c r="A189" s="7">
        <f>AVERAGE(C190:AS190)*30*100</f>
        <v>69500</v>
      </c>
      <c r="B189" s="9" t="s">
        <v>14</v>
      </c>
      <c r="C189" s="74"/>
      <c r="D189" s="8"/>
      <c r="E189" s="8"/>
      <c r="F189" s="59"/>
      <c r="G189" s="8"/>
      <c r="H189" s="8"/>
      <c r="I189" s="59"/>
      <c r="J189" s="8"/>
      <c r="K189" s="8"/>
      <c r="L189" s="59"/>
      <c r="M189" s="8"/>
      <c r="N189" s="8"/>
      <c r="O189" s="8"/>
      <c r="P189" s="59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74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</row>
    <row r="190" spans="1:45" s="1" customFormat="1" ht="11">
      <c r="A190" s="7">
        <f>SUM(C190:AS190)</f>
        <v>695</v>
      </c>
      <c r="B190" s="6" t="s">
        <v>15</v>
      </c>
      <c r="C190" s="74">
        <v>0</v>
      </c>
      <c r="D190" s="5">
        <f t="shared" ref="D190:AL190" si="336">IF(D$3="","",D183-C183)</f>
        <v>0</v>
      </c>
      <c r="E190" s="5">
        <f t="shared" si="336"/>
        <v>128</v>
      </c>
      <c r="F190" s="59">
        <f t="shared" si="336"/>
        <v>0</v>
      </c>
      <c r="G190" s="5">
        <f t="shared" si="336"/>
        <v>0</v>
      </c>
      <c r="H190" s="5">
        <f t="shared" si="336"/>
        <v>40</v>
      </c>
      <c r="I190" s="59">
        <f t="shared" si="336"/>
        <v>0</v>
      </c>
      <c r="J190" s="5">
        <f t="shared" si="336"/>
        <v>0</v>
      </c>
      <c r="K190" s="5">
        <f t="shared" si="336"/>
        <v>65</v>
      </c>
      <c r="L190" s="59">
        <f t="shared" si="336"/>
        <v>0</v>
      </c>
      <c r="M190" s="5">
        <f t="shared" si="336"/>
        <v>0</v>
      </c>
      <c r="N190" s="5">
        <f t="shared" si="336"/>
        <v>0</v>
      </c>
      <c r="O190" s="5">
        <f t="shared" si="336"/>
        <v>205</v>
      </c>
      <c r="P190" s="59">
        <f t="shared" si="336"/>
        <v>0</v>
      </c>
      <c r="Q190" s="5">
        <f t="shared" si="336"/>
        <v>0</v>
      </c>
      <c r="R190" s="5">
        <f t="shared" si="336"/>
        <v>36</v>
      </c>
      <c r="S190" s="5">
        <f t="shared" si="336"/>
        <v>0</v>
      </c>
      <c r="T190" s="5">
        <f t="shared" si="336"/>
        <v>0</v>
      </c>
      <c r="U190" s="5">
        <f t="shared" si="336"/>
        <v>0</v>
      </c>
      <c r="V190" s="5">
        <f t="shared" si="336"/>
        <v>23</v>
      </c>
      <c r="W190" s="5">
        <f t="shared" si="336"/>
        <v>0</v>
      </c>
      <c r="X190" s="5">
        <f t="shared" si="336"/>
        <v>0</v>
      </c>
      <c r="Y190" s="5">
        <f t="shared" si="336"/>
        <v>94</v>
      </c>
      <c r="Z190" s="5">
        <f t="shared" si="336"/>
        <v>0</v>
      </c>
      <c r="AA190" s="5">
        <f t="shared" si="336"/>
        <v>0</v>
      </c>
      <c r="AB190" s="5">
        <f t="shared" si="336"/>
        <v>0</v>
      </c>
      <c r="AC190" s="5">
        <f t="shared" si="336"/>
        <v>70</v>
      </c>
      <c r="AD190" s="74">
        <f t="shared" si="336"/>
        <v>0</v>
      </c>
      <c r="AE190" s="5">
        <f t="shared" si="336"/>
        <v>0</v>
      </c>
      <c r="AF190" s="5">
        <f t="shared" si="336"/>
        <v>34</v>
      </c>
      <c r="AG190" s="5" t="str">
        <f t="shared" si="336"/>
        <v/>
      </c>
      <c r="AH190" s="5" t="str">
        <f t="shared" si="336"/>
        <v/>
      </c>
      <c r="AI190" s="5" t="str">
        <f t="shared" si="336"/>
        <v/>
      </c>
      <c r="AJ190" s="5" t="str">
        <f t="shared" si="336"/>
        <v/>
      </c>
      <c r="AK190" s="5" t="str">
        <f t="shared" si="336"/>
        <v/>
      </c>
      <c r="AL190" s="5" t="str">
        <f t="shared" si="336"/>
        <v/>
      </c>
      <c r="AM190" s="5" t="str">
        <f t="shared" ref="AM190:AS190" si="337">IF(AM$3="","",AM183-AL183)</f>
        <v/>
      </c>
      <c r="AN190" s="5" t="str">
        <f t="shared" si="337"/>
        <v/>
      </c>
      <c r="AO190" s="5" t="str">
        <f t="shared" si="337"/>
        <v/>
      </c>
      <c r="AP190" s="5" t="str">
        <f t="shared" si="337"/>
        <v/>
      </c>
      <c r="AQ190" s="5" t="str">
        <f t="shared" si="337"/>
        <v/>
      </c>
      <c r="AR190" s="5" t="str">
        <f t="shared" si="337"/>
        <v/>
      </c>
      <c r="AS190" s="5" t="str">
        <f t="shared" si="337"/>
        <v/>
      </c>
    </row>
    <row r="191" spans="1:45" s="1" customFormat="1" ht="11">
      <c r="A191" s="7">
        <f>SUM(C191:AS191)</f>
        <v>11</v>
      </c>
      <c r="B191" s="6" t="s">
        <v>16</v>
      </c>
      <c r="C191" s="74">
        <v>0</v>
      </c>
      <c r="D191" s="5">
        <f t="shared" ref="D191:AL191" si="338">IF(D$3="","",D184-C184)</f>
        <v>0</v>
      </c>
      <c r="E191" s="5">
        <f t="shared" si="338"/>
        <v>1</v>
      </c>
      <c r="F191" s="59">
        <f t="shared" si="338"/>
        <v>0</v>
      </c>
      <c r="G191" s="5">
        <f t="shared" si="338"/>
        <v>0</v>
      </c>
      <c r="H191" s="5">
        <f t="shared" si="338"/>
        <v>1</v>
      </c>
      <c r="I191" s="59">
        <f t="shared" si="338"/>
        <v>0</v>
      </c>
      <c r="J191" s="5">
        <f t="shared" si="338"/>
        <v>0</v>
      </c>
      <c r="K191" s="5">
        <f t="shared" si="338"/>
        <v>1</v>
      </c>
      <c r="L191" s="59">
        <f t="shared" si="338"/>
        <v>0</v>
      </c>
      <c r="M191" s="5">
        <f t="shared" si="338"/>
        <v>0</v>
      </c>
      <c r="N191" s="5">
        <f t="shared" si="338"/>
        <v>0</v>
      </c>
      <c r="O191" s="5">
        <f t="shared" si="338"/>
        <v>2</v>
      </c>
      <c r="P191" s="59">
        <f t="shared" si="338"/>
        <v>0</v>
      </c>
      <c r="Q191" s="5">
        <f t="shared" si="338"/>
        <v>0</v>
      </c>
      <c r="R191" s="5">
        <f t="shared" si="338"/>
        <v>1</v>
      </c>
      <c r="S191" s="5">
        <f t="shared" si="338"/>
        <v>0</v>
      </c>
      <c r="T191" s="5">
        <f t="shared" si="338"/>
        <v>0</v>
      </c>
      <c r="U191" s="5">
        <f t="shared" si="338"/>
        <v>0</v>
      </c>
      <c r="V191" s="5">
        <f t="shared" si="338"/>
        <v>0</v>
      </c>
      <c r="W191" s="5">
        <f t="shared" si="338"/>
        <v>0</v>
      </c>
      <c r="X191" s="5">
        <f t="shared" si="338"/>
        <v>0</v>
      </c>
      <c r="Y191" s="5">
        <f t="shared" si="338"/>
        <v>2</v>
      </c>
      <c r="Z191" s="5">
        <f t="shared" si="338"/>
        <v>0</v>
      </c>
      <c r="AA191" s="5">
        <f t="shared" si="338"/>
        <v>0</v>
      </c>
      <c r="AB191" s="5">
        <f t="shared" si="338"/>
        <v>0</v>
      </c>
      <c r="AC191" s="5">
        <f t="shared" si="338"/>
        <v>0</v>
      </c>
      <c r="AD191" s="74">
        <f t="shared" si="338"/>
        <v>0</v>
      </c>
      <c r="AE191" s="5">
        <f t="shared" si="338"/>
        <v>0</v>
      </c>
      <c r="AF191" s="5">
        <f t="shared" si="338"/>
        <v>3</v>
      </c>
      <c r="AG191" s="5" t="str">
        <f t="shared" si="338"/>
        <v/>
      </c>
      <c r="AH191" s="5" t="str">
        <f t="shared" si="338"/>
        <v/>
      </c>
      <c r="AI191" s="5" t="str">
        <f t="shared" si="338"/>
        <v/>
      </c>
      <c r="AJ191" s="5" t="str">
        <f t="shared" si="338"/>
        <v/>
      </c>
      <c r="AK191" s="5" t="str">
        <f t="shared" si="338"/>
        <v/>
      </c>
      <c r="AL191" s="5" t="str">
        <f t="shared" si="338"/>
        <v/>
      </c>
      <c r="AM191" s="5" t="str">
        <f t="shared" ref="AM191:AS191" si="339">IF(AM$3="","",AM184-AL184)</f>
        <v/>
      </c>
      <c r="AN191" s="5" t="str">
        <f t="shared" si="339"/>
        <v/>
      </c>
      <c r="AO191" s="5" t="str">
        <f t="shared" si="339"/>
        <v/>
      </c>
      <c r="AP191" s="5" t="str">
        <f t="shared" si="339"/>
        <v/>
      </c>
      <c r="AQ191" s="5" t="str">
        <f t="shared" si="339"/>
        <v/>
      </c>
      <c r="AR191" s="5" t="str">
        <f t="shared" si="339"/>
        <v/>
      </c>
      <c r="AS191" s="5" t="str">
        <f t="shared" si="339"/>
        <v/>
      </c>
    </row>
    <row r="192" spans="1:45" s="1" customFormat="1" ht="11">
      <c r="A192" s="7">
        <f>SUM(C192:AS192)</f>
        <v>9</v>
      </c>
      <c r="B192" s="6" t="s">
        <v>17</v>
      </c>
      <c r="C192" s="74">
        <v>0</v>
      </c>
      <c r="D192" s="5">
        <f t="shared" ref="D192:AL192" si="340">IF(D$3="","",C185+C186-D185)</f>
        <v>0</v>
      </c>
      <c r="E192" s="5">
        <f t="shared" si="340"/>
        <v>1</v>
      </c>
      <c r="F192" s="59">
        <f t="shared" si="340"/>
        <v>0</v>
      </c>
      <c r="G192" s="5">
        <f t="shared" si="340"/>
        <v>0</v>
      </c>
      <c r="H192" s="5">
        <f t="shared" si="340"/>
        <v>1</v>
      </c>
      <c r="I192" s="59">
        <f t="shared" si="340"/>
        <v>0</v>
      </c>
      <c r="J192" s="5">
        <f t="shared" si="340"/>
        <v>0</v>
      </c>
      <c r="K192" s="5">
        <f t="shared" si="340"/>
        <v>1</v>
      </c>
      <c r="L192" s="59">
        <f t="shared" si="340"/>
        <v>0</v>
      </c>
      <c r="M192" s="5">
        <f t="shared" si="340"/>
        <v>0</v>
      </c>
      <c r="N192" s="5">
        <f t="shared" si="340"/>
        <v>0</v>
      </c>
      <c r="O192" s="5">
        <f t="shared" si="340"/>
        <v>1</v>
      </c>
      <c r="P192" s="59">
        <f t="shared" si="340"/>
        <v>0</v>
      </c>
      <c r="Q192" s="5">
        <f t="shared" si="340"/>
        <v>0</v>
      </c>
      <c r="R192" s="5">
        <f t="shared" si="340"/>
        <v>1</v>
      </c>
      <c r="S192" s="5">
        <f t="shared" si="340"/>
        <v>0</v>
      </c>
      <c r="T192" s="5">
        <f t="shared" si="340"/>
        <v>0</v>
      </c>
      <c r="U192" s="5">
        <f t="shared" si="340"/>
        <v>0</v>
      </c>
      <c r="V192" s="5">
        <f t="shared" si="340"/>
        <v>0</v>
      </c>
      <c r="W192" s="5">
        <f t="shared" si="340"/>
        <v>0</v>
      </c>
      <c r="X192" s="5">
        <f t="shared" si="340"/>
        <v>0</v>
      </c>
      <c r="Y192" s="5">
        <f t="shared" si="340"/>
        <v>2</v>
      </c>
      <c r="Z192" s="5">
        <f t="shared" si="340"/>
        <v>0</v>
      </c>
      <c r="AA192" s="5">
        <f t="shared" si="340"/>
        <v>0</v>
      </c>
      <c r="AB192" s="5">
        <f t="shared" si="340"/>
        <v>0</v>
      </c>
      <c r="AC192" s="5">
        <f t="shared" si="340"/>
        <v>0</v>
      </c>
      <c r="AD192" s="74">
        <f t="shared" si="340"/>
        <v>0</v>
      </c>
      <c r="AE192" s="5">
        <f t="shared" si="340"/>
        <v>0</v>
      </c>
      <c r="AF192" s="5">
        <f t="shared" si="340"/>
        <v>2</v>
      </c>
      <c r="AG192" s="5" t="str">
        <f t="shared" si="340"/>
        <v/>
      </c>
      <c r="AH192" s="5" t="str">
        <f t="shared" si="340"/>
        <v/>
      </c>
      <c r="AI192" s="5" t="str">
        <f t="shared" si="340"/>
        <v/>
      </c>
      <c r="AJ192" s="5" t="str">
        <f t="shared" si="340"/>
        <v/>
      </c>
      <c r="AK192" s="5" t="str">
        <f t="shared" si="340"/>
        <v/>
      </c>
      <c r="AL192" s="5" t="str">
        <f t="shared" si="340"/>
        <v/>
      </c>
      <c r="AM192" s="5" t="str">
        <f t="shared" ref="AM192:AS192" si="341">IF(AM$3="","",AL185+AL186-AM185)</f>
        <v/>
      </c>
      <c r="AN192" s="5" t="str">
        <f t="shared" si="341"/>
        <v/>
      </c>
      <c r="AO192" s="5" t="str">
        <f t="shared" si="341"/>
        <v/>
      </c>
      <c r="AP192" s="5" t="str">
        <f t="shared" si="341"/>
        <v/>
      </c>
      <c r="AQ192" s="5" t="str">
        <f t="shared" si="341"/>
        <v/>
      </c>
      <c r="AR192" s="5" t="str">
        <f t="shared" si="341"/>
        <v/>
      </c>
      <c r="AS192" s="5" t="str">
        <f t="shared" si="341"/>
        <v/>
      </c>
    </row>
    <row r="193" spans="1:45" s="1" customFormat="1" ht="11">
      <c r="A193" s="7">
        <f>SUM(C193:AS193)</f>
        <v>3600</v>
      </c>
      <c r="B193" s="6" t="s">
        <v>18</v>
      </c>
      <c r="C193" s="74">
        <v>0</v>
      </c>
      <c r="D193" s="5">
        <f t="shared" ref="D193:AL193" si="342">IF(D$3="","",D192*D187)</f>
        <v>0</v>
      </c>
      <c r="E193" s="5">
        <f t="shared" si="342"/>
        <v>400</v>
      </c>
      <c r="F193" s="59">
        <f t="shared" si="342"/>
        <v>0</v>
      </c>
      <c r="G193" s="5">
        <f t="shared" si="342"/>
        <v>0</v>
      </c>
      <c r="H193" s="5">
        <f t="shared" si="342"/>
        <v>400</v>
      </c>
      <c r="I193" s="59">
        <f t="shared" si="342"/>
        <v>0</v>
      </c>
      <c r="J193" s="5">
        <f t="shared" si="342"/>
        <v>0</v>
      </c>
      <c r="K193" s="5">
        <f t="shared" si="342"/>
        <v>400</v>
      </c>
      <c r="L193" s="59">
        <f t="shared" si="342"/>
        <v>0</v>
      </c>
      <c r="M193" s="5">
        <f t="shared" si="342"/>
        <v>0</v>
      </c>
      <c r="N193" s="5">
        <f t="shared" si="342"/>
        <v>0</v>
      </c>
      <c r="O193" s="5">
        <f t="shared" si="342"/>
        <v>400</v>
      </c>
      <c r="P193" s="59">
        <f t="shared" si="342"/>
        <v>0</v>
      </c>
      <c r="Q193" s="5">
        <f t="shared" si="342"/>
        <v>0</v>
      </c>
      <c r="R193" s="5">
        <f t="shared" si="342"/>
        <v>400</v>
      </c>
      <c r="S193" s="5">
        <f t="shared" si="342"/>
        <v>0</v>
      </c>
      <c r="T193" s="5">
        <f t="shared" si="342"/>
        <v>0</v>
      </c>
      <c r="U193" s="5">
        <f t="shared" si="342"/>
        <v>0</v>
      </c>
      <c r="V193" s="5">
        <f t="shared" si="342"/>
        <v>0</v>
      </c>
      <c r="W193" s="5">
        <f t="shared" si="342"/>
        <v>0</v>
      </c>
      <c r="X193" s="5">
        <f t="shared" si="342"/>
        <v>0</v>
      </c>
      <c r="Y193" s="5">
        <f t="shared" si="342"/>
        <v>800</v>
      </c>
      <c r="Z193" s="5">
        <f t="shared" si="342"/>
        <v>0</v>
      </c>
      <c r="AA193" s="5">
        <f t="shared" si="342"/>
        <v>0</v>
      </c>
      <c r="AB193" s="5">
        <f t="shared" si="342"/>
        <v>0</v>
      </c>
      <c r="AC193" s="5">
        <f t="shared" si="342"/>
        <v>0</v>
      </c>
      <c r="AD193" s="74">
        <f t="shared" si="342"/>
        <v>0</v>
      </c>
      <c r="AE193" s="5">
        <f t="shared" si="342"/>
        <v>0</v>
      </c>
      <c r="AF193" s="5">
        <f t="shared" si="342"/>
        <v>800</v>
      </c>
      <c r="AG193" s="5" t="str">
        <f t="shared" si="342"/>
        <v/>
      </c>
      <c r="AH193" s="5" t="str">
        <f t="shared" si="342"/>
        <v/>
      </c>
      <c r="AI193" s="5" t="str">
        <f t="shared" si="342"/>
        <v/>
      </c>
      <c r="AJ193" s="5" t="str">
        <f t="shared" si="342"/>
        <v/>
      </c>
      <c r="AK193" s="5" t="str">
        <f t="shared" si="342"/>
        <v/>
      </c>
      <c r="AL193" s="5" t="str">
        <f t="shared" si="342"/>
        <v/>
      </c>
      <c r="AM193" s="5" t="str">
        <f t="shared" ref="AM193:AS193" si="343">IF(AM$3="","",AM192*AM187)</f>
        <v/>
      </c>
      <c r="AN193" s="5" t="str">
        <f t="shared" si="343"/>
        <v/>
      </c>
      <c r="AO193" s="5" t="str">
        <f t="shared" si="343"/>
        <v/>
      </c>
      <c r="AP193" s="5" t="str">
        <f t="shared" si="343"/>
        <v/>
      </c>
      <c r="AQ193" s="5" t="str">
        <f t="shared" si="343"/>
        <v/>
      </c>
      <c r="AR193" s="5" t="str">
        <f t="shared" si="343"/>
        <v/>
      </c>
      <c r="AS193" s="5" t="str">
        <f t="shared" si="343"/>
        <v/>
      </c>
    </row>
    <row r="194" spans="1:45" s="1" customFormat="1" ht="12" thickBot="1">
      <c r="A194" s="4">
        <f>IF(A193="","",A193/(A190*100))</f>
        <v>5.1798561151079135E-2</v>
      </c>
      <c r="B194" s="3" t="s">
        <v>20</v>
      </c>
      <c r="C194" s="77" t="s">
        <v>21</v>
      </c>
      <c r="D194" s="2" t="str">
        <f t="shared" ref="D194:AL194" si="344">IF(D$3="","",IF(D193=0,"",D193/(D190*100)))</f>
        <v/>
      </c>
      <c r="E194" s="2">
        <f t="shared" si="344"/>
        <v>3.125E-2</v>
      </c>
      <c r="F194" s="57" t="str">
        <f t="shared" si="344"/>
        <v/>
      </c>
      <c r="G194" s="2" t="str">
        <f t="shared" si="344"/>
        <v/>
      </c>
      <c r="H194" s="2">
        <f t="shared" si="344"/>
        <v>0.1</v>
      </c>
      <c r="I194" s="57" t="str">
        <f t="shared" si="344"/>
        <v/>
      </c>
      <c r="J194" s="2" t="str">
        <f t="shared" si="344"/>
        <v/>
      </c>
      <c r="K194" s="2">
        <f t="shared" si="344"/>
        <v>6.1538461538461542E-2</v>
      </c>
      <c r="L194" s="57" t="str">
        <f t="shared" si="344"/>
        <v/>
      </c>
      <c r="M194" s="2" t="str">
        <f t="shared" si="344"/>
        <v/>
      </c>
      <c r="N194" s="2" t="str">
        <f t="shared" si="344"/>
        <v/>
      </c>
      <c r="O194" s="2">
        <f t="shared" si="344"/>
        <v>1.9512195121951219E-2</v>
      </c>
      <c r="P194" s="57" t="str">
        <f t="shared" si="344"/>
        <v/>
      </c>
      <c r="Q194" s="2" t="str">
        <f t="shared" si="344"/>
        <v/>
      </c>
      <c r="R194" s="2">
        <f t="shared" si="344"/>
        <v>0.1111111111111111</v>
      </c>
      <c r="S194" s="2" t="str">
        <f t="shared" si="344"/>
        <v/>
      </c>
      <c r="T194" s="2" t="str">
        <f t="shared" si="344"/>
        <v/>
      </c>
      <c r="U194" s="2" t="str">
        <f t="shared" si="344"/>
        <v/>
      </c>
      <c r="V194" s="2" t="str">
        <f t="shared" si="344"/>
        <v/>
      </c>
      <c r="W194" s="2" t="str">
        <f t="shared" si="344"/>
        <v/>
      </c>
      <c r="X194" s="2" t="str">
        <f t="shared" si="344"/>
        <v/>
      </c>
      <c r="Y194" s="2">
        <f t="shared" si="344"/>
        <v>8.5106382978723402E-2</v>
      </c>
      <c r="Z194" s="2" t="str">
        <f t="shared" si="344"/>
        <v/>
      </c>
      <c r="AA194" s="2" t="str">
        <f t="shared" si="344"/>
        <v/>
      </c>
      <c r="AB194" s="2" t="str">
        <f t="shared" si="344"/>
        <v/>
      </c>
      <c r="AC194" s="2" t="str">
        <f t="shared" si="344"/>
        <v/>
      </c>
      <c r="AD194" s="77" t="str">
        <f t="shared" si="344"/>
        <v/>
      </c>
      <c r="AE194" s="2" t="str">
        <f t="shared" si="344"/>
        <v/>
      </c>
      <c r="AF194" s="2">
        <f t="shared" si="344"/>
        <v>0.23529411764705882</v>
      </c>
      <c r="AG194" s="2" t="str">
        <f t="shared" si="344"/>
        <v/>
      </c>
      <c r="AH194" s="2" t="str">
        <f t="shared" si="344"/>
        <v/>
      </c>
      <c r="AI194" s="2" t="str">
        <f t="shared" si="344"/>
        <v/>
      </c>
      <c r="AJ194" s="2" t="str">
        <f t="shared" si="344"/>
        <v/>
      </c>
      <c r="AK194" s="2" t="str">
        <f t="shared" si="344"/>
        <v/>
      </c>
      <c r="AL194" s="2" t="str">
        <f t="shared" si="344"/>
        <v/>
      </c>
      <c r="AM194" s="2" t="str">
        <f t="shared" ref="AM194:AS194" si="345">IF(AM$3="","",IF(AM193=0,"",AM193/(AM190*100)))</f>
        <v/>
      </c>
      <c r="AN194" s="2" t="str">
        <f t="shared" si="345"/>
        <v/>
      </c>
      <c r="AO194" s="2" t="str">
        <f t="shared" si="345"/>
        <v/>
      </c>
      <c r="AP194" s="2" t="str">
        <f t="shared" si="345"/>
        <v/>
      </c>
      <c r="AQ194" s="2" t="str">
        <f t="shared" si="345"/>
        <v/>
      </c>
      <c r="AR194" s="2" t="str">
        <f t="shared" si="345"/>
        <v/>
      </c>
      <c r="AS194" s="2" t="str">
        <f t="shared" si="345"/>
        <v/>
      </c>
    </row>
    <row r="195" spans="1:45" s="1" customFormat="1" ht="11">
      <c r="A195" s="22" t="s">
        <v>61</v>
      </c>
      <c r="B195" s="21" t="s">
        <v>2</v>
      </c>
      <c r="C195" s="73">
        <v>6061</v>
      </c>
      <c r="D195" s="20">
        <f>IF(D$3="","",C195)</f>
        <v>6061</v>
      </c>
      <c r="E195" s="20">
        <v>6103</v>
      </c>
      <c r="F195" s="130">
        <f>IF(F$3="","",E195)</f>
        <v>6103</v>
      </c>
      <c r="G195" s="20">
        <f>IF(G$3="","",F195)</f>
        <v>6103</v>
      </c>
      <c r="H195" s="20">
        <v>6353</v>
      </c>
      <c r="I195" s="130">
        <f>IF(I$3="","",H195)</f>
        <v>6353</v>
      </c>
      <c r="J195" s="20">
        <f>IF(J$3="","",I195)</f>
        <v>6353</v>
      </c>
      <c r="K195" s="20">
        <v>6458</v>
      </c>
      <c r="L195" s="130">
        <f t="shared" ref="L195:N196" si="346">IF(L$3="","",K195)</f>
        <v>6458</v>
      </c>
      <c r="M195" s="20">
        <f t="shared" si="346"/>
        <v>6458</v>
      </c>
      <c r="N195" s="20">
        <f t="shared" si="346"/>
        <v>6458</v>
      </c>
      <c r="O195" s="20">
        <v>6758</v>
      </c>
      <c r="P195" s="130">
        <f>IF(P$3="","",O195)</f>
        <v>6758</v>
      </c>
      <c r="Q195" s="20">
        <f>IF(Q$3="","",P195)</f>
        <v>6758</v>
      </c>
      <c r="R195" s="20">
        <v>6846</v>
      </c>
      <c r="S195" s="20">
        <f t="shared" ref="S195:AL195" si="347">IF(S$3="","",R195)</f>
        <v>6846</v>
      </c>
      <c r="T195" s="20">
        <f t="shared" si="347"/>
        <v>6846</v>
      </c>
      <c r="U195" s="20">
        <f t="shared" si="347"/>
        <v>6846</v>
      </c>
      <c r="V195" s="20">
        <v>6867</v>
      </c>
      <c r="W195" s="20">
        <f t="shared" si="347"/>
        <v>6867</v>
      </c>
      <c r="X195" s="20">
        <f t="shared" si="347"/>
        <v>6867</v>
      </c>
      <c r="Y195" s="20">
        <v>6953</v>
      </c>
      <c r="Z195" s="20">
        <f t="shared" si="347"/>
        <v>6953</v>
      </c>
      <c r="AA195" s="20">
        <f t="shared" si="347"/>
        <v>6953</v>
      </c>
      <c r="AB195" s="20">
        <f t="shared" si="347"/>
        <v>6953</v>
      </c>
      <c r="AC195" s="20">
        <v>6991</v>
      </c>
      <c r="AD195" s="73">
        <f t="shared" si="347"/>
        <v>6991</v>
      </c>
      <c r="AE195" s="20">
        <f t="shared" si="347"/>
        <v>6991</v>
      </c>
      <c r="AF195" s="20">
        <v>7062</v>
      </c>
      <c r="AG195" s="20" t="str">
        <f t="shared" si="347"/>
        <v/>
      </c>
      <c r="AH195" s="20" t="str">
        <f t="shared" si="347"/>
        <v/>
      </c>
      <c r="AI195" s="20" t="str">
        <f t="shared" si="347"/>
        <v/>
      </c>
      <c r="AJ195" s="20" t="str">
        <f t="shared" si="347"/>
        <v/>
      </c>
      <c r="AK195" s="20" t="str">
        <f t="shared" si="347"/>
        <v/>
      </c>
      <c r="AL195" s="20" t="str">
        <f t="shared" si="347"/>
        <v/>
      </c>
      <c r="AM195" s="20" t="str">
        <f t="shared" ref="AM195:AS195" si="348">IF(AM$3="","",AL195)</f>
        <v/>
      </c>
      <c r="AN195" s="20" t="str">
        <f t="shared" si="348"/>
        <v/>
      </c>
      <c r="AO195" s="20" t="str">
        <f t="shared" si="348"/>
        <v/>
      </c>
      <c r="AP195" s="20" t="str">
        <f t="shared" si="348"/>
        <v/>
      </c>
      <c r="AQ195" s="20" t="str">
        <f t="shared" si="348"/>
        <v/>
      </c>
      <c r="AR195" s="20" t="str">
        <f t="shared" si="348"/>
        <v/>
      </c>
      <c r="AS195" s="20" t="str">
        <f t="shared" si="348"/>
        <v/>
      </c>
    </row>
    <row r="196" spans="1:45" s="1" customFormat="1" ht="11">
      <c r="A196" s="16" t="s">
        <v>57</v>
      </c>
      <c r="B196" s="9" t="s">
        <v>4</v>
      </c>
      <c r="C196" s="74">
        <v>323</v>
      </c>
      <c r="D196" s="8">
        <f>IF(D$3="","",C196)</f>
        <v>323</v>
      </c>
      <c r="E196" s="8">
        <v>326</v>
      </c>
      <c r="F196" s="59">
        <f>IF(F$3="","",E196)</f>
        <v>326</v>
      </c>
      <c r="G196" s="8">
        <f>IF(G$3="","",F196)</f>
        <v>326</v>
      </c>
      <c r="H196" s="8">
        <v>328</v>
      </c>
      <c r="I196" s="59">
        <f>IF(I$3="","",H196)</f>
        <v>328</v>
      </c>
      <c r="J196" s="8">
        <f>IF(J$3="","",I196)</f>
        <v>328</v>
      </c>
      <c r="K196" s="8">
        <v>329</v>
      </c>
      <c r="L196" s="59">
        <f t="shared" si="346"/>
        <v>329</v>
      </c>
      <c r="M196" s="8">
        <f t="shared" si="346"/>
        <v>329</v>
      </c>
      <c r="N196" s="8">
        <f t="shared" si="346"/>
        <v>329</v>
      </c>
      <c r="O196" s="8">
        <v>332</v>
      </c>
      <c r="P196" s="59">
        <f>IF(P$3="","",O196)</f>
        <v>332</v>
      </c>
      <c r="Q196" s="8">
        <f>IF(Q$3="","",P196)</f>
        <v>332</v>
      </c>
      <c r="R196" s="8">
        <v>334</v>
      </c>
      <c r="S196" s="8">
        <f t="shared" ref="S196:AL196" si="349">IF(S$3="","",R196)</f>
        <v>334</v>
      </c>
      <c r="T196" s="8">
        <f t="shared" si="349"/>
        <v>334</v>
      </c>
      <c r="U196" s="8">
        <f t="shared" si="349"/>
        <v>334</v>
      </c>
      <c r="V196" s="8">
        <f t="shared" si="349"/>
        <v>334</v>
      </c>
      <c r="W196" s="8">
        <f t="shared" si="349"/>
        <v>334</v>
      </c>
      <c r="X196" s="8">
        <f t="shared" si="349"/>
        <v>334</v>
      </c>
      <c r="Y196" s="8">
        <f t="shared" si="349"/>
        <v>334</v>
      </c>
      <c r="Z196" s="8">
        <f t="shared" si="349"/>
        <v>334</v>
      </c>
      <c r="AA196" s="8">
        <f t="shared" si="349"/>
        <v>334</v>
      </c>
      <c r="AB196" s="8">
        <f t="shared" si="349"/>
        <v>334</v>
      </c>
      <c r="AC196" s="8">
        <v>335</v>
      </c>
      <c r="AD196" s="74">
        <f t="shared" si="349"/>
        <v>335</v>
      </c>
      <c r="AE196" s="8">
        <f t="shared" si="349"/>
        <v>335</v>
      </c>
      <c r="AF196" s="8">
        <v>336</v>
      </c>
      <c r="AG196" s="8" t="str">
        <f t="shared" si="349"/>
        <v/>
      </c>
      <c r="AH196" s="8" t="str">
        <f t="shared" si="349"/>
        <v/>
      </c>
      <c r="AI196" s="8" t="str">
        <f t="shared" si="349"/>
        <v/>
      </c>
      <c r="AJ196" s="8" t="str">
        <f t="shared" si="349"/>
        <v/>
      </c>
      <c r="AK196" s="8" t="str">
        <f t="shared" si="349"/>
        <v/>
      </c>
      <c r="AL196" s="8" t="str">
        <f t="shared" si="349"/>
        <v/>
      </c>
      <c r="AM196" s="8" t="str">
        <f t="shared" ref="AM196:AS196" si="350">IF(AM$3="","",AL196)</f>
        <v/>
      </c>
      <c r="AN196" s="8" t="str">
        <f t="shared" si="350"/>
        <v/>
      </c>
      <c r="AO196" s="8" t="str">
        <f t="shared" si="350"/>
        <v/>
      </c>
      <c r="AP196" s="8" t="str">
        <f t="shared" si="350"/>
        <v/>
      </c>
      <c r="AQ196" s="8" t="str">
        <f t="shared" si="350"/>
        <v/>
      </c>
      <c r="AR196" s="8" t="str">
        <f t="shared" si="350"/>
        <v/>
      </c>
      <c r="AS196" s="8" t="str">
        <f t="shared" si="350"/>
        <v/>
      </c>
    </row>
    <row r="197" spans="1:45" s="1" customFormat="1" ht="11">
      <c r="A197" s="15">
        <v>1</v>
      </c>
      <c r="B197" s="9" t="s">
        <v>5</v>
      </c>
      <c r="C197" s="74">
        <v>14</v>
      </c>
      <c r="D197" s="8">
        <f>IF(D$3="","",(C197+C198))</f>
        <v>14</v>
      </c>
      <c r="E197" s="8">
        <v>11</v>
      </c>
      <c r="F197" s="59">
        <f>IF(F$3="","",(E197+E198))</f>
        <v>20</v>
      </c>
      <c r="G197" s="8">
        <f>IF(G$3="","",(F197+F198))</f>
        <v>20</v>
      </c>
      <c r="H197" s="8">
        <v>18</v>
      </c>
      <c r="I197" s="59">
        <f>IF(I$3="","",(H197+H198))</f>
        <v>18</v>
      </c>
      <c r="J197" s="8">
        <f>IF(J$3="","",(I197+I198))</f>
        <v>18</v>
      </c>
      <c r="K197" s="8">
        <v>17</v>
      </c>
      <c r="L197" s="59">
        <f>IF(L$3="","",(K197+K198))</f>
        <v>17</v>
      </c>
      <c r="M197" s="8">
        <f>IF(M$3="","",(L197+L198))</f>
        <v>17</v>
      </c>
      <c r="N197" s="8">
        <f>IF(N$3="","",(M197+M198))</f>
        <v>17</v>
      </c>
      <c r="O197" s="8">
        <v>14</v>
      </c>
      <c r="P197" s="59">
        <f>IF(P$3="","",(O197+O198))</f>
        <v>24</v>
      </c>
      <c r="Q197" s="8">
        <f>IF(Q$3="","",(P197+P198))</f>
        <v>24</v>
      </c>
      <c r="R197" s="8">
        <v>22</v>
      </c>
      <c r="S197" s="8">
        <f t="shared" ref="S197:AL197" si="351">IF(S$3="","",(R197+R198))</f>
        <v>22</v>
      </c>
      <c r="T197" s="8">
        <f t="shared" si="351"/>
        <v>22</v>
      </c>
      <c r="U197" s="8">
        <f t="shared" si="351"/>
        <v>22</v>
      </c>
      <c r="V197" s="8">
        <f t="shared" si="351"/>
        <v>22</v>
      </c>
      <c r="W197" s="8">
        <f t="shared" si="351"/>
        <v>22</v>
      </c>
      <c r="X197" s="8">
        <f t="shared" si="351"/>
        <v>22</v>
      </c>
      <c r="Y197" s="8">
        <f t="shared" si="351"/>
        <v>22</v>
      </c>
      <c r="Z197" s="8">
        <f t="shared" si="351"/>
        <v>22</v>
      </c>
      <c r="AA197" s="8">
        <f t="shared" si="351"/>
        <v>22</v>
      </c>
      <c r="AB197" s="8">
        <f t="shared" si="351"/>
        <v>22</v>
      </c>
      <c r="AC197" s="8">
        <v>21</v>
      </c>
      <c r="AD197" s="74">
        <f t="shared" si="351"/>
        <v>21</v>
      </c>
      <c r="AE197" s="8">
        <f t="shared" si="351"/>
        <v>21</v>
      </c>
      <c r="AF197" s="8">
        <v>20</v>
      </c>
      <c r="AG197" s="8" t="str">
        <f t="shared" si="351"/>
        <v/>
      </c>
      <c r="AH197" s="8" t="str">
        <f t="shared" si="351"/>
        <v/>
      </c>
      <c r="AI197" s="8" t="str">
        <f t="shared" si="351"/>
        <v/>
      </c>
      <c r="AJ197" s="8" t="str">
        <f t="shared" si="351"/>
        <v/>
      </c>
      <c r="AK197" s="8" t="str">
        <f t="shared" si="351"/>
        <v/>
      </c>
      <c r="AL197" s="8" t="str">
        <f t="shared" si="351"/>
        <v/>
      </c>
      <c r="AM197" s="8" t="str">
        <f t="shared" ref="AM197:AS197" si="352">IF(AM$3="","",(AL197+AL198))</f>
        <v/>
      </c>
      <c r="AN197" s="8" t="str">
        <f t="shared" si="352"/>
        <v/>
      </c>
      <c r="AO197" s="8" t="str">
        <f t="shared" si="352"/>
        <v/>
      </c>
      <c r="AP197" s="8" t="str">
        <f t="shared" si="352"/>
        <v/>
      </c>
      <c r="AQ197" s="8" t="str">
        <f t="shared" si="352"/>
        <v/>
      </c>
      <c r="AR197" s="8" t="str">
        <f t="shared" si="352"/>
        <v/>
      </c>
      <c r="AS197" s="8" t="str">
        <f t="shared" si="352"/>
        <v/>
      </c>
    </row>
    <row r="198" spans="1:45" s="1" customFormat="1" ht="11">
      <c r="A198" s="14"/>
      <c r="B198" s="9" t="s">
        <v>7</v>
      </c>
      <c r="C198" s="74"/>
      <c r="D198" s="8"/>
      <c r="E198" s="8">
        <v>9</v>
      </c>
      <c r="F198" s="59"/>
      <c r="G198" s="8"/>
      <c r="H198" s="8"/>
      <c r="I198" s="59"/>
      <c r="J198" s="8"/>
      <c r="K198" s="8"/>
      <c r="L198" s="59"/>
      <c r="M198" s="8"/>
      <c r="N198" s="8"/>
      <c r="O198" s="8">
        <v>10</v>
      </c>
      <c r="P198" s="59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74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</row>
    <row r="199" spans="1:45" s="1" customFormat="1" ht="11">
      <c r="A199" s="7"/>
      <c r="B199" s="9" t="s">
        <v>8</v>
      </c>
      <c r="C199" s="74">
        <v>800</v>
      </c>
      <c r="D199" s="8">
        <f t="shared" ref="D199:AL199" si="353">IF(D$3="","",C199)</f>
        <v>800</v>
      </c>
      <c r="E199" s="8">
        <f t="shared" si="353"/>
        <v>800</v>
      </c>
      <c r="F199" s="59">
        <f t="shared" si="353"/>
        <v>800</v>
      </c>
      <c r="G199" s="8">
        <f t="shared" si="353"/>
        <v>800</v>
      </c>
      <c r="H199" s="8">
        <f t="shared" si="353"/>
        <v>800</v>
      </c>
      <c r="I199" s="59">
        <f t="shared" si="353"/>
        <v>800</v>
      </c>
      <c r="J199" s="8">
        <f t="shared" si="353"/>
        <v>800</v>
      </c>
      <c r="K199" s="8">
        <f t="shared" si="353"/>
        <v>800</v>
      </c>
      <c r="L199" s="59">
        <f t="shared" si="353"/>
        <v>800</v>
      </c>
      <c r="M199" s="8">
        <f t="shared" si="353"/>
        <v>800</v>
      </c>
      <c r="N199" s="8">
        <f t="shared" si="353"/>
        <v>800</v>
      </c>
      <c r="O199" s="8">
        <f t="shared" si="353"/>
        <v>800</v>
      </c>
      <c r="P199" s="59">
        <f t="shared" si="353"/>
        <v>800</v>
      </c>
      <c r="Q199" s="8">
        <f t="shared" si="353"/>
        <v>800</v>
      </c>
      <c r="R199" s="8">
        <f t="shared" si="353"/>
        <v>800</v>
      </c>
      <c r="S199" s="8">
        <f t="shared" si="353"/>
        <v>800</v>
      </c>
      <c r="T199" s="8">
        <f t="shared" si="353"/>
        <v>800</v>
      </c>
      <c r="U199" s="8">
        <f t="shared" si="353"/>
        <v>800</v>
      </c>
      <c r="V199" s="8">
        <f t="shared" si="353"/>
        <v>800</v>
      </c>
      <c r="W199" s="8">
        <f t="shared" si="353"/>
        <v>800</v>
      </c>
      <c r="X199" s="8">
        <f t="shared" si="353"/>
        <v>800</v>
      </c>
      <c r="Y199" s="8">
        <f t="shared" si="353"/>
        <v>800</v>
      </c>
      <c r="Z199" s="8">
        <f t="shared" si="353"/>
        <v>800</v>
      </c>
      <c r="AA199" s="8">
        <f t="shared" si="353"/>
        <v>800</v>
      </c>
      <c r="AB199" s="8">
        <f t="shared" si="353"/>
        <v>800</v>
      </c>
      <c r="AC199" s="8">
        <f t="shared" si="353"/>
        <v>800</v>
      </c>
      <c r="AD199" s="74">
        <f t="shared" si="353"/>
        <v>800</v>
      </c>
      <c r="AE199" s="8">
        <f t="shared" si="353"/>
        <v>800</v>
      </c>
      <c r="AF199" s="8">
        <f t="shared" si="353"/>
        <v>800</v>
      </c>
      <c r="AG199" s="8" t="str">
        <f t="shared" si="353"/>
        <v/>
      </c>
      <c r="AH199" s="8" t="str">
        <f t="shared" si="353"/>
        <v/>
      </c>
      <c r="AI199" s="8" t="str">
        <f t="shared" si="353"/>
        <v/>
      </c>
      <c r="AJ199" s="8" t="str">
        <f t="shared" si="353"/>
        <v/>
      </c>
      <c r="AK199" s="8" t="str">
        <f t="shared" si="353"/>
        <v/>
      </c>
      <c r="AL199" s="8" t="str">
        <f t="shared" si="353"/>
        <v/>
      </c>
      <c r="AM199" s="8" t="str">
        <f t="shared" ref="AM199:AS199" si="354">IF(AM$3="","",AL199)</f>
        <v/>
      </c>
      <c r="AN199" s="8" t="str">
        <f t="shared" si="354"/>
        <v/>
      </c>
      <c r="AO199" s="8" t="str">
        <f t="shared" si="354"/>
        <v/>
      </c>
      <c r="AP199" s="8" t="str">
        <f t="shared" si="354"/>
        <v/>
      </c>
      <c r="AQ199" s="8" t="str">
        <f t="shared" si="354"/>
        <v/>
      </c>
      <c r="AR199" s="8" t="str">
        <f t="shared" si="354"/>
        <v/>
      </c>
      <c r="AS199" s="8" t="str">
        <f t="shared" si="354"/>
        <v/>
      </c>
    </row>
    <row r="200" spans="1:45" s="94" customFormat="1" ht="11">
      <c r="A200" s="14" t="s">
        <v>9</v>
      </c>
      <c r="B200" s="13" t="s">
        <v>10</v>
      </c>
      <c r="C200" s="75" t="s">
        <v>72</v>
      </c>
      <c r="D200" s="12" t="str">
        <f t="shared" ref="D200:AL200" si="355">IF(D$3="","",C200)</f>
        <v>サミュエル</v>
      </c>
      <c r="E200" s="12" t="str">
        <f t="shared" si="355"/>
        <v>サミュエル</v>
      </c>
      <c r="F200" s="131" t="str">
        <f t="shared" si="355"/>
        <v>サミュエル</v>
      </c>
      <c r="G200" s="12" t="str">
        <f t="shared" si="355"/>
        <v>サミュエル</v>
      </c>
      <c r="H200" s="12" t="str">
        <f t="shared" si="355"/>
        <v>サミュエル</v>
      </c>
      <c r="I200" s="131" t="str">
        <f t="shared" si="355"/>
        <v>サミュエル</v>
      </c>
      <c r="J200" s="12" t="str">
        <f t="shared" si="355"/>
        <v>サミュエル</v>
      </c>
      <c r="K200" s="12" t="str">
        <f t="shared" si="355"/>
        <v>サミュエル</v>
      </c>
      <c r="L200" s="131" t="str">
        <f t="shared" si="355"/>
        <v>サミュエル</v>
      </c>
      <c r="M200" s="12" t="str">
        <f t="shared" si="355"/>
        <v>サミュエル</v>
      </c>
      <c r="N200" s="12" t="str">
        <f t="shared" si="355"/>
        <v>サミュエル</v>
      </c>
      <c r="O200" s="12" t="str">
        <f t="shared" si="355"/>
        <v>サミュエル</v>
      </c>
      <c r="P200" s="131" t="str">
        <f t="shared" si="355"/>
        <v>サミュエル</v>
      </c>
      <c r="Q200" s="12" t="str">
        <f t="shared" si="355"/>
        <v>サミュエル</v>
      </c>
      <c r="R200" s="12" t="str">
        <f t="shared" si="355"/>
        <v>サミュエル</v>
      </c>
      <c r="S200" s="12" t="str">
        <f t="shared" si="355"/>
        <v>サミュエル</v>
      </c>
      <c r="T200" s="12" t="str">
        <f t="shared" si="355"/>
        <v>サミュエル</v>
      </c>
      <c r="U200" s="12" t="str">
        <f t="shared" si="355"/>
        <v>サミュエル</v>
      </c>
      <c r="V200" s="12" t="str">
        <f t="shared" si="355"/>
        <v>サミュエル</v>
      </c>
      <c r="W200" s="12" t="str">
        <f t="shared" si="355"/>
        <v>サミュエル</v>
      </c>
      <c r="X200" s="12" t="str">
        <f t="shared" si="355"/>
        <v>サミュエル</v>
      </c>
      <c r="Y200" s="12" t="str">
        <f t="shared" si="355"/>
        <v>サミュエル</v>
      </c>
      <c r="Z200" s="12" t="str">
        <f t="shared" si="355"/>
        <v>サミュエル</v>
      </c>
      <c r="AA200" s="12" t="str">
        <f t="shared" si="355"/>
        <v>サミュエル</v>
      </c>
      <c r="AB200" s="12" t="str">
        <f t="shared" si="355"/>
        <v>サミュエル</v>
      </c>
      <c r="AC200" s="12" t="str">
        <f t="shared" si="355"/>
        <v>サミュエル</v>
      </c>
      <c r="AD200" s="75" t="str">
        <f t="shared" si="355"/>
        <v>サミュエル</v>
      </c>
      <c r="AE200" s="12" t="str">
        <f t="shared" si="355"/>
        <v>サミュエル</v>
      </c>
      <c r="AF200" s="12" t="str">
        <f t="shared" si="355"/>
        <v>サミュエル</v>
      </c>
      <c r="AG200" s="12" t="str">
        <f t="shared" si="355"/>
        <v/>
      </c>
      <c r="AH200" s="12" t="str">
        <f t="shared" si="355"/>
        <v/>
      </c>
      <c r="AI200" s="12" t="str">
        <f t="shared" si="355"/>
        <v/>
      </c>
      <c r="AJ200" s="12" t="str">
        <f t="shared" si="355"/>
        <v/>
      </c>
      <c r="AK200" s="12" t="str">
        <f t="shared" si="355"/>
        <v/>
      </c>
      <c r="AL200" s="12" t="str">
        <f t="shared" si="355"/>
        <v/>
      </c>
      <c r="AM200" s="12" t="str">
        <f t="shared" ref="AM200:AS200" si="356">IF(AM$3="","",AL200)</f>
        <v/>
      </c>
      <c r="AN200" s="12" t="str">
        <f t="shared" si="356"/>
        <v/>
      </c>
      <c r="AO200" s="12" t="str">
        <f t="shared" si="356"/>
        <v/>
      </c>
      <c r="AP200" s="12" t="str">
        <f t="shared" si="356"/>
        <v/>
      </c>
      <c r="AQ200" s="12" t="str">
        <f t="shared" si="356"/>
        <v/>
      </c>
      <c r="AR200" s="12" t="str">
        <f t="shared" si="356"/>
        <v/>
      </c>
      <c r="AS200" s="12" t="str">
        <f t="shared" si="356"/>
        <v/>
      </c>
    </row>
    <row r="201" spans="1:45" s="1" customFormat="1" ht="11">
      <c r="A201" s="7">
        <f>AVERAGE(C202:AS202)*30*100</f>
        <v>100100</v>
      </c>
      <c r="B201" s="9" t="s">
        <v>14</v>
      </c>
      <c r="C201" s="74"/>
      <c r="D201" s="8"/>
      <c r="E201" s="8"/>
      <c r="F201" s="59"/>
      <c r="G201" s="8"/>
      <c r="H201" s="8"/>
      <c r="I201" s="59"/>
      <c r="J201" s="8"/>
      <c r="K201" s="8"/>
      <c r="L201" s="59"/>
      <c r="M201" s="8"/>
      <c r="N201" s="8"/>
      <c r="O201" s="8"/>
      <c r="P201" s="59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74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</row>
    <row r="202" spans="1:45" s="1" customFormat="1" ht="11">
      <c r="A202" s="7">
        <f>SUM(C202:AS202)</f>
        <v>1001</v>
      </c>
      <c r="B202" s="6" t="s">
        <v>15</v>
      </c>
      <c r="C202" s="74">
        <v>0</v>
      </c>
      <c r="D202" s="5">
        <f t="shared" ref="D202:AL202" si="357">IF(D$3="","",D195-C195)</f>
        <v>0</v>
      </c>
      <c r="E202" s="5">
        <f t="shared" si="357"/>
        <v>42</v>
      </c>
      <c r="F202" s="59">
        <f t="shared" si="357"/>
        <v>0</v>
      </c>
      <c r="G202" s="5">
        <f t="shared" si="357"/>
        <v>0</v>
      </c>
      <c r="H202" s="5">
        <f t="shared" si="357"/>
        <v>250</v>
      </c>
      <c r="I202" s="59">
        <f t="shared" si="357"/>
        <v>0</v>
      </c>
      <c r="J202" s="5">
        <f t="shared" si="357"/>
        <v>0</v>
      </c>
      <c r="K202" s="5">
        <f t="shared" si="357"/>
        <v>105</v>
      </c>
      <c r="L202" s="59">
        <f t="shared" si="357"/>
        <v>0</v>
      </c>
      <c r="M202" s="5">
        <f t="shared" si="357"/>
        <v>0</v>
      </c>
      <c r="N202" s="5">
        <f t="shared" si="357"/>
        <v>0</v>
      </c>
      <c r="O202" s="5">
        <f t="shared" si="357"/>
        <v>300</v>
      </c>
      <c r="P202" s="59">
        <f t="shared" si="357"/>
        <v>0</v>
      </c>
      <c r="Q202" s="5">
        <f t="shared" si="357"/>
        <v>0</v>
      </c>
      <c r="R202" s="5">
        <f t="shared" si="357"/>
        <v>88</v>
      </c>
      <c r="S202" s="5">
        <f t="shared" si="357"/>
        <v>0</v>
      </c>
      <c r="T202" s="5">
        <f t="shared" si="357"/>
        <v>0</v>
      </c>
      <c r="U202" s="5">
        <f t="shared" si="357"/>
        <v>0</v>
      </c>
      <c r="V202" s="5">
        <f t="shared" si="357"/>
        <v>21</v>
      </c>
      <c r="W202" s="5">
        <f t="shared" si="357"/>
        <v>0</v>
      </c>
      <c r="X202" s="5">
        <f t="shared" si="357"/>
        <v>0</v>
      </c>
      <c r="Y202" s="5">
        <f t="shared" si="357"/>
        <v>86</v>
      </c>
      <c r="Z202" s="5">
        <f t="shared" si="357"/>
        <v>0</v>
      </c>
      <c r="AA202" s="5">
        <f t="shared" si="357"/>
        <v>0</v>
      </c>
      <c r="AB202" s="5">
        <f t="shared" si="357"/>
        <v>0</v>
      </c>
      <c r="AC202" s="5">
        <f t="shared" si="357"/>
        <v>38</v>
      </c>
      <c r="AD202" s="74">
        <f t="shared" si="357"/>
        <v>0</v>
      </c>
      <c r="AE202" s="5">
        <f t="shared" si="357"/>
        <v>0</v>
      </c>
      <c r="AF202" s="5">
        <f t="shared" si="357"/>
        <v>71</v>
      </c>
      <c r="AG202" s="5" t="str">
        <f t="shared" si="357"/>
        <v/>
      </c>
      <c r="AH202" s="5" t="str">
        <f t="shared" si="357"/>
        <v/>
      </c>
      <c r="AI202" s="5" t="str">
        <f t="shared" si="357"/>
        <v/>
      </c>
      <c r="AJ202" s="5" t="str">
        <f t="shared" si="357"/>
        <v/>
      </c>
      <c r="AK202" s="5" t="str">
        <f t="shared" si="357"/>
        <v/>
      </c>
      <c r="AL202" s="5" t="str">
        <f t="shared" si="357"/>
        <v/>
      </c>
      <c r="AM202" s="5" t="str">
        <f t="shared" ref="AM202:AS202" si="358">IF(AM$3="","",AM195-AL195)</f>
        <v/>
      </c>
      <c r="AN202" s="5" t="str">
        <f t="shared" si="358"/>
        <v/>
      </c>
      <c r="AO202" s="5" t="str">
        <f t="shared" si="358"/>
        <v/>
      </c>
      <c r="AP202" s="5" t="str">
        <f t="shared" si="358"/>
        <v/>
      </c>
      <c r="AQ202" s="5" t="str">
        <f t="shared" si="358"/>
        <v/>
      </c>
      <c r="AR202" s="5" t="str">
        <f t="shared" si="358"/>
        <v/>
      </c>
      <c r="AS202" s="5" t="str">
        <f t="shared" si="358"/>
        <v/>
      </c>
    </row>
    <row r="203" spans="1:45" s="1" customFormat="1" ht="11">
      <c r="A203" s="7">
        <f>SUM(C203:AS203)</f>
        <v>13</v>
      </c>
      <c r="B203" s="6" t="s">
        <v>16</v>
      </c>
      <c r="C203" s="74">
        <v>0</v>
      </c>
      <c r="D203" s="5">
        <f t="shared" ref="D203:AL203" si="359">IF(D$3="","",D196-C196)</f>
        <v>0</v>
      </c>
      <c r="E203" s="5">
        <f t="shared" si="359"/>
        <v>3</v>
      </c>
      <c r="F203" s="59">
        <f t="shared" si="359"/>
        <v>0</v>
      </c>
      <c r="G203" s="5">
        <f t="shared" si="359"/>
        <v>0</v>
      </c>
      <c r="H203" s="5">
        <f t="shared" si="359"/>
        <v>2</v>
      </c>
      <c r="I203" s="59">
        <f t="shared" si="359"/>
        <v>0</v>
      </c>
      <c r="J203" s="5">
        <f t="shared" si="359"/>
        <v>0</v>
      </c>
      <c r="K203" s="5">
        <f t="shared" si="359"/>
        <v>1</v>
      </c>
      <c r="L203" s="59">
        <f t="shared" si="359"/>
        <v>0</v>
      </c>
      <c r="M203" s="5">
        <f t="shared" si="359"/>
        <v>0</v>
      </c>
      <c r="N203" s="5">
        <f t="shared" si="359"/>
        <v>0</v>
      </c>
      <c r="O203" s="5">
        <f t="shared" si="359"/>
        <v>3</v>
      </c>
      <c r="P203" s="59">
        <f t="shared" si="359"/>
        <v>0</v>
      </c>
      <c r="Q203" s="5">
        <f t="shared" si="359"/>
        <v>0</v>
      </c>
      <c r="R203" s="5">
        <f t="shared" si="359"/>
        <v>2</v>
      </c>
      <c r="S203" s="5">
        <f t="shared" si="359"/>
        <v>0</v>
      </c>
      <c r="T203" s="5">
        <f t="shared" si="359"/>
        <v>0</v>
      </c>
      <c r="U203" s="5">
        <f t="shared" si="359"/>
        <v>0</v>
      </c>
      <c r="V203" s="5">
        <f t="shared" si="359"/>
        <v>0</v>
      </c>
      <c r="W203" s="5">
        <f t="shared" si="359"/>
        <v>0</v>
      </c>
      <c r="X203" s="5">
        <f t="shared" si="359"/>
        <v>0</v>
      </c>
      <c r="Y203" s="5">
        <f t="shared" si="359"/>
        <v>0</v>
      </c>
      <c r="Z203" s="5">
        <f t="shared" si="359"/>
        <v>0</v>
      </c>
      <c r="AA203" s="5">
        <f t="shared" si="359"/>
        <v>0</v>
      </c>
      <c r="AB203" s="5">
        <f t="shared" si="359"/>
        <v>0</v>
      </c>
      <c r="AC203" s="5">
        <f t="shared" si="359"/>
        <v>1</v>
      </c>
      <c r="AD203" s="74">
        <f t="shared" si="359"/>
        <v>0</v>
      </c>
      <c r="AE203" s="5">
        <f t="shared" si="359"/>
        <v>0</v>
      </c>
      <c r="AF203" s="5">
        <f t="shared" si="359"/>
        <v>1</v>
      </c>
      <c r="AG203" s="5" t="str">
        <f t="shared" si="359"/>
        <v/>
      </c>
      <c r="AH203" s="5" t="str">
        <f t="shared" si="359"/>
        <v/>
      </c>
      <c r="AI203" s="5" t="str">
        <f t="shared" si="359"/>
        <v/>
      </c>
      <c r="AJ203" s="5" t="str">
        <f t="shared" si="359"/>
        <v/>
      </c>
      <c r="AK203" s="5" t="str">
        <f t="shared" si="359"/>
        <v/>
      </c>
      <c r="AL203" s="5" t="str">
        <f t="shared" si="359"/>
        <v/>
      </c>
      <c r="AM203" s="5" t="str">
        <f t="shared" ref="AM203:AS203" si="360">IF(AM$3="","",AM196-AL196)</f>
        <v/>
      </c>
      <c r="AN203" s="5" t="str">
        <f t="shared" si="360"/>
        <v/>
      </c>
      <c r="AO203" s="5" t="str">
        <f t="shared" si="360"/>
        <v/>
      </c>
      <c r="AP203" s="5" t="str">
        <f t="shared" si="360"/>
        <v/>
      </c>
      <c r="AQ203" s="5" t="str">
        <f t="shared" si="360"/>
        <v/>
      </c>
      <c r="AR203" s="5" t="str">
        <f t="shared" si="360"/>
        <v/>
      </c>
      <c r="AS203" s="5" t="str">
        <f t="shared" si="360"/>
        <v/>
      </c>
    </row>
    <row r="204" spans="1:45" s="1" customFormat="1" ht="11">
      <c r="A204" s="7">
        <f>SUM(C204:AS204)</f>
        <v>13</v>
      </c>
      <c r="B204" s="6" t="s">
        <v>17</v>
      </c>
      <c r="C204" s="74">
        <v>0</v>
      </c>
      <c r="D204" s="5">
        <f t="shared" ref="D204:AL204" si="361">IF(D$3="","",C197+C198-D197)</f>
        <v>0</v>
      </c>
      <c r="E204" s="5">
        <f t="shared" si="361"/>
        <v>3</v>
      </c>
      <c r="F204" s="59">
        <f t="shared" si="361"/>
        <v>0</v>
      </c>
      <c r="G204" s="5">
        <f t="shared" si="361"/>
        <v>0</v>
      </c>
      <c r="H204" s="5">
        <f t="shared" si="361"/>
        <v>2</v>
      </c>
      <c r="I204" s="59">
        <f t="shared" si="361"/>
        <v>0</v>
      </c>
      <c r="J204" s="5">
        <f t="shared" si="361"/>
        <v>0</v>
      </c>
      <c r="K204" s="5">
        <f t="shared" si="361"/>
        <v>1</v>
      </c>
      <c r="L204" s="59">
        <f t="shared" si="361"/>
        <v>0</v>
      </c>
      <c r="M204" s="5">
        <f t="shared" si="361"/>
        <v>0</v>
      </c>
      <c r="N204" s="5">
        <f t="shared" si="361"/>
        <v>0</v>
      </c>
      <c r="O204" s="5">
        <f t="shared" si="361"/>
        <v>3</v>
      </c>
      <c r="P204" s="59">
        <f t="shared" si="361"/>
        <v>0</v>
      </c>
      <c r="Q204" s="5">
        <f t="shared" si="361"/>
        <v>0</v>
      </c>
      <c r="R204" s="5">
        <f t="shared" si="361"/>
        <v>2</v>
      </c>
      <c r="S204" s="5">
        <f t="shared" si="361"/>
        <v>0</v>
      </c>
      <c r="T204" s="5">
        <f t="shared" si="361"/>
        <v>0</v>
      </c>
      <c r="U204" s="5">
        <f t="shared" si="361"/>
        <v>0</v>
      </c>
      <c r="V204" s="5">
        <f t="shared" si="361"/>
        <v>0</v>
      </c>
      <c r="W204" s="5">
        <f t="shared" si="361"/>
        <v>0</v>
      </c>
      <c r="X204" s="5">
        <f t="shared" si="361"/>
        <v>0</v>
      </c>
      <c r="Y204" s="5">
        <f t="shared" si="361"/>
        <v>0</v>
      </c>
      <c r="Z204" s="5">
        <f t="shared" si="361"/>
        <v>0</v>
      </c>
      <c r="AA204" s="5">
        <f t="shared" si="361"/>
        <v>0</v>
      </c>
      <c r="AB204" s="5">
        <f t="shared" si="361"/>
        <v>0</v>
      </c>
      <c r="AC204" s="5">
        <f t="shared" si="361"/>
        <v>1</v>
      </c>
      <c r="AD204" s="74">
        <f t="shared" si="361"/>
        <v>0</v>
      </c>
      <c r="AE204" s="5">
        <f t="shared" si="361"/>
        <v>0</v>
      </c>
      <c r="AF204" s="5">
        <f t="shared" si="361"/>
        <v>1</v>
      </c>
      <c r="AG204" s="5" t="str">
        <f t="shared" si="361"/>
        <v/>
      </c>
      <c r="AH204" s="5" t="str">
        <f t="shared" si="361"/>
        <v/>
      </c>
      <c r="AI204" s="5" t="str">
        <f t="shared" si="361"/>
        <v/>
      </c>
      <c r="AJ204" s="5" t="str">
        <f t="shared" si="361"/>
        <v/>
      </c>
      <c r="AK204" s="5" t="str">
        <f t="shared" si="361"/>
        <v/>
      </c>
      <c r="AL204" s="5" t="str">
        <f t="shared" si="361"/>
        <v/>
      </c>
      <c r="AM204" s="5" t="str">
        <f t="shared" ref="AM204:AS204" si="362">IF(AM$3="","",AL197+AL198-AM197)</f>
        <v/>
      </c>
      <c r="AN204" s="5" t="str">
        <f t="shared" si="362"/>
        <v/>
      </c>
      <c r="AO204" s="5" t="str">
        <f t="shared" si="362"/>
        <v/>
      </c>
      <c r="AP204" s="5" t="str">
        <f t="shared" si="362"/>
        <v/>
      </c>
      <c r="AQ204" s="5" t="str">
        <f t="shared" si="362"/>
        <v/>
      </c>
      <c r="AR204" s="5" t="str">
        <f t="shared" si="362"/>
        <v/>
      </c>
      <c r="AS204" s="5" t="str">
        <f t="shared" si="362"/>
        <v/>
      </c>
    </row>
    <row r="205" spans="1:45" s="1" customFormat="1" ht="11">
      <c r="A205" s="7">
        <f>SUM(C205:AS205)</f>
        <v>10400</v>
      </c>
      <c r="B205" s="6" t="s">
        <v>18</v>
      </c>
      <c r="C205" s="74">
        <v>0</v>
      </c>
      <c r="D205" s="5">
        <f t="shared" ref="D205:AL205" si="363">IF(D$3="","",D204*D199)</f>
        <v>0</v>
      </c>
      <c r="E205" s="5">
        <f t="shared" si="363"/>
        <v>2400</v>
      </c>
      <c r="F205" s="59">
        <f t="shared" si="363"/>
        <v>0</v>
      </c>
      <c r="G205" s="5">
        <f t="shared" si="363"/>
        <v>0</v>
      </c>
      <c r="H205" s="5">
        <f t="shared" si="363"/>
        <v>1600</v>
      </c>
      <c r="I205" s="59">
        <f t="shared" si="363"/>
        <v>0</v>
      </c>
      <c r="J205" s="5">
        <f t="shared" si="363"/>
        <v>0</v>
      </c>
      <c r="K205" s="5">
        <f t="shared" si="363"/>
        <v>800</v>
      </c>
      <c r="L205" s="59">
        <f t="shared" si="363"/>
        <v>0</v>
      </c>
      <c r="M205" s="5">
        <f t="shared" si="363"/>
        <v>0</v>
      </c>
      <c r="N205" s="5">
        <f t="shared" si="363"/>
        <v>0</v>
      </c>
      <c r="O205" s="5">
        <f t="shared" si="363"/>
        <v>2400</v>
      </c>
      <c r="P205" s="59">
        <f t="shared" si="363"/>
        <v>0</v>
      </c>
      <c r="Q205" s="5">
        <f t="shared" si="363"/>
        <v>0</v>
      </c>
      <c r="R205" s="5">
        <f t="shared" si="363"/>
        <v>1600</v>
      </c>
      <c r="S205" s="5">
        <f t="shared" si="363"/>
        <v>0</v>
      </c>
      <c r="T205" s="5">
        <f t="shared" si="363"/>
        <v>0</v>
      </c>
      <c r="U205" s="5">
        <f t="shared" si="363"/>
        <v>0</v>
      </c>
      <c r="V205" s="5">
        <f t="shared" si="363"/>
        <v>0</v>
      </c>
      <c r="W205" s="5">
        <f t="shared" si="363"/>
        <v>0</v>
      </c>
      <c r="X205" s="5">
        <f t="shared" si="363"/>
        <v>0</v>
      </c>
      <c r="Y205" s="5">
        <f t="shared" si="363"/>
        <v>0</v>
      </c>
      <c r="Z205" s="5">
        <f t="shared" si="363"/>
        <v>0</v>
      </c>
      <c r="AA205" s="5">
        <f t="shared" si="363"/>
        <v>0</v>
      </c>
      <c r="AB205" s="5">
        <f t="shared" si="363"/>
        <v>0</v>
      </c>
      <c r="AC205" s="5">
        <f t="shared" si="363"/>
        <v>800</v>
      </c>
      <c r="AD205" s="74">
        <f t="shared" si="363"/>
        <v>0</v>
      </c>
      <c r="AE205" s="5">
        <f t="shared" si="363"/>
        <v>0</v>
      </c>
      <c r="AF205" s="5">
        <f t="shared" si="363"/>
        <v>800</v>
      </c>
      <c r="AG205" s="5" t="str">
        <f t="shared" si="363"/>
        <v/>
      </c>
      <c r="AH205" s="5" t="str">
        <f t="shared" si="363"/>
        <v/>
      </c>
      <c r="AI205" s="5" t="str">
        <f t="shared" si="363"/>
        <v/>
      </c>
      <c r="AJ205" s="5" t="str">
        <f t="shared" si="363"/>
        <v/>
      </c>
      <c r="AK205" s="5" t="str">
        <f t="shared" si="363"/>
        <v/>
      </c>
      <c r="AL205" s="5" t="str">
        <f t="shared" si="363"/>
        <v/>
      </c>
      <c r="AM205" s="5" t="str">
        <f t="shared" ref="AM205:AS205" si="364">IF(AM$3="","",AM204*AM199)</f>
        <v/>
      </c>
      <c r="AN205" s="5" t="str">
        <f t="shared" si="364"/>
        <v/>
      </c>
      <c r="AO205" s="5" t="str">
        <f t="shared" si="364"/>
        <v/>
      </c>
      <c r="AP205" s="5" t="str">
        <f t="shared" si="364"/>
        <v/>
      </c>
      <c r="AQ205" s="5" t="str">
        <f t="shared" si="364"/>
        <v/>
      </c>
      <c r="AR205" s="5" t="str">
        <f t="shared" si="364"/>
        <v/>
      </c>
      <c r="AS205" s="5" t="str">
        <f t="shared" si="364"/>
        <v/>
      </c>
    </row>
    <row r="206" spans="1:45" s="1" customFormat="1" ht="12" thickBot="1">
      <c r="A206" s="4">
        <f>IF(A205="","",A205/(A202*100))</f>
        <v>0.1038961038961039</v>
      </c>
      <c r="B206" s="96" t="s">
        <v>20</v>
      </c>
      <c r="C206" s="109" t="s">
        <v>21</v>
      </c>
      <c r="D206" s="97" t="str">
        <f t="shared" ref="D206:AL206" si="365">IF(D$3="","",IF(D205=0,"",D205/(D202*100)))</f>
        <v/>
      </c>
      <c r="E206" s="97">
        <f t="shared" si="365"/>
        <v>0.5714285714285714</v>
      </c>
      <c r="F206" s="133" t="str">
        <f t="shared" si="365"/>
        <v/>
      </c>
      <c r="G206" s="97" t="str">
        <f t="shared" si="365"/>
        <v/>
      </c>
      <c r="H206" s="97">
        <f t="shared" si="365"/>
        <v>6.4000000000000001E-2</v>
      </c>
      <c r="I206" s="133" t="str">
        <f t="shared" si="365"/>
        <v/>
      </c>
      <c r="J206" s="97" t="str">
        <f t="shared" si="365"/>
        <v/>
      </c>
      <c r="K206" s="97">
        <f t="shared" si="365"/>
        <v>7.6190476190476197E-2</v>
      </c>
      <c r="L206" s="133" t="str">
        <f t="shared" si="365"/>
        <v/>
      </c>
      <c r="M206" s="97" t="str">
        <f t="shared" si="365"/>
        <v/>
      </c>
      <c r="N206" s="97" t="str">
        <f t="shared" si="365"/>
        <v/>
      </c>
      <c r="O206" s="97">
        <f t="shared" si="365"/>
        <v>0.08</v>
      </c>
      <c r="P206" s="133" t="str">
        <f t="shared" si="365"/>
        <v/>
      </c>
      <c r="Q206" s="97" t="str">
        <f t="shared" si="365"/>
        <v/>
      </c>
      <c r="R206" s="97">
        <f t="shared" si="365"/>
        <v>0.18181818181818182</v>
      </c>
      <c r="S206" s="97" t="str">
        <f t="shared" si="365"/>
        <v/>
      </c>
      <c r="T206" s="97" t="str">
        <f t="shared" si="365"/>
        <v/>
      </c>
      <c r="U206" s="97" t="str">
        <f t="shared" si="365"/>
        <v/>
      </c>
      <c r="V206" s="97" t="str">
        <f t="shared" si="365"/>
        <v/>
      </c>
      <c r="W206" s="97" t="str">
        <f t="shared" si="365"/>
        <v/>
      </c>
      <c r="X206" s="97" t="str">
        <f t="shared" si="365"/>
        <v/>
      </c>
      <c r="Y206" s="97" t="str">
        <f t="shared" si="365"/>
        <v/>
      </c>
      <c r="Z206" s="97" t="str">
        <f t="shared" si="365"/>
        <v/>
      </c>
      <c r="AA206" s="97" t="str">
        <f t="shared" si="365"/>
        <v/>
      </c>
      <c r="AB206" s="97" t="str">
        <f t="shared" si="365"/>
        <v/>
      </c>
      <c r="AC206" s="97">
        <f t="shared" si="365"/>
        <v>0.21052631578947367</v>
      </c>
      <c r="AD206" s="109" t="str">
        <f t="shared" si="365"/>
        <v/>
      </c>
      <c r="AE206" s="97" t="str">
        <f t="shared" si="365"/>
        <v/>
      </c>
      <c r="AF206" s="97">
        <f t="shared" si="365"/>
        <v>0.11267605633802817</v>
      </c>
      <c r="AG206" s="97" t="str">
        <f t="shared" si="365"/>
        <v/>
      </c>
      <c r="AH206" s="97" t="str">
        <f t="shared" si="365"/>
        <v/>
      </c>
      <c r="AI206" s="97" t="str">
        <f t="shared" si="365"/>
        <v/>
      </c>
      <c r="AJ206" s="97" t="str">
        <f t="shared" si="365"/>
        <v/>
      </c>
      <c r="AK206" s="97" t="str">
        <f t="shared" si="365"/>
        <v/>
      </c>
      <c r="AL206" s="97" t="str">
        <f t="shared" si="365"/>
        <v/>
      </c>
      <c r="AM206" s="97" t="str">
        <f t="shared" ref="AM206:AS206" si="366">IF(AM$3="","",IF(AM205=0,"",AM205/(AM202*100)))</f>
        <v/>
      </c>
      <c r="AN206" s="97" t="str">
        <f t="shared" si="366"/>
        <v/>
      </c>
      <c r="AO206" s="97" t="str">
        <f t="shared" si="366"/>
        <v/>
      </c>
      <c r="AP206" s="97" t="str">
        <f t="shared" si="366"/>
        <v/>
      </c>
      <c r="AQ206" s="97" t="str">
        <f t="shared" si="366"/>
        <v/>
      </c>
      <c r="AR206" s="97" t="str">
        <f t="shared" si="366"/>
        <v/>
      </c>
      <c r="AS206" s="97" t="str">
        <f t="shared" si="366"/>
        <v/>
      </c>
    </row>
    <row r="207" spans="1:45" s="1" customFormat="1" ht="11">
      <c r="A207" s="22" t="s">
        <v>61</v>
      </c>
      <c r="B207" s="21" t="s">
        <v>2</v>
      </c>
      <c r="C207" s="73">
        <v>5785</v>
      </c>
      <c r="D207" s="20">
        <f>IF(D$3="","",C207)</f>
        <v>5785</v>
      </c>
      <c r="E207" s="20">
        <v>5929</v>
      </c>
      <c r="F207" s="130">
        <f>IF(F$3="","",E207)</f>
        <v>5929</v>
      </c>
      <c r="G207" s="20">
        <f>IF(G$3="","",F207)</f>
        <v>5929</v>
      </c>
      <c r="H207" s="20">
        <v>6067</v>
      </c>
      <c r="I207" s="130">
        <f>IF(I$3="","",H207)</f>
        <v>6067</v>
      </c>
      <c r="J207" s="20">
        <f>IF(J$3="","",I207)</f>
        <v>6067</v>
      </c>
      <c r="K207" s="20">
        <v>6180</v>
      </c>
      <c r="L207" s="130">
        <f t="shared" ref="L207:N208" si="367">IF(L$3="","",K207)</f>
        <v>6180</v>
      </c>
      <c r="M207" s="20">
        <f t="shared" si="367"/>
        <v>6180</v>
      </c>
      <c r="N207" s="20">
        <f t="shared" si="367"/>
        <v>6180</v>
      </c>
      <c r="O207" s="20">
        <v>6296</v>
      </c>
      <c r="P207" s="130">
        <f>IF(P$3="","",O207)</f>
        <v>6296</v>
      </c>
      <c r="Q207" s="20">
        <f>IF(Q$3="","",P207)</f>
        <v>6296</v>
      </c>
      <c r="R207" s="20">
        <v>6358</v>
      </c>
      <c r="S207" s="20">
        <f t="shared" ref="S207:AL207" si="368">IF(S$3="","",R207)</f>
        <v>6358</v>
      </c>
      <c r="T207" s="20">
        <f t="shared" si="368"/>
        <v>6358</v>
      </c>
      <c r="U207" s="20">
        <f t="shared" si="368"/>
        <v>6358</v>
      </c>
      <c r="V207" s="20">
        <v>6400</v>
      </c>
      <c r="W207" s="20">
        <f t="shared" si="368"/>
        <v>6400</v>
      </c>
      <c r="X207" s="20">
        <f t="shared" si="368"/>
        <v>6400</v>
      </c>
      <c r="Y207" s="20">
        <v>6598</v>
      </c>
      <c r="Z207" s="20">
        <f t="shared" si="368"/>
        <v>6598</v>
      </c>
      <c r="AA207" s="20">
        <f t="shared" si="368"/>
        <v>6598</v>
      </c>
      <c r="AB207" s="20">
        <f t="shared" si="368"/>
        <v>6598</v>
      </c>
      <c r="AC207" s="20">
        <v>6606</v>
      </c>
      <c r="AD207" s="73">
        <f t="shared" si="368"/>
        <v>6606</v>
      </c>
      <c r="AE207" s="20">
        <f t="shared" si="368"/>
        <v>6606</v>
      </c>
      <c r="AF207" s="20">
        <v>6691</v>
      </c>
      <c r="AG207" s="20" t="str">
        <f t="shared" si="368"/>
        <v/>
      </c>
      <c r="AH207" s="20" t="str">
        <f t="shared" si="368"/>
        <v/>
      </c>
      <c r="AI207" s="20" t="str">
        <f t="shared" si="368"/>
        <v/>
      </c>
      <c r="AJ207" s="20" t="str">
        <f t="shared" si="368"/>
        <v/>
      </c>
      <c r="AK207" s="20" t="str">
        <f t="shared" si="368"/>
        <v/>
      </c>
      <c r="AL207" s="20" t="str">
        <f t="shared" si="368"/>
        <v/>
      </c>
      <c r="AM207" s="20" t="str">
        <f t="shared" ref="AM207:AS207" si="369">IF(AM$3="","",AL207)</f>
        <v/>
      </c>
      <c r="AN207" s="20" t="str">
        <f t="shared" si="369"/>
        <v/>
      </c>
      <c r="AO207" s="20" t="str">
        <f t="shared" si="369"/>
        <v/>
      </c>
      <c r="AP207" s="20" t="str">
        <f t="shared" si="369"/>
        <v/>
      </c>
      <c r="AQ207" s="20" t="str">
        <f t="shared" si="369"/>
        <v/>
      </c>
      <c r="AR207" s="20" t="str">
        <f t="shared" si="369"/>
        <v/>
      </c>
      <c r="AS207" s="20" t="str">
        <f t="shared" si="369"/>
        <v/>
      </c>
    </row>
    <row r="208" spans="1:45" s="1" customFormat="1" ht="11">
      <c r="A208" s="16" t="s">
        <v>59</v>
      </c>
      <c r="B208" s="9" t="s">
        <v>4</v>
      </c>
      <c r="C208" s="74">
        <v>388</v>
      </c>
      <c r="D208" s="8">
        <f>IF(D$3="","",C208)</f>
        <v>388</v>
      </c>
      <c r="E208" s="8">
        <v>390</v>
      </c>
      <c r="F208" s="59">
        <f>IF(F$3="","",E208)</f>
        <v>390</v>
      </c>
      <c r="G208" s="8">
        <f>IF(G$3="","",F208)</f>
        <v>390</v>
      </c>
      <c r="H208" s="8">
        <v>393</v>
      </c>
      <c r="I208" s="59">
        <f>IF(I$3="","",H208)</f>
        <v>393</v>
      </c>
      <c r="J208" s="8">
        <f>IF(J$3="","",I208)</f>
        <v>393</v>
      </c>
      <c r="K208" s="8">
        <v>394</v>
      </c>
      <c r="L208" s="59">
        <f t="shared" si="367"/>
        <v>394</v>
      </c>
      <c r="M208" s="8">
        <f t="shared" si="367"/>
        <v>394</v>
      </c>
      <c r="N208" s="8">
        <f t="shared" si="367"/>
        <v>394</v>
      </c>
      <c r="O208" s="8">
        <v>397</v>
      </c>
      <c r="P208" s="59">
        <f>IF(P$3="","",O208)</f>
        <v>397</v>
      </c>
      <c r="Q208" s="8">
        <f>IF(Q$3="","",P208)</f>
        <v>397</v>
      </c>
      <c r="R208" s="8">
        <v>398</v>
      </c>
      <c r="S208" s="8">
        <f t="shared" ref="S208:AL208" si="370">IF(S$3="","",R208)</f>
        <v>398</v>
      </c>
      <c r="T208" s="8">
        <f t="shared" si="370"/>
        <v>398</v>
      </c>
      <c r="U208" s="8">
        <f t="shared" si="370"/>
        <v>398</v>
      </c>
      <c r="V208" s="8">
        <v>399</v>
      </c>
      <c r="W208" s="8">
        <f t="shared" si="370"/>
        <v>399</v>
      </c>
      <c r="X208" s="8">
        <f t="shared" si="370"/>
        <v>399</v>
      </c>
      <c r="Y208" s="8">
        <v>401</v>
      </c>
      <c r="Z208" s="8">
        <f t="shared" si="370"/>
        <v>401</v>
      </c>
      <c r="AA208" s="8">
        <f t="shared" si="370"/>
        <v>401</v>
      </c>
      <c r="AB208" s="8">
        <f t="shared" si="370"/>
        <v>401</v>
      </c>
      <c r="AC208" s="8">
        <f t="shared" si="370"/>
        <v>401</v>
      </c>
      <c r="AD208" s="74">
        <f t="shared" si="370"/>
        <v>401</v>
      </c>
      <c r="AE208" s="8">
        <f t="shared" si="370"/>
        <v>401</v>
      </c>
      <c r="AF208" s="8">
        <f t="shared" si="370"/>
        <v>401</v>
      </c>
      <c r="AG208" s="8" t="str">
        <f t="shared" si="370"/>
        <v/>
      </c>
      <c r="AH208" s="8" t="str">
        <f t="shared" si="370"/>
        <v/>
      </c>
      <c r="AI208" s="8" t="str">
        <f t="shared" si="370"/>
        <v/>
      </c>
      <c r="AJ208" s="8" t="str">
        <f t="shared" si="370"/>
        <v/>
      </c>
      <c r="AK208" s="8" t="str">
        <f t="shared" si="370"/>
        <v/>
      </c>
      <c r="AL208" s="8" t="str">
        <f t="shared" si="370"/>
        <v/>
      </c>
      <c r="AM208" s="8" t="str">
        <f t="shared" ref="AM208:AS208" si="371">IF(AM$3="","",AL208)</f>
        <v/>
      </c>
      <c r="AN208" s="8" t="str">
        <f t="shared" si="371"/>
        <v/>
      </c>
      <c r="AO208" s="8" t="str">
        <f t="shared" si="371"/>
        <v/>
      </c>
      <c r="AP208" s="8" t="str">
        <f t="shared" si="371"/>
        <v/>
      </c>
      <c r="AQ208" s="8" t="str">
        <f t="shared" si="371"/>
        <v/>
      </c>
      <c r="AR208" s="8" t="str">
        <f t="shared" si="371"/>
        <v/>
      </c>
      <c r="AS208" s="8" t="str">
        <f t="shared" si="371"/>
        <v/>
      </c>
    </row>
    <row r="209" spans="1:46" s="1" customFormat="1" ht="11">
      <c r="A209" s="15">
        <v>2</v>
      </c>
      <c r="B209" s="9" t="s">
        <v>5</v>
      </c>
      <c r="C209" s="74">
        <v>43</v>
      </c>
      <c r="D209" s="8">
        <f>IF(D$3="","",(C209+C210))</f>
        <v>43</v>
      </c>
      <c r="E209" s="8">
        <v>41</v>
      </c>
      <c r="F209" s="59">
        <f>IF(F$3="","",(E209+E210))</f>
        <v>45</v>
      </c>
      <c r="G209" s="8">
        <f>IF(G$3="","",(F209+F210))</f>
        <v>45</v>
      </c>
      <c r="H209" s="8">
        <v>42</v>
      </c>
      <c r="I209" s="59">
        <f>IF(I$3="","",(H209+H210))</f>
        <v>45</v>
      </c>
      <c r="J209" s="8">
        <f>IF(J$3="","",(I209+I210))</f>
        <v>45</v>
      </c>
      <c r="K209" s="8">
        <v>44</v>
      </c>
      <c r="L209" s="59">
        <f>IF(L$3="","",(K209+K210))</f>
        <v>50</v>
      </c>
      <c r="M209" s="8">
        <f>IF(M$3="","",(L209+L210))</f>
        <v>50</v>
      </c>
      <c r="N209" s="8">
        <f>IF(N$3="","",(M209+M210))</f>
        <v>50</v>
      </c>
      <c r="O209" s="8">
        <v>47</v>
      </c>
      <c r="P209" s="59">
        <f>IF(P$3="","",(O209+O210))</f>
        <v>50</v>
      </c>
      <c r="Q209" s="8">
        <f>IF(Q$3="","",(P209+P210))</f>
        <v>50</v>
      </c>
      <c r="R209" s="8">
        <v>49</v>
      </c>
      <c r="S209" s="8">
        <f t="shared" ref="S209:AL209" si="372">IF(S$3="","",(R209+R210))</f>
        <v>49</v>
      </c>
      <c r="T209" s="8">
        <f t="shared" si="372"/>
        <v>49</v>
      </c>
      <c r="U209" s="8">
        <f t="shared" si="372"/>
        <v>49</v>
      </c>
      <c r="V209" s="8">
        <v>48</v>
      </c>
      <c r="W209" s="8">
        <f t="shared" si="372"/>
        <v>48</v>
      </c>
      <c r="X209" s="8">
        <f t="shared" si="372"/>
        <v>48</v>
      </c>
      <c r="Y209" s="8">
        <v>47</v>
      </c>
      <c r="Z209" s="8">
        <f t="shared" si="372"/>
        <v>47</v>
      </c>
      <c r="AA209" s="8">
        <f t="shared" si="372"/>
        <v>47</v>
      </c>
      <c r="AB209" s="8">
        <f t="shared" si="372"/>
        <v>47</v>
      </c>
      <c r="AC209" s="8">
        <f t="shared" si="372"/>
        <v>47</v>
      </c>
      <c r="AD209" s="74">
        <f t="shared" si="372"/>
        <v>47</v>
      </c>
      <c r="AE209" s="8">
        <f t="shared" si="372"/>
        <v>47</v>
      </c>
      <c r="AF209" s="8">
        <f t="shared" si="372"/>
        <v>47</v>
      </c>
      <c r="AG209" s="8" t="str">
        <f t="shared" si="372"/>
        <v/>
      </c>
      <c r="AH209" s="8" t="str">
        <f t="shared" si="372"/>
        <v/>
      </c>
      <c r="AI209" s="8" t="str">
        <f t="shared" si="372"/>
        <v/>
      </c>
      <c r="AJ209" s="8" t="str">
        <f t="shared" si="372"/>
        <v/>
      </c>
      <c r="AK209" s="8" t="str">
        <f t="shared" si="372"/>
        <v/>
      </c>
      <c r="AL209" s="8" t="str">
        <f t="shared" si="372"/>
        <v/>
      </c>
      <c r="AM209" s="8" t="str">
        <f t="shared" ref="AM209:AS209" si="373">IF(AM$3="","",(AL209+AL210))</f>
        <v/>
      </c>
      <c r="AN209" s="8" t="str">
        <f t="shared" si="373"/>
        <v/>
      </c>
      <c r="AO209" s="8" t="str">
        <f t="shared" si="373"/>
        <v/>
      </c>
      <c r="AP209" s="8" t="str">
        <f t="shared" si="373"/>
        <v/>
      </c>
      <c r="AQ209" s="8" t="str">
        <f t="shared" si="373"/>
        <v/>
      </c>
      <c r="AR209" s="8" t="str">
        <f t="shared" si="373"/>
        <v/>
      </c>
      <c r="AS209" s="8" t="str">
        <f t="shared" si="373"/>
        <v/>
      </c>
    </row>
    <row r="210" spans="1:46" s="1" customFormat="1" ht="11">
      <c r="A210" s="14"/>
      <c r="B210" s="9" t="s">
        <v>7</v>
      </c>
      <c r="C210" s="74"/>
      <c r="D210" s="8"/>
      <c r="E210" s="8">
        <v>4</v>
      </c>
      <c r="F210" s="59"/>
      <c r="G210" s="8"/>
      <c r="H210" s="8">
        <v>3</v>
      </c>
      <c r="I210" s="59"/>
      <c r="J210" s="8"/>
      <c r="K210" s="8">
        <v>6</v>
      </c>
      <c r="L210" s="59"/>
      <c r="M210" s="8"/>
      <c r="N210" s="8"/>
      <c r="O210" s="8">
        <v>3</v>
      </c>
      <c r="P210" s="59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74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</row>
    <row r="211" spans="1:46" s="1" customFormat="1" ht="11">
      <c r="A211" s="7"/>
      <c r="B211" s="9" t="s">
        <v>8</v>
      </c>
      <c r="C211" s="74">
        <v>1500</v>
      </c>
      <c r="D211" s="8">
        <f t="shared" ref="D211:AL211" si="374">IF(D$3="","",C211)</f>
        <v>1500</v>
      </c>
      <c r="E211" s="8">
        <f t="shared" si="374"/>
        <v>1500</v>
      </c>
      <c r="F211" s="59">
        <f t="shared" si="374"/>
        <v>1500</v>
      </c>
      <c r="G211" s="8">
        <f t="shared" si="374"/>
        <v>1500</v>
      </c>
      <c r="H211" s="8">
        <f t="shared" si="374"/>
        <v>1500</v>
      </c>
      <c r="I211" s="59">
        <f t="shared" si="374"/>
        <v>1500</v>
      </c>
      <c r="J211" s="8">
        <f t="shared" si="374"/>
        <v>1500</v>
      </c>
      <c r="K211" s="8">
        <f t="shared" si="374"/>
        <v>1500</v>
      </c>
      <c r="L211" s="59">
        <f t="shared" si="374"/>
        <v>1500</v>
      </c>
      <c r="M211" s="8">
        <f t="shared" si="374"/>
        <v>1500</v>
      </c>
      <c r="N211" s="8">
        <f t="shared" si="374"/>
        <v>1500</v>
      </c>
      <c r="O211" s="8">
        <f t="shared" si="374"/>
        <v>1500</v>
      </c>
      <c r="P211" s="59">
        <f t="shared" si="374"/>
        <v>1500</v>
      </c>
      <c r="Q211" s="8">
        <f t="shared" si="374"/>
        <v>1500</v>
      </c>
      <c r="R211" s="8">
        <f t="shared" si="374"/>
        <v>1500</v>
      </c>
      <c r="S211" s="8">
        <f t="shared" si="374"/>
        <v>1500</v>
      </c>
      <c r="T211" s="8">
        <f t="shared" si="374"/>
        <v>1500</v>
      </c>
      <c r="U211" s="8">
        <f t="shared" si="374"/>
        <v>1500</v>
      </c>
      <c r="V211" s="8">
        <f t="shared" si="374"/>
        <v>1500</v>
      </c>
      <c r="W211" s="8">
        <f t="shared" si="374"/>
        <v>1500</v>
      </c>
      <c r="X211" s="8">
        <f t="shared" si="374"/>
        <v>1500</v>
      </c>
      <c r="Y211" s="8">
        <f t="shared" si="374"/>
        <v>1500</v>
      </c>
      <c r="Z211" s="8">
        <f t="shared" si="374"/>
        <v>1500</v>
      </c>
      <c r="AA211" s="8">
        <f t="shared" si="374"/>
        <v>1500</v>
      </c>
      <c r="AB211" s="8">
        <f t="shared" si="374"/>
        <v>1500</v>
      </c>
      <c r="AC211" s="8">
        <f t="shared" si="374"/>
        <v>1500</v>
      </c>
      <c r="AD211" s="74">
        <f t="shared" si="374"/>
        <v>1500</v>
      </c>
      <c r="AE211" s="8">
        <f t="shared" si="374"/>
        <v>1500</v>
      </c>
      <c r="AF211" s="8">
        <f t="shared" si="374"/>
        <v>1500</v>
      </c>
      <c r="AG211" s="8" t="str">
        <f t="shared" si="374"/>
        <v/>
      </c>
      <c r="AH211" s="8" t="str">
        <f t="shared" si="374"/>
        <v/>
      </c>
      <c r="AI211" s="8" t="str">
        <f t="shared" si="374"/>
        <v/>
      </c>
      <c r="AJ211" s="8" t="str">
        <f t="shared" si="374"/>
        <v/>
      </c>
      <c r="AK211" s="8" t="str">
        <f t="shared" si="374"/>
        <v/>
      </c>
      <c r="AL211" s="8" t="str">
        <f t="shared" si="374"/>
        <v/>
      </c>
      <c r="AM211" s="8" t="str">
        <f t="shared" ref="AM211:AS211" si="375">IF(AM$3="","",AL211)</f>
        <v/>
      </c>
      <c r="AN211" s="8" t="str">
        <f t="shared" si="375"/>
        <v/>
      </c>
      <c r="AO211" s="8" t="str">
        <f t="shared" si="375"/>
        <v/>
      </c>
      <c r="AP211" s="8" t="str">
        <f t="shared" si="375"/>
        <v/>
      </c>
      <c r="AQ211" s="8" t="str">
        <f t="shared" si="375"/>
        <v/>
      </c>
      <c r="AR211" s="8" t="str">
        <f t="shared" si="375"/>
        <v/>
      </c>
      <c r="AS211" s="8" t="str">
        <f t="shared" si="375"/>
        <v/>
      </c>
    </row>
    <row r="212" spans="1:46" s="94" customFormat="1" ht="11">
      <c r="A212" s="14" t="s">
        <v>9</v>
      </c>
      <c r="B212" s="13" t="s">
        <v>10</v>
      </c>
      <c r="C212" s="75" t="s">
        <v>73</v>
      </c>
      <c r="D212" s="12" t="str">
        <f t="shared" ref="D212:AL212" si="376">IF(D$3="","",C212)</f>
        <v>サンリオ着ぐるみマスコット</v>
      </c>
      <c r="E212" s="12" t="str">
        <f t="shared" si="376"/>
        <v>サンリオ着ぐるみマスコット</v>
      </c>
      <c r="F212" s="131" t="str">
        <f t="shared" si="376"/>
        <v>サンリオ着ぐるみマスコット</v>
      </c>
      <c r="G212" s="12" t="str">
        <f t="shared" si="376"/>
        <v>サンリオ着ぐるみマスコット</v>
      </c>
      <c r="H212" s="12" t="str">
        <f t="shared" si="376"/>
        <v>サンリオ着ぐるみマスコット</v>
      </c>
      <c r="I212" s="131" t="str">
        <f t="shared" si="376"/>
        <v>サンリオ着ぐるみマスコット</v>
      </c>
      <c r="J212" s="12" t="str">
        <f t="shared" si="376"/>
        <v>サンリオ着ぐるみマスコット</v>
      </c>
      <c r="K212" s="12" t="str">
        <f t="shared" si="376"/>
        <v>サンリオ着ぐるみマスコット</v>
      </c>
      <c r="L212" s="131" t="str">
        <f t="shared" si="376"/>
        <v>サンリオ着ぐるみマスコット</v>
      </c>
      <c r="M212" s="12" t="str">
        <f t="shared" si="376"/>
        <v>サンリオ着ぐるみマスコット</v>
      </c>
      <c r="N212" s="12" t="str">
        <f t="shared" si="376"/>
        <v>サンリオ着ぐるみマスコット</v>
      </c>
      <c r="O212" s="12" t="str">
        <f t="shared" si="376"/>
        <v>サンリオ着ぐるみマスコット</v>
      </c>
      <c r="P212" s="131" t="str">
        <f t="shared" si="376"/>
        <v>サンリオ着ぐるみマスコット</v>
      </c>
      <c r="Q212" s="12" t="str">
        <f t="shared" si="376"/>
        <v>サンリオ着ぐるみマスコット</v>
      </c>
      <c r="R212" s="12" t="str">
        <f t="shared" si="376"/>
        <v>サンリオ着ぐるみマスコット</v>
      </c>
      <c r="S212" s="12" t="str">
        <f t="shared" si="376"/>
        <v>サンリオ着ぐるみマスコット</v>
      </c>
      <c r="T212" s="12" t="str">
        <f t="shared" si="376"/>
        <v>サンリオ着ぐるみマスコット</v>
      </c>
      <c r="U212" s="12" t="str">
        <f t="shared" si="376"/>
        <v>サンリオ着ぐるみマスコット</v>
      </c>
      <c r="V212" s="12" t="str">
        <f t="shared" si="376"/>
        <v>サンリオ着ぐるみマスコット</v>
      </c>
      <c r="W212" s="12" t="str">
        <f t="shared" si="376"/>
        <v>サンリオ着ぐるみマスコット</v>
      </c>
      <c r="X212" s="12" t="str">
        <f t="shared" si="376"/>
        <v>サンリオ着ぐるみマスコット</v>
      </c>
      <c r="Y212" s="12" t="str">
        <f t="shared" si="376"/>
        <v>サンリオ着ぐるみマスコット</v>
      </c>
      <c r="Z212" s="12" t="str">
        <f t="shared" si="376"/>
        <v>サンリオ着ぐるみマスコット</v>
      </c>
      <c r="AA212" s="12" t="str">
        <f t="shared" si="376"/>
        <v>サンリオ着ぐるみマスコット</v>
      </c>
      <c r="AB212" s="12" t="str">
        <f t="shared" si="376"/>
        <v>サンリオ着ぐるみマスコット</v>
      </c>
      <c r="AC212" s="12" t="str">
        <f t="shared" si="376"/>
        <v>サンリオ着ぐるみマスコット</v>
      </c>
      <c r="AD212" s="75" t="str">
        <f t="shared" si="376"/>
        <v>サンリオ着ぐるみマスコット</v>
      </c>
      <c r="AE212" s="12" t="str">
        <f t="shared" si="376"/>
        <v>サンリオ着ぐるみマスコット</v>
      </c>
      <c r="AF212" s="12" t="str">
        <f t="shared" si="376"/>
        <v>サンリオ着ぐるみマスコット</v>
      </c>
      <c r="AG212" s="12" t="str">
        <f t="shared" si="376"/>
        <v/>
      </c>
      <c r="AH212" s="12" t="str">
        <f t="shared" si="376"/>
        <v/>
      </c>
      <c r="AI212" s="12" t="str">
        <f t="shared" si="376"/>
        <v/>
      </c>
      <c r="AJ212" s="12" t="str">
        <f t="shared" si="376"/>
        <v/>
      </c>
      <c r="AK212" s="12" t="str">
        <f t="shared" si="376"/>
        <v/>
      </c>
      <c r="AL212" s="12" t="str">
        <f t="shared" si="376"/>
        <v/>
      </c>
      <c r="AM212" s="12" t="str">
        <f t="shared" ref="AM212:AS212" si="377">IF(AM$3="","",AL212)</f>
        <v/>
      </c>
      <c r="AN212" s="12" t="str">
        <f t="shared" si="377"/>
        <v/>
      </c>
      <c r="AO212" s="12" t="str">
        <f t="shared" si="377"/>
        <v/>
      </c>
      <c r="AP212" s="12" t="str">
        <f t="shared" si="377"/>
        <v/>
      </c>
      <c r="AQ212" s="12" t="str">
        <f t="shared" si="377"/>
        <v/>
      </c>
      <c r="AR212" s="12" t="str">
        <f t="shared" si="377"/>
        <v/>
      </c>
      <c r="AS212" s="12" t="str">
        <f t="shared" si="377"/>
        <v/>
      </c>
      <c r="AT212" s="11"/>
    </row>
    <row r="213" spans="1:46" s="1" customFormat="1" ht="11">
      <c r="A213" s="7">
        <f>AVERAGE(C214:AS214)*30*100</f>
        <v>90600</v>
      </c>
      <c r="B213" s="9" t="s">
        <v>14</v>
      </c>
      <c r="C213" s="74"/>
      <c r="D213" s="8"/>
      <c r="E213" s="8"/>
      <c r="F213" s="59"/>
      <c r="G213" s="8"/>
      <c r="H213" s="8"/>
      <c r="I213" s="59"/>
      <c r="J213" s="8"/>
      <c r="K213" s="8"/>
      <c r="L213" s="59"/>
      <c r="M213" s="8"/>
      <c r="N213" s="8"/>
      <c r="O213" s="8"/>
      <c r="P213" s="59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74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</row>
    <row r="214" spans="1:46" s="1" customFormat="1" ht="11">
      <c r="A214" s="7">
        <f>SUM(C214:AS214)</f>
        <v>906</v>
      </c>
      <c r="B214" s="6" t="s">
        <v>15</v>
      </c>
      <c r="C214" s="74">
        <v>0</v>
      </c>
      <c r="D214" s="5">
        <f t="shared" ref="D214:AL214" si="378">IF(D$3="","",D207-C207)</f>
        <v>0</v>
      </c>
      <c r="E214" s="5">
        <f t="shared" si="378"/>
        <v>144</v>
      </c>
      <c r="F214" s="59">
        <f t="shared" si="378"/>
        <v>0</v>
      </c>
      <c r="G214" s="5">
        <f t="shared" si="378"/>
        <v>0</v>
      </c>
      <c r="H214" s="5">
        <f t="shared" si="378"/>
        <v>138</v>
      </c>
      <c r="I214" s="59">
        <f t="shared" si="378"/>
        <v>0</v>
      </c>
      <c r="J214" s="5">
        <f t="shared" si="378"/>
        <v>0</v>
      </c>
      <c r="K214" s="5">
        <f t="shared" si="378"/>
        <v>113</v>
      </c>
      <c r="L214" s="59">
        <f t="shared" si="378"/>
        <v>0</v>
      </c>
      <c r="M214" s="5">
        <f t="shared" si="378"/>
        <v>0</v>
      </c>
      <c r="N214" s="5">
        <f t="shared" si="378"/>
        <v>0</v>
      </c>
      <c r="O214" s="5">
        <f t="shared" si="378"/>
        <v>116</v>
      </c>
      <c r="P214" s="59">
        <f t="shared" si="378"/>
        <v>0</v>
      </c>
      <c r="Q214" s="5">
        <f t="shared" si="378"/>
        <v>0</v>
      </c>
      <c r="R214" s="5">
        <f t="shared" si="378"/>
        <v>62</v>
      </c>
      <c r="S214" s="5">
        <f t="shared" si="378"/>
        <v>0</v>
      </c>
      <c r="T214" s="5">
        <f t="shared" si="378"/>
        <v>0</v>
      </c>
      <c r="U214" s="5">
        <f t="shared" si="378"/>
        <v>0</v>
      </c>
      <c r="V214" s="5">
        <f t="shared" si="378"/>
        <v>42</v>
      </c>
      <c r="W214" s="5">
        <f t="shared" si="378"/>
        <v>0</v>
      </c>
      <c r="X214" s="5">
        <f t="shared" si="378"/>
        <v>0</v>
      </c>
      <c r="Y214" s="5">
        <f t="shared" si="378"/>
        <v>198</v>
      </c>
      <c r="Z214" s="5">
        <f t="shared" si="378"/>
        <v>0</v>
      </c>
      <c r="AA214" s="5">
        <f t="shared" si="378"/>
        <v>0</v>
      </c>
      <c r="AB214" s="5">
        <f t="shared" si="378"/>
        <v>0</v>
      </c>
      <c r="AC214" s="5">
        <f t="shared" si="378"/>
        <v>8</v>
      </c>
      <c r="AD214" s="74">
        <f t="shared" si="378"/>
        <v>0</v>
      </c>
      <c r="AE214" s="5">
        <f t="shared" si="378"/>
        <v>0</v>
      </c>
      <c r="AF214" s="5">
        <f t="shared" si="378"/>
        <v>85</v>
      </c>
      <c r="AG214" s="5" t="str">
        <f t="shared" si="378"/>
        <v/>
      </c>
      <c r="AH214" s="5" t="str">
        <f t="shared" si="378"/>
        <v/>
      </c>
      <c r="AI214" s="5" t="str">
        <f t="shared" si="378"/>
        <v/>
      </c>
      <c r="AJ214" s="5" t="str">
        <f t="shared" si="378"/>
        <v/>
      </c>
      <c r="AK214" s="5" t="str">
        <f t="shared" si="378"/>
        <v/>
      </c>
      <c r="AL214" s="5" t="str">
        <f t="shared" si="378"/>
        <v/>
      </c>
      <c r="AM214" s="5" t="str">
        <f t="shared" ref="AM214:AS214" si="379">IF(AM$3="","",AM207-AL207)</f>
        <v/>
      </c>
      <c r="AN214" s="5" t="str">
        <f t="shared" si="379"/>
        <v/>
      </c>
      <c r="AO214" s="5" t="str">
        <f t="shared" si="379"/>
        <v/>
      </c>
      <c r="AP214" s="5" t="str">
        <f t="shared" si="379"/>
        <v/>
      </c>
      <c r="AQ214" s="5" t="str">
        <f t="shared" si="379"/>
        <v/>
      </c>
      <c r="AR214" s="5" t="str">
        <f t="shared" si="379"/>
        <v/>
      </c>
      <c r="AS214" s="5" t="str">
        <f t="shared" si="379"/>
        <v/>
      </c>
    </row>
    <row r="215" spans="1:46" s="1" customFormat="1" ht="11">
      <c r="A215" s="7">
        <f>SUM(C215:AS215)</f>
        <v>13</v>
      </c>
      <c r="B215" s="6" t="s">
        <v>16</v>
      </c>
      <c r="C215" s="74">
        <v>0</v>
      </c>
      <c r="D215" s="5">
        <f t="shared" ref="D215:AL215" si="380">IF(D$3="","",D208-C208)</f>
        <v>0</v>
      </c>
      <c r="E215" s="5">
        <f t="shared" si="380"/>
        <v>2</v>
      </c>
      <c r="F215" s="59">
        <f t="shared" si="380"/>
        <v>0</v>
      </c>
      <c r="G215" s="5">
        <f t="shared" si="380"/>
        <v>0</v>
      </c>
      <c r="H215" s="5">
        <f t="shared" si="380"/>
        <v>3</v>
      </c>
      <c r="I215" s="59">
        <f t="shared" si="380"/>
        <v>0</v>
      </c>
      <c r="J215" s="5">
        <f t="shared" si="380"/>
        <v>0</v>
      </c>
      <c r="K215" s="5">
        <f t="shared" si="380"/>
        <v>1</v>
      </c>
      <c r="L215" s="59">
        <f t="shared" si="380"/>
        <v>0</v>
      </c>
      <c r="M215" s="5">
        <f t="shared" si="380"/>
        <v>0</v>
      </c>
      <c r="N215" s="5">
        <f t="shared" si="380"/>
        <v>0</v>
      </c>
      <c r="O215" s="5">
        <f t="shared" si="380"/>
        <v>3</v>
      </c>
      <c r="P215" s="59">
        <f t="shared" si="380"/>
        <v>0</v>
      </c>
      <c r="Q215" s="5">
        <f t="shared" si="380"/>
        <v>0</v>
      </c>
      <c r="R215" s="5">
        <f t="shared" si="380"/>
        <v>1</v>
      </c>
      <c r="S215" s="5">
        <f t="shared" si="380"/>
        <v>0</v>
      </c>
      <c r="T215" s="5">
        <f t="shared" si="380"/>
        <v>0</v>
      </c>
      <c r="U215" s="5">
        <f t="shared" si="380"/>
        <v>0</v>
      </c>
      <c r="V215" s="5">
        <f t="shared" si="380"/>
        <v>1</v>
      </c>
      <c r="W215" s="5">
        <f t="shared" si="380"/>
        <v>0</v>
      </c>
      <c r="X215" s="5">
        <f t="shared" si="380"/>
        <v>0</v>
      </c>
      <c r="Y215" s="5">
        <f t="shared" si="380"/>
        <v>2</v>
      </c>
      <c r="Z215" s="5">
        <f t="shared" si="380"/>
        <v>0</v>
      </c>
      <c r="AA215" s="5">
        <f t="shared" si="380"/>
        <v>0</v>
      </c>
      <c r="AB215" s="5">
        <f t="shared" si="380"/>
        <v>0</v>
      </c>
      <c r="AC215" s="5">
        <f t="shared" si="380"/>
        <v>0</v>
      </c>
      <c r="AD215" s="74">
        <f t="shared" si="380"/>
        <v>0</v>
      </c>
      <c r="AE215" s="5">
        <f t="shared" si="380"/>
        <v>0</v>
      </c>
      <c r="AF215" s="5">
        <f t="shared" si="380"/>
        <v>0</v>
      </c>
      <c r="AG215" s="5" t="str">
        <f t="shared" si="380"/>
        <v/>
      </c>
      <c r="AH215" s="5" t="str">
        <f t="shared" si="380"/>
        <v/>
      </c>
      <c r="AI215" s="5" t="str">
        <f t="shared" si="380"/>
        <v/>
      </c>
      <c r="AJ215" s="5" t="str">
        <f t="shared" si="380"/>
        <v/>
      </c>
      <c r="AK215" s="5" t="str">
        <f t="shared" si="380"/>
        <v/>
      </c>
      <c r="AL215" s="5" t="str">
        <f t="shared" si="380"/>
        <v/>
      </c>
      <c r="AM215" s="5" t="str">
        <f t="shared" ref="AM215:AS215" si="381">IF(AM$3="","",AM208-AL208)</f>
        <v/>
      </c>
      <c r="AN215" s="5" t="str">
        <f t="shared" si="381"/>
        <v/>
      </c>
      <c r="AO215" s="5" t="str">
        <f t="shared" si="381"/>
        <v/>
      </c>
      <c r="AP215" s="5" t="str">
        <f t="shared" si="381"/>
        <v/>
      </c>
      <c r="AQ215" s="5" t="str">
        <f t="shared" si="381"/>
        <v/>
      </c>
      <c r="AR215" s="5" t="str">
        <f t="shared" si="381"/>
        <v/>
      </c>
      <c r="AS215" s="5" t="str">
        <f t="shared" si="381"/>
        <v/>
      </c>
    </row>
    <row r="216" spans="1:46" s="1" customFormat="1" ht="11">
      <c r="A216" s="7">
        <f>SUM(C216:AS216)</f>
        <v>12</v>
      </c>
      <c r="B216" s="6" t="s">
        <v>17</v>
      </c>
      <c r="C216" s="74">
        <v>0</v>
      </c>
      <c r="D216" s="5">
        <f t="shared" ref="D216:AL216" si="382">IF(D$3="","",C209+C210-D209)</f>
        <v>0</v>
      </c>
      <c r="E216" s="5">
        <f t="shared" si="382"/>
        <v>2</v>
      </c>
      <c r="F216" s="59">
        <f t="shared" si="382"/>
        <v>0</v>
      </c>
      <c r="G216" s="5">
        <f t="shared" si="382"/>
        <v>0</v>
      </c>
      <c r="H216" s="5">
        <f t="shared" si="382"/>
        <v>3</v>
      </c>
      <c r="I216" s="59">
        <f t="shared" si="382"/>
        <v>0</v>
      </c>
      <c r="J216" s="5">
        <f t="shared" si="382"/>
        <v>0</v>
      </c>
      <c r="K216" s="5">
        <f t="shared" si="382"/>
        <v>1</v>
      </c>
      <c r="L216" s="59">
        <f t="shared" si="382"/>
        <v>0</v>
      </c>
      <c r="M216" s="5">
        <f t="shared" si="382"/>
        <v>0</v>
      </c>
      <c r="N216" s="5">
        <f t="shared" si="382"/>
        <v>0</v>
      </c>
      <c r="O216" s="5">
        <f t="shared" si="382"/>
        <v>3</v>
      </c>
      <c r="P216" s="59">
        <f t="shared" si="382"/>
        <v>0</v>
      </c>
      <c r="Q216" s="5">
        <f t="shared" si="382"/>
        <v>0</v>
      </c>
      <c r="R216" s="5">
        <f t="shared" si="382"/>
        <v>1</v>
      </c>
      <c r="S216" s="5">
        <f t="shared" si="382"/>
        <v>0</v>
      </c>
      <c r="T216" s="5">
        <f t="shared" si="382"/>
        <v>0</v>
      </c>
      <c r="U216" s="5">
        <f t="shared" si="382"/>
        <v>0</v>
      </c>
      <c r="V216" s="5">
        <f t="shared" si="382"/>
        <v>1</v>
      </c>
      <c r="W216" s="5">
        <f t="shared" si="382"/>
        <v>0</v>
      </c>
      <c r="X216" s="5">
        <f t="shared" si="382"/>
        <v>0</v>
      </c>
      <c r="Y216" s="5">
        <f t="shared" si="382"/>
        <v>1</v>
      </c>
      <c r="Z216" s="5">
        <f t="shared" si="382"/>
        <v>0</v>
      </c>
      <c r="AA216" s="5">
        <f t="shared" si="382"/>
        <v>0</v>
      </c>
      <c r="AB216" s="5">
        <f t="shared" si="382"/>
        <v>0</v>
      </c>
      <c r="AC216" s="5">
        <f t="shared" si="382"/>
        <v>0</v>
      </c>
      <c r="AD216" s="74">
        <f t="shared" si="382"/>
        <v>0</v>
      </c>
      <c r="AE216" s="5">
        <f t="shared" si="382"/>
        <v>0</v>
      </c>
      <c r="AF216" s="5">
        <f t="shared" si="382"/>
        <v>0</v>
      </c>
      <c r="AG216" s="5" t="str">
        <f t="shared" si="382"/>
        <v/>
      </c>
      <c r="AH216" s="5" t="str">
        <f t="shared" si="382"/>
        <v/>
      </c>
      <c r="AI216" s="5" t="str">
        <f t="shared" si="382"/>
        <v/>
      </c>
      <c r="AJ216" s="5" t="str">
        <f t="shared" si="382"/>
        <v/>
      </c>
      <c r="AK216" s="5" t="str">
        <f t="shared" si="382"/>
        <v/>
      </c>
      <c r="AL216" s="5" t="str">
        <f t="shared" si="382"/>
        <v/>
      </c>
      <c r="AM216" s="5" t="str">
        <f t="shared" ref="AM216:AS216" si="383">IF(AM$3="","",AL209+AL210-AM209)</f>
        <v/>
      </c>
      <c r="AN216" s="5" t="str">
        <f t="shared" si="383"/>
        <v/>
      </c>
      <c r="AO216" s="5" t="str">
        <f t="shared" si="383"/>
        <v/>
      </c>
      <c r="AP216" s="5" t="str">
        <f t="shared" si="383"/>
        <v/>
      </c>
      <c r="AQ216" s="5" t="str">
        <f t="shared" si="383"/>
        <v/>
      </c>
      <c r="AR216" s="5" t="str">
        <f t="shared" si="383"/>
        <v/>
      </c>
      <c r="AS216" s="5" t="str">
        <f t="shared" si="383"/>
        <v/>
      </c>
    </row>
    <row r="217" spans="1:46" s="1" customFormat="1" ht="11">
      <c r="A217" s="7">
        <f>SUM(C217:AS217)</f>
        <v>18000</v>
      </c>
      <c r="B217" s="6" t="s">
        <v>18</v>
      </c>
      <c r="C217" s="74">
        <v>0</v>
      </c>
      <c r="D217" s="5">
        <f t="shared" ref="D217:AL217" si="384">IF(D$3="","",D216*D211)</f>
        <v>0</v>
      </c>
      <c r="E217" s="5">
        <f t="shared" si="384"/>
        <v>3000</v>
      </c>
      <c r="F217" s="59">
        <f t="shared" si="384"/>
        <v>0</v>
      </c>
      <c r="G217" s="5">
        <f t="shared" si="384"/>
        <v>0</v>
      </c>
      <c r="H217" s="5">
        <f t="shared" si="384"/>
        <v>4500</v>
      </c>
      <c r="I217" s="59">
        <f t="shared" si="384"/>
        <v>0</v>
      </c>
      <c r="J217" s="5">
        <f t="shared" si="384"/>
        <v>0</v>
      </c>
      <c r="K217" s="5">
        <f t="shared" si="384"/>
        <v>1500</v>
      </c>
      <c r="L217" s="59">
        <f t="shared" si="384"/>
        <v>0</v>
      </c>
      <c r="M217" s="5">
        <f t="shared" si="384"/>
        <v>0</v>
      </c>
      <c r="N217" s="5">
        <f t="shared" si="384"/>
        <v>0</v>
      </c>
      <c r="O217" s="5">
        <f t="shared" si="384"/>
        <v>4500</v>
      </c>
      <c r="P217" s="59">
        <f t="shared" si="384"/>
        <v>0</v>
      </c>
      <c r="Q217" s="5">
        <f t="shared" si="384"/>
        <v>0</v>
      </c>
      <c r="R217" s="5">
        <f t="shared" si="384"/>
        <v>1500</v>
      </c>
      <c r="S217" s="5">
        <f t="shared" si="384"/>
        <v>0</v>
      </c>
      <c r="T217" s="5">
        <f t="shared" si="384"/>
        <v>0</v>
      </c>
      <c r="U217" s="5">
        <f t="shared" si="384"/>
        <v>0</v>
      </c>
      <c r="V217" s="5">
        <f t="shared" si="384"/>
        <v>1500</v>
      </c>
      <c r="W217" s="5">
        <f t="shared" si="384"/>
        <v>0</v>
      </c>
      <c r="X217" s="5">
        <f t="shared" si="384"/>
        <v>0</v>
      </c>
      <c r="Y217" s="5">
        <f t="shared" si="384"/>
        <v>1500</v>
      </c>
      <c r="Z217" s="5">
        <f t="shared" si="384"/>
        <v>0</v>
      </c>
      <c r="AA217" s="5">
        <f t="shared" si="384"/>
        <v>0</v>
      </c>
      <c r="AB217" s="5">
        <f t="shared" si="384"/>
        <v>0</v>
      </c>
      <c r="AC217" s="5">
        <f t="shared" si="384"/>
        <v>0</v>
      </c>
      <c r="AD217" s="74">
        <f t="shared" si="384"/>
        <v>0</v>
      </c>
      <c r="AE217" s="5">
        <f t="shared" si="384"/>
        <v>0</v>
      </c>
      <c r="AF217" s="5">
        <f t="shared" si="384"/>
        <v>0</v>
      </c>
      <c r="AG217" s="5" t="str">
        <f t="shared" si="384"/>
        <v/>
      </c>
      <c r="AH217" s="5" t="str">
        <f t="shared" si="384"/>
        <v/>
      </c>
      <c r="AI217" s="5" t="str">
        <f t="shared" si="384"/>
        <v/>
      </c>
      <c r="AJ217" s="5" t="str">
        <f t="shared" si="384"/>
        <v/>
      </c>
      <c r="AK217" s="5" t="str">
        <f t="shared" si="384"/>
        <v/>
      </c>
      <c r="AL217" s="5" t="str">
        <f t="shared" si="384"/>
        <v/>
      </c>
      <c r="AM217" s="5" t="str">
        <f t="shared" ref="AM217:AS217" si="385">IF(AM$3="","",AM216*AM211)</f>
        <v/>
      </c>
      <c r="AN217" s="5" t="str">
        <f t="shared" si="385"/>
        <v/>
      </c>
      <c r="AO217" s="5" t="str">
        <f t="shared" si="385"/>
        <v/>
      </c>
      <c r="AP217" s="5" t="str">
        <f t="shared" si="385"/>
        <v/>
      </c>
      <c r="AQ217" s="5" t="str">
        <f t="shared" si="385"/>
        <v/>
      </c>
      <c r="AR217" s="5" t="str">
        <f t="shared" si="385"/>
        <v/>
      </c>
      <c r="AS217" s="5" t="str">
        <f t="shared" si="385"/>
        <v/>
      </c>
    </row>
    <row r="218" spans="1:46" s="1" customFormat="1" ht="12" thickBot="1">
      <c r="A218" s="4">
        <f>IF(A217="","",A217/(A214*100))</f>
        <v>0.19867549668874171</v>
      </c>
      <c r="B218" s="3" t="s">
        <v>20</v>
      </c>
      <c r="C218" s="77" t="s">
        <v>21</v>
      </c>
      <c r="D218" s="2" t="str">
        <f t="shared" ref="D218:AL218" si="386">IF(D$3="","",IF(D217=0,"",D217/(D214*100)))</f>
        <v/>
      </c>
      <c r="E218" s="2">
        <f t="shared" si="386"/>
        <v>0.20833333333333334</v>
      </c>
      <c r="F218" s="57" t="str">
        <f t="shared" si="386"/>
        <v/>
      </c>
      <c r="G218" s="2" t="str">
        <f t="shared" si="386"/>
        <v/>
      </c>
      <c r="H218" s="2">
        <f t="shared" si="386"/>
        <v>0.32608695652173914</v>
      </c>
      <c r="I218" s="57" t="str">
        <f t="shared" si="386"/>
        <v/>
      </c>
      <c r="J218" s="2" t="str">
        <f t="shared" si="386"/>
        <v/>
      </c>
      <c r="K218" s="2">
        <f t="shared" si="386"/>
        <v>0.13274336283185842</v>
      </c>
      <c r="L218" s="57" t="str">
        <f t="shared" si="386"/>
        <v/>
      </c>
      <c r="M218" s="2" t="str">
        <f t="shared" si="386"/>
        <v/>
      </c>
      <c r="N218" s="2" t="str">
        <f t="shared" si="386"/>
        <v/>
      </c>
      <c r="O218" s="2">
        <f t="shared" si="386"/>
        <v>0.38793103448275862</v>
      </c>
      <c r="P218" s="57" t="str">
        <f t="shared" si="386"/>
        <v/>
      </c>
      <c r="Q218" s="2" t="str">
        <f t="shared" si="386"/>
        <v/>
      </c>
      <c r="R218" s="2">
        <f t="shared" si="386"/>
        <v>0.24193548387096775</v>
      </c>
      <c r="S218" s="2" t="str">
        <f t="shared" si="386"/>
        <v/>
      </c>
      <c r="T218" s="2" t="str">
        <f t="shared" si="386"/>
        <v/>
      </c>
      <c r="U218" s="2" t="str">
        <f t="shared" si="386"/>
        <v/>
      </c>
      <c r="V218" s="2">
        <f t="shared" si="386"/>
        <v>0.35714285714285715</v>
      </c>
      <c r="W218" s="2" t="str">
        <f t="shared" si="386"/>
        <v/>
      </c>
      <c r="X218" s="2" t="str">
        <f t="shared" si="386"/>
        <v/>
      </c>
      <c r="Y218" s="2">
        <f t="shared" si="386"/>
        <v>7.575757575757576E-2</v>
      </c>
      <c r="Z218" s="2" t="str">
        <f t="shared" si="386"/>
        <v/>
      </c>
      <c r="AA218" s="2" t="str">
        <f t="shared" si="386"/>
        <v/>
      </c>
      <c r="AB218" s="2" t="str">
        <f t="shared" si="386"/>
        <v/>
      </c>
      <c r="AC218" s="2" t="str">
        <f t="shared" si="386"/>
        <v/>
      </c>
      <c r="AD218" s="77" t="str">
        <f t="shared" si="386"/>
        <v/>
      </c>
      <c r="AE218" s="2" t="str">
        <f t="shared" si="386"/>
        <v/>
      </c>
      <c r="AF218" s="2" t="str">
        <f t="shared" si="386"/>
        <v/>
      </c>
      <c r="AG218" s="2" t="str">
        <f t="shared" si="386"/>
        <v/>
      </c>
      <c r="AH218" s="2" t="str">
        <f t="shared" si="386"/>
        <v/>
      </c>
      <c r="AI218" s="2" t="str">
        <f t="shared" si="386"/>
        <v/>
      </c>
      <c r="AJ218" s="2" t="str">
        <f t="shared" si="386"/>
        <v/>
      </c>
      <c r="AK218" s="2" t="str">
        <f t="shared" si="386"/>
        <v/>
      </c>
      <c r="AL218" s="2" t="str">
        <f t="shared" si="386"/>
        <v/>
      </c>
      <c r="AM218" s="2" t="str">
        <f t="shared" ref="AM218:AS218" si="387">IF(AM$3="","",IF(AM217=0,"",AM217/(AM214*100)))</f>
        <v/>
      </c>
      <c r="AN218" s="2" t="str">
        <f t="shared" si="387"/>
        <v/>
      </c>
      <c r="AO218" s="2" t="str">
        <f t="shared" si="387"/>
        <v/>
      </c>
      <c r="AP218" s="2" t="str">
        <f t="shared" si="387"/>
        <v/>
      </c>
      <c r="AQ218" s="2" t="str">
        <f t="shared" si="387"/>
        <v/>
      </c>
      <c r="AR218" s="2" t="str">
        <f t="shared" si="387"/>
        <v/>
      </c>
      <c r="AS218" s="2" t="str">
        <f t="shared" si="387"/>
        <v/>
      </c>
    </row>
    <row r="219" spans="1:46" s="1" customFormat="1" ht="11">
      <c r="A219" s="98" t="s">
        <v>61</v>
      </c>
      <c r="B219" s="99" t="s">
        <v>2</v>
      </c>
      <c r="C219" s="110">
        <v>9505</v>
      </c>
      <c r="D219" s="100">
        <f>IF(D$3="","",C219)</f>
        <v>9505</v>
      </c>
      <c r="E219" s="100">
        <v>9705</v>
      </c>
      <c r="F219" s="134">
        <f>IF(F$3="","",E219)</f>
        <v>9705</v>
      </c>
      <c r="G219" s="100">
        <f>IF(G$3="","",F219)</f>
        <v>9705</v>
      </c>
      <c r="H219" s="100">
        <v>9817</v>
      </c>
      <c r="I219" s="134">
        <f>IF(I$3="","",H219)</f>
        <v>9817</v>
      </c>
      <c r="J219" s="100">
        <f>IF(J$3="","",I219)</f>
        <v>9817</v>
      </c>
      <c r="K219" s="100">
        <v>9934</v>
      </c>
      <c r="L219" s="134">
        <f t="shared" ref="L219:N220" si="388">IF(L$3="","",K219)</f>
        <v>9934</v>
      </c>
      <c r="M219" s="100">
        <f t="shared" si="388"/>
        <v>9934</v>
      </c>
      <c r="N219" s="100">
        <f t="shared" si="388"/>
        <v>9934</v>
      </c>
      <c r="O219" s="100">
        <v>10091</v>
      </c>
      <c r="P219" s="134">
        <f>IF(P$3="","",O219)</f>
        <v>10091</v>
      </c>
      <c r="Q219" s="100">
        <f>IF(Q$3="","",P219)</f>
        <v>10091</v>
      </c>
      <c r="R219" s="100">
        <v>10174</v>
      </c>
      <c r="S219" s="100">
        <f t="shared" ref="S219:AL219" si="389">IF(S$3="","",R219)</f>
        <v>10174</v>
      </c>
      <c r="T219" s="100">
        <f t="shared" si="389"/>
        <v>10174</v>
      </c>
      <c r="U219" s="100">
        <f t="shared" si="389"/>
        <v>10174</v>
      </c>
      <c r="V219" s="100">
        <v>10271</v>
      </c>
      <c r="W219" s="100">
        <f t="shared" si="389"/>
        <v>10271</v>
      </c>
      <c r="X219" s="100">
        <f t="shared" si="389"/>
        <v>10271</v>
      </c>
      <c r="Y219" s="100">
        <v>10452</v>
      </c>
      <c r="Z219" s="100">
        <f t="shared" si="389"/>
        <v>10452</v>
      </c>
      <c r="AA219" s="100">
        <f t="shared" si="389"/>
        <v>10452</v>
      </c>
      <c r="AB219" s="100">
        <f t="shared" si="389"/>
        <v>10452</v>
      </c>
      <c r="AC219" s="100">
        <v>10626</v>
      </c>
      <c r="AD219" s="110">
        <f t="shared" si="389"/>
        <v>10626</v>
      </c>
      <c r="AE219" s="100">
        <f t="shared" si="389"/>
        <v>10626</v>
      </c>
      <c r="AF219" s="100">
        <v>10719</v>
      </c>
      <c r="AG219" s="100" t="str">
        <f t="shared" si="389"/>
        <v/>
      </c>
      <c r="AH219" s="100" t="str">
        <f t="shared" si="389"/>
        <v/>
      </c>
      <c r="AI219" s="100" t="str">
        <f t="shared" si="389"/>
        <v/>
      </c>
      <c r="AJ219" s="100" t="str">
        <f t="shared" si="389"/>
        <v/>
      </c>
      <c r="AK219" s="100" t="str">
        <f t="shared" si="389"/>
        <v/>
      </c>
      <c r="AL219" s="100" t="str">
        <f t="shared" si="389"/>
        <v/>
      </c>
      <c r="AM219" s="100" t="str">
        <f t="shared" ref="AM219:AS219" si="390">IF(AM$3="","",AL219)</f>
        <v/>
      </c>
      <c r="AN219" s="100" t="str">
        <f t="shared" si="390"/>
        <v/>
      </c>
      <c r="AO219" s="100" t="str">
        <f t="shared" si="390"/>
        <v/>
      </c>
      <c r="AP219" s="100" t="str">
        <f t="shared" si="390"/>
        <v/>
      </c>
      <c r="AQ219" s="100" t="str">
        <f t="shared" si="390"/>
        <v/>
      </c>
      <c r="AR219" s="100" t="str">
        <f t="shared" si="390"/>
        <v/>
      </c>
      <c r="AS219" s="100" t="str">
        <f t="shared" si="390"/>
        <v/>
      </c>
    </row>
    <row r="220" spans="1:46" s="1" customFormat="1" ht="11">
      <c r="A220" s="16" t="s">
        <v>74</v>
      </c>
      <c r="B220" s="9" t="s">
        <v>4</v>
      </c>
      <c r="C220" s="74">
        <v>397</v>
      </c>
      <c r="D220" s="8">
        <f>IF(D$3="","",C220)</f>
        <v>397</v>
      </c>
      <c r="E220" s="8">
        <v>401</v>
      </c>
      <c r="F220" s="59">
        <f>IF(F$3="","",E220)</f>
        <v>401</v>
      </c>
      <c r="G220" s="8">
        <f>IF(G$3="","",F220)</f>
        <v>401</v>
      </c>
      <c r="H220" s="8">
        <v>403</v>
      </c>
      <c r="I220" s="59">
        <f>IF(I$3="","",H220)</f>
        <v>403</v>
      </c>
      <c r="J220" s="8">
        <f>IF(J$3="","",I220)</f>
        <v>403</v>
      </c>
      <c r="K220" s="8">
        <v>405</v>
      </c>
      <c r="L220" s="59">
        <f t="shared" si="388"/>
        <v>405</v>
      </c>
      <c r="M220" s="8">
        <f t="shared" si="388"/>
        <v>405</v>
      </c>
      <c r="N220" s="8">
        <f t="shared" si="388"/>
        <v>405</v>
      </c>
      <c r="O220" s="8">
        <v>408</v>
      </c>
      <c r="P220" s="59">
        <f>IF(P$3="","",O220)</f>
        <v>408</v>
      </c>
      <c r="Q220" s="8">
        <f>IF(Q$3="","",P220)</f>
        <v>408</v>
      </c>
      <c r="R220" s="8">
        <v>410</v>
      </c>
      <c r="S220" s="8">
        <f t="shared" ref="S220:AL220" si="391">IF(S$3="","",R220)</f>
        <v>410</v>
      </c>
      <c r="T220" s="8">
        <f t="shared" si="391"/>
        <v>410</v>
      </c>
      <c r="U220" s="8">
        <f t="shared" si="391"/>
        <v>410</v>
      </c>
      <c r="V220" s="8">
        <v>415</v>
      </c>
      <c r="W220" s="8">
        <f t="shared" si="391"/>
        <v>415</v>
      </c>
      <c r="X220" s="8">
        <f t="shared" si="391"/>
        <v>415</v>
      </c>
      <c r="Y220" s="8">
        <v>420</v>
      </c>
      <c r="Z220" s="8">
        <f t="shared" si="391"/>
        <v>420</v>
      </c>
      <c r="AA220" s="8">
        <f t="shared" si="391"/>
        <v>420</v>
      </c>
      <c r="AB220" s="8">
        <f t="shared" si="391"/>
        <v>420</v>
      </c>
      <c r="AC220" s="8">
        <v>422</v>
      </c>
      <c r="AD220" s="74">
        <f t="shared" si="391"/>
        <v>422</v>
      </c>
      <c r="AE220" s="8">
        <f t="shared" si="391"/>
        <v>422</v>
      </c>
      <c r="AF220" s="8">
        <v>425</v>
      </c>
      <c r="AG220" s="8" t="str">
        <f t="shared" si="391"/>
        <v/>
      </c>
      <c r="AH220" s="8" t="str">
        <f t="shared" si="391"/>
        <v/>
      </c>
      <c r="AI220" s="8" t="str">
        <f t="shared" si="391"/>
        <v/>
      </c>
      <c r="AJ220" s="8" t="str">
        <f t="shared" si="391"/>
        <v/>
      </c>
      <c r="AK220" s="8" t="str">
        <f t="shared" si="391"/>
        <v/>
      </c>
      <c r="AL220" s="8" t="str">
        <f t="shared" si="391"/>
        <v/>
      </c>
      <c r="AM220" s="8" t="str">
        <f t="shared" ref="AM220:AS220" si="392">IF(AM$3="","",AL220)</f>
        <v/>
      </c>
      <c r="AN220" s="8" t="str">
        <f t="shared" si="392"/>
        <v/>
      </c>
      <c r="AO220" s="8" t="str">
        <f t="shared" si="392"/>
        <v/>
      </c>
      <c r="AP220" s="8" t="str">
        <f t="shared" si="392"/>
        <v/>
      </c>
      <c r="AQ220" s="8" t="str">
        <f t="shared" si="392"/>
        <v/>
      </c>
      <c r="AR220" s="8" t="str">
        <f t="shared" si="392"/>
        <v/>
      </c>
      <c r="AS220" s="8" t="str">
        <f t="shared" si="392"/>
        <v/>
      </c>
    </row>
    <row r="221" spans="1:46" s="1" customFormat="1" ht="11">
      <c r="A221" s="15">
        <v>3</v>
      </c>
      <c r="B221" s="9" t="s">
        <v>5</v>
      </c>
      <c r="C221" s="74">
        <v>32</v>
      </c>
      <c r="D221" s="8">
        <f>IF(D$3="","",(C221+C222))</f>
        <v>32</v>
      </c>
      <c r="E221" s="8">
        <v>28</v>
      </c>
      <c r="F221" s="59">
        <f>IF(F$3="","",(E221+E222))</f>
        <v>28</v>
      </c>
      <c r="G221" s="8">
        <f>IF(G$3="","",(F221+F222))</f>
        <v>28</v>
      </c>
      <c r="H221" s="8">
        <v>26</v>
      </c>
      <c r="I221" s="59">
        <f>IF(I$3="","",(H221+H222))</f>
        <v>31</v>
      </c>
      <c r="J221" s="8">
        <f>IF(J$3="","",(I221+I222))</f>
        <v>31</v>
      </c>
      <c r="K221" s="8">
        <v>29</v>
      </c>
      <c r="L221" s="59">
        <f>IF(L$3="","",(K221+K222))</f>
        <v>29</v>
      </c>
      <c r="M221" s="8">
        <f>IF(M$3="","",(L221+L222))</f>
        <v>29</v>
      </c>
      <c r="N221" s="8">
        <f>IF(N$3="","",(M221+M222))</f>
        <v>29</v>
      </c>
      <c r="O221" s="8">
        <v>26</v>
      </c>
      <c r="P221" s="59">
        <f>IF(P$3="","",(O221+O222))</f>
        <v>28</v>
      </c>
      <c r="Q221" s="8">
        <f>IF(Q$3="","",(P221+P222))</f>
        <v>28</v>
      </c>
      <c r="R221" s="8">
        <v>26</v>
      </c>
      <c r="S221" s="8">
        <f t="shared" ref="S221:AL221" si="393">IF(S$3="","",(R221+R222))</f>
        <v>29</v>
      </c>
      <c r="T221" s="8">
        <f t="shared" si="393"/>
        <v>29</v>
      </c>
      <c r="U221" s="8">
        <f t="shared" si="393"/>
        <v>29</v>
      </c>
      <c r="V221" s="8">
        <v>24</v>
      </c>
      <c r="W221" s="8">
        <f t="shared" si="393"/>
        <v>24</v>
      </c>
      <c r="X221" s="8">
        <f t="shared" si="393"/>
        <v>24</v>
      </c>
      <c r="Y221" s="8">
        <v>19</v>
      </c>
      <c r="Z221" s="8">
        <f t="shared" si="393"/>
        <v>19</v>
      </c>
      <c r="AA221" s="8">
        <f t="shared" si="393"/>
        <v>19</v>
      </c>
      <c r="AB221" s="8">
        <f t="shared" si="393"/>
        <v>19</v>
      </c>
      <c r="AC221" s="8">
        <v>17</v>
      </c>
      <c r="AD221" s="74">
        <f t="shared" si="393"/>
        <v>17</v>
      </c>
      <c r="AE221" s="8">
        <f t="shared" si="393"/>
        <v>17</v>
      </c>
      <c r="AF221" s="8">
        <v>14</v>
      </c>
      <c r="AG221" s="8" t="str">
        <f t="shared" si="393"/>
        <v/>
      </c>
      <c r="AH221" s="8" t="str">
        <f t="shared" si="393"/>
        <v/>
      </c>
      <c r="AI221" s="8" t="str">
        <f t="shared" si="393"/>
        <v/>
      </c>
      <c r="AJ221" s="8" t="str">
        <f t="shared" si="393"/>
        <v/>
      </c>
      <c r="AK221" s="8" t="str">
        <f t="shared" si="393"/>
        <v/>
      </c>
      <c r="AL221" s="8" t="str">
        <f t="shared" si="393"/>
        <v/>
      </c>
      <c r="AM221" s="8" t="str">
        <f t="shared" ref="AM221:AS221" si="394">IF(AM$3="","",(AL221+AL222))</f>
        <v/>
      </c>
      <c r="AN221" s="8" t="str">
        <f t="shared" si="394"/>
        <v/>
      </c>
      <c r="AO221" s="8" t="str">
        <f t="shared" si="394"/>
        <v/>
      </c>
      <c r="AP221" s="8" t="str">
        <f t="shared" si="394"/>
        <v/>
      </c>
      <c r="AQ221" s="8" t="str">
        <f t="shared" si="394"/>
        <v/>
      </c>
      <c r="AR221" s="8" t="str">
        <f t="shared" si="394"/>
        <v/>
      </c>
      <c r="AS221" s="8" t="str">
        <f t="shared" si="394"/>
        <v/>
      </c>
    </row>
    <row r="222" spans="1:46" s="1" customFormat="1" ht="11">
      <c r="A222" s="14"/>
      <c r="B222" s="9" t="s">
        <v>7</v>
      </c>
      <c r="C222" s="74"/>
      <c r="D222" s="8"/>
      <c r="E222" s="8"/>
      <c r="F222" s="59"/>
      <c r="G222" s="8"/>
      <c r="H222" s="8">
        <v>5</v>
      </c>
      <c r="I222" s="59"/>
      <c r="J222" s="8"/>
      <c r="K222" s="8"/>
      <c r="L222" s="59"/>
      <c r="M222" s="8"/>
      <c r="N222" s="8"/>
      <c r="O222" s="8">
        <v>2</v>
      </c>
      <c r="P222" s="59"/>
      <c r="Q222" s="8"/>
      <c r="R222" s="8">
        <v>3</v>
      </c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74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</row>
    <row r="223" spans="1:46" s="1" customFormat="1" ht="11">
      <c r="A223" s="7"/>
      <c r="B223" s="9" t="s">
        <v>8</v>
      </c>
      <c r="C223" s="74">
        <v>750</v>
      </c>
      <c r="D223" s="8">
        <f t="shared" ref="D223:AL223" si="395">IF(D$3="","",C223)</f>
        <v>750</v>
      </c>
      <c r="E223" s="8">
        <f t="shared" si="395"/>
        <v>750</v>
      </c>
      <c r="F223" s="59">
        <f t="shared" si="395"/>
        <v>750</v>
      </c>
      <c r="G223" s="8">
        <f t="shared" si="395"/>
        <v>750</v>
      </c>
      <c r="H223" s="8">
        <f t="shared" si="395"/>
        <v>750</v>
      </c>
      <c r="I223" s="59">
        <f t="shared" si="395"/>
        <v>750</v>
      </c>
      <c r="J223" s="8">
        <f t="shared" si="395"/>
        <v>750</v>
      </c>
      <c r="K223" s="8">
        <f t="shared" si="395"/>
        <v>750</v>
      </c>
      <c r="L223" s="59">
        <f t="shared" si="395"/>
        <v>750</v>
      </c>
      <c r="M223" s="8">
        <f t="shared" si="395"/>
        <v>750</v>
      </c>
      <c r="N223" s="8">
        <f t="shared" si="395"/>
        <v>750</v>
      </c>
      <c r="O223" s="8">
        <f t="shared" si="395"/>
        <v>750</v>
      </c>
      <c r="P223" s="59">
        <f t="shared" si="395"/>
        <v>750</v>
      </c>
      <c r="Q223" s="8">
        <f t="shared" si="395"/>
        <v>750</v>
      </c>
      <c r="R223" s="8">
        <f t="shared" si="395"/>
        <v>750</v>
      </c>
      <c r="S223" s="8">
        <f t="shared" si="395"/>
        <v>750</v>
      </c>
      <c r="T223" s="8">
        <f t="shared" si="395"/>
        <v>750</v>
      </c>
      <c r="U223" s="8">
        <f t="shared" si="395"/>
        <v>750</v>
      </c>
      <c r="V223" s="8">
        <f t="shared" si="395"/>
        <v>750</v>
      </c>
      <c r="W223" s="8">
        <f t="shared" si="395"/>
        <v>750</v>
      </c>
      <c r="X223" s="8">
        <f t="shared" si="395"/>
        <v>750</v>
      </c>
      <c r="Y223" s="8">
        <f t="shared" si="395"/>
        <v>750</v>
      </c>
      <c r="Z223" s="8">
        <f t="shared" si="395"/>
        <v>750</v>
      </c>
      <c r="AA223" s="8">
        <f t="shared" si="395"/>
        <v>750</v>
      </c>
      <c r="AB223" s="8">
        <f t="shared" si="395"/>
        <v>750</v>
      </c>
      <c r="AC223" s="8">
        <f t="shared" si="395"/>
        <v>750</v>
      </c>
      <c r="AD223" s="74">
        <f t="shared" si="395"/>
        <v>750</v>
      </c>
      <c r="AE223" s="8">
        <f t="shared" si="395"/>
        <v>750</v>
      </c>
      <c r="AF223" s="8">
        <f t="shared" si="395"/>
        <v>750</v>
      </c>
      <c r="AG223" s="8" t="str">
        <f t="shared" si="395"/>
        <v/>
      </c>
      <c r="AH223" s="8" t="str">
        <f t="shared" si="395"/>
        <v/>
      </c>
      <c r="AI223" s="8" t="str">
        <f t="shared" si="395"/>
        <v/>
      </c>
      <c r="AJ223" s="8" t="str">
        <f t="shared" si="395"/>
        <v/>
      </c>
      <c r="AK223" s="8" t="str">
        <f t="shared" si="395"/>
        <v/>
      </c>
      <c r="AL223" s="8" t="str">
        <f t="shared" si="395"/>
        <v/>
      </c>
      <c r="AM223" s="8" t="str">
        <f t="shared" ref="AM223:AS223" si="396">IF(AM$3="","",AL223)</f>
        <v/>
      </c>
      <c r="AN223" s="8" t="str">
        <f t="shared" si="396"/>
        <v/>
      </c>
      <c r="AO223" s="8" t="str">
        <f t="shared" si="396"/>
        <v/>
      </c>
      <c r="AP223" s="8" t="str">
        <f t="shared" si="396"/>
        <v/>
      </c>
      <c r="AQ223" s="8" t="str">
        <f t="shared" si="396"/>
        <v/>
      </c>
      <c r="AR223" s="8" t="str">
        <f t="shared" si="396"/>
        <v/>
      </c>
      <c r="AS223" s="8" t="str">
        <f t="shared" si="396"/>
        <v/>
      </c>
    </row>
    <row r="224" spans="1:46" s="94" customFormat="1" ht="11">
      <c r="A224" s="14" t="s">
        <v>9</v>
      </c>
      <c r="B224" s="13" t="s">
        <v>10</v>
      </c>
      <c r="C224" s="75" t="s">
        <v>75</v>
      </c>
      <c r="D224" s="12" t="str">
        <f t="shared" ref="D224:AL224" si="397">IF(D$3="","",C224)</f>
        <v>ルララ</v>
      </c>
      <c r="E224" s="12" t="str">
        <f t="shared" si="397"/>
        <v>ルララ</v>
      </c>
      <c r="F224" s="131" t="str">
        <f t="shared" si="397"/>
        <v>ルララ</v>
      </c>
      <c r="G224" s="12" t="str">
        <f t="shared" si="397"/>
        <v>ルララ</v>
      </c>
      <c r="H224" s="12" t="str">
        <f t="shared" si="397"/>
        <v>ルララ</v>
      </c>
      <c r="I224" s="131" t="str">
        <f t="shared" si="397"/>
        <v>ルララ</v>
      </c>
      <c r="J224" s="12" t="str">
        <f t="shared" si="397"/>
        <v>ルララ</v>
      </c>
      <c r="K224" s="12" t="str">
        <f t="shared" si="397"/>
        <v>ルララ</v>
      </c>
      <c r="L224" s="131" t="str">
        <f t="shared" si="397"/>
        <v>ルララ</v>
      </c>
      <c r="M224" s="12" t="str">
        <f t="shared" si="397"/>
        <v>ルララ</v>
      </c>
      <c r="N224" s="12" t="str">
        <f t="shared" si="397"/>
        <v>ルララ</v>
      </c>
      <c r="O224" s="12" t="str">
        <f t="shared" si="397"/>
        <v>ルララ</v>
      </c>
      <c r="P224" s="131" t="str">
        <f t="shared" si="397"/>
        <v>ルララ</v>
      </c>
      <c r="Q224" s="12" t="str">
        <f t="shared" si="397"/>
        <v>ルララ</v>
      </c>
      <c r="R224" s="12" t="str">
        <f t="shared" si="397"/>
        <v>ルララ</v>
      </c>
      <c r="S224" s="12" t="str">
        <f t="shared" si="397"/>
        <v>ルララ</v>
      </c>
      <c r="T224" s="12" t="str">
        <f t="shared" si="397"/>
        <v>ルララ</v>
      </c>
      <c r="U224" s="12" t="str">
        <f t="shared" si="397"/>
        <v>ルララ</v>
      </c>
      <c r="V224" s="12" t="str">
        <f t="shared" si="397"/>
        <v>ルララ</v>
      </c>
      <c r="W224" s="12" t="str">
        <f t="shared" si="397"/>
        <v>ルララ</v>
      </c>
      <c r="X224" s="12" t="str">
        <f t="shared" si="397"/>
        <v>ルララ</v>
      </c>
      <c r="Y224" s="12" t="str">
        <f t="shared" si="397"/>
        <v>ルララ</v>
      </c>
      <c r="Z224" s="12" t="str">
        <f t="shared" si="397"/>
        <v>ルララ</v>
      </c>
      <c r="AA224" s="12" t="str">
        <f t="shared" si="397"/>
        <v>ルララ</v>
      </c>
      <c r="AB224" s="12" t="str">
        <f t="shared" si="397"/>
        <v>ルララ</v>
      </c>
      <c r="AC224" s="12" t="str">
        <f t="shared" si="397"/>
        <v>ルララ</v>
      </c>
      <c r="AD224" s="75" t="str">
        <f t="shared" si="397"/>
        <v>ルララ</v>
      </c>
      <c r="AE224" s="12" t="str">
        <f t="shared" si="397"/>
        <v>ルララ</v>
      </c>
      <c r="AF224" s="12" t="str">
        <f t="shared" si="397"/>
        <v>ルララ</v>
      </c>
      <c r="AG224" s="12" t="str">
        <f t="shared" si="397"/>
        <v/>
      </c>
      <c r="AH224" s="12" t="str">
        <f t="shared" si="397"/>
        <v/>
      </c>
      <c r="AI224" s="12" t="str">
        <f t="shared" si="397"/>
        <v/>
      </c>
      <c r="AJ224" s="12" t="str">
        <f t="shared" si="397"/>
        <v/>
      </c>
      <c r="AK224" s="12" t="str">
        <f t="shared" si="397"/>
        <v/>
      </c>
      <c r="AL224" s="12" t="str">
        <f t="shared" si="397"/>
        <v/>
      </c>
      <c r="AM224" s="12" t="str">
        <f t="shared" ref="AM224:AS224" si="398">IF(AM$3="","",AL224)</f>
        <v/>
      </c>
      <c r="AN224" s="12" t="str">
        <f t="shared" si="398"/>
        <v/>
      </c>
      <c r="AO224" s="12" t="str">
        <f t="shared" si="398"/>
        <v/>
      </c>
      <c r="AP224" s="12" t="str">
        <f t="shared" si="398"/>
        <v/>
      </c>
      <c r="AQ224" s="12" t="str">
        <f t="shared" si="398"/>
        <v/>
      </c>
      <c r="AR224" s="12" t="str">
        <f t="shared" si="398"/>
        <v/>
      </c>
      <c r="AS224" s="12" t="str">
        <f t="shared" si="398"/>
        <v/>
      </c>
      <c r="AT224" s="11"/>
    </row>
    <row r="225" spans="1:45" s="1" customFormat="1" ht="11">
      <c r="A225" s="7">
        <f>AVERAGE(C226:AS226)*30*100</f>
        <v>121400</v>
      </c>
      <c r="B225" s="9" t="s">
        <v>14</v>
      </c>
      <c r="C225" s="74"/>
      <c r="D225" s="8"/>
      <c r="E225" s="8"/>
      <c r="F225" s="59"/>
      <c r="G225" s="8"/>
      <c r="H225" s="8"/>
      <c r="I225" s="59"/>
      <c r="J225" s="8"/>
      <c r="K225" s="8"/>
      <c r="L225" s="59"/>
      <c r="M225" s="8"/>
      <c r="N225" s="8"/>
      <c r="O225" s="8"/>
      <c r="P225" s="59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74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</row>
    <row r="226" spans="1:45" s="1" customFormat="1" ht="11">
      <c r="A226" s="7">
        <f>SUM(C226:AS226)</f>
        <v>1214</v>
      </c>
      <c r="B226" s="6" t="s">
        <v>15</v>
      </c>
      <c r="C226" s="74">
        <v>0</v>
      </c>
      <c r="D226" s="5">
        <f t="shared" ref="D226:AL226" si="399">IF(D$3="","",D219-C219)</f>
        <v>0</v>
      </c>
      <c r="E226" s="5">
        <f t="shared" si="399"/>
        <v>200</v>
      </c>
      <c r="F226" s="59">
        <f t="shared" si="399"/>
        <v>0</v>
      </c>
      <c r="G226" s="5">
        <f t="shared" si="399"/>
        <v>0</v>
      </c>
      <c r="H226" s="5">
        <f t="shared" si="399"/>
        <v>112</v>
      </c>
      <c r="I226" s="59">
        <f t="shared" si="399"/>
        <v>0</v>
      </c>
      <c r="J226" s="5">
        <f t="shared" si="399"/>
        <v>0</v>
      </c>
      <c r="K226" s="5">
        <f t="shared" si="399"/>
        <v>117</v>
      </c>
      <c r="L226" s="59">
        <f t="shared" si="399"/>
        <v>0</v>
      </c>
      <c r="M226" s="5">
        <f t="shared" si="399"/>
        <v>0</v>
      </c>
      <c r="N226" s="5">
        <f t="shared" si="399"/>
        <v>0</v>
      </c>
      <c r="O226" s="5">
        <f t="shared" si="399"/>
        <v>157</v>
      </c>
      <c r="P226" s="59">
        <f t="shared" si="399"/>
        <v>0</v>
      </c>
      <c r="Q226" s="5">
        <f t="shared" si="399"/>
        <v>0</v>
      </c>
      <c r="R226" s="5">
        <f t="shared" si="399"/>
        <v>83</v>
      </c>
      <c r="S226" s="5">
        <f t="shared" si="399"/>
        <v>0</v>
      </c>
      <c r="T226" s="5">
        <f t="shared" si="399"/>
        <v>0</v>
      </c>
      <c r="U226" s="5">
        <f t="shared" si="399"/>
        <v>0</v>
      </c>
      <c r="V226" s="5">
        <f t="shared" si="399"/>
        <v>97</v>
      </c>
      <c r="W226" s="5">
        <f t="shared" si="399"/>
        <v>0</v>
      </c>
      <c r="X226" s="5">
        <f t="shared" si="399"/>
        <v>0</v>
      </c>
      <c r="Y226" s="5">
        <f t="shared" si="399"/>
        <v>181</v>
      </c>
      <c r="Z226" s="5">
        <f t="shared" si="399"/>
        <v>0</v>
      </c>
      <c r="AA226" s="5">
        <f t="shared" si="399"/>
        <v>0</v>
      </c>
      <c r="AB226" s="5">
        <f t="shared" si="399"/>
        <v>0</v>
      </c>
      <c r="AC226" s="5">
        <f t="shared" si="399"/>
        <v>174</v>
      </c>
      <c r="AD226" s="74">
        <f t="shared" si="399"/>
        <v>0</v>
      </c>
      <c r="AE226" s="5">
        <f t="shared" si="399"/>
        <v>0</v>
      </c>
      <c r="AF226" s="5">
        <f t="shared" si="399"/>
        <v>93</v>
      </c>
      <c r="AG226" s="5" t="str">
        <f t="shared" si="399"/>
        <v/>
      </c>
      <c r="AH226" s="5" t="str">
        <f t="shared" si="399"/>
        <v/>
      </c>
      <c r="AI226" s="5" t="str">
        <f t="shared" si="399"/>
        <v/>
      </c>
      <c r="AJ226" s="5" t="str">
        <f t="shared" si="399"/>
        <v/>
      </c>
      <c r="AK226" s="5" t="str">
        <f t="shared" si="399"/>
        <v/>
      </c>
      <c r="AL226" s="5" t="str">
        <f t="shared" si="399"/>
        <v/>
      </c>
      <c r="AM226" s="5" t="str">
        <f t="shared" ref="AM226:AS226" si="400">IF(AM$3="","",AM219-AL219)</f>
        <v/>
      </c>
      <c r="AN226" s="5" t="str">
        <f t="shared" si="400"/>
        <v/>
      </c>
      <c r="AO226" s="5" t="str">
        <f t="shared" si="400"/>
        <v/>
      </c>
      <c r="AP226" s="5" t="str">
        <f t="shared" si="400"/>
        <v/>
      </c>
      <c r="AQ226" s="5" t="str">
        <f t="shared" si="400"/>
        <v/>
      </c>
      <c r="AR226" s="5" t="str">
        <f t="shared" si="400"/>
        <v/>
      </c>
      <c r="AS226" s="5" t="str">
        <f t="shared" si="400"/>
        <v/>
      </c>
    </row>
    <row r="227" spans="1:45" s="1" customFormat="1" ht="11">
      <c r="A227" s="7">
        <f>SUM(C227:AS227)</f>
        <v>28</v>
      </c>
      <c r="B227" s="6" t="s">
        <v>16</v>
      </c>
      <c r="C227" s="74">
        <v>0</v>
      </c>
      <c r="D227" s="5">
        <f t="shared" ref="D227:AL227" si="401">IF(D$3="","",D220-C220)</f>
        <v>0</v>
      </c>
      <c r="E227" s="5">
        <f t="shared" si="401"/>
        <v>4</v>
      </c>
      <c r="F227" s="59">
        <f t="shared" si="401"/>
        <v>0</v>
      </c>
      <c r="G227" s="5">
        <f t="shared" si="401"/>
        <v>0</v>
      </c>
      <c r="H227" s="5">
        <f t="shared" si="401"/>
        <v>2</v>
      </c>
      <c r="I227" s="59">
        <f t="shared" si="401"/>
        <v>0</v>
      </c>
      <c r="J227" s="5">
        <f t="shared" si="401"/>
        <v>0</v>
      </c>
      <c r="K227" s="5">
        <f t="shared" si="401"/>
        <v>2</v>
      </c>
      <c r="L227" s="59">
        <f t="shared" si="401"/>
        <v>0</v>
      </c>
      <c r="M227" s="5">
        <f t="shared" si="401"/>
        <v>0</v>
      </c>
      <c r="N227" s="5">
        <f t="shared" si="401"/>
        <v>0</v>
      </c>
      <c r="O227" s="5">
        <f t="shared" si="401"/>
        <v>3</v>
      </c>
      <c r="P227" s="59">
        <f t="shared" si="401"/>
        <v>0</v>
      </c>
      <c r="Q227" s="5">
        <f t="shared" si="401"/>
        <v>0</v>
      </c>
      <c r="R227" s="5">
        <f t="shared" si="401"/>
        <v>2</v>
      </c>
      <c r="S227" s="5">
        <f t="shared" si="401"/>
        <v>0</v>
      </c>
      <c r="T227" s="5">
        <f t="shared" si="401"/>
        <v>0</v>
      </c>
      <c r="U227" s="5">
        <f t="shared" si="401"/>
        <v>0</v>
      </c>
      <c r="V227" s="5">
        <f t="shared" si="401"/>
        <v>5</v>
      </c>
      <c r="W227" s="5">
        <f t="shared" si="401"/>
        <v>0</v>
      </c>
      <c r="X227" s="5">
        <f t="shared" si="401"/>
        <v>0</v>
      </c>
      <c r="Y227" s="5">
        <f t="shared" si="401"/>
        <v>5</v>
      </c>
      <c r="Z227" s="5">
        <f t="shared" si="401"/>
        <v>0</v>
      </c>
      <c r="AA227" s="5">
        <f t="shared" si="401"/>
        <v>0</v>
      </c>
      <c r="AB227" s="5">
        <f t="shared" si="401"/>
        <v>0</v>
      </c>
      <c r="AC227" s="5">
        <f t="shared" si="401"/>
        <v>2</v>
      </c>
      <c r="AD227" s="74">
        <f t="shared" si="401"/>
        <v>0</v>
      </c>
      <c r="AE227" s="5">
        <f t="shared" si="401"/>
        <v>0</v>
      </c>
      <c r="AF227" s="5">
        <f t="shared" si="401"/>
        <v>3</v>
      </c>
      <c r="AG227" s="5" t="str">
        <f t="shared" si="401"/>
        <v/>
      </c>
      <c r="AH227" s="5" t="str">
        <f t="shared" si="401"/>
        <v/>
      </c>
      <c r="AI227" s="5" t="str">
        <f t="shared" si="401"/>
        <v/>
      </c>
      <c r="AJ227" s="5" t="str">
        <f t="shared" si="401"/>
        <v/>
      </c>
      <c r="AK227" s="5" t="str">
        <f t="shared" si="401"/>
        <v/>
      </c>
      <c r="AL227" s="5" t="str">
        <f t="shared" si="401"/>
        <v/>
      </c>
      <c r="AM227" s="5" t="str">
        <f t="shared" ref="AM227:AS227" si="402">IF(AM$3="","",AM220-AL220)</f>
        <v/>
      </c>
      <c r="AN227" s="5" t="str">
        <f t="shared" si="402"/>
        <v/>
      </c>
      <c r="AO227" s="5" t="str">
        <f t="shared" si="402"/>
        <v/>
      </c>
      <c r="AP227" s="5" t="str">
        <f t="shared" si="402"/>
        <v/>
      </c>
      <c r="AQ227" s="5" t="str">
        <f t="shared" si="402"/>
        <v/>
      </c>
      <c r="AR227" s="5" t="str">
        <f t="shared" si="402"/>
        <v/>
      </c>
      <c r="AS227" s="5" t="str">
        <f t="shared" si="402"/>
        <v/>
      </c>
    </row>
    <row r="228" spans="1:45" s="1" customFormat="1" ht="11">
      <c r="A228" s="7">
        <f>SUM(C228:AS228)</f>
        <v>28</v>
      </c>
      <c r="B228" s="6" t="s">
        <v>17</v>
      </c>
      <c r="C228" s="74">
        <v>0</v>
      </c>
      <c r="D228" s="5">
        <f t="shared" ref="D228:AL228" si="403">IF(D$3="","",C221+C222-D221)</f>
        <v>0</v>
      </c>
      <c r="E228" s="5">
        <f t="shared" si="403"/>
        <v>4</v>
      </c>
      <c r="F228" s="59">
        <f t="shared" si="403"/>
        <v>0</v>
      </c>
      <c r="G228" s="5">
        <f t="shared" si="403"/>
        <v>0</v>
      </c>
      <c r="H228" s="5">
        <f t="shared" si="403"/>
        <v>2</v>
      </c>
      <c r="I228" s="59">
        <f t="shared" si="403"/>
        <v>0</v>
      </c>
      <c r="J228" s="5">
        <f t="shared" si="403"/>
        <v>0</v>
      </c>
      <c r="K228" s="5">
        <f t="shared" si="403"/>
        <v>2</v>
      </c>
      <c r="L228" s="59">
        <f t="shared" si="403"/>
        <v>0</v>
      </c>
      <c r="M228" s="5">
        <f t="shared" si="403"/>
        <v>0</v>
      </c>
      <c r="N228" s="5">
        <f t="shared" si="403"/>
        <v>0</v>
      </c>
      <c r="O228" s="5">
        <f t="shared" si="403"/>
        <v>3</v>
      </c>
      <c r="P228" s="59">
        <f t="shared" si="403"/>
        <v>0</v>
      </c>
      <c r="Q228" s="5">
        <f t="shared" si="403"/>
        <v>0</v>
      </c>
      <c r="R228" s="5">
        <f t="shared" si="403"/>
        <v>2</v>
      </c>
      <c r="S228" s="5">
        <f t="shared" si="403"/>
        <v>0</v>
      </c>
      <c r="T228" s="5">
        <f t="shared" si="403"/>
        <v>0</v>
      </c>
      <c r="U228" s="5">
        <f t="shared" si="403"/>
        <v>0</v>
      </c>
      <c r="V228" s="5">
        <f t="shared" si="403"/>
        <v>5</v>
      </c>
      <c r="W228" s="5">
        <f t="shared" si="403"/>
        <v>0</v>
      </c>
      <c r="X228" s="5">
        <f t="shared" si="403"/>
        <v>0</v>
      </c>
      <c r="Y228" s="5">
        <f t="shared" si="403"/>
        <v>5</v>
      </c>
      <c r="Z228" s="5">
        <f t="shared" si="403"/>
        <v>0</v>
      </c>
      <c r="AA228" s="5">
        <f t="shared" si="403"/>
        <v>0</v>
      </c>
      <c r="AB228" s="5">
        <f t="shared" si="403"/>
        <v>0</v>
      </c>
      <c r="AC228" s="5">
        <f t="shared" si="403"/>
        <v>2</v>
      </c>
      <c r="AD228" s="74">
        <f t="shared" si="403"/>
        <v>0</v>
      </c>
      <c r="AE228" s="5">
        <f t="shared" si="403"/>
        <v>0</v>
      </c>
      <c r="AF228" s="5">
        <f t="shared" si="403"/>
        <v>3</v>
      </c>
      <c r="AG228" s="5" t="str">
        <f t="shared" si="403"/>
        <v/>
      </c>
      <c r="AH228" s="5" t="str">
        <f t="shared" si="403"/>
        <v/>
      </c>
      <c r="AI228" s="5" t="str">
        <f t="shared" si="403"/>
        <v/>
      </c>
      <c r="AJ228" s="5" t="str">
        <f t="shared" si="403"/>
        <v/>
      </c>
      <c r="AK228" s="5" t="str">
        <f t="shared" si="403"/>
        <v/>
      </c>
      <c r="AL228" s="5" t="str">
        <f t="shared" si="403"/>
        <v/>
      </c>
      <c r="AM228" s="5" t="str">
        <f t="shared" ref="AM228:AS228" si="404">IF(AM$3="","",AL221+AL222-AM221)</f>
        <v/>
      </c>
      <c r="AN228" s="5" t="str">
        <f t="shared" si="404"/>
        <v/>
      </c>
      <c r="AO228" s="5" t="str">
        <f t="shared" si="404"/>
        <v/>
      </c>
      <c r="AP228" s="5" t="str">
        <f t="shared" si="404"/>
        <v/>
      </c>
      <c r="AQ228" s="5" t="str">
        <f t="shared" si="404"/>
        <v/>
      </c>
      <c r="AR228" s="5" t="str">
        <f t="shared" si="404"/>
        <v/>
      </c>
      <c r="AS228" s="5" t="str">
        <f t="shared" si="404"/>
        <v/>
      </c>
    </row>
    <row r="229" spans="1:45" s="1" customFormat="1" ht="11">
      <c r="A229" s="7">
        <f>SUM(C229:AS229)</f>
        <v>21000</v>
      </c>
      <c r="B229" s="6" t="s">
        <v>18</v>
      </c>
      <c r="C229" s="74">
        <v>0</v>
      </c>
      <c r="D229" s="5">
        <f t="shared" ref="D229:AL229" si="405">IF(D$3="","",D228*D223)</f>
        <v>0</v>
      </c>
      <c r="E229" s="5">
        <f t="shared" si="405"/>
        <v>3000</v>
      </c>
      <c r="F229" s="59">
        <f t="shared" si="405"/>
        <v>0</v>
      </c>
      <c r="G229" s="5">
        <f t="shared" si="405"/>
        <v>0</v>
      </c>
      <c r="H229" s="5">
        <f t="shared" si="405"/>
        <v>1500</v>
      </c>
      <c r="I229" s="59">
        <f t="shared" si="405"/>
        <v>0</v>
      </c>
      <c r="J229" s="5">
        <f t="shared" si="405"/>
        <v>0</v>
      </c>
      <c r="K229" s="5">
        <f t="shared" si="405"/>
        <v>1500</v>
      </c>
      <c r="L229" s="59">
        <f t="shared" si="405"/>
        <v>0</v>
      </c>
      <c r="M229" s="5">
        <f t="shared" si="405"/>
        <v>0</v>
      </c>
      <c r="N229" s="5">
        <f t="shared" si="405"/>
        <v>0</v>
      </c>
      <c r="O229" s="5">
        <f t="shared" si="405"/>
        <v>2250</v>
      </c>
      <c r="P229" s="59">
        <f t="shared" si="405"/>
        <v>0</v>
      </c>
      <c r="Q229" s="5">
        <f t="shared" si="405"/>
        <v>0</v>
      </c>
      <c r="R229" s="5">
        <f t="shared" si="405"/>
        <v>1500</v>
      </c>
      <c r="S229" s="5">
        <f t="shared" si="405"/>
        <v>0</v>
      </c>
      <c r="T229" s="5">
        <f t="shared" si="405"/>
        <v>0</v>
      </c>
      <c r="U229" s="5">
        <f t="shared" si="405"/>
        <v>0</v>
      </c>
      <c r="V229" s="5">
        <f t="shared" si="405"/>
        <v>3750</v>
      </c>
      <c r="W229" s="5">
        <f t="shared" si="405"/>
        <v>0</v>
      </c>
      <c r="X229" s="5">
        <f t="shared" si="405"/>
        <v>0</v>
      </c>
      <c r="Y229" s="5">
        <f t="shared" si="405"/>
        <v>3750</v>
      </c>
      <c r="Z229" s="5">
        <f t="shared" si="405"/>
        <v>0</v>
      </c>
      <c r="AA229" s="5">
        <f t="shared" si="405"/>
        <v>0</v>
      </c>
      <c r="AB229" s="5">
        <f t="shared" si="405"/>
        <v>0</v>
      </c>
      <c r="AC229" s="5">
        <f t="shared" si="405"/>
        <v>1500</v>
      </c>
      <c r="AD229" s="74">
        <f t="shared" si="405"/>
        <v>0</v>
      </c>
      <c r="AE229" s="5">
        <f t="shared" si="405"/>
        <v>0</v>
      </c>
      <c r="AF229" s="5">
        <f t="shared" si="405"/>
        <v>2250</v>
      </c>
      <c r="AG229" s="5" t="str">
        <f t="shared" si="405"/>
        <v/>
      </c>
      <c r="AH229" s="5" t="str">
        <f t="shared" si="405"/>
        <v/>
      </c>
      <c r="AI229" s="5" t="str">
        <f t="shared" si="405"/>
        <v/>
      </c>
      <c r="AJ229" s="5" t="str">
        <f t="shared" si="405"/>
        <v/>
      </c>
      <c r="AK229" s="5" t="str">
        <f t="shared" si="405"/>
        <v/>
      </c>
      <c r="AL229" s="5" t="str">
        <f t="shared" si="405"/>
        <v/>
      </c>
      <c r="AM229" s="5" t="str">
        <f t="shared" ref="AM229:AS229" si="406">IF(AM$3="","",AM228*AM223)</f>
        <v/>
      </c>
      <c r="AN229" s="5" t="str">
        <f t="shared" si="406"/>
        <v/>
      </c>
      <c r="AO229" s="5" t="str">
        <f t="shared" si="406"/>
        <v/>
      </c>
      <c r="AP229" s="5" t="str">
        <f t="shared" si="406"/>
        <v/>
      </c>
      <c r="AQ229" s="5" t="str">
        <f t="shared" si="406"/>
        <v/>
      </c>
      <c r="AR229" s="5" t="str">
        <f t="shared" si="406"/>
        <v/>
      </c>
      <c r="AS229" s="5" t="str">
        <f t="shared" si="406"/>
        <v/>
      </c>
    </row>
    <row r="230" spans="1:45" s="1" customFormat="1" ht="12" thickBot="1">
      <c r="A230" s="4">
        <f>IF(A229="","",A229/(A226*100))</f>
        <v>0.17298187808896212</v>
      </c>
      <c r="B230" s="3" t="s">
        <v>20</v>
      </c>
      <c r="C230" s="77" t="s">
        <v>21</v>
      </c>
      <c r="D230" s="2" t="str">
        <f t="shared" ref="D230:AL230" si="407">IF(D$3="","",IF(D229=0,"",D229/(D226*100)))</f>
        <v/>
      </c>
      <c r="E230" s="2">
        <f t="shared" si="407"/>
        <v>0.15</v>
      </c>
      <c r="F230" s="57" t="str">
        <f t="shared" si="407"/>
        <v/>
      </c>
      <c r="G230" s="2" t="str">
        <f t="shared" si="407"/>
        <v/>
      </c>
      <c r="H230" s="2">
        <f t="shared" si="407"/>
        <v>0.13392857142857142</v>
      </c>
      <c r="I230" s="57" t="str">
        <f t="shared" si="407"/>
        <v/>
      </c>
      <c r="J230" s="2" t="str">
        <f t="shared" si="407"/>
        <v/>
      </c>
      <c r="K230" s="2">
        <f t="shared" si="407"/>
        <v>0.12820512820512819</v>
      </c>
      <c r="L230" s="57" t="str">
        <f t="shared" si="407"/>
        <v/>
      </c>
      <c r="M230" s="2" t="str">
        <f t="shared" si="407"/>
        <v/>
      </c>
      <c r="N230" s="2" t="str">
        <f t="shared" si="407"/>
        <v/>
      </c>
      <c r="O230" s="2">
        <f t="shared" si="407"/>
        <v>0.14331210191082802</v>
      </c>
      <c r="P230" s="57" t="str">
        <f t="shared" si="407"/>
        <v/>
      </c>
      <c r="Q230" s="2" t="str">
        <f t="shared" si="407"/>
        <v/>
      </c>
      <c r="R230" s="2">
        <f t="shared" si="407"/>
        <v>0.18072289156626506</v>
      </c>
      <c r="S230" s="2" t="str">
        <f t="shared" si="407"/>
        <v/>
      </c>
      <c r="T230" s="2" t="str">
        <f t="shared" si="407"/>
        <v/>
      </c>
      <c r="U230" s="2" t="str">
        <f t="shared" si="407"/>
        <v/>
      </c>
      <c r="V230" s="2">
        <f t="shared" si="407"/>
        <v>0.38659793814432991</v>
      </c>
      <c r="W230" s="2" t="str">
        <f t="shared" si="407"/>
        <v/>
      </c>
      <c r="X230" s="2" t="str">
        <f t="shared" si="407"/>
        <v/>
      </c>
      <c r="Y230" s="2">
        <f t="shared" si="407"/>
        <v>0.20718232044198895</v>
      </c>
      <c r="Z230" s="2" t="str">
        <f t="shared" si="407"/>
        <v/>
      </c>
      <c r="AA230" s="2" t="str">
        <f t="shared" si="407"/>
        <v/>
      </c>
      <c r="AB230" s="2" t="str">
        <f t="shared" si="407"/>
        <v/>
      </c>
      <c r="AC230" s="2">
        <f t="shared" si="407"/>
        <v>8.6206896551724144E-2</v>
      </c>
      <c r="AD230" s="77" t="str">
        <f t="shared" si="407"/>
        <v/>
      </c>
      <c r="AE230" s="2" t="str">
        <f t="shared" si="407"/>
        <v/>
      </c>
      <c r="AF230" s="2">
        <f t="shared" si="407"/>
        <v>0.24193548387096775</v>
      </c>
      <c r="AG230" s="2" t="str">
        <f t="shared" si="407"/>
        <v/>
      </c>
      <c r="AH230" s="2" t="str">
        <f t="shared" si="407"/>
        <v/>
      </c>
      <c r="AI230" s="2" t="str">
        <f t="shared" si="407"/>
        <v/>
      </c>
      <c r="AJ230" s="2" t="str">
        <f t="shared" si="407"/>
        <v/>
      </c>
      <c r="AK230" s="2" t="str">
        <f t="shared" si="407"/>
        <v/>
      </c>
      <c r="AL230" s="2" t="str">
        <f t="shared" si="407"/>
        <v/>
      </c>
      <c r="AM230" s="2" t="str">
        <f t="shared" ref="AM230:AS230" si="408">IF(AM$3="","",IF(AM229=0,"",AM229/(AM226*100)))</f>
        <v/>
      </c>
      <c r="AN230" s="2" t="str">
        <f t="shared" si="408"/>
        <v/>
      </c>
      <c r="AO230" s="2" t="str">
        <f t="shared" si="408"/>
        <v/>
      </c>
      <c r="AP230" s="2" t="str">
        <f t="shared" si="408"/>
        <v/>
      </c>
      <c r="AQ230" s="2" t="str">
        <f t="shared" si="408"/>
        <v/>
      </c>
      <c r="AR230" s="2" t="str">
        <f t="shared" si="408"/>
        <v/>
      </c>
      <c r="AS230" s="2" t="str">
        <f t="shared" si="408"/>
        <v/>
      </c>
    </row>
    <row r="231" spans="1:45" s="1" customFormat="1" ht="11">
      <c r="A231" s="98" t="s">
        <v>61</v>
      </c>
      <c r="B231" s="99" t="s">
        <v>2</v>
      </c>
      <c r="C231" s="110">
        <v>8723</v>
      </c>
      <c r="D231" s="100">
        <f>IF(D$3="","",C231)</f>
        <v>8723</v>
      </c>
      <c r="E231" s="100">
        <v>9091</v>
      </c>
      <c r="F231" s="134">
        <f>IF(F$3="","",E231)</f>
        <v>9091</v>
      </c>
      <c r="G231" s="100">
        <f>IF(G$3="","",F231)</f>
        <v>9091</v>
      </c>
      <c r="H231" s="100">
        <v>9329</v>
      </c>
      <c r="I231" s="134">
        <f>IF(I$3="","",H231)</f>
        <v>9329</v>
      </c>
      <c r="J231" s="100">
        <f>IF(J$3="","",I231)</f>
        <v>9329</v>
      </c>
      <c r="K231" s="100">
        <v>9863</v>
      </c>
      <c r="L231" s="134">
        <f t="shared" ref="L231:N232" si="409">IF(L$3="","",K231)</f>
        <v>9863</v>
      </c>
      <c r="M231" s="100">
        <f t="shared" si="409"/>
        <v>9863</v>
      </c>
      <c r="N231" s="100">
        <f t="shared" si="409"/>
        <v>9863</v>
      </c>
      <c r="O231" s="100">
        <v>10318</v>
      </c>
      <c r="P231" s="134">
        <f>IF(P$3="","",O231)</f>
        <v>10318</v>
      </c>
      <c r="Q231" s="100">
        <f>IF(Q$3="","",P231)</f>
        <v>10318</v>
      </c>
      <c r="R231" s="100">
        <v>10729</v>
      </c>
      <c r="S231" s="100">
        <f t="shared" ref="S231:AL231" si="410">IF(S$3="","",R231)</f>
        <v>10729</v>
      </c>
      <c r="T231" s="100">
        <f t="shared" si="410"/>
        <v>10729</v>
      </c>
      <c r="U231" s="100">
        <f t="shared" si="410"/>
        <v>10729</v>
      </c>
      <c r="V231" s="100">
        <v>10935</v>
      </c>
      <c r="W231" s="100">
        <f t="shared" si="410"/>
        <v>10935</v>
      </c>
      <c r="X231" s="100">
        <f t="shared" si="410"/>
        <v>10935</v>
      </c>
      <c r="Y231" s="100">
        <v>11289</v>
      </c>
      <c r="Z231" s="100">
        <f t="shared" si="410"/>
        <v>11289</v>
      </c>
      <c r="AA231" s="100">
        <f t="shared" si="410"/>
        <v>11289</v>
      </c>
      <c r="AB231" s="100">
        <f t="shared" si="410"/>
        <v>11289</v>
      </c>
      <c r="AC231" s="100">
        <v>11697</v>
      </c>
      <c r="AD231" s="110">
        <f t="shared" si="410"/>
        <v>11697</v>
      </c>
      <c r="AE231" s="100">
        <f t="shared" si="410"/>
        <v>11697</v>
      </c>
      <c r="AF231" s="100">
        <v>11958</v>
      </c>
      <c r="AG231" s="100" t="str">
        <f t="shared" si="410"/>
        <v/>
      </c>
      <c r="AH231" s="100" t="str">
        <f t="shared" si="410"/>
        <v/>
      </c>
      <c r="AI231" s="100" t="str">
        <f t="shared" si="410"/>
        <v/>
      </c>
      <c r="AJ231" s="100" t="str">
        <f t="shared" si="410"/>
        <v/>
      </c>
      <c r="AK231" s="100" t="str">
        <f t="shared" si="410"/>
        <v/>
      </c>
      <c r="AL231" s="100" t="str">
        <f t="shared" si="410"/>
        <v/>
      </c>
      <c r="AM231" s="100" t="str">
        <f t="shared" ref="AM231:AS231" si="411">IF(AM$3="","",AL231)</f>
        <v/>
      </c>
      <c r="AN231" s="100" t="str">
        <f t="shared" si="411"/>
        <v/>
      </c>
      <c r="AO231" s="100" t="str">
        <f t="shared" si="411"/>
        <v/>
      </c>
      <c r="AP231" s="100" t="str">
        <f t="shared" si="411"/>
        <v/>
      </c>
      <c r="AQ231" s="100" t="str">
        <f t="shared" si="411"/>
        <v/>
      </c>
      <c r="AR231" s="100" t="str">
        <f t="shared" si="411"/>
        <v/>
      </c>
      <c r="AS231" s="100" t="str">
        <f t="shared" si="411"/>
        <v/>
      </c>
    </row>
    <row r="232" spans="1:45" s="1" customFormat="1" ht="11">
      <c r="A232" s="16" t="s">
        <v>76</v>
      </c>
      <c r="B232" s="9" t="s">
        <v>4</v>
      </c>
      <c r="C232" s="74">
        <v>7</v>
      </c>
      <c r="D232" s="8">
        <f>IF(D$3="","",C232)</f>
        <v>7</v>
      </c>
      <c r="E232" s="8">
        <v>10</v>
      </c>
      <c r="F232" s="59">
        <f>IF(F$3="","",E232)</f>
        <v>10</v>
      </c>
      <c r="G232" s="8">
        <f>IF(G$3="","",F232)</f>
        <v>10</v>
      </c>
      <c r="H232" s="8">
        <f>IF(H$3="","",G232)</f>
        <v>10</v>
      </c>
      <c r="I232" s="59">
        <f>IF(I$3="","",H232)</f>
        <v>10</v>
      </c>
      <c r="J232" s="8">
        <f>IF(J$3="","",I232)</f>
        <v>10</v>
      </c>
      <c r="K232" s="8">
        <f>IF(K$3="","",J232)</f>
        <v>10</v>
      </c>
      <c r="L232" s="59">
        <f t="shared" si="409"/>
        <v>10</v>
      </c>
      <c r="M232" s="8">
        <f t="shared" si="409"/>
        <v>10</v>
      </c>
      <c r="N232" s="8">
        <f t="shared" si="409"/>
        <v>10</v>
      </c>
      <c r="O232" s="8">
        <f>IF(O$3="","",N232)</f>
        <v>10</v>
      </c>
      <c r="P232" s="59">
        <f>IF(P$3="","",O232)</f>
        <v>10</v>
      </c>
      <c r="Q232" s="8">
        <f>IF(Q$3="","",P232)</f>
        <v>10</v>
      </c>
      <c r="R232" s="8">
        <v>12</v>
      </c>
      <c r="S232" s="8">
        <f t="shared" ref="S232:AL232" si="412">IF(S$3="","",R232)</f>
        <v>12</v>
      </c>
      <c r="T232" s="8">
        <f t="shared" si="412"/>
        <v>12</v>
      </c>
      <c r="U232" s="8">
        <f t="shared" si="412"/>
        <v>12</v>
      </c>
      <c r="V232" s="8">
        <f t="shared" si="412"/>
        <v>12</v>
      </c>
      <c r="W232" s="8">
        <f t="shared" si="412"/>
        <v>12</v>
      </c>
      <c r="X232" s="8">
        <f t="shared" si="412"/>
        <v>12</v>
      </c>
      <c r="Y232" s="8">
        <v>17</v>
      </c>
      <c r="Z232" s="8">
        <f t="shared" si="412"/>
        <v>17</v>
      </c>
      <c r="AA232" s="8">
        <f t="shared" si="412"/>
        <v>17</v>
      </c>
      <c r="AB232" s="8">
        <f t="shared" si="412"/>
        <v>17</v>
      </c>
      <c r="AC232" s="8">
        <v>21</v>
      </c>
      <c r="AD232" s="74">
        <f t="shared" si="412"/>
        <v>21</v>
      </c>
      <c r="AE232" s="8">
        <f t="shared" si="412"/>
        <v>21</v>
      </c>
      <c r="AF232" s="8">
        <v>26</v>
      </c>
      <c r="AG232" s="8" t="str">
        <f t="shared" si="412"/>
        <v/>
      </c>
      <c r="AH232" s="8" t="str">
        <f t="shared" si="412"/>
        <v/>
      </c>
      <c r="AI232" s="8" t="str">
        <f t="shared" si="412"/>
        <v/>
      </c>
      <c r="AJ232" s="8" t="str">
        <f t="shared" si="412"/>
        <v/>
      </c>
      <c r="AK232" s="8" t="str">
        <f t="shared" si="412"/>
        <v/>
      </c>
      <c r="AL232" s="8" t="str">
        <f t="shared" si="412"/>
        <v/>
      </c>
      <c r="AM232" s="8" t="str">
        <f t="shared" ref="AM232:AS232" si="413">IF(AM$3="","",AL232)</f>
        <v/>
      </c>
      <c r="AN232" s="8" t="str">
        <f t="shared" si="413"/>
        <v/>
      </c>
      <c r="AO232" s="8" t="str">
        <f t="shared" si="413"/>
        <v/>
      </c>
      <c r="AP232" s="8" t="str">
        <f t="shared" si="413"/>
        <v/>
      </c>
      <c r="AQ232" s="8" t="str">
        <f t="shared" si="413"/>
        <v/>
      </c>
      <c r="AR232" s="8" t="str">
        <f t="shared" si="413"/>
        <v/>
      </c>
      <c r="AS232" s="8" t="str">
        <f t="shared" si="413"/>
        <v/>
      </c>
    </row>
    <row r="233" spans="1:45" s="1" customFormat="1" ht="11">
      <c r="A233" s="15">
        <v>4</v>
      </c>
      <c r="B233" s="9" t="s">
        <v>5</v>
      </c>
      <c r="C233" s="74">
        <v>8</v>
      </c>
      <c r="D233" s="8">
        <f>IF(D$3="","",(C233+C234))</f>
        <v>8</v>
      </c>
      <c r="E233" s="8">
        <v>4</v>
      </c>
      <c r="F233" s="59">
        <f>IF(F$3="","",(E233+E234))</f>
        <v>4</v>
      </c>
      <c r="G233" s="8">
        <f>IF(G$3="","",(F233+F234))</f>
        <v>4</v>
      </c>
      <c r="H233" s="8">
        <v>2</v>
      </c>
      <c r="I233" s="59">
        <f t="shared" ref="I233:N233" si="414">IF(I$3="","",(H233+H234))</f>
        <v>9</v>
      </c>
      <c r="J233" s="8">
        <f t="shared" si="414"/>
        <v>9</v>
      </c>
      <c r="K233" s="8">
        <f t="shared" si="414"/>
        <v>9</v>
      </c>
      <c r="L233" s="59">
        <f t="shared" si="414"/>
        <v>9</v>
      </c>
      <c r="M233" s="8">
        <f t="shared" si="414"/>
        <v>9</v>
      </c>
      <c r="N233" s="8">
        <f t="shared" si="414"/>
        <v>9</v>
      </c>
      <c r="O233" s="8">
        <v>8</v>
      </c>
      <c r="P233" s="59">
        <f>IF(P$3="","",(O233+O234))</f>
        <v>8</v>
      </c>
      <c r="Q233" s="8">
        <f>IF(Q$3="","",(P233+P234))</f>
        <v>8</v>
      </c>
      <c r="R233" s="8">
        <v>6</v>
      </c>
      <c r="S233" s="8">
        <f t="shared" ref="S233:AL233" si="415">IF(S$3="","",(R233+R234))</f>
        <v>11</v>
      </c>
      <c r="T233" s="8">
        <f t="shared" si="415"/>
        <v>11</v>
      </c>
      <c r="U233" s="8">
        <f t="shared" si="415"/>
        <v>11</v>
      </c>
      <c r="V233" s="8">
        <f t="shared" si="415"/>
        <v>11</v>
      </c>
      <c r="W233" s="8">
        <f t="shared" si="415"/>
        <v>11</v>
      </c>
      <c r="X233" s="8">
        <f t="shared" si="415"/>
        <v>11</v>
      </c>
      <c r="Y233" s="8">
        <v>6</v>
      </c>
      <c r="Z233" s="8">
        <f t="shared" si="415"/>
        <v>10</v>
      </c>
      <c r="AA233" s="8">
        <f t="shared" si="415"/>
        <v>10</v>
      </c>
      <c r="AB233" s="8">
        <f t="shared" si="415"/>
        <v>10</v>
      </c>
      <c r="AC233" s="8">
        <v>5</v>
      </c>
      <c r="AD233" s="74">
        <f t="shared" si="415"/>
        <v>8</v>
      </c>
      <c r="AE233" s="8">
        <f t="shared" si="415"/>
        <v>8</v>
      </c>
      <c r="AF233" s="8">
        <v>0</v>
      </c>
      <c r="AG233" s="8" t="str">
        <f t="shared" si="415"/>
        <v/>
      </c>
      <c r="AH233" s="8" t="str">
        <f t="shared" si="415"/>
        <v/>
      </c>
      <c r="AI233" s="8" t="str">
        <f t="shared" si="415"/>
        <v/>
      </c>
      <c r="AJ233" s="8" t="str">
        <f t="shared" si="415"/>
        <v/>
      </c>
      <c r="AK233" s="8" t="str">
        <f t="shared" si="415"/>
        <v/>
      </c>
      <c r="AL233" s="8" t="str">
        <f t="shared" si="415"/>
        <v/>
      </c>
      <c r="AM233" s="8" t="str">
        <f t="shared" ref="AM233:AS233" si="416">IF(AM$3="","",(AL233+AL234))</f>
        <v/>
      </c>
      <c r="AN233" s="8" t="str">
        <f t="shared" si="416"/>
        <v/>
      </c>
      <c r="AO233" s="8" t="str">
        <f t="shared" si="416"/>
        <v/>
      </c>
      <c r="AP233" s="8" t="str">
        <f t="shared" si="416"/>
        <v/>
      </c>
      <c r="AQ233" s="8" t="str">
        <f t="shared" si="416"/>
        <v/>
      </c>
      <c r="AR233" s="8" t="str">
        <f t="shared" si="416"/>
        <v/>
      </c>
      <c r="AS233" s="8" t="str">
        <f t="shared" si="416"/>
        <v/>
      </c>
    </row>
    <row r="234" spans="1:45" s="1" customFormat="1" ht="11">
      <c r="A234" s="14"/>
      <c r="B234" s="9" t="s">
        <v>7</v>
      </c>
      <c r="C234" s="74"/>
      <c r="D234" s="8"/>
      <c r="E234" s="8"/>
      <c r="F234" s="59"/>
      <c r="G234" s="8"/>
      <c r="H234" s="8">
        <v>7</v>
      </c>
      <c r="I234" s="59"/>
      <c r="J234" s="8"/>
      <c r="K234" s="8"/>
      <c r="L234" s="59"/>
      <c r="M234" s="8"/>
      <c r="N234" s="8"/>
      <c r="O234" s="8"/>
      <c r="P234" s="59"/>
      <c r="Q234" s="8"/>
      <c r="R234" s="8">
        <v>5</v>
      </c>
      <c r="S234" s="8"/>
      <c r="T234" s="8"/>
      <c r="U234" s="8"/>
      <c r="V234" s="8"/>
      <c r="W234" s="8"/>
      <c r="X234" s="8"/>
      <c r="Y234" s="8">
        <v>4</v>
      </c>
      <c r="Z234" s="8"/>
      <c r="AA234" s="8"/>
      <c r="AB234" s="8"/>
      <c r="AC234" s="8">
        <v>3</v>
      </c>
      <c r="AD234" s="74"/>
      <c r="AE234" s="8"/>
      <c r="AF234" s="8">
        <v>7</v>
      </c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</row>
    <row r="235" spans="1:45" s="1" customFormat="1" ht="11">
      <c r="A235" s="7"/>
      <c r="B235" s="9" t="s">
        <v>8</v>
      </c>
      <c r="C235" s="74">
        <v>600</v>
      </c>
      <c r="D235" s="8">
        <f t="shared" ref="D235:AL235" si="417">IF(D$3="","",C235)</f>
        <v>600</v>
      </c>
      <c r="E235" s="8">
        <f t="shared" si="417"/>
        <v>600</v>
      </c>
      <c r="F235" s="59">
        <f t="shared" si="417"/>
        <v>600</v>
      </c>
      <c r="G235" s="8">
        <f t="shared" si="417"/>
        <v>600</v>
      </c>
      <c r="H235" s="8">
        <f t="shared" si="417"/>
        <v>600</v>
      </c>
      <c r="I235" s="59">
        <f t="shared" si="417"/>
        <v>600</v>
      </c>
      <c r="J235" s="8">
        <f t="shared" si="417"/>
        <v>600</v>
      </c>
      <c r="K235" s="8">
        <f t="shared" si="417"/>
        <v>600</v>
      </c>
      <c r="L235" s="59">
        <f t="shared" si="417"/>
        <v>600</v>
      </c>
      <c r="M235" s="8">
        <f t="shared" si="417"/>
        <v>600</v>
      </c>
      <c r="N235" s="8">
        <f t="shared" si="417"/>
        <v>600</v>
      </c>
      <c r="O235" s="8">
        <f t="shared" si="417"/>
        <v>600</v>
      </c>
      <c r="P235" s="59">
        <f t="shared" si="417"/>
        <v>600</v>
      </c>
      <c r="Q235" s="8">
        <f t="shared" si="417"/>
        <v>600</v>
      </c>
      <c r="R235" s="8">
        <f t="shared" si="417"/>
        <v>600</v>
      </c>
      <c r="S235" s="8">
        <f t="shared" si="417"/>
        <v>600</v>
      </c>
      <c r="T235" s="8">
        <f t="shared" si="417"/>
        <v>600</v>
      </c>
      <c r="U235" s="8">
        <f t="shared" si="417"/>
        <v>600</v>
      </c>
      <c r="V235" s="8">
        <f t="shared" si="417"/>
        <v>600</v>
      </c>
      <c r="W235" s="8">
        <f t="shared" si="417"/>
        <v>600</v>
      </c>
      <c r="X235" s="8">
        <f t="shared" si="417"/>
        <v>600</v>
      </c>
      <c r="Y235" s="8">
        <f t="shared" si="417"/>
        <v>600</v>
      </c>
      <c r="Z235" s="8">
        <f t="shared" si="417"/>
        <v>600</v>
      </c>
      <c r="AA235" s="8">
        <f t="shared" si="417"/>
        <v>600</v>
      </c>
      <c r="AB235" s="8">
        <f t="shared" si="417"/>
        <v>600</v>
      </c>
      <c r="AC235" s="8">
        <f t="shared" si="417"/>
        <v>600</v>
      </c>
      <c r="AD235" s="74">
        <f t="shared" si="417"/>
        <v>600</v>
      </c>
      <c r="AE235" s="8">
        <f t="shared" si="417"/>
        <v>600</v>
      </c>
      <c r="AF235" s="8">
        <f t="shared" si="417"/>
        <v>600</v>
      </c>
      <c r="AG235" s="8" t="str">
        <f t="shared" si="417"/>
        <v/>
      </c>
      <c r="AH235" s="8" t="str">
        <f t="shared" si="417"/>
        <v/>
      </c>
      <c r="AI235" s="8" t="str">
        <f t="shared" si="417"/>
        <v/>
      </c>
      <c r="AJ235" s="8" t="str">
        <f t="shared" si="417"/>
        <v/>
      </c>
      <c r="AK235" s="8" t="str">
        <f t="shared" si="417"/>
        <v/>
      </c>
      <c r="AL235" s="8" t="str">
        <f t="shared" si="417"/>
        <v/>
      </c>
      <c r="AM235" s="8" t="str">
        <f t="shared" ref="AM235:AS235" si="418">IF(AM$3="","",AL235)</f>
        <v/>
      </c>
      <c r="AN235" s="8" t="str">
        <f t="shared" si="418"/>
        <v/>
      </c>
      <c r="AO235" s="8" t="str">
        <f t="shared" si="418"/>
        <v/>
      </c>
      <c r="AP235" s="8" t="str">
        <f t="shared" si="418"/>
        <v/>
      </c>
      <c r="AQ235" s="8" t="str">
        <f t="shared" si="418"/>
        <v/>
      </c>
      <c r="AR235" s="8" t="str">
        <f t="shared" si="418"/>
        <v/>
      </c>
      <c r="AS235" s="8" t="str">
        <f t="shared" si="418"/>
        <v/>
      </c>
    </row>
    <row r="236" spans="1:45" s="94" customFormat="1" ht="11">
      <c r="A236" s="14" t="s">
        <v>9</v>
      </c>
      <c r="B236" s="13" t="s">
        <v>10</v>
      </c>
      <c r="C236" s="75" t="s">
        <v>77</v>
      </c>
      <c r="D236" s="12" t="str">
        <f t="shared" ref="D236:AL236" si="419">IF(D$3="","",C236)</f>
        <v>ボンドロ</v>
      </c>
      <c r="E236" s="12" t="str">
        <f t="shared" si="419"/>
        <v>ボンドロ</v>
      </c>
      <c r="F236" s="131" t="str">
        <f t="shared" si="419"/>
        <v>ボンドロ</v>
      </c>
      <c r="G236" s="12" t="str">
        <f t="shared" si="419"/>
        <v>ボンドロ</v>
      </c>
      <c r="H236" s="12" t="str">
        <f t="shared" si="419"/>
        <v>ボンドロ</v>
      </c>
      <c r="I236" s="131" t="str">
        <f t="shared" si="419"/>
        <v>ボンドロ</v>
      </c>
      <c r="J236" s="12" t="str">
        <f t="shared" si="419"/>
        <v>ボンドロ</v>
      </c>
      <c r="K236" s="12" t="str">
        <f t="shared" si="419"/>
        <v>ボンドロ</v>
      </c>
      <c r="L236" s="131" t="str">
        <f t="shared" si="419"/>
        <v>ボンドロ</v>
      </c>
      <c r="M236" s="12" t="str">
        <f t="shared" si="419"/>
        <v>ボンドロ</v>
      </c>
      <c r="N236" s="12" t="str">
        <f t="shared" si="419"/>
        <v>ボンドロ</v>
      </c>
      <c r="O236" s="12" t="str">
        <f t="shared" si="419"/>
        <v>ボンドロ</v>
      </c>
      <c r="P236" s="131" t="str">
        <f t="shared" si="419"/>
        <v>ボンドロ</v>
      </c>
      <c r="Q236" s="12" t="str">
        <f t="shared" si="419"/>
        <v>ボンドロ</v>
      </c>
      <c r="R236" s="12" t="str">
        <f t="shared" si="419"/>
        <v>ボンドロ</v>
      </c>
      <c r="S236" s="12" t="str">
        <f t="shared" si="419"/>
        <v>ボンドロ</v>
      </c>
      <c r="T236" s="12" t="str">
        <f t="shared" si="419"/>
        <v>ボンドロ</v>
      </c>
      <c r="U236" s="12" t="str">
        <f t="shared" si="419"/>
        <v>ボンドロ</v>
      </c>
      <c r="V236" s="12" t="str">
        <f t="shared" si="419"/>
        <v>ボンドロ</v>
      </c>
      <c r="W236" s="12" t="str">
        <f t="shared" si="419"/>
        <v>ボンドロ</v>
      </c>
      <c r="X236" s="12" t="str">
        <f t="shared" si="419"/>
        <v>ボンドロ</v>
      </c>
      <c r="Y236" s="12" t="str">
        <f t="shared" si="419"/>
        <v>ボンドロ</v>
      </c>
      <c r="Z236" s="12" t="str">
        <f t="shared" si="419"/>
        <v>ボンドロ</v>
      </c>
      <c r="AA236" s="12" t="str">
        <f t="shared" si="419"/>
        <v>ボンドロ</v>
      </c>
      <c r="AB236" s="12" t="str">
        <f t="shared" si="419"/>
        <v>ボンドロ</v>
      </c>
      <c r="AC236" s="12" t="str">
        <f t="shared" si="419"/>
        <v>ボンドロ</v>
      </c>
      <c r="AD236" s="75" t="str">
        <f t="shared" si="419"/>
        <v>ボンドロ</v>
      </c>
      <c r="AE236" s="12" t="str">
        <f t="shared" si="419"/>
        <v>ボンドロ</v>
      </c>
      <c r="AF236" s="12" t="str">
        <f t="shared" si="419"/>
        <v>ボンドロ</v>
      </c>
      <c r="AG236" s="12" t="str">
        <f t="shared" si="419"/>
        <v/>
      </c>
      <c r="AH236" s="12" t="str">
        <f t="shared" si="419"/>
        <v/>
      </c>
      <c r="AI236" s="12" t="str">
        <f t="shared" si="419"/>
        <v/>
      </c>
      <c r="AJ236" s="12" t="str">
        <f t="shared" si="419"/>
        <v/>
      </c>
      <c r="AK236" s="12" t="str">
        <f t="shared" si="419"/>
        <v/>
      </c>
      <c r="AL236" s="12" t="str">
        <f t="shared" si="419"/>
        <v/>
      </c>
      <c r="AM236" s="12" t="str">
        <f t="shared" ref="AM236:AS236" si="420">IF(AM$3="","",AL236)</f>
        <v/>
      </c>
      <c r="AN236" s="12" t="str">
        <f t="shared" si="420"/>
        <v/>
      </c>
      <c r="AO236" s="12" t="str">
        <f t="shared" si="420"/>
        <v/>
      </c>
      <c r="AP236" s="12" t="str">
        <f t="shared" si="420"/>
        <v/>
      </c>
      <c r="AQ236" s="12" t="str">
        <f t="shared" si="420"/>
        <v/>
      </c>
      <c r="AR236" s="12" t="str">
        <f t="shared" si="420"/>
        <v/>
      </c>
      <c r="AS236" s="12" t="str">
        <f t="shared" si="420"/>
        <v/>
      </c>
    </row>
    <row r="237" spans="1:45" s="1" customFormat="1" ht="11">
      <c r="A237" s="7">
        <f>AVERAGE(C238:AS238)*30*100</f>
        <v>323500</v>
      </c>
      <c r="B237" s="9" t="s">
        <v>14</v>
      </c>
      <c r="C237" s="74"/>
      <c r="D237" s="8"/>
      <c r="E237" s="8"/>
      <c r="F237" s="59"/>
      <c r="G237" s="8"/>
      <c r="H237" s="8"/>
      <c r="I237" s="59"/>
      <c r="J237" s="8"/>
      <c r="K237" s="8"/>
      <c r="L237" s="59"/>
      <c r="M237" s="8"/>
      <c r="N237" s="8"/>
      <c r="O237" s="8"/>
      <c r="P237" s="59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74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</row>
    <row r="238" spans="1:45" s="1" customFormat="1" ht="11">
      <c r="A238" s="7">
        <f>SUM(C238:AS238)</f>
        <v>3235</v>
      </c>
      <c r="B238" s="6" t="s">
        <v>15</v>
      </c>
      <c r="C238" s="74">
        <v>0</v>
      </c>
      <c r="D238" s="5">
        <f t="shared" ref="D238:AL238" si="421">IF(D$3="","",D231-C231)</f>
        <v>0</v>
      </c>
      <c r="E238" s="5">
        <f t="shared" si="421"/>
        <v>368</v>
      </c>
      <c r="F238" s="59">
        <f t="shared" si="421"/>
        <v>0</v>
      </c>
      <c r="G238" s="5">
        <f t="shared" si="421"/>
        <v>0</v>
      </c>
      <c r="H238" s="5">
        <f t="shared" si="421"/>
        <v>238</v>
      </c>
      <c r="I238" s="59">
        <f t="shared" si="421"/>
        <v>0</v>
      </c>
      <c r="J238" s="5">
        <f t="shared" si="421"/>
        <v>0</v>
      </c>
      <c r="K238" s="5">
        <f t="shared" si="421"/>
        <v>534</v>
      </c>
      <c r="L238" s="59">
        <f t="shared" si="421"/>
        <v>0</v>
      </c>
      <c r="M238" s="5">
        <f t="shared" si="421"/>
        <v>0</v>
      </c>
      <c r="N238" s="5">
        <f t="shared" si="421"/>
        <v>0</v>
      </c>
      <c r="O238" s="5">
        <f t="shared" si="421"/>
        <v>455</v>
      </c>
      <c r="P238" s="59">
        <f t="shared" si="421"/>
        <v>0</v>
      </c>
      <c r="Q238" s="5">
        <f t="shared" si="421"/>
        <v>0</v>
      </c>
      <c r="R238" s="5">
        <f t="shared" si="421"/>
        <v>411</v>
      </c>
      <c r="S238" s="5">
        <f t="shared" si="421"/>
        <v>0</v>
      </c>
      <c r="T238" s="5">
        <f t="shared" si="421"/>
        <v>0</v>
      </c>
      <c r="U238" s="5">
        <f t="shared" si="421"/>
        <v>0</v>
      </c>
      <c r="V238" s="5">
        <f t="shared" si="421"/>
        <v>206</v>
      </c>
      <c r="W238" s="5">
        <f t="shared" si="421"/>
        <v>0</v>
      </c>
      <c r="X238" s="5">
        <f t="shared" si="421"/>
        <v>0</v>
      </c>
      <c r="Y238" s="5">
        <f t="shared" si="421"/>
        <v>354</v>
      </c>
      <c r="Z238" s="5">
        <f t="shared" si="421"/>
        <v>0</v>
      </c>
      <c r="AA238" s="5">
        <f t="shared" si="421"/>
        <v>0</v>
      </c>
      <c r="AB238" s="5">
        <f t="shared" si="421"/>
        <v>0</v>
      </c>
      <c r="AC238" s="5">
        <f t="shared" si="421"/>
        <v>408</v>
      </c>
      <c r="AD238" s="74">
        <f t="shared" si="421"/>
        <v>0</v>
      </c>
      <c r="AE238" s="5">
        <f t="shared" si="421"/>
        <v>0</v>
      </c>
      <c r="AF238" s="5">
        <f t="shared" si="421"/>
        <v>261</v>
      </c>
      <c r="AG238" s="5" t="str">
        <f t="shared" si="421"/>
        <v/>
      </c>
      <c r="AH238" s="5" t="str">
        <f t="shared" si="421"/>
        <v/>
      </c>
      <c r="AI238" s="5" t="str">
        <f t="shared" si="421"/>
        <v/>
      </c>
      <c r="AJ238" s="5" t="str">
        <f t="shared" si="421"/>
        <v/>
      </c>
      <c r="AK238" s="5" t="str">
        <f t="shared" si="421"/>
        <v/>
      </c>
      <c r="AL238" s="5" t="str">
        <f t="shared" si="421"/>
        <v/>
      </c>
      <c r="AM238" s="5" t="str">
        <f t="shared" ref="AM238:AS238" si="422">IF(AM$3="","",AM231-AL231)</f>
        <v/>
      </c>
      <c r="AN238" s="5" t="str">
        <f t="shared" si="422"/>
        <v/>
      </c>
      <c r="AO238" s="5" t="str">
        <f t="shared" si="422"/>
        <v/>
      </c>
      <c r="AP238" s="5" t="str">
        <f t="shared" si="422"/>
        <v/>
      </c>
      <c r="AQ238" s="5" t="str">
        <f t="shared" si="422"/>
        <v/>
      </c>
      <c r="AR238" s="5" t="str">
        <f t="shared" si="422"/>
        <v/>
      </c>
      <c r="AS238" s="5" t="str">
        <f t="shared" si="422"/>
        <v/>
      </c>
    </row>
    <row r="239" spans="1:45" s="1" customFormat="1" ht="11">
      <c r="A239" s="7">
        <f>SUM(C239:AS239)</f>
        <v>19</v>
      </c>
      <c r="B239" s="6" t="s">
        <v>16</v>
      </c>
      <c r="C239" s="74">
        <v>0</v>
      </c>
      <c r="D239" s="5">
        <f t="shared" ref="D239:AL239" si="423">IF(D$3="","",D232-C232)</f>
        <v>0</v>
      </c>
      <c r="E239" s="5">
        <f t="shared" si="423"/>
        <v>3</v>
      </c>
      <c r="F239" s="59">
        <f t="shared" si="423"/>
        <v>0</v>
      </c>
      <c r="G239" s="5">
        <f t="shared" si="423"/>
        <v>0</v>
      </c>
      <c r="H239" s="5">
        <f t="shared" si="423"/>
        <v>0</v>
      </c>
      <c r="I239" s="59">
        <f t="shared" si="423"/>
        <v>0</v>
      </c>
      <c r="J239" s="5">
        <f t="shared" si="423"/>
        <v>0</v>
      </c>
      <c r="K239" s="5">
        <f t="shared" si="423"/>
        <v>0</v>
      </c>
      <c r="L239" s="59">
        <f t="shared" si="423"/>
        <v>0</v>
      </c>
      <c r="M239" s="5">
        <f t="shared" si="423"/>
        <v>0</v>
      </c>
      <c r="N239" s="5">
        <f t="shared" si="423"/>
        <v>0</v>
      </c>
      <c r="O239" s="5">
        <f t="shared" si="423"/>
        <v>0</v>
      </c>
      <c r="P239" s="59">
        <f t="shared" si="423"/>
        <v>0</v>
      </c>
      <c r="Q239" s="5">
        <f t="shared" si="423"/>
        <v>0</v>
      </c>
      <c r="R239" s="5">
        <f t="shared" si="423"/>
        <v>2</v>
      </c>
      <c r="S239" s="5">
        <f t="shared" si="423"/>
        <v>0</v>
      </c>
      <c r="T239" s="5">
        <f t="shared" si="423"/>
        <v>0</v>
      </c>
      <c r="U239" s="5">
        <f t="shared" si="423"/>
        <v>0</v>
      </c>
      <c r="V239" s="5">
        <f t="shared" si="423"/>
        <v>0</v>
      </c>
      <c r="W239" s="5">
        <f t="shared" si="423"/>
        <v>0</v>
      </c>
      <c r="X239" s="5">
        <f t="shared" si="423"/>
        <v>0</v>
      </c>
      <c r="Y239" s="5">
        <f t="shared" si="423"/>
        <v>5</v>
      </c>
      <c r="Z239" s="5">
        <f t="shared" si="423"/>
        <v>0</v>
      </c>
      <c r="AA239" s="5">
        <f t="shared" si="423"/>
        <v>0</v>
      </c>
      <c r="AB239" s="5">
        <f t="shared" si="423"/>
        <v>0</v>
      </c>
      <c r="AC239" s="5">
        <f t="shared" si="423"/>
        <v>4</v>
      </c>
      <c r="AD239" s="74">
        <f t="shared" si="423"/>
        <v>0</v>
      </c>
      <c r="AE239" s="5">
        <f t="shared" si="423"/>
        <v>0</v>
      </c>
      <c r="AF239" s="5">
        <f t="shared" si="423"/>
        <v>5</v>
      </c>
      <c r="AG239" s="5" t="str">
        <f t="shared" si="423"/>
        <v/>
      </c>
      <c r="AH239" s="5" t="str">
        <f t="shared" si="423"/>
        <v/>
      </c>
      <c r="AI239" s="5" t="str">
        <f t="shared" si="423"/>
        <v/>
      </c>
      <c r="AJ239" s="5" t="str">
        <f t="shared" si="423"/>
        <v/>
      </c>
      <c r="AK239" s="5" t="str">
        <f t="shared" si="423"/>
        <v/>
      </c>
      <c r="AL239" s="5" t="str">
        <f t="shared" si="423"/>
        <v/>
      </c>
      <c r="AM239" s="5" t="str">
        <f t="shared" ref="AM239:AS239" si="424">IF(AM$3="","",AM232-AL232)</f>
        <v/>
      </c>
      <c r="AN239" s="5" t="str">
        <f t="shared" si="424"/>
        <v/>
      </c>
      <c r="AO239" s="5" t="str">
        <f t="shared" si="424"/>
        <v/>
      </c>
      <c r="AP239" s="5" t="str">
        <f t="shared" si="424"/>
        <v/>
      </c>
      <c r="AQ239" s="5" t="str">
        <f t="shared" si="424"/>
        <v/>
      </c>
      <c r="AR239" s="5" t="str">
        <f t="shared" si="424"/>
        <v/>
      </c>
      <c r="AS239" s="5" t="str">
        <f t="shared" si="424"/>
        <v/>
      </c>
    </row>
    <row r="240" spans="1:45" s="1" customFormat="1" ht="11">
      <c r="A240" s="7">
        <f>SUM(C240:AS240)</f>
        <v>27</v>
      </c>
      <c r="B240" s="6" t="s">
        <v>17</v>
      </c>
      <c r="C240" s="74">
        <v>0</v>
      </c>
      <c r="D240" s="5">
        <f t="shared" ref="D240:AL240" si="425">IF(D$3="","",C233+C234-D233)</f>
        <v>0</v>
      </c>
      <c r="E240" s="5">
        <f t="shared" si="425"/>
        <v>4</v>
      </c>
      <c r="F240" s="59">
        <f t="shared" si="425"/>
        <v>0</v>
      </c>
      <c r="G240" s="5">
        <f t="shared" si="425"/>
        <v>0</v>
      </c>
      <c r="H240" s="5">
        <f t="shared" si="425"/>
        <v>2</v>
      </c>
      <c r="I240" s="59">
        <f t="shared" si="425"/>
        <v>0</v>
      </c>
      <c r="J240" s="5">
        <f t="shared" si="425"/>
        <v>0</v>
      </c>
      <c r="K240" s="5">
        <f t="shared" si="425"/>
        <v>0</v>
      </c>
      <c r="L240" s="59">
        <f t="shared" si="425"/>
        <v>0</v>
      </c>
      <c r="M240" s="5">
        <f t="shared" si="425"/>
        <v>0</v>
      </c>
      <c r="N240" s="5">
        <f t="shared" si="425"/>
        <v>0</v>
      </c>
      <c r="O240" s="5">
        <f t="shared" si="425"/>
        <v>1</v>
      </c>
      <c r="P240" s="59">
        <f t="shared" si="425"/>
        <v>0</v>
      </c>
      <c r="Q240" s="5">
        <f t="shared" si="425"/>
        <v>0</v>
      </c>
      <c r="R240" s="5">
        <f t="shared" si="425"/>
        <v>2</v>
      </c>
      <c r="S240" s="5">
        <f t="shared" si="425"/>
        <v>0</v>
      </c>
      <c r="T240" s="5">
        <f t="shared" si="425"/>
        <v>0</v>
      </c>
      <c r="U240" s="5">
        <f t="shared" si="425"/>
        <v>0</v>
      </c>
      <c r="V240" s="5">
        <f t="shared" si="425"/>
        <v>0</v>
      </c>
      <c r="W240" s="5">
        <f t="shared" si="425"/>
        <v>0</v>
      </c>
      <c r="X240" s="5">
        <f t="shared" si="425"/>
        <v>0</v>
      </c>
      <c r="Y240" s="5">
        <f t="shared" si="425"/>
        <v>5</v>
      </c>
      <c r="Z240" s="5">
        <f t="shared" si="425"/>
        <v>0</v>
      </c>
      <c r="AA240" s="5">
        <f t="shared" si="425"/>
        <v>0</v>
      </c>
      <c r="AB240" s="5">
        <f t="shared" si="425"/>
        <v>0</v>
      </c>
      <c r="AC240" s="5">
        <f t="shared" si="425"/>
        <v>5</v>
      </c>
      <c r="AD240" s="74">
        <f t="shared" si="425"/>
        <v>0</v>
      </c>
      <c r="AE240" s="5">
        <f t="shared" si="425"/>
        <v>0</v>
      </c>
      <c r="AF240" s="5">
        <f t="shared" si="425"/>
        <v>8</v>
      </c>
      <c r="AG240" s="5" t="str">
        <f t="shared" si="425"/>
        <v/>
      </c>
      <c r="AH240" s="5" t="str">
        <f t="shared" si="425"/>
        <v/>
      </c>
      <c r="AI240" s="5" t="str">
        <f t="shared" si="425"/>
        <v/>
      </c>
      <c r="AJ240" s="5" t="str">
        <f t="shared" si="425"/>
        <v/>
      </c>
      <c r="AK240" s="5" t="str">
        <f t="shared" si="425"/>
        <v/>
      </c>
      <c r="AL240" s="5" t="str">
        <f t="shared" si="425"/>
        <v/>
      </c>
      <c r="AM240" s="5" t="str">
        <f t="shared" ref="AM240:AS240" si="426">IF(AM$3="","",AL233+AL234-AM233)</f>
        <v/>
      </c>
      <c r="AN240" s="5" t="str">
        <f t="shared" si="426"/>
        <v/>
      </c>
      <c r="AO240" s="5" t="str">
        <f t="shared" si="426"/>
        <v/>
      </c>
      <c r="AP240" s="5" t="str">
        <f t="shared" si="426"/>
        <v/>
      </c>
      <c r="AQ240" s="5" t="str">
        <f t="shared" si="426"/>
        <v/>
      </c>
      <c r="AR240" s="5" t="str">
        <f t="shared" si="426"/>
        <v/>
      </c>
      <c r="AS240" s="5" t="str">
        <f t="shared" si="426"/>
        <v/>
      </c>
    </row>
    <row r="241" spans="1:45" s="1" customFormat="1" ht="11">
      <c r="A241" s="7">
        <f>SUM(C241:AS241)</f>
        <v>16200</v>
      </c>
      <c r="B241" s="6" t="s">
        <v>18</v>
      </c>
      <c r="C241" s="74">
        <v>0</v>
      </c>
      <c r="D241" s="5">
        <f t="shared" ref="D241:AL241" si="427">IF(D$3="","",D240*D235)</f>
        <v>0</v>
      </c>
      <c r="E241" s="5">
        <f t="shared" si="427"/>
        <v>2400</v>
      </c>
      <c r="F241" s="59">
        <f t="shared" si="427"/>
        <v>0</v>
      </c>
      <c r="G241" s="5">
        <f t="shared" si="427"/>
        <v>0</v>
      </c>
      <c r="H241" s="5">
        <f t="shared" si="427"/>
        <v>1200</v>
      </c>
      <c r="I241" s="59">
        <f t="shared" si="427"/>
        <v>0</v>
      </c>
      <c r="J241" s="5">
        <f t="shared" si="427"/>
        <v>0</v>
      </c>
      <c r="K241" s="5">
        <f t="shared" si="427"/>
        <v>0</v>
      </c>
      <c r="L241" s="59">
        <f t="shared" si="427"/>
        <v>0</v>
      </c>
      <c r="M241" s="5">
        <f t="shared" si="427"/>
        <v>0</v>
      </c>
      <c r="N241" s="5">
        <f t="shared" si="427"/>
        <v>0</v>
      </c>
      <c r="O241" s="5">
        <f t="shared" si="427"/>
        <v>600</v>
      </c>
      <c r="P241" s="59">
        <f t="shared" si="427"/>
        <v>0</v>
      </c>
      <c r="Q241" s="5">
        <f t="shared" si="427"/>
        <v>0</v>
      </c>
      <c r="R241" s="5">
        <f t="shared" si="427"/>
        <v>1200</v>
      </c>
      <c r="S241" s="5">
        <f t="shared" si="427"/>
        <v>0</v>
      </c>
      <c r="T241" s="5">
        <f t="shared" si="427"/>
        <v>0</v>
      </c>
      <c r="U241" s="5">
        <f t="shared" si="427"/>
        <v>0</v>
      </c>
      <c r="V241" s="5">
        <f t="shared" si="427"/>
        <v>0</v>
      </c>
      <c r="W241" s="5">
        <f t="shared" si="427"/>
        <v>0</v>
      </c>
      <c r="X241" s="5">
        <f t="shared" si="427"/>
        <v>0</v>
      </c>
      <c r="Y241" s="5">
        <f t="shared" si="427"/>
        <v>3000</v>
      </c>
      <c r="Z241" s="5">
        <f t="shared" si="427"/>
        <v>0</v>
      </c>
      <c r="AA241" s="5">
        <f t="shared" si="427"/>
        <v>0</v>
      </c>
      <c r="AB241" s="5">
        <f t="shared" si="427"/>
        <v>0</v>
      </c>
      <c r="AC241" s="5">
        <f t="shared" si="427"/>
        <v>3000</v>
      </c>
      <c r="AD241" s="74">
        <f t="shared" si="427"/>
        <v>0</v>
      </c>
      <c r="AE241" s="5">
        <f t="shared" si="427"/>
        <v>0</v>
      </c>
      <c r="AF241" s="5">
        <f t="shared" si="427"/>
        <v>4800</v>
      </c>
      <c r="AG241" s="5" t="str">
        <f t="shared" si="427"/>
        <v/>
      </c>
      <c r="AH241" s="5" t="str">
        <f t="shared" si="427"/>
        <v/>
      </c>
      <c r="AI241" s="5" t="str">
        <f t="shared" si="427"/>
        <v/>
      </c>
      <c r="AJ241" s="5" t="str">
        <f t="shared" si="427"/>
        <v/>
      </c>
      <c r="AK241" s="5" t="str">
        <f t="shared" si="427"/>
        <v/>
      </c>
      <c r="AL241" s="5" t="str">
        <f t="shared" si="427"/>
        <v/>
      </c>
      <c r="AM241" s="5" t="str">
        <f t="shared" ref="AM241:AS241" si="428">IF(AM$3="","",AM240*AM235)</f>
        <v/>
      </c>
      <c r="AN241" s="5" t="str">
        <f t="shared" si="428"/>
        <v/>
      </c>
      <c r="AO241" s="5" t="str">
        <f t="shared" si="428"/>
        <v/>
      </c>
      <c r="AP241" s="5" t="str">
        <f t="shared" si="428"/>
        <v/>
      </c>
      <c r="AQ241" s="5" t="str">
        <f t="shared" si="428"/>
        <v/>
      </c>
      <c r="AR241" s="5" t="str">
        <f t="shared" si="428"/>
        <v/>
      </c>
      <c r="AS241" s="5" t="str">
        <f t="shared" si="428"/>
        <v/>
      </c>
    </row>
    <row r="242" spans="1:45" s="1" customFormat="1" ht="12" thickBot="1">
      <c r="A242" s="4">
        <f>IF(A241="","",A241/(A238*100))</f>
        <v>5.007727975270479E-2</v>
      </c>
      <c r="B242" s="3" t="s">
        <v>20</v>
      </c>
      <c r="C242" s="77" t="s">
        <v>21</v>
      </c>
      <c r="D242" s="2" t="str">
        <f t="shared" ref="D242:AL242" si="429">IF(D$3="","",IF(D241=0,"",D241/(D238*100)))</f>
        <v/>
      </c>
      <c r="E242" s="2">
        <f t="shared" si="429"/>
        <v>6.5217391304347824E-2</v>
      </c>
      <c r="F242" s="57" t="str">
        <f t="shared" si="429"/>
        <v/>
      </c>
      <c r="G242" s="2" t="str">
        <f t="shared" si="429"/>
        <v/>
      </c>
      <c r="H242" s="2">
        <f t="shared" si="429"/>
        <v>5.0420168067226892E-2</v>
      </c>
      <c r="I242" s="57" t="str">
        <f t="shared" si="429"/>
        <v/>
      </c>
      <c r="J242" s="2" t="str">
        <f t="shared" si="429"/>
        <v/>
      </c>
      <c r="K242" s="2" t="str">
        <f t="shared" si="429"/>
        <v/>
      </c>
      <c r="L242" s="57" t="str">
        <f t="shared" si="429"/>
        <v/>
      </c>
      <c r="M242" s="2" t="str">
        <f t="shared" si="429"/>
        <v/>
      </c>
      <c r="N242" s="2" t="str">
        <f t="shared" si="429"/>
        <v/>
      </c>
      <c r="O242" s="2">
        <f t="shared" si="429"/>
        <v>1.3186813186813187E-2</v>
      </c>
      <c r="P242" s="57" t="str">
        <f t="shared" si="429"/>
        <v/>
      </c>
      <c r="Q242" s="2" t="str">
        <f t="shared" si="429"/>
        <v/>
      </c>
      <c r="R242" s="2">
        <f t="shared" si="429"/>
        <v>2.9197080291970802E-2</v>
      </c>
      <c r="S242" s="2" t="str">
        <f t="shared" si="429"/>
        <v/>
      </c>
      <c r="T242" s="2" t="str">
        <f t="shared" si="429"/>
        <v/>
      </c>
      <c r="U242" s="2" t="str">
        <f t="shared" si="429"/>
        <v/>
      </c>
      <c r="V242" s="2" t="str">
        <f t="shared" si="429"/>
        <v/>
      </c>
      <c r="W242" s="2" t="str">
        <f t="shared" si="429"/>
        <v/>
      </c>
      <c r="X242" s="2" t="str">
        <f t="shared" si="429"/>
        <v/>
      </c>
      <c r="Y242" s="2">
        <f t="shared" si="429"/>
        <v>8.4745762711864403E-2</v>
      </c>
      <c r="Z242" s="2" t="str">
        <f t="shared" si="429"/>
        <v/>
      </c>
      <c r="AA242" s="2" t="str">
        <f t="shared" si="429"/>
        <v/>
      </c>
      <c r="AB242" s="2" t="str">
        <f t="shared" si="429"/>
        <v/>
      </c>
      <c r="AC242" s="2">
        <f t="shared" si="429"/>
        <v>7.3529411764705885E-2</v>
      </c>
      <c r="AD242" s="77" t="str">
        <f t="shared" si="429"/>
        <v/>
      </c>
      <c r="AE242" s="2" t="str">
        <f t="shared" si="429"/>
        <v/>
      </c>
      <c r="AF242" s="2">
        <f t="shared" si="429"/>
        <v>0.18390804597701149</v>
      </c>
      <c r="AG242" s="2" t="str">
        <f t="shared" si="429"/>
        <v/>
      </c>
      <c r="AH242" s="2" t="str">
        <f t="shared" si="429"/>
        <v/>
      </c>
      <c r="AI242" s="2" t="str">
        <f t="shared" si="429"/>
        <v/>
      </c>
      <c r="AJ242" s="2" t="str">
        <f t="shared" si="429"/>
        <v/>
      </c>
      <c r="AK242" s="2" t="str">
        <f t="shared" si="429"/>
        <v/>
      </c>
      <c r="AL242" s="2" t="str">
        <f t="shared" si="429"/>
        <v/>
      </c>
      <c r="AM242" s="2" t="str">
        <f t="shared" ref="AM242:AS242" si="430">IF(AM$3="","",IF(AM241=0,"",AM241/(AM238*100)))</f>
        <v/>
      </c>
      <c r="AN242" s="2" t="str">
        <f t="shared" si="430"/>
        <v/>
      </c>
      <c r="AO242" s="2" t="str">
        <f t="shared" si="430"/>
        <v/>
      </c>
      <c r="AP242" s="2" t="str">
        <f t="shared" si="430"/>
        <v/>
      </c>
      <c r="AQ242" s="2" t="str">
        <f t="shared" si="430"/>
        <v/>
      </c>
      <c r="AR242" s="2" t="str">
        <f t="shared" si="430"/>
        <v/>
      </c>
      <c r="AS242" s="2" t="str">
        <f t="shared" si="430"/>
        <v/>
      </c>
    </row>
    <row r="243" spans="1:45">
      <c r="A243" s="435" t="s">
        <v>429</v>
      </c>
      <c r="C243">
        <v>1</v>
      </c>
      <c r="AD243">
        <v>1</v>
      </c>
    </row>
  </sheetData>
  <phoneticPr fontId="2"/>
  <conditionalFormatting sqref="A14">
    <cfRule type="cellIs" dxfId="126" priority="2" operator="greaterThan">
      <formula>0.25</formula>
    </cfRule>
  </conditionalFormatting>
  <conditionalFormatting sqref="A26">
    <cfRule type="cellIs" dxfId="125" priority="5" operator="greaterThan">
      <formula>0.25</formula>
    </cfRule>
  </conditionalFormatting>
  <conditionalFormatting sqref="A38">
    <cfRule type="cellIs" dxfId="124" priority="1" operator="greaterThan">
      <formula>0.25</formula>
    </cfRule>
  </conditionalFormatting>
  <conditionalFormatting sqref="A50">
    <cfRule type="cellIs" dxfId="123" priority="6" operator="greaterThan">
      <formula>0.25</formula>
    </cfRule>
  </conditionalFormatting>
  <conditionalFormatting sqref="A62">
    <cfRule type="cellIs" dxfId="122" priority="3" operator="greaterThan">
      <formula>0.25</formula>
    </cfRule>
  </conditionalFormatting>
  <conditionalFormatting sqref="A74">
    <cfRule type="cellIs" dxfId="121" priority="7" operator="greaterThan">
      <formula>0.25</formula>
    </cfRule>
  </conditionalFormatting>
  <conditionalFormatting sqref="A86">
    <cfRule type="cellIs" dxfId="120" priority="8" operator="greaterThan">
      <formula>0.25</formula>
    </cfRule>
  </conditionalFormatting>
  <conditionalFormatting sqref="A98">
    <cfRule type="cellIs" dxfId="119" priority="9" operator="greaterThan">
      <formula>0.25</formula>
    </cfRule>
  </conditionalFormatting>
  <conditionalFormatting sqref="A110">
    <cfRule type="cellIs" dxfId="118" priority="4" operator="greaterThan">
      <formula>0.25</formula>
    </cfRule>
  </conditionalFormatting>
  <conditionalFormatting sqref="A122">
    <cfRule type="cellIs" dxfId="117" priority="10" operator="greaterThan">
      <formula>0.25</formula>
    </cfRule>
  </conditionalFormatting>
  <conditionalFormatting sqref="A134">
    <cfRule type="cellIs" dxfId="116" priority="11" operator="greaterThan">
      <formula>0.25</formula>
    </cfRule>
  </conditionalFormatting>
  <conditionalFormatting sqref="A146">
    <cfRule type="cellIs" dxfId="115" priority="12" operator="greaterThan">
      <formula>0.25</formula>
    </cfRule>
  </conditionalFormatting>
  <conditionalFormatting sqref="A158">
    <cfRule type="cellIs" dxfId="114" priority="13" operator="greaterThan">
      <formula>0.25</formula>
    </cfRule>
  </conditionalFormatting>
  <conditionalFormatting sqref="A170">
    <cfRule type="cellIs" dxfId="113" priority="14" operator="greaterThan">
      <formula>0.25</formula>
    </cfRule>
  </conditionalFormatting>
  <conditionalFormatting sqref="A182">
    <cfRule type="cellIs" dxfId="112" priority="15" operator="greaterThan">
      <formula>0.25</formula>
    </cfRule>
  </conditionalFormatting>
  <conditionalFormatting sqref="A194">
    <cfRule type="cellIs" dxfId="111" priority="16" operator="greaterThan">
      <formula>0.25</formula>
    </cfRule>
  </conditionalFormatting>
  <conditionalFormatting sqref="A206">
    <cfRule type="cellIs" dxfId="110" priority="17" operator="greaterThan">
      <formula>0.25</formula>
    </cfRule>
  </conditionalFormatting>
  <conditionalFormatting sqref="A218">
    <cfRule type="cellIs" dxfId="109" priority="18" operator="greaterThan">
      <formula>0.25</formula>
    </cfRule>
  </conditionalFormatting>
  <conditionalFormatting sqref="A230">
    <cfRule type="cellIs" dxfId="108" priority="19" operator="greaterThan">
      <formula>0.25</formula>
    </cfRule>
  </conditionalFormatting>
  <conditionalFormatting sqref="A242">
    <cfRule type="cellIs" dxfId="107" priority="20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09E3-80CE-4544-B910-CB19698DEE2B}">
  <dimension ref="A1:AS255"/>
  <sheetViews>
    <sheetView zoomScale="110" zoomScaleNormal="110" workbookViewId="0">
      <pane xSplit="2" ySplit="2" topLeftCell="AB226" activePane="bottomRight" state="frozen"/>
      <selection pane="topRight" activeCell="C11" sqref="C11"/>
      <selection pane="bottomLeft" activeCell="C11" sqref="C11"/>
      <selection pane="bottomRight" activeCell="AF201" sqref="AF201"/>
    </sheetView>
  </sheetViews>
  <sheetFormatPr baseColWidth="10" defaultColWidth="10.83203125" defaultRowHeight="11"/>
  <cols>
    <col min="1" max="1" width="11.5" style="93" customWidth="1"/>
    <col min="2" max="2" width="7.33203125" style="93" customWidth="1"/>
    <col min="3" max="45" width="8.1640625" style="93" customWidth="1"/>
    <col min="46" max="16384" width="10.83203125" style="93"/>
  </cols>
  <sheetData>
    <row r="1" spans="1:45">
      <c r="A1" s="416">
        <f>SUM(A9,A45,A57,A69,A81,A93,A105,A117,A129,A153,A141,A165,A177,A189,A201,A213,A225,A33,A21,A237,A249)</f>
        <v>1211709.6774193547</v>
      </c>
      <c r="B1" s="49" t="s">
        <v>0</v>
      </c>
      <c r="C1" s="48">
        <v>46066</v>
      </c>
      <c r="D1" s="48">
        <f t="shared" ref="D1:AN1" si="0">C1+1</f>
        <v>46067</v>
      </c>
      <c r="E1" s="48">
        <f t="shared" si="0"/>
        <v>46068</v>
      </c>
      <c r="F1" s="48">
        <f t="shared" si="0"/>
        <v>46069</v>
      </c>
      <c r="G1" s="48">
        <f t="shared" si="0"/>
        <v>46070</v>
      </c>
      <c r="H1" s="48">
        <f t="shared" si="0"/>
        <v>46071</v>
      </c>
      <c r="I1" s="48">
        <f t="shared" si="0"/>
        <v>46072</v>
      </c>
      <c r="J1" s="48">
        <f t="shared" si="0"/>
        <v>46073</v>
      </c>
      <c r="K1" s="48">
        <f t="shared" si="0"/>
        <v>46074</v>
      </c>
      <c r="L1" s="48">
        <f t="shared" si="0"/>
        <v>46075</v>
      </c>
      <c r="M1" s="48">
        <f t="shared" si="0"/>
        <v>46076</v>
      </c>
      <c r="N1" s="48">
        <f t="shared" si="0"/>
        <v>46077</v>
      </c>
      <c r="O1" s="48">
        <f t="shared" si="0"/>
        <v>46078</v>
      </c>
      <c r="P1" s="48">
        <f t="shared" si="0"/>
        <v>46079</v>
      </c>
      <c r="Q1" s="48">
        <f t="shared" si="0"/>
        <v>46080</v>
      </c>
      <c r="R1" s="48">
        <f t="shared" si="0"/>
        <v>46081</v>
      </c>
      <c r="S1" s="48">
        <f t="shared" si="0"/>
        <v>46082</v>
      </c>
      <c r="T1" s="48">
        <f t="shared" si="0"/>
        <v>46083</v>
      </c>
      <c r="U1" s="48">
        <f t="shared" si="0"/>
        <v>46084</v>
      </c>
      <c r="V1" s="48">
        <f t="shared" si="0"/>
        <v>46085</v>
      </c>
      <c r="W1" s="48">
        <f t="shared" si="0"/>
        <v>46086</v>
      </c>
      <c r="X1" s="48">
        <f t="shared" si="0"/>
        <v>46087</v>
      </c>
      <c r="Y1" s="48">
        <f t="shared" si="0"/>
        <v>46088</v>
      </c>
      <c r="Z1" s="48">
        <f t="shared" si="0"/>
        <v>46089</v>
      </c>
      <c r="AA1" s="48">
        <f t="shared" si="0"/>
        <v>46090</v>
      </c>
      <c r="AB1" s="48">
        <f t="shared" si="0"/>
        <v>46091</v>
      </c>
      <c r="AC1" s="48">
        <f t="shared" si="0"/>
        <v>46092</v>
      </c>
      <c r="AD1" s="48">
        <f t="shared" si="0"/>
        <v>46093</v>
      </c>
      <c r="AE1" s="48">
        <f t="shared" si="0"/>
        <v>46094</v>
      </c>
      <c r="AF1" s="48">
        <f t="shared" si="0"/>
        <v>46095</v>
      </c>
      <c r="AG1" s="48">
        <f t="shared" si="0"/>
        <v>46096</v>
      </c>
      <c r="AH1" s="48">
        <f t="shared" si="0"/>
        <v>46097</v>
      </c>
      <c r="AI1" s="48">
        <f t="shared" si="0"/>
        <v>46098</v>
      </c>
      <c r="AJ1" s="48">
        <f t="shared" si="0"/>
        <v>46099</v>
      </c>
      <c r="AK1" s="48">
        <f t="shared" si="0"/>
        <v>46100</v>
      </c>
      <c r="AL1" s="48">
        <f t="shared" si="0"/>
        <v>46101</v>
      </c>
      <c r="AM1" s="48">
        <f t="shared" si="0"/>
        <v>46102</v>
      </c>
      <c r="AN1" s="48">
        <f t="shared" si="0"/>
        <v>46103</v>
      </c>
      <c r="AO1" s="48">
        <f t="shared" ref="AO1:AS1" si="1">AN1+1</f>
        <v>46104</v>
      </c>
      <c r="AP1" s="48">
        <f t="shared" si="1"/>
        <v>46105</v>
      </c>
      <c r="AQ1" s="48">
        <f t="shared" si="1"/>
        <v>46106</v>
      </c>
      <c r="AR1" s="48">
        <f t="shared" si="1"/>
        <v>46107</v>
      </c>
      <c r="AS1" s="48">
        <f t="shared" si="1"/>
        <v>46108</v>
      </c>
    </row>
    <row r="2" spans="1:45" ht="12" thickBot="1">
      <c r="A2" s="416"/>
      <c r="B2" s="46">
        <f>SUM(C2:AO2)</f>
        <v>12521</v>
      </c>
      <c r="C2" s="115">
        <v>0</v>
      </c>
      <c r="D2" s="45">
        <f t="shared" ref="D2:AN2" si="2">SUM(D10,D250,D238,D22,D34,D226,D214,D202,D190,D178,D166,D154,D142,D130,D118,,D106,D94,D82,D70,D58,D46)</f>
        <v>0</v>
      </c>
      <c r="E2" s="45">
        <f t="shared" si="2"/>
        <v>0</v>
      </c>
      <c r="F2" s="45">
        <f t="shared" si="2"/>
        <v>1684</v>
      </c>
      <c r="G2" s="126">
        <f t="shared" si="2"/>
        <v>0</v>
      </c>
      <c r="H2" s="45">
        <f t="shared" si="2"/>
        <v>0</v>
      </c>
      <c r="I2" s="45">
        <f t="shared" si="2"/>
        <v>1003</v>
      </c>
      <c r="J2" s="126">
        <f t="shared" si="2"/>
        <v>0</v>
      </c>
      <c r="K2" s="45">
        <f t="shared" si="2"/>
        <v>0</v>
      </c>
      <c r="L2" s="45">
        <f t="shared" si="2"/>
        <v>2061</v>
      </c>
      <c r="M2" s="126">
        <f t="shared" si="2"/>
        <v>0</v>
      </c>
      <c r="N2" s="45">
        <f t="shared" si="2"/>
        <v>0</v>
      </c>
      <c r="O2" s="45">
        <f t="shared" si="2"/>
        <v>0</v>
      </c>
      <c r="P2" s="45">
        <f t="shared" si="2"/>
        <v>1393</v>
      </c>
      <c r="Q2" s="126">
        <f t="shared" si="2"/>
        <v>0</v>
      </c>
      <c r="R2" s="45">
        <f t="shared" si="2"/>
        <v>0</v>
      </c>
      <c r="S2" s="45">
        <f t="shared" si="2"/>
        <v>1701</v>
      </c>
      <c r="T2" s="45">
        <f t="shared" si="2"/>
        <v>0</v>
      </c>
      <c r="U2" s="45">
        <f t="shared" si="2"/>
        <v>0</v>
      </c>
      <c r="V2" s="45">
        <f t="shared" si="2"/>
        <v>0</v>
      </c>
      <c r="W2" s="45">
        <f t="shared" si="2"/>
        <v>901</v>
      </c>
      <c r="X2" s="45">
        <f t="shared" si="2"/>
        <v>0</v>
      </c>
      <c r="Y2" s="45">
        <f t="shared" si="2"/>
        <v>0</v>
      </c>
      <c r="Z2" s="45">
        <f t="shared" si="2"/>
        <v>1445</v>
      </c>
      <c r="AA2" s="45">
        <f t="shared" si="2"/>
        <v>0</v>
      </c>
      <c r="AB2" s="45">
        <f t="shared" si="2"/>
        <v>0</v>
      </c>
      <c r="AC2" s="45">
        <f t="shared" si="2"/>
        <v>0</v>
      </c>
      <c r="AD2" s="45">
        <f t="shared" si="2"/>
        <v>1005</v>
      </c>
      <c r="AE2" s="45">
        <f t="shared" si="2"/>
        <v>0</v>
      </c>
      <c r="AF2" s="45">
        <f t="shared" si="2"/>
        <v>0</v>
      </c>
      <c r="AG2" s="45">
        <f t="shared" si="2"/>
        <v>1328</v>
      </c>
      <c r="AH2" s="45">
        <f t="shared" si="2"/>
        <v>0</v>
      </c>
      <c r="AI2" s="45">
        <f t="shared" si="2"/>
        <v>0</v>
      </c>
      <c r="AJ2" s="45">
        <f t="shared" si="2"/>
        <v>0</v>
      </c>
      <c r="AK2" s="45">
        <f t="shared" si="2"/>
        <v>0</v>
      </c>
      <c r="AL2" s="45">
        <f t="shared" si="2"/>
        <v>0</v>
      </c>
      <c r="AM2" s="45">
        <f t="shared" si="2"/>
        <v>0</v>
      </c>
      <c r="AN2" s="45">
        <f t="shared" si="2"/>
        <v>0</v>
      </c>
      <c r="AO2" s="45">
        <f t="shared" ref="AO2:AS2" si="3">SUM(AO10,AO250,AO238,AO22,AO34,AO226,AO214,AO202,AO190,AO178,AO166,AO154,AO142,AO130,AO118,,AO106,AO94,AO82,AO70,AO58,AO46)</f>
        <v>0</v>
      </c>
      <c r="AP2" s="45">
        <f t="shared" si="3"/>
        <v>0</v>
      </c>
      <c r="AQ2" s="45">
        <f t="shared" si="3"/>
        <v>0</v>
      </c>
      <c r="AR2" s="45">
        <f t="shared" si="3"/>
        <v>0</v>
      </c>
      <c r="AS2" s="45">
        <f t="shared" si="3"/>
        <v>0</v>
      </c>
    </row>
    <row r="3" spans="1:45">
      <c r="A3" s="40" t="s">
        <v>78</v>
      </c>
      <c r="B3" s="39" t="s">
        <v>2</v>
      </c>
      <c r="C3" s="38">
        <v>21752</v>
      </c>
      <c r="D3" s="38">
        <v>21752</v>
      </c>
      <c r="E3" s="38">
        <v>21752</v>
      </c>
      <c r="F3" s="38">
        <v>21846</v>
      </c>
      <c r="G3" s="127">
        <v>21846</v>
      </c>
      <c r="H3" s="38">
        <v>21846</v>
      </c>
      <c r="I3" s="38">
        <v>21903</v>
      </c>
      <c r="J3" s="38">
        <v>21903</v>
      </c>
      <c r="K3" s="38">
        <v>21903</v>
      </c>
      <c r="L3" s="38">
        <v>22061</v>
      </c>
      <c r="M3" s="38">
        <v>22061</v>
      </c>
      <c r="N3" s="38">
        <v>22061</v>
      </c>
      <c r="O3" s="38">
        <v>22061</v>
      </c>
      <c r="P3" s="38">
        <v>22096</v>
      </c>
      <c r="Q3" s="38">
        <v>22096</v>
      </c>
      <c r="R3" s="38">
        <v>22096</v>
      </c>
      <c r="S3" s="38">
        <v>22229</v>
      </c>
      <c r="T3" s="38">
        <v>22229</v>
      </c>
      <c r="U3" s="38">
        <v>22229</v>
      </c>
      <c r="V3" s="38">
        <v>22229</v>
      </c>
      <c r="W3" s="38">
        <v>22279</v>
      </c>
      <c r="X3" s="38">
        <v>22279</v>
      </c>
      <c r="Y3" s="38">
        <v>22279</v>
      </c>
      <c r="Z3" s="38">
        <v>22361</v>
      </c>
      <c r="AA3" s="38">
        <v>22361</v>
      </c>
      <c r="AB3" s="38">
        <v>22361</v>
      </c>
      <c r="AC3" s="38">
        <v>22361</v>
      </c>
      <c r="AD3" s="38">
        <v>22456</v>
      </c>
      <c r="AE3" s="38">
        <v>22456</v>
      </c>
      <c r="AF3" s="38">
        <v>22456</v>
      </c>
      <c r="AG3" s="38">
        <v>22531</v>
      </c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</row>
    <row r="4" spans="1:45">
      <c r="A4" s="37" t="s">
        <v>79</v>
      </c>
      <c r="B4" s="30" t="s">
        <v>4</v>
      </c>
      <c r="C4" s="65">
        <v>349</v>
      </c>
      <c r="D4" s="29">
        <f>IF(D$3="","",C4)</f>
        <v>349</v>
      </c>
      <c r="E4" s="29">
        <f>IF(E$3="","",D4)</f>
        <v>349</v>
      </c>
      <c r="F4" s="29">
        <v>350</v>
      </c>
      <c r="G4" s="54">
        <f>IF(G$3="","",F4)</f>
        <v>350</v>
      </c>
      <c r="H4" s="29">
        <f>IF(H$3="","",G4)</f>
        <v>350</v>
      </c>
      <c r="I4" s="29">
        <v>352</v>
      </c>
      <c r="J4" s="54">
        <f>IF(J$3="","",I4)</f>
        <v>352</v>
      </c>
      <c r="K4" s="29">
        <f>IF(K$3="","",J4)</f>
        <v>352</v>
      </c>
      <c r="L4" s="29">
        <v>357</v>
      </c>
      <c r="M4" s="54">
        <f t="shared" ref="M4:R4" si="4">IF(M$3="","",L4)</f>
        <v>357</v>
      </c>
      <c r="N4" s="29">
        <f t="shared" si="4"/>
        <v>357</v>
      </c>
      <c r="O4" s="29">
        <f t="shared" si="4"/>
        <v>357</v>
      </c>
      <c r="P4" s="29">
        <f t="shared" si="4"/>
        <v>357</v>
      </c>
      <c r="Q4" s="54">
        <f t="shared" si="4"/>
        <v>357</v>
      </c>
      <c r="R4" s="29">
        <f t="shared" si="4"/>
        <v>357</v>
      </c>
      <c r="S4" s="29">
        <v>360</v>
      </c>
      <c r="T4" s="29">
        <f t="shared" ref="T4:AN4" si="5">IF(T$3="","",S4)</f>
        <v>360</v>
      </c>
      <c r="U4" s="29">
        <f t="shared" si="5"/>
        <v>360</v>
      </c>
      <c r="V4" s="29">
        <f t="shared" si="5"/>
        <v>360</v>
      </c>
      <c r="W4" s="29">
        <v>363</v>
      </c>
      <c r="X4" s="29">
        <f t="shared" si="5"/>
        <v>363</v>
      </c>
      <c r="Y4" s="29">
        <f t="shared" si="5"/>
        <v>363</v>
      </c>
      <c r="Z4" s="29">
        <v>364</v>
      </c>
      <c r="AA4" s="29">
        <f t="shared" si="5"/>
        <v>364</v>
      </c>
      <c r="AB4" s="29">
        <f t="shared" si="5"/>
        <v>364</v>
      </c>
      <c r="AC4" s="29">
        <f t="shared" si="5"/>
        <v>364</v>
      </c>
      <c r="AD4" s="29">
        <v>365</v>
      </c>
      <c r="AE4" s="29">
        <f t="shared" si="5"/>
        <v>365</v>
      </c>
      <c r="AF4" s="29">
        <f t="shared" si="5"/>
        <v>365</v>
      </c>
      <c r="AG4" s="29">
        <v>366</v>
      </c>
      <c r="AH4" s="29" t="str">
        <f t="shared" si="5"/>
        <v/>
      </c>
      <c r="AI4" s="29" t="str">
        <f t="shared" si="5"/>
        <v/>
      </c>
      <c r="AJ4" s="29" t="str">
        <f t="shared" si="5"/>
        <v/>
      </c>
      <c r="AK4" s="29" t="str">
        <f t="shared" si="5"/>
        <v/>
      </c>
      <c r="AL4" s="29" t="str">
        <f t="shared" si="5"/>
        <v/>
      </c>
      <c r="AM4" s="29" t="str">
        <f t="shared" si="5"/>
        <v/>
      </c>
      <c r="AN4" s="29" t="str">
        <f t="shared" si="5"/>
        <v/>
      </c>
      <c r="AO4" s="29" t="str">
        <f t="shared" ref="AO4:AS4" si="6">IF(AO$3="","",AN4)</f>
        <v/>
      </c>
      <c r="AP4" s="29" t="str">
        <f t="shared" si="6"/>
        <v/>
      </c>
      <c r="AQ4" s="29" t="str">
        <f t="shared" si="6"/>
        <v/>
      </c>
      <c r="AR4" s="29" t="str">
        <f t="shared" si="6"/>
        <v/>
      </c>
      <c r="AS4" s="29" t="str">
        <f t="shared" si="6"/>
        <v/>
      </c>
    </row>
    <row r="5" spans="1:45">
      <c r="A5" s="34"/>
      <c r="B5" s="30" t="s">
        <v>5</v>
      </c>
      <c r="C5" s="65">
        <v>19</v>
      </c>
      <c r="D5" s="29">
        <f>IF(D3="","",(C5+C6))</f>
        <v>19</v>
      </c>
      <c r="E5" s="29">
        <f>IF(E3="","",(D5+D6))</f>
        <v>19</v>
      </c>
      <c r="F5" s="29">
        <v>18</v>
      </c>
      <c r="G5" s="54">
        <f>IF(G3="","",(F5+F6))</f>
        <v>18</v>
      </c>
      <c r="H5" s="29">
        <f>IF(H3="","",(G5+G6))</f>
        <v>18</v>
      </c>
      <c r="I5" s="29">
        <v>16</v>
      </c>
      <c r="J5" s="54">
        <f>IF(J3="","",(I5+I6))</f>
        <v>20</v>
      </c>
      <c r="K5" s="29">
        <f>IF(K3="","",(J5+J6))</f>
        <v>20</v>
      </c>
      <c r="L5" s="29">
        <v>15</v>
      </c>
      <c r="M5" s="54">
        <f t="shared" ref="M5:R5" si="7">IF(M3="","",(L5+L6))</f>
        <v>21</v>
      </c>
      <c r="N5" s="29">
        <f t="shared" si="7"/>
        <v>21</v>
      </c>
      <c r="O5" s="29">
        <f t="shared" si="7"/>
        <v>21</v>
      </c>
      <c r="P5" s="29">
        <f t="shared" si="7"/>
        <v>21</v>
      </c>
      <c r="Q5" s="54">
        <f t="shared" si="7"/>
        <v>34</v>
      </c>
      <c r="R5" s="29">
        <f t="shared" si="7"/>
        <v>34</v>
      </c>
      <c r="S5" s="29">
        <v>31</v>
      </c>
      <c r="T5" s="29">
        <f t="shared" ref="T5:AN5" si="8">IF(T3="","",(S5+S6))</f>
        <v>31</v>
      </c>
      <c r="U5" s="29">
        <f t="shared" si="8"/>
        <v>31</v>
      </c>
      <c r="V5" s="29">
        <f t="shared" si="8"/>
        <v>31</v>
      </c>
      <c r="W5" s="29">
        <v>28</v>
      </c>
      <c r="X5" s="29">
        <f t="shared" si="8"/>
        <v>28</v>
      </c>
      <c r="Y5" s="29">
        <f t="shared" si="8"/>
        <v>28</v>
      </c>
      <c r="Z5" s="29">
        <v>27</v>
      </c>
      <c r="AA5" s="29">
        <f t="shared" si="8"/>
        <v>27</v>
      </c>
      <c r="AB5" s="29">
        <f t="shared" si="8"/>
        <v>27</v>
      </c>
      <c r="AC5" s="29">
        <f t="shared" si="8"/>
        <v>27</v>
      </c>
      <c r="AD5" s="29">
        <v>26</v>
      </c>
      <c r="AE5" s="29">
        <f t="shared" si="8"/>
        <v>26</v>
      </c>
      <c r="AF5" s="29">
        <f t="shared" si="8"/>
        <v>26</v>
      </c>
      <c r="AG5" s="29">
        <v>25</v>
      </c>
      <c r="AH5" s="29" t="str">
        <f t="shared" si="8"/>
        <v/>
      </c>
      <c r="AI5" s="29" t="str">
        <f t="shared" si="8"/>
        <v/>
      </c>
      <c r="AJ5" s="29" t="str">
        <f t="shared" si="8"/>
        <v/>
      </c>
      <c r="AK5" s="29" t="str">
        <f t="shared" si="8"/>
        <v/>
      </c>
      <c r="AL5" s="29" t="str">
        <f t="shared" si="8"/>
        <v/>
      </c>
      <c r="AM5" s="29" t="str">
        <f t="shared" si="8"/>
        <v/>
      </c>
      <c r="AN5" s="29" t="str">
        <f t="shared" si="8"/>
        <v/>
      </c>
      <c r="AO5" s="29" t="str">
        <f t="shared" ref="AO5:AS5" si="9">IF(AO3="","",(AN5+AN6))</f>
        <v/>
      </c>
      <c r="AP5" s="29" t="str">
        <f t="shared" si="9"/>
        <v/>
      </c>
      <c r="AQ5" s="29" t="str">
        <f t="shared" si="9"/>
        <v/>
      </c>
      <c r="AR5" s="29" t="str">
        <f t="shared" si="9"/>
        <v/>
      </c>
      <c r="AS5" s="29" t="str">
        <f t="shared" si="9"/>
        <v/>
      </c>
    </row>
    <row r="6" spans="1:45">
      <c r="A6" s="14"/>
      <c r="B6" s="30" t="s">
        <v>7</v>
      </c>
      <c r="C6" s="65"/>
      <c r="D6" s="29"/>
      <c r="E6" s="29"/>
      <c r="F6" s="29"/>
      <c r="G6" s="54"/>
      <c r="H6" s="29"/>
      <c r="I6" s="29">
        <v>4</v>
      </c>
      <c r="J6" s="54"/>
      <c r="K6" s="29"/>
      <c r="L6" s="29">
        <v>6</v>
      </c>
      <c r="M6" s="54"/>
      <c r="N6" s="29"/>
      <c r="O6" s="29"/>
      <c r="P6" s="29">
        <v>13</v>
      </c>
      <c r="Q6" s="54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</row>
    <row r="7" spans="1:45">
      <c r="A7" s="7"/>
      <c r="B7" s="30" t="s">
        <v>8</v>
      </c>
      <c r="C7" s="64">
        <v>715</v>
      </c>
      <c r="D7" s="35">
        <f t="shared" ref="D7:AN7" si="10">IF(D3="","",C7)</f>
        <v>715</v>
      </c>
      <c r="E7" s="35">
        <f t="shared" si="10"/>
        <v>715</v>
      </c>
      <c r="F7" s="35">
        <f t="shared" si="10"/>
        <v>715</v>
      </c>
      <c r="G7" s="128">
        <f t="shared" si="10"/>
        <v>715</v>
      </c>
      <c r="H7" s="35">
        <f t="shared" si="10"/>
        <v>715</v>
      </c>
      <c r="I7" s="35">
        <f t="shared" si="10"/>
        <v>715</v>
      </c>
      <c r="J7" s="128">
        <f t="shared" si="10"/>
        <v>715</v>
      </c>
      <c r="K7" s="35">
        <f t="shared" si="10"/>
        <v>715</v>
      </c>
      <c r="L7" s="35">
        <f t="shared" si="10"/>
        <v>715</v>
      </c>
      <c r="M7" s="128">
        <f t="shared" si="10"/>
        <v>715</v>
      </c>
      <c r="N7" s="35">
        <f t="shared" si="10"/>
        <v>715</v>
      </c>
      <c r="O7" s="35">
        <f t="shared" si="10"/>
        <v>715</v>
      </c>
      <c r="P7" s="35">
        <f t="shared" si="10"/>
        <v>715</v>
      </c>
      <c r="Q7" s="128">
        <f t="shared" si="10"/>
        <v>715</v>
      </c>
      <c r="R7" s="35">
        <f t="shared" si="10"/>
        <v>715</v>
      </c>
      <c r="S7" s="35">
        <f t="shared" si="10"/>
        <v>715</v>
      </c>
      <c r="T7" s="35">
        <f t="shared" si="10"/>
        <v>715</v>
      </c>
      <c r="U7" s="35">
        <f t="shared" si="10"/>
        <v>715</v>
      </c>
      <c r="V7" s="35">
        <f t="shared" si="10"/>
        <v>715</v>
      </c>
      <c r="W7" s="35">
        <f t="shared" si="10"/>
        <v>715</v>
      </c>
      <c r="X7" s="35">
        <f t="shared" si="10"/>
        <v>715</v>
      </c>
      <c r="Y7" s="35">
        <f t="shared" si="10"/>
        <v>715</v>
      </c>
      <c r="Z7" s="35">
        <f t="shared" si="10"/>
        <v>715</v>
      </c>
      <c r="AA7" s="35">
        <f t="shared" si="10"/>
        <v>715</v>
      </c>
      <c r="AB7" s="35">
        <f t="shared" si="10"/>
        <v>715</v>
      </c>
      <c r="AC7" s="35">
        <f t="shared" si="10"/>
        <v>715</v>
      </c>
      <c r="AD7" s="35">
        <f t="shared" si="10"/>
        <v>715</v>
      </c>
      <c r="AE7" s="35">
        <f t="shared" si="10"/>
        <v>715</v>
      </c>
      <c r="AF7" s="35">
        <f t="shared" si="10"/>
        <v>715</v>
      </c>
      <c r="AG7" s="35">
        <f t="shared" si="10"/>
        <v>715</v>
      </c>
      <c r="AH7" s="35" t="str">
        <f t="shared" si="10"/>
        <v/>
      </c>
      <c r="AI7" s="35" t="str">
        <f t="shared" si="10"/>
        <v/>
      </c>
      <c r="AJ7" s="35" t="str">
        <f t="shared" si="10"/>
        <v/>
      </c>
      <c r="AK7" s="35" t="str">
        <f t="shared" si="10"/>
        <v/>
      </c>
      <c r="AL7" s="35" t="str">
        <f t="shared" si="10"/>
        <v/>
      </c>
      <c r="AM7" s="35" t="str">
        <f t="shared" si="10"/>
        <v/>
      </c>
      <c r="AN7" s="35" t="str">
        <f t="shared" si="10"/>
        <v/>
      </c>
      <c r="AO7" s="35" t="str">
        <f t="shared" ref="AO7:AS7" si="11">IF(AO3="","",AN7)</f>
        <v/>
      </c>
      <c r="AP7" s="35" t="str">
        <f t="shared" si="11"/>
        <v/>
      </c>
      <c r="AQ7" s="35" t="str">
        <f t="shared" si="11"/>
        <v/>
      </c>
      <c r="AR7" s="35" t="str">
        <f t="shared" si="11"/>
        <v/>
      </c>
      <c r="AS7" s="35" t="str">
        <f t="shared" si="11"/>
        <v/>
      </c>
    </row>
    <row r="8" spans="1:45" s="94" customFormat="1">
      <c r="A8" s="14" t="s">
        <v>9</v>
      </c>
      <c r="B8" s="33" t="s">
        <v>10</v>
      </c>
      <c r="C8" s="63" t="s">
        <v>58</v>
      </c>
      <c r="D8" s="32" t="str">
        <f t="shared" ref="D8:AN8" si="12">IF(D3="","",C8)</f>
        <v>サムエル（箱無し）</v>
      </c>
      <c r="E8" s="32" t="str">
        <f t="shared" si="12"/>
        <v>サムエル（箱無し）</v>
      </c>
      <c r="F8" s="32" t="str">
        <f t="shared" si="12"/>
        <v>サムエル（箱無し）</v>
      </c>
      <c r="G8" s="129" t="str">
        <f t="shared" si="12"/>
        <v>サムエル（箱無し）</v>
      </c>
      <c r="H8" s="32" t="str">
        <f t="shared" si="12"/>
        <v>サムエル（箱無し）</v>
      </c>
      <c r="I8" s="32" t="str">
        <f t="shared" si="12"/>
        <v>サムエル（箱無し）</v>
      </c>
      <c r="J8" s="129" t="str">
        <f t="shared" si="12"/>
        <v>サムエル（箱無し）</v>
      </c>
      <c r="K8" s="32" t="str">
        <f t="shared" si="12"/>
        <v>サムエル（箱無し）</v>
      </c>
      <c r="L8" s="32" t="str">
        <f t="shared" si="12"/>
        <v>サムエル（箱無し）</v>
      </c>
      <c r="M8" s="129" t="str">
        <f t="shared" si="12"/>
        <v>サムエル（箱無し）</v>
      </c>
      <c r="N8" s="32" t="str">
        <f t="shared" si="12"/>
        <v>サムエル（箱無し）</v>
      </c>
      <c r="O8" s="32" t="str">
        <f t="shared" si="12"/>
        <v>サムエル（箱無し）</v>
      </c>
      <c r="P8" s="32" t="str">
        <f t="shared" si="12"/>
        <v>サムエル（箱無し）</v>
      </c>
      <c r="Q8" s="129" t="str">
        <f t="shared" si="12"/>
        <v>サムエル（箱無し）</v>
      </c>
      <c r="R8" s="32" t="str">
        <f t="shared" si="12"/>
        <v>サムエル（箱無し）</v>
      </c>
      <c r="S8" s="32" t="str">
        <f t="shared" si="12"/>
        <v>サムエル（箱無し）</v>
      </c>
      <c r="T8" s="32" t="str">
        <f t="shared" si="12"/>
        <v>サムエル（箱無し）</v>
      </c>
      <c r="U8" s="32" t="str">
        <f t="shared" si="12"/>
        <v>サムエル（箱無し）</v>
      </c>
      <c r="V8" s="32" t="str">
        <f t="shared" si="12"/>
        <v>サムエル（箱無し）</v>
      </c>
      <c r="W8" s="32" t="str">
        <f t="shared" si="12"/>
        <v>サムエル（箱無し）</v>
      </c>
      <c r="X8" s="32" t="str">
        <f t="shared" si="12"/>
        <v>サムエル（箱無し）</v>
      </c>
      <c r="Y8" s="32" t="str">
        <f t="shared" si="12"/>
        <v>サムエル（箱無し）</v>
      </c>
      <c r="Z8" s="32" t="str">
        <f t="shared" si="12"/>
        <v>サムエル（箱無し）</v>
      </c>
      <c r="AA8" s="32" t="str">
        <f t="shared" si="12"/>
        <v>サムエル（箱無し）</v>
      </c>
      <c r="AB8" s="32" t="str">
        <f t="shared" si="12"/>
        <v>サムエル（箱無し）</v>
      </c>
      <c r="AC8" s="32" t="str">
        <f t="shared" si="12"/>
        <v>サムエル（箱無し）</v>
      </c>
      <c r="AD8" s="32" t="str">
        <f t="shared" si="12"/>
        <v>サムエル（箱無し）</v>
      </c>
      <c r="AE8" s="32" t="str">
        <f t="shared" si="12"/>
        <v>サムエル（箱無し）</v>
      </c>
      <c r="AF8" s="32" t="str">
        <f t="shared" si="12"/>
        <v>サムエル（箱無し）</v>
      </c>
      <c r="AG8" s="32" t="str">
        <f t="shared" si="12"/>
        <v>サムエル（箱無し）</v>
      </c>
      <c r="AH8" s="32" t="str">
        <f t="shared" si="12"/>
        <v/>
      </c>
      <c r="AI8" s="32" t="str">
        <f t="shared" si="12"/>
        <v/>
      </c>
      <c r="AJ8" s="32" t="str">
        <f t="shared" si="12"/>
        <v/>
      </c>
      <c r="AK8" s="32" t="str">
        <f t="shared" si="12"/>
        <v/>
      </c>
      <c r="AL8" s="32" t="str">
        <f t="shared" si="12"/>
        <v/>
      </c>
      <c r="AM8" s="32" t="str">
        <f t="shared" si="12"/>
        <v/>
      </c>
      <c r="AN8" s="32" t="str">
        <f t="shared" si="12"/>
        <v/>
      </c>
      <c r="AO8" s="32" t="str">
        <f t="shared" ref="AO8:AS8" si="13">IF(AO3="","",AN8)</f>
        <v/>
      </c>
      <c r="AP8" s="32" t="str">
        <f t="shared" si="13"/>
        <v/>
      </c>
      <c r="AQ8" s="32" t="str">
        <f t="shared" si="13"/>
        <v/>
      </c>
      <c r="AR8" s="32" t="str">
        <f t="shared" si="13"/>
        <v/>
      </c>
      <c r="AS8" s="32" t="str">
        <f t="shared" si="13"/>
        <v/>
      </c>
    </row>
    <row r="9" spans="1:45">
      <c r="A9" s="7">
        <f>AVERAGE(C10:AS10)*30*100</f>
        <v>75387.096774193546</v>
      </c>
      <c r="B9" s="30" t="s">
        <v>80</v>
      </c>
      <c r="C9" s="65"/>
      <c r="D9" s="29"/>
      <c r="E9" s="29"/>
      <c r="F9" s="29"/>
      <c r="G9" s="54"/>
      <c r="H9" s="29"/>
      <c r="I9" s="29"/>
      <c r="J9" s="54"/>
      <c r="K9" s="29"/>
      <c r="L9" s="29"/>
      <c r="M9" s="54"/>
      <c r="N9" s="29"/>
      <c r="O9" s="29"/>
      <c r="P9" s="29"/>
      <c r="Q9" s="54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</row>
    <row r="10" spans="1:45">
      <c r="A10" s="7">
        <f>SUM(C10:AS10)</f>
        <v>779</v>
      </c>
      <c r="B10" s="27" t="s">
        <v>15</v>
      </c>
      <c r="C10" s="65">
        <v>0</v>
      </c>
      <c r="D10" s="26">
        <f t="shared" ref="D10:AN10" si="14">IF(D3="","",D3-C3)</f>
        <v>0</v>
      </c>
      <c r="E10" s="26">
        <f t="shared" si="14"/>
        <v>0</v>
      </c>
      <c r="F10" s="26">
        <f t="shared" si="14"/>
        <v>94</v>
      </c>
      <c r="G10" s="54">
        <f t="shared" si="14"/>
        <v>0</v>
      </c>
      <c r="H10" s="26">
        <f t="shared" si="14"/>
        <v>0</v>
      </c>
      <c r="I10" s="26">
        <f t="shared" si="14"/>
        <v>57</v>
      </c>
      <c r="J10" s="54">
        <f t="shared" si="14"/>
        <v>0</v>
      </c>
      <c r="K10" s="26">
        <f t="shared" si="14"/>
        <v>0</v>
      </c>
      <c r="L10" s="26">
        <f t="shared" si="14"/>
        <v>158</v>
      </c>
      <c r="M10" s="54">
        <f t="shared" si="14"/>
        <v>0</v>
      </c>
      <c r="N10" s="26">
        <f t="shared" si="14"/>
        <v>0</v>
      </c>
      <c r="O10" s="26">
        <f t="shared" si="14"/>
        <v>0</v>
      </c>
      <c r="P10" s="26">
        <f t="shared" si="14"/>
        <v>35</v>
      </c>
      <c r="Q10" s="54">
        <f t="shared" si="14"/>
        <v>0</v>
      </c>
      <c r="R10" s="26">
        <f t="shared" si="14"/>
        <v>0</v>
      </c>
      <c r="S10" s="26">
        <f t="shared" si="14"/>
        <v>133</v>
      </c>
      <c r="T10" s="26">
        <f t="shared" si="14"/>
        <v>0</v>
      </c>
      <c r="U10" s="26">
        <f t="shared" si="14"/>
        <v>0</v>
      </c>
      <c r="V10" s="26">
        <f t="shared" si="14"/>
        <v>0</v>
      </c>
      <c r="W10" s="26">
        <f t="shared" si="14"/>
        <v>50</v>
      </c>
      <c r="X10" s="26">
        <f t="shared" si="14"/>
        <v>0</v>
      </c>
      <c r="Y10" s="26">
        <f t="shared" si="14"/>
        <v>0</v>
      </c>
      <c r="Z10" s="26">
        <f t="shared" si="14"/>
        <v>82</v>
      </c>
      <c r="AA10" s="26">
        <f t="shared" si="14"/>
        <v>0</v>
      </c>
      <c r="AB10" s="26">
        <f t="shared" si="14"/>
        <v>0</v>
      </c>
      <c r="AC10" s="26">
        <f t="shared" si="14"/>
        <v>0</v>
      </c>
      <c r="AD10" s="26">
        <f t="shared" si="14"/>
        <v>95</v>
      </c>
      <c r="AE10" s="26">
        <f t="shared" si="14"/>
        <v>0</v>
      </c>
      <c r="AF10" s="26">
        <f t="shared" si="14"/>
        <v>0</v>
      </c>
      <c r="AG10" s="26">
        <f t="shared" si="14"/>
        <v>75</v>
      </c>
      <c r="AH10" s="26" t="str">
        <f t="shared" si="14"/>
        <v/>
      </c>
      <c r="AI10" s="26" t="str">
        <f t="shared" si="14"/>
        <v/>
      </c>
      <c r="AJ10" s="26" t="str">
        <f t="shared" si="14"/>
        <v/>
      </c>
      <c r="AK10" s="26" t="str">
        <f t="shared" si="14"/>
        <v/>
      </c>
      <c r="AL10" s="26" t="str">
        <f t="shared" si="14"/>
        <v/>
      </c>
      <c r="AM10" s="26" t="str">
        <f t="shared" si="14"/>
        <v/>
      </c>
      <c r="AN10" s="26" t="str">
        <f t="shared" si="14"/>
        <v/>
      </c>
      <c r="AO10" s="26" t="str">
        <f t="shared" ref="AO10:AS10" si="15">IF(AO3="","",AO3-AN3)</f>
        <v/>
      </c>
      <c r="AP10" s="26" t="str">
        <f t="shared" si="15"/>
        <v/>
      </c>
      <c r="AQ10" s="26" t="str">
        <f t="shared" si="15"/>
        <v/>
      </c>
      <c r="AR10" s="26" t="str">
        <f t="shared" si="15"/>
        <v/>
      </c>
      <c r="AS10" s="26" t="str">
        <f t="shared" si="15"/>
        <v/>
      </c>
    </row>
    <row r="11" spans="1:45">
      <c r="A11" s="7">
        <f>SUM(C11:AS11)</f>
        <v>17</v>
      </c>
      <c r="B11" s="27" t="s">
        <v>16</v>
      </c>
      <c r="C11" s="65">
        <v>0</v>
      </c>
      <c r="D11" s="26">
        <f t="shared" ref="D11:AN11" si="16">IF(D4="","",D4-C4)</f>
        <v>0</v>
      </c>
      <c r="E11" s="26">
        <f t="shared" si="16"/>
        <v>0</v>
      </c>
      <c r="F11" s="26">
        <f t="shared" si="16"/>
        <v>1</v>
      </c>
      <c r="G11" s="54">
        <f t="shared" si="16"/>
        <v>0</v>
      </c>
      <c r="H11" s="26">
        <f t="shared" si="16"/>
        <v>0</v>
      </c>
      <c r="I11" s="26">
        <f t="shared" si="16"/>
        <v>2</v>
      </c>
      <c r="J11" s="54">
        <f t="shared" si="16"/>
        <v>0</v>
      </c>
      <c r="K11" s="26">
        <f t="shared" si="16"/>
        <v>0</v>
      </c>
      <c r="L11" s="26">
        <f t="shared" si="16"/>
        <v>5</v>
      </c>
      <c r="M11" s="54">
        <f t="shared" si="16"/>
        <v>0</v>
      </c>
      <c r="N11" s="26">
        <f t="shared" si="16"/>
        <v>0</v>
      </c>
      <c r="O11" s="26">
        <f t="shared" si="16"/>
        <v>0</v>
      </c>
      <c r="P11" s="26">
        <f t="shared" si="16"/>
        <v>0</v>
      </c>
      <c r="Q11" s="54">
        <f t="shared" si="16"/>
        <v>0</v>
      </c>
      <c r="R11" s="26">
        <f t="shared" si="16"/>
        <v>0</v>
      </c>
      <c r="S11" s="26">
        <f t="shared" si="16"/>
        <v>3</v>
      </c>
      <c r="T11" s="26">
        <f t="shared" si="16"/>
        <v>0</v>
      </c>
      <c r="U11" s="26">
        <f t="shared" si="16"/>
        <v>0</v>
      </c>
      <c r="V11" s="26">
        <f t="shared" si="16"/>
        <v>0</v>
      </c>
      <c r="W11" s="26">
        <f t="shared" si="16"/>
        <v>3</v>
      </c>
      <c r="X11" s="26">
        <f t="shared" si="16"/>
        <v>0</v>
      </c>
      <c r="Y11" s="26">
        <f t="shared" si="16"/>
        <v>0</v>
      </c>
      <c r="Z11" s="26">
        <f t="shared" si="16"/>
        <v>1</v>
      </c>
      <c r="AA11" s="26">
        <f t="shared" si="16"/>
        <v>0</v>
      </c>
      <c r="AB11" s="26">
        <f t="shared" si="16"/>
        <v>0</v>
      </c>
      <c r="AC11" s="26">
        <f t="shared" si="16"/>
        <v>0</v>
      </c>
      <c r="AD11" s="26">
        <f t="shared" si="16"/>
        <v>1</v>
      </c>
      <c r="AE11" s="26">
        <f t="shared" si="16"/>
        <v>0</v>
      </c>
      <c r="AF11" s="26">
        <f t="shared" si="16"/>
        <v>0</v>
      </c>
      <c r="AG11" s="26">
        <f t="shared" si="16"/>
        <v>1</v>
      </c>
      <c r="AH11" s="26" t="str">
        <f t="shared" si="16"/>
        <v/>
      </c>
      <c r="AI11" s="26" t="str">
        <f t="shared" si="16"/>
        <v/>
      </c>
      <c r="AJ11" s="26" t="str">
        <f t="shared" si="16"/>
        <v/>
      </c>
      <c r="AK11" s="26" t="str">
        <f t="shared" si="16"/>
        <v/>
      </c>
      <c r="AL11" s="26" t="str">
        <f t="shared" si="16"/>
        <v/>
      </c>
      <c r="AM11" s="26" t="str">
        <f t="shared" si="16"/>
        <v/>
      </c>
      <c r="AN11" s="26" t="str">
        <f t="shared" si="16"/>
        <v/>
      </c>
      <c r="AO11" s="26" t="str">
        <f t="shared" ref="AO11:AS11" si="17">IF(AO4="","",AO4-AN4)</f>
        <v/>
      </c>
      <c r="AP11" s="26" t="str">
        <f t="shared" si="17"/>
        <v/>
      </c>
      <c r="AQ11" s="26" t="str">
        <f t="shared" si="17"/>
        <v/>
      </c>
      <c r="AR11" s="26" t="str">
        <f t="shared" si="17"/>
        <v/>
      </c>
      <c r="AS11" s="26" t="str">
        <f t="shared" si="17"/>
        <v/>
      </c>
    </row>
    <row r="12" spans="1:45">
      <c r="A12" s="7">
        <f>SUM(C12:AS12)</f>
        <v>17</v>
      </c>
      <c r="B12" s="27" t="s">
        <v>17</v>
      </c>
      <c r="C12" s="65">
        <v>0</v>
      </c>
      <c r="D12" s="26">
        <f t="shared" ref="D12:AN12" si="18">IF(D5="","",C5+C6-D5)</f>
        <v>0</v>
      </c>
      <c r="E12" s="26">
        <f t="shared" si="18"/>
        <v>0</v>
      </c>
      <c r="F12" s="26">
        <f t="shared" si="18"/>
        <v>1</v>
      </c>
      <c r="G12" s="54">
        <f t="shared" si="18"/>
        <v>0</v>
      </c>
      <c r="H12" s="26">
        <f t="shared" si="18"/>
        <v>0</v>
      </c>
      <c r="I12" s="26">
        <f t="shared" si="18"/>
        <v>2</v>
      </c>
      <c r="J12" s="54">
        <f t="shared" si="18"/>
        <v>0</v>
      </c>
      <c r="K12" s="26">
        <f t="shared" si="18"/>
        <v>0</v>
      </c>
      <c r="L12" s="26">
        <f t="shared" si="18"/>
        <v>5</v>
      </c>
      <c r="M12" s="54">
        <f t="shared" si="18"/>
        <v>0</v>
      </c>
      <c r="N12" s="26">
        <f t="shared" si="18"/>
        <v>0</v>
      </c>
      <c r="O12" s="26">
        <f t="shared" si="18"/>
        <v>0</v>
      </c>
      <c r="P12" s="26">
        <f t="shared" si="18"/>
        <v>0</v>
      </c>
      <c r="Q12" s="54">
        <f t="shared" si="18"/>
        <v>0</v>
      </c>
      <c r="R12" s="26">
        <f t="shared" si="18"/>
        <v>0</v>
      </c>
      <c r="S12" s="26">
        <f t="shared" si="18"/>
        <v>3</v>
      </c>
      <c r="T12" s="26">
        <f t="shared" si="18"/>
        <v>0</v>
      </c>
      <c r="U12" s="26">
        <f t="shared" si="18"/>
        <v>0</v>
      </c>
      <c r="V12" s="26">
        <f t="shared" si="18"/>
        <v>0</v>
      </c>
      <c r="W12" s="26">
        <f t="shared" si="18"/>
        <v>3</v>
      </c>
      <c r="X12" s="26">
        <f t="shared" si="18"/>
        <v>0</v>
      </c>
      <c r="Y12" s="26">
        <f t="shared" si="18"/>
        <v>0</v>
      </c>
      <c r="Z12" s="26">
        <f t="shared" si="18"/>
        <v>1</v>
      </c>
      <c r="AA12" s="26">
        <f t="shared" si="18"/>
        <v>0</v>
      </c>
      <c r="AB12" s="26">
        <f t="shared" si="18"/>
        <v>0</v>
      </c>
      <c r="AC12" s="26">
        <f t="shared" si="18"/>
        <v>0</v>
      </c>
      <c r="AD12" s="26">
        <f t="shared" si="18"/>
        <v>1</v>
      </c>
      <c r="AE12" s="26">
        <f t="shared" si="18"/>
        <v>0</v>
      </c>
      <c r="AF12" s="26">
        <f t="shared" si="18"/>
        <v>0</v>
      </c>
      <c r="AG12" s="26">
        <f t="shared" si="18"/>
        <v>1</v>
      </c>
      <c r="AH12" s="26" t="str">
        <f t="shared" si="18"/>
        <v/>
      </c>
      <c r="AI12" s="26" t="str">
        <f t="shared" si="18"/>
        <v/>
      </c>
      <c r="AJ12" s="26" t="str">
        <f t="shared" si="18"/>
        <v/>
      </c>
      <c r="AK12" s="26" t="str">
        <f t="shared" si="18"/>
        <v/>
      </c>
      <c r="AL12" s="26" t="str">
        <f t="shared" si="18"/>
        <v/>
      </c>
      <c r="AM12" s="26" t="str">
        <f t="shared" si="18"/>
        <v/>
      </c>
      <c r="AN12" s="26" t="str">
        <f t="shared" si="18"/>
        <v/>
      </c>
      <c r="AO12" s="26" t="str">
        <f t="shared" ref="AO12:AS12" si="19">IF(AO5="","",AN5+AN6-AO5)</f>
        <v/>
      </c>
      <c r="AP12" s="26" t="str">
        <f t="shared" si="19"/>
        <v/>
      </c>
      <c r="AQ12" s="26" t="str">
        <f t="shared" si="19"/>
        <v/>
      </c>
      <c r="AR12" s="26" t="str">
        <f t="shared" si="19"/>
        <v/>
      </c>
      <c r="AS12" s="26" t="str">
        <f t="shared" si="19"/>
        <v/>
      </c>
    </row>
    <row r="13" spans="1:45">
      <c r="A13" s="7">
        <f>SUM(C13:AS13)</f>
        <v>12155</v>
      </c>
      <c r="B13" s="27" t="s">
        <v>18</v>
      </c>
      <c r="C13" s="65">
        <v>0</v>
      </c>
      <c r="D13" s="26">
        <f t="shared" ref="D13:AN13" si="20">IF(D3="","",D12*D7)</f>
        <v>0</v>
      </c>
      <c r="E13" s="26">
        <f t="shared" si="20"/>
        <v>0</v>
      </c>
      <c r="F13" s="26">
        <f t="shared" si="20"/>
        <v>715</v>
      </c>
      <c r="G13" s="54">
        <f t="shared" si="20"/>
        <v>0</v>
      </c>
      <c r="H13" s="26">
        <f t="shared" si="20"/>
        <v>0</v>
      </c>
      <c r="I13" s="26">
        <f t="shared" si="20"/>
        <v>1430</v>
      </c>
      <c r="J13" s="54">
        <f t="shared" si="20"/>
        <v>0</v>
      </c>
      <c r="K13" s="26">
        <f t="shared" si="20"/>
        <v>0</v>
      </c>
      <c r="L13" s="26">
        <f t="shared" si="20"/>
        <v>3575</v>
      </c>
      <c r="M13" s="54">
        <f t="shared" si="20"/>
        <v>0</v>
      </c>
      <c r="N13" s="26">
        <f t="shared" si="20"/>
        <v>0</v>
      </c>
      <c r="O13" s="26">
        <f t="shared" si="20"/>
        <v>0</v>
      </c>
      <c r="P13" s="26">
        <f t="shared" si="20"/>
        <v>0</v>
      </c>
      <c r="Q13" s="54">
        <f t="shared" si="20"/>
        <v>0</v>
      </c>
      <c r="R13" s="26">
        <f t="shared" si="20"/>
        <v>0</v>
      </c>
      <c r="S13" s="26">
        <f t="shared" si="20"/>
        <v>2145</v>
      </c>
      <c r="T13" s="26">
        <f t="shared" si="20"/>
        <v>0</v>
      </c>
      <c r="U13" s="26">
        <f t="shared" si="20"/>
        <v>0</v>
      </c>
      <c r="V13" s="26">
        <f t="shared" si="20"/>
        <v>0</v>
      </c>
      <c r="W13" s="26">
        <f t="shared" si="20"/>
        <v>2145</v>
      </c>
      <c r="X13" s="26">
        <f t="shared" si="20"/>
        <v>0</v>
      </c>
      <c r="Y13" s="26">
        <f t="shared" si="20"/>
        <v>0</v>
      </c>
      <c r="Z13" s="26">
        <f t="shared" si="20"/>
        <v>715</v>
      </c>
      <c r="AA13" s="26">
        <f t="shared" si="20"/>
        <v>0</v>
      </c>
      <c r="AB13" s="26">
        <f t="shared" si="20"/>
        <v>0</v>
      </c>
      <c r="AC13" s="26">
        <f t="shared" si="20"/>
        <v>0</v>
      </c>
      <c r="AD13" s="26">
        <f t="shared" si="20"/>
        <v>715</v>
      </c>
      <c r="AE13" s="26">
        <f t="shared" si="20"/>
        <v>0</v>
      </c>
      <c r="AF13" s="26">
        <f t="shared" si="20"/>
        <v>0</v>
      </c>
      <c r="AG13" s="26">
        <f t="shared" si="20"/>
        <v>715</v>
      </c>
      <c r="AH13" s="26" t="str">
        <f t="shared" si="20"/>
        <v/>
      </c>
      <c r="AI13" s="26" t="str">
        <f t="shared" si="20"/>
        <v/>
      </c>
      <c r="AJ13" s="26" t="str">
        <f t="shared" si="20"/>
        <v/>
      </c>
      <c r="AK13" s="26" t="str">
        <f t="shared" si="20"/>
        <v/>
      </c>
      <c r="AL13" s="26" t="str">
        <f t="shared" si="20"/>
        <v/>
      </c>
      <c r="AM13" s="26" t="str">
        <f t="shared" si="20"/>
        <v/>
      </c>
      <c r="AN13" s="26" t="str">
        <f t="shared" si="20"/>
        <v/>
      </c>
      <c r="AO13" s="26" t="str">
        <f t="shared" ref="AO13:AS13" si="21">IF(AO3="","",AO12*AO7)</f>
        <v/>
      </c>
      <c r="AP13" s="26" t="str">
        <f t="shared" si="21"/>
        <v/>
      </c>
      <c r="AQ13" s="26" t="str">
        <f t="shared" si="21"/>
        <v/>
      </c>
      <c r="AR13" s="26" t="str">
        <f t="shared" si="21"/>
        <v/>
      </c>
      <c r="AS13" s="26" t="str">
        <f t="shared" si="21"/>
        <v/>
      </c>
    </row>
    <row r="14" spans="1:45" ht="12" thickBot="1">
      <c r="A14" s="4">
        <f>IF(A13="","",A13/(A10*100))</f>
        <v>0.15603337612323492</v>
      </c>
      <c r="B14" s="24" t="s">
        <v>20</v>
      </c>
      <c r="C14" s="67" t="s">
        <v>21</v>
      </c>
      <c r="D14" s="23" t="str">
        <f t="shared" ref="D14:AN14" si="22">IF(D13="","",IF(D13=0,"",D13/(D10*100)))</f>
        <v/>
      </c>
      <c r="E14" s="23" t="str">
        <f t="shared" si="22"/>
        <v/>
      </c>
      <c r="F14" s="23">
        <f t="shared" si="22"/>
        <v>7.6063829787234041E-2</v>
      </c>
      <c r="G14" s="52" t="str">
        <f t="shared" si="22"/>
        <v/>
      </c>
      <c r="H14" s="23" t="str">
        <f t="shared" si="22"/>
        <v/>
      </c>
      <c r="I14" s="23">
        <f t="shared" si="22"/>
        <v>0.25087719298245614</v>
      </c>
      <c r="J14" s="52" t="str">
        <f t="shared" si="22"/>
        <v/>
      </c>
      <c r="K14" s="23" t="str">
        <f t="shared" si="22"/>
        <v/>
      </c>
      <c r="L14" s="23">
        <f t="shared" si="22"/>
        <v>0.22626582278481014</v>
      </c>
      <c r="M14" s="52" t="str">
        <f t="shared" si="22"/>
        <v/>
      </c>
      <c r="N14" s="23" t="str">
        <f t="shared" si="22"/>
        <v/>
      </c>
      <c r="O14" s="23" t="str">
        <f t="shared" si="22"/>
        <v/>
      </c>
      <c r="P14" s="23" t="str">
        <f t="shared" si="22"/>
        <v/>
      </c>
      <c r="Q14" s="52" t="str">
        <f t="shared" si="22"/>
        <v/>
      </c>
      <c r="R14" s="23" t="str">
        <f t="shared" si="22"/>
        <v/>
      </c>
      <c r="S14" s="23">
        <f t="shared" si="22"/>
        <v>0.1612781954887218</v>
      </c>
      <c r="T14" s="23" t="str">
        <f t="shared" si="22"/>
        <v/>
      </c>
      <c r="U14" s="23" t="str">
        <f t="shared" si="22"/>
        <v/>
      </c>
      <c r="V14" s="23" t="str">
        <f t="shared" si="22"/>
        <v/>
      </c>
      <c r="W14" s="23">
        <f t="shared" si="22"/>
        <v>0.42899999999999999</v>
      </c>
      <c r="X14" s="23" t="str">
        <f t="shared" si="22"/>
        <v/>
      </c>
      <c r="Y14" s="23" t="str">
        <f t="shared" si="22"/>
        <v/>
      </c>
      <c r="Z14" s="23">
        <f t="shared" si="22"/>
        <v>8.7195121951219506E-2</v>
      </c>
      <c r="AA14" s="23" t="str">
        <f t="shared" si="22"/>
        <v/>
      </c>
      <c r="AB14" s="23" t="str">
        <f t="shared" si="22"/>
        <v/>
      </c>
      <c r="AC14" s="23" t="str">
        <f t="shared" si="22"/>
        <v/>
      </c>
      <c r="AD14" s="23">
        <f t="shared" si="22"/>
        <v>7.5263157894736837E-2</v>
      </c>
      <c r="AE14" s="23" t="str">
        <f t="shared" si="22"/>
        <v/>
      </c>
      <c r="AF14" s="23" t="str">
        <f t="shared" si="22"/>
        <v/>
      </c>
      <c r="AG14" s="23">
        <f t="shared" si="22"/>
        <v>9.5333333333333339E-2</v>
      </c>
      <c r="AH14" s="23" t="str">
        <f t="shared" si="22"/>
        <v/>
      </c>
      <c r="AI14" s="23" t="str">
        <f t="shared" si="22"/>
        <v/>
      </c>
      <c r="AJ14" s="23" t="str">
        <f t="shared" si="22"/>
        <v/>
      </c>
      <c r="AK14" s="23" t="str">
        <f t="shared" si="22"/>
        <v/>
      </c>
      <c r="AL14" s="23" t="str">
        <f t="shared" si="22"/>
        <v/>
      </c>
      <c r="AM14" s="23" t="str">
        <f t="shared" si="22"/>
        <v/>
      </c>
      <c r="AN14" s="23" t="str">
        <f t="shared" si="22"/>
        <v/>
      </c>
      <c r="AO14" s="23" t="str">
        <f t="shared" ref="AO14:AS14" si="23">IF(AO13="","",IF(AO13=0,"",AO13/(AO10*100)))</f>
        <v/>
      </c>
      <c r="AP14" s="23" t="str">
        <f t="shared" si="23"/>
        <v/>
      </c>
      <c r="AQ14" s="23" t="str">
        <f t="shared" si="23"/>
        <v/>
      </c>
      <c r="AR14" s="23" t="str">
        <f t="shared" si="23"/>
        <v/>
      </c>
      <c r="AS14" s="23" t="str">
        <f t="shared" si="23"/>
        <v/>
      </c>
    </row>
    <row r="15" spans="1:45">
      <c r="A15" s="40" t="s">
        <v>78</v>
      </c>
      <c r="B15" s="39" t="s">
        <v>2</v>
      </c>
      <c r="C15" s="66">
        <v>16914</v>
      </c>
      <c r="D15" s="38">
        <f>IF(D$3="","",C15)</f>
        <v>16914</v>
      </c>
      <c r="E15" s="38">
        <f>IF(E$3="","",D15)</f>
        <v>16914</v>
      </c>
      <c r="F15" s="38">
        <v>17070</v>
      </c>
      <c r="G15" s="127">
        <f>IF(G$3="","",F15)</f>
        <v>17070</v>
      </c>
      <c r="H15" s="38">
        <f>IF(H$3="","",G15)</f>
        <v>17070</v>
      </c>
      <c r="I15" s="38">
        <v>17167</v>
      </c>
      <c r="J15" s="127">
        <f>IF(J$3="","",I15)</f>
        <v>17167</v>
      </c>
      <c r="K15" s="38">
        <f>IF(K$3="","",J15)</f>
        <v>17167</v>
      </c>
      <c r="L15" s="38">
        <v>17303</v>
      </c>
      <c r="M15" s="127">
        <f t="shared" ref="M15:O16" si="24">IF(M$3="","",L15)</f>
        <v>17303</v>
      </c>
      <c r="N15" s="38">
        <f t="shared" si="24"/>
        <v>17303</v>
      </c>
      <c r="O15" s="38">
        <f t="shared" si="24"/>
        <v>17303</v>
      </c>
      <c r="P15" s="38">
        <v>17391</v>
      </c>
      <c r="Q15" s="127">
        <f>IF(Q$3="","",P15)</f>
        <v>17391</v>
      </c>
      <c r="R15" s="38">
        <f>IF(R$3="","",Q15)</f>
        <v>17391</v>
      </c>
      <c r="S15" s="38">
        <v>17451</v>
      </c>
      <c r="T15" s="38">
        <f t="shared" ref="T15:AN15" si="25">IF(T$3="","",S15)</f>
        <v>17451</v>
      </c>
      <c r="U15" s="38">
        <f t="shared" si="25"/>
        <v>17451</v>
      </c>
      <c r="V15" s="38">
        <f t="shared" si="25"/>
        <v>17451</v>
      </c>
      <c r="W15" s="38">
        <v>17497</v>
      </c>
      <c r="X15" s="38">
        <f t="shared" si="25"/>
        <v>17497</v>
      </c>
      <c r="Y15" s="38">
        <f t="shared" si="25"/>
        <v>17497</v>
      </c>
      <c r="Z15" s="38">
        <v>17590</v>
      </c>
      <c r="AA15" s="38">
        <f t="shared" si="25"/>
        <v>17590</v>
      </c>
      <c r="AB15" s="38">
        <f t="shared" si="25"/>
        <v>17590</v>
      </c>
      <c r="AC15" s="38">
        <f t="shared" si="25"/>
        <v>17590</v>
      </c>
      <c r="AD15" s="38">
        <v>17664</v>
      </c>
      <c r="AE15" s="38">
        <f t="shared" si="25"/>
        <v>17664</v>
      </c>
      <c r="AF15" s="38">
        <f t="shared" si="25"/>
        <v>17664</v>
      </c>
      <c r="AG15" s="38">
        <v>17736</v>
      </c>
      <c r="AH15" s="38" t="str">
        <f t="shared" si="25"/>
        <v/>
      </c>
      <c r="AI15" s="38" t="str">
        <f t="shared" si="25"/>
        <v/>
      </c>
      <c r="AJ15" s="38" t="str">
        <f t="shared" si="25"/>
        <v/>
      </c>
      <c r="AK15" s="38" t="str">
        <f t="shared" si="25"/>
        <v/>
      </c>
      <c r="AL15" s="38" t="str">
        <f t="shared" si="25"/>
        <v/>
      </c>
      <c r="AM15" s="38" t="str">
        <f t="shared" si="25"/>
        <v/>
      </c>
      <c r="AN15" s="38" t="str">
        <f t="shared" si="25"/>
        <v/>
      </c>
      <c r="AO15" s="38" t="str">
        <f t="shared" ref="AO15:AS15" si="26">IF(AO$3="","",AN15)</f>
        <v/>
      </c>
      <c r="AP15" s="38" t="str">
        <f t="shared" si="26"/>
        <v/>
      </c>
      <c r="AQ15" s="38" t="str">
        <f t="shared" si="26"/>
        <v/>
      </c>
      <c r="AR15" s="38" t="str">
        <f t="shared" si="26"/>
        <v/>
      </c>
      <c r="AS15" s="38" t="str">
        <f t="shared" si="26"/>
        <v/>
      </c>
    </row>
    <row r="16" spans="1:45">
      <c r="A16" s="37" t="s">
        <v>81</v>
      </c>
      <c r="B16" s="30" t="s">
        <v>4</v>
      </c>
      <c r="C16" s="65">
        <v>428</v>
      </c>
      <c r="D16" s="29">
        <f>IF(D$3="","",C16)</f>
        <v>428</v>
      </c>
      <c r="E16" s="29">
        <f>IF(E$3="","",D16)</f>
        <v>428</v>
      </c>
      <c r="F16" s="29">
        <v>431</v>
      </c>
      <c r="G16" s="54">
        <f>IF(G$3="","",F16)</f>
        <v>431</v>
      </c>
      <c r="H16" s="29">
        <f>IF(H$3="","",G16)</f>
        <v>431</v>
      </c>
      <c r="I16" s="29">
        <v>432</v>
      </c>
      <c r="J16" s="54">
        <f>IF(J$3="","",I16)</f>
        <v>432</v>
      </c>
      <c r="K16" s="29">
        <f>IF(K$3="","",J16)</f>
        <v>432</v>
      </c>
      <c r="L16" s="29">
        <v>434</v>
      </c>
      <c r="M16" s="54">
        <f t="shared" si="24"/>
        <v>434</v>
      </c>
      <c r="N16" s="29">
        <f t="shared" si="24"/>
        <v>434</v>
      </c>
      <c r="O16" s="29">
        <f t="shared" si="24"/>
        <v>434</v>
      </c>
      <c r="P16" s="29">
        <v>437</v>
      </c>
      <c r="Q16" s="54">
        <f>IF(Q$3="","",P16)</f>
        <v>437</v>
      </c>
      <c r="R16" s="29">
        <f>IF(R$3="","",Q16)</f>
        <v>437</v>
      </c>
      <c r="S16" s="29">
        <f>IF(S$3="","",R16)</f>
        <v>437</v>
      </c>
      <c r="T16" s="29">
        <f t="shared" ref="T16:AN16" si="27">IF(T$3="","",S16)</f>
        <v>437</v>
      </c>
      <c r="U16" s="29">
        <f t="shared" si="27"/>
        <v>437</v>
      </c>
      <c r="V16" s="29">
        <f t="shared" si="27"/>
        <v>437</v>
      </c>
      <c r="W16" s="29">
        <v>438</v>
      </c>
      <c r="X16" s="29">
        <f t="shared" si="27"/>
        <v>438</v>
      </c>
      <c r="Y16" s="29">
        <f t="shared" si="27"/>
        <v>438</v>
      </c>
      <c r="Z16" s="29">
        <v>439</v>
      </c>
      <c r="AA16" s="29">
        <f t="shared" si="27"/>
        <v>439</v>
      </c>
      <c r="AB16" s="29">
        <f t="shared" si="27"/>
        <v>439</v>
      </c>
      <c r="AC16" s="29">
        <f t="shared" si="27"/>
        <v>439</v>
      </c>
      <c r="AD16" s="29">
        <v>441</v>
      </c>
      <c r="AE16" s="29">
        <f t="shared" si="27"/>
        <v>441</v>
      </c>
      <c r="AF16" s="29">
        <f t="shared" si="27"/>
        <v>441</v>
      </c>
      <c r="AG16" s="29">
        <v>442</v>
      </c>
      <c r="AH16" s="29" t="str">
        <f t="shared" si="27"/>
        <v/>
      </c>
      <c r="AI16" s="29" t="str">
        <f t="shared" si="27"/>
        <v/>
      </c>
      <c r="AJ16" s="29" t="str">
        <f t="shared" si="27"/>
        <v/>
      </c>
      <c r="AK16" s="29" t="str">
        <f t="shared" si="27"/>
        <v/>
      </c>
      <c r="AL16" s="29" t="str">
        <f t="shared" si="27"/>
        <v/>
      </c>
      <c r="AM16" s="29" t="str">
        <f t="shared" si="27"/>
        <v/>
      </c>
      <c r="AN16" s="29" t="str">
        <f t="shared" si="27"/>
        <v/>
      </c>
      <c r="AO16" s="29" t="str">
        <f t="shared" ref="AO16:AS16" si="28">IF(AO$3="","",AN16)</f>
        <v/>
      </c>
      <c r="AP16" s="29" t="str">
        <f t="shared" si="28"/>
        <v/>
      </c>
      <c r="AQ16" s="29" t="str">
        <f t="shared" si="28"/>
        <v/>
      </c>
      <c r="AR16" s="29" t="str">
        <f t="shared" si="28"/>
        <v/>
      </c>
      <c r="AS16" s="29" t="str">
        <f t="shared" si="28"/>
        <v/>
      </c>
    </row>
    <row r="17" spans="1:45">
      <c r="A17" s="34"/>
      <c r="B17" s="30" t="s">
        <v>5</v>
      </c>
      <c r="C17" s="65">
        <v>47</v>
      </c>
      <c r="D17" s="29">
        <f>IF(D15="","",(C17+C18))</f>
        <v>47</v>
      </c>
      <c r="E17" s="29">
        <f>IF(E15="","",(D17+D18))</f>
        <v>47</v>
      </c>
      <c r="F17" s="29">
        <v>44</v>
      </c>
      <c r="G17" s="54">
        <f>IF(G15="","",(F17+F18))</f>
        <v>44</v>
      </c>
      <c r="H17" s="29">
        <f>IF(H15="","",(G17+G18))</f>
        <v>44</v>
      </c>
      <c r="I17" s="29">
        <v>43</v>
      </c>
      <c r="J17" s="54">
        <f>IF(J15="","",(I17+I18))</f>
        <v>43</v>
      </c>
      <c r="K17" s="29">
        <f>IF(K15="","",(J17+J18))</f>
        <v>43</v>
      </c>
      <c r="L17" s="29">
        <v>41</v>
      </c>
      <c r="M17" s="54">
        <f>IF(M15="","",(L17+L18))</f>
        <v>41</v>
      </c>
      <c r="N17" s="29">
        <f>IF(N15="","",(M17+M18))</f>
        <v>41</v>
      </c>
      <c r="O17" s="29">
        <f>IF(O15="","",(N17+N18))</f>
        <v>41</v>
      </c>
      <c r="P17" s="29">
        <v>38</v>
      </c>
      <c r="Q17" s="54">
        <f t="shared" ref="Q17:AN17" si="29">IF(Q15="","",(P17+P18))</f>
        <v>38</v>
      </c>
      <c r="R17" s="29">
        <f t="shared" si="29"/>
        <v>38</v>
      </c>
      <c r="S17" s="29">
        <f t="shared" si="29"/>
        <v>38</v>
      </c>
      <c r="T17" s="29">
        <f t="shared" si="29"/>
        <v>39</v>
      </c>
      <c r="U17" s="29">
        <f t="shared" si="29"/>
        <v>39</v>
      </c>
      <c r="V17" s="29">
        <f t="shared" si="29"/>
        <v>39</v>
      </c>
      <c r="W17" s="29">
        <v>38</v>
      </c>
      <c r="X17" s="29">
        <f t="shared" si="29"/>
        <v>38</v>
      </c>
      <c r="Y17" s="29">
        <f t="shared" si="29"/>
        <v>38</v>
      </c>
      <c r="Z17" s="29">
        <v>37</v>
      </c>
      <c r="AA17" s="29">
        <f t="shared" si="29"/>
        <v>37</v>
      </c>
      <c r="AB17" s="29">
        <f t="shared" si="29"/>
        <v>37</v>
      </c>
      <c r="AC17" s="29">
        <f t="shared" si="29"/>
        <v>37</v>
      </c>
      <c r="AD17" s="29">
        <v>35</v>
      </c>
      <c r="AE17" s="29">
        <f t="shared" si="29"/>
        <v>35</v>
      </c>
      <c r="AF17" s="29">
        <f t="shared" si="29"/>
        <v>35</v>
      </c>
      <c r="AG17" s="29">
        <v>34</v>
      </c>
      <c r="AH17" s="29" t="str">
        <f t="shared" si="29"/>
        <v/>
      </c>
      <c r="AI17" s="29" t="str">
        <f t="shared" si="29"/>
        <v/>
      </c>
      <c r="AJ17" s="29" t="str">
        <f t="shared" si="29"/>
        <v/>
      </c>
      <c r="AK17" s="29" t="str">
        <f t="shared" si="29"/>
        <v/>
      </c>
      <c r="AL17" s="29" t="str">
        <f t="shared" si="29"/>
        <v/>
      </c>
      <c r="AM17" s="29" t="str">
        <f t="shared" si="29"/>
        <v/>
      </c>
      <c r="AN17" s="29" t="str">
        <f t="shared" si="29"/>
        <v/>
      </c>
      <c r="AO17" s="29" t="str">
        <f t="shared" ref="AO17:AS17" si="30">IF(AO15="","",(AN17+AN18))</f>
        <v/>
      </c>
      <c r="AP17" s="29" t="str">
        <f t="shared" si="30"/>
        <v/>
      </c>
      <c r="AQ17" s="29" t="str">
        <f t="shared" si="30"/>
        <v/>
      </c>
      <c r="AR17" s="29" t="str">
        <f t="shared" si="30"/>
        <v/>
      </c>
      <c r="AS17" s="29" t="str">
        <f t="shared" si="30"/>
        <v/>
      </c>
    </row>
    <row r="18" spans="1:45">
      <c r="A18" s="14"/>
      <c r="B18" s="30" t="s">
        <v>7</v>
      </c>
      <c r="C18" s="65"/>
      <c r="D18" s="29"/>
      <c r="E18" s="29"/>
      <c r="F18" s="29"/>
      <c r="G18" s="54"/>
      <c r="H18" s="29"/>
      <c r="I18" s="29"/>
      <c r="J18" s="54"/>
      <c r="K18" s="29"/>
      <c r="L18" s="29"/>
      <c r="M18" s="54"/>
      <c r="N18" s="29"/>
      <c r="O18" s="29"/>
      <c r="P18" s="29"/>
      <c r="Q18" s="54"/>
      <c r="R18" s="29"/>
      <c r="S18" s="29">
        <v>1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 spans="1:45">
      <c r="A19" s="7"/>
      <c r="B19" s="30" t="s">
        <v>8</v>
      </c>
      <c r="C19" s="64">
        <v>700</v>
      </c>
      <c r="D19" s="35">
        <f t="shared" ref="D19:AN19" si="31">IF(D15="","",C19)</f>
        <v>700</v>
      </c>
      <c r="E19" s="35">
        <f t="shared" si="31"/>
        <v>700</v>
      </c>
      <c r="F19" s="35">
        <f t="shared" si="31"/>
        <v>700</v>
      </c>
      <c r="G19" s="128">
        <f t="shared" si="31"/>
        <v>700</v>
      </c>
      <c r="H19" s="35">
        <f t="shared" si="31"/>
        <v>700</v>
      </c>
      <c r="I19" s="35">
        <f t="shared" si="31"/>
        <v>700</v>
      </c>
      <c r="J19" s="128">
        <f t="shared" si="31"/>
        <v>700</v>
      </c>
      <c r="K19" s="35">
        <f t="shared" si="31"/>
        <v>700</v>
      </c>
      <c r="L19" s="35">
        <f t="shared" si="31"/>
        <v>700</v>
      </c>
      <c r="M19" s="128">
        <f t="shared" si="31"/>
        <v>700</v>
      </c>
      <c r="N19" s="35">
        <f t="shared" si="31"/>
        <v>700</v>
      </c>
      <c r="O19" s="35">
        <f t="shared" si="31"/>
        <v>700</v>
      </c>
      <c r="P19" s="35">
        <f t="shared" si="31"/>
        <v>700</v>
      </c>
      <c r="Q19" s="128">
        <f t="shared" si="31"/>
        <v>700</v>
      </c>
      <c r="R19" s="35">
        <f t="shared" si="31"/>
        <v>700</v>
      </c>
      <c r="S19" s="35">
        <f t="shared" si="31"/>
        <v>700</v>
      </c>
      <c r="T19" s="35">
        <f t="shared" si="31"/>
        <v>700</v>
      </c>
      <c r="U19" s="35">
        <f t="shared" si="31"/>
        <v>700</v>
      </c>
      <c r="V19" s="35">
        <f t="shared" si="31"/>
        <v>700</v>
      </c>
      <c r="W19" s="35">
        <f t="shared" si="31"/>
        <v>700</v>
      </c>
      <c r="X19" s="35">
        <f t="shared" si="31"/>
        <v>700</v>
      </c>
      <c r="Y19" s="35">
        <f t="shared" si="31"/>
        <v>700</v>
      </c>
      <c r="Z19" s="35">
        <f t="shared" si="31"/>
        <v>700</v>
      </c>
      <c r="AA19" s="35">
        <f t="shared" si="31"/>
        <v>700</v>
      </c>
      <c r="AB19" s="35">
        <f t="shared" si="31"/>
        <v>700</v>
      </c>
      <c r="AC19" s="35">
        <f t="shared" si="31"/>
        <v>700</v>
      </c>
      <c r="AD19" s="35">
        <f t="shared" si="31"/>
        <v>700</v>
      </c>
      <c r="AE19" s="35">
        <f t="shared" si="31"/>
        <v>700</v>
      </c>
      <c r="AF19" s="35">
        <f t="shared" si="31"/>
        <v>700</v>
      </c>
      <c r="AG19" s="35">
        <f t="shared" si="31"/>
        <v>700</v>
      </c>
      <c r="AH19" s="35" t="str">
        <f t="shared" si="31"/>
        <v/>
      </c>
      <c r="AI19" s="35" t="str">
        <f t="shared" si="31"/>
        <v/>
      </c>
      <c r="AJ19" s="35" t="str">
        <f t="shared" si="31"/>
        <v/>
      </c>
      <c r="AK19" s="35" t="str">
        <f t="shared" si="31"/>
        <v/>
      </c>
      <c r="AL19" s="35" t="str">
        <f t="shared" si="31"/>
        <v/>
      </c>
      <c r="AM19" s="35" t="str">
        <f t="shared" si="31"/>
        <v/>
      </c>
      <c r="AN19" s="35" t="str">
        <f t="shared" si="31"/>
        <v/>
      </c>
      <c r="AO19" s="35" t="str">
        <f t="shared" ref="AO19:AS19" si="32">IF(AO15="","",AN19)</f>
        <v/>
      </c>
      <c r="AP19" s="35" t="str">
        <f t="shared" si="32"/>
        <v/>
      </c>
      <c r="AQ19" s="35" t="str">
        <f t="shared" si="32"/>
        <v/>
      </c>
      <c r="AR19" s="35" t="str">
        <f t="shared" si="32"/>
        <v/>
      </c>
      <c r="AS19" s="35" t="str">
        <f t="shared" si="32"/>
        <v/>
      </c>
    </row>
    <row r="20" spans="1:45" s="94" customFormat="1">
      <c r="A20" s="14" t="s">
        <v>9</v>
      </c>
      <c r="B20" s="33" t="s">
        <v>10</v>
      </c>
      <c r="C20" s="63" t="s">
        <v>82</v>
      </c>
      <c r="D20" s="32" t="str">
        <f t="shared" ref="D20:AN20" si="33">IF(D15="","",C20)</f>
        <v>サンリオマスコット</v>
      </c>
      <c r="E20" s="32" t="str">
        <f t="shared" si="33"/>
        <v>サンリオマスコット</v>
      </c>
      <c r="F20" s="32" t="str">
        <f t="shared" si="33"/>
        <v>サンリオマスコット</v>
      </c>
      <c r="G20" s="129" t="str">
        <f t="shared" si="33"/>
        <v>サンリオマスコット</v>
      </c>
      <c r="H20" s="32" t="str">
        <f t="shared" si="33"/>
        <v>サンリオマスコット</v>
      </c>
      <c r="I20" s="32" t="str">
        <f t="shared" si="33"/>
        <v>サンリオマスコット</v>
      </c>
      <c r="J20" s="129" t="str">
        <f t="shared" si="33"/>
        <v>サンリオマスコット</v>
      </c>
      <c r="K20" s="32" t="str">
        <f t="shared" si="33"/>
        <v>サンリオマスコット</v>
      </c>
      <c r="L20" s="32" t="str">
        <f t="shared" si="33"/>
        <v>サンリオマスコット</v>
      </c>
      <c r="M20" s="129" t="str">
        <f t="shared" si="33"/>
        <v>サンリオマスコット</v>
      </c>
      <c r="N20" s="32" t="str">
        <f t="shared" si="33"/>
        <v>サンリオマスコット</v>
      </c>
      <c r="O20" s="32" t="str">
        <f t="shared" si="33"/>
        <v>サンリオマスコット</v>
      </c>
      <c r="P20" s="32" t="str">
        <f t="shared" si="33"/>
        <v>サンリオマスコット</v>
      </c>
      <c r="Q20" s="129" t="str">
        <f t="shared" si="33"/>
        <v>サンリオマスコット</v>
      </c>
      <c r="R20" s="32" t="str">
        <f t="shared" si="33"/>
        <v>サンリオマスコット</v>
      </c>
      <c r="S20" s="32" t="str">
        <f t="shared" si="33"/>
        <v>サンリオマスコット</v>
      </c>
      <c r="T20" s="32" t="str">
        <f t="shared" si="33"/>
        <v>サンリオマスコット</v>
      </c>
      <c r="U20" s="32" t="str">
        <f t="shared" si="33"/>
        <v>サンリオマスコット</v>
      </c>
      <c r="V20" s="32" t="str">
        <f t="shared" si="33"/>
        <v>サンリオマスコット</v>
      </c>
      <c r="W20" s="32" t="str">
        <f t="shared" si="33"/>
        <v>サンリオマスコット</v>
      </c>
      <c r="X20" s="32" t="str">
        <f t="shared" si="33"/>
        <v>サンリオマスコット</v>
      </c>
      <c r="Y20" s="32" t="str">
        <f t="shared" si="33"/>
        <v>サンリオマスコット</v>
      </c>
      <c r="Z20" s="32" t="str">
        <f t="shared" si="33"/>
        <v>サンリオマスコット</v>
      </c>
      <c r="AA20" s="32" t="str">
        <f t="shared" si="33"/>
        <v>サンリオマスコット</v>
      </c>
      <c r="AB20" s="32" t="str">
        <f t="shared" si="33"/>
        <v>サンリオマスコット</v>
      </c>
      <c r="AC20" s="32" t="str">
        <f t="shared" si="33"/>
        <v>サンリオマスコット</v>
      </c>
      <c r="AD20" s="32" t="str">
        <f t="shared" si="33"/>
        <v>サンリオマスコット</v>
      </c>
      <c r="AE20" s="32" t="str">
        <f t="shared" si="33"/>
        <v>サンリオマスコット</v>
      </c>
      <c r="AF20" s="32" t="str">
        <f t="shared" si="33"/>
        <v>サンリオマスコット</v>
      </c>
      <c r="AG20" s="32" t="str">
        <f t="shared" si="33"/>
        <v>サンリオマスコット</v>
      </c>
      <c r="AH20" s="32" t="str">
        <f t="shared" si="33"/>
        <v/>
      </c>
      <c r="AI20" s="32" t="str">
        <f t="shared" si="33"/>
        <v/>
      </c>
      <c r="AJ20" s="32" t="str">
        <f t="shared" si="33"/>
        <v/>
      </c>
      <c r="AK20" s="32" t="str">
        <f t="shared" si="33"/>
        <v/>
      </c>
      <c r="AL20" s="32" t="str">
        <f t="shared" si="33"/>
        <v/>
      </c>
      <c r="AM20" s="32" t="str">
        <f t="shared" si="33"/>
        <v/>
      </c>
      <c r="AN20" s="32" t="str">
        <f t="shared" si="33"/>
        <v/>
      </c>
      <c r="AO20" s="32" t="str">
        <f t="shared" ref="AO20:AS20" si="34">IF(AO15="","",AN20)</f>
        <v/>
      </c>
      <c r="AP20" s="32" t="str">
        <f t="shared" si="34"/>
        <v/>
      </c>
      <c r="AQ20" s="32" t="str">
        <f t="shared" si="34"/>
        <v/>
      </c>
      <c r="AR20" s="32" t="str">
        <f t="shared" si="34"/>
        <v/>
      </c>
      <c r="AS20" s="32" t="str">
        <f t="shared" si="34"/>
        <v/>
      </c>
    </row>
    <row r="21" spans="1:45">
      <c r="A21" s="7">
        <f>AVERAGE(C22:AS22)*30*100</f>
        <v>79548.387096774197</v>
      </c>
      <c r="B21" s="30" t="s">
        <v>14</v>
      </c>
      <c r="C21" s="65"/>
      <c r="D21" s="29"/>
      <c r="E21" s="29"/>
      <c r="F21" s="29"/>
      <c r="G21" s="54"/>
      <c r="H21" s="29"/>
      <c r="I21" s="29"/>
      <c r="J21" s="54"/>
      <c r="K21" s="29"/>
      <c r="L21" s="29"/>
      <c r="M21" s="54"/>
      <c r="N21" s="29"/>
      <c r="O21" s="29"/>
      <c r="P21" s="29"/>
      <c r="Q21" s="54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 spans="1:45">
      <c r="A22" s="7">
        <f>SUM(C22:AS22)</f>
        <v>822</v>
      </c>
      <c r="B22" s="27" t="s">
        <v>15</v>
      </c>
      <c r="C22" s="65">
        <v>0</v>
      </c>
      <c r="D22" s="26">
        <f t="shared" ref="D22:AN22" si="35">IF(D15="","",D15-C15)</f>
        <v>0</v>
      </c>
      <c r="E22" s="26">
        <f t="shared" si="35"/>
        <v>0</v>
      </c>
      <c r="F22" s="26">
        <f t="shared" si="35"/>
        <v>156</v>
      </c>
      <c r="G22" s="54">
        <f t="shared" si="35"/>
        <v>0</v>
      </c>
      <c r="H22" s="26">
        <f t="shared" si="35"/>
        <v>0</v>
      </c>
      <c r="I22" s="26">
        <f t="shared" si="35"/>
        <v>97</v>
      </c>
      <c r="J22" s="54">
        <f t="shared" si="35"/>
        <v>0</v>
      </c>
      <c r="K22" s="26">
        <f t="shared" si="35"/>
        <v>0</v>
      </c>
      <c r="L22" s="26">
        <f t="shared" si="35"/>
        <v>136</v>
      </c>
      <c r="M22" s="54">
        <f t="shared" si="35"/>
        <v>0</v>
      </c>
      <c r="N22" s="26">
        <f t="shared" si="35"/>
        <v>0</v>
      </c>
      <c r="O22" s="26">
        <f t="shared" si="35"/>
        <v>0</v>
      </c>
      <c r="P22" s="26">
        <f t="shared" si="35"/>
        <v>88</v>
      </c>
      <c r="Q22" s="54">
        <f t="shared" si="35"/>
        <v>0</v>
      </c>
      <c r="R22" s="26">
        <f t="shared" si="35"/>
        <v>0</v>
      </c>
      <c r="S22" s="26">
        <f t="shared" si="35"/>
        <v>60</v>
      </c>
      <c r="T22" s="26">
        <f t="shared" si="35"/>
        <v>0</v>
      </c>
      <c r="U22" s="26">
        <f t="shared" si="35"/>
        <v>0</v>
      </c>
      <c r="V22" s="26">
        <f t="shared" si="35"/>
        <v>0</v>
      </c>
      <c r="W22" s="26">
        <f t="shared" si="35"/>
        <v>46</v>
      </c>
      <c r="X22" s="26">
        <f t="shared" si="35"/>
        <v>0</v>
      </c>
      <c r="Y22" s="26">
        <f t="shared" si="35"/>
        <v>0</v>
      </c>
      <c r="Z22" s="26">
        <f t="shared" si="35"/>
        <v>93</v>
      </c>
      <c r="AA22" s="26">
        <f t="shared" si="35"/>
        <v>0</v>
      </c>
      <c r="AB22" s="26">
        <f t="shared" si="35"/>
        <v>0</v>
      </c>
      <c r="AC22" s="26">
        <f t="shared" si="35"/>
        <v>0</v>
      </c>
      <c r="AD22" s="26">
        <f t="shared" si="35"/>
        <v>74</v>
      </c>
      <c r="AE22" s="26">
        <f t="shared" si="35"/>
        <v>0</v>
      </c>
      <c r="AF22" s="26">
        <f t="shared" si="35"/>
        <v>0</v>
      </c>
      <c r="AG22" s="26">
        <f t="shared" si="35"/>
        <v>72</v>
      </c>
      <c r="AH22" s="26" t="str">
        <f t="shared" si="35"/>
        <v/>
      </c>
      <c r="AI22" s="26" t="str">
        <f t="shared" si="35"/>
        <v/>
      </c>
      <c r="AJ22" s="26" t="str">
        <f t="shared" si="35"/>
        <v/>
      </c>
      <c r="AK22" s="26" t="str">
        <f t="shared" si="35"/>
        <v/>
      </c>
      <c r="AL22" s="26" t="str">
        <f t="shared" si="35"/>
        <v/>
      </c>
      <c r="AM22" s="26" t="str">
        <f t="shared" si="35"/>
        <v/>
      </c>
      <c r="AN22" s="26" t="str">
        <f t="shared" si="35"/>
        <v/>
      </c>
      <c r="AO22" s="26" t="str">
        <f t="shared" ref="AO22:AS22" si="36">IF(AO15="","",AO15-AN15)</f>
        <v/>
      </c>
      <c r="AP22" s="26" t="str">
        <f t="shared" si="36"/>
        <v/>
      </c>
      <c r="AQ22" s="26" t="str">
        <f t="shared" si="36"/>
        <v/>
      </c>
      <c r="AR22" s="26" t="str">
        <f t="shared" si="36"/>
        <v/>
      </c>
      <c r="AS22" s="26" t="str">
        <f t="shared" si="36"/>
        <v/>
      </c>
    </row>
    <row r="23" spans="1:45">
      <c r="A23" s="7">
        <f>SUM(C23:AS23)</f>
        <v>14</v>
      </c>
      <c r="B23" s="27" t="s">
        <v>16</v>
      </c>
      <c r="C23" s="65">
        <v>0</v>
      </c>
      <c r="D23" s="26">
        <f t="shared" ref="D23:AN23" si="37">IF(D16="","",D16-C16)</f>
        <v>0</v>
      </c>
      <c r="E23" s="26">
        <f t="shared" si="37"/>
        <v>0</v>
      </c>
      <c r="F23" s="26">
        <f t="shared" si="37"/>
        <v>3</v>
      </c>
      <c r="G23" s="54">
        <f t="shared" si="37"/>
        <v>0</v>
      </c>
      <c r="H23" s="26">
        <f t="shared" si="37"/>
        <v>0</v>
      </c>
      <c r="I23" s="26">
        <f t="shared" si="37"/>
        <v>1</v>
      </c>
      <c r="J23" s="54">
        <f t="shared" si="37"/>
        <v>0</v>
      </c>
      <c r="K23" s="26">
        <f t="shared" si="37"/>
        <v>0</v>
      </c>
      <c r="L23" s="26">
        <f t="shared" si="37"/>
        <v>2</v>
      </c>
      <c r="M23" s="54">
        <f t="shared" si="37"/>
        <v>0</v>
      </c>
      <c r="N23" s="26">
        <f t="shared" si="37"/>
        <v>0</v>
      </c>
      <c r="O23" s="26">
        <f t="shared" si="37"/>
        <v>0</v>
      </c>
      <c r="P23" s="26">
        <f t="shared" si="37"/>
        <v>3</v>
      </c>
      <c r="Q23" s="54">
        <f t="shared" si="37"/>
        <v>0</v>
      </c>
      <c r="R23" s="26">
        <f t="shared" si="37"/>
        <v>0</v>
      </c>
      <c r="S23" s="26">
        <f t="shared" si="37"/>
        <v>0</v>
      </c>
      <c r="T23" s="26">
        <f t="shared" si="37"/>
        <v>0</v>
      </c>
      <c r="U23" s="26">
        <f t="shared" si="37"/>
        <v>0</v>
      </c>
      <c r="V23" s="26">
        <f t="shared" si="37"/>
        <v>0</v>
      </c>
      <c r="W23" s="26">
        <f t="shared" si="37"/>
        <v>1</v>
      </c>
      <c r="X23" s="26">
        <f t="shared" si="37"/>
        <v>0</v>
      </c>
      <c r="Y23" s="26">
        <f t="shared" si="37"/>
        <v>0</v>
      </c>
      <c r="Z23" s="26">
        <f t="shared" si="37"/>
        <v>1</v>
      </c>
      <c r="AA23" s="26">
        <f t="shared" si="37"/>
        <v>0</v>
      </c>
      <c r="AB23" s="26">
        <f t="shared" si="37"/>
        <v>0</v>
      </c>
      <c r="AC23" s="26">
        <f t="shared" si="37"/>
        <v>0</v>
      </c>
      <c r="AD23" s="26">
        <f t="shared" si="37"/>
        <v>2</v>
      </c>
      <c r="AE23" s="26">
        <f t="shared" si="37"/>
        <v>0</v>
      </c>
      <c r="AF23" s="26">
        <f t="shared" si="37"/>
        <v>0</v>
      </c>
      <c r="AG23" s="26">
        <f t="shared" si="37"/>
        <v>1</v>
      </c>
      <c r="AH23" s="26" t="str">
        <f t="shared" si="37"/>
        <v/>
      </c>
      <c r="AI23" s="26" t="str">
        <f t="shared" si="37"/>
        <v/>
      </c>
      <c r="AJ23" s="26" t="str">
        <f t="shared" si="37"/>
        <v/>
      </c>
      <c r="AK23" s="26" t="str">
        <f t="shared" si="37"/>
        <v/>
      </c>
      <c r="AL23" s="26" t="str">
        <f t="shared" si="37"/>
        <v/>
      </c>
      <c r="AM23" s="26" t="str">
        <f t="shared" si="37"/>
        <v/>
      </c>
      <c r="AN23" s="26" t="str">
        <f t="shared" si="37"/>
        <v/>
      </c>
      <c r="AO23" s="26" t="str">
        <f t="shared" ref="AO23:AS23" si="38">IF(AO16="","",AO16-AN16)</f>
        <v/>
      </c>
      <c r="AP23" s="26" t="str">
        <f t="shared" si="38"/>
        <v/>
      </c>
      <c r="AQ23" s="26" t="str">
        <f t="shared" si="38"/>
        <v/>
      </c>
      <c r="AR23" s="26" t="str">
        <f t="shared" si="38"/>
        <v/>
      </c>
      <c r="AS23" s="26" t="str">
        <f t="shared" si="38"/>
        <v/>
      </c>
    </row>
    <row r="24" spans="1:45">
      <c r="A24" s="7">
        <f>SUM(C24:AS24)</f>
        <v>14</v>
      </c>
      <c r="B24" s="27" t="s">
        <v>17</v>
      </c>
      <c r="C24" s="65">
        <v>0</v>
      </c>
      <c r="D24" s="26">
        <f t="shared" ref="D24:AN24" si="39">IF(D17="","",C17+C18-D17)</f>
        <v>0</v>
      </c>
      <c r="E24" s="26">
        <f t="shared" si="39"/>
        <v>0</v>
      </c>
      <c r="F24" s="26">
        <f t="shared" si="39"/>
        <v>3</v>
      </c>
      <c r="G24" s="54">
        <f t="shared" si="39"/>
        <v>0</v>
      </c>
      <c r="H24" s="26">
        <f t="shared" si="39"/>
        <v>0</v>
      </c>
      <c r="I24" s="26">
        <f t="shared" si="39"/>
        <v>1</v>
      </c>
      <c r="J24" s="54">
        <f t="shared" si="39"/>
        <v>0</v>
      </c>
      <c r="K24" s="26">
        <f t="shared" si="39"/>
        <v>0</v>
      </c>
      <c r="L24" s="26">
        <f t="shared" si="39"/>
        <v>2</v>
      </c>
      <c r="M24" s="54">
        <f t="shared" si="39"/>
        <v>0</v>
      </c>
      <c r="N24" s="26">
        <f t="shared" si="39"/>
        <v>0</v>
      </c>
      <c r="O24" s="26">
        <f t="shared" si="39"/>
        <v>0</v>
      </c>
      <c r="P24" s="26">
        <f t="shared" si="39"/>
        <v>3</v>
      </c>
      <c r="Q24" s="54">
        <f t="shared" si="39"/>
        <v>0</v>
      </c>
      <c r="R24" s="26">
        <f t="shared" si="39"/>
        <v>0</v>
      </c>
      <c r="S24" s="26">
        <f t="shared" si="39"/>
        <v>0</v>
      </c>
      <c r="T24" s="26">
        <f t="shared" si="39"/>
        <v>0</v>
      </c>
      <c r="U24" s="26">
        <f t="shared" si="39"/>
        <v>0</v>
      </c>
      <c r="V24" s="26">
        <f t="shared" si="39"/>
        <v>0</v>
      </c>
      <c r="W24" s="26">
        <f t="shared" si="39"/>
        <v>1</v>
      </c>
      <c r="X24" s="26">
        <f t="shared" si="39"/>
        <v>0</v>
      </c>
      <c r="Y24" s="26">
        <f t="shared" si="39"/>
        <v>0</v>
      </c>
      <c r="Z24" s="26">
        <f t="shared" si="39"/>
        <v>1</v>
      </c>
      <c r="AA24" s="26">
        <f t="shared" si="39"/>
        <v>0</v>
      </c>
      <c r="AB24" s="26">
        <f t="shared" si="39"/>
        <v>0</v>
      </c>
      <c r="AC24" s="26">
        <f t="shared" si="39"/>
        <v>0</v>
      </c>
      <c r="AD24" s="26">
        <f t="shared" si="39"/>
        <v>2</v>
      </c>
      <c r="AE24" s="26">
        <f t="shared" si="39"/>
        <v>0</v>
      </c>
      <c r="AF24" s="26">
        <f t="shared" si="39"/>
        <v>0</v>
      </c>
      <c r="AG24" s="26">
        <f t="shared" si="39"/>
        <v>1</v>
      </c>
      <c r="AH24" s="26" t="str">
        <f t="shared" si="39"/>
        <v/>
      </c>
      <c r="AI24" s="26" t="str">
        <f t="shared" si="39"/>
        <v/>
      </c>
      <c r="AJ24" s="26" t="str">
        <f t="shared" si="39"/>
        <v/>
      </c>
      <c r="AK24" s="26" t="str">
        <f t="shared" si="39"/>
        <v/>
      </c>
      <c r="AL24" s="26" t="str">
        <f t="shared" si="39"/>
        <v/>
      </c>
      <c r="AM24" s="26" t="str">
        <f t="shared" si="39"/>
        <v/>
      </c>
      <c r="AN24" s="26" t="str">
        <f t="shared" si="39"/>
        <v/>
      </c>
      <c r="AO24" s="26" t="str">
        <f t="shared" ref="AO24:AS24" si="40">IF(AO17="","",AN17+AN18-AO17)</f>
        <v/>
      </c>
      <c r="AP24" s="26" t="str">
        <f t="shared" si="40"/>
        <v/>
      </c>
      <c r="AQ24" s="26" t="str">
        <f t="shared" si="40"/>
        <v/>
      </c>
      <c r="AR24" s="26" t="str">
        <f t="shared" si="40"/>
        <v/>
      </c>
      <c r="AS24" s="26" t="str">
        <f t="shared" si="40"/>
        <v/>
      </c>
    </row>
    <row r="25" spans="1:45">
      <c r="A25" s="7">
        <f>SUM(C25:AS25)</f>
        <v>9800</v>
      </c>
      <c r="B25" s="27" t="s">
        <v>18</v>
      </c>
      <c r="C25" s="65">
        <v>0</v>
      </c>
      <c r="D25" s="26">
        <f t="shared" ref="D25:AN25" si="41">IF(D15="","",D24*D19)</f>
        <v>0</v>
      </c>
      <c r="E25" s="26">
        <f t="shared" si="41"/>
        <v>0</v>
      </c>
      <c r="F25" s="26">
        <f t="shared" si="41"/>
        <v>2100</v>
      </c>
      <c r="G25" s="54">
        <f t="shared" si="41"/>
        <v>0</v>
      </c>
      <c r="H25" s="26">
        <f t="shared" si="41"/>
        <v>0</v>
      </c>
      <c r="I25" s="26">
        <f t="shared" si="41"/>
        <v>700</v>
      </c>
      <c r="J25" s="54">
        <f t="shared" si="41"/>
        <v>0</v>
      </c>
      <c r="K25" s="26">
        <f t="shared" si="41"/>
        <v>0</v>
      </c>
      <c r="L25" s="26">
        <f t="shared" si="41"/>
        <v>1400</v>
      </c>
      <c r="M25" s="54">
        <f t="shared" si="41"/>
        <v>0</v>
      </c>
      <c r="N25" s="26">
        <f t="shared" si="41"/>
        <v>0</v>
      </c>
      <c r="O25" s="26">
        <f t="shared" si="41"/>
        <v>0</v>
      </c>
      <c r="P25" s="26">
        <f t="shared" si="41"/>
        <v>2100</v>
      </c>
      <c r="Q25" s="54">
        <f t="shared" si="41"/>
        <v>0</v>
      </c>
      <c r="R25" s="26">
        <f t="shared" si="41"/>
        <v>0</v>
      </c>
      <c r="S25" s="26">
        <f t="shared" si="41"/>
        <v>0</v>
      </c>
      <c r="T25" s="26">
        <f t="shared" si="41"/>
        <v>0</v>
      </c>
      <c r="U25" s="26">
        <f t="shared" si="41"/>
        <v>0</v>
      </c>
      <c r="V25" s="26">
        <f t="shared" si="41"/>
        <v>0</v>
      </c>
      <c r="W25" s="26">
        <f t="shared" si="41"/>
        <v>700</v>
      </c>
      <c r="X25" s="26">
        <f t="shared" si="41"/>
        <v>0</v>
      </c>
      <c r="Y25" s="26">
        <f t="shared" si="41"/>
        <v>0</v>
      </c>
      <c r="Z25" s="26">
        <f t="shared" si="41"/>
        <v>700</v>
      </c>
      <c r="AA25" s="26">
        <f t="shared" si="41"/>
        <v>0</v>
      </c>
      <c r="AB25" s="26">
        <f t="shared" si="41"/>
        <v>0</v>
      </c>
      <c r="AC25" s="26">
        <f t="shared" si="41"/>
        <v>0</v>
      </c>
      <c r="AD25" s="26">
        <f t="shared" si="41"/>
        <v>1400</v>
      </c>
      <c r="AE25" s="26">
        <f t="shared" si="41"/>
        <v>0</v>
      </c>
      <c r="AF25" s="26">
        <f t="shared" si="41"/>
        <v>0</v>
      </c>
      <c r="AG25" s="26">
        <f t="shared" si="41"/>
        <v>700</v>
      </c>
      <c r="AH25" s="26" t="str">
        <f t="shared" si="41"/>
        <v/>
      </c>
      <c r="AI25" s="26" t="str">
        <f t="shared" si="41"/>
        <v/>
      </c>
      <c r="AJ25" s="26" t="str">
        <f t="shared" si="41"/>
        <v/>
      </c>
      <c r="AK25" s="26" t="str">
        <f t="shared" si="41"/>
        <v/>
      </c>
      <c r="AL25" s="26" t="str">
        <f t="shared" si="41"/>
        <v/>
      </c>
      <c r="AM25" s="26" t="str">
        <f t="shared" si="41"/>
        <v/>
      </c>
      <c r="AN25" s="26" t="str">
        <f t="shared" si="41"/>
        <v/>
      </c>
      <c r="AO25" s="26" t="str">
        <f t="shared" ref="AO25:AS25" si="42">IF(AO15="","",AO24*AO19)</f>
        <v/>
      </c>
      <c r="AP25" s="26" t="str">
        <f t="shared" si="42"/>
        <v/>
      </c>
      <c r="AQ25" s="26" t="str">
        <f t="shared" si="42"/>
        <v/>
      </c>
      <c r="AR25" s="26" t="str">
        <f t="shared" si="42"/>
        <v/>
      </c>
      <c r="AS25" s="26" t="str">
        <f t="shared" si="42"/>
        <v/>
      </c>
    </row>
    <row r="26" spans="1:45" ht="12" thickBot="1">
      <c r="A26" s="4">
        <f>IF(A25="","",A25/(A22*100))</f>
        <v>0.11922141119221411</v>
      </c>
      <c r="B26" s="24" t="s">
        <v>20</v>
      </c>
      <c r="C26" s="67" t="s">
        <v>21</v>
      </c>
      <c r="D26" s="23" t="str">
        <f t="shared" ref="D26:AN26" si="43">IF(D25="","",IF(D25=0,"",D25/(D22*100)))</f>
        <v/>
      </c>
      <c r="E26" s="23" t="str">
        <f t="shared" si="43"/>
        <v/>
      </c>
      <c r="F26" s="23">
        <f t="shared" si="43"/>
        <v>0.13461538461538461</v>
      </c>
      <c r="G26" s="52" t="str">
        <f t="shared" si="43"/>
        <v/>
      </c>
      <c r="H26" s="23" t="str">
        <f t="shared" si="43"/>
        <v/>
      </c>
      <c r="I26" s="23">
        <f t="shared" si="43"/>
        <v>7.2164948453608241E-2</v>
      </c>
      <c r="J26" s="52" t="str">
        <f t="shared" si="43"/>
        <v/>
      </c>
      <c r="K26" s="23" t="str">
        <f t="shared" si="43"/>
        <v/>
      </c>
      <c r="L26" s="23">
        <f t="shared" si="43"/>
        <v>0.10294117647058823</v>
      </c>
      <c r="M26" s="52" t="str">
        <f t="shared" si="43"/>
        <v/>
      </c>
      <c r="N26" s="23" t="str">
        <f t="shared" si="43"/>
        <v/>
      </c>
      <c r="O26" s="23" t="str">
        <f t="shared" si="43"/>
        <v/>
      </c>
      <c r="P26" s="23">
        <f t="shared" si="43"/>
        <v>0.23863636363636365</v>
      </c>
      <c r="Q26" s="52" t="str">
        <f t="shared" si="43"/>
        <v/>
      </c>
      <c r="R26" s="23" t="str">
        <f t="shared" si="43"/>
        <v/>
      </c>
      <c r="S26" s="23" t="str">
        <f t="shared" si="43"/>
        <v/>
      </c>
      <c r="T26" s="23" t="str">
        <f t="shared" si="43"/>
        <v/>
      </c>
      <c r="U26" s="23" t="str">
        <f t="shared" si="43"/>
        <v/>
      </c>
      <c r="V26" s="23" t="str">
        <f t="shared" si="43"/>
        <v/>
      </c>
      <c r="W26" s="23">
        <f t="shared" si="43"/>
        <v>0.15217391304347827</v>
      </c>
      <c r="X26" s="23" t="str">
        <f t="shared" si="43"/>
        <v/>
      </c>
      <c r="Y26" s="23" t="str">
        <f t="shared" si="43"/>
        <v/>
      </c>
      <c r="Z26" s="23">
        <f t="shared" si="43"/>
        <v>7.5268817204301078E-2</v>
      </c>
      <c r="AA26" s="23" t="str">
        <f t="shared" si="43"/>
        <v/>
      </c>
      <c r="AB26" s="23" t="str">
        <f t="shared" si="43"/>
        <v/>
      </c>
      <c r="AC26" s="23" t="str">
        <f t="shared" si="43"/>
        <v/>
      </c>
      <c r="AD26" s="23">
        <f t="shared" si="43"/>
        <v>0.1891891891891892</v>
      </c>
      <c r="AE26" s="23" t="str">
        <f t="shared" si="43"/>
        <v/>
      </c>
      <c r="AF26" s="23" t="str">
        <f t="shared" si="43"/>
        <v/>
      </c>
      <c r="AG26" s="23">
        <f t="shared" si="43"/>
        <v>9.7222222222222224E-2</v>
      </c>
      <c r="AH26" s="23" t="str">
        <f t="shared" si="43"/>
        <v/>
      </c>
      <c r="AI26" s="23" t="str">
        <f t="shared" si="43"/>
        <v/>
      </c>
      <c r="AJ26" s="23" t="str">
        <f t="shared" si="43"/>
        <v/>
      </c>
      <c r="AK26" s="23" t="str">
        <f t="shared" si="43"/>
        <v/>
      </c>
      <c r="AL26" s="23" t="str">
        <f t="shared" si="43"/>
        <v/>
      </c>
      <c r="AM26" s="23" t="str">
        <f t="shared" si="43"/>
        <v/>
      </c>
      <c r="AN26" s="23" t="str">
        <f t="shared" si="43"/>
        <v/>
      </c>
      <c r="AO26" s="23" t="str">
        <f t="shared" ref="AO26:AS26" si="44">IF(AO25="","",IF(AO25=0,"",AO25/(AO22*100)))</f>
        <v/>
      </c>
      <c r="AP26" s="23" t="str">
        <f t="shared" si="44"/>
        <v/>
      </c>
      <c r="AQ26" s="23" t="str">
        <f t="shared" si="44"/>
        <v/>
      </c>
      <c r="AR26" s="23" t="str">
        <f t="shared" si="44"/>
        <v/>
      </c>
      <c r="AS26" s="23" t="str">
        <f t="shared" si="44"/>
        <v/>
      </c>
    </row>
    <row r="27" spans="1:45">
      <c r="A27" s="40" t="s">
        <v>78</v>
      </c>
      <c r="B27" s="39" t="s">
        <v>2</v>
      </c>
      <c r="C27" s="66">
        <v>38243</v>
      </c>
      <c r="D27" s="38">
        <f>IF(D$3="","",C27)</f>
        <v>38243</v>
      </c>
      <c r="E27" s="38">
        <f>IF(E$3="","",D27)</f>
        <v>38243</v>
      </c>
      <c r="F27" s="38">
        <v>38290</v>
      </c>
      <c r="G27" s="127">
        <f>IF(G$3="","",F27)</f>
        <v>38290</v>
      </c>
      <c r="H27" s="38">
        <f>IF(H$3="","",G27)</f>
        <v>38290</v>
      </c>
      <c r="I27" s="38">
        <v>38334</v>
      </c>
      <c r="J27" s="127">
        <f>IF(J$3="","",I27)</f>
        <v>38334</v>
      </c>
      <c r="K27" s="38">
        <f>IF(K$3="","",J27)</f>
        <v>38334</v>
      </c>
      <c r="L27" s="38">
        <v>38422</v>
      </c>
      <c r="M27" s="127">
        <f t="shared" ref="M27:O28" si="45">IF(M$3="","",L27)</f>
        <v>38422</v>
      </c>
      <c r="N27" s="38">
        <f t="shared" si="45"/>
        <v>38422</v>
      </c>
      <c r="O27" s="38">
        <f t="shared" si="45"/>
        <v>38422</v>
      </c>
      <c r="P27" s="38">
        <v>38478</v>
      </c>
      <c r="Q27" s="127">
        <f>IF(Q$3="","",P27)</f>
        <v>38478</v>
      </c>
      <c r="R27" s="38">
        <f>IF(R$3="","",Q27)</f>
        <v>38478</v>
      </c>
      <c r="S27" s="38">
        <v>38556</v>
      </c>
      <c r="T27" s="38">
        <f t="shared" ref="T27:AN27" si="46">IF(T$3="","",S27)</f>
        <v>38556</v>
      </c>
      <c r="U27" s="38">
        <f t="shared" si="46"/>
        <v>38556</v>
      </c>
      <c r="V27" s="38">
        <f t="shared" si="46"/>
        <v>38556</v>
      </c>
      <c r="W27" s="38">
        <v>38589</v>
      </c>
      <c r="X27" s="38">
        <f t="shared" si="46"/>
        <v>38589</v>
      </c>
      <c r="Y27" s="38">
        <f t="shared" si="46"/>
        <v>38589</v>
      </c>
      <c r="Z27" s="38">
        <v>38651</v>
      </c>
      <c r="AA27" s="38">
        <f t="shared" si="46"/>
        <v>38651</v>
      </c>
      <c r="AB27" s="38">
        <f t="shared" si="46"/>
        <v>38651</v>
      </c>
      <c r="AC27" s="38">
        <f t="shared" si="46"/>
        <v>38651</v>
      </c>
      <c r="AD27" s="38">
        <v>38689</v>
      </c>
      <c r="AE27" s="38">
        <f t="shared" si="46"/>
        <v>38689</v>
      </c>
      <c r="AF27" s="38">
        <f t="shared" si="46"/>
        <v>38689</v>
      </c>
      <c r="AG27" s="38">
        <v>38724</v>
      </c>
      <c r="AH27" s="38" t="str">
        <f t="shared" si="46"/>
        <v/>
      </c>
      <c r="AI27" s="38" t="str">
        <f t="shared" si="46"/>
        <v/>
      </c>
      <c r="AJ27" s="38" t="str">
        <f t="shared" si="46"/>
        <v/>
      </c>
      <c r="AK27" s="38" t="str">
        <f t="shared" si="46"/>
        <v/>
      </c>
      <c r="AL27" s="38" t="str">
        <f t="shared" si="46"/>
        <v/>
      </c>
      <c r="AM27" s="38" t="str">
        <f t="shared" si="46"/>
        <v/>
      </c>
      <c r="AN27" s="38" t="str">
        <f t="shared" si="46"/>
        <v/>
      </c>
      <c r="AO27" s="38" t="str">
        <f t="shared" ref="AO27:AS27" si="47">IF(AO$3="","",AN27)</f>
        <v/>
      </c>
      <c r="AP27" s="38" t="str">
        <f t="shared" si="47"/>
        <v/>
      </c>
      <c r="AQ27" s="38" t="str">
        <f t="shared" si="47"/>
        <v/>
      </c>
      <c r="AR27" s="38" t="str">
        <f t="shared" si="47"/>
        <v/>
      </c>
      <c r="AS27" s="38" t="str">
        <f t="shared" si="47"/>
        <v/>
      </c>
    </row>
    <row r="28" spans="1:45">
      <c r="A28" s="37" t="s">
        <v>83</v>
      </c>
      <c r="B28" s="30" t="s">
        <v>4</v>
      </c>
      <c r="C28" s="65">
        <v>975</v>
      </c>
      <c r="D28" s="29">
        <f>IF(D$3="","",C28)</f>
        <v>975</v>
      </c>
      <c r="E28" s="29">
        <f>IF(E$3="","",D28)</f>
        <v>975</v>
      </c>
      <c r="F28" s="29">
        <v>976</v>
      </c>
      <c r="G28" s="54">
        <f>IF(G$3="","",F28)</f>
        <v>976</v>
      </c>
      <c r="H28" s="29">
        <f>IF(H$3="","",G28)</f>
        <v>976</v>
      </c>
      <c r="I28" s="29">
        <v>980</v>
      </c>
      <c r="J28" s="54">
        <f>IF(J$3="","",I28)</f>
        <v>980</v>
      </c>
      <c r="K28" s="29">
        <f>IF(K$3="","",J28)</f>
        <v>980</v>
      </c>
      <c r="L28" s="29">
        <v>994</v>
      </c>
      <c r="M28" s="54">
        <f t="shared" si="45"/>
        <v>994</v>
      </c>
      <c r="N28" s="29">
        <f t="shared" si="45"/>
        <v>994</v>
      </c>
      <c r="O28" s="29">
        <f t="shared" si="45"/>
        <v>994</v>
      </c>
      <c r="P28" s="29">
        <f>IF(P$3="","",O28)</f>
        <v>994</v>
      </c>
      <c r="Q28" s="54">
        <f>IF(Q$3="","",P28)</f>
        <v>994</v>
      </c>
      <c r="R28" s="29">
        <f>IF(R$3="","",Q28)</f>
        <v>994</v>
      </c>
      <c r="S28" s="29">
        <v>996</v>
      </c>
      <c r="T28" s="29">
        <f t="shared" ref="T28:AN28" si="48">IF(T$3="","",S28)</f>
        <v>996</v>
      </c>
      <c r="U28" s="29">
        <f t="shared" si="48"/>
        <v>996</v>
      </c>
      <c r="V28" s="29">
        <f t="shared" si="48"/>
        <v>996</v>
      </c>
      <c r="W28" s="29">
        <v>999</v>
      </c>
      <c r="X28" s="29">
        <f t="shared" si="48"/>
        <v>999</v>
      </c>
      <c r="Y28" s="29">
        <f t="shared" si="48"/>
        <v>999</v>
      </c>
      <c r="Z28" s="29">
        <v>1003</v>
      </c>
      <c r="AA28" s="29">
        <f t="shared" si="48"/>
        <v>1003</v>
      </c>
      <c r="AB28" s="29">
        <f t="shared" si="48"/>
        <v>1003</v>
      </c>
      <c r="AC28" s="29">
        <f t="shared" si="48"/>
        <v>1003</v>
      </c>
      <c r="AD28" s="29">
        <v>1007</v>
      </c>
      <c r="AE28" s="29">
        <f t="shared" si="48"/>
        <v>1007</v>
      </c>
      <c r="AF28" s="29">
        <f t="shared" si="48"/>
        <v>1007</v>
      </c>
      <c r="AG28" s="29">
        <v>1009</v>
      </c>
      <c r="AH28" s="29" t="str">
        <f t="shared" si="48"/>
        <v/>
      </c>
      <c r="AI28" s="29" t="str">
        <f t="shared" si="48"/>
        <v/>
      </c>
      <c r="AJ28" s="29" t="str">
        <f t="shared" si="48"/>
        <v/>
      </c>
      <c r="AK28" s="29" t="str">
        <f t="shared" si="48"/>
        <v/>
      </c>
      <c r="AL28" s="29" t="str">
        <f t="shared" si="48"/>
        <v/>
      </c>
      <c r="AM28" s="29" t="str">
        <f t="shared" si="48"/>
        <v/>
      </c>
      <c r="AN28" s="29" t="str">
        <f t="shared" si="48"/>
        <v/>
      </c>
      <c r="AO28" s="29" t="str">
        <f t="shared" ref="AO28:AS28" si="49">IF(AO$3="","",AN28)</f>
        <v/>
      </c>
      <c r="AP28" s="29" t="str">
        <f t="shared" si="49"/>
        <v/>
      </c>
      <c r="AQ28" s="29" t="str">
        <f t="shared" si="49"/>
        <v/>
      </c>
      <c r="AR28" s="29" t="str">
        <f t="shared" si="49"/>
        <v/>
      </c>
      <c r="AS28" s="29" t="str">
        <f t="shared" si="49"/>
        <v/>
      </c>
    </row>
    <row r="29" spans="1:45">
      <c r="A29" s="34"/>
      <c r="B29" s="30" t="s">
        <v>5</v>
      </c>
      <c r="C29" s="65">
        <v>13</v>
      </c>
      <c r="D29" s="29">
        <f>IF(D27="","",(C29+C30))</f>
        <v>13</v>
      </c>
      <c r="E29" s="29">
        <f>IF(E27="","",(D29+D30))</f>
        <v>13</v>
      </c>
      <c r="F29" s="29">
        <v>12</v>
      </c>
      <c r="G29" s="54">
        <f>IF(G27="","",(F29+F30))</f>
        <v>12</v>
      </c>
      <c r="H29" s="29">
        <f>IF(H27="","",(G29+G30))</f>
        <v>12</v>
      </c>
      <c r="I29" s="29">
        <v>8</v>
      </c>
      <c r="J29" s="54">
        <f>IF(J27="","",(I29+I30))</f>
        <v>20</v>
      </c>
      <c r="K29" s="29">
        <f>IF(K27="","",(J29+J30))</f>
        <v>20</v>
      </c>
      <c r="L29" s="29">
        <v>6</v>
      </c>
      <c r="M29" s="54">
        <f t="shared" ref="M29:R29" si="50">IF(M27="","",(L29+L30))</f>
        <v>15</v>
      </c>
      <c r="N29" s="29">
        <f t="shared" si="50"/>
        <v>15</v>
      </c>
      <c r="O29" s="29">
        <f t="shared" si="50"/>
        <v>15</v>
      </c>
      <c r="P29" s="29">
        <f t="shared" si="50"/>
        <v>15</v>
      </c>
      <c r="Q29" s="54">
        <f t="shared" si="50"/>
        <v>15</v>
      </c>
      <c r="R29" s="29">
        <f t="shared" si="50"/>
        <v>15</v>
      </c>
      <c r="S29" s="29">
        <v>13</v>
      </c>
      <c r="T29" s="29">
        <f t="shared" ref="T29:AN29" si="51">IF(T27="","",(S29+S30))</f>
        <v>13</v>
      </c>
      <c r="U29" s="29">
        <f t="shared" si="51"/>
        <v>13</v>
      </c>
      <c r="V29" s="29">
        <f t="shared" si="51"/>
        <v>13</v>
      </c>
      <c r="W29" s="29">
        <f t="shared" si="51"/>
        <v>13</v>
      </c>
      <c r="X29" s="29">
        <f t="shared" si="51"/>
        <v>13</v>
      </c>
      <c r="Y29" s="29">
        <f t="shared" si="51"/>
        <v>13</v>
      </c>
      <c r="Z29" s="29">
        <v>11</v>
      </c>
      <c r="AA29" s="29">
        <f t="shared" si="51"/>
        <v>11</v>
      </c>
      <c r="AB29" s="29">
        <f t="shared" si="51"/>
        <v>11</v>
      </c>
      <c r="AC29" s="29">
        <f t="shared" si="51"/>
        <v>11</v>
      </c>
      <c r="AD29" s="29">
        <v>7</v>
      </c>
      <c r="AE29" s="29">
        <f t="shared" si="51"/>
        <v>7</v>
      </c>
      <c r="AF29" s="29">
        <f t="shared" si="51"/>
        <v>7</v>
      </c>
      <c r="AG29" s="29">
        <v>4</v>
      </c>
      <c r="AH29" s="29" t="str">
        <f t="shared" si="51"/>
        <v/>
      </c>
      <c r="AI29" s="29" t="str">
        <f t="shared" si="51"/>
        <v/>
      </c>
      <c r="AJ29" s="29" t="str">
        <f t="shared" si="51"/>
        <v/>
      </c>
      <c r="AK29" s="29" t="str">
        <f t="shared" si="51"/>
        <v/>
      </c>
      <c r="AL29" s="29" t="str">
        <f t="shared" si="51"/>
        <v/>
      </c>
      <c r="AM29" s="29" t="str">
        <f t="shared" si="51"/>
        <v/>
      </c>
      <c r="AN29" s="29" t="str">
        <f t="shared" si="51"/>
        <v/>
      </c>
      <c r="AO29" s="29" t="str">
        <f t="shared" ref="AO29:AS29" si="52">IF(AO27="","",(AN29+AN30))</f>
        <v/>
      </c>
      <c r="AP29" s="29" t="str">
        <f t="shared" si="52"/>
        <v/>
      </c>
      <c r="AQ29" s="29" t="str">
        <f t="shared" si="52"/>
        <v/>
      </c>
      <c r="AR29" s="29" t="str">
        <f t="shared" si="52"/>
        <v/>
      </c>
      <c r="AS29" s="29" t="str">
        <f t="shared" si="52"/>
        <v/>
      </c>
    </row>
    <row r="30" spans="1:45">
      <c r="A30" s="14"/>
      <c r="B30" s="30" t="s">
        <v>7</v>
      </c>
      <c r="C30" s="65"/>
      <c r="D30" s="29"/>
      <c r="E30" s="29"/>
      <c r="F30" s="29"/>
      <c r="G30" s="54"/>
      <c r="H30" s="29"/>
      <c r="I30" s="29">
        <v>12</v>
      </c>
      <c r="J30" s="54"/>
      <c r="K30" s="29"/>
      <c r="L30" s="29">
        <v>9</v>
      </c>
      <c r="M30" s="54"/>
      <c r="N30" s="29"/>
      <c r="O30" s="29"/>
      <c r="P30" s="29"/>
      <c r="Q30" s="54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>
        <v>13</v>
      </c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 spans="1:45">
      <c r="A31" s="7"/>
      <c r="B31" s="30" t="s">
        <v>8</v>
      </c>
      <c r="C31" s="64">
        <v>400</v>
      </c>
      <c r="D31" s="35">
        <f t="shared" ref="D31:AN31" si="53">IF(D27="","",C31)</f>
        <v>400</v>
      </c>
      <c r="E31" s="35">
        <f t="shared" si="53"/>
        <v>400</v>
      </c>
      <c r="F31" s="35">
        <f t="shared" si="53"/>
        <v>400</v>
      </c>
      <c r="G31" s="128">
        <f t="shared" si="53"/>
        <v>400</v>
      </c>
      <c r="H31" s="35">
        <f t="shared" si="53"/>
        <v>400</v>
      </c>
      <c r="I31" s="35">
        <f t="shared" si="53"/>
        <v>400</v>
      </c>
      <c r="J31" s="128">
        <f t="shared" si="53"/>
        <v>400</v>
      </c>
      <c r="K31" s="35">
        <f t="shared" si="53"/>
        <v>400</v>
      </c>
      <c r="L31" s="35">
        <f t="shared" si="53"/>
        <v>400</v>
      </c>
      <c r="M31" s="128">
        <f t="shared" si="53"/>
        <v>400</v>
      </c>
      <c r="N31" s="35">
        <f t="shared" si="53"/>
        <v>400</v>
      </c>
      <c r="O31" s="35">
        <f t="shared" si="53"/>
        <v>400</v>
      </c>
      <c r="P31" s="35">
        <f t="shared" si="53"/>
        <v>400</v>
      </c>
      <c r="Q31" s="128">
        <f t="shared" si="53"/>
        <v>400</v>
      </c>
      <c r="R31" s="35">
        <f t="shared" si="53"/>
        <v>400</v>
      </c>
      <c r="S31" s="35">
        <f t="shared" si="53"/>
        <v>400</v>
      </c>
      <c r="T31" s="35">
        <f t="shared" si="53"/>
        <v>400</v>
      </c>
      <c r="U31" s="35">
        <f t="shared" si="53"/>
        <v>400</v>
      </c>
      <c r="V31" s="35">
        <f t="shared" si="53"/>
        <v>400</v>
      </c>
      <c r="W31" s="35">
        <f t="shared" si="53"/>
        <v>400</v>
      </c>
      <c r="X31" s="35">
        <f t="shared" si="53"/>
        <v>400</v>
      </c>
      <c r="Y31" s="35">
        <f t="shared" si="53"/>
        <v>400</v>
      </c>
      <c r="Z31" s="35">
        <f t="shared" si="53"/>
        <v>400</v>
      </c>
      <c r="AA31" s="35">
        <f t="shared" si="53"/>
        <v>400</v>
      </c>
      <c r="AB31" s="35">
        <f t="shared" si="53"/>
        <v>400</v>
      </c>
      <c r="AC31" s="35">
        <f t="shared" si="53"/>
        <v>400</v>
      </c>
      <c r="AD31" s="35">
        <f t="shared" si="53"/>
        <v>400</v>
      </c>
      <c r="AE31" s="35">
        <f t="shared" si="53"/>
        <v>400</v>
      </c>
      <c r="AF31" s="35">
        <f t="shared" si="53"/>
        <v>400</v>
      </c>
      <c r="AG31" s="35">
        <f t="shared" si="53"/>
        <v>400</v>
      </c>
      <c r="AH31" s="35" t="str">
        <f t="shared" si="53"/>
        <v/>
      </c>
      <c r="AI31" s="35" t="str">
        <f t="shared" si="53"/>
        <v/>
      </c>
      <c r="AJ31" s="35" t="str">
        <f t="shared" si="53"/>
        <v/>
      </c>
      <c r="AK31" s="35" t="str">
        <f t="shared" si="53"/>
        <v/>
      </c>
      <c r="AL31" s="35" t="str">
        <f t="shared" si="53"/>
        <v/>
      </c>
      <c r="AM31" s="35" t="str">
        <f t="shared" si="53"/>
        <v/>
      </c>
      <c r="AN31" s="35" t="str">
        <f t="shared" si="53"/>
        <v/>
      </c>
      <c r="AO31" s="35" t="str">
        <f t="shared" ref="AO31:AS31" si="54">IF(AO27="","",AN31)</f>
        <v/>
      </c>
      <c r="AP31" s="35" t="str">
        <f t="shared" si="54"/>
        <v/>
      </c>
      <c r="AQ31" s="35" t="str">
        <f t="shared" si="54"/>
        <v/>
      </c>
      <c r="AR31" s="35" t="str">
        <f t="shared" si="54"/>
        <v/>
      </c>
      <c r="AS31" s="35" t="str">
        <f t="shared" si="54"/>
        <v/>
      </c>
    </row>
    <row r="32" spans="1:45" s="94" customFormat="1">
      <c r="A32" s="14" t="s">
        <v>9</v>
      </c>
      <c r="B32" s="33" t="s">
        <v>10</v>
      </c>
      <c r="C32" s="63" t="s">
        <v>34</v>
      </c>
      <c r="D32" s="32" t="str">
        <f>IF(D27="","",C32)</f>
        <v>ラブブMC</v>
      </c>
      <c r="E32" s="32" t="str">
        <f>IF(E27="","",D32)</f>
        <v>ラブブMC</v>
      </c>
      <c r="F32" s="32" t="str">
        <f>IF(F27="","",E32)</f>
        <v>ラブブMC</v>
      </c>
      <c r="G32" s="129" t="str">
        <f>IF(G27="","",F32)</f>
        <v>ラブブMC</v>
      </c>
      <c r="H32" s="32" t="str">
        <f>IF(H27="","",G32)</f>
        <v>ラブブMC</v>
      </c>
      <c r="I32" s="32" t="s">
        <v>84</v>
      </c>
      <c r="J32" s="129" t="str">
        <f>IF(J27="","",I32)</f>
        <v>ピクミンMC</v>
      </c>
      <c r="K32" s="32" t="str">
        <f>IF(K27="","",J32)</f>
        <v>ピクミンMC</v>
      </c>
      <c r="L32" s="32" t="s">
        <v>58</v>
      </c>
      <c r="M32" s="129" t="str">
        <f t="shared" ref="M32:AN32" si="55">IF(M27="","",L32)</f>
        <v>サムエル（箱無し）</v>
      </c>
      <c r="N32" s="32" t="str">
        <f t="shared" si="55"/>
        <v>サムエル（箱無し）</v>
      </c>
      <c r="O32" s="32" t="str">
        <f t="shared" si="55"/>
        <v>サムエル（箱無し）</v>
      </c>
      <c r="P32" s="32" t="str">
        <f t="shared" si="55"/>
        <v>サムエル（箱無し）</v>
      </c>
      <c r="Q32" s="129" t="str">
        <f t="shared" si="55"/>
        <v>サムエル（箱無し）</v>
      </c>
      <c r="R32" s="32" t="str">
        <f t="shared" si="55"/>
        <v>サムエル（箱無し）</v>
      </c>
      <c r="S32" s="32" t="str">
        <f t="shared" si="55"/>
        <v>サムエル（箱無し）</v>
      </c>
      <c r="T32" s="32" t="str">
        <f t="shared" si="55"/>
        <v>サムエル（箱無し）</v>
      </c>
      <c r="U32" s="32" t="str">
        <f t="shared" si="55"/>
        <v>サムエル（箱無し）</v>
      </c>
      <c r="V32" s="32" t="str">
        <f t="shared" si="55"/>
        <v>サムエル（箱無し）</v>
      </c>
      <c r="W32" s="32" t="str">
        <f t="shared" si="55"/>
        <v>サムエル（箱無し）</v>
      </c>
      <c r="X32" s="32" t="str">
        <f t="shared" si="55"/>
        <v>サムエル（箱無し）</v>
      </c>
      <c r="Y32" s="32" t="str">
        <f t="shared" si="55"/>
        <v>サムエル（箱無し）</v>
      </c>
      <c r="Z32" s="32" t="str">
        <f t="shared" si="55"/>
        <v>サムエル（箱無し）</v>
      </c>
      <c r="AA32" s="32" t="str">
        <f t="shared" si="55"/>
        <v>サムエル（箱無し）</v>
      </c>
      <c r="AB32" s="32" t="str">
        <f t="shared" si="55"/>
        <v>サムエル（箱無し）</v>
      </c>
      <c r="AC32" s="32" t="str">
        <f>IF(AC27="","",AB32)</f>
        <v>サムエル（箱無し）</v>
      </c>
      <c r="AD32" s="32" t="str">
        <f t="shared" si="55"/>
        <v>サムエル（箱無し）</v>
      </c>
      <c r="AE32" s="32" t="str">
        <f t="shared" si="55"/>
        <v>サムエル（箱無し）</v>
      </c>
      <c r="AF32" s="32" t="str">
        <f t="shared" si="55"/>
        <v>サムエル（箱無し）</v>
      </c>
      <c r="AG32" s="32" t="str">
        <f t="shared" si="55"/>
        <v>サムエル（箱無し）</v>
      </c>
      <c r="AH32" s="32" t="str">
        <f t="shared" si="55"/>
        <v/>
      </c>
      <c r="AI32" s="32" t="str">
        <f t="shared" si="55"/>
        <v/>
      </c>
      <c r="AJ32" s="32" t="str">
        <f t="shared" si="55"/>
        <v/>
      </c>
      <c r="AK32" s="32" t="str">
        <f t="shared" si="55"/>
        <v/>
      </c>
      <c r="AL32" s="32" t="str">
        <f t="shared" si="55"/>
        <v/>
      </c>
      <c r="AM32" s="32" t="str">
        <f t="shared" si="55"/>
        <v/>
      </c>
      <c r="AN32" s="32" t="str">
        <f t="shared" si="55"/>
        <v/>
      </c>
      <c r="AO32" s="32" t="str">
        <f t="shared" ref="AO32:AS32" si="56">IF(AO27="","",AN32)</f>
        <v/>
      </c>
      <c r="AP32" s="32" t="str">
        <f t="shared" si="56"/>
        <v/>
      </c>
      <c r="AQ32" s="32" t="str">
        <f t="shared" si="56"/>
        <v/>
      </c>
      <c r="AR32" s="32" t="str">
        <f t="shared" si="56"/>
        <v/>
      </c>
      <c r="AS32" s="32" t="str">
        <f t="shared" si="56"/>
        <v/>
      </c>
    </row>
    <row r="33" spans="1:45">
      <c r="A33" s="7">
        <f>AVERAGE(C34:AS34)*30*100</f>
        <v>46548.387096774197</v>
      </c>
      <c r="B33" s="30" t="s">
        <v>14</v>
      </c>
      <c r="C33" s="65"/>
      <c r="D33" s="29"/>
      <c r="E33" s="29"/>
      <c r="F33" s="29"/>
      <c r="G33" s="54"/>
      <c r="H33" s="29"/>
      <c r="I33" s="29"/>
      <c r="J33" s="54"/>
      <c r="K33" s="29"/>
      <c r="L33" s="29"/>
      <c r="M33" s="54"/>
      <c r="N33" s="29"/>
      <c r="O33" s="29"/>
      <c r="P33" s="29"/>
      <c r="Q33" s="54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 spans="1:45">
      <c r="A34" s="7">
        <f>SUM(C34:AS34)</f>
        <v>481</v>
      </c>
      <c r="B34" s="27" t="s">
        <v>15</v>
      </c>
      <c r="C34" s="65">
        <v>0</v>
      </c>
      <c r="D34" s="26">
        <f t="shared" ref="D34:AN34" si="57">IF(D27="","",D27-C27)</f>
        <v>0</v>
      </c>
      <c r="E34" s="26">
        <f t="shared" si="57"/>
        <v>0</v>
      </c>
      <c r="F34" s="26">
        <f t="shared" si="57"/>
        <v>47</v>
      </c>
      <c r="G34" s="54">
        <f t="shared" si="57"/>
        <v>0</v>
      </c>
      <c r="H34" s="26">
        <f t="shared" si="57"/>
        <v>0</v>
      </c>
      <c r="I34" s="26">
        <f t="shared" si="57"/>
        <v>44</v>
      </c>
      <c r="J34" s="54">
        <f t="shared" si="57"/>
        <v>0</v>
      </c>
      <c r="K34" s="26">
        <f t="shared" si="57"/>
        <v>0</v>
      </c>
      <c r="L34" s="26">
        <f t="shared" si="57"/>
        <v>88</v>
      </c>
      <c r="M34" s="54">
        <f t="shared" si="57"/>
        <v>0</v>
      </c>
      <c r="N34" s="26">
        <f t="shared" si="57"/>
        <v>0</v>
      </c>
      <c r="O34" s="26">
        <f t="shared" si="57"/>
        <v>0</v>
      </c>
      <c r="P34" s="26">
        <f t="shared" si="57"/>
        <v>56</v>
      </c>
      <c r="Q34" s="54">
        <f t="shared" si="57"/>
        <v>0</v>
      </c>
      <c r="R34" s="26">
        <f t="shared" si="57"/>
        <v>0</v>
      </c>
      <c r="S34" s="26">
        <f t="shared" si="57"/>
        <v>78</v>
      </c>
      <c r="T34" s="26">
        <f t="shared" si="57"/>
        <v>0</v>
      </c>
      <c r="U34" s="26">
        <f t="shared" si="57"/>
        <v>0</v>
      </c>
      <c r="V34" s="26">
        <f t="shared" si="57"/>
        <v>0</v>
      </c>
      <c r="W34" s="26">
        <f t="shared" si="57"/>
        <v>33</v>
      </c>
      <c r="X34" s="26">
        <f t="shared" si="57"/>
        <v>0</v>
      </c>
      <c r="Y34" s="26">
        <f t="shared" si="57"/>
        <v>0</v>
      </c>
      <c r="Z34" s="26">
        <f t="shared" si="57"/>
        <v>62</v>
      </c>
      <c r="AA34" s="26">
        <f t="shared" si="57"/>
        <v>0</v>
      </c>
      <c r="AB34" s="26">
        <f t="shared" si="57"/>
        <v>0</v>
      </c>
      <c r="AC34" s="26">
        <f t="shared" si="57"/>
        <v>0</v>
      </c>
      <c r="AD34" s="26">
        <f t="shared" si="57"/>
        <v>38</v>
      </c>
      <c r="AE34" s="26">
        <f t="shared" si="57"/>
        <v>0</v>
      </c>
      <c r="AF34" s="26">
        <f t="shared" si="57"/>
        <v>0</v>
      </c>
      <c r="AG34" s="26">
        <f t="shared" si="57"/>
        <v>35</v>
      </c>
      <c r="AH34" s="26" t="str">
        <f t="shared" si="57"/>
        <v/>
      </c>
      <c r="AI34" s="26" t="str">
        <f t="shared" si="57"/>
        <v/>
      </c>
      <c r="AJ34" s="26" t="str">
        <f t="shared" si="57"/>
        <v/>
      </c>
      <c r="AK34" s="26" t="str">
        <f t="shared" si="57"/>
        <v/>
      </c>
      <c r="AL34" s="26" t="str">
        <f t="shared" si="57"/>
        <v/>
      </c>
      <c r="AM34" s="26" t="str">
        <f t="shared" si="57"/>
        <v/>
      </c>
      <c r="AN34" s="26" t="str">
        <f t="shared" si="57"/>
        <v/>
      </c>
      <c r="AO34" s="26" t="str">
        <f t="shared" ref="AO34:AS34" si="58">IF(AO27="","",AO27-AN27)</f>
        <v/>
      </c>
      <c r="AP34" s="26" t="str">
        <f t="shared" si="58"/>
        <v/>
      </c>
      <c r="AQ34" s="26" t="str">
        <f t="shared" si="58"/>
        <v/>
      </c>
      <c r="AR34" s="26" t="str">
        <f t="shared" si="58"/>
        <v/>
      </c>
      <c r="AS34" s="26" t="str">
        <f t="shared" si="58"/>
        <v/>
      </c>
    </row>
    <row r="35" spans="1:45">
      <c r="A35" s="7">
        <f>SUM(C35:AS35)</f>
        <v>34</v>
      </c>
      <c r="B35" s="27" t="s">
        <v>16</v>
      </c>
      <c r="C35" s="65">
        <v>0</v>
      </c>
      <c r="D35" s="26">
        <f t="shared" ref="D35:AN35" si="59">IF(D28="","",D28-C28)</f>
        <v>0</v>
      </c>
      <c r="E35" s="26">
        <f t="shared" si="59"/>
        <v>0</v>
      </c>
      <c r="F35" s="26">
        <f t="shared" si="59"/>
        <v>1</v>
      </c>
      <c r="G35" s="54">
        <f t="shared" si="59"/>
        <v>0</v>
      </c>
      <c r="H35" s="26">
        <f t="shared" si="59"/>
        <v>0</v>
      </c>
      <c r="I35" s="26">
        <f t="shared" si="59"/>
        <v>4</v>
      </c>
      <c r="J35" s="54">
        <f t="shared" si="59"/>
        <v>0</v>
      </c>
      <c r="K35" s="26">
        <f t="shared" si="59"/>
        <v>0</v>
      </c>
      <c r="L35" s="26">
        <f t="shared" si="59"/>
        <v>14</v>
      </c>
      <c r="M35" s="54">
        <f t="shared" si="59"/>
        <v>0</v>
      </c>
      <c r="N35" s="26">
        <f t="shared" si="59"/>
        <v>0</v>
      </c>
      <c r="O35" s="26">
        <f t="shared" si="59"/>
        <v>0</v>
      </c>
      <c r="P35" s="26">
        <f t="shared" si="59"/>
        <v>0</v>
      </c>
      <c r="Q35" s="54">
        <f t="shared" si="59"/>
        <v>0</v>
      </c>
      <c r="R35" s="26">
        <f t="shared" si="59"/>
        <v>0</v>
      </c>
      <c r="S35" s="26">
        <f t="shared" si="59"/>
        <v>2</v>
      </c>
      <c r="T35" s="26">
        <f t="shared" si="59"/>
        <v>0</v>
      </c>
      <c r="U35" s="26">
        <f t="shared" si="59"/>
        <v>0</v>
      </c>
      <c r="V35" s="26">
        <f t="shared" si="59"/>
        <v>0</v>
      </c>
      <c r="W35" s="26">
        <f t="shared" si="59"/>
        <v>3</v>
      </c>
      <c r="X35" s="26">
        <f t="shared" si="59"/>
        <v>0</v>
      </c>
      <c r="Y35" s="26">
        <f t="shared" si="59"/>
        <v>0</v>
      </c>
      <c r="Z35" s="26">
        <f t="shared" si="59"/>
        <v>4</v>
      </c>
      <c r="AA35" s="26">
        <f t="shared" si="59"/>
        <v>0</v>
      </c>
      <c r="AB35" s="26">
        <f t="shared" si="59"/>
        <v>0</v>
      </c>
      <c r="AC35" s="26">
        <f t="shared" si="59"/>
        <v>0</v>
      </c>
      <c r="AD35" s="26">
        <f t="shared" si="59"/>
        <v>4</v>
      </c>
      <c r="AE35" s="26">
        <f t="shared" si="59"/>
        <v>0</v>
      </c>
      <c r="AF35" s="26">
        <f t="shared" si="59"/>
        <v>0</v>
      </c>
      <c r="AG35" s="26">
        <f t="shared" si="59"/>
        <v>2</v>
      </c>
      <c r="AH35" s="26" t="str">
        <f t="shared" si="59"/>
        <v/>
      </c>
      <c r="AI35" s="26" t="str">
        <f t="shared" si="59"/>
        <v/>
      </c>
      <c r="AJ35" s="26" t="str">
        <f t="shared" si="59"/>
        <v/>
      </c>
      <c r="AK35" s="26" t="str">
        <f t="shared" si="59"/>
        <v/>
      </c>
      <c r="AL35" s="26" t="str">
        <f t="shared" si="59"/>
        <v/>
      </c>
      <c r="AM35" s="26" t="str">
        <f t="shared" si="59"/>
        <v/>
      </c>
      <c r="AN35" s="26" t="str">
        <f t="shared" si="59"/>
        <v/>
      </c>
      <c r="AO35" s="26" t="str">
        <f t="shared" ref="AO35:AS35" si="60">IF(AO28="","",AO28-AN28)</f>
        <v/>
      </c>
      <c r="AP35" s="26" t="str">
        <f t="shared" si="60"/>
        <v/>
      </c>
      <c r="AQ35" s="26" t="str">
        <f t="shared" si="60"/>
        <v/>
      </c>
      <c r="AR35" s="26" t="str">
        <f t="shared" si="60"/>
        <v/>
      </c>
      <c r="AS35" s="26" t="str">
        <f t="shared" si="60"/>
        <v/>
      </c>
    </row>
    <row r="36" spans="1:45">
      <c r="A36" s="7">
        <f>SUM(C36:AS36)</f>
        <v>30</v>
      </c>
      <c r="B36" s="27" t="s">
        <v>17</v>
      </c>
      <c r="C36" s="65">
        <v>0</v>
      </c>
      <c r="D36" s="26">
        <f t="shared" ref="D36:AN36" si="61">IF(D29="","",C29+C30-D29)</f>
        <v>0</v>
      </c>
      <c r="E36" s="26">
        <f t="shared" si="61"/>
        <v>0</v>
      </c>
      <c r="F36" s="26">
        <f t="shared" si="61"/>
        <v>1</v>
      </c>
      <c r="G36" s="54">
        <f t="shared" si="61"/>
        <v>0</v>
      </c>
      <c r="H36" s="26">
        <f t="shared" si="61"/>
        <v>0</v>
      </c>
      <c r="I36" s="26">
        <f t="shared" si="61"/>
        <v>4</v>
      </c>
      <c r="J36" s="54">
        <f t="shared" si="61"/>
        <v>0</v>
      </c>
      <c r="K36" s="26">
        <f t="shared" si="61"/>
        <v>0</v>
      </c>
      <c r="L36" s="26">
        <f t="shared" si="61"/>
        <v>14</v>
      </c>
      <c r="M36" s="54">
        <f t="shared" si="61"/>
        <v>0</v>
      </c>
      <c r="N36" s="26">
        <f t="shared" si="61"/>
        <v>0</v>
      </c>
      <c r="O36" s="26">
        <f t="shared" si="61"/>
        <v>0</v>
      </c>
      <c r="P36" s="26">
        <f t="shared" si="61"/>
        <v>0</v>
      </c>
      <c r="Q36" s="54">
        <f t="shared" si="61"/>
        <v>0</v>
      </c>
      <c r="R36" s="26">
        <f t="shared" si="61"/>
        <v>0</v>
      </c>
      <c r="S36" s="26">
        <f t="shared" si="61"/>
        <v>2</v>
      </c>
      <c r="T36" s="26">
        <f t="shared" si="61"/>
        <v>0</v>
      </c>
      <c r="U36" s="26">
        <f t="shared" si="61"/>
        <v>0</v>
      </c>
      <c r="V36" s="26">
        <f t="shared" si="61"/>
        <v>0</v>
      </c>
      <c r="W36" s="26">
        <f t="shared" si="61"/>
        <v>0</v>
      </c>
      <c r="X36" s="26">
        <f t="shared" si="61"/>
        <v>0</v>
      </c>
      <c r="Y36" s="26">
        <f t="shared" si="61"/>
        <v>0</v>
      </c>
      <c r="Z36" s="26">
        <f t="shared" si="61"/>
        <v>2</v>
      </c>
      <c r="AA36" s="26">
        <f t="shared" si="61"/>
        <v>0</v>
      </c>
      <c r="AB36" s="26">
        <f t="shared" si="61"/>
        <v>0</v>
      </c>
      <c r="AC36" s="26">
        <f t="shared" si="61"/>
        <v>0</v>
      </c>
      <c r="AD36" s="26">
        <f t="shared" si="61"/>
        <v>4</v>
      </c>
      <c r="AE36" s="26">
        <f t="shared" si="61"/>
        <v>0</v>
      </c>
      <c r="AF36" s="26">
        <f t="shared" si="61"/>
        <v>0</v>
      </c>
      <c r="AG36" s="26">
        <f t="shared" si="61"/>
        <v>3</v>
      </c>
      <c r="AH36" s="26" t="str">
        <f t="shared" si="61"/>
        <v/>
      </c>
      <c r="AI36" s="26" t="str">
        <f t="shared" si="61"/>
        <v/>
      </c>
      <c r="AJ36" s="26" t="str">
        <f t="shared" si="61"/>
        <v/>
      </c>
      <c r="AK36" s="26" t="str">
        <f t="shared" si="61"/>
        <v/>
      </c>
      <c r="AL36" s="26" t="str">
        <f t="shared" si="61"/>
        <v/>
      </c>
      <c r="AM36" s="26" t="str">
        <f t="shared" si="61"/>
        <v/>
      </c>
      <c r="AN36" s="26" t="str">
        <f t="shared" si="61"/>
        <v/>
      </c>
      <c r="AO36" s="26" t="str">
        <f t="shared" ref="AO36:AS36" si="62">IF(AO29="","",AN29+AN30-AO29)</f>
        <v/>
      </c>
      <c r="AP36" s="26" t="str">
        <f t="shared" si="62"/>
        <v/>
      </c>
      <c r="AQ36" s="26" t="str">
        <f t="shared" si="62"/>
        <v/>
      </c>
      <c r="AR36" s="26" t="str">
        <f t="shared" si="62"/>
        <v/>
      </c>
      <c r="AS36" s="26" t="str">
        <f t="shared" si="62"/>
        <v/>
      </c>
    </row>
    <row r="37" spans="1:45">
      <c r="A37" s="7">
        <f>SUM(C37:AS37)</f>
        <v>12000</v>
      </c>
      <c r="B37" s="27" t="s">
        <v>18</v>
      </c>
      <c r="C37" s="65">
        <v>0</v>
      </c>
      <c r="D37" s="26">
        <f t="shared" ref="D37:AN37" si="63">IF(D27="","",D36*D31)</f>
        <v>0</v>
      </c>
      <c r="E37" s="26">
        <f t="shared" si="63"/>
        <v>0</v>
      </c>
      <c r="F37" s="26">
        <f t="shared" si="63"/>
        <v>400</v>
      </c>
      <c r="G37" s="54">
        <f t="shared" si="63"/>
        <v>0</v>
      </c>
      <c r="H37" s="26">
        <f t="shared" si="63"/>
        <v>0</v>
      </c>
      <c r="I37" s="26">
        <f t="shared" si="63"/>
        <v>1600</v>
      </c>
      <c r="J37" s="54">
        <f t="shared" si="63"/>
        <v>0</v>
      </c>
      <c r="K37" s="26">
        <f t="shared" si="63"/>
        <v>0</v>
      </c>
      <c r="L37" s="26">
        <f t="shared" si="63"/>
        <v>5600</v>
      </c>
      <c r="M37" s="54">
        <f t="shared" si="63"/>
        <v>0</v>
      </c>
      <c r="N37" s="26">
        <f t="shared" si="63"/>
        <v>0</v>
      </c>
      <c r="O37" s="26">
        <f t="shared" si="63"/>
        <v>0</v>
      </c>
      <c r="P37" s="26">
        <f t="shared" si="63"/>
        <v>0</v>
      </c>
      <c r="Q37" s="54">
        <f t="shared" si="63"/>
        <v>0</v>
      </c>
      <c r="R37" s="26">
        <f t="shared" si="63"/>
        <v>0</v>
      </c>
      <c r="S37" s="26">
        <f t="shared" si="63"/>
        <v>800</v>
      </c>
      <c r="T37" s="26">
        <f t="shared" si="63"/>
        <v>0</v>
      </c>
      <c r="U37" s="26">
        <f t="shared" si="63"/>
        <v>0</v>
      </c>
      <c r="V37" s="26">
        <f t="shared" si="63"/>
        <v>0</v>
      </c>
      <c r="W37" s="26">
        <f t="shared" si="63"/>
        <v>0</v>
      </c>
      <c r="X37" s="26">
        <f t="shared" si="63"/>
        <v>0</v>
      </c>
      <c r="Y37" s="26">
        <f t="shared" si="63"/>
        <v>0</v>
      </c>
      <c r="Z37" s="26">
        <f t="shared" si="63"/>
        <v>800</v>
      </c>
      <c r="AA37" s="26">
        <f t="shared" si="63"/>
        <v>0</v>
      </c>
      <c r="AB37" s="26">
        <f t="shared" si="63"/>
        <v>0</v>
      </c>
      <c r="AC37" s="26">
        <f t="shared" si="63"/>
        <v>0</v>
      </c>
      <c r="AD37" s="26">
        <f t="shared" si="63"/>
        <v>1600</v>
      </c>
      <c r="AE37" s="26">
        <f t="shared" si="63"/>
        <v>0</v>
      </c>
      <c r="AF37" s="26">
        <f t="shared" si="63"/>
        <v>0</v>
      </c>
      <c r="AG37" s="26">
        <f t="shared" si="63"/>
        <v>1200</v>
      </c>
      <c r="AH37" s="26" t="str">
        <f t="shared" si="63"/>
        <v/>
      </c>
      <c r="AI37" s="26" t="str">
        <f t="shared" si="63"/>
        <v/>
      </c>
      <c r="AJ37" s="26" t="str">
        <f t="shared" si="63"/>
        <v/>
      </c>
      <c r="AK37" s="26" t="str">
        <f t="shared" si="63"/>
        <v/>
      </c>
      <c r="AL37" s="26" t="str">
        <f t="shared" si="63"/>
        <v/>
      </c>
      <c r="AM37" s="26" t="str">
        <f t="shared" si="63"/>
        <v/>
      </c>
      <c r="AN37" s="26" t="str">
        <f t="shared" si="63"/>
        <v/>
      </c>
      <c r="AO37" s="26" t="str">
        <f t="shared" ref="AO37:AS37" si="64">IF(AO27="","",AO36*AO31)</f>
        <v/>
      </c>
      <c r="AP37" s="26" t="str">
        <f t="shared" si="64"/>
        <v/>
      </c>
      <c r="AQ37" s="26" t="str">
        <f t="shared" si="64"/>
        <v/>
      </c>
      <c r="AR37" s="26" t="str">
        <f t="shared" si="64"/>
        <v/>
      </c>
      <c r="AS37" s="26" t="str">
        <f t="shared" si="64"/>
        <v/>
      </c>
    </row>
    <row r="38" spans="1:45" ht="12" thickBot="1">
      <c r="A38" s="4">
        <f>IF(A37="","",A37/(A34*100))</f>
        <v>0.24948024948024949</v>
      </c>
      <c r="B38" s="24" t="s">
        <v>20</v>
      </c>
      <c r="C38" s="67" t="s">
        <v>21</v>
      </c>
      <c r="D38" s="23" t="str">
        <f t="shared" ref="D38:AN38" si="65">IF(D37="","",IF(D37=0,"",D37/(D34*100)))</f>
        <v/>
      </c>
      <c r="E38" s="23" t="str">
        <f t="shared" si="65"/>
        <v/>
      </c>
      <c r="F38" s="23">
        <f t="shared" si="65"/>
        <v>8.5106382978723402E-2</v>
      </c>
      <c r="G38" s="52" t="str">
        <f t="shared" si="65"/>
        <v/>
      </c>
      <c r="H38" s="23" t="str">
        <f t="shared" si="65"/>
        <v/>
      </c>
      <c r="I38" s="23">
        <f t="shared" si="65"/>
        <v>0.36363636363636365</v>
      </c>
      <c r="J38" s="52" t="str">
        <f t="shared" si="65"/>
        <v/>
      </c>
      <c r="K38" s="23" t="str">
        <f t="shared" si="65"/>
        <v/>
      </c>
      <c r="L38" s="23">
        <f t="shared" si="65"/>
        <v>0.63636363636363635</v>
      </c>
      <c r="M38" s="52" t="str">
        <f t="shared" si="65"/>
        <v/>
      </c>
      <c r="N38" s="23" t="str">
        <f t="shared" si="65"/>
        <v/>
      </c>
      <c r="O38" s="23" t="str">
        <f t="shared" si="65"/>
        <v/>
      </c>
      <c r="P38" s="23" t="str">
        <f t="shared" si="65"/>
        <v/>
      </c>
      <c r="Q38" s="52" t="str">
        <f t="shared" si="65"/>
        <v/>
      </c>
      <c r="R38" s="23" t="str">
        <f t="shared" si="65"/>
        <v/>
      </c>
      <c r="S38" s="23">
        <f t="shared" si="65"/>
        <v>0.10256410256410256</v>
      </c>
      <c r="T38" s="23" t="str">
        <f t="shared" si="65"/>
        <v/>
      </c>
      <c r="U38" s="23" t="str">
        <f t="shared" si="65"/>
        <v/>
      </c>
      <c r="V38" s="23" t="str">
        <f t="shared" si="65"/>
        <v/>
      </c>
      <c r="W38" s="23" t="str">
        <f t="shared" si="65"/>
        <v/>
      </c>
      <c r="X38" s="23" t="str">
        <f t="shared" si="65"/>
        <v/>
      </c>
      <c r="Y38" s="23" t="str">
        <f t="shared" si="65"/>
        <v/>
      </c>
      <c r="Z38" s="23">
        <f t="shared" si="65"/>
        <v>0.12903225806451613</v>
      </c>
      <c r="AA38" s="23" t="str">
        <f t="shared" si="65"/>
        <v/>
      </c>
      <c r="AB38" s="23" t="str">
        <f t="shared" si="65"/>
        <v/>
      </c>
      <c r="AC38" s="23" t="str">
        <f t="shared" si="65"/>
        <v/>
      </c>
      <c r="AD38" s="23">
        <f t="shared" si="65"/>
        <v>0.42105263157894735</v>
      </c>
      <c r="AE38" s="23" t="str">
        <f t="shared" si="65"/>
        <v/>
      </c>
      <c r="AF38" s="23" t="str">
        <f t="shared" si="65"/>
        <v/>
      </c>
      <c r="AG38" s="23">
        <f t="shared" si="65"/>
        <v>0.34285714285714286</v>
      </c>
      <c r="AH38" s="23" t="str">
        <f t="shared" si="65"/>
        <v/>
      </c>
      <c r="AI38" s="23" t="str">
        <f t="shared" si="65"/>
        <v/>
      </c>
      <c r="AJ38" s="23" t="str">
        <f t="shared" si="65"/>
        <v/>
      </c>
      <c r="AK38" s="23" t="str">
        <f t="shared" si="65"/>
        <v/>
      </c>
      <c r="AL38" s="23" t="str">
        <f t="shared" si="65"/>
        <v/>
      </c>
      <c r="AM38" s="23" t="str">
        <f t="shared" si="65"/>
        <v/>
      </c>
      <c r="AN38" s="23" t="str">
        <f t="shared" si="65"/>
        <v/>
      </c>
      <c r="AO38" s="23" t="str">
        <f t="shared" ref="AO38:AS38" si="66">IF(AO37="","",IF(AO37=0,"",AO37/(AO34*100)))</f>
        <v/>
      </c>
      <c r="AP38" s="23" t="str">
        <f t="shared" si="66"/>
        <v/>
      </c>
      <c r="AQ38" s="23" t="str">
        <f t="shared" si="66"/>
        <v/>
      </c>
      <c r="AR38" s="23" t="str">
        <f t="shared" si="66"/>
        <v/>
      </c>
      <c r="AS38" s="23" t="str">
        <f t="shared" si="66"/>
        <v/>
      </c>
    </row>
    <row r="39" spans="1:45">
      <c r="A39" s="22" t="s">
        <v>78</v>
      </c>
      <c r="B39" s="21" t="s">
        <v>2</v>
      </c>
      <c r="C39" s="73">
        <v>13690</v>
      </c>
      <c r="D39" s="20">
        <f>IF(D$3="","",C39)</f>
        <v>13690</v>
      </c>
      <c r="E39" s="20">
        <f>IF(E$3="","",D39)</f>
        <v>13690</v>
      </c>
      <c r="F39" s="20">
        <v>13792</v>
      </c>
      <c r="G39" s="130">
        <f>IF(G$3="","",F39)</f>
        <v>13792</v>
      </c>
      <c r="H39" s="20">
        <f>IF(H$3="","",G39)</f>
        <v>13792</v>
      </c>
      <c r="I39" s="20">
        <v>13798</v>
      </c>
      <c r="J39" s="130">
        <f>IF(J$3="","",I39)</f>
        <v>13798</v>
      </c>
      <c r="K39" s="20">
        <f>IF(K$3="","",J39)</f>
        <v>13798</v>
      </c>
      <c r="L39" s="20">
        <v>13884</v>
      </c>
      <c r="M39" s="130">
        <f t="shared" ref="M39:O40" si="67">IF(M$3="","",L39)</f>
        <v>13884</v>
      </c>
      <c r="N39" s="20">
        <f t="shared" si="67"/>
        <v>13884</v>
      </c>
      <c r="O39" s="20">
        <f t="shared" si="67"/>
        <v>13884</v>
      </c>
      <c r="P39" s="20">
        <v>13908</v>
      </c>
      <c r="Q39" s="130">
        <f>IF(Q$3="","",P39)</f>
        <v>13908</v>
      </c>
      <c r="R39" s="20">
        <f>IF(R$3="","",Q39)</f>
        <v>13908</v>
      </c>
      <c r="S39" s="20">
        <v>13954</v>
      </c>
      <c r="T39" s="20">
        <f t="shared" ref="T39:AN39" si="68">IF(T$3="","",S39)</f>
        <v>13954</v>
      </c>
      <c r="U39" s="20">
        <f t="shared" si="68"/>
        <v>13954</v>
      </c>
      <c r="V39" s="20">
        <f t="shared" si="68"/>
        <v>13954</v>
      </c>
      <c r="W39" s="20">
        <v>13988</v>
      </c>
      <c r="X39" s="20">
        <f t="shared" si="68"/>
        <v>13988</v>
      </c>
      <c r="Y39" s="20">
        <f t="shared" si="68"/>
        <v>13988</v>
      </c>
      <c r="Z39" s="20">
        <v>14043</v>
      </c>
      <c r="AA39" s="20">
        <f t="shared" si="68"/>
        <v>14043</v>
      </c>
      <c r="AB39" s="20">
        <f t="shared" si="68"/>
        <v>14043</v>
      </c>
      <c r="AC39" s="20">
        <f t="shared" si="68"/>
        <v>14043</v>
      </c>
      <c r="AD39" s="20">
        <v>14080</v>
      </c>
      <c r="AE39" s="20">
        <f t="shared" si="68"/>
        <v>14080</v>
      </c>
      <c r="AF39" s="20">
        <f t="shared" si="68"/>
        <v>14080</v>
      </c>
      <c r="AG39" s="20">
        <v>14132</v>
      </c>
      <c r="AH39" s="20" t="str">
        <f t="shared" si="68"/>
        <v/>
      </c>
      <c r="AI39" s="20" t="str">
        <f t="shared" si="68"/>
        <v/>
      </c>
      <c r="AJ39" s="20" t="str">
        <f t="shared" si="68"/>
        <v/>
      </c>
      <c r="AK39" s="20" t="str">
        <f t="shared" si="68"/>
        <v/>
      </c>
      <c r="AL39" s="20" t="str">
        <f t="shared" si="68"/>
        <v/>
      </c>
      <c r="AM39" s="20" t="str">
        <f t="shared" si="68"/>
        <v/>
      </c>
      <c r="AN39" s="20" t="str">
        <f t="shared" si="68"/>
        <v/>
      </c>
      <c r="AO39" s="20" t="str">
        <f t="shared" ref="AO39:AS39" si="69">IF(AO$3="","",AN39)</f>
        <v/>
      </c>
      <c r="AP39" s="20" t="str">
        <f t="shared" si="69"/>
        <v/>
      </c>
      <c r="AQ39" s="20" t="str">
        <f t="shared" si="69"/>
        <v/>
      </c>
      <c r="AR39" s="20" t="str">
        <f t="shared" si="69"/>
        <v/>
      </c>
      <c r="AS39" s="20" t="str">
        <f t="shared" si="69"/>
        <v/>
      </c>
    </row>
    <row r="40" spans="1:45">
      <c r="A40" s="16" t="s">
        <v>3</v>
      </c>
      <c r="B40" s="9" t="s">
        <v>4</v>
      </c>
      <c r="C40" s="74">
        <v>323</v>
      </c>
      <c r="D40" s="8">
        <f>IF(D$3="","",C40)</f>
        <v>323</v>
      </c>
      <c r="E40" s="8">
        <f>IF(E$3="","",D40)</f>
        <v>323</v>
      </c>
      <c r="F40" s="8">
        <v>324</v>
      </c>
      <c r="G40" s="59">
        <f>IF(G$3="","",F40)</f>
        <v>324</v>
      </c>
      <c r="H40" s="8">
        <f>IF(H$3="","",G40)</f>
        <v>324</v>
      </c>
      <c r="I40" s="8">
        <v>325</v>
      </c>
      <c r="J40" s="59">
        <f>IF(J$3="","",I40)</f>
        <v>325</v>
      </c>
      <c r="K40" s="8">
        <f>IF(K$3="","",J40)</f>
        <v>325</v>
      </c>
      <c r="L40" s="8">
        <v>326</v>
      </c>
      <c r="M40" s="59">
        <f t="shared" si="67"/>
        <v>326</v>
      </c>
      <c r="N40" s="8">
        <f t="shared" si="67"/>
        <v>326</v>
      </c>
      <c r="O40" s="8">
        <f t="shared" si="67"/>
        <v>326</v>
      </c>
      <c r="P40" s="8">
        <v>328</v>
      </c>
      <c r="Q40" s="59">
        <f>IF(Q$3="","",P40)</f>
        <v>328</v>
      </c>
      <c r="R40" s="8">
        <f>IF(R$3="","",Q40)</f>
        <v>328</v>
      </c>
      <c r="S40" s="8">
        <f>IF(S$3="","",R40)</f>
        <v>328</v>
      </c>
      <c r="T40" s="8">
        <f t="shared" ref="T40:AN40" si="70">IF(T$3="","",S40)</f>
        <v>328</v>
      </c>
      <c r="U40" s="8">
        <f t="shared" si="70"/>
        <v>328</v>
      </c>
      <c r="V40" s="8">
        <f t="shared" si="70"/>
        <v>328</v>
      </c>
      <c r="W40" s="8">
        <v>330</v>
      </c>
      <c r="X40" s="8">
        <f t="shared" si="70"/>
        <v>330</v>
      </c>
      <c r="Y40" s="8">
        <f t="shared" si="70"/>
        <v>330</v>
      </c>
      <c r="Z40" s="8">
        <v>331</v>
      </c>
      <c r="AA40" s="8">
        <f t="shared" si="70"/>
        <v>331</v>
      </c>
      <c r="AB40" s="8">
        <f t="shared" si="70"/>
        <v>331</v>
      </c>
      <c r="AC40" s="8">
        <f t="shared" si="70"/>
        <v>331</v>
      </c>
      <c r="AD40" s="8">
        <v>332</v>
      </c>
      <c r="AE40" s="8">
        <f t="shared" si="70"/>
        <v>332</v>
      </c>
      <c r="AF40" s="8">
        <f t="shared" si="70"/>
        <v>332</v>
      </c>
      <c r="AG40" s="8">
        <f t="shared" si="70"/>
        <v>332</v>
      </c>
      <c r="AH40" s="8" t="str">
        <f t="shared" si="70"/>
        <v/>
      </c>
      <c r="AI40" s="8" t="str">
        <f t="shared" si="70"/>
        <v/>
      </c>
      <c r="AJ40" s="8" t="str">
        <f t="shared" si="70"/>
        <v/>
      </c>
      <c r="AK40" s="8" t="str">
        <f t="shared" si="70"/>
        <v/>
      </c>
      <c r="AL40" s="8" t="str">
        <f t="shared" si="70"/>
        <v/>
      </c>
      <c r="AM40" s="8" t="str">
        <f t="shared" si="70"/>
        <v/>
      </c>
      <c r="AN40" s="8" t="str">
        <f t="shared" si="70"/>
        <v/>
      </c>
      <c r="AO40" s="8" t="str">
        <f t="shared" ref="AO40:AS40" si="71">IF(AO$3="","",AN40)</f>
        <v/>
      </c>
      <c r="AP40" s="8" t="str">
        <f t="shared" si="71"/>
        <v/>
      </c>
      <c r="AQ40" s="8" t="str">
        <f t="shared" si="71"/>
        <v/>
      </c>
      <c r="AR40" s="8" t="str">
        <f t="shared" si="71"/>
        <v/>
      </c>
      <c r="AS40" s="8" t="str">
        <f t="shared" si="71"/>
        <v/>
      </c>
    </row>
    <row r="41" spans="1:45">
      <c r="A41" s="15">
        <v>1</v>
      </c>
      <c r="B41" s="9" t="s">
        <v>5</v>
      </c>
      <c r="C41" s="74">
        <v>5</v>
      </c>
      <c r="D41" s="8">
        <f>IF(D39="","",(C41+C42))</f>
        <v>5</v>
      </c>
      <c r="E41" s="8">
        <f>IF(E39="","",(D41+D42))</f>
        <v>5</v>
      </c>
      <c r="F41" s="8">
        <v>4</v>
      </c>
      <c r="G41" s="59">
        <f>IF(G39="","",(F41+F42))</f>
        <v>6</v>
      </c>
      <c r="H41" s="8">
        <f>IF(H39="","",(G41+G42))</f>
        <v>6</v>
      </c>
      <c r="I41" s="8">
        <v>5</v>
      </c>
      <c r="J41" s="59">
        <f t="shared" ref="J41:O41" si="72">IF(J39="","",(I41+I42))</f>
        <v>5</v>
      </c>
      <c r="K41" s="8">
        <f t="shared" si="72"/>
        <v>5</v>
      </c>
      <c r="L41" s="8">
        <f t="shared" si="72"/>
        <v>5</v>
      </c>
      <c r="M41" s="59">
        <f t="shared" si="72"/>
        <v>5</v>
      </c>
      <c r="N41" s="8">
        <f t="shared" si="72"/>
        <v>5</v>
      </c>
      <c r="O41" s="8">
        <f t="shared" si="72"/>
        <v>5</v>
      </c>
      <c r="P41" s="8">
        <v>3</v>
      </c>
      <c r="Q41" s="59">
        <f t="shared" ref="Q41:AN41" si="73">IF(Q39="","",(P41+P42))</f>
        <v>6</v>
      </c>
      <c r="R41" s="8">
        <f t="shared" si="73"/>
        <v>6</v>
      </c>
      <c r="S41" s="8">
        <f t="shared" si="73"/>
        <v>6</v>
      </c>
      <c r="T41" s="8">
        <f t="shared" si="73"/>
        <v>6</v>
      </c>
      <c r="U41" s="8">
        <f t="shared" si="73"/>
        <v>6</v>
      </c>
      <c r="V41" s="8">
        <f t="shared" si="73"/>
        <v>6</v>
      </c>
      <c r="W41" s="8">
        <v>4</v>
      </c>
      <c r="X41" s="8">
        <f t="shared" si="73"/>
        <v>5</v>
      </c>
      <c r="Y41" s="8">
        <f t="shared" si="73"/>
        <v>5</v>
      </c>
      <c r="Z41" s="8">
        <v>4</v>
      </c>
      <c r="AA41" s="8">
        <f t="shared" si="73"/>
        <v>5</v>
      </c>
      <c r="AB41" s="8">
        <f t="shared" si="73"/>
        <v>5</v>
      </c>
      <c r="AC41" s="8">
        <f t="shared" si="73"/>
        <v>5</v>
      </c>
      <c r="AD41" s="8">
        <v>4</v>
      </c>
      <c r="AE41" s="8">
        <f t="shared" si="73"/>
        <v>6</v>
      </c>
      <c r="AF41" s="8">
        <f t="shared" si="73"/>
        <v>6</v>
      </c>
      <c r="AG41" s="8">
        <f t="shared" si="73"/>
        <v>6</v>
      </c>
      <c r="AH41" s="8" t="str">
        <f t="shared" si="73"/>
        <v/>
      </c>
      <c r="AI41" s="8" t="str">
        <f t="shared" si="73"/>
        <v/>
      </c>
      <c r="AJ41" s="8" t="str">
        <f t="shared" si="73"/>
        <v/>
      </c>
      <c r="AK41" s="8" t="str">
        <f t="shared" si="73"/>
        <v/>
      </c>
      <c r="AL41" s="8" t="str">
        <f t="shared" si="73"/>
        <v/>
      </c>
      <c r="AM41" s="8" t="str">
        <f t="shared" si="73"/>
        <v/>
      </c>
      <c r="AN41" s="8" t="str">
        <f t="shared" si="73"/>
        <v/>
      </c>
      <c r="AO41" s="8" t="str">
        <f t="shared" ref="AO41:AS41" si="74">IF(AO39="","",(AN41+AN42))</f>
        <v/>
      </c>
      <c r="AP41" s="8" t="str">
        <f t="shared" si="74"/>
        <v/>
      </c>
      <c r="AQ41" s="8" t="str">
        <f t="shared" si="74"/>
        <v/>
      </c>
      <c r="AR41" s="8" t="str">
        <f t="shared" si="74"/>
        <v/>
      </c>
      <c r="AS41" s="8" t="str">
        <f t="shared" si="74"/>
        <v/>
      </c>
    </row>
    <row r="42" spans="1:45">
      <c r="A42" s="101" t="s">
        <v>6</v>
      </c>
      <c r="B42" s="9" t="s">
        <v>7</v>
      </c>
      <c r="C42" s="74"/>
      <c r="D42" s="8"/>
      <c r="E42" s="8"/>
      <c r="F42" s="8">
        <v>2</v>
      </c>
      <c r="G42" s="59"/>
      <c r="H42" s="8"/>
      <c r="I42" s="8"/>
      <c r="J42" s="59"/>
      <c r="K42" s="8"/>
      <c r="L42" s="8"/>
      <c r="M42" s="59"/>
      <c r="N42" s="8"/>
      <c r="O42" s="8"/>
      <c r="P42" s="8">
        <v>3</v>
      </c>
      <c r="Q42" s="59"/>
      <c r="R42" s="8"/>
      <c r="S42" s="8"/>
      <c r="T42" s="8"/>
      <c r="U42" s="8"/>
      <c r="V42" s="8"/>
      <c r="W42" s="8">
        <v>1</v>
      </c>
      <c r="X42" s="8"/>
      <c r="Y42" s="8"/>
      <c r="Z42" s="8">
        <v>1</v>
      </c>
      <c r="AA42" s="8"/>
      <c r="AB42" s="8"/>
      <c r="AC42" s="8"/>
      <c r="AD42" s="8">
        <v>2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>
      <c r="A43" s="102">
        <f>+(A46+A58+A70+A82)*100</f>
        <v>153900</v>
      </c>
      <c r="B43" s="9" t="s">
        <v>8</v>
      </c>
      <c r="C43" s="74">
        <v>750</v>
      </c>
      <c r="D43" s="8">
        <f t="shared" ref="D43:AN43" si="75">IF(D39="","",C43)</f>
        <v>750</v>
      </c>
      <c r="E43" s="8">
        <f t="shared" si="75"/>
        <v>750</v>
      </c>
      <c r="F43" s="8">
        <f t="shared" si="75"/>
        <v>750</v>
      </c>
      <c r="G43" s="59">
        <f t="shared" si="75"/>
        <v>750</v>
      </c>
      <c r="H43" s="8">
        <f t="shared" si="75"/>
        <v>750</v>
      </c>
      <c r="I43" s="8">
        <f t="shared" si="75"/>
        <v>750</v>
      </c>
      <c r="J43" s="59">
        <f t="shared" si="75"/>
        <v>750</v>
      </c>
      <c r="K43" s="8">
        <f t="shared" si="75"/>
        <v>750</v>
      </c>
      <c r="L43" s="8">
        <f t="shared" si="75"/>
        <v>750</v>
      </c>
      <c r="M43" s="59">
        <f t="shared" si="75"/>
        <v>750</v>
      </c>
      <c r="N43" s="8">
        <f t="shared" si="75"/>
        <v>750</v>
      </c>
      <c r="O43" s="8">
        <f t="shared" si="75"/>
        <v>750</v>
      </c>
      <c r="P43" s="8">
        <f t="shared" si="75"/>
        <v>750</v>
      </c>
      <c r="Q43" s="59">
        <f t="shared" si="75"/>
        <v>750</v>
      </c>
      <c r="R43" s="8">
        <f t="shared" si="75"/>
        <v>750</v>
      </c>
      <c r="S43" s="8">
        <f t="shared" si="75"/>
        <v>750</v>
      </c>
      <c r="T43" s="8">
        <f t="shared" si="75"/>
        <v>750</v>
      </c>
      <c r="U43" s="8">
        <f t="shared" si="75"/>
        <v>750</v>
      </c>
      <c r="V43" s="8">
        <f t="shared" si="75"/>
        <v>750</v>
      </c>
      <c r="W43" s="8">
        <f t="shared" si="75"/>
        <v>750</v>
      </c>
      <c r="X43" s="8">
        <f t="shared" si="75"/>
        <v>750</v>
      </c>
      <c r="Y43" s="8">
        <f t="shared" si="75"/>
        <v>750</v>
      </c>
      <c r="Z43" s="8">
        <f t="shared" si="75"/>
        <v>750</v>
      </c>
      <c r="AA43" s="8">
        <f t="shared" si="75"/>
        <v>750</v>
      </c>
      <c r="AB43" s="8">
        <f t="shared" si="75"/>
        <v>750</v>
      </c>
      <c r="AC43" s="8">
        <f t="shared" si="75"/>
        <v>750</v>
      </c>
      <c r="AD43" s="8">
        <f t="shared" si="75"/>
        <v>750</v>
      </c>
      <c r="AE43" s="8">
        <f t="shared" si="75"/>
        <v>750</v>
      </c>
      <c r="AF43" s="8">
        <f t="shared" si="75"/>
        <v>750</v>
      </c>
      <c r="AG43" s="8">
        <f t="shared" si="75"/>
        <v>750</v>
      </c>
      <c r="AH43" s="8" t="str">
        <f t="shared" si="75"/>
        <v/>
      </c>
      <c r="AI43" s="8" t="str">
        <f t="shared" si="75"/>
        <v/>
      </c>
      <c r="AJ43" s="8" t="str">
        <f t="shared" si="75"/>
        <v/>
      </c>
      <c r="AK43" s="8" t="str">
        <f t="shared" si="75"/>
        <v/>
      </c>
      <c r="AL43" s="8" t="str">
        <f t="shared" si="75"/>
        <v/>
      </c>
      <c r="AM43" s="8" t="str">
        <f t="shared" si="75"/>
        <v/>
      </c>
      <c r="AN43" s="8" t="str">
        <f t="shared" si="75"/>
        <v/>
      </c>
      <c r="AO43" s="8" t="str">
        <f t="shared" ref="AO43:AS43" si="76">IF(AO39="","",AN43)</f>
        <v/>
      </c>
      <c r="AP43" s="8" t="str">
        <f t="shared" si="76"/>
        <v/>
      </c>
      <c r="AQ43" s="8" t="str">
        <f t="shared" si="76"/>
        <v/>
      </c>
      <c r="AR43" s="8" t="str">
        <f t="shared" si="76"/>
        <v/>
      </c>
      <c r="AS43" s="8" t="str">
        <f t="shared" si="76"/>
        <v/>
      </c>
    </row>
    <row r="44" spans="1:45" s="94" customFormat="1">
      <c r="A44" s="14" t="s">
        <v>9</v>
      </c>
      <c r="B44" s="13" t="s">
        <v>10</v>
      </c>
      <c r="C44" s="75" t="s">
        <v>85</v>
      </c>
      <c r="D44" s="12" t="str">
        <f t="shared" ref="D44:AN44" si="77">IF(D39="","",C44)</f>
        <v>ジャグラーフラッシュボタンミニ</v>
      </c>
      <c r="E44" s="12" t="str">
        <f t="shared" si="77"/>
        <v>ジャグラーフラッシュボタンミニ</v>
      </c>
      <c r="F44" s="12" t="str">
        <f t="shared" si="77"/>
        <v>ジャグラーフラッシュボタンミニ</v>
      </c>
      <c r="G44" s="131" t="str">
        <f t="shared" si="77"/>
        <v>ジャグラーフラッシュボタンミニ</v>
      </c>
      <c r="H44" s="12" t="str">
        <f t="shared" si="77"/>
        <v>ジャグラーフラッシュボタンミニ</v>
      </c>
      <c r="I44" s="12" t="str">
        <f t="shared" si="77"/>
        <v>ジャグラーフラッシュボタンミニ</v>
      </c>
      <c r="J44" s="131" t="str">
        <f t="shared" si="77"/>
        <v>ジャグラーフラッシュボタンミニ</v>
      </c>
      <c r="K44" s="12" t="str">
        <f t="shared" si="77"/>
        <v>ジャグラーフラッシュボタンミニ</v>
      </c>
      <c r="L44" s="12" t="str">
        <f t="shared" si="77"/>
        <v>ジャグラーフラッシュボタンミニ</v>
      </c>
      <c r="M44" s="131" t="str">
        <f t="shared" si="77"/>
        <v>ジャグラーフラッシュボタンミニ</v>
      </c>
      <c r="N44" s="12" t="str">
        <f t="shared" si="77"/>
        <v>ジャグラーフラッシュボタンミニ</v>
      </c>
      <c r="O44" s="12" t="str">
        <f t="shared" si="77"/>
        <v>ジャグラーフラッシュボタンミニ</v>
      </c>
      <c r="P44" s="12" t="str">
        <f t="shared" si="77"/>
        <v>ジャグラーフラッシュボタンミニ</v>
      </c>
      <c r="Q44" s="131" t="str">
        <f t="shared" si="77"/>
        <v>ジャグラーフラッシュボタンミニ</v>
      </c>
      <c r="R44" s="12" t="str">
        <f t="shared" si="77"/>
        <v>ジャグラーフラッシュボタンミニ</v>
      </c>
      <c r="S44" s="12" t="str">
        <f t="shared" si="77"/>
        <v>ジャグラーフラッシュボタンミニ</v>
      </c>
      <c r="T44" s="12" t="str">
        <f t="shared" si="77"/>
        <v>ジャグラーフラッシュボタンミニ</v>
      </c>
      <c r="U44" s="12" t="str">
        <f t="shared" si="77"/>
        <v>ジャグラーフラッシュボタンミニ</v>
      </c>
      <c r="V44" s="12" t="str">
        <f t="shared" si="77"/>
        <v>ジャグラーフラッシュボタンミニ</v>
      </c>
      <c r="W44" s="12" t="str">
        <f t="shared" si="77"/>
        <v>ジャグラーフラッシュボタンミニ</v>
      </c>
      <c r="X44" s="12" t="str">
        <f t="shared" si="77"/>
        <v>ジャグラーフラッシュボタンミニ</v>
      </c>
      <c r="Y44" s="12" t="str">
        <f t="shared" si="77"/>
        <v>ジャグラーフラッシュボタンミニ</v>
      </c>
      <c r="Z44" s="12" t="str">
        <f t="shared" si="77"/>
        <v>ジャグラーフラッシュボタンミニ</v>
      </c>
      <c r="AA44" s="12" t="str">
        <f t="shared" si="77"/>
        <v>ジャグラーフラッシュボタンミニ</v>
      </c>
      <c r="AB44" s="12" t="str">
        <f t="shared" si="77"/>
        <v>ジャグラーフラッシュボタンミニ</v>
      </c>
      <c r="AC44" s="12" t="str">
        <f t="shared" si="77"/>
        <v>ジャグラーフラッシュボタンミニ</v>
      </c>
      <c r="AD44" s="12" t="str">
        <f t="shared" si="77"/>
        <v>ジャグラーフラッシュボタンミニ</v>
      </c>
      <c r="AE44" s="12" t="str">
        <f t="shared" si="77"/>
        <v>ジャグラーフラッシュボタンミニ</v>
      </c>
      <c r="AF44" s="12" t="str">
        <f t="shared" si="77"/>
        <v>ジャグラーフラッシュボタンミニ</v>
      </c>
      <c r="AG44" s="12" t="str">
        <f t="shared" si="77"/>
        <v>ジャグラーフラッシュボタンミニ</v>
      </c>
      <c r="AH44" s="12" t="str">
        <f t="shared" si="77"/>
        <v/>
      </c>
      <c r="AI44" s="12" t="str">
        <f t="shared" si="77"/>
        <v/>
      </c>
      <c r="AJ44" s="12" t="str">
        <f t="shared" si="77"/>
        <v/>
      </c>
      <c r="AK44" s="12" t="str">
        <f t="shared" si="77"/>
        <v/>
      </c>
      <c r="AL44" s="12" t="str">
        <f t="shared" si="77"/>
        <v/>
      </c>
      <c r="AM44" s="12" t="str">
        <f t="shared" si="77"/>
        <v/>
      </c>
      <c r="AN44" s="12" t="str">
        <f t="shared" si="77"/>
        <v/>
      </c>
      <c r="AO44" s="12" t="str">
        <f t="shared" ref="AO44:AS44" si="78">IF(AO39="","",AN44)</f>
        <v/>
      </c>
      <c r="AP44" s="12" t="str">
        <f t="shared" si="78"/>
        <v/>
      </c>
      <c r="AQ44" s="12" t="str">
        <f t="shared" si="78"/>
        <v/>
      </c>
      <c r="AR44" s="12" t="str">
        <f t="shared" si="78"/>
        <v/>
      </c>
      <c r="AS44" s="12" t="str">
        <f t="shared" si="78"/>
        <v/>
      </c>
    </row>
    <row r="45" spans="1:45">
      <c r="A45" s="7">
        <f>AVERAGE(C46:AS46)*30*100</f>
        <v>42774.193548387098</v>
      </c>
      <c r="B45" s="9" t="s">
        <v>14</v>
      </c>
      <c r="C45" s="74"/>
      <c r="D45" s="8"/>
      <c r="E45" s="8"/>
      <c r="F45" s="8"/>
      <c r="G45" s="59"/>
      <c r="H45" s="8"/>
      <c r="I45" s="8"/>
      <c r="J45" s="59"/>
      <c r="K45" s="8"/>
      <c r="L45" s="8"/>
      <c r="M45" s="59"/>
      <c r="N45" s="8"/>
      <c r="O45" s="8"/>
      <c r="P45" s="8"/>
      <c r="Q45" s="59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>
      <c r="A46" s="7">
        <f>SUM(C46:AS46)</f>
        <v>442</v>
      </c>
      <c r="B46" s="6" t="s">
        <v>15</v>
      </c>
      <c r="C46" s="74">
        <v>0</v>
      </c>
      <c r="D46" s="5">
        <f t="shared" ref="D46:AN46" si="79">IF(D39="","",D39-C39)</f>
        <v>0</v>
      </c>
      <c r="E46" s="5">
        <f t="shared" si="79"/>
        <v>0</v>
      </c>
      <c r="F46" s="5">
        <f t="shared" si="79"/>
        <v>102</v>
      </c>
      <c r="G46" s="59">
        <f t="shared" si="79"/>
        <v>0</v>
      </c>
      <c r="H46" s="5">
        <f t="shared" si="79"/>
        <v>0</v>
      </c>
      <c r="I46" s="5">
        <f t="shared" si="79"/>
        <v>6</v>
      </c>
      <c r="J46" s="59">
        <f t="shared" si="79"/>
        <v>0</v>
      </c>
      <c r="K46" s="5">
        <f t="shared" si="79"/>
        <v>0</v>
      </c>
      <c r="L46" s="5">
        <f t="shared" si="79"/>
        <v>86</v>
      </c>
      <c r="M46" s="59">
        <f t="shared" si="79"/>
        <v>0</v>
      </c>
      <c r="N46" s="5">
        <f t="shared" si="79"/>
        <v>0</v>
      </c>
      <c r="O46" s="5">
        <f t="shared" si="79"/>
        <v>0</v>
      </c>
      <c r="P46" s="5">
        <f t="shared" si="79"/>
        <v>24</v>
      </c>
      <c r="Q46" s="59">
        <f t="shared" si="79"/>
        <v>0</v>
      </c>
      <c r="R46" s="5">
        <f t="shared" si="79"/>
        <v>0</v>
      </c>
      <c r="S46" s="5">
        <f t="shared" si="79"/>
        <v>46</v>
      </c>
      <c r="T46" s="5">
        <f t="shared" si="79"/>
        <v>0</v>
      </c>
      <c r="U46" s="5">
        <f t="shared" si="79"/>
        <v>0</v>
      </c>
      <c r="V46" s="5">
        <f t="shared" si="79"/>
        <v>0</v>
      </c>
      <c r="W46" s="5">
        <f t="shared" si="79"/>
        <v>34</v>
      </c>
      <c r="X46" s="5">
        <f t="shared" si="79"/>
        <v>0</v>
      </c>
      <c r="Y46" s="5">
        <f t="shared" si="79"/>
        <v>0</v>
      </c>
      <c r="Z46" s="5">
        <f t="shared" si="79"/>
        <v>55</v>
      </c>
      <c r="AA46" s="5">
        <f t="shared" si="79"/>
        <v>0</v>
      </c>
      <c r="AB46" s="5">
        <f t="shared" si="79"/>
        <v>0</v>
      </c>
      <c r="AC46" s="5">
        <f t="shared" si="79"/>
        <v>0</v>
      </c>
      <c r="AD46" s="5">
        <f t="shared" si="79"/>
        <v>37</v>
      </c>
      <c r="AE46" s="5">
        <f t="shared" si="79"/>
        <v>0</v>
      </c>
      <c r="AF46" s="5">
        <f t="shared" si="79"/>
        <v>0</v>
      </c>
      <c r="AG46" s="5">
        <f t="shared" si="79"/>
        <v>52</v>
      </c>
      <c r="AH46" s="5" t="str">
        <f t="shared" si="79"/>
        <v/>
      </c>
      <c r="AI46" s="5" t="str">
        <f t="shared" si="79"/>
        <v/>
      </c>
      <c r="AJ46" s="5" t="str">
        <f t="shared" si="79"/>
        <v/>
      </c>
      <c r="AK46" s="5" t="str">
        <f t="shared" si="79"/>
        <v/>
      </c>
      <c r="AL46" s="5" t="str">
        <f t="shared" si="79"/>
        <v/>
      </c>
      <c r="AM46" s="5" t="str">
        <f t="shared" si="79"/>
        <v/>
      </c>
      <c r="AN46" s="5" t="str">
        <f t="shared" si="79"/>
        <v/>
      </c>
      <c r="AO46" s="5" t="str">
        <f t="shared" ref="AO46:AS46" si="80">IF(AO39="","",AO39-AN39)</f>
        <v/>
      </c>
      <c r="AP46" s="5" t="str">
        <f t="shared" si="80"/>
        <v/>
      </c>
      <c r="AQ46" s="5" t="str">
        <f t="shared" si="80"/>
        <v/>
      </c>
      <c r="AR46" s="5" t="str">
        <f t="shared" si="80"/>
        <v/>
      </c>
      <c r="AS46" s="5" t="str">
        <f t="shared" si="80"/>
        <v/>
      </c>
    </row>
    <row r="47" spans="1:45">
      <c r="A47" s="7">
        <v>7</v>
      </c>
      <c r="B47" s="6" t="s">
        <v>16</v>
      </c>
      <c r="C47" s="74">
        <v>0</v>
      </c>
      <c r="D47" s="5">
        <f t="shared" ref="D47:AN47" si="81">IF(D40="","",D40-C40)</f>
        <v>0</v>
      </c>
      <c r="E47" s="5">
        <f t="shared" si="81"/>
        <v>0</v>
      </c>
      <c r="F47" s="5">
        <f t="shared" si="81"/>
        <v>1</v>
      </c>
      <c r="G47" s="59">
        <f t="shared" si="81"/>
        <v>0</v>
      </c>
      <c r="H47" s="5">
        <f t="shared" si="81"/>
        <v>0</v>
      </c>
      <c r="I47" s="5">
        <f t="shared" si="81"/>
        <v>1</v>
      </c>
      <c r="J47" s="59">
        <f t="shared" si="81"/>
        <v>0</v>
      </c>
      <c r="K47" s="5">
        <f t="shared" si="81"/>
        <v>0</v>
      </c>
      <c r="L47" s="5">
        <f t="shared" si="81"/>
        <v>1</v>
      </c>
      <c r="M47" s="59">
        <f t="shared" si="81"/>
        <v>0</v>
      </c>
      <c r="N47" s="5">
        <f t="shared" si="81"/>
        <v>0</v>
      </c>
      <c r="O47" s="5">
        <f t="shared" si="81"/>
        <v>0</v>
      </c>
      <c r="P47" s="5">
        <f t="shared" si="81"/>
        <v>2</v>
      </c>
      <c r="Q47" s="59">
        <f t="shared" si="81"/>
        <v>0</v>
      </c>
      <c r="R47" s="5">
        <f t="shared" si="81"/>
        <v>0</v>
      </c>
      <c r="S47" s="5">
        <f t="shared" si="81"/>
        <v>0</v>
      </c>
      <c r="T47" s="5">
        <f t="shared" si="81"/>
        <v>0</v>
      </c>
      <c r="U47" s="5">
        <f t="shared" si="81"/>
        <v>0</v>
      </c>
      <c r="V47" s="5">
        <f t="shared" si="81"/>
        <v>0</v>
      </c>
      <c r="W47" s="5">
        <f t="shared" si="81"/>
        <v>2</v>
      </c>
      <c r="X47" s="5">
        <f t="shared" si="81"/>
        <v>0</v>
      </c>
      <c r="Y47" s="5">
        <f t="shared" si="81"/>
        <v>0</v>
      </c>
      <c r="Z47" s="5">
        <f t="shared" si="81"/>
        <v>1</v>
      </c>
      <c r="AA47" s="5">
        <f t="shared" si="81"/>
        <v>0</v>
      </c>
      <c r="AB47" s="5">
        <f t="shared" si="81"/>
        <v>0</v>
      </c>
      <c r="AC47" s="5">
        <f t="shared" si="81"/>
        <v>0</v>
      </c>
      <c r="AD47" s="5">
        <f t="shared" si="81"/>
        <v>1</v>
      </c>
      <c r="AE47" s="5">
        <f t="shared" si="81"/>
        <v>0</v>
      </c>
      <c r="AF47" s="5">
        <f t="shared" si="81"/>
        <v>0</v>
      </c>
      <c r="AG47" s="5">
        <f t="shared" si="81"/>
        <v>0</v>
      </c>
      <c r="AH47" s="5" t="str">
        <f t="shared" si="81"/>
        <v/>
      </c>
      <c r="AI47" s="5" t="str">
        <f t="shared" si="81"/>
        <v/>
      </c>
      <c r="AJ47" s="5" t="str">
        <f t="shared" si="81"/>
        <v/>
      </c>
      <c r="AK47" s="5" t="str">
        <f t="shared" si="81"/>
        <v/>
      </c>
      <c r="AL47" s="5" t="str">
        <f t="shared" si="81"/>
        <v/>
      </c>
      <c r="AM47" s="5" t="str">
        <f t="shared" si="81"/>
        <v/>
      </c>
      <c r="AN47" s="5" t="str">
        <f t="shared" si="81"/>
        <v/>
      </c>
      <c r="AO47" s="5" t="str">
        <f t="shared" ref="AO47:AS47" si="82">IF(AO40="","",AO40-AN40)</f>
        <v/>
      </c>
      <c r="AP47" s="5" t="str">
        <f t="shared" si="82"/>
        <v/>
      </c>
      <c r="AQ47" s="5" t="str">
        <f t="shared" si="82"/>
        <v/>
      </c>
      <c r="AR47" s="5" t="str">
        <f t="shared" si="82"/>
        <v/>
      </c>
      <c r="AS47" s="5" t="str">
        <f t="shared" si="82"/>
        <v/>
      </c>
    </row>
    <row r="48" spans="1:45">
      <c r="A48" s="7">
        <v>7</v>
      </c>
      <c r="B48" s="6" t="s">
        <v>17</v>
      </c>
      <c r="C48" s="74">
        <v>0</v>
      </c>
      <c r="D48" s="5">
        <f t="shared" ref="D48:AN48" si="83">IF(D41="","",C41+C42-D41)</f>
        <v>0</v>
      </c>
      <c r="E48" s="5">
        <f t="shared" si="83"/>
        <v>0</v>
      </c>
      <c r="F48" s="5">
        <f t="shared" si="83"/>
        <v>1</v>
      </c>
      <c r="G48" s="59">
        <f t="shared" si="83"/>
        <v>0</v>
      </c>
      <c r="H48" s="5">
        <f t="shared" si="83"/>
        <v>0</v>
      </c>
      <c r="I48" s="5">
        <f t="shared" si="83"/>
        <v>1</v>
      </c>
      <c r="J48" s="59">
        <f t="shared" si="83"/>
        <v>0</v>
      </c>
      <c r="K48" s="5">
        <f t="shared" si="83"/>
        <v>0</v>
      </c>
      <c r="L48" s="5">
        <f t="shared" si="83"/>
        <v>0</v>
      </c>
      <c r="M48" s="59">
        <f t="shared" si="83"/>
        <v>0</v>
      </c>
      <c r="N48" s="5">
        <f t="shared" si="83"/>
        <v>0</v>
      </c>
      <c r="O48" s="5">
        <f t="shared" si="83"/>
        <v>0</v>
      </c>
      <c r="P48" s="5">
        <f t="shared" si="83"/>
        <v>2</v>
      </c>
      <c r="Q48" s="59">
        <f t="shared" si="83"/>
        <v>0</v>
      </c>
      <c r="R48" s="5">
        <f t="shared" si="83"/>
        <v>0</v>
      </c>
      <c r="S48" s="5">
        <f t="shared" si="83"/>
        <v>0</v>
      </c>
      <c r="T48" s="5">
        <f t="shared" si="83"/>
        <v>0</v>
      </c>
      <c r="U48" s="5">
        <f t="shared" si="83"/>
        <v>0</v>
      </c>
      <c r="V48" s="5">
        <f t="shared" si="83"/>
        <v>0</v>
      </c>
      <c r="W48" s="5">
        <f t="shared" si="83"/>
        <v>2</v>
      </c>
      <c r="X48" s="5">
        <f t="shared" si="83"/>
        <v>0</v>
      </c>
      <c r="Y48" s="5">
        <f t="shared" si="83"/>
        <v>0</v>
      </c>
      <c r="Z48" s="5">
        <f t="shared" si="83"/>
        <v>1</v>
      </c>
      <c r="AA48" s="5">
        <f t="shared" si="83"/>
        <v>0</v>
      </c>
      <c r="AB48" s="5">
        <f t="shared" si="83"/>
        <v>0</v>
      </c>
      <c r="AC48" s="5">
        <f t="shared" si="83"/>
        <v>0</v>
      </c>
      <c r="AD48" s="5">
        <f t="shared" si="83"/>
        <v>1</v>
      </c>
      <c r="AE48" s="5">
        <f t="shared" si="83"/>
        <v>0</v>
      </c>
      <c r="AF48" s="5">
        <f t="shared" si="83"/>
        <v>0</v>
      </c>
      <c r="AG48" s="5">
        <f t="shared" si="83"/>
        <v>0</v>
      </c>
      <c r="AH48" s="5" t="str">
        <f t="shared" si="83"/>
        <v/>
      </c>
      <c r="AI48" s="5" t="str">
        <f t="shared" si="83"/>
        <v/>
      </c>
      <c r="AJ48" s="5" t="str">
        <f t="shared" si="83"/>
        <v/>
      </c>
      <c r="AK48" s="5" t="str">
        <f t="shared" si="83"/>
        <v/>
      </c>
      <c r="AL48" s="5" t="str">
        <f t="shared" si="83"/>
        <v/>
      </c>
      <c r="AM48" s="5" t="str">
        <f t="shared" si="83"/>
        <v/>
      </c>
      <c r="AN48" s="5" t="str">
        <f t="shared" si="83"/>
        <v/>
      </c>
      <c r="AO48" s="5" t="str">
        <f t="shared" ref="AO48:AS48" si="84">IF(AO41="","",AN41+AN42-AO41)</f>
        <v/>
      </c>
      <c r="AP48" s="5" t="str">
        <f t="shared" si="84"/>
        <v/>
      </c>
      <c r="AQ48" s="5" t="str">
        <f t="shared" si="84"/>
        <v/>
      </c>
      <c r="AR48" s="5" t="str">
        <f t="shared" si="84"/>
        <v/>
      </c>
      <c r="AS48" s="5" t="str">
        <f t="shared" si="84"/>
        <v/>
      </c>
    </row>
    <row r="49" spans="1:45">
      <c r="A49" s="7">
        <v>0</v>
      </c>
      <c r="B49" s="6" t="s">
        <v>18</v>
      </c>
      <c r="C49" s="74">
        <v>0</v>
      </c>
      <c r="D49" s="5">
        <f t="shared" ref="D49:AN49" si="85">IF(D39="","",D48*D43)</f>
        <v>0</v>
      </c>
      <c r="E49" s="5">
        <f t="shared" si="85"/>
        <v>0</v>
      </c>
      <c r="F49" s="5">
        <f t="shared" si="85"/>
        <v>750</v>
      </c>
      <c r="G49" s="59">
        <f t="shared" si="85"/>
        <v>0</v>
      </c>
      <c r="H49" s="5">
        <f t="shared" si="85"/>
        <v>0</v>
      </c>
      <c r="I49" s="5">
        <f t="shared" si="85"/>
        <v>750</v>
      </c>
      <c r="J49" s="59">
        <f t="shared" si="85"/>
        <v>0</v>
      </c>
      <c r="K49" s="5">
        <f t="shared" si="85"/>
        <v>0</v>
      </c>
      <c r="L49" s="5">
        <f t="shared" si="85"/>
        <v>0</v>
      </c>
      <c r="M49" s="59">
        <f t="shared" si="85"/>
        <v>0</v>
      </c>
      <c r="N49" s="5">
        <f t="shared" si="85"/>
        <v>0</v>
      </c>
      <c r="O49" s="5">
        <f t="shared" si="85"/>
        <v>0</v>
      </c>
      <c r="P49" s="5">
        <f t="shared" si="85"/>
        <v>1500</v>
      </c>
      <c r="Q49" s="59">
        <f t="shared" si="85"/>
        <v>0</v>
      </c>
      <c r="R49" s="5">
        <f t="shared" si="85"/>
        <v>0</v>
      </c>
      <c r="S49" s="5">
        <f t="shared" si="85"/>
        <v>0</v>
      </c>
      <c r="T49" s="5">
        <f t="shared" si="85"/>
        <v>0</v>
      </c>
      <c r="U49" s="5">
        <f t="shared" si="85"/>
        <v>0</v>
      </c>
      <c r="V49" s="5">
        <f t="shared" si="85"/>
        <v>0</v>
      </c>
      <c r="W49" s="5">
        <f t="shared" si="85"/>
        <v>1500</v>
      </c>
      <c r="X49" s="5">
        <f t="shared" si="85"/>
        <v>0</v>
      </c>
      <c r="Y49" s="5">
        <f t="shared" si="85"/>
        <v>0</v>
      </c>
      <c r="Z49" s="5">
        <f t="shared" si="85"/>
        <v>750</v>
      </c>
      <c r="AA49" s="5">
        <f t="shared" si="85"/>
        <v>0</v>
      </c>
      <c r="AB49" s="5">
        <f t="shared" si="85"/>
        <v>0</v>
      </c>
      <c r="AC49" s="5">
        <f t="shared" si="85"/>
        <v>0</v>
      </c>
      <c r="AD49" s="5">
        <f t="shared" si="85"/>
        <v>750</v>
      </c>
      <c r="AE49" s="5">
        <f t="shared" si="85"/>
        <v>0</v>
      </c>
      <c r="AF49" s="5">
        <f t="shared" si="85"/>
        <v>0</v>
      </c>
      <c r="AG49" s="5">
        <f t="shared" si="85"/>
        <v>0</v>
      </c>
      <c r="AH49" s="5" t="str">
        <f t="shared" si="85"/>
        <v/>
      </c>
      <c r="AI49" s="5" t="str">
        <f t="shared" si="85"/>
        <v/>
      </c>
      <c r="AJ49" s="5" t="str">
        <f t="shared" si="85"/>
        <v/>
      </c>
      <c r="AK49" s="5" t="str">
        <f t="shared" si="85"/>
        <v/>
      </c>
      <c r="AL49" s="5" t="str">
        <f t="shared" si="85"/>
        <v/>
      </c>
      <c r="AM49" s="5" t="str">
        <f t="shared" si="85"/>
        <v/>
      </c>
      <c r="AN49" s="5" t="str">
        <f t="shared" si="85"/>
        <v/>
      </c>
      <c r="AO49" s="5" t="str">
        <f t="shared" ref="AO49:AS49" si="86">IF(AO39="","",AO48*AO43)</f>
        <v/>
      </c>
      <c r="AP49" s="5" t="str">
        <f t="shared" si="86"/>
        <v/>
      </c>
      <c r="AQ49" s="5" t="str">
        <f t="shared" si="86"/>
        <v/>
      </c>
      <c r="AR49" s="5" t="str">
        <f t="shared" si="86"/>
        <v/>
      </c>
      <c r="AS49" s="5" t="str">
        <f t="shared" si="86"/>
        <v/>
      </c>
    </row>
    <row r="50" spans="1:45" ht="12" thickBot="1">
      <c r="A50" s="4">
        <v>0</v>
      </c>
      <c r="B50" s="6" t="s">
        <v>20</v>
      </c>
      <c r="C50" s="76" t="s">
        <v>21</v>
      </c>
      <c r="D50" s="18" t="str">
        <f t="shared" ref="D50:AN50" si="87">IF(D49="","",IF(D49=0,"",D49/(D46*100)))</f>
        <v/>
      </c>
      <c r="E50" s="18" t="str">
        <f t="shared" si="87"/>
        <v/>
      </c>
      <c r="F50" s="18">
        <f t="shared" si="87"/>
        <v>7.3529411764705885E-2</v>
      </c>
      <c r="G50" s="62" t="str">
        <f t="shared" si="87"/>
        <v/>
      </c>
      <c r="H50" s="18" t="str">
        <f t="shared" si="87"/>
        <v/>
      </c>
      <c r="I50" s="18">
        <f t="shared" si="87"/>
        <v>1.25</v>
      </c>
      <c r="J50" s="62" t="str">
        <f t="shared" si="87"/>
        <v/>
      </c>
      <c r="K50" s="18" t="str">
        <f t="shared" si="87"/>
        <v/>
      </c>
      <c r="L50" s="18" t="str">
        <f t="shared" si="87"/>
        <v/>
      </c>
      <c r="M50" s="62" t="str">
        <f t="shared" si="87"/>
        <v/>
      </c>
      <c r="N50" s="18" t="str">
        <f t="shared" si="87"/>
        <v/>
      </c>
      <c r="O50" s="18" t="str">
        <f t="shared" si="87"/>
        <v/>
      </c>
      <c r="P50" s="18">
        <f t="shared" si="87"/>
        <v>0.625</v>
      </c>
      <c r="Q50" s="62" t="str">
        <f t="shared" si="87"/>
        <v/>
      </c>
      <c r="R50" s="18" t="str">
        <f t="shared" si="87"/>
        <v/>
      </c>
      <c r="S50" s="18" t="str">
        <f t="shared" si="87"/>
        <v/>
      </c>
      <c r="T50" s="18" t="str">
        <f t="shared" si="87"/>
        <v/>
      </c>
      <c r="U50" s="18" t="str">
        <f t="shared" si="87"/>
        <v/>
      </c>
      <c r="V50" s="18" t="str">
        <f t="shared" si="87"/>
        <v/>
      </c>
      <c r="W50" s="18">
        <f t="shared" si="87"/>
        <v>0.44117647058823528</v>
      </c>
      <c r="X50" s="18" t="str">
        <f t="shared" si="87"/>
        <v/>
      </c>
      <c r="Y50" s="18" t="str">
        <f t="shared" si="87"/>
        <v/>
      </c>
      <c r="Z50" s="18">
        <f t="shared" si="87"/>
        <v>0.13636363636363635</v>
      </c>
      <c r="AA50" s="18" t="str">
        <f t="shared" si="87"/>
        <v/>
      </c>
      <c r="AB50" s="18" t="str">
        <f t="shared" si="87"/>
        <v/>
      </c>
      <c r="AC50" s="18" t="str">
        <f t="shared" si="87"/>
        <v/>
      </c>
      <c r="AD50" s="18">
        <f t="shared" si="87"/>
        <v>0.20270270270270271</v>
      </c>
      <c r="AE50" s="18" t="str">
        <f t="shared" si="87"/>
        <v/>
      </c>
      <c r="AF50" s="18" t="str">
        <f t="shared" si="87"/>
        <v/>
      </c>
      <c r="AG50" s="18" t="str">
        <f t="shared" si="87"/>
        <v/>
      </c>
      <c r="AH50" s="18" t="str">
        <f t="shared" si="87"/>
        <v/>
      </c>
      <c r="AI50" s="18" t="str">
        <f t="shared" si="87"/>
        <v/>
      </c>
      <c r="AJ50" s="18" t="str">
        <f t="shared" si="87"/>
        <v/>
      </c>
      <c r="AK50" s="18" t="str">
        <f t="shared" si="87"/>
        <v/>
      </c>
      <c r="AL50" s="18" t="str">
        <f t="shared" si="87"/>
        <v/>
      </c>
      <c r="AM50" s="18" t="str">
        <f t="shared" si="87"/>
        <v/>
      </c>
      <c r="AN50" s="18" t="str">
        <f t="shared" si="87"/>
        <v/>
      </c>
      <c r="AO50" s="18" t="str">
        <f t="shared" ref="AO50:AS50" si="88">IF(AO49="","",IF(AO49=0,"",AO49/(AO46*100)))</f>
        <v/>
      </c>
      <c r="AP50" s="18" t="str">
        <f t="shared" si="88"/>
        <v/>
      </c>
      <c r="AQ50" s="18" t="str">
        <f t="shared" si="88"/>
        <v/>
      </c>
      <c r="AR50" s="18" t="str">
        <f t="shared" si="88"/>
        <v/>
      </c>
      <c r="AS50" s="18" t="str">
        <f t="shared" si="88"/>
        <v/>
      </c>
    </row>
    <row r="51" spans="1:45">
      <c r="A51" s="17" t="s">
        <v>78</v>
      </c>
      <c r="B51" s="9" t="s">
        <v>2</v>
      </c>
      <c r="C51" s="74">
        <v>11520</v>
      </c>
      <c r="D51" s="8">
        <f>IF(D$3="","",C51)</f>
        <v>11520</v>
      </c>
      <c r="E51" s="8">
        <f>IF(E$3="","",D51)</f>
        <v>11520</v>
      </c>
      <c r="F51" s="8">
        <v>11568</v>
      </c>
      <c r="G51" s="59">
        <f>IF(G$3="","",F51)</f>
        <v>11568</v>
      </c>
      <c r="H51" s="8">
        <f>IF(H$3="","",G51)</f>
        <v>11568</v>
      </c>
      <c r="I51" s="8">
        <v>11610</v>
      </c>
      <c r="J51" s="59">
        <f>IF(J$3="","",I51)</f>
        <v>11610</v>
      </c>
      <c r="K51" s="8">
        <f>IF(K$3="","",J51)</f>
        <v>11610</v>
      </c>
      <c r="L51" s="8">
        <v>11658</v>
      </c>
      <c r="M51" s="59">
        <f t="shared" ref="M51:O52" si="89">IF(M$3="","",L51)</f>
        <v>11658</v>
      </c>
      <c r="N51" s="8">
        <f t="shared" si="89"/>
        <v>11658</v>
      </c>
      <c r="O51" s="8">
        <f t="shared" si="89"/>
        <v>11658</v>
      </c>
      <c r="P51" s="8">
        <v>11706</v>
      </c>
      <c r="Q51" s="59">
        <f>IF(Q$3="","",P51)</f>
        <v>11706</v>
      </c>
      <c r="R51" s="8">
        <f>IF(R$3="","",Q51)</f>
        <v>11706</v>
      </c>
      <c r="S51" s="8">
        <v>11742</v>
      </c>
      <c r="T51" s="8">
        <f t="shared" ref="T51:AN51" si="90">IF(T$3="","",S51)</f>
        <v>11742</v>
      </c>
      <c r="U51" s="8">
        <f t="shared" si="90"/>
        <v>11742</v>
      </c>
      <c r="V51" s="8">
        <f t="shared" si="90"/>
        <v>11742</v>
      </c>
      <c r="W51" s="8">
        <v>11749</v>
      </c>
      <c r="X51" s="8">
        <f t="shared" si="90"/>
        <v>11749</v>
      </c>
      <c r="Y51" s="8">
        <f t="shared" si="90"/>
        <v>11749</v>
      </c>
      <c r="Z51" s="8">
        <v>11768</v>
      </c>
      <c r="AA51" s="8">
        <f t="shared" si="90"/>
        <v>11768</v>
      </c>
      <c r="AB51" s="8">
        <f t="shared" si="90"/>
        <v>11768</v>
      </c>
      <c r="AC51" s="8">
        <f t="shared" si="90"/>
        <v>11768</v>
      </c>
      <c r="AD51" s="8">
        <v>11788</v>
      </c>
      <c r="AE51" s="8">
        <f t="shared" si="90"/>
        <v>11788</v>
      </c>
      <c r="AF51" s="8">
        <f t="shared" si="90"/>
        <v>11788</v>
      </c>
      <c r="AG51" s="8">
        <v>11843</v>
      </c>
      <c r="AH51" s="8" t="str">
        <f t="shared" si="90"/>
        <v/>
      </c>
      <c r="AI51" s="8" t="str">
        <f t="shared" si="90"/>
        <v/>
      </c>
      <c r="AJ51" s="8" t="str">
        <f t="shared" si="90"/>
        <v/>
      </c>
      <c r="AK51" s="8" t="str">
        <f t="shared" si="90"/>
        <v/>
      </c>
      <c r="AL51" s="8" t="str">
        <f t="shared" si="90"/>
        <v/>
      </c>
      <c r="AM51" s="8" t="str">
        <f t="shared" si="90"/>
        <v/>
      </c>
      <c r="AN51" s="8" t="str">
        <f t="shared" si="90"/>
        <v/>
      </c>
      <c r="AO51" s="8" t="str">
        <f t="shared" ref="AO51:AS51" si="91">IF(AO$3="","",AN51)</f>
        <v/>
      </c>
      <c r="AP51" s="8" t="str">
        <f t="shared" si="91"/>
        <v/>
      </c>
      <c r="AQ51" s="8" t="str">
        <f t="shared" si="91"/>
        <v/>
      </c>
      <c r="AR51" s="8" t="str">
        <f t="shared" si="91"/>
        <v/>
      </c>
      <c r="AS51" s="8" t="str">
        <f t="shared" si="91"/>
        <v/>
      </c>
    </row>
    <row r="52" spans="1:45">
      <c r="A52" s="16" t="s">
        <v>3</v>
      </c>
      <c r="B52" s="9" t="s">
        <v>4</v>
      </c>
      <c r="C52" s="74">
        <v>418</v>
      </c>
      <c r="D52" s="8">
        <f>IF(D$3="","",C52)</f>
        <v>418</v>
      </c>
      <c r="E52" s="8">
        <f>IF(E$3="","",D52)</f>
        <v>418</v>
      </c>
      <c r="F52" s="8">
        <v>420</v>
      </c>
      <c r="G52" s="59">
        <f>IF(G$3="","",F52)</f>
        <v>420</v>
      </c>
      <c r="H52" s="8">
        <f>IF(H$3="","",G52)</f>
        <v>420</v>
      </c>
      <c r="I52" s="8">
        <v>424</v>
      </c>
      <c r="J52" s="59">
        <f>IF(J$3="","",I52)</f>
        <v>424</v>
      </c>
      <c r="K52" s="8">
        <f>IF(K$3="","",J52)</f>
        <v>424</v>
      </c>
      <c r="L52" s="8">
        <v>426</v>
      </c>
      <c r="M52" s="59">
        <f t="shared" si="89"/>
        <v>426</v>
      </c>
      <c r="N52" s="8">
        <f t="shared" si="89"/>
        <v>426</v>
      </c>
      <c r="O52" s="8">
        <f t="shared" si="89"/>
        <v>426</v>
      </c>
      <c r="P52" s="8">
        <v>429</v>
      </c>
      <c r="Q52" s="59">
        <f>IF(Q$3="","",P52)</f>
        <v>429</v>
      </c>
      <c r="R52" s="8">
        <f>IF(R$3="","",Q52)</f>
        <v>429</v>
      </c>
      <c r="S52" s="8">
        <f>IF(S$3="","",R52)</f>
        <v>429</v>
      </c>
      <c r="T52" s="8">
        <f t="shared" ref="T52:AN52" si="92">IF(T$3="","",S52)</f>
        <v>429</v>
      </c>
      <c r="U52" s="8">
        <f t="shared" si="92"/>
        <v>429</v>
      </c>
      <c r="V52" s="8">
        <f t="shared" si="92"/>
        <v>429</v>
      </c>
      <c r="W52" s="8">
        <f t="shared" si="92"/>
        <v>429</v>
      </c>
      <c r="X52" s="8">
        <f t="shared" si="92"/>
        <v>429</v>
      </c>
      <c r="Y52" s="8">
        <f t="shared" si="92"/>
        <v>429</v>
      </c>
      <c r="Z52" s="8">
        <f t="shared" si="92"/>
        <v>429</v>
      </c>
      <c r="AA52" s="8">
        <f t="shared" si="92"/>
        <v>429</v>
      </c>
      <c r="AB52" s="8">
        <f t="shared" si="92"/>
        <v>429</v>
      </c>
      <c r="AC52" s="8">
        <f t="shared" si="92"/>
        <v>429</v>
      </c>
      <c r="AD52" s="8">
        <v>431</v>
      </c>
      <c r="AE52" s="8">
        <f t="shared" si="92"/>
        <v>431</v>
      </c>
      <c r="AF52" s="8">
        <f t="shared" si="92"/>
        <v>431</v>
      </c>
      <c r="AG52" s="8">
        <v>432</v>
      </c>
      <c r="AH52" s="8" t="str">
        <f t="shared" si="92"/>
        <v/>
      </c>
      <c r="AI52" s="8" t="str">
        <f t="shared" si="92"/>
        <v/>
      </c>
      <c r="AJ52" s="8" t="str">
        <f t="shared" si="92"/>
        <v/>
      </c>
      <c r="AK52" s="8" t="str">
        <f t="shared" si="92"/>
        <v/>
      </c>
      <c r="AL52" s="8" t="str">
        <f t="shared" si="92"/>
        <v/>
      </c>
      <c r="AM52" s="8" t="str">
        <f t="shared" si="92"/>
        <v/>
      </c>
      <c r="AN52" s="8" t="str">
        <f t="shared" si="92"/>
        <v/>
      </c>
      <c r="AO52" s="8" t="str">
        <f t="shared" ref="AO52:AS52" si="93">IF(AO$3="","",AN52)</f>
        <v/>
      </c>
      <c r="AP52" s="8" t="str">
        <f t="shared" si="93"/>
        <v/>
      </c>
      <c r="AQ52" s="8" t="str">
        <f t="shared" si="93"/>
        <v/>
      </c>
      <c r="AR52" s="8" t="str">
        <f t="shared" si="93"/>
        <v/>
      </c>
      <c r="AS52" s="8" t="str">
        <f t="shared" si="93"/>
        <v/>
      </c>
    </row>
    <row r="53" spans="1:45">
      <c r="A53" s="15">
        <v>2</v>
      </c>
      <c r="B53" s="9" t="s">
        <v>5</v>
      </c>
      <c r="C53" s="74">
        <v>41</v>
      </c>
      <c r="D53" s="8">
        <f>IF(D51="","",(C53+C54))</f>
        <v>41</v>
      </c>
      <c r="E53" s="8">
        <f>IF(E51="","",(D53+D54))</f>
        <v>41</v>
      </c>
      <c r="F53" s="8">
        <v>39</v>
      </c>
      <c r="G53" s="59">
        <f>IF(G51="","",(F53+F54))</f>
        <v>39</v>
      </c>
      <c r="H53" s="8">
        <f>IF(H51="","",(G53+G54))</f>
        <v>39</v>
      </c>
      <c r="I53" s="8">
        <v>35</v>
      </c>
      <c r="J53" s="59">
        <f>IF(J51="","",(I53+I54))</f>
        <v>35</v>
      </c>
      <c r="K53" s="8">
        <f>IF(K51="","",(J53+J54))</f>
        <v>35</v>
      </c>
      <c r="L53" s="8">
        <v>33</v>
      </c>
      <c r="M53" s="59">
        <f>IF(M51="","",(L53+L54))</f>
        <v>51</v>
      </c>
      <c r="N53" s="8">
        <f>IF(N51="","",(M53+M54))</f>
        <v>51</v>
      </c>
      <c r="O53" s="8">
        <f>IF(O51="","",(N53+N54))</f>
        <v>51</v>
      </c>
      <c r="P53" s="8">
        <v>48</v>
      </c>
      <c r="Q53" s="59">
        <f t="shared" ref="Q53:AN53" si="94">IF(Q51="","",(P53+P54))</f>
        <v>48</v>
      </c>
      <c r="R53" s="8">
        <f t="shared" si="94"/>
        <v>48</v>
      </c>
      <c r="S53" s="8">
        <f t="shared" si="94"/>
        <v>48</v>
      </c>
      <c r="T53" s="8">
        <f t="shared" si="94"/>
        <v>48</v>
      </c>
      <c r="U53" s="8">
        <f t="shared" si="94"/>
        <v>48</v>
      </c>
      <c r="V53" s="8">
        <f t="shared" si="94"/>
        <v>48</v>
      </c>
      <c r="W53" s="8">
        <f t="shared" si="94"/>
        <v>48</v>
      </c>
      <c r="X53" s="8">
        <f t="shared" si="94"/>
        <v>51</v>
      </c>
      <c r="Y53" s="8">
        <f t="shared" si="94"/>
        <v>51</v>
      </c>
      <c r="Z53" s="8">
        <f t="shared" si="94"/>
        <v>51</v>
      </c>
      <c r="AA53" s="8">
        <f t="shared" si="94"/>
        <v>51</v>
      </c>
      <c r="AB53" s="8">
        <f t="shared" si="94"/>
        <v>51</v>
      </c>
      <c r="AC53" s="8">
        <f t="shared" si="94"/>
        <v>51</v>
      </c>
      <c r="AD53" s="8">
        <v>49</v>
      </c>
      <c r="AE53" s="8">
        <f t="shared" si="94"/>
        <v>49</v>
      </c>
      <c r="AF53" s="8">
        <f t="shared" si="94"/>
        <v>49</v>
      </c>
      <c r="AG53" s="8">
        <v>48</v>
      </c>
      <c r="AH53" s="8" t="str">
        <f t="shared" si="94"/>
        <v/>
      </c>
      <c r="AI53" s="8" t="str">
        <f t="shared" si="94"/>
        <v/>
      </c>
      <c r="AJ53" s="8" t="str">
        <f t="shared" si="94"/>
        <v/>
      </c>
      <c r="AK53" s="8" t="str">
        <f t="shared" si="94"/>
        <v/>
      </c>
      <c r="AL53" s="8" t="str">
        <f t="shared" si="94"/>
        <v/>
      </c>
      <c r="AM53" s="8" t="str">
        <f t="shared" si="94"/>
        <v/>
      </c>
      <c r="AN53" s="8" t="str">
        <f t="shared" si="94"/>
        <v/>
      </c>
      <c r="AO53" s="8" t="str">
        <f t="shared" ref="AO53:AS53" si="95">IF(AO51="","",(AN53+AN54))</f>
        <v/>
      </c>
      <c r="AP53" s="8" t="str">
        <f t="shared" si="95"/>
        <v/>
      </c>
      <c r="AQ53" s="8" t="str">
        <f t="shared" si="95"/>
        <v/>
      </c>
      <c r="AR53" s="8" t="str">
        <f t="shared" si="95"/>
        <v/>
      </c>
      <c r="AS53" s="8" t="str">
        <f t="shared" si="95"/>
        <v/>
      </c>
    </row>
    <row r="54" spans="1:45">
      <c r="A54" s="14"/>
      <c r="B54" s="9" t="s">
        <v>7</v>
      </c>
      <c r="C54" s="74"/>
      <c r="D54" s="8"/>
      <c r="E54" s="8"/>
      <c r="F54" s="8"/>
      <c r="G54" s="59"/>
      <c r="H54" s="8"/>
      <c r="I54" s="8"/>
      <c r="J54" s="59"/>
      <c r="K54" s="8"/>
      <c r="L54" s="8">
        <v>18</v>
      </c>
      <c r="M54" s="59"/>
      <c r="N54" s="8"/>
      <c r="O54" s="8"/>
      <c r="P54" s="8"/>
      <c r="Q54" s="59"/>
      <c r="R54" s="8"/>
      <c r="S54" s="8"/>
      <c r="T54" s="8"/>
      <c r="U54" s="8"/>
      <c r="V54" s="8"/>
      <c r="W54" s="8">
        <v>3</v>
      </c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>
      <c r="A55" s="7"/>
      <c r="B55" s="9" t="s">
        <v>8</v>
      </c>
      <c r="C55" s="74">
        <v>300</v>
      </c>
      <c r="D55" s="8">
        <f t="shared" ref="D55:AN55" si="96">IF(D51="","",C55)</f>
        <v>300</v>
      </c>
      <c r="E55" s="8">
        <f t="shared" si="96"/>
        <v>300</v>
      </c>
      <c r="F55" s="8">
        <f t="shared" si="96"/>
        <v>300</v>
      </c>
      <c r="G55" s="59">
        <f t="shared" si="96"/>
        <v>300</v>
      </c>
      <c r="H55" s="8">
        <f t="shared" si="96"/>
        <v>300</v>
      </c>
      <c r="I55" s="8">
        <f t="shared" si="96"/>
        <v>300</v>
      </c>
      <c r="J55" s="59">
        <f t="shared" si="96"/>
        <v>300</v>
      </c>
      <c r="K55" s="8">
        <f t="shared" si="96"/>
        <v>300</v>
      </c>
      <c r="L55" s="8">
        <f t="shared" si="96"/>
        <v>300</v>
      </c>
      <c r="M55" s="59">
        <f t="shared" si="96"/>
        <v>300</v>
      </c>
      <c r="N55" s="8">
        <f t="shared" si="96"/>
        <v>300</v>
      </c>
      <c r="O55" s="8">
        <f t="shared" si="96"/>
        <v>300</v>
      </c>
      <c r="P55" s="8">
        <f t="shared" si="96"/>
        <v>300</v>
      </c>
      <c r="Q55" s="59">
        <f t="shared" si="96"/>
        <v>300</v>
      </c>
      <c r="R55" s="8">
        <f t="shared" si="96"/>
        <v>300</v>
      </c>
      <c r="S55" s="8">
        <f t="shared" si="96"/>
        <v>300</v>
      </c>
      <c r="T55" s="8">
        <f t="shared" si="96"/>
        <v>300</v>
      </c>
      <c r="U55" s="8">
        <f t="shared" si="96"/>
        <v>300</v>
      </c>
      <c r="V55" s="8">
        <f t="shared" si="96"/>
        <v>300</v>
      </c>
      <c r="W55" s="8">
        <f t="shared" si="96"/>
        <v>300</v>
      </c>
      <c r="X55" s="8">
        <f t="shared" si="96"/>
        <v>300</v>
      </c>
      <c r="Y55" s="8">
        <f t="shared" si="96"/>
        <v>300</v>
      </c>
      <c r="Z55" s="8">
        <f t="shared" si="96"/>
        <v>300</v>
      </c>
      <c r="AA55" s="8">
        <f t="shared" si="96"/>
        <v>300</v>
      </c>
      <c r="AB55" s="8">
        <f t="shared" si="96"/>
        <v>300</v>
      </c>
      <c r="AC55" s="8">
        <f t="shared" si="96"/>
        <v>300</v>
      </c>
      <c r="AD55" s="8">
        <f t="shared" si="96"/>
        <v>300</v>
      </c>
      <c r="AE55" s="8">
        <f t="shared" si="96"/>
        <v>300</v>
      </c>
      <c r="AF55" s="8">
        <f t="shared" si="96"/>
        <v>300</v>
      </c>
      <c r="AG55" s="8">
        <f t="shared" si="96"/>
        <v>300</v>
      </c>
      <c r="AH55" s="8" t="str">
        <f t="shared" si="96"/>
        <v/>
      </c>
      <c r="AI55" s="8" t="str">
        <f t="shared" si="96"/>
        <v/>
      </c>
      <c r="AJ55" s="8" t="str">
        <f t="shared" si="96"/>
        <v/>
      </c>
      <c r="AK55" s="8" t="str">
        <f t="shared" si="96"/>
        <v/>
      </c>
      <c r="AL55" s="8" t="str">
        <f t="shared" si="96"/>
        <v/>
      </c>
      <c r="AM55" s="8" t="str">
        <f t="shared" si="96"/>
        <v/>
      </c>
      <c r="AN55" s="8" t="str">
        <f t="shared" si="96"/>
        <v/>
      </c>
      <c r="AO55" s="8" t="str">
        <f t="shared" ref="AO55:AS55" si="97">IF(AO51="","",AN55)</f>
        <v/>
      </c>
      <c r="AP55" s="8" t="str">
        <f t="shared" si="97"/>
        <v/>
      </c>
      <c r="AQ55" s="8" t="str">
        <f t="shared" si="97"/>
        <v/>
      </c>
      <c r="AR55" s="8" t="str">
        <f t="shared" si="97"/>
        <v/>
      </c>
      <c r="AS55" s="8" t="str">
        <f t="shared" si="97"/>
        <v/>
      </c>
    </row>
    <row r="56" spans="1:45" s="94" customFormat="1">
      <c r="A56" s="14" t="s">
        <v>9</v>
      </c>
      <c r="B56" s="13" t="s">
        <v>10</v>
      </c>
      <c r="C56" s="75" t="s">
        <v>86</v>
      </c>
      <c r="D56" s="12" t="str">
        <f t="shared" ref="D56:AN56" si="98">IF(D51="","",C56)</f>
        <v>ぶるりんピンキーブラック</v>
      </c>
      <c r="E56" s="12" t="str">
        <f t="shared" si="98"/>
        <v>ぶるりんピンキーブラック</v>
      </c>
      <c r="F56" s="12" t="str">
        <f t="shared" si="98"/>
        <v>ぶるりんピンキーブラック</v>
      </c>
      <c r="G56" s="131" t="str">
        <f t="shared" si="98"/>
        <v>ぶるりんピンキーブラック</v>
      </c>
      <c r="H56" s="12" t="str">
        <f t="shared" si="98"/>
        <v>ぶるりんピンキーブラック</v>
      </c>
      <c r="I56" s="12" t="str">
        <f t="shared" si="98"/>
        <v>ぶるりんピンキーブラック</v>
      </c>
      <c r="J56" s="131" t="str">
        <f t="shared" si="98"/>
        <v>ぶるりんピンキーブラック</v>
      </c>
      <c r="K56" s="12" t="str">
        <f t="shared" si="98"/>
        <v>ぶるりんピンキーブラック</v>
      </c>
      <c r="L56" s="12" t="str">
        <f t="shared" si="98"/>
        <v>ぶるりんピンキーブラック</v>
      </c>
      <c r="M56" s="131" t="str">
        <f t="shared" si="98"/>
        <v>ぶるりんピンキーブラック</v>
      </c>
      <c r="N56" s="12" t="str">
        <f t="shared" si="98"/>
        <v>ぶるりんピンキーブラック</v>
      </c>
      <c r="O56" s="12" t="str">
        <f t="shared" si="98"/>
        <v>ぶるりんピンキーブラック</v>
      </c>
      <c r="P56" s="12" t="str">
        <f t="shared" si="98"/>
        <v>ぶるりんピンキーブラック</v>
      </c>
      <c r="Q56" s="131" t="str">
        <f t="shared" si="98"/>
        <v>ぶるりんピンキーブラック</v>
      </c>
      <c r="R56" s="12" t="str">
        <f t="shared" si="98"/>
        <v>ぶるりんピンキーブラック</v>
      </c>
      <c r="S56" s="12" t="str">
        <f t="shared" si="98"/>
        <v>ぶるりんピンキーブラック</v>
      </c>
      <c r="T56" s="12" t="str">
        <f t="shared" si="98"/>
        <v>ぶるりんピンキーブラック</v>
      </c>
      <c r="U56" s="12" t="str">
        <f t="shared" si="98"/>
        <v>ぶるりんピンキーブラック</v>
      </c>
      <c r="V56" s="12" t="str">
        <f t="shared" si="98"/>
        <v>ぶるりんピンキーブラック</v>
      </c>
      <c r="W56" s="12" t="str">
        <f t="shared" si="98"/>
        <v>ぶるりんピンキーブラック</v>
      </c>
      <c r="X56" s="12" t="str">
        <f t="shared" si="98"/>
        <v>ぶるりんピンキーブラック</v>
      </c>
      <c r="Y56" s="12" t="str">
        <f t="shared" si="98"/>
        <v>ぶるりんピンキーブラック</v>
      </c>
      <c r="Z56" s="12" t="str">
        <f t="shared" si="98"/>
        <v>ぶるりんピンキーブラック</v>
      </c>
      <c r="AA56" s="12" t="str">
        <f t="shared" si="98"/>
        <v>ぶるりんピンキーブラック</v>
      </c>
      <c r="AB56" s="12" t="str">
        <f t="shared" si="98"/>
        <v>ぶるりんピンキーブラック</v>
      </c>
      <c r="AC56" s="12" t="str">
        <f t="shared" si="98"/>
        <v>ぶるりんピンキーブラック</v>
      </c>
      <c r="AD56" s="12" t="str">
        <f t="shared" si="98"/>
        <v>ぶるりんピンキーブラック</v>
      </c>
      <c r="AE56" s="12" t="str">
        <f t="shared" si="98"/>
        <v>ぶるりんピンキーブラック</v>
      </c>
      <c r="AF56" s="12" t="str">
        <f t="shared" si="98"/>
        <v>ぶるりんピンキーブラック</v>
      </c>
      <c r="AG56" s="12" t="str">
        <f t="shared" si="98"/>
        <v>ぶるりんピンキーブラック</v>
      </c>
      <c r="AH56" s="12" t="str">
        <f t="shared" si="98"/>
        <v/>
      </c>
      <c r="AI56" s="12" t="str">
        <f t="shared" si="98"/>
        <v/>
      </c>
      <c r="AJ56" s="12" t="str">
        <f t="shared" si="98"/>
        <v/>
      </c>
      <c r="AK56" s="12" t="str">
        <f t="shared" si="98"/>
        <v/>
      </c>
      <c r="AL56" s="12" t="str">
        <f t="shared" si="98"/>
        <v/>
      </c>
      <c r="AM56" s="12" t="str">
        <f t="shared" si="98"/>
        <v/>
      </c>
      <c r="AN56" s="12" t="str">
        <f t="shared" si="98"/>
        <v/>
      </c>
      <c r="AO56" s="12" t="str">
        <f t="shared" ref="AO56:AS56" si="99">IF(AO51="","",AN56)</f>
        <v/>
      </c>
      <c r="AP56" s="12" t="str">
        <f t="shared" si="99"/>
        <v/>
      </c>
      <c r="AQ56" s="12" t="str">
        <f t="shared" si="99"/>
        <v/>
      </c>
      <c r="AR56" s="12" t="str">
        <f t="shared" si="99"/>
        <v/>
      </c>
      <c r="AS56" s="12" t="str">
        <f t="shared" si="99"/>
        <v/>
      </c>
    </row>
    <row r="57" spans="1:45">
      <c r="A57" s="7">
        <f>AVERAGE(C58:AS58)*30*100</f>
        <v>31258.064516129038</v>
      </c>
      <c r="B57" s="9" t="s">
        <v>14</v>
      </c>
      <c r="C57" s="74"/>
      <c r="D57" s="8"/>
      <c r="E57" s="8"/>
      <c r="F57" s="8"/>
      <c r="G57" s="59"/>
      <c r="H57" s="8"/>
      <c r="I57" s="8"/>
      <c r="J57" s="59"/>
      <c r="K57" s="8"/>
      <c r="L57" s="8"/>
      <c r="M57" s="59"/>
      <c r="N57" s="8"/>
      <c r="O57" s="8"/>
      <c r="P57" s="8"/>
      <c r="Q57" s="59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>
      <c r="A58" s="7">
        <f>SUM(C58:AS58)</f>
        <v>323</v>
      </c>
      <c r="B58" s="6" t="s">
        <v>15</v>
      </c>
      <c r="C58" s="74">
        <v>0</v>
      </c>
      <c r="D58" s="5">
        <f t="shared" ref="D58:AN58" si="100">IF(D51="","",D51-C51)</f>
        <v>0</v>
      </c>
      <c r="E58" s="5">
        <f t="shared" si="100"/>
        <v>0</v>
      </c>
      <c r="F58" s="5">
        <f t="shared" si="100"/>
        <v>48</v>
      </c>
      <c r="G58" s="59">
        <f t="shared" si="100"/>
        <v>0</v>
      </c>
      <c r="H58" s="5">
        <f t="shared" si="100"/>
        <v>0</v>
      </c>
      <c r="I58" s="5">
        <f t="shared" si="100"/>
        <v>42</v>
      </c>
      <c r="J58" s="59">
        <f t="shared" si="100"/>
        <v>0</v>
      </c>
      <c r="K58" s="5">
        <f t="shared" si="100"/>
        <v>0</v>
      </c>
      <c r="L58" s="5">
        <f t="shared" si="100"/>
        <v>48</v>
      </c>
      <c r="M58" s="59">
        <f t="shared" si="100"/>
        <v>0</v>
      </c>
      <c r="N58" s="5">
        <f t="shared" si="100"/>
        <v>0</v>
      </c>
      <c r="O58" s="5">
        <f t="shared" si="100"/>
        <v>0</v>
      </c>
      <c r="P58" s="5">
        <f t="shared" si="100"/>
        <v>48</v>
      </c>
      <c r="Q58" s="59">
        <f t="shared" si="100"/>
        <v>0</v>
      </c>
      <c r="R58" s="5">
        <f t="shared" si="100"/>
        <v>0</v>
      </c>
      <c r="S58" s="5">
        <f t="shared" si="100"/>
        <v>36</v>
      </c>
      <c r="T58" s="5">
        <f t="shared" si="100"/>
        <v>0</v>
      </c>
      <c r="U58" s="5">
        <f t="shared" si="100"/>
        <v>0</v>
      </c>
      <c r="V58" s="5">
        <f t="shared" si="100"/>
        <v>0</v>
      </c>
      <c r="W58" s="5">
        <f t="shared" si="100"/>
        <v>7</v>
      </c>
      <c r="X58" s="5">
        <f t="shared" si="100"/>
        <v>0</v>
      </c>
      <c r="Y58" s="5">
        <f t="shared" si="100"/>
        <v>0</v>
      </c>
      <c r="Z58" s="5">
        <f t="shared" si="100"/>
        <v>19</v>
      </c>
      <c r="AA58" s="5">
        <f t="shared" si="100"/>
        <v>0</v>
      </c>
      <c r="AB58" s="5">
        <f t="shared" si="100"/>
        <v>0</v>
      </c>
      <c r="AC58" s="5">
        <f t="shared" si="100"/>
        <v>0</v>
      </c>
      <c r="AD58" s="5">
        <f t="shared" si="100"/>
        <v>20</v>
      </c>
      <c r="AE58" s="5">
        <f t="shared" si="100"/>
        <v>0</v>
      </c>
      <c r="AF58" s="5">
        <f t="shared" si="100"/>
        <v>0</v>
      </c>
      <c r="AG58" s="5">
        <f t="shared" si="100"/>
        <v>55</v>
      </c>
      <c r="AH58" s="5" t="str">
        <f t="shared" si="100"/>
        <v/>
      </c>
      <c r="AI58" s="5" t="str">
        <f t="shared" si="100"/>
        <v/>
      </c>
      <c r="AJ58" s="5" t="str">
        <f t="shared" si="100"/>
        <v/>
      </c>
      <c r="AK58" s="5" t="str">
        <f t="shared" si="100"/>
        <v/>
      </c>
      <c r="AL58" s="5" t="str">
        <f t="shared" si="100"/>
        <v/>
      </c>
      <c r="AM58" s="5" t="str">
        <f t="shared" si="100"/>
        <v/>
      </c>
      <c r="AN58" s="5" t="str">
        <f t="shared" si="100"/>
        <v/>
      </c>
      <c r="AO58" s="5" t="str">
        <f t="shared" ref="AO58:AS58" si="101">IF(AO51="","",AO51-AN51)</f>
        <v/>
      </c>
      <c r="AP58" s="5" t="str">
        <f t="shared" si="101"/>
        <v/>
      </c>
      <c r="AQ58" s="5" t="str">
        <f t="shared" si="101"/>
        <v/>
      </c>
      <c r="AR58" s="5" t="str">
        <f t="shared" si="101"/>
        <v/>
      </c>
      <c r="AS58" s="5" t="str">
        <f t="shared" si="101"/>
        <v/>
      </c>
    </row>
    <row r="59" spans="1:45">
      <c r="A59" s="7">
        <v>4</v>
      </c>
      <c r="B59" s="6" t="s">
        <v>16</v>
      </c>
      <c r="C59" s="74">
        <v>0</v>
      </c>
      <c r="D59" s="5">
        <f t="shared" ref="D59:AN59" si="102">IF(D52="","",D52-C52)</f>
        <v>0</v>
      </c>
      <c r="E59" s="5">
        <f t="shared" si="102"/>
        <v>0</v>
      </c>
      <c r="F59" s="5">
        <f t="shared" si="102"/>
        <v>2</v>
      </c>
      <c r="G59" s="59">
        <f t="shared" si="102"/>
        <v>0</v>
      </c>
      <c r="H59" s="5">
        <f t="shared" si="102"/>
        <v>0</v>
      </c>
      <c r="I59" s="5">
        <f t="shared" si="102"/>
        <v>4</v>
      </c>
      <c r="J59" s="59">
        <f t="shared" si="102"/>
        <v>0</v>
      </c>
      <c r="K59" s="5">
        <f t="shared" si="102"/>
        <v>0</v>
      </c>
      <c r="L59" s="5">
        <f t="shared" si="102"/>
        <v>2</v>
      </c>
      <c r="M59" s="59">
        <f t="shared" si="102"/>
        <v>0</v>
      </c>
      <c r="N59" s="5">
        <f t="shared" si="102"/>
        <v>0</v>
      </c>
      <c r="O59" s="5">
        <f t="shared" si="102"/>
        <v>0</v>
      </c>
      <c r="P59" s="5">
        <f t="shared" si="102"/>
        <v>3</v>
      </c>
      <c r="Q59" s="59">
        <f t="shared" si="102"/>
        <v>0</v>
      </c>
      <c r="R59" s="5">
        <f t="shared" si="102"/>
        <v>0</v>
      </c>
      <c r="S59" s="5">
        <f t="shared" si="102"/>
        <v>0</v>
      </c>
      <c r="T59" s="5">
        <f t="shared" si="102"/>
        <v>0</v>
      </c>
      <c r="U59" s="5">
        <f t="shared" si="102"/>
        <v>0</v>
      </c>
      <c r="V59" s="5">
        <f t="shared" si="102"/>
        <v>0</v>
      </c>
      <c r="W59" s="5">
        <f t="shared" si="102"/>
        <v>0</v>
      </c>
      <c r="X59" s="5">
        <f t="shared" si="102"/>
        <v>0</v>
      </c>
      <c r="Y59" s="5">
        <f t="shared" si="102"/>
        <v>0</v>
      </c>
      <c r="Z59" s="5">
        <f t="shared" si="102"/>
        <v>0</v>
      </c>
      <c r="AA59" s="5">
        <f t="shared" si="102"/>
        <v>0</v>
      </c>
      <c r="AB59" s="5">
        <f t="shared" si="102"/>
        <v>0</v>
      </c>
      <c r="AC59" s="5">
        <f t="shared" si="102"/>
        <v>0</v>
      </c>
      <c r="AD59" s="5">
        <f t="shared" si="102"/>
        <v>2</v>
      </c>
      <c r="AE59" s="5">
        <f t="shared" si="102"/>
        <v>0</v>
      </c>
      <c r="AF59" s="5">
        <f t="shared" si="102"/>
        <v>0</v>
      </c>
      <c r="AG59" s="5">
        <f t="shared" si="102"/>
        <v>1</v>
      </c>
      <c r="AH59" s="5" t="str">
        <f t="shared" si="102"/>
        <v/>
      </c>
      <c r="AI59" s="5" t="str">
        <f t="shared" si="102"/>
        <v/>
      </c>
      <c r="AJ59" s="5" t="str">
        <f t="shared" si="102"/>
        <v/>
      </c>
      <c r="AK59" s="5" t="str">
        <f t="shared" si="102"/>
        <v/>
      </c>
      <c r="AL59" s="5" t="str">
        <f t="shared" si="102"/>
        <v/>
      </c>
      <c r="AM59" s="5" t="str">
        <f t="shared" si="102"/>
        <v/>
      </c>
      <c r="AN59" s="5" t="str">
        <f t="shared" si="102"/>
        <v/>
      </c>
      <c r="AO59" s="5" t="str">
        <f t="shared" ref="AO59:AS59" si="103">IF(AO52="","",AO52-AN52)</f>
        <v/>
      </c>
      <c r="AP59" s="5" t="str">
        <f t="shared" si="103"/>
        <v/>
      </c>
      <c r="AQ59" s="5" t="str">
        <f t="shared" si="103"/>
        <v/>
      </c>
      <c r="AR59" s="5" t="str">
        <f t="shared" si="103"/>
        <v/>
      </c>
      <c r="AS59" s="5" t="str">
        <f t="shared" si="103"/>
        <v/>
      </c>
    </row>
    <row r="60" spans="1:45">
      <c r="A60" s="7">
        <v>-13</v>
      </c>
      <c r="B60" s="6" t="s">
        <v>17</v>
      </c>
      <c r="C60" s="74">
        <v>0</v>
      </c>
      <c r="D60" s="5">
        <f t="shared" ref="D60:AN60" si="104">IF(D53="","",C53+C54-D53)</f>
        <v>0</v>
      </c>
      <c r="E60" s="5">
        <f t="shared" si="104"/>
        <v>0</v>
      </c>
      <c r="F60" s="5">
        <f t="shared" si="104"/>
        <v>2</v>
      </c>
      <c r="G60" s="59">
        <f t="shared" si="104"/>
        <v>0</v>
      </c>
      <c r="H60" s="5">
        <f t="shared" si="104"/>
        <v>0</v>
      </c>
      <c r="I60" s="5">
        <f t="shared" si="104"/>
        <v>4</v>
      </c>
      <c r="J60" s="59">
        <f t="shared" si="104"/>
        <v>0</v>
      </c>
      <c r="K60" s="5">
        <f t="shared" si="104"/>
        <v>0</v>
      </c>
      <c r="L60" s="5">
        <f t="shared" si="104"/>
        <v>2</v>
      </c>
      <c r="M60" s="59">
        <f t="shared" si="104"/>
        <v>0</v>
      </c>
      <c r="N60" s="5">
        <f t="shared" si="104"/>
        <v>0</v>
      </c>
      <c r="O60" s="5">
        <f t="shared" si="104"/>
        <v>0</v>
      </c>
      <c r="P60" s="5">
        <f t="shared" si="104"/>
        <v>3</v>
      </c>
      <c r="Q60" s="59">
        <f t="shared" si="104"/>
        <v>0</v>
      </c>
      <c r="R60" s="5">
        <f t="shared" si="104"/>
        <v>0</v>
      </c>
      <c r="S60" s="5">
        <f t="shared" si="104"/>
        <v>0</v>
      </c>
      <c r="T60" s="5">
        <f t="shared" si="104"/>
        <v>0</v>
      </c>
      <c r="U60" s="5">
        <f t="shared" si="104"/>
        <v>0</v>
      </c>
      <c r="V60" s="5">
        <f t="shared" si="104"/>
        <v>0</v>
      </c>
      <c r="W60" s="5">
        <f t="shared" si="104"/>
        <v>0</v>
      </c>
      <c r="X60" s="5">
        <f t="shared" si="104"/>
        <v>0</v>
      </c>
      <c r="Y60" s="5">
        <f t="shared" si="104"/>
        <v>0</v>
      </c>
      <c r="Z60" s="5">
        <f t="shared" si="104"/>
        <v>0</v>
      </c>
      <c r="AA60" s="5">
        <f t="shared" si="104"/>
        <v>0</v>
      </c>
      <c r="AB60" s="5">
        <f t="shared" si="104"/>
        <v>0</v>
      </c>
      <c r="AC60" s="5">
        <f t="shared" si="104"/>
        <v>0</v>
      </c>
      <c r="AD60" s="5">
        <f t="shared" si="104"/>
        <v>2</v>
      </c>
      <c r="AE60" s="5">
        <f t="shared" si="104"/>
        <v>0</v>
      </c>
      <c r="AF60" s="5">
        <f t="shared" si="104"/>
        <v>0</v>
      </c>
      <c r="AG60" s="5">
        <f t="shared" si="104"/>
        <v>1</v>
      </c>
      <c r="AH60" s="5" t="str">
        <f t="shared" si="104"/>
        <v/>
      </c>
      <c r="AI60" s="5" t="str">
        <f t="shared" si="104"/>
        <v/>
      </c>
      <c r="AJ60" s="5" t="str">
        <f t="shared" si="104"/>
        <v/>
      </c>
      <c r="AK60" s="5" t="str">
        <f t="shared" si="104"/>
        <v/>
      </c>
      <c r="AL60" s="5" t="str">
        <f t="shared" si="104"/>
        <v/>
      </c>
      <c r="AM60" s="5" t="str">
        <f t="shared" si="104"/>
        <v/>
      </c>
      <c r="AN60" s="5" t="str">
        <f t="shared" si="104"/>
        <v/>
      </c>
      <c r="AO60" s="5" t="str">
        <f t="shared" ref="AO60:AS60" si="105">IF(AO53="","",AN53+AN54-AO53)</f>
        <v/>
      </c>
      <c r="AP60" s="5" t="str">
        <f t="shared" si="105"/>
        <v/>
      </c>
      <c r="AQ60" s="5" t="str">
        <f t="shared" si="105"/>
        <v/>
      </c>
      <c r="AR60" s="5" t="str">
        <f t="shared" si="105"/>
        <v/>
      </c>
      <c r="AS60" s="5" t="str">
        <f t="shared" si="105"/>
        <v/>
      </c>
    </row>
    <row r="61" spans="1:45">
      <c r="A61" s="7">
        <v>-3900</v>
      </c>
      <c r="B61" s="6" t="s">
        <v>18</v>
      </c>
      <c r="C61" s="74">
        <v>0</v>
      </c>
      <c r="D61" s="5">
        <f t="shared" ref="D61:AN61" si="106">IF(D51="","",D60*D55)</f>
        <v>0</v>
      </c>
      <c r="E61" s="5">
        <f t="shared" si="106"/>
        <v>0</v>
      </c>
      <c r="F61" s="5">
        <f t="shared" si="106"/>
        <v>600</v>
      </c>
      <c r="G61" s="59">
        <f t="shared" si="106"/>
        <v>0</v>
      </c>
      <c r="H61" s="5">
        <f t="shared" si="106"/>
        <v>0</v>
      </c>
      <c r="I61" s="5">
        <f t="shared" si="106"/>
        <v>1200</v>
      </c>
      <c r="J61" s="59">
        <f t="shared" si="106"/>
        <v>0</v>
      </c>
      <c r="K61" s="5">
        <f t="shared" si="106"/>
        <v>0</v>
      </c>
      <c r="L61" s="5">
        <f t="shared" si="106"/>
        <v>600</v>
      </c>
      <c r="M61" s="59">
        <f t="shared" si="106"/>
        <v>0</v>
      </c>
      <c r="N61" s="5">
        <f t="shared" si="106"/>
        <v>0</v>
      </c>
      <c r="O61" s="5">
        <f t="shared" si="106"/>
        <v>0</v>
      </c>
      <c r="P61" s="5">
        <f t="shared" si="106"/>
        <v>900</v>
      </c>
      <c r="Q61" s="59">
        <f t="shared" si="106"/>
        <v>0</v>
      </c>
      <c r="R61" s="5">
        <f t="shared" si="106"/>
        <v>0</v>
      </c>
      <c r="S61" s="5">
        <f t="shared" si="106"/>
        <v>0</v>
      </c>
      <c r="T61" s="5">
        <f t="shared" si="106"/>
        <v>0</v>
      </c>
      <c r="U61" s="5">
        <f t="shared" si="106"/>
        <v>0</v>
      </c>
      <c r="V61" s="5">
        <f t="shared" si="106"/>
        <v>0</v>
      </c>
      <c r="W61" s="5">
        <f t="shared" si="106"/>
        <v>0</v>
      </c>
      <c r="X61" s="5">
        <f t="shared" si="106"/>
        <v>0</v>
      </c>
      <c r="Y61" s="5">
        <f t="shared" si="106"/>
        <v>0</v>
      </c>
      <c r="Z61" s="5">
        <f t="shared" si="106"/>
        <v>0</v>
      </c>
      <c r="AA61" s="5">
        <f t="shared" si="106"/>
        <v>0</v>
      </c>
      <c r="AB61" s="5">
        <f t="shared" si="106"/>
        <v>0</v>
      </c>
      <c r="AC61" s="5">
        <f t="shared" si="106"/>
        <v>0</v>
      </c>
      <c r="AD61" s="5">
        <f t="shared" si="106"/>
        <v>600</v>
      </c>
      <c r="AE61" s="5">
        <f t="shared" si="106"/>
        <v>0</v>
      </c>
      <c r="AF61" s="5">
        <f t="shared" si="106"/>
        <v>0</v>
      </c>
      <c r="AG61" s="5">
        <f t="shared" si="106"/>
        <v>300</v>
      </c>
      <c r="AH61" s="5" t="str">
        <f t="shared" si="106"/>
        <v/>
      </c>
      <c r="AI61" s="5" t="str">
        <f t="shared" si="106"/>
        <v/>
      </c>
      <c r="AJ61" s="5" t="str">
        <f t="shared" si="106"/>
        <v/>
      </c>
      <c r="AK61" s="5" t="str">
        <f t="shared" si="106"/>
        <v/>
      </c>
      <c r="AL61" s="5" t="str">
        <f t="shared" si="106"/>
        <v/>
      </c>
      <c r="AM61" s="5" t="str">
        <f t="shared" si="106"/>
        <v/>
      </c>
      <c r="AN61" s="5" t="str">
        <f t="shared" si="106"/>
        <v/>
      </c>
      <c r="AO61" s="5" t="str">
        <f t="shared" ref="AO61:AS61" si="107">IF(AO51="","",AO60*AO55)</f>
        <v/>
      </c>
      <c r="AP61" s="5" t="str">
        <f t="shared" si="107"/>
        <v/>
      </c>
      <c r="AQ61" s="5" t="str">
        <f t="shared" si="107"/>
        <v/>
      </c>
      <c r="AR61" s="5" t="str">
        <f t="shared" si="107"/>
        <v/>
      </c>
      <c r="AS61" s="5" t="str">
        <f t="shared" si="107"/>
        <v/>
      </c>
    </row>
    <row r="62" spans="1:45" ht="12" thickBot="1">
      <c r="A62" s="4">
        <v>-0.3</v>
      </c>
      <c r="B62" s="6" t="s">
        <v>20</v>
      </c>
      <c r="C62" s="76" t="s">
        <v>21</v>
      </c>
      <c r="D62" s="18" t="str">
        <f t="shared" ref="D62:AN62" si="108">IF(D61="","",IF(D61=0,"",D61/(D58*100)))</f>
        <v/>
      </c>
      <c r="E62" s="18" t="str">
        <f t="shared" si="108"/>
        <v/>
      </c>
      <c r="F62" s="18">
        <f t="shared" si="108"/>
        <v>0.125</v>
      </c>
      <c r="G62" s="62" t="str">
        <f t="shared" si="108"/>
        <v/>
      </c>
      <c r="H62" s="18" t="str">
        <f t="shared" si="108"/>
        <v/>
      </c>
      <c r="I62" s="18">
        <f t="shared" si="108"/>
        <v>0.2857142857142857</v>
      </c>
      <c r="J62" s="62" t="str">
        <f t="shared" si="108"/>
        <v/>
      </c>
      <c r="K62" s="18" t="str">
        <f t="shared" si="108"/>
        <v/>
      </c>
      <c r="L62" s="18">
        <f t="shared" si="108"/>
        <v>0.125</v>
      </c>
      <c r="M62" s="62" t="str">
        <f t="shared" si="108"/>
        <v/>
      </c>
      <c r="N62" s="18" t="str">
        <f t="shared" si="108"/>
        <v/>
      </c>
      <c r="O62" s="18" t="str">
        <f t="shared" si="108"/>
        <v/>
      </c>
      <c r="P62" s="18">
        <f t="shared" si="108"/>
        <v>0.1875</v>
      </c>
      <c r="Q62" s="62" t="str">
        <f t="shared" si="108"/>
        <v/>
      </c>
      <c r="R62" s="18" t="str">
        <f t="shared" si="108"/>
        <v/>
      </c>
      <c r="S62" s="18" t="str">
        <f t="shared" si="108"/>
        <v/>
      </c>
      <c r="T62" s="18" t="str">
        <f t="shared" si="108"/>
        <v/>
      </c>
      <c r="U62" s="18" t="str">
        <f t="shared" si="108"/>
        <v/>
      </c>
      <c r="V62" s="18" t="str">
        <f t="shared" si="108"/>
        <v/>
      </c>
      <c r="W62" s="18" t="str">
        <f t="shared" si="108"/>
        <v/>
      </c>
      <c r="X62" s="18" t="str">
        <f t="shared" si="108"/>
        <v/>
      </c>
      <c r="Y62" s="18" t="str">
        <f t="shared" si="108"/>
        <v/>
      </c>
      <c r="Z62" s="18" t="str">
        <f t="shared" si="108"/>
        <v/>
      </c>
      <c r="AA62" s="18" t="str">
        <f t="shared" si="108"/>
        <v/>
      </c>
      <c r="AB62" s="18" t="str">
        <f t="shared" si="108"/>
        <v/>
      </c>
      <c r="AC62" s="18" t="str">
        <f t="shared" si="108"/>
        <v/>
      </c>
      <c r="AD62" s="18">
        <f t="shared" si="108"/>
        <v>0.3</v>
      </c>
      <c r="AE62" s="18" t="str">
        <f t="shared" si="108"/>
        <v/>
      </c>
      <c r="AF62" s="18" t="str">
        <f t="shared" si="108"/>
        <v/>
      </c>
      <c r="AG62" s="18">
        <f t="shared" si="108"/>
        <v>5.4545454545454543E-2</v>
      </c>
      <c r="AH62" s="18" t="str">
        <f t="shared" si="108"/>
        <v/>
      </c>
      <c r="AI62" s="18" t="str">
        <f t="shared" si="108"/>
        <v/>
      </c>
      <c r="AJ62" s="18" t="str">
        <f t="shared" si="108"/>
        <v/>
      </c>
      <c r="AK62" s="18" t="str">
        <f t="shared" si="108"/>
        <v/>
      </c>
      <c r="AL62" s="18" t="str">
        <f t="shared" si="108"/>
        <v/>
      </c>
      <c r="AM62" s="18" t="str">
        <f t="shared" si="108"/>
        <v/>
      </c>
      <c r="AN62" s="18" t="str">
        <f t="shared" si="108"/>
        <v/>
      </c>
      <c r="AO62" s="18" t="str">
        <f t="shared" ref="AO62:AS62" si="109">IF(AO61="","",IF(AO61=0,"",AO61/(AO58*100)))</f>
        <v/>
      </c>
      <c r="AP62" s="18" t="str">
        <f t="shared" si="109"/>
        <v/>
      </c>
      <c r="AQ62" s="18" t="str">
        <f t="shared" si="109"/>
        <v/>
      </c>
      <c r="AR62" s="18" t="str">
        <f t="shared" si="109"/>
        <v/>
      </c>
      <c r="AS62" s="18" t="str">
        <f t="shared" si="109"/>
        <v/>
      </c>
    </row>
    <row r="63" spans="1:45">
      <c r="A63" s="17" t="s">
        <v>78</v>
      </c>
      <c r="B63" s="9" t="s">
        <v>2</v>
      </c>
      <c r="C63" s="74">
        <v>10787</v>
      </c>
      <c r="D63" s="8">
        <f>IF(D$3="","",C63)</f>
        <v>10787</v>
      </c>
      <c r="E63" s="8">
        <f>IF(E$3="","",D63)</f>
        <v>10787</v>
      </c>
      <c r="F63" s="8">
        <v>10894</v>
      </c>
      <c r="G63" s="59">
        <f>IF(G$3="","",F63)</f>
        <v>10894</v>
      </c>
      <c r="H63" s="8">
        <f>IF(H$3="","",G63)</f>
        <v>10894</v>
      </c>
      <c r="I63" s="8">
        <v>10913</v>
      </c>
      <c r="J63" s="59">
        <f>IF(J$3="","",I63)</f>
        <v>10913</v>
      </c>
      <c r="K63" s="8">
        <f>IF(K$3="","",J63)</f>
        <v>10913</v>
      </c>
      <c r="L63" s="8">
        <v>10951</v>
      </c>
      <c r="M63" s="59">
        <f t="shared" ref="M63:O64" si="110">IF(M$3="","",L63)</f>
        <v>10951</v>
      </c>
      <c r="N63" s="8">
        <f t="shared" si="110"/>
        <v>10951</v>
      </c>
      <c r="O63" s="8">
        <f t="shared" si="110"/>
        <v>10951</v>
      </c>
      <c r="P63" s="8">
        <v>10988</v>
      </c>
      <c r="Q63" s="59">
        <f>IF(Q$3="","",P63)</f>
        <v>10988</v>
      </c>
      <c r="R63" s="8">
        <f>IF(R$3="","",Q63)</f>
        <v>10988</v>
      </c>
      <c r="S63" s="8">
        <v>11094</v>
      </c>
      <c r="T63" s="8">
        <f t="shared" ref="T63:AN63" si="111">IF(T$3="","",S63)</f>
        <v>11094</v>
      </c>
      <c r="U63" s="8">
        <f t="shared" si="111"/>
        <v>11094</v>
      </c>
      <c r="V63" s="8">
        <f t="shared" si="111"/>
        <v>11094</v>
      </c>
      <c r="W63" s="8">
        <v>11144</v>
      </c>
      <c r="X63" s="8">
        <f t="shared" si="111"/>
        <v>11144</v>
      </c>
      <c r="Y63" s="8">
        <f t="shared" si="111"/>
        <v>11144</v>
      </c>
      <c r="Z63" s="8">
        <v>11190</v>
      </c>
      <c r="AA63" s="8">
        <f t="shared" si="111"/>
        <v>11190</v>
      </c>
      <c r="AB63" s="8">
        <f t="shared" si="111"/>
        <v>11190</v>
      </c>
      <c r="AC63" s="8">
        <f t="shared" si="111"/>
        <v>11190</v>
      </c>
      <c r="AD63" s="8">
        <v>11228</v>
      </c>
      <c r="AE63" s="8">
        <f t="shared" si="111"/>
        <v>11228</v>
      </c>
      <c r="AF63" s="8">
        <f t="shared" si="111"/>
        <v>11228</v>
      </c>
      <c r="AG63" s="8">
        <v>11300</v>
      </c>
      <c r="AH63" s="8" t="str">
        <f t="shared" si="111"/>
        <v/>
      </c>
      <c r="AI63" s="8" t="str">
        <f t="shared" si="111"/>
        <v/>
      </c>
      <c r="AJ63" s="8" t="str">
        <f t="shared" si="111"/>
        <v/>
      </c>
      <c r="AK63" s="8" t="str">
        <f t="shared" si="111"/>
        <v/>
      </c>
      <c r="AL63" s="8" t="str">
        <f t="shared" si="111"/>
        <v/>
      </c>
      <c r="AM63" s="8" t="str">
        <f t="shared" si="111"/>
        <v/>
      </c>
      <c r="AN63" s="8" t="str">
        <f t="shared" si="111"/>
        <v/>
      </c>
      <c r="AO63" s="8" t="str">
        <f t="shared" ref="AO63:AS63" si="112">IF(AO$3="","",AN63)</f>
        <v/>
      </c>
      <c r="AP63" s="8" t="str">
        <f t="shared" si="112"/>
        <v/>
      </c>
      <c r="AQ63" s="8" t="str">
        <f t="shared" si="112"/>
        <v/>
      </c>
      <c r="AR63" s="8" t="str">
        <f t="shared" si="112"/>
        <v/>
      </c>
      <c r="AS63" s="8" t="str">
        <f t="shared" si="112"/>
        <v/>
      </c>
    </row>
    <row r="64" spans="1:45">
      <c r="A64" s="16" t="s">
        <v>3</v>
      </c>
      <c r="B64" s="9" t="s">
        <v>4</v>
      </c>
      <c r="C64" s="74">
        <v>568</v>
      </c>
      <c r="D64" s="8">
        <f>IF(D$3="","",C64)</f>
        <v>568</v>
      </c>
      <c r="E64" s="8">
        <f>IF(E$3="","",D64)</f>
        <v>568</v>
      </c>
      <c r="F64" s="8">
        <v>572</v>
      </c>
      <c r="G64" s="59">
        <f>IF(G$3="","",F64)</f>
        <v>572</v>
      </c>
      <c r="H64" s="8">
        <f>IF(H$3="","",G64)</f>
        <v>572</v>
      </c>
      <c r="I64" s="8">
        <v>573</v>
      </c>
      <c r="J64" s="59">
        <f>IF(J$3="","",I64)</f>
        <v>573</v>
      </c>
      <c r="K64" s="8">
        <f>IF(K$3="","",J64)</f>
        <v>573</v>
      </c>
      <c r="L64" s="8">
        <v>575</v>
      </c>
      <c r="M64" s="59">
        <f t="shared" si="110"/>
        <v>575</v>
      </c>
      <c r="N64" s="8">
        <f t="shared" si="110"/>
        <v>575</v>
      </c>
      <c r="O64" s="8">
        <f t="shared" si="110"/>
        <v>575</v>
      </c>
      <c r="P64" s="8">
        <v>576</v>
      </c>
      <c r="Q64" s="59">
        <f>IF(Q$3="","",P64)</f>
        <v>576</v>
      </c>
      <c r="R64" s="8">
        <f>IF(R$3="","",Q64)</f>
        <v>576</v>
      </c>
      <c r="S64" s="8">
        <v>581</v>
      </c>
      <c r="T64" s="8">
        <f t="shared" ref="T64:AN64" si="113">IF(T$3="","",S64)</f>
        <v>581</v>
      </c>
      <c r="U64" s="8">
        <f t="shared" si="113"/>
        <v>581</v>
      </c>
      <c r="V64" s="8">
        <f t="shared" si="113"/>
        <v>581</v>
      </c>
      <c r="W64" s="8">
        <v>582</v>
      </c>
      <c r="X64" s="8">
        <f t="shared" si="113"/>
        <v>582</v>
      </c>
      <c r="Y64" s="8">
        <f t="shared" si="113"/>
        <v>582</v>
      </c>
      <c r="Z64" s="8">
        <v>583</v>
      </c>
      <c r="AA64" s="8">
        <f t="shared" si="113"/>
        <v>583</v>
      </c>
      <c r="AB64" s="8">
        <f t="shared" si="113"/>
        <v>583</v>
      </c>
      <c r="AC64" s="8">
        <f t="shared" si="113"/>
        <v>583</v>
      </c>
      <c r="AD64" s="8">
        <v>585</v>
      </c>
      <c r="AE64" s="8">
        <f t="shared" si="113"/>
        <v>585</v>
      </c>
      <c r="AF64" s="8">
        <f t="shared" si="113"/>
        <v>585</v>
      </c>
      <c r="AG64" s="8">
        <v>588</v>
      </c>
      <c r="AH64" s="8" t="str">
        <f t="shared" si="113"/>
        <v/>
      </c>
      <c r="AI64" s="8" t="str">
        <f t="shared" si="113"/>
        <v/>
      </c>
      <c r="AJ64" s="8" t="str">
        <f t="shared" si="113"/>
        <v/>
      </c>
      <c r="AK64" s="8" t="str">
        <f t="shared" si="113"/>
        <v/>
      </c>
      <c r="AL64" s="8" t="str">
        <f t="shared" si="113"/>
        <v/>
      </c>
      <c r="AM64" s="8" t="str">
        <f t="shared" si="113"/>
        <v/>
      </c>
      <c r="AN64" s="8" t="str">
        <f t="shared" si="113"/>
        <v/>
      </c>
      <c r="AO64" s="8" t="str">
        <f t="shared" ref="AO64:AS64" si="114">IF(AO$3="","",AN64)</f>
        <v/>
      </c>
      <c r="AP64" s="8" t="str">
        <f t="shared" si="114"/>
        <v/>
      </c>
      <c r="AQ64" s="8" t="str">
        <f t="shared" si="114"/>
        <v/>
      </c>
      <c r="AR64" s="8" t="str">
        <f t="shared" si="114"/>
        <v/>
      </c>
      <c r="AS64" s="8" t="str">
        <f t="shared" si="114"/>
        <v/>
      </c>
    </row>
    <row r="65" spans="1:45">
      <c r="A65" s="15">
        <v>3</v>
      </c>
      <c r="B65" s="9" t="s">
        <v>5</v>
      </c>
      <c r="C65" s="74">
        <v>15</v>
      </c>
      <c r="D65" s="8">
        <f>IF(D63="","",(C65+C66))</f>
        <v>15</v>
      </c>
      <c r="E65" s="8">
        <f>IF(E63="","",(D65+D66))</f>
        <v>15</v>
      </c>
      <c r="F65" s="8">
        <v>13</v>
      </c>
      <c r="G65" s="59">
        <f>IF(G63="","",(F65+F66))</f>
        <v>13</v>
      </c>
      <c r="H65" s="8">
        <f>IF(H63="","",(G65+G66))</f>
        <v>13</v>
      </c>
      <c r="I65" s="8">
        <v>12</v>
      </c>
      <c r="J65" s="59">
        <f>IF(J63="","",(I65+I66))</f>
        <v>12</v>
      </c>
      <c r="K65" s="8">
        <f>IF(K63="","",(J65+J66))</f>
        <v>12</v>
      </c>
      <c r="L65" s="8">
        <v>10</v>
      </c>
      <c r="M65" s="59">
        <f>IF(M63="","",(L65+L66))</f>
        <v>13</v>
      </c>
      <c r="N65" s="8">
        <f>IF(N63="","",(M65+M66))</f>
        <v>13</v>
      </c>
      <c r="O65" s="8">
        <f>IF(O63="","",(N65+N66))</f>
        <v>13</v>
      </c>
      <c r="P65" s="8">
        <v>12</v>
      </c>
      <c r="Q65" s="59">
        <f>IF(Q63="","",(P65+P66))</f>
        <v>20</v>
      </c>
      <c r="R65" s="8">
        <f>IF(R63="","",(Q65+Q66))</f>
        <v>20</v>
      </c>
      <c r="S65" s="8">
        <v>16</v>
      </c>
      <c r="T65" s="8">
        <f t="shared" ref="T65:AN65" si="115">IF(T63="","",(S65+S66))</f>
        <v>16</v>
      </c>
      <c r="U65" s="8">
        <f t="shared" si="115"/>
        <v>16</v>
      </c>
      <c r="V65" s="8">
        <f t="shared" si="115"/>
        <v>16</v>
      </c>
      <c r="W65" s="8">
        <v>15</v>
      </c>
      <c r="X65" s="8">
        <f t="shared" si="115"/>
        <v>15</v>
      </c>
      <c r="Y65" s="8">
        <f t="shared" si="115"/>
        <v>15</v>
      </c>
      <c r="Z65" s="8">
        <v>14</v>
      </c>
      <c r="AA65" s="8">
        <f t="shared" si="115"/>
        <v>14</v>
      </c>
      <c r="AB65" s="8">
        <f t="shared" si="115"/>
        <v>14</v>
      </c>
      <c r="AC65" s="8">
        <f t="shared" si="115"/>
        <v>14</v>
      </c>
      <c r="AD65" s="8">
        <v>12</v>
      </c>
      <c r="AE65" s="8">
        <f t="shared" si="115"/>
        <v>12</v>
      </c>
      <c r="AF65" s="8">
        <f t="shared" si="115"/>
        <v>12</v>
      </c>
      <c r="AG65" s="8">
        <v>9</v>
      </c>
      <c r="AH65" s="8" t="str">
        <f t="shared" si="115"/>
        <v/>
      </c>
      <c r="AI65" s="8" t="str">
        <f t="shared" si="115"/>
        <v/>
      </c>
      <c r="AJ65" s="8" t="str">
        <f t="shared" si="115"/>
        <v/>
      </c>
      <c r="AK65" s="8" t="str">
        <f t="shared" si="115"/>
        <v/>
      </c>
      <c r="AL65" s="8" t="str">
        <f t="shared" si="115"/>
        <v/>
      </c>
      <c r="AM65" s="8" t="str">
        <f t="shared" si="115"/>
        <v/>
      </c>
      <c r="AN65" s="8" t="str">
        <f t="shared" si="115"/>
        <v/>
      </c>
      <c r="AO65" s="8" t="str">
        <f t="shared" ref="AO65:AS65" si="116">IF(AO63="","",(AN65+AN66))</f>
        <v/>
      </c>
      <c r="AP65" s="8" t="str">
        <f t="shared" si="116"/>
        <v/>
      </c>
      <c r="AQ65" s="8" t="str">
        <f t="shared" si="116"/>
        <v/>
      </c>
      <c r="AR65" s="8" t="str">
        <f t="shared" si="116"/>
        <v/>
      </c>
      <c r="AS65" s="8" t="str">
        <f t="shared" si="116"/>
        <v/>
      </c>
    </row>
    <row r="66" spans="1:45">
      <c r="A66" s="14"/>
      <c r="B66" s="9" t="s">
        <v>7</v>
      </c>
      <c r="C66" s="74"/>
      <c r="D66" s="8"/>
      <c r="E66" s="8"/>
      <c r="F66" s="8"/>
      <c r="G66" s="59"/>
      <c r="H66" s="8"/>
      <c r="I66" s="8"/>
      <c r="J66" s="59"/>
      <c r="K66" s="8"/>
      <c r="L66" s="8">
        <v>3</v>
      </c>
      <c r="M66" s="59"/>
      <c r="N66" s="8"/>
      <c r="O66" s="8"/>
      <c r="P66" s="8">
        <v>8</v>
      </c>
      <c r="Q66" s="59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>
        <v>13</v>
      </c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>
      <c r="A67" s="7"/>
      <c r="B67" s="9" t="s">
        <v>8</v>
      </c>
      <c r="C67" s="74">
        <v>300</v>
      </c>
      <c r="D67" s="8">
        <f t="shared" ref="D67:AN67" si="117">IF(D63="","",C67)</f>
        <v>300</v>
      </c>
      <c r="E67" s="8">
        <f t="shared" si="117"/>
        <v>300</v>
      </c>
      <c r="F67" s="8">
        <f t="shared" si="117"/>
        <v>300</v>
      </c>
      <c r="G67" s="59">
        <f t="shared" si="117"/>
        <v>300</v>
      </c>
      <c r="H67" s="8">
        <f t="shared" si="117"/>
        <v>300</v>
      </c>
      <c r="I67" s="8">
        <f t="shared" si="117"/>
        <v>300</v>
      </c>
      <c r="J67" s="59">
        <f t="shared" si="117"/>
        <v>300</v>
      </c>
      <c r="K67" s="8">
        <f t="shared" si="117"/>
        <v>300</v>
      </c>
      <c r="L67" s="8">
        <f t="shared" si="117"/>
        <v>300</v>
      </c>
      <c r="M67" s="59">
        <f t="shared" si="117"/>
        <v>300</v>
      </c>
      <c r="N67" s="8">
        <f t="shared" si="117"/>
        <v>300</v>
      </c>
      <c r="O67" s="8">
        <f t="shared" si="117"/>
        <v>300</v>
      </c>
      <c r="P67" s="8">
        <f t="shared" si="117"/>
        <v>300</v>
      </c>
      <c r="Q67" s="59">
        <f t="shared" si="117"/>
        <v>300</v>
      </c>
      <c r="R67" s="8">
        <f t="shared" si="117"/>
        <v>300</v>
      </c>
      <c r="S67" s="8">
        <f t="shared" si="117"/>
        <v>300</v>
      </c>
      <c r="T67" s="8">
        <f t="shared" si="117"/>
        <v>300</v>
      </c>
      <c r="U67" s="8">
        <f t="shared" si="117"/>
        <v>300</v>
      </c>
      <c r="V67" s="8">
        <f t="shared" si="117"/>
        <v>300</v>
      </c>
      <c r="W67" s="8">
        <f t="shared" si="117"/>
        <v>300</v>
      </c>
      <c r="X67" s="8">
        <f t="shared" si="117"/>
        <v>300</v>
      </c>
      <c r="Y67" s="8">
        <f t="shared" si="117"/>
        <v>300</v>
      </c>
      <c r="Z67" s="8">
        <f t="shared" si="117"/>
        <v>300</v>
      </c>
      <c r="AA67" s="8">
        <f t="shared" si="117"/>
        <v>300</v>
      </c>
      <c r="AB67" s="8">
        <f t="shared" si="117"/>
        <v>300</v>
      </c>
      <c r="AC67" s="8">
        <f t="shared" si="117"/>
        <v>300</v>
      </c>
      <c r="AD67" s="8">
        <f t="shared" si="117"/>
        <v>300</v>
      </c>
      <c r="AE67" s="8">
        <f t="shared" si="117"/>
        <v>300</v>
      </c>
      <c r="AF67" s="8">
        <f t="shared" si="117"/>
        <v>300</v>
      </c>
      <c r="AG67" s="8">
        <f t="shared" si="117"/>
        <v>300</v>
      </c>
      <c r="AH67" s="8" t="str">
        <f t="shared" si="117"/>
        <v/>
      </c>
      <c r="AI67" s="8" t="str">
        <f t="shared" si="117"/>
        <v/>
      </c>
      <c r="AJ67" s="8" t="str">
        <f t="shared" si="117"/>
        <v/>
      </c>
      <c r="AK67" s="8" t="str">
        <f t="shared" si="117"/>
        <v/>
      </c>
      <c r="AL67" s="8" t="str">
        <f t="shared" si="117"/>
        <v/>
      </c>
      <c r="AM67" s="8" t="str">
        <f t="shared" si="117"/>
        <v/>
      </c>
      <c r="AN67" s="8" t="str">
        <f t="shared" si="117"/>
        <v/>
      </c>
      <c r="AO67" s="8" t="str">
        <f t="shared" ref="AO67:AS67" si="118">IF(AO63="","",AN67)</f>
        <v/>
      </c>
      <c r="AP67" s="8" t="str">
        <f t="shared" si="118"/>
        <v/>
      </c>
      <c r="AQ67" s="8" t="str">
        <f t="shared" si="118"/>
        <v/>
      </c>
      <c r="AR67" s="8" t="str">
        <f t="shared" si="118"/>
        <v/>
      </c>
      <c r="AS67" s="8" t="str">
        <f t="shared" si="118"/>
        <v/>
      </c>
    </row>
    <row r="68" spans="1:45" s="94" customFormat="1">
      <c r="A68" s="14" t="s">
        <v>9</v>
      </c>
      <c r="B68" s="13" t="s">
        <v>10</v>
      </c>
      <c r="C68" s="75" t="s">
        <v>34</v>
      </c>
      <c r="D68" s="12" t="str">
        <f t="shared" ref="D68:AN68" si="119">IF(D63="","",C68)</f>
        <v>ラブブMC</v>
      </c>
      <c r="E68" s="12" t="str">
        <f t="shared" si="119"/>
        <v>ラブブMC</v>
      </c>
      <c r="F68" s="12" t="str">
        <f t="shared" si="119"/>
        <v>ラブブMC</v>
      </c>
      <c r="G68" s="131" t="str">
        <f t="shared" si="119"/>
        <v>ラブブMC</v>
      </c>
      <c r="H68" s="12" t="str">
        <f t="shared" si="119"/>
        <v>ラブブMC</v>
      </c>
      <c r="I68" s="12" t="str">
        <f t="shared" si="119"/>
        <v>ラブブMC</v>
      </c>
      <c r="J68" s="131" t="str">
        <f t="shared" si="119"/>
        <v>ラブブMC</v>
      </c>
      <c r="K68" s="12" t="str">
        <f t="shared" si="119"/>
        <v>ラブブMC</v>
      </c>
      <c r="L68" s="12" t="str">
        <f t="shared" si="119"/>
        <v>ラブブMC</v>
      </c>
      <c r="M68" s="131" t="str">
        <f t="shared" si="119"/>
        <v>ラブブMC</v>
      </c>
      <c r="N68" s="12" t="str">
        <f t="shared" si="119"/>
        <v>ラブブMC</v>
      </c>
      <c r="O68" s="12" t="str">
        <f t="shared" si="119"/>
        <v>ラブブMC</v>
      </c>
      <c r="P68" s="12" t="str">
        <f t="shared" si="119"/>
        <v>ラブブMC</v>
      </c>
      <c r="Q68" s="131" t="str">
        <f t="shared" si="119"/>
        <v>ラブブMC</v>
      </c>
      <c r="R68" s="12" t="str">
        <f t="shared" si="119"/>
        <v>ラブブMC</v>
      </c>
      <c r="S68" s="12" t="str">
        <f t="shared" si="119"/>
        <v>ラブブMC</v>
      </c>
      <c r="T68" s="12" t="str">
        <f t="shared" si="119"/>
        <v>ラブブMC</v>
      </c>
      <c r="U68" s="12" t="str">
        <f t="shared" si="119"/>
        <v>ラブブMC</v>
      </c>
      <c r="V68" s="12" t="str">
        <f t="shared" si="119"/>
        <v>ラブブMC</v>
      </c>
      <c r="W68" s="12" t="str">
        <f t="shared" si="119"/>
        <v>ラブブMC</v>
      </c>
      <c r="X68" s="12" t="str">
        <f t="shared" si="119"/>
        <v>ラブブMC</v>
      </c>
      <c r="Y68" s="12" t="str">
        <f t="shared" si="119"/>
        <v>ラブブMC</v>
      </c>
      <c r="Z68" s="12" t="str">
        <f t="shared" si="119"/>
        <v>ラブブMC</v>
      </c>
      <c r="AA68" s="12" t="str">
        <f t="shared" si="119"/>
        <v>ラブブMC</v>
      </c>
      <c r="AB68" s="12" t="str">
        <f t="shared" si="119"/>
        <v>ラブブMC</v>
      </c>
      <c r="AC68" s="12" t="str">
        <f t="shared" si="119"/>
        <v>ラブブMC</v>
      </c>
      <c r="AD68" s="12" t="str">
        <f t="shared" si="119"/>
        <v>ラブブMC</v>
      </c>
      <c r="AE68" s="12" t="str">
        <f t="shared" si="119"/>
        <v>ラブブMC</v>
      </c>
      <c r="AF68" s="12" t="str">
        <f t="shared" si="119"/>
        <v>ラブブMC</v>
      </c>
      <c r="AG68" s="12" t="str">
        <f t="shared" si="119"/>
        <v>ラブブMC</v>
      </c>
      <c r="AH68" s="12" t="str">
        <f t="shared" si="119"/>
        <v/>
      </c>
      <c r="AI68" s="12" t="str">
        <f t="shared" si="119"/>
        <v/>
      </c>
      <c r="AJ68" s="12" t="str">
        <f t="shared" si="119"/>
        <v/>
      </c>
      <c r="AK68" s="12" t="str">
        <f t="shared" si="119"/>
        <v/>
      </c>
      <c r="AL68" s="12" t="str">
        <f t="shared" si="119"/>
        <v/>
      </c>
      <c r="AM68" s="12" t="str">
        <f t="shared" si="119"/>
        <v/>
      </c>
      <c r="AN68" s="12" t="str">
        <f t="shared" si="119"/>
        <v/>
      </c>
      <c r="AO68" s="12" t="str">
        <f t="shared" ref="AO68:AS68" si="120">IF(AO63="","",AN68)</f>
        <v/>
      </c>
      <c r="AP68" s="12" t="str">
        <f t="shared" si="120"/>
        <v/>
      </c>
      <c r="AQ68" s="12" t="str">
        <f t="shared" si="120"/>
        <v/>
      </c>
      <c r="AR68" s="12" t="str">
        <f t="shared" si="120"/>
        <v/>
      </c>
      <c r="AS68" s="12" t="str">
        <f t="shared" si="120"/>
        <v/>
      </c>
    </row>
    <row r="69" spans="1:45">
      <c r="A69" s="7">
        <f>AVERAGE(C70:AS70)*30*100</f>
        <v>49645.161290322576</v>
      </c>
      <c r="B69" s="9" t="s">
        <v>14</v>
      </c>
      <c r="C69" s="74"/>
      <c r="D69" s="8"/>
      <c r="E69" s="8"/>
      <c r="F69" s="8"/>
      <c r="G69" s="59"/>
      <c r="H69" s="8"/>
      <c r="I69" s="8"/>
      <c r="J69" s="59"/>
      <c r="K69" s="8"/>
      <c r="L69" s="8"/>
      <c r="M69" s="59"/>
      <c r="N69" s="8"/>
      <c r="O69" s="8"/>
      <c r="P69" s="8"/>
      <c r="Q69" s="59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>
      <c r="A70" s="7">
        <f>SUM(C70:AS70)</f>
        <v>513</v>
      </c>
      <c r="B70" s="6" t="s">
        <v>15</v>
      </c>
      <c r="C70" s="74">
        <v>0</v>
      </c>
      <c r="D70" s="5">
        <f t="shared" ref="D70:AN70" si="121">IF(D63="","",D63-C63)</f>
        <v>0</v>
      </c>
      <c r="E70" s="5">
        <f t="shared" si="121"/>
        <v>0</v>
      </c>
      <c r="F70" s="5">
        <f t="shared" si="121"/>
        <v>107</v>
      </c>
      <c r="G70" s="59">
        <f t="shared" si="121"/>
        <v>0</v>
      </c>
      <c r="H70" s="5">
        <f t="shared" si="121"/>
        <v>0</v>
      </c>
      <c r="I70" s="5">
        <f t="shared" si="121"/>
        <v>19</v>
      </c>
      <c r="J70" s="59">
        <f t="shared" si="121"/>
        <v>0</v>
      </c>
      <c r="K70" s="5">
        <f t="shared" si="121"/>
        <v>0</v>
      </c>
      <c r="L70" s="5">
        <f t="shared" si="121"/>
        <v>38</v>
      </c>
      <c r="M70" s="59">
        <f t="shared" si="121"/>
        <v>0</v>
      </c>
      <c r="N70" s="5">
        <f t="shared" si="121"/>
        <v>0</v>
      </c>
      <c r="O70" s="5">
        <f t="shared" si="121"/>
        <v>0</v>
      </c>
      <c r="P70" s="5">
        <f t="shared" si="121"/>
        <v>37</v>
      </c>
      <c r="Q70" s="59">
        <f t="shared" si="121"/>
        <v>0</v>
      </c>
      <c r="R70" s="5">
        <f t="shared" si="121"/>
        <v>0</v>
      </c>
      <c r="S70" s="5">
        <f t="shared" si="121"/>
        <v>106</v>
      </c>
      <c r="T70" s="5">
        <f t="shared" si="121"/>
        <v>0</v>
      </c>
      <c r="U70" s="5">
        <f t="shared" si="121"/>
        <v>0</v>
      </c>
      <c r="V70" s="5">
        <f t="shared" si="121"/>
        <v>0</v>
      </c>
      <c r="W70" s="5">
        <f t="shared" si="121"/>
        <v>50</v>
      </c>
      <c r="X70" s="5">
        <f t="shared" si="121"/>
        <v>0</v>
      </c>
      <c r="Y70" s="5">
        <f t="shared" si="121"/>
        <v>0</v>
      </c>
      <c r="Z70" s="5">
        <f t="shared" si="121"/>
        <v>46</v>
      </c>
      <c r="AA70" s="5">
        <f t="shared" si="121"/>
        <v>0</v>
      </c>
      <c r="AB70" s="5">
        <f t="shared" si="121"/>
        <v>0</v>
      </c>
      <c r="AC70" s="5">
        <f t="shared" si="121"/>
        <v>0</v>
      </c>
      <c r="AD70" s="5">
        <f t="shared" si="121"/>
        <v>38</v>
      </c>
      <c r="AE70" s="5">
        <f t="shared" si="121"/>
        <v>0</v>
      </c>
      <c r="AF70" s="5">
        <f t="shared" si="121"/>
        <v>0</v>
      </c>
      <c r="AG70" s="5">
        <f t="shared" si="121"/>
        <v>72</v>
      </c>
      <c r="AH70" s="5" t="str">
        <f t="shared" si="121"/>
        <v/>
      </c>
      <c r="AI70" s="5" t="str">
        <f t="shared" si="121"/>
        <v/>
      </c>
      <c r="AJ70" s="5" t="str">
        <f t="shared" si="121"/>
        <v/>
      </c>
      <c r="AK70" s="5" t="str">
        <f t="shared" si="121"/>
        <v/>
      </c>
      <c r="AL70" s="5" t="str">
        <f t="shared" si="121"/>
        <v/>
      </c>
      <c r="AM70" s="5" t="str">
        <f t="shared" si="121"/>
        <v/>
      </c>
      <c r="AN70" s="5" t="str">
        <f t="shared" si="121"/>
        <v/>
      </c>
      <c r="AO70" s="5" t="str">
        <f t="shared" ref="AO70:AS70" si="122">IF(AO63="","",AO63-AN63)</f>
        <v/>
      </c>
      <c r="AP70" s="5" t="str">
        <f t="shared" si="122"/>
        <v/>
      </c>
      <c r="AQ70" s="5" t="str">
        <f t="shared" si="122"/>
        <v/>
      </c>
      <c r="AR70" s="5" t="str">
        <f t="shared" si="122"/>
        <v/>
      </c>
      <c r="AS70" s="5" t="str">
        <f t="shared" si="122"/>
        <v/>
      </c>
    </row>
    <row r="71" spans="1:45">
      <c r="A71" s="7">
        <v>4</v>
      </c>
      <c r="B71" s="6" t="s">
        <v>16</v>
      </c>
      <c r="C71" s="74">
        <v>0</v>
      </c>
      <c r="D71" s="5">
        <f t="shared" ref="D71:AN71" si="123">IF(D64="","",D64-C64)</f>
        <v>0</v>
      </c>
      <c r="E71" s="5">
        <f t="shared" si="123"/>
        <v>0</v>
      </c>
      <c r="F71" s="5">
        <f t="shared" si="123"/>
        <v>4</v>
      </c>
      <c r="G71" s="59">
        <f t="shared" si="123"/>
        <v>0</v>
      </c>
      <c r="H71" s="5">
        <f t="shared" si="123"/>
        <v>0</v>
      </c>
      <c r="I71" s="5">
        <f t="shared" si="123"/>
        <v>1</v>
      </c>
      <c r="J71" s="59">
        <f t="shared" si="123"/>
        <v>0</v>
      </c>
      <c r="K71" s="5">
        <f t="shared" si="123"/>
        <v>0</v>
      </c>
      <c r="L71" s="5">
        <f t="shared" si="123"/>
        <v>2</v>
      </c>
      <c r="M71" s="59">
        <f t="shared" si="123"/>
        <v>0</v>
      </c>
      <c r="N71" s="5">
        <f t="shared" si="123"/>
        <v>0</v>
      </c>
      <c r="O71" s="5">
        <f t="shared" si="123"/>
        <v>0</v>
      </c>
      <c r="P71" s="5">
        <f t="shared" si="123"/>
        <v>1</v>
      </c>
      <c r="Q71" s="59">
        <f t="shared" si="123"/>
        <v>0</v>
      </c>
      <c r="R71" s="5">
        <f t="shared" si="123"/>
        <v>0</v>
      </c>
      <c r="S71" s="5">
        <f t="shared" si="123"/>
        <v>5</v>
      </c>
      <c r="T71" s="5">
        <f t="shared" si="123"/>
        <v>0</v>
      </c>
      <c r="U71" s="5">
        <f t="shared" si="123"/>
        <v>0</v>
      </c>
      <c r="V71" s="5">
        <f t="shared" si="123"/>
        <v>0</v>
      </c>
      <c r="W71" s="5">
        <f t="shared" si="123"/>
        <v>1</v>
      </c>
      <c r="X71" s="5">
        <f t="shared" si="123"/>
        <v>0</v>
      </c>
      <c r="Y71" s="5">
        <f t="shared" si="123"/>
        <v>0</v>
      </c>
      <c r="Z71" s="5">
        <f t="shared" si="123"/>
        <v>1</v>
      </c>
      <c r="AA71" s="5">
        <f t="shared" si="123"/>
        <v>0</v>
      </c>
      <c r="AB71" s="5">
        <f t="shared" si="123"/>
        <v>0</v>
      </c>
      <c r="AC71" s="5">
        <f t="shared" si="123"/>
        <v>0</v>
      </c>
      <c r="AD71" s="5">
        <f t="shared" si="123"/>
        <v>2</v>
      </c>
      <c r="AE71" s="5">
        <f t="shared" si="123"/>
        <v>0</v>
      </c>
      <c r="AF71" s="5">
        <f t="shared" si="123"/>
        <v>0</v>
      </c>
      <c r="AG71" s="5">
        <f t="shared" si="123"/>
        <v>3</v>
      </c>
      <c r="AH71" s="5" t="str">
        <f t="shared" si="123"/>
        <v/>
      </c>
      <c r="AI71" s="5" t="str">
        <f t="shared" si="123"/>
        <v/>
      </c>
      <c r="AJ71" s="5" t="str">
        <f t="shared" si="123"/>
        <v/>
      </c>
      <c r="AK71" s="5" t="str">
        <f t="shared" si="123"/>
        <v/>
      </c>
      <c r="AL71" s="5" t="str">
        <f t="shared" si="123"/>
        <v/>
      </c>
      <c r="AM71" s="5" t="str">
        <f t="shared" si="123"/>
        <v/>
      </c>
      <c r="AN71" s="5" t="str">
        <f t="shared" si="123"/>
        <v/>
      </c>
      <c r="AO71" s="5" t="str">
        <f t="shared" ref="AO71:AS71" si="124">IF(AO64="","",AO64-AN64)</f>
        <v/>
      </c>
      <c r="AP71" s="5" t="str">
        <f t="shared" si="124"/>
        <v/>
      </c>
      <c r="AQ71" s="5" t="str">
        <f t="shared" si="124"/>
        <v/>
      </c>
      <c r="AR71" s="5" t="str">
        <f t="shared" si="124"/>
        <v/>
      </c>
      <c r="AS71" s="5" t="str">
        <f t="shared" si="124"/>
        <v/>
      </c>
    </row>
    <row r="72" spans="1:45">
      <c r="A72" s="7">
        <v>2</v>
      </c>
      <c r="B72" s="6" t="s">
        <v>17</v>
      </c>
      <c r="C72" s="74">
        <v>0</v>
      </c>
      <c r="D72" s="5">
        <f t="shared" ref="D72:AN72" si="125">IF(D65="","",C65+C66-D65)</f>
        <v>0</v>
      </c>
      <c r="E72" s="5">
        <f t="shared" si="125"/>
        <v>0</v>
      </c>
      <c r="F72" s="5">
        <f t="shared" si="125"/>
        <v>2</v>
      </c>
      <c r="G72" s="59">
        <f t="shared" si="125"/>
        <v>0</v>
      </c>
      <c r="H72" s="5">
        <f t="shared" si="125"/>
        <v>0</v>
      </c>
      <c r="I72" s="5">
        <f t="shared" si="125"/>
        <v>1</v>
      </c>
      <c r="J72" s="59">
        <f t="shared" si="125"/>
        <v>0</v>
      </c>
      <c r="K72" s="5">
        <f t="shared" si="125"/>
        <v>0</v>
      </c>
      <c r="L72" s="5">
        <f t="shared" si="125"/>
        <v>2</v>
      </c>
      <c r="M72" s="59">
        <f t="shared" si="125"/>
        <v>0</v>
      </c>
      <c r="N72" s="5">
        <f t="shared" si="125"/>
        <v>0</v>
      </c>
      <c r="O72" s="5">
        <f t="shared" si="125"/>
        <v>0</v>
      </c>
      <c r="P72" s="5">
        <f t="shared" si="125"/>
        <v>1</v>
      </c>
      <c r="Q72" s="59">
        <f t="shared" si="125"/>
        <v>0</v>
      </c>
      <c r="R72" s="5">
        <f t="shared" si="125"/>
        <v>0</v>
      </c>
      <c r="S72" s="5">
        <f t="shared" si="125"/>
        <v>4</v>
      </c>
      <c r="T72" s="5">
        <f t="shared" si="125"/>
        <v>0</v>
      </c>
      <c r="U72" s="5">
        <f t="shared" si="125"/>
        <v>0</v>
      </c>
      <c r="V72" s="5">
        <f t="shared" si="125"/>
        <v>0</v>
      </c>
      <c r="W72" s="5">
        <f t="shared" si="125"/>
        <v>1</v>
      </c>
      <c r="X72" s="5">
        <f t="shared" si="125"/>
        <v>0</v>
      </c>
      <c r="Y72" s="5">
        <f t="shared" si="125"/>
        <v>0</v>
      </c>
      <c r="Z72" s="5">
        <f t="shared" si="125"/>
        <v>1</v>
      </c>
      <c r="AA72" s="5">
        <f t="shared" si="125"/>
        <v>0</v>
      </c>
      <c r="AB72" s="5">
        <f t="shared" si="125"/>
        <v>0</v>
      </c>
      <c r="AC72" s="5">
        <f t="shared" si="125"/>
        <v>0</v>
      </c>
      <c r="AD72" s="5">
        <f t="shared" si="125"/>
        <v>2</v>
      </c>
      <c r="AE72" s="5">
        <f t="shared" si="125"/>
        <v>0</v>
      </c>
      <c r="AF72" s="5">
        <f t="shared" si="125"/>
        <v>0</v>
      </c>
      <c r="AG72" s="5">
        <f t="shared" si="125"/>
        <v>3</v>
      </c>
      <c r="AH72" s="5" t="str">
        <f t="shared" si="125"/>
        <v/>
      </c>
      <c r="AI72" s="5" t="str">
        <f t="shared" si="125"/>
        <v/>
      </c>
      <c r="AJ72" s="5" t="str">
        <f t="shared" si="125"/>
        <v/>
      </c>
      <c r="AK72" s="5" t="str">
        <f t="shared" si="125"/>
        <v/>
      </c>
      <c r="AL72" s="5" t="str">
        <f t="shared" si="125"/>
        <v/>
      </c>
      <c r="AM72" s="5" t="str">
        <f t="shared" si="125"/>
        <v/>
      </c>
      <c r="AN72" s="5" t="str">
        <f t="shared" si="125"/>
        <v/>
      </c>
      <c r="AO72" s="5" t="str">
        <f t="shared" ref="AO72:AS72" si="126">IF(AO65="","",AN65+AN66-AO65)</f>
        <v/>
      </c>
      <c r="AP72" s="5" t="str">
        <f t="shared" si="126"/>
        <v/>
      </c>
      <c r="AQ72" s="5" t="str">
        <f t="shared" si="126"/>
        <v/>
      </c>
      <c r="AR72" s="5" t="str">
        <f t="shared" si="126"/>
        <v/>
      </c>
      <c r="AS72" s="5" t="str">
        <f t="shared" si="126"/>
        <v/>
      </c>
    </row>
    <row r="73" spans="1:45">
      <c r="A73" s="7">
        <v>0</v>
      </c>
      <c r="B73" s="6" t="s">
        <v>18</v>
      </c>
      <c r="C73" s="74">
        <v>0</v>
      </c>
      <c r="D73" s="5">
        <f t="shared" ref="D73:AN73" si="127">IF(D63="","",D72*D67)</f>
        <v>0</v>
      </c>
      <c r="E73" s="5">
        <f t="shared" si="127"/>
        <v>0</v>
      </c>
      <c r="F73" s="5">
        <f t="shared" si="127"/>
        <v>600</v>
      </c>
      <c r="G73" s="59">
        <f t="shared" si="127"/>
        <v>0</v>
      </c>
      <c r="H73" s="5">
        <f t="shared" si="127"/>
        <v>0</v>
      </c>
      <c r="I73" s="5">
        <f t="shared" si="127"/>
        <v>300</v>
      </c>
      <c r="J73" s="59">
        <f t="shared" si="127"/>
        <v>0</v>
      </c>
      <c r="K73" s="5">
        <f t="shared" si="127"/>
        <v>0</v>
      </c>
      <c r="L73" s="5">
        <f t="shared" si="127"/>
        <v>600</v>
      </c>
      <c r="M73" s="59">
        <f t="shared" si="127"/>
        <v>0</v>
      </c>
      <c r="N73" s="5">
        <f t="shared" si="127"/>
        <v>0</v>
      </c>
      <c r="O73" s="5">
        <f t="shared" si="127"/>
        <v>0</v>
      </c>
      <c r="P73" s="5">
        <f t="shared" si="127"/>
        <v>300</v>
      </c>
      <c r="Q73" s="59">
        <f t="shared" si="127"/>
        <v>0</v>
      </c>
      <c r="R73" s="5">
        <f t="shared" si="127"/>
        <v>0</v>
      </c>
      <c r="S73" s="5">
        <f t="shared" si="127"/>
        <v>1200</v>
      </c>
      <c r="T73" s="5">
        <f t="shared" si="127"/>
        <v>0</v>
      </c>
      <c r="U73" s="5">
        <f t="shared" si="127"/>
        <v>0</v>
      </c>
      <c r="V73" s="5">
        <f t="shared" si="127"/>
        <v>0</v>
      </c>
      <c r="W73" s="5">
        <f t="shared" si="127"/>
        <v>300</v>
      </c>
      <c r="X73" s="5">
        <f t="shared" si="127"/>
        <v>0</v>
      </c>
      <c r="Y73" s="5">
        <f t="shared" si="127"/>
        <v>0</v>
      </c>
      <c r="Z73" s="5">
        <f t="shared" si="127"/>
        <v>300</v>
      </c>
      <c r="AA73" s="5">
        <f t="shared" si="127"/>
        <v>0</v>
      </c>
      <c r="AB73" s="5">
        <f t="shared" si="127"/>
        <v>0</v>
      </c>
      <c r="AC73" s="5">
        <f t="shared" si="127"/>
        <v>0</v>
      </c>
      <c r="AD73" s="5">
        <f t="shared" si="127"/>
        <v>600</v>
      </c>
      <c r="AE73" s="5">
        <f t="shared" si="127"/>
        <v>0</v>
      </c>
      <c r="AF73" s="5">
        <f t="shared" si="127"/>
        <v>0</v>
      </c>
      <c r="AG73" s="5">
        <f t="shared" si="127"/>
        <v>900</v>
      </c>
      <c r="AH73" s="5" t="str">
        <f t="shared" si="127"/>
        <v/>
      </c>
      <c r="AI73" s="5" t="str">
        <f t="shared" si="127"/>
        <v/>
      </c>
      <c r="AJ73" s="5" t="str">
        <f t="shared" si="127"/>
        <v/>
      </c>
      <c r="AK73" s="5" t="str">
        <f t="shared" si="127"/>
        <v/>
      </c>
      <c r="AL73" s="5" t="str">
        <f t="shared" si="127"/>
        <v/>
      </c>
      <c r="AM73" s="5" t="str">
        <f t="shared" si="127"/>
        <v/>
      </c>
      <c r="AN73" s="5" t="str">
        <f t="shared" si="127"/>
        <v/>
      </c>
      <c r="AO73" s="5" t="str">
        <f t="shared" ref="AO73:AS73" si="128">IF(AO63="","",AO72*AO67)</f>
        <v/>
      </c>
      <c r="AP73" s="5" t="str">
        <f t="shared" si="128"/>
        <v/>
      </c>
      <c r="AQ73" s="5" t="str">
        <f t="shared" si="128"/>
        <v/>
      </c>
      <c r="AR73" s="5" t="str">
        <f t="shared" si="128"/>
        <v/>
      </c>
      <c r="AS73" s="5" t="str">
        <f t="shared" si="128"/>
        <v/>
      </c>
    </row>
    <row r="74" spans="1:45" ht="12" thickBot="1">
      <c r="A74" s="4">
        <v>0</v>
      </c>
      <c r="B74" s="6" t="s">
        <v>20</v>
      </c>
      <c r="C74" s="76" t="s">
        <v>21</v>
      </c>
      <c r="D74" s="18" t="str">
        <f t="shared" ref="D74:AN74" si="129">IF(D73="","",IF(D73=0,"",D73/(D70*100)))</f>
        <v/>
      </c>
      <c r="E74" s="18" t="str">
        <f t="shared" si="129"/>
        <v/>
      </c>
      <c r="F74" s="18">
        <f t="shared" si="129"/>
        <v>5.6074766355140186E-2</v>
      </c>
      <c r="G74" s="62" t="str">
        <f t="shared" si="129"/>
        <v/>
      </c>
      <c r="H74" s="18" t="str">
        <f t="shared" si="129"/>
        <v/>
      </c>
      <c r="I74" s="18">
        <f t="shared" si="129"/>
        <v>0.15789473684210525</v>
      </c>
      <c r="J74" s="62" t="str">
        <f t="shared" si="129"/>
        <v/>
      </c>
      <c r="K74" s="18" t="str">
        <f t="shared" si="129"/>
        <v/>
      </c>
      <c r="L74" s="18">
        <f t="shared" si="129"/>
        <v>0.15789473684210525</v>
      </c>
      <c r="M74" s="62" t="str">
        <f t="shared" si="129"/>
        <v/>
      </c>
      <c r="N74" s="18" t="str">
        <f t="shared" si="129"/>
        <v/>
      </c>
      <c r="O74" s="18" t="str">
        <f t="shared" si="129"/>
        <v/>
      </c>
      <c r="P74" s="18">
        <f t="shared" si="129"/>
        <v>8.1081081081081086E-2</v>
      </c>
      <c r="Q74" s="62" t="str">
        <f t="shared" si="129"/>
        <v/>
      </c>
      <c r="R74" s="18" t="str">
        <f t="shared" si="129"/>
        <v/>
      </c>
      <c r="S74" s="18">
        <f t="shared" si="129"/>
        <v>0.11320754716981132</v>
      </c>
      <c r="T74" s="18" t="str">
        <f t="shared" si="129"/>
        <v/>
      </c>
      <c r="U74" s="18" t="str">
        <f t="shared" si="129"/>
        <v/>
      </c>
      <c r="V74" s="18" t="str">
        <f t="shared" si="129"/>
        <v/>
      </c>
      <c r="W74" s="18">
        <f t="shared" si="129"/>
        <v>0.06</v>
      </c>
      <c r="X74" s="18" t="str">
        <f t="shared" si="129"/>
        <v/>
      </c>
      <c r="Y74" s="18" t="str">
        <f t="shared" si="129"/>
        <v/>
      </c>
      <c r="Z74" s="18">
        <f t="shared" si="129"/>
        <v>6.5217391304347824E-2</v>
      </c>
      <c r="AA74" s="18" t="str">
        <f t="shared" si="129"/>
        <v/>
      </c>
      <c r="AB74" s="18" t="str">
        <f t="shared" si="129"/>
        <v/>
      </c>
      <c r="AC74" s="18" t="str">
        <f t="shared" si="129"/>
        <v/>
      </c>
      <c r="AD74" s="18">
        <f t="shared" si="129"/>
        <v>0.15789473684210525</v>
      </c>
      <c r="AE74" s="18" t="str">
        <f t="shared" si="129"/>
        <v/>
      </c>
      <c r="AF74" s="18" t="str">
        <f t="shared" si="129"/>
        <v/>
      </c>
      <c r="AG74" s="18">
        <f t="shared" si="129"/>
        <v>0.125</v>
      </c>
      <c r="AH74" s="18" t="str">
        <f t="shared" si="129"/>
        <v/>
      </c>
      <c r="AI74" s="18" t="str">
        <f t="shared" si="129"/>
        <v/>
      </c>
      <c r="AJ74" s="18" t="str">
        <f t="shared" si="129"/>
        <v/>
      </c>
      <c r="AK74" s="18" t="str">
        <f t="shared" si="129"/>
        <v/>
      </c>
      <c r="AL74" s="18" t="str">
        <f t="shared" si="129"/>
        <v/>
      </c>
      <c r="AM74" s="18" t="str">
        <f t="shared" si="129"/>
        <v/>
      </c>
      <c r="AN74" s="18" t="str">
        <f t="shared" si="129"/>
        <v/>
      </c>
      <c r="AO74" s="18" t="str">
        <f t="shared" ref="AO74:AS74" si="130">IF(AO73="","",IF(AO73=0,"",AO73/(AO70*100)))</f>
        <v/>
      </c>
      <c r="AP74" s="18" t="str">
        <f t="shared" si="130"/>
        <v/>
      </c>
      <c r="AQ74" s="18" t="str">
        <f t="shared" si="130"/>
        <v/>
      </c>
      <c r="AR74" s="18" t="str">
        <f t="shared" si="130"/>
        <v/>
      </c>
      <c r="AS74" s="18" t="str">
        <f t="shared" si="130"/>
        <v/>
      </c>
    </row>
    <row r="75" spans="1:45">
      <c r="A75" s="17" t="s">
        <v>78</v>
      </c>
      <c r="B75" s="9" t="s">
        <v>2</v>
      </c>
      <c r="C75" s="74">
        <v>10279</v>
      </c>
      <c r="D75" s="8">
        <f>IF(D$3="","",C75)</f>
        <v>10279</v>
      </c>
      <c r="E75" s="8">
        <f>IF(E$3="","",D75)</f>
        <v>10279</v>
      </c>
      <c r="F75" s="8">
        <v>10300</v>
      </c>
      <c r="G75" s="59">
        <f>IF(G$3="","",F75)</f>
        <v>10300</v>
      </c>
      <c r="H75" s="8">
        <f>IF(H$3="","",G75)</f>
        <v>10300</v>
      </c>
      <c r="I75" s="8">
        <v>10329</v>
      </c>
      <c r="J75" s="59">
        <f>IF(J$3="","",I75)</f>
        <v>10329</v>
      </c>
      <c r="K75" s="8">
        <f>IF(K$3="","",J75)</f>
        <v>10329</v>
      </c>
      <c r="L75" s="8">
        <v>10385</v>
      </c>
      <c r="M75" s="59">
        <f t="shared" ref="M75:O76" si="131">IF(M$3="","",L75)</f>
        <v>10385</v>
      </c>
      <c r="N75" s="8">
        <f t="shared" si="131"/>
        <v>10385</v>
      </c>
      <c r="O75" s="8">
        <f t="shared" si="131"/>
        <v>10385</v>
      </c>
      <c r="P75" s="8">
        <v>10410</v>
      </c>
      <c r="Q75" s="59">
        <f>IF(Q$3="","",P75)</f>
        <v>10410</v>
      </c>
      <c r="R75" s="8">
        <f>IF(R$3="","",Q75)</f>
        <v>10410</v>
      </c>
      <c r="S75" s="8">
        <v>10438</v>
      </c>
      <c r="T75" s="8">
        <f t="shared" ref="T75:AN75" si="132">IF(T$3="","",S75)</f>
        <v>10438</v>
      </c>
      <c r="U75" s="8">
        <f t="shared" si="132"/>
        <v>10438</v>
      </c>
      <c r="V75" s="8">
        <f t="shared" si="132"/>
        <v>10438</v>
      </c>
      <c r="W75" s="8">
        <v>10440</v>
      </c>
      <c r="X75" s="8">
        <f t="shared" si="132"/>
        <v>10440</v>
      </c>
      <c r="Y75" s="8">
        <f t="shared" si="132"/>
        <v>10440</v>
      </c>
      <c r="Z75" s="8">
        <v>10500</v>
      </c>
      <c r="AA75" s="8">
        <f t="shared" si="132"/>
        <v>10500</v>
      </c>
      <c r="AB75" s="8">
        <f t="shared" si="132"/>
        <v>10500</v>
      </c>
      <c r="AC75" s="8">
        <f t="shared" si="132"/>
        <v>10500</v>
      </c>
      <c r="AD75" s="8">
        <v>10518</v>
      </c>
      <c r="AE75" s="8">
        <f t="shared" si="132"/>
        <v>10518</v>
      </c>
      <c r="AF75" s="8">
        <f t="shared" si="132"/>
        <v>10518</v>
      </c>
      <c r="AG75" s="8">
        <v>10540</v>
      </c>
      <c r="AH75" s="8" t="str">
        <f t="shared" si="132"/>
        <v/>
      </c>
      <c r="AI75" s="8" t="str">
        <f t="shared" si="132"/>
        <v/>
      </c>
      <c r="AJ75" s="8" t="str">
        <f t="shared" si="132"/>
        <v/>
      </c>
      <c r="AK75" s="8" t="str">
        <f t="shared" si="132"/>
        <v/>
      </c>
      <c r="AL75" s="8" t="str">
        <f t="shared" si="132"/>
        <v/>
      </c>
      <c r="AM75" s="8" t="str">
        <f t="shared" si="132"/>
        <v/>
      </c>
      <c r="AN75" s="8" t="str">
        <f t="shared" si="132"/>
        <v/>
      </c>
      <c r="AO75" s="8" t="str">
        <f t="shared" ref="AO75:AS75" si="133">IF(AO$3="","",AN75)</f>
        <v/>
      </c>
      <c r="AP75" s="8" t="str">
        <f t="shared" si="133"/>
        <v/>
      </c>
      <c r="AQ75" s="8" t="str">
        <f t="shared" si="133"/>
        <v/>
      </c>
      <c r="AR75" s="8" t="str">
        <f t="shared" si="133"/>
        <v/>
      </c>
      <c r="AS75" s="8" t="str">
        <f t="shared" si="133"/>
        <v/>
      </c>
    </row>
    <row r="76" spans="1:45">
      <c r="A76" s="16" t="s">
        <v>3</v>
      </c>
      <c r="B76" s="9" t="s">
        <v>4</v>
      </c>
      <c r="C76" s="74">
        <v>661</v>
      </c>
      <c r="D76" s="8">
        <f>IF(D$3="","",C76)</f>
        <v>661</v>
      </c>
      <c r="E76" s="8">
        <f>IF(E$3="","",D76)</f>
        <v>661</v>
      </c>
      <c r="F76" s="8">
        <f>IF(F$3="","",E76)</f>
        <v>661</v>
      </c>
      <c r="G76" s="59">
        <f>IF(G$3="","",F76)</f>
        <v>661</v>
      </c>
      <c r="H76" s="8">
        <f>IF(H$3="","",G76)</f>
        <v>661</v>
      </c>
      <c r="I76" s="8">
        <v>663</v>
      </c>
      <c r="J76" s="59">
        <f>IF(J$3="","",I76)</f>
        <v>663</v>
      </c>
      <c r="K76" s="8">
        <f>IF(K$3="","",J76)</f>
        <v>663</v>
      </c>
      <c r="L76" s="8">
        <v>667</v>
      </c>
      <c r="M76" s="59">
        <f t="shared" si="131"/>
        <v>667</v>
      </c>
      <c r="N76" s="8">
        <f t="shared" si="131"/>
        <v>667</v>
      </c>
      <c r="O76" s="8">
        <f t="shared" si="131"/>
        <v>667</v>
      </c>
      <c r="P76" s="8">
        <v>671</v>
      </c>
      <c r="Q76" s="59">
        <f>IF(Q$3="","",P76)</f>
        <v>671</v>
      </c>
      <c r="R76" s="8">
        <f>IF(R$3="","",Q76)</f>
        <v>671</v>
      </c>
      <c r="S76" s="8">
        <v>673</v>
      </c>
      <c r="T76" s="8">
        <f t="shared" ref="T76:AN76" si="134">IF(T$3="","",S76)</f>
        <v>673</v>
      </c>
      <c r="U76" s="8">
        <f t="shared" si="134"/>
        <v>673</v>
      </c>
      <c r="V76" s="8">
        <f t="shared" si="134"/>
        <v>673</v>
      </c>
      <c r="W76" s="8">
        <f t="shared" si="134"/>
        <v>673</v>
      </c>
      <c r="X76" s="8">
        <f t="shared" si="134"/>
        <v>673</v>
      </c>
      <c r="Y76" s="8">
        <f t="shared" si="134"/>
        <v>673</v>
      </c>
      <c r="Z76" s="8">
        <v>674</v>
      </c>
      <c r="AA76" s="8">
        <f t="shared" si="134"/>
        <v>674</v>
      </c>
      <c r="AB76" s="8">
        <f t="shared" si="134"/>
        <v>674</v>
      </c>
      <c r="AC76" s="8">
        <f t="shared" si="134"/>
        <v>674</v>
      </c>
      <c r="AD76" s="8">
        <f t="shared" si="134"/>
        <v>674</v>
      </c>
      <c r="AE76" s="8">
        <f t="shared" si="134"/>
        <v>674</v>
      </c>
      <c r="AF76" s="8">
        <f t="shared" si="134"/>
        <v>674</v>
      </c>
      <c r="AG76" s="8">
        <v>675</v>
      </c>
      <c r="AH76" s="8" t="str">
        <f t="shared" si="134"/>
        <v/>
      </c>
      <c r="AI76" s="8" t="str">
        <f t="shared" si="134"/>
        <v/>
      </c>
      <c r="AJ76" s="8" t="str">
        <f t="shared" si="134"/>
        <v/>
      </c>
      <c r="AK76" s="8" t="str">
        <f t="shared" si="134"/>
        <v/>
      </c>
      <c r="AL76" s="8" t="str">
        <f t="shared" si="134"/>
        <v/>
      </c>
      <c r="AM76" s="8" t="str">
        <f t="shared" si="134"/>
        <v/>
      </c>
      <c r="AN76" s="8" t="str">
        <f t="shared" si="134"/>
        <v/>
      </c>
      <c r="AO76" s="8" t="str">
        <f t="shared" ref="AO76:AS76" si="135">IF(AO$3="","",AN76)</f>
        <v/>
      </c>
      <c r="AP76" s="8" t="str">
        <f t="shared" si="135"/>
        <v/>
      </c>
      <c r="AQ76" s="8" t="str">
        <f t="shared" si="135"/>
        <v/>
      </c>
      <c r="AR76" s="8" t="str">
        <f t="shared" si="135"/>
        <v/>
      </c>
      <c r="AS76" s="8" t="str">
        <f t="shared" si="135"/>
        <v/>
      </c>
    </row>
    <row r="77" spans="1:45">
      <c r="A77" s="15">
        <v>4</v>
      </c>
      <c r="B77" s="9" t="s">
        <v>5</v>
      </c>
      <c r="C77" s="74">
        <v>38</v>
      </c>
      <c r="D77" s="8">
        <f>IF(D75="","",(C77+C78))</f>
        <v>38</v>
      </c>
      <c r="E77" s="8">
        <f>IF(E75="","",(D77+D78))</f>
        <v>38</v>
      </c>
      <c r="F77" s="8">
        <f>IF(F75="","",(E77+E78))</f>
        <v>38</v>
      </c>
      <c r="G77" s="59">
        <f>IF(G75="","",(F77+F78))</f>
        <v>38</v>
      </c>
      <c r="H77" s="8">
        <f>IF(H75="","",(G77+G78))</f>
        <v>38</v>
      </c>
      <c r="I77" s="8">
        <v>36</v>
      </c>
      <c r="J77" s="59">
        <f>IF(J75="","",(I77+I78))</f>
        <v>36</v>
      </c>
      <c r="K77" s="8">
        <f>IF(K75="","",(J77+J78))</f>
        <v>36</v>
      </c>
      <c r="L77" s="8">
        <v>32</v>
      </c>
      <c r="M77" s="59">
        <f>IF(M75="","",(L77+L78))</f>
        <v>32</v>
      </c>
      <c r="N77" s="8">
        <f>IF(N75="","",(M77+M78))</f>
        <v>32</v>
      </c>
      <c r="O77" s="8">
        <f>IF(O75="","",(N77+N78))</f>
        <v>32</v>
      </c>
      <c r="P77" s="8">
        <v>28</v>
      </c>
      <c r="Q77" s="59">
        <f>IF(Q75="","",(P77+P78))</f>
        <v>28</v>
      </c>
      <c r="R77" s="8">
        <f>IF(R75="","",(Q77+Q78))</f>
        <v>28</v>
      </c>
      <c r="S77" s="8">
        <v>26</v>
      </c>
      <c r="T77" s="8">
        <f t="shared" ref="T77:AN77" si="136">IF(T75="","",(S77+S78))</f>
        <v>26</v>
      </c>
      <c r="U77" s="8">
        <f t="shared" si="136"/>
        <v>26</v>
      </c>
      <c r="V77" s="8">
        <f t="shared" si="136"/>
        <v>26</v>
      </c>
      <c r="W77" s="8">
        <f t="shared" si="136"/>
        <v>26</v>
      </c>
      <c r="X77" s="8">
        <f t="shared" si="136"/>
        <v>36</v>
      </c>
      <c r="Y77" s="8">
        <f t="shared" si="136"/>
        <v>36</v>
      </c>
      <c r="Z77" s="8">
        <v>35</v>
      </c>
      <c r="AA77" s="8">
        <f t="shared" si="136"/>
        <v>35</v>
      </c>
      <c r="AB77" s="8">
        <f t="shared" si="136"/>
        <v>35</v>
      </c>
      <c r="AC77" s="8">
        <f t="shared" si="136"/>
        <v>35</v>
      </c>
      <c r="AD77" s="8">
        <f t="shared" si="136"/>
        <v>35</v>
      </c>
      <c r="AE77" s="8">
        <f t="shared" si="136"/>
        <v>35</v>
      </c>
      <c r="AF77" s="8">
        <f t="shared" si="136"/>
        <v>35</v>
      </c>
      <c r="AG77" s="8">
        <v>34</v>
      </c>
      <c r="AH77" s="8" t="str">
        <f t="shared" si="136"/>
        <v/>
      </c>
      <c r="AI77" s="8" t="str">
        <f t="shared" si="136"/>
        <v/>
      </c>
      <c r="AJ77" s="8" t="str">
        <f t="shared" si="136"/>
        <v/>
      </c>
      <c r="AK77" s="8" t="str">
        <f t="shared" si="136"/>
        <v/>
      </c>
      <c r="AL77" s="8" t="str">
        <f t="shared" si="136"/>
        <v/>
      </c>
      <c r="AM77" s="8" t="str">
        <f t="shared" si="136"/>
        <v/>
      </c>
      <c r="AN77" s="8" t="str">
        <f t="shared" si="136"/>
        <v/>
      </c>
      <c r="AO77" s="8" t="str">
        <f t="shared" ref="AO77:AS77" si="137">IF(AO75="","",(AN77+AN78))</f>
        <v/>
      </c>
      <c r="AP77" s="8" t="str">
        <f t="shared" si="137"/>
        <v/>
      </c>
      <c r="AQ77" s="8" t="str">
        <f t="shared" si="137"/>
        <v/>
      </c>
      <c r="AR77" s="8" t="str">
        <f t="shared" si="137"/>
        <v/>
      </c>
      <c r="AS77" s="8" t="str">
        <f t="shared" si="137"/>
        <v/>
      </c>
    </row>
    <row r="78" spans="1:45">
      <c r="A78" s="14"/>
      <c r="B78" s="9" t="s">
        <v>7</v>
      </c>
      <c r="C78" s="74"/>
      <c r="D78" s="8"/>
      <c r="E78" s="8"/>
      <c r="F78" s="8"/>
      <c r="G78" s="59"/>
      <c r="H78" s="8"/>
      <c r="I78" s="8"/>
      <c r="J78" s="59"/>
      <c r="K78" s="8"/>
      <c r="L78" s="8"/>
      <c r="M78" s="59"/>
      <c r="N78" s="8"/>
      <c r="O78" s="8"/>
      <c r="P78" s="8"/>
      <c r="Q78" s="59"/>
      <c r="R78" s="8"/>
      <c r="S78" s="8"/>
      <c r="T78" s="8"/>
      <c r="U78" s="8"/>
      <c r="V78" s="8"/>
      <c r="W78" s="8">
        <v>10</v>
      </c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>
      <c r="A79" s="7"/>
      <c r="B79" s="9" t="s">
        <v>8</v>
      </c>
      <c r="C79" s="74">
        <v>150</v>
      </c>
      <c r="D79" s="8">
        <f t="shared" ref="D79:AN79" si="138">IF(D75="","",C79)</f>
        <v>150</v>
      </c>
      <c r="E79" s="8">
        <f t="shared" si="138"/>
        <v>150</v>
      </c>
      <c r="F79" s="8">
        <f t="shared" si="138"/>
        <v>150</v>
      </c>
      <c r="G79" s="59">
        <f t="shared" si="138"/>
        <v>150</v>
      </c>
      <c r="H79" s="8">
        <f t="shared" si="138"/>
        <v>150</v>
      </c>
      <c r="I79" s="8">
        <f t="shared" si="138"/>
        <v>150</v>
      </c>
      <c r="J79" s="59">
        <f t="shared" si="138"/>
        <v>150</v>
      </c>
      <c r="K79" s="8">
        <f t="shared" si="138"/>
        <v>150</v>
      </c>
      <c r="L79" s="8">
        <f t="shared" si="138"/>
        <v>150</v>
      </c>
      <c r="M79" s="59">
        <f t="shared" si="138"/>
        <v>150</v>
      </c>
      <c r="N79" s="8">
        <f t="shared" si="138"/>
        <v>150</v>
      </c>
      <c r="O79" s="8">
        <f t="shared" si="138"/>
        <v>150</v>
      </c>
      <c r="P79" s="8">
        <f t="shared" si="138"/>
        <v>150</v>
      </c>
      <c r="Q79" s="59">
        <f t="shared" si="138"/>
        <v>150</v>
      </c>
      <c r="R79" s="8">
        <f t="shared" si="138"/>
        <v>150</v>
      </c>
      <c r="S79" s="8">
        <f t="shared" si="138"/>
        <v>150</v>
      </c>
      <c r="T79" s="8">
        <f t="shared" si="138"/>
        <v>150</v>
      </c>
      <c r="U79" s="8">
        <f t="shared" si="138"/>
        <v>150</v>
      </c>
      <c r="V79" s="8">
        <f t="shared" si="138"/>
        <v>150</v>
      </c>
      <c r="W79" s="8">
        <f t="shared" si="138"/>
        <v>150</v>
      </c>
      <c r="X79" s="8">
        <f t="shared" si="138"/>
        <v>150</v>
      </c>
      <c r="Y79" s="8">
        <f t="shared" si="138"/>
        <v>150</v>
      </c>
      <c r="Z79" s="8">
        <f t="shared" si="138"/>
        <v>150</v>
      </c>
      <c r="AA79" s="8">
        <f t="shared" si="138"/>
        <v>150</v>
      </c>
      <c r="AB79" s="8">
        <f t="shared" si="138"/>
        <v>150</v>
      </c>
      <c r="AC79" s="8">
        <f t="shared" si="138"/>
        <v>150</v>
      </c>
      <c r="AD79" s="8">
        <f t="shared" si="138"/>
        <v>150</v>
      </c>
      <c r="AE79" s="8">
        <f t="shared" si="138"/>
        <v>150</v>
      </c>
      <c r="AF79" s="8">
        <f t="shared" si="138"/>
        <v>150</v>
      </c>
      <c r="AG79" s="8">
        <f t="shared" si="138"/>
        <v>150</v>
      </c>
      <c r="AH79" s="8" t="str">
        <f t="shared" si="138"/>
        <v/>
      </c>
      <c r="AI79" s="8" t="str">
        <f t="shared" si="138"/>
        <v/>
      </c>
      <c r="AJ79" s="8" t="str">
        <f t="shared" si="138"/>
        <v/>
      </c>
      <c r="AK79" s="8" t="str">
        <f t="shared" si="138"/>
        <v/>
      </c>
      <c r="AL79" s="8" t="str">
        <f t="shared" si="138"/>
        <v/>
      </c>
      <c r="AM79" s="8" t="str">
        <f t="shared" si="138"/>
        <v/>
      </c>
      <c r="AN79" s="8" t="str">
        <f t="shared" si="138"/>
        <v/>
      </c>
      <c r="AO79" s="8" t="str">
        <f t="shared" ref="AO79:AS79" si="139">IF(AO75="","",AN79)</f>
        <v/>
      </c>
      <c r="AP79" s="8" t="str">
        <f t="shared" si="139"/>
        <v/>
      </c>
      <c r="AQ79" s="8" t="str">
        <f t="shared" si="139"/>
        <v/>
      </c>
      <c r="AR79" s="8" t="str">
        <f t="shared" si="139"/>
        <v/>
      </c>
      <c r="AS79" s="8" t="str">
        <f t="shared" si="139"/>
        <v/>
      </c>
    </row>
    <row r="80" spans="1:45" s="94" customFormat="1">
      <c r="A80" s="14" t="s">
        <v>9</v>
      </c>
      <c r="B80" s="13" t="s">
        <v>10</v>
      </c>
      <c r="C80" s="75" t="s">
        <v>87</v>
      </c>
      <c r="D80" s="12" t="str">
        <f t="shared" ref="D80:AN80" si="140">IF(D75="","",C80)</f>
        <v>モフサンド</v>
      </c>
      <c r="E80" s="12" t="str">
        <f t="shared" si="140"/>
        <v>モフサンド</v>
      </c>
      <c r="F80" s="12" t="str">
        <f t="shared" si="140"/>
        <v>モフサンド</v>
      </c>
      <c r="G80" s="131" t="str">
        <f t="shared" si="140"/>
        <v>モフサンド</v>
      </c>
      <c r="H80" s="12" t="str">
        <f t="shared" si="140"/>
        <v>モフサンド</v>
      </c>
      <c r="I80" s="12" t="str">
        <f t="shared" si="140"/>
        <v>モフサンド</v>
      </c>
      <c r="J80" s="131" t="str">
        <f t="shared" si="140"/>
        <v>モフサンド</v>
      </c>
      <c r="K80" s="12" t="str">
        <f t="shared" si="140"/>
        <v>モフサンド</v>
      </c>
      <c r="L80" s="12" t="str">
        <f t="shared" si="140"/>
        <v>モフサンド</v>
      </c>
      <c r="M80" s="131" t="str">
        <f t="shared" si="140"/>
        <v>モフサンド</v>
      </c>
      <c r="N80" s="12" t="str">
        <f t="shared" si="140"/>
        <v>モフサンド</v>
      </c>
      <c r="O80" s="12" t="str">
        <f t="shared" si="140"/>
        <v>モフサンド</v>
      </c>
      <c r="P80" s="12" t="str">
        <f t="shared" si="140"/>
        <v>モフサンド</v>
      </c>
      <c r="Q80" s="131" t="str">
        <f t="shared" si="140"/>
        <v>モフサンド</v>
      </c>
      <c r="R80" s="12" t="str">
        <f t="shared" si="140"/>
        <v>モフサンド</v>
      </c>
      <c r="S80" s="12" t="str">
        <f t="shared" si="140"/>
        <v>モフサンド</v>
      </c>
      <c r="T80" s="12" t="str">
        <f t="shared" si="140"/>
        <v>モフサンド</v>
      </c>
      <c r="U80" s="12" t="str">
        <f t="shared" si="140"/>
        <v>モフサンド</v>
      </c>
      <c r="V80" s="12" t="str">
        <f t="shared" si="140"/>
        <v>モフサンド</v>
      </c>
      <c r="W80" s="12" t="s">
        <v>43</v>
      </c>
      <c r="X80" s="12" t="str">
        <f t="shared" si="140"/>
        <v>サンリオチャーム付スイーツ</v>
      </c>
      <c r="Y80" s="12" t="str">
        <f t="shared" si="140"/>
        <v>サンリオチャーム付スイーツ</v>
      </c>
      <c r="Z80" s="12" t="str">
        <f t="shared" si="140"/>
        <v>サンリオチャーム付スイーツ</v>
      </c>
      <c r="AA80" s="12" t="str">
        <f t="shared" si="140"/>
        <v>サンリオチャーム付スイーツ</v>
      </c>
      <c r="AB80" s="12" t="str">
        <f t="shared" si="140"/>
        <v>サンリオチャーム付スイーツ</v>
      </c>
      <c r="AC80" s="12" t="str">
        <f t="shared" si="140"/>
        <v>サンリオチャーム付スイーツ</v>
      </c>
      <c r="AD80" s="12" t="str">
        <f t="shared" si="140"/>
        <v>サンリオチャーム付スイーツ</v>
      </c>
      <c r="AE80" s="12" t="str">
        <f t="shared" si="140"/>
        <v>サンリオチャーム付スイーツ</v>
      </c>
      <c r="AF80" s="12" t="str">
        <f t="shared" si="140"/>
        <v>サンリオチャーム付スイーツ</v>
      </c>
      <c r="AG80" s="12" t="str">
        <f t="shared" si="140"/>
        <v>サンリオチャーム付スイーツ</v>
      </c>
      <c r="AH80" s="12" t="str">
        <f t="shared" si="140"/>
        <v/>
      </c>
      <c r="AI80" s="12" t="str">
        <f t="shared" si="140"/>
        <v/>
      </c>
      <c r="AJ80" s="12" t="str">
        <f t="shared" si="140"/>
        <v/>
      </c>
      <c r="AK80" s="12" t="str">
        <f t="shared" si="140"/>
        <v/>
      </c>
      <c r="AL80" s="12" t="str">
        <f t="shared" si="140"/>
        <v/>
      </c>
      <c r="AM80" s="12" t="str">
        <f t="shared" si="140"/>
        <v/>
      </c>
      <c r="AN80" s="12" t="str">
        <f t="shared" si="140"/>
        <v/>
      </c>
      <c r="AO80" s="12" t="str">
        <f t="shared" ref="AO80:AS80" si="141">IF(AO75="","",AN80)</f>
        <v/>
      </c>
      <c r="AP80" s="12" t="str">
        <f t="shared" si="141"/>
        <v/>
      </c>
      <c r="AQ80" s="12" t="str">
        <f t="shared" si="141"/>
        <v/>
      </c>
      <c r="AR80" s="12" t="str">
        <f t="shared" si="141"/>
        <v/>
      </c>
      <c r="AS80" s="12" t="str">
        <f t="shared" si="141"/>
        <v/>
      </c>
    </row>
    <row r="81" spans="1:45">
      <c r="A81" s="7">
        <f>AVERAGE(C82:AS82)*30*100</f>
        <v>25258.064516129034</v>
      </c>
      <c r="B81" s="9" t="s">
        <v>14</v>
      </c>
      <c r="C81" s="74"/>
      <c r="D81" s="8"/>
      <c r="E81" s="8"/>
      <c r="F81" s="8"/>
      <c r="G81" s="59"/>
      <c r="H81" s="8"/>
      <c r="I81" s="8"/>
      <c r="J81" s="59"/>
      <c r="K81" s="8"/>
      <c r="L81" s="8"/>
      <c r="M81" s="59"/>
      <c r="N81" s="8"/>
      <c r="O81" s="8"/>
      <c r="P81" s="8"/>
      <c r="Q81" s="59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>
      <c r="A82" s="7">
        <f>SUM(C82:AS82)</f>
        <v>261</v>
      </c>
      <c r="B82" s="6" t="s">
        <v>15</v>
      </c>
      <c r="C82" s="74">
        <v>0</v>
      </c>
      <c r="D82" s="5">
        <f t="shared" ref="D82:AN82" si="142">IF(D75="","",D75-C75)</f>
        <v>0</v>
      </c>
      <c r="E82" s="5">
        <f t="shared" si="142"/>
        <v>0</v>
      </c>
      <c r="F82" s="5">
        <f t="shared" si="142"/>
        <v>21</v>
      </c>
      <c r="G82" s="59">
        <f t="shared" si="142"/>
        <v>0</v>
      </c>
      <c r="H82" s="5">
        <f t="shared" si="142"/>
        <v>0</v>
      </c>
      <c r="I82" s="5">
        <f t="shared" si="142"/>
        <v>29</v>
      </c>
      <c r="J82" s="59">
        <f t="shared" si="142"/>
        <v>0</v>
      </c>
      <c r="K82" s="5">
        <f t="shared" si="142"/>
        <v>0</v>
      </c>
      <c r="L82" s="5">
        <f t="shared" si="142"/>
        <v>56</v>
      </c>
      <c r="M82" s="59">
        <f t="shared" si="142"/>
        <v>0</v>
      </c>
      <c r="N82" s="5">
        <f t="shared" si="142"/>
        <v>0</v>
      </c>
      <c r="O82" s="5">
        <f t="shared" si="142"/>
        <v>0</v>
      </c>
      <c r="P82" s="5">
        <f t="shared" si="142"/>
        <v>25</v>
      </c>
      <c r="Q82" s="59">
        <f t="shared" si="142"/>
        <v>0</v>
      </c>
      <c r="R82" s="5">
        <f t="shared" si="142"/>
        <v>0</v>
      </c>
      <c r="S82" s="5">
        <f t="shared" si="142"/>
        <v>28</v>
      </c>
      <c r="T82" s="5">
        <f t="shared" si="142"/>
        <v>0</v>
      </c>
      <c r="U82" s="5">
        <f t="shared" si="142"/>
        <v>0</v>
      </c>
      <c r="V82" s="5">
        <f t="shared" si="142"/>
        <v>0</v>
      </c>
      <c r="W82" s="5">
        <f t="shared" si="142"/>
        <v>2</v>
      </c>
      <c r="X82" s="5">
        <f t="shared" si="142"/>
        <v>0</v>
      </c>
      <c r="Y82" s="5">
        <f t="shared" si="142"/>
        <v>0</v>
      </c>
      <c r="Z82" s="5">
        <f t="shared" si="142"/>
        <v>60</v>
      </c>
      <c r="AA82" s="5">
        <f t="shared" si="142"/>
        <v>0</v>
      </c>
      <c r="AB82" s="5">
        <f t="shared" si="142"/>
        <v>0</v>
      </c>
      <c r="AC82" s="5">
        <f t="shared" si="142"/>
        <v>0</v>
      </c>
      <c r="AD82" s="5">
        <f t="shared" si="142"/>
        <v>18</v>
      </c>
      <c r="AE82" s="5">
        <f t="shared" si="142"/>
        <v>0</v>
      </c>
      <c r="AF82" s="5">
        <f t="shared" si="142"/>
        <v>0</v>
      </c>
      <c r="AG82" s="5">
        <f t="shared" si="142"/>
        <v>22</v>
      </c>
      <c r="AH82" s="5" t="str">
        <f t="shared" si="142"/>
        <v/>
      </c>
      <c r="AI82" s="5" t="str">
        <f t="shared" si="142"/>
        <v/>
      </c>
      <c r="AJ82" s="5" t="str">
        <f t="shared" si="142"/>
        <v/>
      </c>
      <c r="AK82" s="5" t="str">
        <f t="shared" si="142"/>
        <v/>
      </c>
      <c r="AL82" s="5" t="str">
        <f t="shared" si="142"/>
        <v/>
      </c>
      <c r="AM82" s="5" t="str">
        <f t="shared" si="142"/>
        <v/>
      </c>
      <c r="AN82" s="5" t="str">
        <f t="shared" si="142"/>
        <v/>
      </c>
      <c r="AO82" s="5" t="str">
        <f t="shared" ref="AO82:AS82" si="143">IF(AO75="","",AO75-AN75)</f>
        <v/>
      </c>
      <c r="AP82" s="5" t="str">
        <f t="shared" si="143"/>
        <v/>
      </c>
      <c r="AQ82" s="5" t="str">
        <f t="shared" si="143"/>
        <v/>
      </c>
      <c r="AR82" s="5" t="str">
        <f t="shared" si="143"/>
        <v/>
      </c>
      <c r="AS82" s="5" t="str">
        <f t="shared" si="143"/>
        <v/>
      </c>
    </row>
    <row r="83" spans="1:45">
      <c r="A83" s="7">
        <f>SUM(C83:AS83)</f>
        <v>14</v>
      </c>
      <c r="B83" s="6" t="s">
        <v>16</v>
      </c>
      <c r="C83" s="74">
        <v>0</v>
      </c>
      <c r="D83" s="5">
        <f t="shared" ref="D83:AN83" si="144">IF(D76="","",D76-C76)</f>
        <v>0</v>
      </c>
      <c r="E83" s="5">
        <f t="shared" si="144"/>
        <v>0</v>
      </c>
      <c r="F83" s="5">
        <f t="shared" si="144"/>
        <v>0</v>
      </c>
      <c r="G83" s="59">
        <f t="shared" si="144"/>
        <v>0</v>
      </c>
      <c r="H83" s="5">
        <f t="shared" si="144"/>
        <v>0</v>
      </c>
      <c r="I83" s="5">
        <f t="shared" si="144"/>
        <v>2</v>
      </c>
      <c r="J83" s="59">
        <f t="shared" si="144"/>
        <v>0</v>
      </c>
      <c r="K83" s="5">
        <f t="shared" si="144"/>
        <v>0</v>
      </c>
      <c r="L83" s="5">
        <f t="shared" si="144"/>
        <v>4</v>
      </c>
      <c r="M83" s="59">
        <f t="shared" si="144"/>
        <v>0</v>
      </c>
      <c r="N83" s="5">
        <f t="shared" si="144"/>
        <v>0</v>
      </c>
      <c r="O83" s="5">
        <f t="shared" si="144"/>
        <v>0</v>
      </c>
      <c r="P83" s="5">
        <f t="shared" si="144"/>
        <v>4</v>
      </c>
      <c r="Q83" s="59">
        <f t="shared" si="144"/>
        <v>0</v>
      </c>
      <c r="R83" s="5">
        <f t="shared" si="144"/>
        <v>0</v>
      </c>
      <c r="S83" s="5">
        <f t="shared" si="144"/>
        <v>2</v>
      </c>
      <c r="T83" s="5">
        <f t="shared" si="144"/>
        <v>0</v>
      </c>
      <c r="U83" s="5">
        <f t="shared" si="144"/>
        <v>0</v>
      </c>
      <c r="V83" s="5">
        <f t="shared" si="144"/>
        <v>0</v>
      </c>
      <c r="W83" s="5">
        <f t="shared" si="144"/>
        <v>0</v>
      </c>
      <c r="X83" s="5">
        <f t="shared" si="144"/>
        <v>0</v>
      </c>
      <c r="Y83" s="5">
        <f t="shared" si="144"/>
        <v>0</v>
      </c>
      <c r="Z83" s="5">
        <f t="shared" si="144"/>
        <v>1</v>
      </c>
      <c r="AA83" s="5">
        <f t="shared" si="144"/>
        <v>0</v>
      </c>
      <c r="AB83" s="5">
        <f t="shared" si="144"/>
        <v>0</v>
      </c>
      <c r="AC83" s="5">
        <f t="shared" si="144"/>
        <v>0</v>
      </c>
      <c r="AD83" s="5">
        <f t="shared" si="144"/>
        <v>0</v>
      </c>
      <c r="AE83" s="5">
        <f t="shared" si="144"/>
        <v>0</v>
      </c>
      <c r="AF83" s="5">
        <f t="shared" si="144"/>
        <v>0</v>
      </c>
      <c r="AG83" s="5">
        <f t="shared" si="144"/>
        <v>1</v>
      </c>
      <c r="AH83" s="5" t="str">
        <f t="shared" si="144"/>
        <v/>
      </c>
      <c r="AI83" s="5" t="str">
        <f t="shared" si="144"/>
        <v/>
      </c>
      <c r="AJ83" s="5" t="str">
        <f t="shared" si="144"/>
        <v/>
      </c>
      <c r="AK83" s="5" t="str">
        <f t="shared" si="144"/>
        <v/>
      </c>
      <c r="AL83" s="5" t="str">
        <f t="shared" si="144"/>
        <v/>
      </c>
      <c r="AM83" s="5" t="str">
        <f t="shared" si="144"/>
        <v/>
      </c>
      <c r="AN83" s="5" t="str">
        <f t="shared" si="144"/>
        <v/>
      </c>
      <c r="AO83" s="5" t="str">
        <f t="shared" ref="AO83:AS83" si="145">IF(AO76="","",AO76-AN76)</f>
        <v/>
      </c>
      <c r="AP83" s="5" t="str">
        <f t="shared" si="145"/>
        <v/>
      </c>
      <c r="AQ83" s="5" t="str">
        <f t="shared" si="145"/>
        <v/>
      </c>
      <c r="AR83" s="5" t="str">
        <f t="shared" si="145"/>
        <v/>
      </c>
      <c r="AS83" s="5" t="str">
        <f t="shared" si="145"/>
        <v/>
      </c>
    </row>
    <row r="84" spans="1:45">
      <c r="A84" s="7">
        <f>SUM(C84:AS84)</f>
        <v>14</v>
      </c>
      <c r="B84" s="6" t="s">
        <v>17</v>
      </c>
      <c r="C84" s="74">
        <v>0</v>
      </c>
      <c r="D84" s="5">
        <f t="shared" ref="D84:AN84" si="146">IF(D77="","",C77+C78-D77)</f>
        <v>0</v>
      </c>
      <c r="E84" s="5">
        <f t="shared" si="146"/>
        <v>0</v>
      </c>
      <c r="F84" s="5">
        <f t="shared" si="146"/>
        <v>0</v>
      </c>
      <c r="G84" s="59">
        <f t="shared" si="146"/>
        <v>0</v>
      </c>
      <c r="H84" s="5">
        <f t="shared" si="146"/>
        <v>0</v>
      </c>
      <c r="I84" s="5">
        <f t="shared" si="146"/>
        <v>2</v>
      </c>
      <c r="J84" s="59">
        <f t="shared" si="146"/>
        <v>0</v>
      </c>
      <c r="K84" s="5">
        <f t="shared" si="146"/>
        <v>0</v>
      </c>
      <c r="L84" s="5">
        <f t="shared" si="146"/>
        <v>4</v>
      </c>
      <c r="M84" s="59">
        <f t="shared" si="146"/>
        <v>0</v>
      </c>
      <c r="N84" s="5">
        <f t="shared" si="146"/>
        <v>0</v>
      </c>
      <c r="O84" s="5">
        <f t="shared" si="146"/>
        <v>0</v>
      </c>
      <c r="P84" s="5">
        <f t="shared" si="146"/>
        <v>4</v>
      </c>
      <c r="Q84" s="59">
        <f t="shared" si="146"/>
        <v>0</v>
      </c>
      <c r="R84" s="5">
        <f t="shared" si="146"/>
        <v>0</v>
      </c>
      <c r="S84" s="5">
        <f t="shared" si="146"/>
        <v>2</v>
      </c>
      <c r="T84" s="5">
        <f t="shared" si="146"/>
        <v>0</v>
      </c>
      <c r="U84" s="5">
        <f t="shared" si="146"/>
        <v>0</v>
      </c>
      <c r="V84" s="5">
        <f t="shared" si="146"/>
        <v>0</v>
      </c>
      <c r="W84" s="5">
        <f t="shared" si="146"/>
        <v>0</v>
      </c>
      <c r="X84" s="5">
        <f t="shared" si="146"/>
        <v>0</v>
      </c>
      <c r="Y84" s="5">
        <f t="shared" si="146"/>
        <v>0</v>
      </c>
      <c r="Z84" s="5">
        <f t="shared" si="146"/>
        <v>1</v>
      </c>
      <c r="AA84" s="5">
        <f t="shared" si="146"/>
        <v>0</v>
      </c>
      <c r="AB84" s="5">
        <f t="shared" si="146"/>
        <v>0</v>
      </c>
      <c r="AC84" s="5">
        <f t="shared" si="146"/>
        <v>0</v>
      </c>
      <c r="AD84" s="5">
        <f t="shared" si="146"/>
        <v>0</v>
      </c>
      <c r="AE84" s="5">
        <f t="shared" si="146"/>
        <v>0</v>
      </c>
      <c r="AF84" s="5">
        <f t="shared" si="146"/>
        <v>0</v>
      </c>
      <c r="AG84" s="5">
        <f t="shared" si="146"/>
        <v>1</v>
      </c>
      <c r="AH84" s="5" t="str">
        <f t="shared" si="146"/>
        <v/>
      </c>
      <c r="AI84" s="5" t="str">
        <f t="shared" si="146"/>
        <v/>
      </c>
      <c r="AJ84" s="5" t="str">
        <f t="shared" si="146"/>
        <v/>
      </c>
      <c r="AK84" s="5" t="str">
        <f t="shared" si="146"/>
        <v/>
      </c>
      <c r="AL84" s="5" t="str">
        <f t="shared" si="146"/>
        <v/>
      </c>
      <c r="AM84" s="5" t="str">
        <f t="shared" si="146"/>
        <v/>
      </c>
      <c r="AN84" s="5" t="str">
        <f t="shared" si="146"/>
        <v/>
      </c>
      <c r="AO84" s="5" t="str">
        <f t="shared" ref="AO84:AS84" si="147">IF(AO77="","",AN77+AN78-AO77)</f>
        <v/>
      </c>
      <c r="AP84" s="5" t="str">
        <f t="shared" si="147"/>
        <v/>
      </c>
      <c r="AQ84" s="5" t="str">
        <f t="shared" si="147"/>
        <v/>
      </c>
      <c r="AR84" s="5" t="str">
        <f t="shared" si="147"/>
        <v/>
      </c>
      <c r="AS84" s="5" t="str">
        <f t="shared" si="147"/>
        <v/>
      </c>
    </row>
    <row r="85" spans="1:45">
      <c r="A85" s="7">
        <f>SUM(C85:AS85)</f>
        <v>2100</v>
      </c>
      <c r="B85" s="6" t="s">
        <v>18</v>
      </c>
      <c r="C85" s="74">
        <v>0</v>
      </c>
      <c r="D85" s="5">
        <f t="shared" ref="D85:AN85" si="148">IF(D75="","",D84*D79)</f>
        <v>0</v>
      </c>
      <c r="E85" s="5">
        <f t="shared" si="148"/>
        <v>0</v>
      </c>
      <c r="F85" s="5">
        <f t="shared" si="148"/>
        <v>0</v>
      </c>
      <c r="G85" s="59">
        <f t="shared" si="148"/>
        <v>0</v>
      </c>
      <c r="H85" s="5">
        <f t="shared" si="148"/>
        <v>0</v>
      </c>
      <c r="I85" s="5">
        <f t="shared" si="148"/>
        <v>300</v>
      </c>
      <c r="J85" s="59">
        <f t="shared" si="148"/>
        <v>0</v>
      </c>
      <c r="K85" s="5">
        <f t="shared" si="148"/>
        <v>0</v>
      </c>
      <c r="L85" s="5">
        <f t="shared" si="148"/>
        <v>600</v>
      </c>
      <c r="M85" s="59">
        <f t="shared" si="148"/>
        <v>0</v>
      </c>
      <c r="N85" s="5">
        <f t="shared" si="148"/>
        <v>0</v>
      </c>
      <c r="O85" s="5">
        <f t="shared" si="148"/>
        <v>0</v>
      </c>
      <c r="P85" s="5">
        <f t="shared" si="148"/>
        <v>600</v>
      </c>
      <c r="Q85" s="59">
        <f t="shared" si="148"/>
        <v>0</v>
      </c>
      <c r="R85" s="5">
        <f t="shared" si="148"/>
        <v>0</v>
      </c>
      <c r="S85" s="5">
        <f t="shared" si="148"/>
        <v>300</v>
      </c>
      <c r="T85" s="5">
        <f t="shared" si="148"/>
        <v>0</v>
      </c>
      <c r="U85" s="5">
        <f t="shared" si="148"/>
        <v>0</v>
      </c>
      <c r="V85" s="5">
        <f t="shared" si="148"/>
        <v>0</v>
      </c>
      <c r="W85" s="5">
        <f t="shared" si="148"/>
        <v>0</v>
      </c>
      <c r="X85" s="5">
        <f t="shared" si="148"/>
        <v>0</v>
      </c>
      <c r="Y85" s="5">
        <f t="shared" si="148"/>
        <v>0</v>
      </c>
      <c r="Z85" s="5">
        <f t="shared" si="148"/>
        <v>150</v>
      </c>
      <c r="AA85" s="5">
        <f t="shared" si="148"/>
        <v>0</v>
      </c>
      <c r="AB85" s="5">
        <f t="shared" si="148"/>
        <v>0</v>
      </c>
      <c r="AC85" s="5">
        <f t="shared" si="148"/>
        <v>0</v>
      </c>
      <c r="AD85" s="5">
        <f t="shared" si="148"/>
        <v>0</v>
      </c>
      <c r="AE85" s="5">
        <f t="shared" si="148"/>
        <v>0</v>
      </c>
      <c r="AF85" s="5">
        <f t="shared" si="148"/>
        <v>0</v>
      </c>
      <c r="AG85" s="5">
        <f t="shared" si="148"/>
        <v>150</v>
      </c>
      <c r="AH85" s="5" t="str">
        <f t="shared" si="148"/>
        <v/>
      </c>
      <c r="AI85" s="5" t="str">
        <f t="shared" si="148"/>
        <v/>
      </c>
      <c r="AJ85" s="5" t="str">
        <f t="shared" si="148"/>
        <v/>
      </c>
      <c r="AK85" s="5" t="str">
        <f t="shared" si="148"/>
        <v/>
      </c>
      <c r="AL85" s="5" t="str">
        <f t="shared" si="148"/>
        <v/>
      </c>
      <c r="AM85" s="5" t="str">
        <f t="shared" si="148"/>
        <v/>
      </c>
      <c r="AN85" s="5" t="str">
        <f t="shared" si="148"/>
        <v/>
      </c>
      <c r="AO85" s="5" t="str">
        <f t="shared" ref="AO85:AS85" si="149">IF(AO75="","",AO84*AO79)</f>
        <v/>
      </c>
      <c r="AP85" s="5" t="str">
        <f t="shared" si="149"/>
        <v/>
      </c>
      <c r="AQ85" s="5" t="str">
        <f t="shared" si="149"/>
        <v/>
      </c>
      <c r="AR85" s="5" t="str">
        <f t="shared" si="149"/>
        <v/>
      </c>
      <c r="AS85" s="5" t="str">
        <f t="shared" si="149"/>
        <v/>
      </c>
    </row>
    <row r="86" spans="1:45" ht="12" thickBot="1">
      <c r="A86" s="4">
        <f>IF(A85="","",A85/(A82*100))</f>
        <v>8.0459770114942528E-2</v>
      </c>
      <c r="B86" s="3" t="s">
        <v>20</v>
      </c>
      <c r="C86" s="77" t="s">
        <v>21</v>
      </c>
      <c r="D86" s="2" t="str">
        <f t="shared" ref="D86:AN86" si="150">IF(D85="","",IF(D85=0,"",D85/(D82*100)))</f>
        <v/>
      </c>
      <c r="E86" s="2" t="str">
        <f t="shared" si="150"/>
        <v/>
      </c>
      <c r="F86" s="2" t="str">
        <f t="shared" si="150"/>
        <v/>
      </c>
      <c r="G86" s="57" t="str">
        <f t="shared" si="150"/>
        <v/>
      </c>
      <c r="H86" s="2" t="str">
        <f t="shared" si="150"/>
        <v/>
      </c>
      <c r="I86" s="2">
        <f t="shared" si="150"/>
        <v>0.10344827586206896</v>
      </c>
      <c r="J86" s="57" t="str">
        <f t="shared" si="150"/>
        <v/>
      </c>
      <c r="K86" s="2" t="str">
        <f t="shared" si="150"/>
        <v/>
      </c>
      <c r="L86" s="2">
        <f t="shared" si="150"/>
        <v>0.10714285714285714</v>
      </c>
      <c r="M86" s="57" t="str">
        <f t="shared" si="150"/>
        <v/>
      </c>
      <c r="N86" s="2" t="str">
        <f t="shared" si="150"/>
        <v/>
      </c>
      <c r="O86" s="2" t="str">
        <f t="shared" si="150"/>
        <v/>
      </c>
      <c r="P86" s="2">
        <f t="shared" si="150"/>
        <v>0.24</v>
      </c>
      <c r="Q86" s="57" t="str">
        <f t="shared" si="150"/>
        <v/>
      </c>
      <c r="R86" s="2" t="str">
        <f t="shared" si="150"/>
        <v/>
      </c>
      <c r="S86" s="2">
        <f t="shared" si="150"/>
        <v>0.10714285714285714</v>
      </c>
      <c r="T86" s="2" t="str">
        <f t="shared" si="150"/>
        <v/>
      </c>
      <c r="U86" s="2" t="str">
        <f t="shared" si="150"/>
        <v/>
      </c>
      <c r="V86" s="2" t="str">
        <f t="shared" si="150"/>
        <v/>
      </c>
      <c r="W86" s="2" t="str">
        <f t="shared" si="150"/>
        <v/>
      </c>
      <c r="X86" s="2" t="str">
        <f t="shared" si="150"/>
        <v/>
      </c>
      <c r="Y86" s="2" t="str">
        <f t="shared" si="150"/>
        <v/>
      </c>
      <c r="Z86" s="2">
        <f t="shared" si="150"/>
        <v>2.5000000000000001E-2</v>
      </c>
      <c r="AA86" s="2" t="str">
        <f t="shared" si="150"/>
        <v/>
      </c>
      <c r="AB86" s="2" t="str">
        <f t="shared" si="150"/>
        <v/>
      </c>
      <c r="AC86" s="2" t="str">
        <f t="shared" si="150"/>
        <v/>
      </c>
      <c r="AD86" s="2" t="str">
        <f t="shared" si="150"/>
        <v/>
      </c>
      <c r="AE86" s="2" t="str">
        <f t="shared" si="150"/>
        <v/>
      </c>
      <c r="AF86" s="2" t="str">
        <f t="shared" si="150"/>
        <v/>
      </c>
      <c r="AG86" s="2">
        <f t="shared" si="150"/>
        <v>6.8181818181818177E-2</v>
      </c>
      <c r="AH86" s="2" t="str">
        <f t="shared" si="150"/>
        <v/>
      </c>
      <c r="AI86" s="2" t="str">
        <f t="shared" si="150"/>
        <v/>
      </c>
      <c r="AJ86" s="2" t="str">
        <f t="shared" si="150"/>
        <v/>
      </c>
      <c r="AK86" s="2" t="str">
        <f t="shared" si="150"/>
        <v/>
      </c>
      <c r="AL86" s="2" t="str">
        <f t="shared" si="150"/>
        <v/>
      </c>
      <c r="AM86" s="2" t="str">
        <f t="shared" si="150"/>
        <v/>
      </c>
      <c r="AN86" s="2" t="str">
        <f t="shared" si="150"/>
        <v/>
      </c>
      <c r="AO86" s="2" t="str">
        <f t="shared" ref="AO86:AS86" si="151">IF(AO85="","",IF(AO85=0,"",AO85/(AO82*100)))</f>
        <v/>
      </c>
      <c r="AP86" s="2" t="str">
        <f t="shared" si="151"/>
        <v/>
      </c>
      <c r="AQ86" s="2" t="str">
        <f t="shared" si="151"/>
        <v/>
      </c>
      <c r="AR86" s="2" t="str">
        <f t="shared" si="151"/>
        <v/>
      </c>
      <c r="AS86" s="2" t="str">
        <f t="shared" si="151"/>
        <v/>
      </c>
    </row>
    <row r="87" spans="1:45">
      <c r="A87" s="22" t="s">
        <v>78</v>
      </c>
      <c r="B87" s="21" t="s">
        <v>2</v>
      </c>
      <c r="C87" s="73">
        <v>11313</v>
      </c>
      <c r="D87" s="20">
        <f>IF(D$3="","",C87)</f>
        <v>11313</v>
      </c>
      <c r="E87" s="20">
        <f>IF(E$3="","",D87)</f>
        <v>11313</v>
      </c>
      <c r="F87" s="20">
        <v>11347</v>
      </c>
      <c r="G87" s="130">
        <f>IF(G$3="","",F87)</f>
        <v>11347</v>
      </c>
      <c r="H87" s="20">
        <f>IF(H$3="","",G87)</f>
        <v>11347</v>
      </c>
      <c r="I87" s="20">
        <v>11376</v>
      </c>
      <c r="J87" s="130">
        <f>IF(J$3="","",I87)</f>
        <v>11376</v>
      </c>
      <c r="K87" s="20">
        <f>IF(K$3="","",J87)</f>
        <v>11376</v>
      </c>
      <c r="L87" s="20">
        <v>11428</v>
      </c>
      <c r="M87" s="130">
        <f t="shared" ref="M87:O88" si="152">IF(M$3="","",L87)</f>
        <v>11428</v>
      </c>
      <c r="N87" s="20">
        <f t="shared" si="152"/>
        <v>11428</v>
      </c>
      <c r="O87" s="20">
        <f t="shared" si="152"/>
        <v>11428</v>
      </c>
      <c r="P87" s="20">
        <v>11442</v>
      </c>
      <c r="Q87" s="130">
        <f>IF(Q$3="","",P87)</f>
        <v>11442</v>
      </c>
      <c r="R87" s="20">
        <f>IF(R$3="","",Q87)</f>
        <v>11442</v>
      </c>
      <c r="S87" s="20">
        <v>11471</v>
      </c>
      <c r="T87" s="20">
        <f t="shared" ref="T87:AN87" si="153">IF(T$3="","",S87)</f>
        <v>11471</v>
      </c>
      <c r="U87" s="20">
        <f t="shared" si="153"/>
        <v>11471</v>
      </c>
      <c r="V87" s="20">
        <f t="shared" si="153"/>
        <v>11471</v>
      </c>
      <c r="W87" s="20">
        <v>11507</v>
      </c>
      <c r="X87" s="20">
        <f t="shared" si="153"/>
        <v>11507</v>
      </c>
      <c r="Y87" s="20">
        <f t="shared" si="153"/>
        <v>11507</v>
      </c>
      <c r="Z87" s="20">
        <v>11567</v>
      </c>
      <c r="AA87" s="20">
        <f t="shared" si="153"/>
        <v>11567</v>
      </c>
      <c r="AB87" s="20">
        <f t="shared" si="153"/>
        <v>11567</v>
      </c>
      <c r="AC87" s="20">
        <f t="shared" si="153"/>
        <v>11567</v>
      </c>
      <c r="AD87" s="20">
        <v>11594</v>
      </c>
      <c r="AE87" s="20">
        <f t="shared" si="153"/>
        <v>11594</v>
      </c>
      <c r="AF87" s="20">
        <f t="shared" si="153"/>
        <v>11594</v>
      </c>
      <c r="AG87" s="20">
        <v>11636</v>
      </c>
      <c r="AH87" s="20" t="str">
        <f t="shared" si="153"/>
        <v/>
      </c>
      <c r="AI87" s="20" t="str">
        <f t="shared" si="153"/>
        <v/>
      </c>
      <c r="AJ87" s="20" t="str">
        <f t="shared" si="153"/>
        <v/>
      </c>
      <c r="AK87" s="20" t="str">
        <f t="shared" si="153"/>
        <v/>
      </c>
      <c r="AL87" s="20" t="str">
        <f t="shared" si="153"/>
        <v/>
      </c>
      <c r="AM87" s="20" t="str">
        <f t="shared" si="153"/>
        <v/>
      </c>
      <c r="AN87" s="20" t="str">
        <f t="shared" si="153"/>
        <v/>
      </c>
      <c r="AO87" s="20" t="str">
        <f t="shared" ref="AO87:AS87" si="154">IF(AO$3="","",AN87)</f>
        <v/>
      </c>
      <c r="AP87" s="20" t="str">
        <f t="shared" si="154"/>
        <v/>
      </c>
      <c r="AQ87" s="20" t="str">
        <f t="shared" si="154"/>
        <v/>
      </c>
      <c r="AR87" s="20" t="str">
        <f t="shared" si="154"/>
        <v/>
      </c>
      <c r="AS87" s="20" t="str">
        <f t="shared" si="154"/>
        <v/>
      </c>
    </row>
    <row r="88" spans="1:45">
      <c r="A88" s="16" t="s">
        <v>28</v>
      </c>
      <c r="B88" s="9" t="s">
        <v>4</v>
      </c>
      <c r="C88" s="74">
        <v>217</v>
      </c>
      <c r="D88" s="8">
        <f>IF(D$3="","",C88)</f>
        <v>217</v>
      </c>
      <c r="E88" s="8">
        <f>IF(E$3="","",D88)</f>
        <v>217</v>
      </c>
      <c r="F88" s="8">
        <f>IF(F$3="","",E88)</f>
        <v>217</v>
      </c>
      <c r="G88" s="59">
        <f>IF(G$3="","",F88)</f>
        <v>217</v>
      </c>
      <c r="H88" s="8">
        <f>IF(H$3="","",G88)</f>
        <v>217</v>
      </c>
      <c r="I88" s="8">
        <v>218</v>
      </c>
      <c r="J88" s="59">
        <f>IF(J$3="","",I88)</f>
        <v>218</v>
      </c>
      <c r="K88" s="8">
        <f>IF(K$3="","",J88)</f>
        <v>218</v>
      </c>
      <c r="L88" s="8">
        <f>IF(L$3="","",K88)</f>
        <v>218</v>
      </c>
      <c r="M88" s="59">
        <f t="shared" si="152"/>
        <v>218</v>
      </c>
      <c r="N88" s="8">
        <f t="shared" si="152"/>
        <v>218</v>
      </c>
      <c r="O88" s="8">
        <f t="shared" si="152"/>
        <v>218</v>
      </c>
      <c r="P88" s="8">
        <f>IF(P$3="","",O88)</f>
        <v>218</v>
      </c>
      <c r="Q88" s="59">
        <f>IF(Q$3="","",P88)</f>
        <v>218</v>
      </c>
      <c r="R88" s="8">
        <f>IF(R$3="","",Q88)</f>
        <v>218</v>
      </c>
      <c r="S88" s="8">
        <v>219</v>
      </c>
      <c r="T88" s="8">
        <f t="shared" ref="T88:AN88" si="155">IF(T$3="","",S88)</f>
        <v>219</v>
      </c>
      <c r="U88" s="8">
        <f t="shared" si="155"/>
        <v>219</v>
      </c>
      <c r="V88" s="8">
        <f t="shared" si="155"/>
        <v>219</v>
      </c>
      <c r="W88" s="8">
        <f t="shared" si="155"/>
        <v>219</v>
      </c>
      <c r="X88" s="8">
        <f t="shared" si="155"/>
        <v>219</v>
      </c>
      <c r="Y88" s="8">
        <f t="shared" si="155"/>
        <v>219</v>
      </c>
      <c r="Z88" s="8">
        <v>220</v>
      </c>
      <c r="AA88" s="8">
        <f t="shared" si="155"/>
        <v>220</v>
      </c>
      <c r="AB88" s="8">
        <f t="shared" si="155"/>
        <v>220</v>
      </c>
      <c r="AC88" s="8">
        <f t="shared" si="155"/>
        <v>220</v>
      </c>
      <c r="AD88" s="8">
        <f t="shared" si="155"/>
        <v>220</v>
      </c>
      <c r="AE88" s="8">
        <f t="shared" si="155"/>
        <v>220</v>
      </c>
      <c r="AF88" s="8">
        <f t="shared" si="155"/>
        <v>220</v>
      </c>
      <c r="AG88" s="8">
        <v>221</v>
      </c>
      <c r="AH88" s="8" t="str">
        <f t="shared" si="155"/>
        <v/>
      </c>
      <c r="AI88" s="8" t="str">
        <f t="shared" si="155"/>
        <v/>
      </c>
      <c r="AJ88" s="8" t="str">
        <f t="shared" si="155"/>
        <v/>
      </c>
      <c r="AK88" s="8" t="str">
        <f t="shared" si="155"/>
        <v/>
      </c>
      <c r="AL88" s="8" t="str">
        <f t="shared" si="155"/>
        <v/>
      </c>
      <c r="AM88" s="8" t="str">
        <f t="shared" si="155"/>
        <v/>
      </c>
      <c r="AN88" s="8" t="str">
        <f t="shared" si="155"/>
        <v/>
      </c>
      <c r="AO88" s="8" t="str">
        <f t="shared" ref="AO88:AS88" si="156">IF(AO$3="","",AN88)</f>
        <v/>
      </c>
      <c r="AP88" s="8" t="str">
        <f t="shared" si="156"/>
        <v/>
      </c>
      <c r="AQ88" s="8" t="str">
        <f t="shared" si="156"/>
        <v/>
      </c>
      <c r="AR88" s="8" t="str">
        <f t="shared" si="156"/>
        <v/>
      </c>
      <c r="AS88" s="8" t="str">
        <f t="shared" si="156"/>
        <v/>
      </c>
    </row>
    <row r="89" spans="1:45">
      <c r="A89" s="15">
        <v>1</v>
      </c>
      <c r="B89" s="9" t="s">
        <v>5</v>
      </c>
      <c r="C89" s="74">
        <v>7</v>
      </c>
      <c r="D89" s="8">
        <f>IF(D87="","",(C89+C90))</f>
        <v>7</v>
      </c>
      <c r="E89" s="8">
        <f>IF(E87="","",(D89+D90))</f>
        <v>7</v>
      </c>
      <c r="F89" s="8">
        <f>IF(F87="","",(E89+E90))</f>
        <v>7</v>
      </c>
      <c r="G89" s="59">
        <f>IF(G87="","",(F89+F90))</f>
        <v>7</v>
      </c>
      <c r="H89" s="8">
        <f>IF(H87="","",(G89+G90))</f>
        <v>7</v>
      </c>
      <c r="I89" s="8">
        <v>6</v>
      </c>
      <c r="J89" s="59">
        <f t="shared" ref="J89:R89" si="157">IF(J87="","",(I89+I90))</f>
        <v>6</v>
      </c>
      <c r="K89" s="8">
        <f t="shared" si="157"/>
        <v>6</v>
      </c>
      <c r="L89" s="8">
        <f t="shared" si="157"/>
        <v>6</v>
      </c>
      <c r="M89" s="59">
        <f t="shared" si="157"/>
        <v>6</v>
      </c>
      <c r="N89" s="8">
        <f t="shared" si="157"/>
        <v>6</v>
      </c>
      <c r="O89" s="8">
        <f t="shared" si="157"/>
        <v>6</v>
      </c>
      <c r="P89" s="8">
        <f t="shared" si="157"/>
        <v>6</v>
      </c>
      <c r="Q89" s="59">
        <f t="shared" si="157"/>
        <v>6</v>
      </c>
      <c r="R89" s="8">
        <f t="shared" si="157"/>
        <v>6</v>
      </c>
      <c r="S89" s="8">
        <v>5</v>
      </c>
      <c r="T89" s="8">
        <f t="shared" ref="T89:AN89" si="158">IF(T87="","",(S89+S90))</f>
        <v>16</v>
      </c>
      <c r="U89" s="8">
        <f t="shared" si="158"/>
        <v>16</v>
      </c>
      <c r="V89" s="8">
        <f t="shared" si="158"/>
        <v>16</v>
      </c>
      <c r="W89" s="8">
        <f t="shared" si="158"/>
        <v>16</v>
      </c>
      <c r="X89" s="8">
        <f t="shared" si="158"/>
        <v>16</v>
      </c>
      <c r="Y89" s="8">
        <f t="shared" si="158"/>
        <v>16</v>
      </c>
      <c r="Z89" s="8">
        <v>15</v>
      </c>
      <c r="AA89" s="8">
        <f t="shared" si="158"/>
        <v>15</v>
      </c>
      <c r="AB89" s="8">
        <f t="shared" si="158"/>
        <v>15</v>
      </c>
      <c r="AC89" s="8">
        <f t="shared" si="158"/>
        <v>15</v>
      </c>
      <c r="AD89" s="8">
        <f t="shared" si="158"/>
        <v>15</v>
      </c>
      <c r="AE89" s="8">
        <f t="shared" si="158"/>
        <v>15</v>
      </c>
      <c r="AF89" s="8">
        <f t="shared" si="158"/>
        <v>15</v>
      </c>
      <c r="AG89" s="8">
        <v>14</v>
      </c>
      <c r="AH89" s="8" t="str">
        <f t="shared" si="158"/>
        <v/>
      </c>
      <c r="AI89" s="8" t="str">
        <f t="shared" si="158"/>
        <v/>
      </c>
      <c r="AJ89" s="8" t="str">
        <f t="shared" si="158"/>
        <v/>
      </c>
      <c r="AK89" s="8" t="str">
        <f t="shared" si="158"/>
        <v/>
      </c>
      <c r="AL89" s="8" t="str">
        <f t="shared" si="158"/>
        <v/>
      </c>
      <c r="AM89" s="8" t="str">
        <f t="shared" si="158"/>
        <v/>
      </c>
      <c r="AN89" s="8" t="str">
        <f t="shared" si="158"/>
        <v/>
      </c>
      <c r="AO89" s="8" t="str">
        <f t="shared" ref="AO89:AS89" si="159">IF(AO87="","",(AN89+AN90))</f>
        <v/>
      </c>
      <c r="AP89" s="8" t="str">
        <f t="shared" si="159"/>
        <v/>
      </c>
      <c r="AQ89" s="8" t="str">
        <f t="shared" si="159"/>
        <v/>
      </c>
      <c r="AR89" s="8" t="str">
        <f t="shared" si="159"/>
        <v/>
      </c>
      <c r="AS89" s="8" t="str">
        <f t="shared" si="159"/>
        <v/>
      </c>
    </row>
    <row r="90" spans="1:45">
      <c r="A90" s="101" t="s">
        <v>6</v>
      </c>
      <c r="B90" s="9" t="s">
        <v>7</v>
      </c>
      <c r="C90" s="74"/>
      <c r="D90" s="8"/>
      <c r="E90" s="8"/>
      <c r="F90" s="8"/>
      <c r="G90" s="59"/>
      <c r="H90" s="8"/>
      <c r="I90" s="8"/>
      <c r="J90" s="59"/>
      <c r="K90" s="8"/>
      <c r="L90" s="8"/>
      <c r="M90" s="59"/>
      <c r="N90" s="8"/>
      <c r="O90" s="8"/>
      <c r="P90" s="8"/>
      <c r="Q90" s="59"/>
      <c r="R90" s="8"/>
      <c r="S90" s="8">
        <v>11</v>
      </c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>
      <c r="A91" s="102">
        <f>+(A94+A106+A118+A130)*100</f>
        <v>187200</v>
      </c>
      <c r="B91" s="9" t="s">
        <v>8</v>
      </c>
      <c r="C91" s="74">
        <v>500</v>
      </c>
      <c r="D91" s="8">
        <f t="shared" ref="D91:AN91" si="160">IF(D87="","",C91)</f>
        <v>500</v>
      </c>
      <c r="E91" s="8">
        <f t="shared" si="160"/>
        <v>500</v>
      </c>
      <c r="F91" s="8">
        <f t="shared" si="160"/>
        <v>500</v>
      </c>
      <c r="G91" s="59">
        <f t="shared" si="160"/>
        <v>500</v>
      </c>
      <c r="H91" s="8">
        <f t="shared" si="160"/>
        <v>500</v>
      </c>
      <c r="I91" s="8">
        <f t="shared" si="160"/>
        <v>500</v>
      </c>
      <c r="J91" s="59">
        <f t="shared" si="160"/>
        <v>500</v>
      </c>
      <c r="K91" s="8">
        <f t="shared" si="160"/>
        <v>500</v>
      </c>
      <c r="L91" s="8">
        <f t="shared" si="160"/>
        <v>500</v>
      </c>
      <c r="M91" s="59">
        <f t="shared" si="160"/>
        <v>500</v>
      </c>
      <c r="N91" s="8">
        <f t="shared" si="160"/>
        <v>500</v>
      </c>
      <c r="O91" s="8">
        <f t="shared" si="160"/>
        <v>500</v>
      </c>
      <c r="P91" s="8">
        <f t="shared" si="160"/>
        <v>500</v>
      </c>
      <c r="Q91" s="59">
        <f t="shared" si="160"/>
        <v>500</v>
      </c>
      <c r="R91" s="8">
        <f t="shared" si="160"/>
        <v>500</v>
      </c>
      <c r="S91" s="8">
        <f t="shared" si="160"/>
        <v>500</v>
      </c>
      <c r="T91" s="8">
        <f t="shared" si="160"/>
        <v>500</v>
      </c>
      <c r="U91" s="8">
        <f t="shared" si="160"/>
        <v>500</v>
      </c>
      <c r="V91" s="8">
        <f t="shared" si="160"/>
        <v>500</v>
      </c>
      <c r="W91" s="8">
        <f t="shared" si="160"/>
        <v>500</v>
      </c>
      <c r="X91" s="8">
        <f t="shared" si="160"/>
        <v>500</v>
      </c>
      <c r="Y91" s="8">
        <f t="shared" si="160"/>
        <v>500</v>
      </c>
      <c r="Z91" s="8">
        <f t="shared" si="160"/>
        <v>500</v>
      </c>
      <c r="AA91" s="8">
        <f t="shared" si="160"/>
        <v>500</v>
      </c>
      <c r="AB91" s="8">
        <f t="shared" si="160"/>
        <v>500</v>
      </c>
      <c r="AC91" s="8">
        <f t="shared" si="160"/>
        <v>500</v>
      </c>
      <c r="AD91" s="8">
        <f t="shared" si="160"/>
        <v>500</v>
      </c>
      <c r="AE91" s="8">
        <f t="shared" si="160"/>
        <v>500</v>
      </c>
      <c r="AF91" s="8">
        <f t="shared" si="160"/>
        <v>500</v>
      </c>
      <c r="AG91" s="8">
        <f t="shared" si="160"/>
        <v>500</v>
      </c>
      <c r="AH91" s="8" t="str">
        <f t="shared" si="160"/>
        <v/>
      </c>
      <c r="AI91" s="8" t="str">
        <f t="shared" si="160"/>
        <v/>
      </c>
      <c r="AJ91" s="8" t="str">
        <f t="shared" si="160"/>
        <v/>
      </c>
      <c r="AK91" s="8" t="str">
        <f t="shared" si="160"/>
        <v/>
      </c>
      <c r="AL91" s="8" t="str">
        <f t="shared" si="160"/>
        <v/>
      </c>
      <c r="AM91" s="8" t="str">
        <f t="shared" si="160"/>
        <v/>
      </c>
      <c r="AN91" s="8" t="str">
        <f t="shared" si="160"/>
        <v/>
      </c>
      <c r="AO91" s="8" t="str">
        <f t="shared" ref="AO91:AS91" si="161">IF(AO87="","",AN91)</f>
        <v/>
      </c>
      <c r="AP91" s="8" t="str">
        <f t="shared" si="161"/>
        <v/>
      </c>
      <c r="AQ91" s="8" t="str">
        <f t="shared" si="161"/>
        <v/>
      </c>
      <c r="AR91" s="8" t="str">
        <f t="shared" si="161"/>
        <v/>
      </c>
      <c r="AS91" s="8" t="str">
        <f t="shared" si="161"/>
        <v/>
      </c>
    </row>
    <row r="92" spans="1:45" s="94" customFormat="1">
      <c r="A92" s="14" t="s">
        <v>9</v>
      </c>
      <c r="B92" s="13" t="s">
        <v>10</v>
      </c>
      <c r="C92" s="75" t="s">
        <v>88</v>
      </c>
      <c r="D92" s="12" t="str">
        <f t="shared" ref="D92:AN92" si="162">IF(D87="","",C92)</f>
        <v>ギャルキティMC</v>
      </c>
      <c r="E92" s="12" t="str">
        <f t="shared" si="162"/>
        <v>ギャルキティMC</v>
      </c>
      <c r="F92" s="12" t="str">
        <f t="shared" si="162"/>
        <v>ギャルキティMC</v>
      </c>
      <c r="G92" s="131" t="str">
        <f t="shared" si="162"/>
        <v>ギャルキティMC</v>
      </c>
      <c r="H92" s="12" t="str">
        <f t="shared" si="162"/>
        <v>ギャルキティMC</v>
      </c>
      <c r="I92" s="12" t="str">
        <f t="shared" si="162"/>
        <v>ギャルキティMC</v>
      </c>
      <c r="J92" s="131" t="str">
        <f t="shared" si="162"/>
        <v>ギャルキティMC</v>
      </c>
      <c r="K92" s="12" t="str">
        <f t="shared" si="162"/>
        <v>ギャルキティMC</v>
      </c>
      <c r="L92" s="12" t="str">
        <f t="shared" si="162"/>
        <v>ギャルキティMC</v>
      </c>
      <c r="M92" s="131" t="str">
        <f t="shared" si="162"/>
        <v>ギャルキティMC</v>
      </c>
      <c r="N92" s="12" t="str">
        <f t="shared" si="162"/>
        <v>ギャルキティMC</v>
      </c>
      <c r="O92" s="12" t="str">
        <f t="shared" si="162"/>
        <v>ギャルキティMC</v>
      </c>
      <c r="P92" s="12" t="str">
        <f t="shared" si="162"/>
        <v>ギャルキティMC</v>
      </c>
      <c r="Q92" s="131" t="str">
        <f t="shared" si="162"/>
        <v>ギャルキティMC</v>
      </c>
      <c r="R92" s="12" t="str">
        <f t="shared" si="162"/>
        <v>ギャルキティMC</v>
      </c>
      <c r="S92" s="12" t="str">
        <f t="shared" si="162"/>
        <v>ギャルキティMC</v>
      </c>
      <c r="T92" s="12" t="str">
        <f t="shared" si="162"/>
        <v>ギャルキティMC</v>
      </c>
      <c r="U92" s="12" t="str">
        <f t="shared" si="162"/>
        <v>ギャルキティMC</v>
      </c>
      <c r="V92" s="12" t="str">
        <f t="shared" si="162"/>
        <v>ギャルキティMC</v>
      </c>
      <c r="W92" s="12" t="str">
        <f t="shared" si="162"/>
        <v>ギャルキティMC</v>
      </c>
      <c r="X92" s="12" t="str">
        <f t="shared" si="162"/>
        <v>ギャルキティMC</v>
      </c>
      <c r="Y92" s="12" t="str">
        <f t="shared" si="162"/>
        <v>ギャルキティMC</v>
      </c>
      <c r="Z92" s="12" t="str">
        <f t="shared" si="162"/>
        <v>ギャルキティMC</v>
      </c>
      <c r="AA92" s="12" t="str">
        <f t="shared" si="162"/>
        <v>ギャルキティMC</v>
      </c>
      <c r="AB92" s="12" t="str">
        <f t="shared" si="162"/>
        <v>ギャルキティMC</v>
      </c>
      <c r="AC92" s="12" t="str">
        <f t="shared" si="162"/>
        <v>ギャルキティMC</v>
      </c>
      <c r="AD92" s="12" t="str">
        <f t="shared" si="162"/>
        <v>ギャルキティMC</v>
      </c>
      <c r="AE92" s="12" t="str">
        <f t="shared" si="162"/>
        <v>ギャルキティMC</v>
      </c>
      <c r="AF92" s="12" t="str">
        <f t="shared" si="162"/>
        <v>ギャルキティMC</v>
      </c>
      <c r="AG92" s="12" t="str">
        <f t="shared" si="162"/>
        <v>ギャルキティMC</v>
      </c>
      <c r="AH92" s="12" t="str">
        <f t="shared" si="162"/>
        <v/>
      </c>
      <c r="AI92" s="12" t="str">
        <f t="shared" si="162"/>
        <v/>
      </c>
      <c r="AJ92" s="12" t="str">
        <f t="shared" si="162"/>
        <v/>
      </c>
      <c r="AK92" s="12" t="str">
        <f t="shared" si="162"/>
        <v/>
      </c>
      <c r="AL92" s="12" t="str">
        <f t="shared" si="162"/>
        <v/>
      </c>
      <c r="AM92" s="12" t="str">
        <f t="shared" si="162"/>
        <v/>
      </c>
      <c r="AN92" s="12" t="str">
        <f t="shared" si="162"/>
        <v/>
      </c>
      <c r="AO92" s="12" t="str">
        <f t="shared" ref="AO92:AS92" si="163">IF(AO87="","",AN92)</f>
        <v/>
      </c>
      <c r="AP92" s="12" t="str">
        <f t="shared" si="163"/>
        <v/>
      </c>
      <c r="AQ92" s="12" t="str">
        <f t="shared" si="163"/>
        <v/>
      </c>
      <c r="AR92" s="12" t="str">
        <f t="shared" si="163"/>
        <v/>
      </c>
      <c r="AS92" s="12" t="str">
        <f t="shared" si="163"/>
        <v/>
      </c>
    </row>
    <row r="93" spans="1:45">
      <c r="A93" s="7">
        <f>AVERAGE(C94:AS94)*30*100</f>
        <v>31258.064516129038</v>
      </c>
      <c r="B93" s="9" t="s">
        <v>14</v>
      </c>
      <c r="C93" s="74"/>
      <c r="D93" s="8"/>
      <c r="E93" s="8"/>
      <c r="F93" s="8"/>
      <c r="G93" s="59"/>
      <c r="H93" s="8"/>
      <c r="I93" s="8"/>
      <c r="J93" s="59"/>
      <c r="K93" s="8"/>
      <c r="L93" s="8"/>
      <c r="M93" s="59"/>
      <c r="N93" s="8"/>
      <c r="O93" s="8"/>
      <c r="P93" s="8"/>
      <c r="Q93" s="59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>
      <c r="A94" s="7">
        <f>SUM(C94:AS94)</f>
        <v>323</v>
      </c>
      <c r="B94" s="6" t="s">
        <v>15</v>
      </c>
      <c r="C94" s="74">
        <v>0</v>
      </c>
      <c r="D94" s="5">
        <f t="shared" ref="D94:AN94" si="164">IF(D87="","",D87-C87)</f>
        <v>0</v>
      </c>
      <c r="E94" s="5">
        <f t="shared" si="164"/>
        <v>0</v>
      </c>
      <c r="F94" s="5">
        <f t="shared" si="164"/>
        <v>34</v>
      </c>
      <c r="G94" s="59">
        <f t="shared" si="164"/>
        <v>0</v>
      </c>
      <c r="H94" s="5">
        <f t="shared" si="164"/>
        <v>0</v>
      </c>
      <c r="I94" s="5">
        <f t="shared" si="164"/>
        <v>29</v>
      </c>
      <c r="J94" s="59">
        <f t="shared" si="164"/>
        <v>0</v>
      </c>
      <c r="K94" s="5">
        <f t="shared" si="164"/>
        <v>0</v>
      </c>
      <c r="L94" s="5">
        <f t="shared" si="164"/>
        <v>52</v>
      </c>
      <c r="M94" s="59">
        <f t="shared" si="164"/>
        <v>0</v>
      </c>
      <c r="N94" s="5">
        <f t="shared" si="164"/>
        <v>0</v>
      </c>
      <c r="O94" s="5">
        <f t="shared" si="164"/>
        <v>0</v>
      </c>
      <c r="P94" s="5">
        <f t="shared" si="164"/>
        <v>14</v>
      </c>
      <c r="Q94" s="59">
        <f t="shared" si="164"/>
        <v>0</v>
      </c>
      <c r="R94" s="5">
        <f t="shared" si="164"/>
        <v>0</v>
      </c>
      <c r="S94" s="5">
        <f t="shared" si="164"/>
        <v>29</v>
      </c>
      <c r="T94" s="5">
        <f t="shared" si="164"/>
        <v>0</v>
      </c>
      <c r="U94" s="5">
        <f t="shared" si="164"/>
        <v>0</v>
      </c>
      <c r="V94" s="5">
        <f t="shared" si="164"/>
        <v>0</v>
      </c>
      <c r="W94" s="5">
        <f t="shared" si="164"/>
        <v>36</v>
      </c>
      <c r="X94" s="5">
        <f t="shared" si="164"/>
        <v>0</v>
      </c>
      <c r="Y94" s="5">
        <f t="shared" si="164"/>
        <v>0</v>
      </c>
      <c r="Z94" s="5">
        <f t="shared" si="164"/>
        <v>60</v>
      </c>
      <c r="AA94" s="5">
        <f t="shared" si="164"/>
        <v>0</v>
      </c>
      <c r="AB94" s="5">
        <f t="shared" si="164"/>
        <v>0</v>
      </c>
      <c r="AC94" s="5">
        <f t="shared" si="164"/>
        <v>0</v>
      </c>
      <c r="AD94" s="5">
        <f t="shared" si="164"/>
        <v>27</v>
      </c>
      <c r="AE94" s="5">
        <f t="shared" si="164"/>
        <v>0</v>
      </c>
      <c r="AF94" s="5">
        <f t="shared" si="164"/>
        <v>0</v>
      </c>
      <c r="AG94" s="5">
        <f t="shared" si="164"/>
        <v>42</v>
      </c>
      <c r="AH94" s="5" t="str">
        <f t="shared" si="164"/>
        <v/>
      </c>
      <c r="AI94" s="5" t="str">
        <f t="shared" si="164"/>
        <v/>
      </c>
      <c r="AJ94" s="5" t="str">
        <f t="shared" si="164"/>
        <v/>
      </c>
      <c r="AK94" s="5" t="str">
        <f t="shared" si="164"/>
        <v/>
      </c>
      <c r="AL94" s="5" t="str">
        <f t="shared" si="164"/>
        <v/>
      </c>
      <c r="AM94" s="5" t="str">
        <f t="shared" si="164"/>
        <v/>
      </c>
      <c r="AN94" s="5" t="str">
        <f t="shared" si="164"/>
        <v/>
      </c>
      <c r="AO94" s="5" t="str">
        <f t="shared" ref="AO94:AS94" si="165">IF(AO87="","",AO87-AN87)</f>
        <v/>
      </c>
      <c r="AP94" s="5" t="str">
        <f t="shared" si="165"/>
        <v/>
      </c>
      <c r="AQ94" s="5" t="str">
        <f t="shared" si="165"/>
        <v/>
      </c>
      <c r="AR94" s="5" t="str">
        <f t="shared" si="165"/>
        <v/>
      </c>
      <c r="AS94" s="5" t="str">
        <f t="shared" si="165"/>
        <v/>
      </c>
    </row>
    <row r="95" spans="1:45">
      <c r="A95" s="7">
        <f>SUM(C95:AS95)</f>
        <v>4</v>
      </c>
      <c r="B95" s="6" t="s">
        <v>16</v>
      </c>
      <c r="C95" s="74">
        <v>0</v>
      </c>
      <c r="D95" s="5">
        <f t="shared" ref="D95:AN95" si="166">IF(D88="","",D88-C88)</f>
        <v>0</v>
      </c>
      <c r="E95" s="5">
        <f t="shared" si="166"/>
        <v>0</v>
      </c>
      <c r="F95" s="5">
        <f t="shared" si="166"/>
        <v>0</v>
      </c>
      <c r="G95" s="59">
        <f t="shared" si="166"/>
        <v>0</v>
      </c>
      <c r="H95" s="5">
        <f t="shared" si="166"/>
        <v>0</v>
      </c>
      <c r="I95" s="5">
        <f t="shared" si="166"/>
        <v>1</v>
      </c>
      <c r="J95" s="59">
        <f t="shared" si="166"/>
        <v>0</v>
      </c>
      <c r="K95" s="5">
        <f t="shared" si="166"/>
        <v>0</v>
      </c>
      <c r="L95" s="5">
        <f t="shared" si="166"/>
        <v>0</v>
      </c>
      <c r="M95" s="59">
        <f t="shared" si="166"/>
        <v>0</v>
      </c>
      <c r="N95" s="5">
        <f t="shared" si="166"/>
        <v>0</v>
      </c>
      <c r="O95" s="5">
        <f t="shared" si="166"/>
        <v>0</v>
      </c>
      <c r="P95" s="5">
        <f t="shared" si="166"/>
        <v>0</v>
      </c>
      <c r="Q95" s="59">
        <f t="shared" si="166"/>
        <v>0</v>
      </c>
      <c r="R95" s="5">
        <f t="shared" si="166"/>
        <v>0</v>
      </c>
      <c r="S95" s="5">
        <f t="shared" si="166"/>
        <v>1</v>
      </c>
      <c r="T95" s="5">
        <f t="shared" si="166"/>
        <v>0</v>
      </c>
      <c r="U95" s="5">
        <f t="shared" si="166"/>
        <v>0</v>
      </c>
      <c r="V95" s="5">
        <f t="shared" si="166"/>
        <v>0</v>
      </c>
      <c r="W95" s="5">
        <f t="shared" si="166"/>
        <v>0</v>
      </c>
      <c r="X95" s="5">
        <f t="shared" si="166"/>
        <v>0</v>
      </c>
      <c r="Y95" s="5">
        <f t="shared" si="166"/>
        <v>0</v>
      </c>
      <c r="Z95" s="5">
        <f t="shared" si="166"/>
        <v>1</v>
      </c>
      <c r="AA95" s="5">
        <f t="shared" si="166"/>
        <v>0</v>
      </c>
      <c r="AB95" s="5">
        <f t="shared" si="166"/>
        <v>0</v>
      </c>
      <c r="AC95" s="5">
        <f t="shared" si="166"/>
        <v>0</v>
      </c>
      <c r="AD95" s="5">
        <f t="shared" si="166"/>
        <v>0</v>
      </c>
      <c r="AE95" s="5">
        <f t="shared" si="166"/>
        <v>0</v>
      </c>
      <c r="AF95" s="5">
        <f t="shared" si="166"/>
        <v>0</v>
      </c>
      <c r="AG95" s="5">
        <f t="shared" si="166"/>
        <v>1</v>
      </c>
      <c r="AH95" s="5" t="str">
        <f t="shared" si="166"/>
        <v/>
      </c>
      <c r="AI95" s="5" t="str">
        <f t="shared" si="166"/>
        <v/>
      </c>
      <c r="AJ95" s="5" t="str">
        <f t="shared" si="166"/>
        <v/>
      </c>
      <c r="AK95" s="5" t="str">
        <f t="shared" si="166"/>
        <v/>
      </c>
      <c r="AL95" s="5" t="str">
        <f t="shared" si="166"/>
        <v/>
      </c>
      <c r="AM95" s="5" t="str">
        <f t="shared" si="166"/>
        <v/>
      </c>
      <c r="AN95" s="5" t="str">
        <f t="shared" si="166"/>
        <v/>
      </c>
      <c r="AO95" s="5" t="str">
        <f t="shared" ref="AO95:AS95" si="167">IF(AO88="","",AO88-AN88)</f>
        <v/>
      </c>
      <c r="AP95" s="5" t="str">
        <f t="shared" si="167"/>
        <v/>
      </c>
      <c r="AQ95" s="5" t="str">
        <f t="shared" si="167"/>
        <v/>
      </c>
      <c r="AR95" s="5" t="str">
        <f t="shared" si="167"/>
        <v/>
      </c>
      <c r="AS95" s="5" t="str">
        <f t="shared" si="167"/>
        <v/>
      </c>
    </row>
    <row r="96" spans="1:45">
      <c r="A96" s="7">
        <f>SUM(C96:AS96)</f>
        <v>4</v>
      </c>
      <c r="B96" s="6" t="s">
        <v>17</v>
      </c>
      <c r="C96" s="74">
        <v>0</v>
      </c>
      <c r="D96" s="5">
        <f t="shared" ref="D96:AN96" si="168">IF(D89="","",C89+C90-D89)</f>
        <v>0</v>
      </c>
      <c r="E96" s="5">
        <f t="shared" si="168"/>
        <v>0</v>
      </c>
      <c r="F96" s="5">
        <f t="shared" si="168"/>
        <v>0</v>
      </c>
      <c r="G96" s="59">
        <f t="shared" si="168"/>
        <v>0</v>
      </c>
      <c r="H96" s="5">
        <f t="shared" si="168"/>
        <v>0</v>
      </c>
      <c r="I96" s="5">
        <f t="shared" si="168"/>
        <v>1</v>
      </c>
      <c r="J96" s="59">
        <f t="shared" si="168"/>
        <v>0</v>
      </c>
      <c r="K96" s="5">
        <f t="shared" si="168"/>
        <v>0</v>
      </c>
      <c r="L96" s="5">
        <f t="shared" si="168"/>
        <v>0</v>
      </c>
      <c r="M96" s="59">
        <f t="shared" si="168"/>
        <v>0</v>
      </c>
      <c r="N96" s="5">
        <f t="shared" si="168"/>
        <v>0</v>
      </c>
      <c r="O96" s="5">
        <f t="shared" si="168"/>
        <v>0</v>
      </c>
      <c r="P96" s="5">
        <f t="shared" si="168"/>
        <v>0</v>
      </c>
      <c r="Q96" s="59">
        <f t="shared" si="168"/>
        <v>0</v>
      </c>
      <c r="R96" s="5">
        <f t="shared" si="168"/>
        <v>0</v>
      </c>
      <c r="S96" s="5">
        <f t="shared" si="168"/>
        <v>1</v>
      </c>
      <c r="T96" s="5">
        <f t="shared" si="168"/>
        <v>0</v>
      </c>
      <c r="U96" s="5">
        <f t="shared" si="168"/>
        <v>0</v>
      </c>
      <c r="V96" s="5">
        <f t="shared" si="168"/>
        <v>0</v>
      </c>
      <c r="W96" s="5">
        <f t="shared" si="168"/>
        <v>0</v>
      </c>
      <c r="X96" s="5">
        <f t="shared" si="168"/>
        <v>0</v>
      </c>
      <c r="Y96" s="5">
        <f t="shared" si="168"/>
        <v>0</v>
      </c>
      <c r="Z96" s="5">
        <f t="shared" si="168"/>
        <v>1</v>
      </c>
      <c r="AA96" s="5">
        <f t="shared" si="168"/>
        <v>0</v>
      </c>
      <c r="AB96" s="5">
        <f t="shared" si="168"/>
        <v>0</v>
      </c>
      <c r="AC96" s="5">
        <f t="shared" si="168"/>
        <v>0</v>
      </c>
      <c r="AD96" s="5">
        <f t="shared" si="168"/>
        <v>0</v>
      </c>
      <c r="AE96" s="5">
        <f t="shared" si="168"/>
        <v>0</v>
      </c>
      <c r="AF96" s="5">
        <f t="shared" si="168"/>
        <v>0</v>
      </c>
      <c r="AG96" s="5">
        <f t="shared" si="168"/>
        <v>1</v>
      </c>
      <c r="AH96" s="5" t="str">
        <f t="shared" si="168"/>
        <v/>
      </c>
      <c r="AI96" s="5" t="str">
        <f t="shared" si="168"/>
        <v/>
      </c>
      <c r="AJ96" s="5" t="str">
        <f t="shared" si="168"/>
        <v/>
      </c>
      <c r="AK96" s="5" t="str">
        <f t="shared" si="168"/>
        <v/>
      </c>
      <c r="AL96" s="5" t="str">
        <f t="shared" si="168"/>
        <v/>
      </c>
      <c r="AM96" s="5" t="str">
        <f t="shared" si="168"/>
        <v/>
      </c>
      <c r="AN96" s="5" t="str">
        <f t="shared" si="168"/>
        <v/>
      </c>
      <c r="AO96" s="5" t="str">
        <f t="shared" ref="AO96:AS96" si="169">IF(AO89="","",AN89+AN90-AO89)</f>
        <v/>
      </c>
      <c r="AP96" s="5" t="str">
        <f t="shared" si="169"/>
        <v/>
      </c>
      <c r="AQ96" s="5" t="str">
        <f t="shared" si="169"/>
        <v/>
      </c>
      <c r="AR96" s="5" t="str">
        <f t="shared" si="169"/>
        <v/>
      </c>
      <c r="AS96" s="5" t="str">
        <f t="shared" si="169"/>
        <v/>
      </c>
    </row>
    <row r="97" spans="1:45">
      <c r="A97" s="7">
        <f>SUM(C97:AS97)</f>
        <v>2000</v>
      </c>
      <c r="B97" s="6" t="s">
        <v>18</v>
      </c>
      <c r="C97" s="74">
        <v>0</v>
      </c>
      <c r="D97" s="5">
        <f t="shared" ref="D97:AN97" si="170">IF(D87="","",D96*D91)</f>
        <v>0</v>
      </c>
      <c r="E97" s="5">
        <f t="shared" si="170"/>
        <v>0</v>
      </c>
      <c r="F97" s="5">
        <f t="shared" si="170"/>
        <v>0</v>
      </c>
      <c r="G97" s="59">
        <f t="shared" si="170"/>
        <v>0</v>
      </c>
      <c r="H97" s="5">
        <f t="shared" si="170"/>
        <v>0</v>
      </c>
      <c r="I97" s="5">
        <f t="shared" si="170"/>
        <v>500</v>
      </c>
      <c r="J97" s="59">
        <f t="shared" si="170"/>
        <v>0</v>
      </c>
      <c r="K97" s="5">
        <f t="shared" si="170"/>
        <v>0</v>
      </c>
      <c r="L97" s="5">
        <f t="shared" si="170"/>
        <v>0</v>
      </c>
      <c r="M97" s="59">
        <f t="shared" si="170"/>
        <v>0</v>
      </c>
      <c r="N97" s="5">
        <f t="shared" si="170"/>
        <v>0</v>
      </c>
      <c r="O97" s="5">
        <f t="shared" si="170"/>
        <v>0</v>
      </c>
      <c r="P97" s="5">
        <f t="shared" si="170"/>
        <v>0</v>
      </c>
      <c r="Q97" s="59">
        <f t="shared" si="170"/>
        <v>0</v>
      </c>
      <c r="R97" s="5">
        <f t="shared" si="170"/>
        <v>0</v>
      </c>
      <c r="S97" s="5">
        <f t="shared" si="170"/>
        <v>500</v>
      </c>
      <c r="T97" s="5">
        <f t="shared" si="170"/>
        <v>0</v>
      </c>
      <c r="U97" s="5">
        <f t="shared" si="170"/>
        <v>0</v>
      </c>
      <c r="V97" s="5">
        <f t="shared" si="170"/>
        <v>0</v>
      </c>
      <c r="W97" s="5">
        <f t="shared" si="170"/>
        <v>0</v>
      </c>
      <c r="X97" s="5">
        <f t="shared" si="170"/>
        <v>0</v>
      </c>
      <c r="Y97" s="5">
        <f t="shared" si="170"/>
        <v>0</v>
      </c>
      <c r="Z97" s="5">
        <f t="shared" si="170"/>
        <v>500</v>
      </c>
      <c r="AA97" s="5">
        <f t="shared" si="170"/>
        <v>0</v>
      </c>
      <c r="AB97" s="5">
        <f t="shared" si="170"/>
        <v>0</v>
      </c>
      <c r="AC97" s="5">
        <f t="shared" si="170"/>
        <v>0</v>
      </c>
      <c r="AD97" s="5">
        <f t="shared" si="170"/>
        <v>0</v>
      </c>
      <c r="AE97" s="5">
        <f t="shared" si="170"/>
        <v>0</v>
      </c>
      <c r="AF97" s="5">
        <f t="shared" si="170"/>
        <v>0</v>
      </c>
      <c r="AG97" s="5">
        <f t="shared" si="170"/>
        <v>500</v>
      </c>
      <c r="AH97" s="5" t="str">
        <f t="shared" si="170"/>
        <v/>
      </c>
      <c r="AI97" s="5" t="str">
        <f t="shared" si="170"/>
        <v/>
      </c>
      <c r="AJ97" s="5" t="str">
        <f t="shared" si="170"/>
        <v/>
      </c>
      <c r="AK97" s="5" t="str">
        <f t="shared" si="170"/>
        <v/>
      </c>
      <c r="AL97" s="5" t="str">
        <f t="shared" si="170"/>
        <v/>
      </c>
      <c r="AM97" s="5" t="str">
        <f t="shared" si="170"/>
        <v/>
      </c>
      <c r="AN97" s="5" t="str">
        <f t="shared" si="170"/>
        <v/>
      </c>
      <c r="AO97" s="5" t="str">
        <f t="shared" ref="AO97:AS97" si="171">IF(AO87="","",AO96*AO91)</f>
        <v/>
      </c>
      <c r="AP97" s="5" t="str">
        <f t="shared" si="171"/>
        <v/>
      </c>
      <c r="AQ97" s="5" t="str">
        <f t="shared" si="171"/>
        <v/>
      </c>
      <c r="AR97" s="5" t="str">
        <f t="shared" si="171"/>
        <v/>
      </c>
      <c r="AS97" s="5" t="str">
        <f t="shared" si="171"/>
        <v/>
      </c>
    </row>
    <row r="98" spans="1:45" ht="12" thickBot="1">
      <c r="A98" s="4">
        <f>IF(A97="","",A97/(A94*100))</f>
        <v>6.1919504643962849E-2</v>
      </c>
      <c r="B98" s="6" t="s">
        <v>20</v>
      </c>
      <c r="C98" s="76" t="s">
        <v>21</v>
      </c>
      <c r="D98" s="18" t="str">
        <f t="shared" ref="D98:AN98" si="172">IF(D97="","",IF(D97=0,"",D97/(D94*100)))</f>
        <v/>
      </c>
      <c r="E98" s="18" t="str">
        <f t="shared" si="172"/>
        <v/>
      </c>
      <c r="F98" s="18" t="str">
        <f t="shared" si="172"/>
        <v/>
      </c>
      <c r="G98" s="62" t="str">
        <f t="shared" si="172"/>
        <v/>
      </c>
      <c r="H98" s="18" t="str">
        <f t="shared" si="172"/>
        <v/>
      </c>
      <c r="I98" s="18">
        <f t="shared" si="172"/>
        <v>0.17241379310344829</v>
      </c>
      <c r="J98" s="62" t="str">
        <f t="shared" si="172"/>
        <v/>
      </c>
      <c r="K98" s="18" t="str">
        <f t="shared" si="172"/>
        <v/>
      </c>
      <c r="L98" s="18" t="str">
        <f t="shared" si="172"/>
        <v/>
      </c>
      <c r="M98" s="62" t="str">
        <f t="shared" si="172"/>
        <v/>
      </c>
      <c r="N98" s="18" t="str">
        <f t="shared" si="172"/>
        <v/>
      </c>
      <c r="O98" s="18" t="str">
        <f t="shared" si="172"/>
        <v/>
      </c>
      <c r="P98" s="18" t="str">
        <f t="shared" si="172"/>
        <v/>
      </c>
      <c r="Q98" s="62" t="str">
        <f t="shared" si="172"/>
        <v/>
      </c>
      <c r="R98" s="18" t="str">
        <f t="shared" si="172"/>
        <v/>
      </c>
      <c r="S98" s="18">
        <f t="shared" si="172"/>
        <v>0.17241379310344829</v>
      </c>
      <c r="T98" s="18" t="str">
        <f t="shared" si="172"/>
        <v/>
      </c>
      <c r="U98" s="18" t="str">
        <f t="shared" si="172"/>
        <v/>
      </c>
      <c r="V98" s="18" t="str">
        <f t="shared" si="172"/>
        <v/>
      </c>
      <c r="W98" s="18" t="str">
        <f t="shared" si="172"/>
        <v/>
      </c>
      <c r="X98" s="18" t="str">
        <f t="shared" si="172"/>
        <v/>
      </c>
      <c r="Y98" s="18" t="str">
        <f t="shared" si="172"/>
        <v/>
      </c>
      <c r="Z98" s="18">
        <f t="shared" si="172"/>
        <v>8.3333333333333329E-2</v>
      </c>
      <c r="AA98" s="18" t="str">
        <f t="shared" si="172"/>
        <v/>
      </c>
      <c r="AB98" s="18" t="str">
        <f t="shared" si="172"/>
        <v/>
      </c>
      <c r="AC98" s="18" t="str">
        <f t="shared" si="172"/>
        <v/>
      </c>
      <c r="AD98" s="18" t="str">
        <f t="shared" si="172"/>
        <v/>
      </c>
      <c r="AE98" s="18" t="str">
        <f t="shared" si="172"/>
        <v/>
      </c>
      <c r="AF98" s="18" t="str">
        <f t="shared" si="172"/>
        <v/>
      </c>
      <c r="AG98" s="18">
        <f t="shared" si="172"/>
        <v>0.11904761904761904</v>
      </c>
      <c r="AH98" s="18" t="str">
        <f t="shared" si="172"/>
        <v/>
      </c>
      <c r="AI98" s="18" t="str">
        <f t="shared" si="172"/>
        <v/>
      </c>
      <c r="AJ98" s="18" t="str">
        <f t="shared" si="172"/>
        <v/>
      </c>
      <c r="AK98" s="18" t="str">
        <f t="shared" si="172"/>
        <v/>
      </c>
      <c r="AL98" s="18" t="str">
        <f t="shared" si="172"/>
        <v/>
      </c>
      <c r="AM98" s="18" t="str">
        <f t="shared" si="172"/>
        <v/>
      </c>
      <c r="AN98" s="18" t="str">
        <f t="shared" si="172"/>
        <v/>
      </c>
      <c r="AO98" s="18" t="str">
        <f t="shared" ref="AO98:AS98" si="173">IF(AO97="","",IF(AO97=0,"",AO97/(AO94*100)))</f>
        <v/>
      </c>
      <c r="AP98" s="18" t="str">
        <f t="shared" si="173"/>
        <v/>
      </c>
      <c r="AQ98" s="18" t="str">
        <f t="shared" si="173"/>
        <v/>
      </c>
      <c r="AR98" s="18" t="str">
        <f t="shared" si="173"/>
        <v/>
      </c>
      <c r="AS98" s="18" t="str">
        <f t="shared" si="173"/>
        <v/>
      </c>
    </row>
    <row r="99" spans="1:45">
      <c r="A99" s="17" t="s">
        <v>78</v>
      </c>
      <c r="B99" s="9" t="s">
        <v>2</v>
      </c>
      <c r="C99" s="74">
        <v>11706</v>
      </c>
      <c r="D99" s="8">
        <f>IF(D$3="","",C99)</f>
        <v>11706</v>
      </c>
      <c r="E99" s="8">
        <f>IF(E$3="","",D99)</f>
        <v>11706</v>
      </c>
      <c r="F99" s="8">
        <v>11783</v>
      </c>
      <c r="G99" s="59">
        <f>IF(G$3="","",F99)</f>
        <v>11783</v>
      </c>
      <c r="H99" s="8">
        <f>IF(H$3="","",G99)</f>
        <v>11783</v>
      </c>
      <c r="I99" s="8">
        <v>11811</v>
      </c>
      <c r="J99" s="59">
        <f>IF(J$3="","",I99)</f>
        <v>11811</v>
      </c>
      <c r="K99" s="8">
        <f>IF(K$3="","",J99)</f>
        <v>11811</v>
      </c>
      <c r="L99" s="8">
        <v>11886</v>
      </c>
      <c r="M99" s="59">
        <f t="shared" ref="M99:O100" si="174">IF(M$3="","",L99)</f>
        <v>11886</v>
      </c>
      <c r="N99" s="8">
        <f t="shared" si="174"/>
        <v>11886</v>
      </c>
      <c r="O99" s="8">
        <f t="shared" si="174"/>
        <v>11886</v>
      </c>
      <c r="P99" s="8">
        <v>11917</v>
      </c>
      <c r="Q99" s="59">
        <f>IF(Q$3="","",P99)</f>
        <v>11917</v>
      </c>
      <c r="R99" s="8">
        <f>IF(R$3="","",Q99)</f>
        <v>11917</v>
      </c>
      <c r="S99" s="8">
        <v>11971</v>
      </c>
      <c r="T99" s="8">
        <f t="shared" ref="T99:AN99" si="175">IF(T$3="","",S99)</f>
        <v>11971</v>
      </c>
      <c r="U99" s="8">
        <f t="shared" si="175"/>
        <v>11971</v>
      </c>
      <c r="V99" s="8">
        <f t="shared" si="175"/>
        <v>11971</v>
      </c>
      <c r="W99" s="8">
        <v>12007</v>
      </c>
      <c r="X99" s="8">
        <f t="shared" si="175"/>
        <v>12007</v>
      </c>
      <c r="Y99" s="8">
        <f t="shared" si="175"/>
        <v>12007</v>
      </c>
      <c r="Z99" s="8">
        <v>12067</v>
      </c>
      <c r="AA99" s="8">
        <f t="shared" si="175"/>
        <v>12067</v>
      </c>
      <c r="AB99" s="8">
        <f t="shared" si="175"/>
        <v>12067</v>
      </c>
      <c r="AC99" s="8">
        <f t="shared" si="175"/>
        <v>12067</v>
      </c>
      <c r="AD99" s="8">
        <v>12120</v>
      </c>
      <c r="AE99" s="8">
        <f t="shared" si="175"/>
        <v>12120</v>
      </c>
      <c r="AF99" s="8">
        <f t="shared" si="175"/>
        <v>12120</v>
      </c>
      <c r="AG99" s="8">
        <v>12154</v>
      </c>
      <c r="AH99" s="8" t="str">
        <f t="shared" si="175"/>
        <v/>
      </c>
      <c r="AI99" s="8" t="str">
        <f t="shared" si="175"/>
        <v/>
      </c>
      <c r="AJ99" s="8" t="str">
        <f t="shared" si="175"/>
        <v/>
      </c>
      <c r="AK99" s="8" t="str">
        <f t="shared" si="175"/>
        <v/>
      </c>
      <c r="AL99" s="8" t="str">
        <f t="shared" si="175"/>
        <v/>
      </c>
      <c r="AM99" s="8" t="str">
        <f t="shared" si="175"/>
        <v/>
      </c>
      <c r="AN99" s="8" t="str">
        <f t="shared" si="175"/>
        <v/>
      </c>
      <c r="AO99" s="8" t="str">
        <f t="shared" ref="AO99:AS99" si="176">IF(AO$3="","",AN99)</f>
        <v/>
      </c>
      <c r="AP99" s="8" t="str">
        <f t="shared" si="176"/>
        <v/>
      </c>
      <c r="AQ99" s="8" t="str">
        <f t="shared" si="176"/>
        <v/>
      </c>
      <c r="AR99" s="8" t="str">
        <f t="shared" si="176"/>
        <v/>
      </c>
      <c r="AS99" s="8" t="str">
        <f t="shared" si="176"/>
        <v/>
      </c>
    </row>
    <row r="100" spans="1:45">
      <c r="A100" s="16" t="s">
        <v>30</v>
      </c>
      <c r="B100" s="9" t="s">
        <v>4</v>
      </c>
      <c r="C100" s="74">
        <v>249</v>
      </c>
      <c r="D100" s="8">
        <f>IF(D$3="","",C100)</f>
        <v>249</v>
      </c>
      <c r="E100" s="8">
        <f>IF(E$3="","",D100)</f>
        <v>249</v>
      </c>
      <c r="F100" s="8">
        <f>IF(F$3="","",E100)</f>
        <v>249</v>
      </c>
      <c r="G100" s="59">
        <f>IF(G$3="","",F100)</f>
        <v>249</v>
      </c>
      <c r="H100" s="8">
        <f>IF(H$3="","",G100)</f>
        <v>249</v>
      </c>
      <c r="I100" s="8">
        <f>IF(I$3="","",H100)</f>
        <v>249</v>
      </c>
      <c r="J100" s="59">
        <f>IF(J$3="","",I100)</f>
        <v>249</v>
      </c>
      <c r="K100" s="8">
        <f>IF(K$3="","",J100)</f>
        <v>249</v>
      </c>
      <c r="L100" s="8">
        <f>IF(L$3="","",K100)</f>
        <v>249</v>
      </c>
      <c r="M100" s="59">
        <f t="shared" si="174"/>
        <v>249</v>
      </c>
      <c r="N100" s="8">
        <f t="shared" si="174"/>
        <v>249</v>
      </c>
      <c r="O100" s="8">
        <f t="shared" si="174"/>
        <v>249</v>
      </c>
      <c r="P100" s="8">
        <f>IF(P$3="","",O100)</f>
        <v>249</v>
      </c>
      <c r="Q100" s="59">
        <f>IF(Q$3="","",P100)</f>
        <v>249</v>
      </c>
      <c r="R100" s="8">
        <f>IF(R$3="","",Q100)</f>
        <v>249</v>
      </c>
      <c r="S100" s="8">
        <f>IF(S$3="","",R100)</f>
        <v>249</v>
      </c>
      <c r="T100" s="8">
        <f t="shared" ref="T100:AN100" si="177">IF(T$3="","",S100)</f>
        <v>249</v>
      </c>
      <c r="U100" s="8">
        <f t="shared" si="177"/>
        <v>249</v>
      </c>
      <c r="V100" s="8">
        <f t="shared" si="177"/>
        <v>249</v>
      </c>
      <c r="W100" s="8">
        <f t="shared" si="177"/>
        <v>249</v>
      </c>
      <c r="X100" s="8">
        <f t="shared" si="177"/>
        <v>249</v>
      </c>
      <c r="Y100" s="8">
        <f t="shared" si="177"/>
        <v>249</v>
      </c>
      <c r="Z100" s="8">
        <f t="shared" si="177"/>
        <v>249</v>
      </c>
      <c r="AA100" s="8">
        <f t="shared" si="177"/>
        <v>249</v>
      </c>
      <c r="AB100" s="8">
        <f t="shared" si="177"/>
        <v>249</v>
      </c>
      <c r="AC100" s="8">
        <f t="shared" si="177"/>
        <v>249</v>
      </c>
      <c r="AD100" s="8">
        <f t="shared" si="177"/>
        <v>249</v>
      </c>
      <c r="AE100" s="8">
        <f t="shared" si="177"/>
        <v>249</v>
      </c>
      <c r="AF100" s="8">
        <f t="shared" si="177"/>
        <v>249</v>
      </c>
      <c r="AG100" s="8">
        <f t="shared" si="177"/>
        <v>249</v>
      </c>
      <c r="AH100" s="8" t="str">
        <f t="shared" si="177"/>
        <v/>
      </c>
      <c r="AI100" s="8" t="str">
        <f t="shared" si="177"/>
        <v/>
      </c>
      <c r="AJ100" s="8" t="str">
        <f t="shared" si="177"/>
        <v/>
      </c>
      <c r="AK100" s="8" t="str">
        <f t="shared" si="177"/>
        <v/>
      </c>
      <c r="AL100" s="8" t="str">
        <f t="shared" si="177"/>
        <v/>
      </c>
      <c r="AM100" s="8" t="str">
        <f t="shared" si="177"/>
        <v/>
      </c>
      <c r="AN100" s="8" t="str">
        <f t="shared" si="177"/>
        <v/>
      </c>
      <c r="AO100" s="8" t="str">
        <f t="shared" ref="AO100:AS100" si="178">IF(AO$3="","",AN100)</f>
        <v/>
      </c>
      <c r="AP100" s="8" t="str">
        <f t="shared" si="178"/>
        <v/>
      </c>
      <c r="AQ100" s="8" t="str">
        <f t="shared" si="178"/>
        <v/>
      </c>
      <c r="AR100" s="8" t="str">
        <f t="shared" si="178"/>
        <v/>
      </c>
      <c r="AS100" s="8" t="str">
        <f t="shared" si="178"/>
        <v/>
      </c>
    </row>
    <row r="101" spans="1:45">
      <c r="A101" s="15">
        <v>2</v>
      </c>
      <c r="B101" s="9" t="s">
        <v>5</v>
      </c>
      <c r="C101" s="74">
        <v>3</v>
      </c>
      <c r="D101" s="8">
        <f t="shared" ref="D101:AN101" si="179">IF(D99="","",(C101+C102))</f>
        <v>3</v>
      </c>
      <c r="E101" s="8">
        <f t="shared" si="179"/>
        <v>3</v>
      </c>
      <c r="F101" s="8">
        <f t="shared" si="179"/>
        <v>3</v>
      </c>
      <c r="G101" s="59">
        <f t="shared" si="179"/>
        <v>3</v>
      </c>
      <c r="H101" s="8">
        <f t="shared" si="179"/>
        <v>3</v>
      </c>
      <c r="I101" s="8">
        <f t="shared" si="179"/>
        <v>3</v>
      </c>
      <c r="J101" s="59">
        <f t="shared" si="179"/>
        <v>3</v>
      </c>
      <c r="K101" s="8">
        <f t="shared" si="179"/>
        <v>3</v>
      </c>
      <c r="L101" s="8">
        <f t="shared" si="179"/>
        <v>3</v>
      </c>
      <c r="M101" s="59">
        <f t="shared" si="179"/>
        <v>3</v>
      </c>
      <c r="N101" s="8">
        <f t="shared" si="179"/>
        <v>3</v>
      </c>
      <c r="O101" s="8">
        <f t="shared" si="179"/>
        <v>3</v>
      </c>
      <c r="P101" s="8">
        <f t="shared" si="179"/>
        <v>3</v>
      </c>
      <c r="Q101" s="59">
        <f t="shared" si="179"/>
        <v>3</v>
      </c>
      <c r="R101" s="8">
        <f t="shared" si="179"/>
        <v>3</v>
      </c>
      <c r="S101" s="8">
        <f t="shared" si="179"/>
        <v>3</v>
      </c>
      <c r="T101" s="8">
        <f t="shared" si="179"/>
        <v>3</v>
      </c>
      <c r="U101" s="8">
        <f t="shared" si="179"/>
        <v>3</v>
      </c>
      <c r="V101" s="8">
        <f t="shared" si="179"/>
        <v>3</v>
      </c>
      <c r="W101" s="8">
        <f t="shared" si="179"/>
        <v>3</v>
      </c>
      <c r="X101" s="8">
        <f t="shared" si="179"/>
        <v>3</v>
      </c>
      <c r="Y101" s="8">
        <f t="shared" si="179"/>
        <v>3</v>
      </c>
      <c r="Z101" s="8">
        <f t="shared" si="179"/>
        <v>3</v>
      </c>
      <c r="AA101" s="8">
        <f t="shared" si="179"/>
        <v>3</v>
      </c>
      <c r="AB101" s="8">
        <f t="shared" si="179"/>
        <v>3</v>
      </c>
      <c r="AC101" s="8">
        <f t="shared" si="179"/>
        <v>3</v>
      </c>
      <c r="AD101" s="8">
        <f t="shared" si="179"/>
        <v>3</v>
      </c>
      <c r="AE101" s="8">
        <f t="shared" si="179"/>
        <v>3</v>
      </c>
      <c r="AF101" s="8">
        <f t="shared" si="179"/>
        <v>3</v>
      </c>
      <c r="AG101" s="8">
        <f t="shared" si="179"/>
        <v>3</v>
      </c>
      <c r="AH101" s="8" t="str">
        <f t="shared" si="179"/>
        <v/>
      </c>
      <c r="AI101" s="8" t="str">
        <f t="shared" si="179"/>
        <v/>
      </c>
      <c r="AJ101" s="8" t="str">
        <f t="shared" si="179"/>
        <v/>
      </c>
      <c r="AK101" s="8" t="str">
        <f t="shared" si="179"/>
        <v/>
      </c>
      <c r="AL101" s="8" t="str">
        <f t="shared" si="179"/>
        <v/>
      </c>
      <c r="AM101" s="8" t="str">
        <f t="shared" si="179"/>
        <v/>
      </c>
      <c r="AN101" s="8" t="str">
        <f t="shared" si="179"/>
        <v/>
      </c>
      <c r="AO101" s="8" t="str">
        <f t="shared" ref="AO101:AS101" si="180">IF(AO99="","",(AN101+AN102))</f>
        <v/>
      </c>
      <c r="AP101" s="8" t="str">
        <f t="shared" si="180"/>
        <v/>
      </c>
      <c r="AQ101" s="8" t="str">
        <f t="shared" si="180"/>
        <v/>
      </c>
      <c r="AR101" s="8" t="str">
        <f t="shared" si="180"/>
        <v/>
      </c>
      <c r="AS101" s="8" t="str">
        <f t="shared" si="180"/>
        <v/>
      </c>
    </row>
    <row r="102" spans="1:45">
      <c r="A102" s="14"/>
      <c r="B102" s="9" t="s">
        <v>7</v>
      </c>
      <c r="C102" s="74"/>
      <c r="D102" s="8"/>
      <c r="E102" s="8"/>
      <c r="F102" s="8"/>
      <c r="G102" s="59"/>
      <c r="H102" s="8"/>
      <c r="I102" s="8"/>
      <c r="J102" s="59"/>
      <c r="K102" s="8"/>
      <c r="L102" s="8"/>
      <c r="M102" s="59"/>
      <c r="N102" s="8"/>
      <c r="O102" s="8"/>
      <c r="P102" s="8"/>
      <c r="Q102" s="59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</row>
    <row r="103" spans="1:45">
      <c r="A103" s="7"/>
      <c r="B103" s="9" t="s">
        <v>8</v>
      </c>
      <c r="C103" s="74">
        <v>400</v>
      </c>
      <c r="D103" s="8">
        <f t="shared" ref="D103:AN103" si="181">IF(D99="","",C103)</f>
        <v>400</v>
      </c>
      <c r="E103" s="8">
        <f t="shared" si="181"/>
        <v>400</v>
      </c>
      <c r="F103" s="8">
        <f t="shared" si="181"/>
        <v>400</v>
      </c>
      <c r="G103" s="59">
        <f t="shared" si="181"/>
        <v>400</v>
      </c>
      <c r="H103" s="8">
        <f t="shared" si="181"/>
        <v>400</v>
      </c>
      <c r="I103" s="8">
        <f t="shared" si="181"/>
        <v>400</v>
      </c>
      <c r="J103" s="59">
        <f t="shared" si="181"/>
        <v>400</v>
      </c>
      <c r="K103" s="8">
        <f t="shared" si="181"/>
        <v>400</v>
      </c>
      <c r="L103" s="8">
        <f t="shared" si="181"/>
        <v>400</v>
      </c>
      <c r="M103" s="59">
        <f t="shared" si="181"/>
        <v>400</v>
      </c>
      <c r="N103" s="8">
        <f t="shared" si="181"/>
        <v>400</v>
      </c>
      <c r="O103" s="8">
        <f t="shared" si="181"/>
        <v>400</v>
      </c>
      <c r="P103" s="8">
        <f t="shared" si="181"/>
        <v>400</v>
      </c>
      <c r="Q103" s="59">
        <f t="shared" si="181"/>
        <v>400</v>
      </c>
      <c r="R103" s="8">
        <f t="shared" si="181"/>
        <v>400</v>
      </c>
      <c r="S103" s="8">
        <f t="shared" si="181"/>
        <v>400</v>
      </c>
      <c r="T103" s="8">
        <f t="shared" si="181"/>
        <v>400</v>
      </c>
      <c r="U103" s="8">
        <f t="shared" si="181"/>
        <v>400</v>
      </c>
      <c r="V103" s="8">
        <f t="shared" si="181"/>
        <v>400</v>
      </c>
      <c r="W103" s="8">
        <f t="shared" si="181"/>
        <v>400</v>
      </c>
      <c r="X103" s="8">
        <f t="shared" si="181"/>
        <v>400</v>
      </c>
      <c r="Y103" s="8">
        <f t="shared" si="181"/>
        <v>400</v>
      </c>
      <c r="Z103" s="8">
        <f t="shared" si="181"/>
        <v>400</v>
      </c>
      <c r="AA103" s="8">
        <f t="shared" si="181"/>
        <v>400</v>
      </c>
      <c r="AB103" s="8">
        <f t="shared" si="181"/>
        <v>400</v>
      </c>
      <c r="AC103" s="8">
        <f t="shared" si="181"/>
        <v>400</v>
      </c>
      <c r="AD103" s="8">
        <f t="shared" si="181"/>
        <v>400</v>
      </c>
      <c r="AE103" s="8">
        <f t="shared" si="181"/>
        <v>400</v>
      </c>
      <c r="AF103" s="8">
        <f t="shared" si="181"/>
        <v>400</v>
      </c>
      <c r="AG103" s="8">
        <f t="shared" si="181"/>
        <v>400</v>
      </c>
      <c r="AH103" s="8" t="str">
        <f t="shared" si="181"/>
        <v/>
      </c>
      <c r="AI103" s="8" t="str">
        <f t="shared" si="181"/>
        <v/>
      </c>
      <c r="AJ103" s="8" t="str">
        <f t="shared" si="181"/>
        <v/>
      </c>
      <c r="AK103" s="8" t="str">
        <f t="shared" si="181"/>
        <v/>
      </c>
      <c r="AL103" s="8" t="str">
        <f t="shared" si="181"/>
        <v/>
      </c>
      <c r="AM103" s="8" t="str">
        <f t="shared" si="181"/>
        <v/>
      </c>
      <c r="AN103" s="8" t="str">
        <f t="shared" si="181"/>
        <v/>
      </c>
      <c r="AO103" s="8" t="str">
        <f t="shared" ref="AO103:AS103" si="182">IF(AO99="","",AN103)</f>
        <v/>
      </c>
      <c r="AP103" s="8" t="str">
        <f t="shared" si="182"/>
        <v/>
      </c>
      <c r="AQ103" s="8" t="str">
        <f t="shared" si="182"/>
        <v/>
      </c>
      <c r="AR103" s="8" t="str">
        <f t="shared" si="182"/>
        <v/>
      </c>
      <c r="AS103" s="8" t="str">
        <f t="shared" si="182"/>
        <v/>
      </c>
    </row>
    <row r="104" spans="1:45" s="94" customFormat="1">
      <c r="A104" s="14" t="s">
        <v>9</v>
      </c>
      <c r="B104" s="13" t="s">
        <v>10</v>
      </c>
      <c r="C104" s="75" t="s">
        <v>89</v>
      </c>
      <c r="D104" s="12" t="str">
        <f t="shared" ref="D104:AN104" si="183">IF(D99="","",C104)</f>
        <v>スンスン　フェイスポーチ</v>
      </c>
      <c r="E104" s="12" t="str">
        <f t="shared" si="183"/>
        <v>スンスン　フェイスポーチ</v>
      </c>
      <c r="F104" s="12" t="str">
        <f t="shared" si="183"/>
        <v>スンスン　フェイスポーチ</v>
      </c>
      <c r="G104" s="131" t="str">
        <f t="shared" si="183"/>
        <v>スンスン　フェイスポーチ</v>
      </c>
      <c r="H104" s="12" t="str">
        <f t="shared" si="183"/>
        <v>スンスン　フェイスポーチ</v>
      </c>
      <c r="I104" s="12" t="str">
        <f t="shared" si="183"/>
        <v>スンスン　フェイスポーチ</v>
      </c>
      <c r="J104" s="131" t="str">
        <f t="shared" si="183"/>
        <v>スンスン　フェイスポーチ</v>
      </c>
      <c r="K104" s="12" t="str">
        <f t="shared" si="183"/>
        <v>スンスン　フェイスポーチ</v>
      </c>
      <c r="L104" s="12" t="str">
        <f t="shared" si="183"/>
        <v>スンスン　フェイスポーチ</v>
      </c>
      <c r="M104" s="131" t="str">
        <f t="shared" si="183"/>
        <v>スンスン　フェイスポーチ</v>
      </c>
      <c r="N104" s="12" t="str">
        <f t="shared" si="183"/>
        <v>スンスン　フェイスポーチ</v>
      </c>
      <c r="O104" s="12" t="str">
        <f t="shared" si="183"/>
        <v>スンスン　フェイスポーチ</v>
      </c>
      <c r="P104" s="12" t="str">
        <f t="shared" si="183"/>
        <v>スンスン　フェイスポーチ</v>
      </c>
      <c r="Q104" s="131" t="str">
        <f t="shared" si="183"/>
        <v>スンスン　フェイスポーチ</v>
      </c>
      <c r="R104" s="12" t="str">
        <f t="shared" si="183"/>
        <v>スンスン　フェイスポーチ</v>
      </c>
      <c r="S104" s="12" t="str">
        <f t="shared" si="183"/>
        <v>スンスン　フェイスポーチ</v>
      </c>
      <c r="T104" s="12" t="str">
        <f t="shared" si="183"/>
        <v>スンスン　フェイスポーチ</v>
      </c>
      <c r="U104" s="12" t="str">
        <f t="shared" si="183"/>
        <v>スンスン　フェイスポーチ</v>
      </c>
      <c r="V104" s="12" t="str">
        <f t="shared" si="183"/>
        <v>スンスン　フェイスポーチ</v>
      </c>
      <c r="W104" s="12" t="str">
        <f t="shared" si="183"/>
        <v>スンスン　フェイスポーチ</v>
      </c>
      <c r="X104" s="12" t="str">
        <f t="shared" si="183"/>
        <v>スンスン　フェイスポーチ</v>
      </c>
      <c r="Y104" s="12" t="str">
        <f t="shared" si="183"/>
        <v>スンスン　フェイスポーチ</v>
      </c>
      <c r="Z104" s="12" t="str">
        <f t="shared" si="183"/>
        <v>スンスン　フェイスポーチ</v>
      </c>
      <c r="AA104" s="12" t="str">
        <f t="shared" si="183"/>
        <v>スンスン　フェイスポーチ</v>
      </c>
      <c r="AB104" s="12" t="str">
        <f t="shared" si="183"/>
        <v>スンスン　フェイスポーチ</v>
      </c>
      <c r="AC104" s="12" t="str">
        <f t="shared" si="183"/>
        <v>スンスン　フェイスポーチ</v>
      </c>
      <c r="AD104" s="12" t="str">
        <f t="shared" si="183"/>
        <v>スンスン　フェイスポーチ</v>
      </c>
      <c r="AE104" s="12" t="str">
        <f t="shared" si="183"/>
        <v>スンスン　フェイスポーチ</v>
      </c>
      <c r="AF104" s="12" t="str">
        <f t="shared" si="183"/>
        <v>スンスン　フェイスポーチ</v>
      </c>
      <c r="AG104" s="12" t="str">
        <f t="shared" si="183"/>
        <v>スンスン　フェイスポーチ</v>
      </c>
      <c r="AH104" s="12" t="str">
        <f t="shared" si="183"/>
        <v/>
      </c>
      <c r="AI104" s="12" t="str">
        <f t="shared" si="183"/>
        <v/>
      </c>
      <c r="AJ104" s="12" t="str">
        <f t="shared" si="183"/>
        <v/>
      </c>
      <c r="AK104" s="12" t="str">
        <f t="shared" si="183"/>
        <v/>
      </c>
      <c r="AL104" s="12" t="str">
        <f t="shared" si="183"/>
        <v/>
      </c>
      <c r="AM104" s="12" t="str">
        <f t="shared" si="183"/>
        <v/>
      </c>
      <c r="AN104" s="12" t="str">
        <f t="shared" si="183"/>
        <v/>
      </c>
      <c r="AO104" s="12" t="str">
        <f t="shared" ref="AO104:AS104" si="184">IF(AO99="","",AN104)</f>
        <v/>
      </c>
      <c r="AP104" s="12" t="str">
        <f t="shared" si="184"/>
        <v/>
      </c>
      <c r="AQ104" s="12" t="str">
        <f t="shared" si="184"/>
        <v/>
      </c>
      <c r="AR104" s="12" t="str">
        <f t="shared" si="184"/>
        <v/>
      </c>
      <c r="AS104" s="12" t="str">
        <f t="shared" si="184"/>
        <v/>
      </c>
    </row>
    <row r="105" spans="1:45">
      <c r="A105" s="7">
        <f>AVERAGE(C106:AS106)*30*100</f>
        <v>43354.838709677424</v>
      </c>
      <c r="B105" s="9" t="s">
        <v>14</v>
      </c>
      <c r="C105" s="74"/>
      <c r="D105" s="8"/>
      <c r="E105" s="8"/>
      <c r="F105" s="8"/>
      <c r="G105" s="59"/>
      <c r="H105" s="8"/>
      <c r="I105" s="8"/>
      <c r="J105" s="59"/>
      <c r="K105" s="8"/>
      <c r="L105" s="8"/>
      <c r="M105" s="59"/>
      <c r="N105" s="8"/>
      <c r="O105" s="8"/>
      <c r="P105" s="8"/>
      <c r="Q105" s="59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</row>
    <row r="106" spans="1:45">
      <c r="A106" s="7">
        <f>SUM(C106:AS106)</f>
        <v>448</v>
      </c>
      <c r="B106" s="6" t="s">
        <v>15</v>
      </c>
      <c r="C106" s="74">
        <v>0</v>
      </c>
      <c r="D106" s="5">
        <f t="shared" ref="D106:AN106" si="185">IF(D99="","",D99-C99)</f>
        <v>0</v>
      </c>
      <c r="E106" s="5">
        <f t="shared" si="185"/>
        <v>0</v>
      </c>
      <c r="F106" s="5">
        <f t="shared" si="185"/>
        <v>77</v>
      </c>
      <c r="G106" s="59">
        <f t="shared" si="185"/>
        <v>0</v>
      </c>
      <c r="H106" s="5">
        <f t="shared" si="185"/>
        <v>0</v>
      </c>
      <c r="I106" s="5">
        <f t="shared" si="185"/>
        <v>28</v>
      </c>
      <c r="J106" s="59">
        <f t="shared" si="185"/>
        <v>0</v>
      </c>
      <c r="K106" s="5">
        <f t="shared" si="185"/>
        <v>0</v>
      </c>
      <c r="L106" s="5">
        <f t="shared" si="185"/>
        <v>75</v>
      </c>
      <c r="M106" s="59">
        <f t="shared" si="185"/>
        <v>0</v>
      </c>
      <c r="N106" s="5">
        <f t="shared" si="185"/>
        <v>0</v>
      </c>
      <c r="O106" s="5">
        <f t="shared" si="185"/>
        <v>0</v>
      </c>
      <c r="P106" s="5">
        <f t="shared" si="185"/>
        <v>31</v>
      </c>
      <c r="Q106" s="59">
        <f t="shared" si="185"/>
        <v>0</v>
      </c>
      <c r="R106" s="5">
        <f t="shared" si="185"/>
        <v>0</v>
      </c>
      <c r="S106" s="5">
        <f t="shared" si="185"/>
        <v>54</v>
      </c>
      <c r="T106" s="5">
        <f t="shared" si="185"/>
        <v>0</v>
      </c>
      <c r="U106" s="5">
        <f t="shared" si="185"/>
        <v>0</v>
      </c>
      <c r="V106" s="5">
        <f t="shared" si="185"/>
        <v>0</v>
      </c>
      <c r="W106" s="5">
        <f t="shared" si="185"/>
        <v>36</v>
      </c>
      <c r="X106" s="5">
        <f t="shared" si="185"/>
        <v>0</v>
      </c>
      <c r="Y106" s="5">
        <f t="shared" si="185"/>
        <v>0</v>
      </c>
      <c r="Z106" s="5">
        <f t="shared" si="185"/>
        <v>60</v>
      </c>
      <c r="AA106" s="5">
        <f t="shared" si="185"/>
        <v>0</v>
      </c>
      <c r="AB106" s="5">
        <f t="shared" si="185"/>
        <v>0</v>
      </c>
      <c r="AC106" s="5">
        <f t="shared" si="185"/>
        <v>0</v>
      </c>
      <c r="AD106" s="5">
        <f t="shared" si="185"/>
        <v>53</v>
      </c>
      <c r="AE106" s="5">
        <f t="shared" si="185"/>
        <v>0</v>
      </c>
      <c r="AF106" s="5">
        <f t="shared" si="185"/>
        <v>0</v>
      </c>
      <c r="AG106" s="5">
        <f t="shared" si="185"/>
        <v>34</v>
      </c>
      <c r="AH106" s="5" t="str">
        <f t="shared" si="185"/>
        <v/>
      </c>
      <c r="AI106" s="5" t="str">
        <f t="shared" si="185"/>
        <v/>
      </c>
      <c r="AJ106" s="5" t="str">
        <f t="shared" si="185"/>
        <v/>
      </c>
      <c r="AK106" s="5" t="str">
        <f t="shared" si="185"/>
        <v/>
      </c>
      <c r="AL106" s="5" t="str">
        <f t="shared" si="185"/>
        <v/>
      </c>
      <c r="AM106" s="5" t="str">
        <f t="shared" si="185"/>
        <v/>
      </c>
      <c r="AN106" s="5" t="str">
        <f t="shared" si="185"/>
        <v/>
      </c>
      <c r="AO106" s="5" t="str">
        <f t="shared" ref="AO106:AS106" si="186">IF(AO99="","",AO99-AN99)</f>
        <v/>
      </c>
      <c r="AP106" s="5" t="str">
        <f t="shared" si="186"/>
        <v/>
      </c>
      <c r="AQ106" s="5" t="str">
        <f t="shared" si="186"/>
        <v/>
      </c>
      <c r="AR106" s="5" t="str">
        <f t="shared" si="186"/>
        <v/>
      </c>
      <c r="AS106" s="5" t="str">
        <f t="shared" si="186"/>
        <v/>
      </c>
    </row>
    <row r="107" spans="1:45">
      <c r="A107" s="7">
        <f>SUM(C107:AS107)</f>
        <v>0</v>
      </c>
      <c r="B107" s="6" t="s">
        <v>16</v>
      </c>
      <c r="C107" s="74">
        <v>0</v>
      </c>
      <c r="D107" s="5">
        <f t="shared" ref="D107:AN107" si="187">IF(D100="","",D100-C100)</f>
        <v>0</v>
      </c>
      <c r="E107" s="5">
        <f t="shared" si="187"/>
        <v>0</v>
      </c>
      <c r="F107" s="5">
        <f t="shared" si="187"/>
        <v>0</v>
      </c>
      <c r="G107" s="59">
        <f t="shared" si="187"/>
        <v>0</v>
      </c>
      <c r="H107" s="5">
        <f t="shared" si="187"/>
        <v>0</v>
      </c>
      <c r="I107" s="5">
        <f t="shared" si="187"/>
        <v>0</v>
      </c>
      <c r="J107" s="59">
        <f t="shared" si="187"/>
        <v>0</v>
      </c>
      <c r="K107" s="5">
        <f t="shared" si="187"/>
        <v>0</v>
      </c>
      <c r="L107" s="5">
        <f t="shared" si="187"/>
        <v>0</v>
      </c>
      <c r="M107" s="59">
        <f t="shared" si="187"/>
        <v>0</v>
      </c>
      <c r="N107" s="5">
        <f t="shared" si="187"/>
        <v>0</v>
      </c>
      <c r="O107" s="5">
        <f t="shared" si="187"/>
        <v>0</v>
      </c>
      <c r="P107" s="5">
        <f t="shared" si="187"/>
        <v>0</v>
      </c>
      <c r="Q107" s="59">
        <f t="shared" si="187"/>
        <v>0</v>
      </c>
      <c r="R107" s="5">
        <f t="shared" si="187"/>
        <v>0</v>
      </c>
      <c r="S107" s="5">
        <f t="shared" si="187"/>
        <v>0</v>
      </c>
      <c r="T107" s="5">
        <f t="shared" si="187"/>
        <v>0</v>
      </c>
      <c r="U107" s="5">
        <f t="shared" si="187"/>
        <v>0</v>
      </c>
      <c r="V107" s="5">
        <f t="shared" si="187"/>
        <v>0</v>
      </c>
      <c r="W107" s="5">
        <f t="shared" si="187"/>
        <v>0</v>
      </c>
      <c r="X107" s="5">
        <f t="shared" si="187"/>
        <v>0</v>
      </c>
      <c r="Y107" s="5">
        <f t="shared" si="187"/>
        <v>0</v>
      </c>
      <c r="Z107" s="5">
        <f t="shared" si="187"/>
        <v>0</v>
      </c>
      <c r="AA107" s="5">
        <f t="shared" si="187"/>
        <v>0</v>
      </c>
      <c r="AB107" s="5">
        <f t="shared" si="187"/>
        <v>0</v>
      </c>
      <c r="AC107" s="5">
        <f t="shared" si="187"/>
        <v>0</v>
      </c>
      <c r="AD107" s="5">
        <f t="shared" si="187"/>
        <v>0</v>
      </c>
      <c r="AE107" s="5">
        <f t="shared" si="187"/>
        <v>0</v>
      </c>
      <c r="AF107" s="5">
        <f t="shared" si="187"/>
        <v>0</v>
      </c>
      <c r="AG107" s="5">
        <f t="shared" si="187"/>
        <v>0</v>
      </c>
      <c r="AH107" s="5" t="str">
        <f t="shared" si="187"/>
        <v/>
      </c>
      <c r="AI107" s="5" t="str">
        <f t="shared" si="187"/>
        <v/>
      </c>
      <c r="AJ107" s="5" t="str">
        <f t="shared" si="187"/>
        <v/>
      </c>
      <c r="AK107" s="5" t="str">
        <f t="shared" si="187"/>
        <v/>
      </c>
      <c r="AL107" s="5" t="str">
        <f t="shared" si="187"/>
        <v/>
      </c>
      <c r="AM107" s="5" t="str">
        <f t="shared" si="187"/>
        <v/>
      </c>
      <c r="AN107" s="5" t="str">
        <f t="shared" si="187"/>
        <v/>
      </c>
      <c r="AO107" s="5" t="str">
        <f t="shared" ref="AO107:AS107" si="188">IF(AO100="","",AO100-AN100)</f>
        <v/>
      </c>
      <c r="AP107" s="5" t="str">
        <f t="shared" si="188"/>
        <v/>
      </c>
      <c r="AQ107" s="5" t="str">
        <f t="shared" si="188"/>
        <v/>
      </c>
      <c r="AR107" s="5" t="str">
        <f t="shared" si="188"/>
        <v/>
      </c>
      <c r="AS107" s="5" t="str">
        <f t="shared" si="188"/>
        <v/>
      </c>
    </row>
    <row r="108" spans="1:45">
      <c r="A108" s="7">
        <f>SUM(C108:AS108)</f>
        <v>0</v>
      </c>
      <c r="B108" s="6" t="s">
        <v>17</v>
      </c>
      <c r="C108" s="74">
        <v>0</v>
      </c>
      <c r="D108" s="5">
        <f t="shared" ref="D108:AN108" si="189">IF(D101="","",C101+C102-D101)</f>
        <v>0</v>
      </c>
      <c r="E108" s="5">
        <f t="shared" si="189"/>
        <v>0</v>
      </c>
      <c r="F108" s="5">
        <f t="shared" si="189"/>
        <v>0</v>
      </c>
      <c r="G108" s="59">
        <f t="shared" si="189"/>
        <v>0</v>
      </c>
      <c r="H108" s="5">
        <f t="shared" si="189"/>
        <v>0</v>
      </c>
      <c r="I108" s="5">
        <f t="shared" si="189"/>
        <v>0</v>
      </c>
      <c r="J108" s="59">
        <f t="shared" si="189"/>
        <v>0</v>
      </c>
      <c r="K108" s="5">
        <f t="shared" si="189"/>
        <v>0</v>
      </c>
      <c r="L108" s="5">
        <f t="shared" si="189"/>
        <v>0</v>
      </c>
      <c r="M108" s="59">
        <f t="shared" si="189"/>
        <v>0</v>
      </c>
      <c r="N108" s="5">
        <f t="shared" si="189"/>
        <v>0</v>
      </c>
      <c r="O108" s="5">
        <f t="shared" si="189"/>
        <v>0</v>
      </c>
      <c r="P108" s="5">
        <f t="shared" si="189"/>
        <v>0</v>
      </c>
      <c r="Q108" s="59">
        <f t="shared" si="189"/>
        <v>0</v>
      </c>
      <c r="R108" s="5">
        <f t="shared" si="189"/>
        <v>0</v>
      </c>
      <c r="S108" s="5">
        <f t="shared" si="189"/>
        <v>0</v>
      </c>
      <c r="T108" s="5">
        <f t="shared" si="189"/>
        <v>0</v>
      </c>
      <c r="U108" s="5">
        <f t="shared" si="189"/>
        <v>0</v>
      </c>
      <c r="V108" s="5">
        <f t="shared" si="189"/>
        <v>0</v>
      </c>
      <c r="W108" s="5">
        <f t="shared" si="189"/>
        <v>0</v>
      </c>
      <c r="X108" s="5">
        <f t="shared" si="189"/>
        <v>0</v>
      </c>
      <c r="Y108" s="5">
        <f t="shared" si="189"/>
        <v>0</v>
      </c>
      <c r="Z108" s="5">
        <f t="shared" si="189"/>
        <v>0</v>
      </c>
      <c r="AA108" s="5">
        <f t="shared" si="189"/>
        <v>0</v>
      </c>
      <c r="AB108" s="5">
        <f t="shared" si="189"/>
        <v>0</v>
      </c>
      <c r="AC108" s="5">
        <f t="shared" si="189"/>
        <v>0</v>
      </c>
      <c r="AD108" s="5">
        <f t="shared" si="189"/>
        <v>0</v>
      </c>
      <c r="AE108" s="5">
        <f t="shared" si="189"/>
        <v>0</v>
      </c>
      <c r="AF108" s="5">
        <f t="shared" si="189"/>
        <v>0</v>
      </c>
      <c r="AG108" s="5">
        <f t="shared" si="189"/>
        <v>0</v>
      </c>
      <c r="AH108" s="5" t="str">
        <f t="shared" si="189"/>
        <v/>
      </c>
      <c r="AI108" s="5" t="str">
        <f t="shared" si="189"/>
        <v/>
      </c>
      <c r="AJ108" s="5" t="str">
        <f t="shared" si="189"/>
        <v/>
      </c>
      <c r="AK108" s="5" t="str">
        <f t="shared" si="189"/>
        <v/>
      </c>
      <c r="AL108" s="5" t="str">
        <f t="shared" si="189"/>
        <v/>
      </c>
      <c r="AM108" s="5" t="str">
        <f t="shared" si="189"/>
        <v/>
      </c>
      <c r="AN108" s="5" t="str">
        <f t="shared" si="189"/>
        <v/>
      </c>
      <c r="AO108" s="5" t="str">
        <f t="shared" ref="AO108:AS108" si="190">IF(AO101="","",AN101+AN102-AO101)</f>
        <v/>
      </c>
      <c r="AP108" s="5" t="str">
        <f t="shared" si="190"/>
        <v/>
      </c>
      <c r="AQ108" s="5" t="str">
        <f t="shared" si="190"/>
        <v/>
      </c>
      <c r="AR108" s="5" t="str">
        <f t="shared" si="190"/>
        <v/>
      </c>
      <c r="AS108" s="5" t="str">
        <f t="shared" si="190"/>
        <v/>
      </c>
    </row>
    <row r="109" spans="1:45">
      <c r="A109" s="7">
        <f>SUM(C109:AS109)</f>
        <v>0</v>
      </c>
      <c r="B109" s="6" t="s">
        <v>18</v>
      </c>
      <c r="C109" s="74">
        <v>0</v>
      </c>
      <c r="D109" s="5">
        <f t="shared" ref="D109:AN109" si="191">IF(D99="","",D108*D103)</f>
        <v>0</v>
      </c>
      <c r="E109" s="5">
        <f t="shared" si="191"/>
        <v>0</v>
      </c>
      <c r="F109" s="5">
        <f t="shared" si="191"/>
        <v>0</v>
      </c>
      <c r="G109" s="59">
        <f t="shared" si="191"/>
        <v>0</v>
      </c>
      <c r="H109" s="5">
        <f t="shared" si="191"/>
        <v>0</v>
      </c>
      <c r="I109" s="5">
        <f t="shared" si="191"/>
        <v>0</v>
      </c>
      <c r="J109" s="59">
        <f t="shared" si="191"/>
        <v>0</v>
      </c>
      <c r="K109" s="5">
        <f t="shared" si="191"/>
        <v>0</v>
      </c>
      <c r="L109" s="5">
        <f t="shared" si="191"/>
        <v>0</v>
      </c>
      <c r="M109" s="59">
        <f t="shared" si="191"/>
        <v>0</v>
      </c>
      <c r="N109" s="5">
        <f t="shared" si="191"/>
        <v>0</v>
      </c>
      <c r="O109" s="5">
        <f t="shared" si="191"/>
        <v>0</v>
      </c>
      <c r="P109" s="5">
        <f t="shared" si="191"/>
        <v>0</v>
      </c>
      <c r="Q109" s="59">
        <f t="shared" si="191"/>
        <v>0</v>
      </c>
      <c r="R109" s="5">
        <f t="shared" si="191"/>
        <v>0</v>
      </c>
      <c r="S109" s="5">
        <f t="shared" si="191"/>
        <v>0</v>
      </c>
      <c r="T109" s="5">
        <f t="shared" si="191"/>
        <v>0</v>
      </c>
      <c r="U109" s="5">
        <f t="shared" si="191"/>
        <v>0</v>
      </c>
      <c r="V109" s="5">
        <f t="shared" si="191"/>
        <v>0</v>
      </c>
      <c r="W109" s="5">
        <f t="shared" si="191"/>
        <v>0</v>
      </c>
      <c r="X109" s="5">
        <f t="shared" si="191"/>
        <v>0</v>
      </c>
      <c r="Y109" s="5">
        <f t="shared" si="191"/>
        <v>0</v>
      </c>
      <c r="Z109" s="5">
        <f t="shared" si="191"/>
        <v>0</v>
      </c>
      <c r="AA109" s="5">
        <f t="shared" si="191"/>
        <v>0</v>
      </c>
      <c r="AB109" s="5">
        <f t="shared" si="191"/>
        <v>0</v>
      </c>
      <c r="AC109" s="5">
        <f t="shared" si="191"/>
        <v>0</v>
      </c>
      <c r="AD109" s="5">
        <f t="shared" si="191"/>
        <v>0</v>
      </c>
      <c r="AE109" s="5">
        <f t="shared" si="191"/>
        <v>0</v>
      </c>
      <c r="AF109" s="5">
        <f t="shared" si="191"/>
        <v>0</v>
      </c>
      <c r="AG109" s="5">
        <f t="shared" si="191"/>
        <v>0</v>
      </c>
      <c r="AH109" s="5" t="str">
        <f t="shared" si="191"/>
        <v/>
      </c>
      <c r="AI109" s="5" t="str">
        <f t="shared" si="191"/>
        <v/>
      </c>
      <c r="AJ109" s="5" t="str">
        <f t="shared" si="191"/>
        <v/>
      </c>
      <c r="AK109" s="5" t="str">
        <f t="shared" si="191"/>
        <v/>
      </c>
      <c r="AL109" s="5" t="str">
        <f t="shared" si="191"/>
        <v/>
      </c>
      <c r="AM109" s="5" t="str">
        <f t="shared" si="191"/>
        <v/>
      </c>
      <c r="AN109" s="5" t="str">
        <f t="shared" si="191"/>
        <v/>
      </c>
      <c r="AO109" s="5" t="str">
        <f t="shared" ref="AO109:AS109" si="192">IF(AO99="","",AO108*AO103)</f>
        <v/>
      </c>
      <c r="AP109" s="5" t="str">
        <f t="shared" si="192"/>
        <v/>
      </c>
      <c r="AQ109" s="5" t="str">
        <f t="shared" si="192"/>
        <v/>
      </c>
      <c r="AR109" s="5" t="str">
        <f t="shared" si="192"/>
        <v/>
      </c>
      <c r="AS109" s="5" t="str">
        <f t="shared" si="192"/>
        <v/>
      </c>
    </row>
    <row r="110" spans="1:45" ht="12" thickBot="1">
      <c r="A110" s="4">
        <f>IF(A109="","",A109/(A106*100))</f>
        <v>0</v>
      </c>
      <c r="B110" s="6" t="s">
        <v>20</v>
      </c>
      <c r="C110" s="76" t="s">
        <v>21</v>
      </c>
      <c r="D110" s="18" t="str">
        <f t="shared" ref="D110:AN110" si="193">IF(D109="","",IF(D109=0,"",D109/(D106*100)))</f>
        <v/>
      </c>
      <c r="E110" s="18" t="str">
        <f t="shared" si="193"/>
        <v/>
      </c>
      <c r="F110" s="18" t="str">
        <f t="shared" si="193"/>
        <v/>
      </c>
      <c r="G110" s="62" t="str">
        <f t="shared" si="193"/>
        <v/>
      </c>
      <c r="H110" s="18" t="str">
        <f t="shared" si="193"/>
        <v/>
      </c>
      <c r="I110" s="18" t="str">
        <f t="shared" si="193"/>
        <v/>
      </c>
      <c r="J110" s="62" t="str">
        <f t="shared" si="193"/>
        <v/>
      </c>
      <c r="K110" s="18" t="str">
        <f t="shared" si="193"/>
        <v/>
      </c>
      <c r="L110" s="18" t="str">
        <f t="shared" si="193"/>
        <v/>
      </c>
      <c r="M110" s="62" t="str">
        <f t="shared" si="193"/>
        <v/>
      </c>
      <c r="N110" s="18" t="str">
        <f t="shared" si="193"/>
        <v/>
      </c>
      <c r="O110" s="18" t="str">
        <f t="shared" si="193"/>
        <v/>
      </c>
      <c r="P110" s="18" t="str">
        <f t="shared" si="193"/>
        <v/>
      </c>
      <c r="Q110" s="62" t="str">
        <f t="shared" si="193"/>
        <v/>
      </c>
      <c r="R110" s="18" t="str">
        <f t="shared" si="193"/>
        <v/>
      </c>
      <c r="S110" s="18" t="str">
        <f t="shared" si="193"/>
        <v/>
      </c>
      <c r="T110" s="18" t="str">
        <f t="shared" si="193"/>
        <v/>
      </c>
      <c r="U110" s="18" t="str">
        <f t="shared" si="193"/>
        <v/>
      </c>
      <c r="V110" s="18" t="str">
        <f t="shared" si="193"/>
        <v/>
      </c>
      <c r="W110" s="18" t="str">
        <f t="shared" si="193"/>
        <v/>
      </c>
      <c r="X110" s="18" t="str">
        <f t="shared" si="193"/>
        <v/>
      </c>
      <c r="Y110" s="18" t="str">
        <f t="shared" si="193"/>
        <v/>
      </c>
      <c r="Z110" s="18" t="str">
        <f t="shared" si="193"/>
        <v/>
      </c>
      <c r="AA110" s="18" t="str">
        <f t="shared" si="193"/>
        <v/>
      </c>
      <c r="AB110" s="18" t="str">
        <f t="shared" si="193"/>
        <v/>
      </c>
      <c r="AC110" s="18" t="str">
        <f t="shared" si="193"/>
        <v/>
      </c>
      <c r="AD110" s="18" t="str">
        <f t="shared" si="193"/>
        <v/>
      </c>
      <c r="AE110" s="18" t="str">
        <f t="shared" si="193"/>
        <v/>
      </c>
      <c r="AF110" s="18" t="str">
        <f t="shared" si="193"/>
        <v/>
      </c>
      <c r="AG110" s="18" t="str">
        <f t="shared" si="193"/>
        <v/>
      </c>
      <c r="AH110" s="18" t="str">
        <f t="shared" si="193"/>
        <v/>
      </c>
      <c r="AI110" s="18" t="str">
        <f t="shared" si="193"/>
        <v/>
      </c>
      <c r="AJ110" s="18" t="str">
        <f t="shared" si="193"/>
        <v/>
      </c>
      <c r="AK110" s="18" t="str">
        <f t="shared" si="193"/>
        <v/>
      </c>
      <c r="AL110" s="18" t="str">
        <f t="shared" si="193"/>
        <v/>
      </c>
      <c r="AM110" s="18" t="str">
        <f t="shared" si="193"/>
        <v/>
      </c>
      <c r="AN110" s="18" t="str">
        <f t="shared" si="193"/>
        <v/>
      </c>
      <c r="AO110" s="18" t="str">
        <f t="shared" ref="AO110:AS110" si="194">IF(AO109="","",IF(AO109=0,"",AO109/(AO106*100)))</f>
        <v/>
      </c>
      <c r="AP110" s="18" t="str">
        <f t="shared" si="194"/>
        <v/>
      </c>
      <c r="AQ110" s="18" t="str">
        <f t="shared" si="194"/>
        <v/>
      </c>
      <c r="AR110" s="18" t="str">
        <f t="shared" si="194"/>
        <v/>
      </c>
      <c r="AS110" s="18" t="str">
        <f t="shared" si="194"/>
        <v/>
      </c>
    </row>
    <row r="111" spans="1:45">
      <c r="A111" s="17" t="s">
        <v>78</v>
      </c>
      <c r="B111" s="9" t="s">
        <v>2</v>
      </c>
      <c r="C111" s="74">
        <v>9180</v>
      </c>
      <c r="D111" s="8">
        <f>IF(D$3="","",C111)</f>
        <v>9180</v>
      </c>
      <c r="E111" s="8">
        <f>IF(E$3="","",D111)</f>
        <v>9180</v>
      </c>
      <c r="F111" s="8">
        <v>9189</v>
      </c>
      <c r="G111" s="59">
        <f>IF(G$3="","",F111)</f>
        <v>9189</v>
      </c>
      <c r="H111" s="8">
        <f>IF(H$3="","",G111)</f>
        <v>9189</v>
      </c>
      <c r="I111" s="8">
        <v>9270</v>
      </c>
      <c r="J111" s="59">
        <f>IF(J$3="","",I111)</f>
        <v>9270</v>
      </c>
      <c r="K111" s="8">
        <f>IF(K$3="","",J111)</f>
        <v>9270</v>
      </c>
      <c r="L111" s="8">
        <v>9320</v>
      </c>
      <c r="M111" s="59">
        <f t="shared" ref="M111:O112" si="195">IF(M$3="","",L111)</f>
        <v>9320</v>
      </c>
      <c r="N111" s="8">
        <f t="shared" si="195"/>
        <v>9320</v>
      </c>
      <c r="O111" s="8">
        <f t="shared" si="195"/>
        <v>9320</v>
      </c>
      <c r="P111" s="8">
        <v>9346</v>
      </c>
      <c r="Q111" s="59">
        <f>IF(Q$3="","",P111)</f>
        <v>9346</v>
      </c>
      <c r="R111" s="8">
        <f>IF(R$3="","",Q111)</f>
        <v>9346</v>
      </c>
      <c r="S111" s="8">
        <v>9400</v>
      </c>
      <c r="T111" s="8">
        <f t="shared" ref="T111:AN111" si="196">IF(T$3="","",S111)</f>
        <v>9400</v>
      </c>
      <c r="U111" s="8">
        <f t="shared" si="196"/>
        <v>9400</v>
      </c>
      <c r="V111" s="8">
        <f t="shared" si="196"/>
        <v>9400</v>
      </c>
      <c r="W111" s="8">
        <v>9497</v>
      </c>
      <c r="X111" s="8">
        <f t="shared" si="196"/>
        <v>9497</v>
      </c>
      <c r="Y111" s="8">
        <f t="shared" si="196"/>
        <v>9497</v>
      </c>
      <c r="Z111" s="8">
        <v>9573</v>
      </c>
      <c r="AA111" s="8">
        <f t="shared" si="196"/>
        <v>9573</v>
      </c>
      <c r="AB111" s="8">
        <f t="shared" si="196"/>
        <v>9573</v>
      </c>
      <c r="AC111" s="8">
        <f t="shared" si="196"/>
        <v>9573</v>
      </c>
      <c r="AD111" s="8">
        <v>9651</v>
      </c>
      <c r="AE111" s="8">
        <f t="shared" si="196"/>
        <v>9651</v>
      </c>
      <c r="AF111" s="8">
        <f t="shared" si="196"/>
        <v>9651</v>
      </c>
      <c r="AG111" s="8">
        <v>9786</v>
      </c>
      <c r="AH111" s="8" t="str">
        <f t="shared" si="196"/>
        <v/>
      </c>
      <c r="AI111" s="8" t="str">
        <f t="shared" si="196"/>
        <v/>
      </c>
      <c r="AJ111" s="8" t="str">
        <f t="shared" si="196"/>
        <v/>
      </c>
      <c r="AK111" s="8" t="str">
        <f t="shared" si="196"/>
        <v/>
      </c>
      <c r="AL111" s="8" t="str">
        <f t="shared" si="196"/>
        <v/>
      </c>
      <c r="AM111" s="8" t="str">
        <f t="shared" si="196"/>
        <v/>
      </c>
      <c r="AN111" s="8" t="str">
        <f t="shared" si="196"/>
        <v/>
      </c>
      <c r="AO111" s="8" t="str">
        <f t="shared" ref="AO111:AS111" si="197">IF(AO$3="","",AN111)</f>
        <v/>
      </c>
      <c r="AP111" s="8" t="str">
        <f t="shared" si="197"/>
        <v/>
      </c>
      <c r="AQ111" s="8" t="str">
        <f t="shared" si="197"/>
        <v/>
      </c>
      <c r="AR111" s="8" t="str">
        <f t="shared" si="197"/>
        <v/>
      </c>
      <c r="AS111" s="8" t="str">
        <f t="shared" si="197"/>
        <v/>
      </c>
    </row>
    <row r="112" spans="1:45">
      <c r="A112" s="16" t="s">
        <v>30</v>
      </c>
      <c r="B112" s="9" t="s">
        <v>4</v>
      </c>
      <c r="C112" s="74">
        <v>338</v>
      </c>
      <c r="D112" s="8">
        <f>IF(D$3="","",C112)</f>
        <v>338</v>
      </c>
      <c r="E112" s="8">
        <f>IF(E$3="","",D112)</f>
        <v>338</v>
      </c>
      <c r="F112" s="8">
        <f>IF(F$3="","",E112)</f>
        <v>338</v>
      </c>
      <c r="G112" s="59">
        <f>IF(G$3="","",F112)</f>
        <v>338</v>
      </c>
      <c r="H112" s="8">
        <f>IF(H$3="","",G112)</f>
        <v>338</v>
      </c>
      <c r="I112" s="8">
        <v>339</v>
      </c>
      <c r="J112" s="59">
        <f>IF(J$3="","",I112)</f>
        <v>339</v>
      </c>
      <c r="K112" s="8">
        <f>IF(K$3="","",J112)</f>
        <v>339</v>
      </c>
      <c r="L112" s="8">
        <v>342</v>
      </c>
      <c r="M112" s="59">
        <f t="shared" si="195"/>
        <v>342</v>
      </c>
      <c r="N112" s="8">
        <f t="shared" si="195"/>
        <v>342</v>
      </c>
      <c r="O112" s="8">
        <f t="shared" si="195"/>
        <v>342</v>
      </c>
      <c r="P112" s="8">
        <f>IF(P$3="","",O112)</f>
        <v>342</v>
      </c>
      <c r="Q112" s="59">
        <f>IF(Q$3="","",P112)</f>
        <v>342</v>
      </c>
      <c r="R112" s="8">
        <f>IF(R$3="","",Q112)</f>
        <v>342</v>
      </c>
      <c r="S112" s="8">
        <v>343</v>
      </c>
      <c r="T112" s="8">
        <f t="shared" ref="T112:AN112" si="198">IF(T$3="","",S112)</f>
        <v>343</v>
      </c>
      <c r="U112" s="8">
        <f t="shared" si="198"/>
        <v>343</v>
      </c>
      <c r="V112" s="8">
        <f t="shared" si="198"/>
        <v>343</v>
      </c>
      <c r="W112" s="8">
        <v>344</v>
      </c>
      <c r="X112" s="8">
        <f t="shared" si="198"/>
        <v>344</v>
      </c>
      <c r="Y112" s="8">
        <f t="shared" si="198"/>
        <v>344</v>
      </c>
      <c r="Z112" s="8">
        <v>347</v>
      </c>
      <c r="AA112" s="8">
        <f t="shared" si="198"/>
        <v>347</v>
      </c>
      <c r="AB112" s="8">
        <f t="shared" si="198"/>
        <v>347</v>
      </c>
      <c r="AC112" s="8">
        <f t="shared" si="198"/>
        <v>347</v>
      </c>
      <c r="AD112" s="8">
        <v>348</v>
      </c>
      <c r="AE112" s="8">
        <f t="shared" si="198"/>
        <v>348</v>
      </c>
      <c r="AF112" s="8">
        <f t="shared" si="198"/>
        <v>348</v>
      </c>
      <c r="AG112" s="8">
        <v>349</v>
      </c>
      <c r="AH112" s="8" t="str">
        <f t="shared" si="198"/>
        <v/>
      </c>
      <c r="AI112" s="8" t="str">
        <f t="shared" si="198"/>
        <v/>
      </c>
      <c r="AJ112" s="8" t="str">
        <f t="shared" si="198"/>
        <v/>
      </c>
      <c r="AK112" s="8" t="str">
        <f t="shared" si="198"/>
        <v/>
      </c>
      <c r="AL112" s="8" t="str">
        <f t="shared" si="198"/>
        <v/>
      </c>
      <c r="AM112" s="8" t="str">
        <f t="shared" si="198"/>
        <v/>
      </c>
      <c r="AN112" s="8" t="str">
        <f t="shared" si="198"/>
        <v/>
      </c>
      <c r="AO112" s="8" t="str">
        <f t="shared" ref="AO112:AS112" si="199">IF(AO$3="","",AN112)</f>
        <v/>
      </c>
      <c r="AP112" s="8" t="str">
        <f t="shared" si="199"/>
        <v/>
      </c>
      <c r="AQ112" s="8" t="str">
        <f t="shared" si="199"/>
        <v/>
      </c>
      <c r="AR112" s="8" t="str">
        <f t="shared" si="199"/>
        <v/>
      </c>
      <c r="AS112" s="8" t="str">
        <f t="shared" si="199"/>
        <v/>
      </c>
    </row>
    <row r="113" spans="1:45">
      <c r="A113" s="15">
        <v>3</v>
      </c>
      <c r="B113" s="9" t="s">
        <v>5</v>
      </c>
      <c r="C113" s="74">
        <v>8</v>
      </c>
      <c r="D113" s="8">
        <f>IF(D111="","",(C113+C114))</f>
        <v>8</v>
      </c>
      <c r="E113" s="8">
        <f>IF(E111="","",(D113+D114))</f>
        <v>8</v>
      </c>
      <c r="F113" s="8">
        <f>IF(F111="","",(E113+E114))</f>
        <v>8</v>
      </c>
      <c r="G113" s="59">
        <f>IF(G111="","",(F113+F114))</f>
        <v>5</v>
      </c>
      <c r="H113" s="8">
        <f>IF(H111="","",(G113+G114))</f>
        <v>5</v>
      </c>
      <c r="I113" s="8">
        <v>4</v>
      </c>
      <c r="J113" s="59">
        <f>IF(J111="","",(I113+I114))</f>
        <v>4</v>
      </c>
      <c r="K113" s="8">
        <f>IF(K111="","",(J113+J114))</f>
        <v>4</v>
      </c>
      <c r="L113" s="8">
        <v>1</v>
      </c>
      <c r="M113" s="59">
        <f>IF(M111="","",(L113+L114))</f>
        <v>3</v>
      </c>
      <c r="N113" s="8">
        <f>IF(N111="","",(M113+M114))</f>
        <v>3</v>
      </c>
      <c r="O113" s="8">
        <f>IF(O111="","",(N113+N114))</f>
        <v>3</v>
      </c>
      <c r="P113" s="8">
        <v>2</v>
      </c>
      <c r="Q113" s="59">
        <f>IF(Q111="","",(P113+P114))</f>
        <v>2</v>
      </c>
      <c r="R113" s="8">
        <f>IF(R111="","",(Q113+Q114))</f>
        <v>2</v>
      </c>
      <c r="S113" s="8">
        <v>1</v>
      </c>
      <c r="T113" s="8">
        <f t="shared" ref="T113:AN113" si="200">IF(T111="","",(S113+S114))</f>
        <v>3</v>
      </c>
      <c r="U113" s="8">
        <f t="shared" si="200"/>
        <v>3</v>
      </c>
      <c r="V113" s="8">
        <f t="shared" si="200"/>
        <v>3</v>
      </c>
      <c r="W113" s="8">
        <v>2</v>
      </c>
      <c r="X113" s="8">
        <f t="shared" si="200"/>
        <v>5</v>
      </c>
      <c r="Y113" s="8">
        <f t="shared" si="200"/>
        <v>5</v>
      </c>
      <c r="Z113" s="8">
        <v>2</v>
      </c>
      <c r="AA113" s="8">
        <f t="shared" si="200"/>
        <v>5</v>
      </c>
      <c r="AB113" s="8">
        <f t="shared" si="200"/>
        <v>5</v>
      </c>
      <c r="AC113" s="8">
        <f t="shared" si="200"/>
        <v>5</v>
      </c>
      <c r="AD113" s="8">
        <v>4</v>
      </c>
      <c r="AE113" s="8">
        <f t="shared" si="200"/>
        <v>4</v>
      </c>
      <c r="AF113" s="8">
        <f t="shared" si="200"/>
        <v>4</v>
      </c>
      <c r="AG113" s="8">
        <v>2</v>
      </c>
      <c r="AH113" s="8" t="str">
        <f t="shared" si="200"/>
        <v/>
      </c>
      <c r="AI113" s="8" t="str">
        <f t="shared" si="200"/>
        <v/>
      </c>
      <c r="AJ113" s="8" t="str">
        <f t="shared" si="200"/>
        <v/>
      </c>
      <c r="AK113" s="8" t="str">
        <f t="shared" si="200"/>
        <v/>
      </c>
      <c r="AL113" s="8" t="str">
        <f t="shared" si="200"/>
        <v/>
      </c>
      <c r="AM113" s="8" t="str">
        <f t="shared" si="200"/>
        <v/>
      </c>
      <c r="AN113" s="8" t="str">
        <f t="shared" si="200"/>
        <v/>
      </c>
      <c r="AO113" s="8" t="str">
        <f t="shared" ref="AO113:AS113" si="201">IF(AO111="","",(AN113+AN114))</f>
        <v/>
      </c>
      <c r="AP113" s="8" t="str">
        <f t="shared" si="201"/>
        <v/>
      </c>
      <c r="AQ113" s="8" t="str">
        <f t="shared" si="201"/>
        <v/>
      </c>
      <c r="AR113" s="8" t="str">
        <f t="shared" si="201"/>
        <v/>
      </c>
      <c r="AS113" s="8" t="str">
        <f t="shared" si="201"/>
        <v/>
      </c>
    </row>
    <row r="114" spans="1:45">
      <c r="A114" s="14"/>
      <c r="B114" s="9" t="s">
        <v>7</v>
      </c>
      <c r="C114" s="74"/>
      <c r="D114" s="8"/>
      <c r="E114" s="8"/>
      <c r="F114" s="8">
        <v>-3</v>
      </c>
      <c r="G114" s="59"/>
      <c r="H114" s="8"/>
      <c r="I114" s="8"/>
      <c r="J114" s="59"/>
      <c r="K114" s="8"/>
      <c r="L114" s="8">
        <v>2</v>
      </c>
      <c r="M114" s="59"/>
      <c r="N114" s="8"/>
      <c r="O114" s="8"/>
      <c r="P114" s="8"/>
      <c r="Q114" s="59"/>
      <c r="R114" s="8"/>
      <c r="S114" s="8">
        <v>2</v>
      </c>
      <c r="T114" s="8"/>
      <c r="U114" s="8"/>
      <c r="V114" s="8"/>
      <c r="W114" s="8">
        <v>3</v>
      </c>
      <c r="X114" s="8"/>
      <c r="Y114" s="8"/>
      <c r="Z114" s="8">
        <v>3</v>
      </c>
      <c r="AA114" s="8"/>
      <c r="AB114" s="8"/>
      <c r="AC114" s="8"/>
      <c r="AD114" s="8"/>
      <c r="AE114" s="8"/>
      <c r="AF114" s="8"/>
      <c r="AG114" s="8">
        <v>4</v>
      </c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</row>
    <row r="115" spans="1:45">
      <c r="A115" s="7"/>
      <c r="B115" s="9" t="s">
        <v>8</v>
      </c>
      <c r="C115" s="74">
        <v>350</v>
      </c>
      <c r="D115" s="8">
        <f t="shared" ref="D115:AN115" si="202">IF(D111="","",C115)</f>
        <v>350</v>
      </c>
      <c r="E115" s="8">
        <f t="shared" si="202"/>
        <v>350</v>
      </c>
      <c r="F115" s="8">
        <f t="shared" si="202"/>
        <v>350</v>
      </c>
      <c r="G115" s="59">
        <f t="shared" si="202"/>
        <v>350</v>
      </c>
      <c r="H115" s="8">
        <f t="shared" si="202"/>
        <v>350</v>
      </c>
      <c r="I115" s="8">
        <f t="shared" si="202"/>
        <v>350</v>
      </c>
      <c r="J115" s="59">
        <f t="shared" si="202"/>
        <v>350</v>
      </c>
      <c r="K115" s="8">
        <f t="shared" si="202"/>
        <v>350</v>
      </c>
      <c r="L115" s="8">
        <f t="shared" si="202"/>
        <v>350</v>
      </c>
      <c r="M115" s="59">
        <f t="shared" si="202"/>
        <v>350</v>
      </c>
      <c r="N115" s="8">
        <f t="shared" si="202"/>
        <v>350</v>
      </c>
      <c r="O115" s="8">
        <f t="shared" si="202"/>
        <v>350</v>
      </c>
      <c r="P115" s="8">
        <f t="shared" si="202"/>
        <v>350</v>
      </c>
      <c r="Q115" s="59">
        <f t="shared" si="202"/>
        <v>350</v>
      </c>
      <c r="R115" s="8">
        <f t="shared" si="202"/>
        <v>350</v>
      </c>
      <c r="S115" s="8">
        <f t="shared" si="202"/>
        <v>350</v>
      </c>
      <c r="T115" s="8">
        <f t="shared" si="202"/>
        <v>350</v>
      </c>
      <c r="U115" s="8">
        <f t="shared" si="202"/>
        <v>350</v>
      </c>
      <c r="V115" s="8">
        <f t="shared" si="202"/>
        <v>350</v>
      </c>
      <c r="W115" s="8">
        <f t="shared" si="202"/>
        <v>350</v>
      </c>
      <c r="X115" s="8">
        <f t="shared" si="202"/>
        <v>350</v>
      </c>
      <c r="Y115" s="8">
        <f t="shared" si="202"/>
        <v>350</v>
      </c>
      <c r="Z115" s="8">
        <f t="shared" si="202"/>
        <v>350</v>
      </c>
      <c r="AA115" s="8">
        <f t="shared" si="202"/>
        <v>350</v>
      </c>
      <c r="AB115" s="8">
        <f t="shared" si="202"/>
        <v>350</v>
      </c>
      <c r="AC115" s="8">
        <f t="shared" si="202"/>
        <v>350</v>
      </c>
      <c r="AD115" s="8">
        <f t="shared" si="202"/>
        <v>350</v>
      </c>
      <c r="AE115" s="8">
        <f t="shared" si="202"/>
        <v>350</v>
      </c>
      <c r="AF115" s="8">
        <f t="shared" si="202"/>
        <v>350</v>
      </c>
      <c r="AG115" s="8">
        <f t="shared" si="202"/>
        <v>350</v>
      </c>
      <c r="AH115" s="8" t="str">
        <f t="shared" si="202"/>
        <v/>
      </c>
      <c r="AI115" s="8" t="str">
        <f t="shared" si="202"/>
        <v/>
      </c>
      <c r="AJ115" s="8" t="str">
        <f t="shared" si="202"/>
        <v/>
      </c>
      <c r="AK115" s="8" t="str">
        <f t="shared" si="202"/>
        <v/>
      </c>
      <c r="AL115" s="8" t="str">
        <f t="shared" si="202"/>
        <v/>
      </c>
      <c r="AM115" s="8" t="str">
        <f t="shared" si="202"/>
        <v/>
      </c>
      <c r="AN115" s="8" t="str">
        <f t="shared" si="202"/>
        <v/>
      </c>
      <c r="AO115" s="8" t="str">
        <f t="shared" ref="AO115:AS115" si="203">IF(AO111="","",AN115)</f>
        <v/>
      </c>
      <c r="AP115" s="8" t="str">
        <f t="shared" si="203"/>
        <v/>
      </c>
      <c r="AQ115" s="8" t="str">
        <f t="shared" si="203"/>
        <v/>
      </c>
      <c r="AR115" s="8" t="str">
        <f t="shared" si="203"/>
        <v/>
      </c>
      <c r="AS115" s="8" t="str">
        <f t="shared" si="203"/>
        <v/>
      </c>
    </row>
    <row r="116" spans="1:45" s="94" customFormat="1">
      <c r="A116" s="14" t="s">
        <v>9</v>
      </c>
      <c r="B116" s="13" t="s">
        <v>10</v>
      </c>
      <c r="C116" s="75" t="s">
        <v>90</v>
      </c>
      <c r="D116" s="12" t="str">
        <f>IF(D111="","",C116)</f>
        <v>サンリオクリップピン</v>
      </c>
      <c r="E116" s="12" t="str">
        <f>IF(E111="","",D116)</f>
        <v>サンリオクリップピン</v>
      </c>
      <c r="F116" s="12" t="s">
        <v>33</v>
      </c>
      <c r="G116" s="131" t="str">
        <f t="shared" ref="G116:R116" si="204">IF(G111="","",F116)</f>
        <v>パステルケーキ</v>
      </c>
      <c r="H116" s="12" t="str">
        <f t="shared" si="204"/>
        <v>パステルケーキ</v>
      </c>
      <c r="I116" s="12" t="str">
        <f t="shared" si="204"/>
        <v>パステルケーキ</v>
      </c>
      <c r="J116" s="131" t="str">
        <f t="shared" si="204"/>
        <v>パステルケーキ</v>
      </c>
      <c r="K116" s="12" t="str">
        <f t="shared" si="204"/>
        <v>パステルケーキ</v>
      </c>
      <c r="L116" s="12" t="str">
        <f t="shared" si="204"/>
        <v>パステルケーキ</v>
      </c>
      <c r="M116" s="131" t="str">
        <f t="shared" si="204"/>
        <v>パステルケーキ</v>
      </c>
      <c r="N116" s="12" t="str">
        <f t="shared" si="204"/>
        <v>パステルケーキ</v>
      </c>
      <c r="O116" s="12" t="str">
        <f t="shared" si="204"/>
        <v>パステルケーキ</v>
      </c>
      <c r="P116" s="12" t="str">
        <f t="shared" si="204"/>
        <v>パステルケーキ</v>
      </c>
      <c r="Q116" s="131" t="str">
        <f t="shared" si="204"/>
        <v>パステルケーキ</v>
      </c>
      <c r="R116" s="12" t="str">
        <f t="shared" si="204"/>
        <v>パステルケーキ</v>
      </c>
      <c r="S116" s="12" t="s">
        <v>55</v>
      </c>
      <c r="T116" s="12" t="str">
        <f t="shared" ref="T116:AN116" si="205">IF(T111="","",S116)</f>
        <v>キティフェイスポーチ</v>
      </c>
      <c r="U116" s="12" t="str">
        <f t="shared" si="205"/>
        <v>キティフェイスポーチ</v>
      </c>
      <c r="V116" s="12" t="str">
        <f t="shared" si="205"/>
        <v>キティフェイスポーチ</v>
      </c>
      <c r="W116" s="12" t="str">
        <f t="shared" si="205"/>
        <v>キティフェイスポーチ</v>
      </c>
      <c r="X116" s="12" t="str">
        <f t="shared" si="205"/>
        <v>キティフェイスポーチ</v>
      </c>
      <c r="Y116" s="12" t="str">
        <f t="shared" si="205"/>
        <v>キティフェイスポーチ</v>
      </c>
      <c r="Z116" s="12" t="str">
        <f t="shared" si="205"/>
        <v>キティフェイスポーチ</v>
      </c>
      <c r="AA116" s="12" t="str">
        <f t="shared" si="205"/>
        <v>キティフェイスポーチ</v>
      </c>
      <c r="AB116" s="12" t="str">
        <f t="shared" si="205"/>
        <v>キティフェイスポーチ</v>
      </c>
      <c r="AC116" s="12" t="str">
        <f t="shared" si="205"/>
        <v>キティフェイスポーチ</v>
      </c>
      <c r="AD116" s="12" t="str">
        <f t="shared" si="205"/>
        <v>キティフェイスポーチ</v>
      </c>
      <c r="AE116" s="12" t="str">
        <f t="shared" si="205"/>
        <v>キティフェイスポーチ</v>
      </c>
      <c r="AF116" s="12" t="str">
        <f t="shared" si="205"/>
        <v>キティフェイスポーチ</v>
      </c>
      <c r="AG116" s="12" t="str">
        <f t="shared" si="205"/>
        <v>キティフェイスポーチ</v>
      </c>
      <c r="AH116" s="12" t="str">
        <f t="shared" si="205"/>
        <v/>
      </c>
      <c r="AI116" s="12" t="str">
        <f t="shared" si="205"/>
        <v/>
      </c>
      <c r="AJ116" s="12" t="str">
        <f t="shared" si="205"/>
        <v/>
      </c>
      <c r="AK116" s="12" t="str">
        <f t="shared" si="205"/>
        <v/>
      </c>
      <c r="AL116" s="12" t="str">
        <f t="shared" si="205"/>
        <v/>
      </c>
      <c r="AM116" s="12" t="str">
        <f t="shared" si="205"/>
        <v/>
      </c>
      <c r="AN116" s="12" t="str">
        <f t="shared" si="205"/>
        <v/>
      </c>
      <c r="AO116" s="12" t="str">
        <f t="shared" ref="AO116:AS116" si="206">IF(AO111="","",AN116)</f>
        <v/>
      </c>
      <c r="AP116" s="12" t="str">
        <f t="shared" si="206"/>
        <v/>
      </c>
      <c r="AQ116" s="12" t="str">
        <f t="shared" si="206"/>
        <v/>
      </c>
      <c r="AR116" s="12" t="str">
        <f t="shared" si="206"/>
        <v/>
      </c>
      <c r="AS116" s="12" t="str">
        <f t="shared" si="206"/>
        <v/>
      </c>
    </row>
    <row r="117" spans="1:45">
      <c r="A117" s="7">
        <f>AVERAGE(C118:AS118)*30*100</f>
        <v>58645.161290322576</v>
      </c>
      <c r="B117" s="9" t="s">
        <v>14</v>
      </c>
      <c r="C117" s="74"/>
      <c r="D117" s="8"/>
      <c r="E117" s="8"/>
      <c r="F117" s="8"/>
      <c r="G117" s="59"/>
      <c r="H117" s="8"/>
      <c r="I117" s="8"/>
      <c r="J117" s="59"/>
      <c r="K117" s="8"/>
      <c r="L117" s="8"/>
      <c r="M117" s="59"/>
      <c r="N117" s="8"/>
      <c r="O117" s="8"/>
      <c r="P117" s="8"/>
      <c r="Q117" s="59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</row>
    <row r="118" spans="1:45">
      <c r="A118" s="7">
        <f>SUM(C118:AS118)</f>
        <v>606</v>
      </c>
      <c r="B118" s="6" t="s">
        <v>15</v>
      </c>
      <c r="C118" s="74">
        <v>0</v>
      </c>
      <c r="D118" s="5">
        <f t="shared" ref="D118:AN118" si="207">IF(D111="","",D111-C111)</f>
        <v>0</v>
      </c>
      <c r="E118" s="5">
        <f t="shared" si="207"/>
        <v>0</v>
      </c>
      <c r="F118" s="5">
        <f t="shared" si="207"/>
        <v>9</v>
      </c>
      <c r="G118" s="59">
        <f t="shared" si="207"/>
        <v>0</v>
      </c>
      <c r="H118" s="5">
        <f t="shared" si="207"/>
        <v>0</v>
      </c>
      <c r="I118" s="5">
        <f t="shared" si="207"/>
        <v>81</v>
      </c>
      <c r="J118" s="59">
        <f t="shared" si="207"/>
        <v>0</v>
      </c>
      <c r="K118" s="5">
        <f t="shared" si="207"/>
        <v>0</v>
      </c>
      <c r="L118" s="5">
        <f t="shared" si="207"/>
        <v>50</v>
      </c>
      <c r="M118" s="59">
        <f t="shared" si="207"/>
        <v>0</v>
      </c>
      <c r="N118" s="5">
        <f t="shared" si="207"/>
        <v>0</v>
      </c>
      <c r="O118" s="5">
        <f t="shared" si="207"/>
        <v>0</v>
      </c>
      <c r="P118" s="5">
        <f t="shared" si="207"/>
        <v>26</v>
      </c>
      <c r="Q118" s="59">
        <f t="shared" si="207"/>
        <v>0</v>
      </c>
      <c r="R118" s="5">
        <f t="shared" si="207"/>
        <v>0</v>
      </c>
      <c r="S118" s="5">
        <f t="shared" si="207"/>
        <v>54</v>
      </c>
      <c r="T118" s="5">
        <f t="shared" si="207"/>
        <v>0</v>
      </c>
      <c r="U118" s="5">
        <f t="shared" si="207"/>
        <v>0</v>
      </c>
      <c r="V118" s="5">
        <f t="shared" si="207"/>
        <v>0</v>
      </c>
      <c r="W118" s="5">
        <f t="shared" si="207"/>
        <v>97</v>
      </c>
      <c r="X118" s="5">
        <f t="shared" si="207"/>
        <v>0</v>
      </c>
      <c r="Y118" s="5">
        <f t="shared" si="207"/>
        <v>0</v>
      </c>
      <c r="Z118" s="5">
        <f t="shared" si="207"/>
        <v>76</v>
      </c>
      <c r="AA118" s="5">
        <f t="shared" si="207"/>
        <v>0</v>
      </c>
      <c r="AB118" s="5">
        <f t="shared" si="207"/>
        <v>0</v>
      </c>
      <c r="AC118" s="5">
        <f t="shared" si="207"/>
        <v>0</v>
      </c>
      <c r="AD118" s="5">
        <f t="shared" si="207"/>
        <v>78</v>
      </c>
      <c r="AE118" s="5">
        <f t="shared" si="207"/>
        <v>0</v>
      </c>
      <c r="AF118" s="5">
        <f t="shared" si="207"/>
        <v>0</v>
      </c>
      <c r="AG118" s="5">
        <f t="shared" si="207"/>
        <v>135</v>
      </c>
      <c r="AH118" s="5" t="str">
        <f t="shared" si="207"/>
        <v/>
      </c>
      <c r="AI118" s="5" t="str">
        <f t="shared" si="207"/>
        <v/>
      </c>
      <c r="AJ118" s="5" t="str">
        <f t="shared" si="207"/>
        <v/>
      </c>
      <c r="AK118" s="5" t="str">
        <f t="shared" si="207"/>
        <v/>
      </c>
      <c r="AL118" s="5" t="str">
        <f t="shared" si="207"/>
        <v/>
      </c>
      <c r="AM118" s="5" t="str">
        <f t="shared" si="207"/>
        <v/>
      </c>
      <c r="AN118" s="5" t="str">
        <f t="shared" si="207"/>
        <v/>
      </c>
      <c r="AO118" s="5" t="str">
        <f t="shared" ref="AO118:AS118" si="208">IF(AO111="","",AO111-AN111)</f>
        <v/>
      </c>
      <c r="AP118" s="5" t="str">
        <f t="shared" si="208"/>
        <v/>
      </c>
      <c r="AQ118" s="5" t="str">
        <f t="shared" si="208"/>
        <v/>
      </c>
      <c r="AR118" s="5" t="str">
        <f t="shared" si="208"/>
        <v/>
      </c>
      <c r="AS118" s="5" t="str">
        <f t="shared" si="208"/>
        <v/>
      </c>
    </row>
    <row r="119" spans="1:45">
      <c r="A119" s="7">
        <f>SUM(C119:AS119)</f>
        <v>11</v>
      </c>
      <c r="B119" s="6" t="s">
        <v>16</v>
      </c>
      <c r="C119" s="74">
        <v>0</v>
      </c>
      <c r="D119" s="5">
        <f t="shared" ref="D119:AN119" si="209">IF(D112="","",D112-C112)</f>
        <v>0</v>
      </c>
      <c r="E119" s="5">
        <f t="shared" si="209"/>
        <v>0</v>
      </c>
      <c r="F119" s="5">
        <f t="shared" si="209"/>
        <v>0</v>
      </c>
      <c r="G119" s="59">
        <f t="shared" si="209"/>
        <v>0</v>
      </c>
      <c r="H119" s="5">
        <f t="shared" si="209"/>
        <v>0</v>
      </c>
      <c r="I119" s="5">
        <f t="shared" si="209"/>
        <v>1</v>
      </c>
      <c r="J119" s="59">
        <f t="shared" si="209"/>
        <v>0</v>
      </c>
      <c r="K119" s="5">
        <f t="shared" si="209"/>
        <v>0</v>
      </c>
      <c r="L119" s="5">
        <f t="shared" si="209"/>
        <v>3</v>
      </c>
      <c r="M119" s="59">
        <f t="shared" si="209"/>
        <v>0</v>
      </c>
      <c r="N119" s="5">
        <f t="shared" si="209"/>
        <v>0</v>
      </c>
      <c r="O119" s="5">
        <f t="shared" si="209"/>
        <v>0</v>
      </c>
      <c r="P119" s="5">
        <f t="shared" si="209"/>
        <v>0</v>
      </c>
      <c r="Q119" s="59">
        <f t="shared" si="209"/>
        <v>0</v>
      </c>
      <c r="R119" s="5">
        <f t="shared" si="209"/>
        <v>0</v>
      </c>
      <c r="S119" s="5">
        <f t="shared" si="209"/>
        <v>1</v>
      </c>
      <c r="T119" s="5">
        <f t="shared" si="209"/>
        <v>0</v>
      </c>
      <c r="U119" s="5">
        <f t="shared" si="209"/>
        <v>0</v>
      </c>
      <c r="V119" s="5">
        <f t="shared" si="209"/>
        <v>0</v>
      </c>
      <c r="W119" s="5">
        <f t="shared" si="209"/>
        <v>1</v>
      </c>
      <c r="X119" s="5">
        <f t="shared" si="209"/>
        <v>0</v>
      </c>
      <c r="Y119" s="5">
        <f t="shared" si="209"/>
        <v>0</v>
      </c>
      <c r="Z119" s="5">
        <f t="shared" si="209"/>
        <v>3</v>
      </c>
      <c r="AA119" s="5">
        <f t="shared" si="209"/>
        <v>0</v>
      </c>
      <c r="AB119" s="5">
        <f t="shared" si="209"/>
        <v>0</v>
      </c>
      <c r="AC119" s="5">
        <f t="shared" si="209"/>
        <v>0</v>
      </c>
      <c r="AD119" s="5">
        <f t="shared" si="209"/>
        <v>1</v>
      </c>
      <c r="AE119" s="5">
        <f t="shared" si="209"/>
        <v>0</v>
      </c>
      <c r="AF119" s="5">
        <f t="shared" si="209"/>
        <v>0</v>
      </c>
      <c r="AG119" s="5">
        <f t="shared" si="209"/>
        <v>1</v>
      </c>
      <c r="AH119" s="5" t="str">
        <f t="shared" si="209"/>
        <v/>
      </c>
      <c r="AI119" s="5" t="str">
        <f t="shared" si="209"/>
        <v/>
      </c>
      <c r="AJ119" s="5" t="str">
        <f t="shared" si="209"/>
        <v/>
      </c>
      <c r="AK119" s="5" t="str">
        <f t="shared" si="209"/>
        <v/>
      </c>
      <c r="AL119" s="5" t="str">
        <f t="shared" si="209"/>
        <v/>
      </c>
      <c r="AM119" s="5" t="str">
        <f t="shared" si="209"/>
        <v/>
      </c>
      <c r="AN119" s="5" t="str">
        <f t="shared" si="209"/>
        <v/>
      </c>
      <c r="AO119" s="5" t="str">
        <f t="shared" ref="AO119:AS119" si="210">IF(AO112="","",AO112-AN112)</f>
        <v/>
      </c>
      <c r="AP119" s="5" t="str">
        <f t="shared" si="210"/>
        <v/>
      </c>
      <c r="AQ119" s="5" t="str">
        <f t="shared" si="210"/>
        <v/>
      </c>
      <c r="AR119" s="5" t="str">
        <f t="shared" si="210"/>
        <v/>
      </c>
      <c r="AS119" s="5" t="str">
        <f t="shared" si="210"/>
        <v/>
      </c>
    </row>
    <row r="120" spans="1:45">
      <c r="A120" s="7">
        <f>SUM(C120:AS120)</f>
        <v>13</v>
      </c>
      <c r="B120" s="6" t="s">
        <v>17</v>
      </c>
      <c r="C120" s="74">
        <v>0</v>
      </c>
      <c r="D120" s="5">
        <f t="shared" ref="D120:AN120" si="211">IF(D113="","",C113+C114-D113)</f>
        <v>0</v>
      </c>
      <c r="E120" s="5">
        <f t="shared" si="211"/>
        <v>0</v>
      </c>
      <c r="F120" s="5">
        <f t="shared" si="211"/>
        <v>0</v>
      </c>
      <c r="G120" s="59">
        <f t="shared" si="211"/>
        <v>0</v>
      </c>
      <c r="H120" s="5">
        <f t="shared" si="211"/>
        <v>0</v>
      </c>
      <c r="I120" s="5">
        <f t="shared" si="211"/>
        <v>1</v>
      </c>
      <c r="J120" s="59">
        <f t="shared" si="211"/>
        <v>0</v>
      </c>
      <c r="K120" s="5">
        <f t="shared" si="211"/>
        <v>0</v>
      </c>
      <c r="L120" s="5">
        <f t="shared" si="211"/>
        <v>3</v>
      </c>
      <c r="M120" s="59">
        <f t="shared" si="211"/>
        <v>0</v>
      </c>
      <c r="N120" s="5">
        <f t="shared" si="211"/>
        <v>0</v>
      </c>
      <c r="O120" s="5">
        <f t="shared" si="211"/>
        <v>0</v>
      </c>
      <c r="P120" s="5">
        <f t="shared" si="211"/>
        <v>1</v>
      </c>
      <c r="Q120" s="59">
        <f t="shared" si="211"/>
        <v>0</v>
      </c>
      <c r="R120" s="5">
        <f t="shared" si="211"/>
        <v>0</v>
      </c>
      <c r="S120" s="5">
        <f t="shared" si="211"/>
        <v>1</v>
      </c>
      <c r="T120" s="5">
        <f t="shared" si="211"/>
        <v>0</v>
      </c>
      <c r="U120" s="5">
        <f t="shared" si="211"/>
        <v>0</v>
      </c>
      <c r="V120" s="5">
        <f t="shared" si="211"/>
        <v>0</v>
      </c>
      <c r="W120" s="5">
        <f t="shared" si="211"/>
        <v>1</v>
      </c>
      <c r="X120" s="5">
        <f t="shared" si="211"/>
        <v>0</v>
      </c>
      <c r="Y120" s="5">
        <f t="shared" si="211"/>
        <v>0</v>
      </c>
      <c r="Z120" s="5">
        <f t="shared" si="211"/>
        <v>3</v>
      </c>
      <c r="AA120" s="5">
        <f t="shared" si="211"/>
        <v>0</v>
      </c>
      <c r="AB120" s="5">
        <f t="shared" si="211"/>
        <v>0</v>
      </c>
      <c r="AC120" s="5">
        <f t="shared" si="211"/>
        <v>0</v>
      </c>
      <c r="AD120" s="5">
        <f t="shared" si="211"/>
        <v>1</v>
      </c>
      <c r="AE120" s="5">
        <f t="shared" si="211"/>
        <v>0</v>
      </c>
      <c r="AF120" s="5">
        <f t="shared" si="211"/>
        <v>0</v>
      </c>
      <c r="AG120" s="5">
        <f t="shared" si="211"/>
        <v>2</v>
      </c>
      <c r="AH120" s="5" t="str">
        <f t="shared" si="211"/>
        <v/>
      </c>
      <c r="AI120" s="5" t="str">
        <f t="shared" si="211"/>
        <v/>
      </c>
      <c r="AJ120" s="5" t="str">
        <f t="shared" si="211"/>
        <v/>
      </c>
      <c r="AK120" s="5" t="str">
        <f t="shared" si="211"/>
        <v/>
      </c>
      <c r="AL120" s="5" t="str">
        <f t="shared" si="211"/>
        <v/>
      </c>
      <c r="AM120" s="5" t="str">
        <f t="shared" si="211"/>
        <v/>
      </c>
      <c r="AN120" s="5" t="str">
        <f t="shared" si="211"/>
        <v/>
      </c>
      <c r="AO120" s="5" t="str">
        <f t="shared" ref="AO120:AS120" si="212">IF(AO113="","",AN113+AN114-AO113)</f>
        <v/>
      </c>
      <c r="AP120" s="5" t="str">
        <f t="shared" si="212"/>
        <v/>
      </c>
      <c r="AQ120" s="5" t="str">
        <f t="shared" si="212"/>
        <v/>
      </c>
      <c r="AR120" s="5" t="str">
        <f t="shared" si="212"/>
        <v/>
      </c>
      <c r="AS120" s="5" t="str">
        <f t="shared" si="212"/>
        <v/>
      </c>
    </row>
    <row r="121" spans="1:45">
      <c r="A121" s="7">
        <f>SUM(C121:AS121)</f>
        <v>4550</v>
      </c>
      <c r="B121" s="6" t="s">
        <v>18</v>
      </c>
      <c r="C121" s="74">
        <v>0</v>
      </c>
      <c r="D121" s="5">
        <f t="shared" ref="D121:AN121" si="213">IF(D111="","",D120*D115)</f>
        <v>0</v>
      </c>
      <c r="E121" s="5">
        <f t="shared" si="213"/>
        <v>0</v>
      </c>
      <c r="F121" s="5">
        <f t="shared" si="213"/>
        <v>0</v>
      </c>
      <c r="G121" s="59">
        <f t="shared" si="213"/>
        <v>0</v>
      </c>
      <c r="H121" s="5">
        <f t="shared" si="213"/>
        <v>0</v>
      </c>
      <c r="I121" s="5">
        <f t="shared" si="213"/>
        <v>350</v>
      </c>
      <c r="J121" s="59">
        <f t="shared" si="213"/>
        <v>0</v>
      </c>
      <c r="K121" s="5">
        <f t="shared" si="213"/>
        <v>0</v>
      </c>
      <c r="L121" s="5">
        <f t="shared" si="213"/>
        <v>1050</v>
      </c>
      <c r="M121" s="59">
        <f t="shared" si="213"/>
        <v>0</v>
      </c>
      <c r="N121" s="5">
        <f t="shared" si="213"/>
        <v>0</v>
      </c>
      <c r="O121" s="5">
        <f t="shared" si="213"/>
        <v>0</v>
      </c>
      <c r="P121" s="5">
        <f t="shared" si="213"/>
        <v>350</v>
      </c>
      <c r="Q121" s="59">
        <f t="shared" si="213"/>
        <v>0</v>
      </c>
      <c r="R121" s="5">
        <f t="shared" si="213"/>
        <v>0</v>
      </c>
      <c r="S121" s="5">
        <f t="shared" si="213"/>
        <v>350</v>
      </c>
      <c r="T121" s="5">
        <f t="shared" si="213"/>
        <v>0</v>
      </c>
      <c r="U121" s="5">
        <f t="shared" si="213"/>
        <v>0</v>
      </c>
      <c r="V121" s="5">
        <f t="shared" si="213"/>
        <v>0</v>
      </c>
      <c r="W121" s="5">
        <f t="shared" si="213"/>
        <v>350</v>
      </c>
      <c r="X121" s="5">
        <f t="shared" si="213"/>
        <v>0</v>
      </c>
      <c r="Y121" s="5">
        <f t="shared" si="213"/>
        <v>0</v>
      </c>
      <c r="Z121" s="5">
        <f t="shared" si="213"/>
        <v>1050</v>
      </c>
      <c r="AA121" s="5">
        <f t="shared" si="213"/>
        <v>0</v>
      </c>
      <c r="AB121" s="5">
        <f t="shared" si="213"/>
        <v>0</v>
      </c>
      <c r="AC121" s="5">
        <f t="shared" si="213"/>
        <v>0</v>
      </c>
      <c r="AD121" s="5">
        <f t="shared" si="213"/>
        <v>350</v>
      </c>
      <c r="AE121" s="5">
        <f t="shared" si="213"/>
        <v>0</v>
      </c>
      <c r="AF121" s="5">
        <f t="shared" si="213"/>
        <v>0</v>
      </c>
      <c r="AG121" s="5">
        <f t="shared" si="213"/>
        <v>700</v>
      </c>
      <c r="AH121" s="5" t="str">
        <f t="shared" si="213"/>
        <v/>
      </c>
      <c r="AI121" s="5" t="str">
        <f t="shared" si="213"/>
        <v/>
      </c>
      <c r="AJ121" s="5" t="str">
        <f t="shared" si="213"/>
        <v/>
      </c>
      <c r="AK121" s="5" t="str">
        <f t="shared" si="213"/>
        <v/>
      </c>
      <c r="AL121" s="5" t="str">
        <f t="shared" si="213"/>
        <v/>
      </c>
      <c r="AM121" s="5" t="str">
        <f t="shared" si="213"/>
        <v/>
      </c>
      <c r="AN121" s="5" t="str">
        <f t="shared" si="213"/>
        <v/>
      </c>
      <c r="AO121" s="5" t="str">
        <f t="shared" ref="AO121:AS121" si="214">IF(AO111="","",AO120*AO115)</f>
        <v/>
      </c>
      <c r="AP121" s="5" t="str">
        <f t="shared" si="214"/>
        <v/>
      </c>
      <c r="AQ121" s="5" t="str">
        <f t="shared" si="214"/>
        <v/>
      </c>
      <c r="AR121" s="5" t="str">
        <f t="shared" si="214"/>
        <v/>
      </c>
      <c r="AS121" s="5" t="str">
        <f t="shared" si="214"/>
        <v/>
      </c>
    </row>
    <row r="122" spans="1:45" ht="12" thickBot="1">
      <c r="A122" s="4">
        <f>IF(A121="","",A121/(A118*100))</f>
        <v>7.5082508250825089E-2</v>
      </c>
      <c r="B122" s="6" t="s">
        <v>20</v>
      </c>
      <c r="C122" s="76" t="s">
        <v>21</v>
      </c>
      <c r="D122" s="18" t="str">
        <f t="shared" ref="D122:AN122" si="215">IF(D121="","",IF(D121=0,"",D121/(D118*100)))</f>
        <v/>
      </c>
      <c r="E122" s="18" t="str">
        <f t="shared" si="215"/>
        <v/>
      </c>
      <c r="F122" s="18" t="str">
        <f t="shared" si="215"/>
        <v/>
      </c>
      <c r="G122" s="62" t="str">
        <f t="shared" si="215"/>
        <v/>
      </c>
      <c r="H122" s="18" t="str">
        <f t="shared" si="215"/>
        <v/>
      </c>
      <c r="I122" s="18">
        <f t="shared" si="215"/>
        <v>4.3209876543209874E-2</v>
      </c>
      <c r="J122" s="62" t="str">
        <f t="shared" si="215"/>
        <v/>
      </c>
      <c r="K122" s="18" t="str">
        <f t="shared" si="215"/>
        <v/>
      </c>
      <c r="L122" s="18">
        <f t="shared" si="215"/>
        <v>0.21</v>
      </c>
      <c r="M122" s="62" t="str">
        <f t="shared" si="215"/>
        <v/>
      </c>
      <c r="N122" s="18" t="str">
        <f t="shared" si="215"/>
        <v/>
      </c>
      <c r="O122" s="18" t="str">
        <f t="shared" si="215"/>
        <v/>
      </c>
      <c r="P122" s="18">
        <f t="shared" si="215"/>
        <v>0.13461538461538461</v>
      </c>
      <c r="Q122" s="62" t="str">
        <f t="shared" si="215"/>
        <v/>
      </c>
      <c r="R122" s="18" t="str">
        <f t="shared" si="215"/>
        <v/>
      </c>
      <c r="S122" s="18">
        <f t="shared" si="215"/>
        <v>6.4814814814814811E-2</v>
      </c>
      <c r="T122" s="18" t="str">
        <f t="shared" si="215"/>
        <v/>
      </c>
      <c r="U122" s="18" t="str">
        <f t="shared" si="215"/>
        <v/>
      </c>
      <c r="V122" s="18" t="str">
        <f t="shared" si="215"/>
        <v/>
      </c>
      <c r="W122" s="18">
        <f t="shared" si="215"/>
        <v>3.608247422680412E-2</v>
      </c>
      <c r="X122" s="18" t="str">
        <f t="shared" si="215"/>
        <v/>
      </c>
      <c r="Y122" s="18" t="str">
        <f t="shared" si="215"/>
        <v/>
      </c>
      <c r="Z122" s="18">
        <f t="shared" si="215"/>
        <v>0.13815789473684212</v>
      </c>
      <c r="AA122" s="18" t="str">
        <f t="shared" si="215"/>
        <v/>
      </c>
      <c r="AB122" s="18" t="str">
        <f t="shared" si="215"/>
        <v/>
      </c>
      <c r="AC122" s="18" t="str">
        <f t="shared" si="215"/>
        <v/>
      </c>
      <c r="AD122" s="18">
        <f t="shared" si="215"/>
        <v>4.4871794871794872E-2</v>
      </c>
      <c r="AE122" s="18" t="str">
        <f t="shared" si="215"/>
        <v/>
      </c>
      <c r="AF122" s="18" t="str">
        <f t="shared" si="215"/>
        <v/>
      </c>
      <c r="AG122" s="18">
        <f t="shared" si="215"/>
        <v>5.185185185185185E-2</v>
      </c>
      <c r="AH122" s="18" t="str">
        <f t="shared" si="215"/>
        <v/>
      </c>
      <c r="AI122" s="18" t="str">
        <f t="shared" si="215"/>
        <v/>
      </c>
      <c r="AJ122" s="18" t="str">
        <f t="shared" si="215"/>
        <v/>
      </c>
      <c r="AK122" s="18" t="str">
        <f t="shared" si="215"/>
        <v/>
      </c>
      <c r="AL122" s="18" t="str">
        <f t="shared" si="215"/>
        <v/>
      </c>
      <c r="AM122" s="18" t="str">
        <f t="shared" si="215"/>
        <v/>
      </c>
      <c r="AN122" s="18" t="str">
        <f t="shared" si="215"/>
        <v/>
      </c>
      <c r="AO122" s="18" t="str">
        <f t="shared" ref="AO122:AS122" si="216">IF(AO121="","",IF(AO121=0,"",AO121/(AO118*100)))</f>
        <v/>
      </c>
      <c r="AP122" s="18" t="str">
        <f t="shared" si="216"/>
        <v/>
      </c>
      <c r="AQ122" s="18" t="str">
        <f t="shared" si="216"/>
        <v/>
      </c>
      <c r="AR122" s="18" t="str">
        <f t="shared" si="216"/>
        <v/>
      </c>
      <c r="AS122" s="18" t="str">
        <f t="shared" si="216"/>
        <v/>
      </c>
    </row>
    <row r="123" spans="1:45">
      <c r="A123" s="17" t="s">
        <v>78</v>
      </c>
      <c r="B123" s="9" t="s">
        <v>2</v>
      </c>
      <c r="C123" s="74">
        <v>13531</v>
      </c>
      <c r="D123" s="8">
        <f>IF(D$3="","",C123)</f>
        <v>13531</v>
      </c>
      <c r="E123" s="8">
        <f>IF(E$3="","",D123)</f>
        <v>13531</v>
      </c>
      <c r="F123" s="8">
        <v>13587</v>
      </c>
      <c r="G123" s="59">
        <f>IF(G$3="","",F123)</f>
        <v>13587</v>
      </c>
      <c r="H123" s="8">
        <f>IF(H$3="","",G123)</f>
        <v>13587</v>
      </c>
      <c r="I123" s="8">
        <v>13594</v>
      </c>
      <c r="J123" s="59">
        <f>IF(J$3="","",I123)</f>
        <v>13594</v>
      </c>
      <c r="K123" s="8">
        <f>IF(K$3="","",J123)</f>
        <v>13594</v>
      </c>
      <c r="L123" s="8">
        <v>13695</v>
      </c>
      <c r="M123" s="59">
        <f t="shared" ref="M123:O124" si="217">IF(M$3="","",L123)</f>
        <v>13695</v>
      </c>
      <c r="N123" s="8">
        <f t="shared" si="217"/>
        <v>13695</v>
      </c>
      <c r="O123" s="8">
        <f t="shared" si="217"/>
        <v>13695</v>
      </c>
      <c r="P123" s="8">
        <v>13763</v>
      </c>
      <c r="Q123" s="59">
        <f>IF(Q$3="","",P123)</f>
        <v>13763</v>
      </c>
      <c r="R123" s="8">
        <f>IF(R$3="","",Q123)</f>
        <v>13763</v>
      </c>
      <c r="S123" s="8">
        <v>13852</v>
      </c>
      <c r="T123" s="8">
        <f t="shared" ref="T123:AN123" si="218">IF(T$3="","",S123)</f>
        <v>13852</v>
      </c>
      <c r="U123" s="8">
        <f t="shared" si="218"/>
        <v>13852</v>
      </c>
      <c r="V123" s="8">
        <f t="shared" si="218"/>
        <v>13852</v>
      </c>
      <c r="W123" s="8">
        <v>13867</v>
      </c>
      <c r="X123" s="8">
        <f t="shared" si="218"/>
        <v>13867</v>
      </c>
      <c r="Y123" s="8">
        <f t="shared" si="218"/>
        <v>13867</v>
      </c>
      <c r="Z123" s="8">
        <v>13891</v>
      </c>
      <c r="AA123" s="8">
        <f t="shared" si="218"/>
        <v>13891</v>
      </c>
      <c r="AB123" s="8">
        <f t="shared" si="218"/>
        <v>13891</v>
      </c>
      <c r="AC123" s="8">
        <f t="shared" si="218"/>
        <v>13891</v>
      </c>
      <c r="AD123" s="8">
        <v>13896</v>
      </c>
      <c r="AE123" s="8">
        <f t="shared" si="218"/>
        <v>13896</v>
      </c>
      <c r="AF123" s="8">
        <f t="shared" si="218"/>
        <v>13896</v>
      </c>
      <c r="AG123" s="8">
        <v>14026</v>
      </c>
      <c r="AH123" s="8" t="str">
        <f t="shared" si="218"/>
        <v/>
      </c>
      <c r="AI123" s="8" t="str">
        <f t="shared" si="218"/>
        <v/>
      </c>
      <c r="AJ123" s="8" t="str">
        <f t="shared" si="218"/>
        <v/>
      </c>
      <c r="AK123" s="8" t="str">
        <f t="shared" si="218"/>
        <v/>
      </c>
      <c r="AL123" s="8" t="str">
        <f t="shared" si="218"/>
        <v/>
      </c>
      <c r="AM123" s="8" t="str">
        <f t="shared" si="218"/>
        <v/>
      </c>
      <c r="AN123" s="8" t="str">
        <f t="shared" si="218"/>
        <v/>
      </c>
      <c r="AO123" s="8" t="str">
        <f t="shared" ref="AO123:AS123" si="219">IF(AO$3="","",AN123)</f>
        <v/>
      </c>
      <c r="AP123" s="8" t="str">
        <f t="shared" si="219"/>
        <v/>
      </c>
      <c r="AQ123" s="8" t="str">
        <f t="shared" si="219"/>
        <v/>
      </c>
      <c r="AR123" s="8" t="str">
        <f t="shared" si="219"/>
        <v/>
      </c>
      <c r="AS123" s="8" t="str">
        <f t="shared" si="219"/>
        <v/>
      </c>
    </row>
    <row r="124" spans="1:45">
      <c r="A124" s="16" t="s">
        <v>30</v>
      </c>
      <c r="B124" s="9" t="s">
        <v>4</v>
      </c>
      <c r="C124" s="74">
        <v>430</v>
      </c>
      <c r="D124" s="8">
        <f>IF(D$3="","",C124)</f>
        <v>430</v>
      </c>
      <c r="E124" s="8">
        <f>IF(E$3="","",D124)</f>
        <v>430</v>
      </c>
      <c r="F124" s="8">
        <v>434</v>
      </c>
      <c r="G124" s="59">
        <f>IF(G$3="","",F124)</f>
        <v>434</v>
      </c>
      <c r="H124" s="8">
        <f>IF(H$3="","",G124)</f>
        <v>434</v>
      </c>
      <c r="I124" s="8">
        <f>IF(I$3="","",H124)</f>
        <v>434</v>
      </c>
      <c r="J124" s="59">
        <f>IF(J$3="","",I124)</f>
        <v>434</v>
      </c>
      <c r="K124" s="8">
        <f>IF(K$3="","",J124)</f>
        <v>434</v>
      </c>
      <c r="L124" s="8">
        <v>436</v>
      </c>
      <c r="M124" s="59">
        <f t="shared" si="217"/>
        <v>436</v>
      </c>
      <c r="N124" s="8">
        <f t="shared" si="217"/>
        <v>436</v>
      </c>
      <c r="O124" s="8">
        <f t="shared" si="217"/>
        <v>436</v>
      </c>
      <c r="P124" s="8">
        <v>439</v>
      </c>
      <c r="Q124" s="59">
        <f>IF(Q$3="","",P124)</f>
        <v>439</v>
      </c>
      <c r="R124" s="8">
        <f>IF(R$3="","",Q124)</f>
        <v>439</v>
      </c>
      <c r="S124" s="8">
        <v>443</v>
      </c>
      <c r="T124" s="8">
        <f t="shared" ref="T124:AN124" si="220">IF(T$3="","",S124)</f>
        <v>443</v>
      </c>
      <c r="U124" s="8">
        <f t="shared" si="220"/>
        <v>443</v>
      </c>
      <c r="V124" s="8">
        <f t="shared" si="220"/>
        <v>443</v>
      </c>
      <c r="W124" s="8">
        <f t="shared" si="220"/>
        <v>443</v>
      </c>
      <c r="X124" s="8">
        <f t="shared" si="220"/>
        <v>443</v>
      </c>
      <c r="Y124" s="8">
        <f t="shared" si="220"/>
        <v>443</v>
      </c>
      <c r="Z124" s="8">
        <v>445</v>
      </c>
      <c r="AA124" s="8">
        <f t="shared" si="220"/>
        <v>445</v>
      </c>
      <c r="AB124" s="8">
        <f t="shared" si="220"/>
        <v>445</v>
      </c>
      <c r="AC124" s="8">
        <f t="shared" si="220"/>
        <v>445</v>
      </c>
      <c r="AD124" s="8">
        <f t="shared" si="220"/>
        <v>445</v>
      </c>
      <c r="AE124" s="8">
        <f t="shared" si="220"/>
        <v>445</v>
      </c>
      <c r="AF124" s="8">
        <f t="shared" si="220"/>
        <v>445</v>
      </c>
      <c r="AG124" s="8">
        <v>450</v>
      </c>
      <c r="AH124" s="8" t="str">
        <f t="shared" si="220"/>
        <v/>
      </c>
      <c r="AI124" s="8" t="str">
        <f t="shared" si="220"/>
        <v/>
      </c>
      <c r="AJ124" s="8" t="str">
        <f t="shared" si="220"/>
        <v/>
      </c>
      <c r="AK124" s="8" t="str">
        <f t="shared" si="220"/>
        <v/>
      </c>
      <c r="AL124" s="8" t="str">
        <f t="shared" si="220"/>
        <v/>
      </c>
      <c r="AM124" s="8" t="str">
        <f t="shared" si="220"/>
        <v/>
      </c>
      <c r="AN124" s="8" t="str">
        <f t="shared" si="220"/>
        <v/>
      </c>
      <c r="AO124" s="8" t="str">
        <f t="shared" ref="AO124:AS124" si="221">IF(AO$3="","",AN124)</f>
        <v/>
      </c>
      <c r="AP124" s="8" t="str">
        <f t="shared" si="221"/>
        <v/>
      </c>
      <c r="AQ124" s="8" t="str">
        <f t="shared" si="221"/>
        <v/>
      </c>
      <c r="AR124" s="8" t="str">
        <f t="shared" si="221"/>
        <v/>
      </c>
      <c r="AS124" s="8" t="str">
        <f t="shared" si="221"/>
        <v/>
      </c>
    </row>
    <row r="125" spans="1:45">
      <c r="A125" s="15">
        <v>4</v>
      </c>
      <c r="B125" s="9" t="s">
        <v>5</v>
      </c>
      <c r="C125" s="74">
        <v>93</v>
      </c>
      <c r="D125" s="8">
        <f>IF(D123="","",(C125+C126))</f>
        <v>93</v>
      </c>
      <c r="E125" s="8">
        <f>IF(E123="","",(D125+D126))</f>
        <v>93</v>
      </c>
      <c r="F125" s="8">
        <v>89</v>
      </c>
      <c r="G125" s="59">
        <f>IF(G123="","",(F125+F126))</f>
        <v>89</v>
      </c>
      <c r="H125" s="8">
        <f>IF(H123="","",(G125+G126))</f>
        <v>89</v>
      </c>
      <c r="I125" s="8">
        <f>IF(I123="","",(H125+H126))</f>
        <v>89</v>
      </c>
      <c r="J125" s="59">
        <f>IF(J123="","",(I125+I126))</f>
        <v>89</v>
      </c>
      <c r="K125" s="8">
        <f>IF(K123="","",(J125+J126))</f>
        <v>89</v>
      </c>
      <c r="L125" s="8">
        <v>87</v>
      </c>
      <c r="M125" s="59">
        <f>IF(M123="","",(L125+L126))</f>
        <v>87</v>
      </c>
      <c r="N125" s="8">
        <f>IF(N123="","",(M125+M126))</f>
        <v>87</v>
      </c>
      <c r="O125" s="8">
        <f>IF(O123="","",(N125+N126))</f>
        <v>87</v>
      </c>
      <c r="P125" s="8">
        <v>84</v>
      </c>
      <c r="Q125" s="59">
        <f>IF(Q123="","",(P125+P126))</f>
        <v>84</v>
      </c>
      <c r="R125" s="8">
        <f>IF(R123="","",(Q125+Q126))</f>
        <v>84</v>
      </c>
      <c r="S125" s="8">
        <v>80</v>
      </c>
      <c r="T125" s="8">
        <f t="shared" ref="T125:AN125" si="222">IF(T123="","",(S125+S126))</f>
        <v>80</v>
      </c>
      <c r="U125" s="8">
        <f t="shared" si="222"/>
        <v>80</v>
      </c>
      <c r="V125" s="8">
        <f t="shared" si="222"/>
        <v>80</v>
      </c>
      <c r="W125" s="8">
        <f t="shared" si="222"/>
        <v>80</v>
      </c>
      <c r="X125" s="8">
        <f t="shared" si="222"/>
        <v>80</v>
      </c>
      <c r="Y125" s="8">
        <f t="shared" si="222"/>
        <v>80</v>
      </c>
      <c r="Z125" s="8">
        <v>78</v>
      </c>
      <c r="AA125" s="8">
        <f t="shared" si="222"/>
        <v>78</v>
      </c>
      <c r="AB125" s="8">
        <f t="shared" si="222"/>
        <v>78</v>
      </c>
      <c r="AC125" s="8">
        <f t="shared" si="222"/>
        <v>78</v>
      </c>
      <c r="AD125" s="8">
        <f t="shared" si="222"/>
        <v>78</v>
      </c>
      <c r="AE125" s="8">
        <f t="shared" si="222"/>
        <v>5</v>
      </c>
      <c r="AF125" s="8">
        <f t="shared" si="222"/>
        <v>5</v>
      </c>
      <c r="AG125" s="8">
        <v>1</v>
      </c>
      <c r="AH125" s="8" t="str">
        <f t="shared" si="222"/>
        <v/>
      </c>
      <c r="AI125" s="8" t="str">
        <f t="shared" si="222"/>
        <v/>
      </c>
      <c r="AJ125" s="8" t="str">
        <f t="shared" si="222"/>
        <v/>
      </c>
      <c r="AK125" s="8" t="str">
        <f t="shared" si="222"/>
        <v/>
      </c>
      <c r="AL125" s="8" t="str">
        <f t="shared" si="222"/>
        <v/>
      </c>
      <c r="AM125" s="8" t="str">
        <f t="shared" si="222"/>
        <v/>
      </c>
      <c r="AN125" s="8" t="str">
        <f t="shared" si="222"/>
        <v/>
      </c>
      <c r="AO125" s="8" t="str">
        <f t="shared" ref="AO125:AS125" si="223">IF(AO123="","",(AN125+AN126))</f>
        <v/>
      </c>
      <c r="AP125" s="8" t="str">
        <f t="shared" si="223"/>
        <v/>
      </c>
      <c r="AQ125" s="8" t="str">
        <f t="shared" si="223"/>
        <v/>
      </c>
      <c r="AR125" s="8" t="str">
        <f t="shared" si="223"/>
        <v/>
      </c>
      <c r="AS125" s="8" t="str">
        <f t="shared" si="223"/>
        <v/>
      </c>
    </row>
    <row r="126" spans="1:45">
      <c r="A126" s="14"/>
      <c r="B126" s="9" t="s">
        <v>7</v>
      </c>
      <c r="C126" s="74"/>
      <c r="D126" s="8"/>
      <c r="E126" s="8"/>
      <c r="F126" s="8"/>
      <c r="G126" s="59"/>
      <c r="H126" s="8"/>
      <c r="I126" s="8"/>
      <c r="J126" s="59"/>
      <c r="K126" s="8"/>
      <c r="L126" s="8"/>
      <c r="M126" s="59"/>
      <c r="N126" s="8"/>
      <c r="O126" s="8"/>
      <c r="P126" s="8"/>
      <c r="Q126" s="59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>
        <v>-73</v>
      </c>
      <c r="AE126" s="8"/>
      <c r="AF126" s="8"/>
      <c r="AG126" s="8">
        <v>1</v>
      </c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</row>
    <row r="127" spans="1:45">
      <c r="A127" s="7"/>
      <c r="B127" s="9" t="s">
        <v>8</v>
      </c>
      <c r="C127" s="74">
        <v>200</v>
      </c>
      <c r="D127" s="8">
        <f t="shared" ref="D127:AN127" si="224">IF(D123="","",C127)</f>
        <v>200</v>
      </c>
      <c r="E127" s="8">
        <f t="shared" si="224"/>
        <v>200</v>
      </c>
      <c r="F127" s="8">
        <f t="shared" si="224"/>
        <v>200</v>
      </c>
      <c r="G127" s="59">
        <f t="shared" si="224"/>
        <v>200</v>
      </c>
      <c r="H127" s="8">
        <f t="shared" si="224"/>
        <v>200</v>
      </c>
      <c r="I127" s="8">
        <f t="shared" si="224"/>
        <v>200</v>
      </c>
      <c r="J127" s="59">
        <f t="shared" si="224"/>
        <v>200</v>
      </c>
      <c r="K127" s="8">
        <f t="shared" si="224"/>
        <v>200</v>
      </c>
      <c r="L127" s="8">
        <f t="shared" si="224"/>
        <v>200</v>
      </c>
      <c r="M127" s="59">
        <f t="shared" si="224"/>
        <v>200</v>
      </c>
      <c r="N127" s="8">
        <f t="shared" si="224"/>
        <v>200</v>
      </c>
      <c r="O127" s="8">
        <f t="shared" si="224"/>
        <v>200</v>
      </c>
      <c r="P127" s="8">
        <f t="shared" si="224"/>
        <v>200</v>
      </c>
      <c r="Q127" s="59">
        <f t="shared" si="224"/>
        <v>200</v>
      </c>
      <c r="R127" s="8">
        <f t="shared" si="224"/>
        <v>200</v>
      </c>
      <c r="S127" s="8">
        <f t="shared" si="224"/>
        <v>200</v>
      </c>
      <c r="T127" s="8">
        <f t="shared" si="224"/>
        <v>200</v>
      </c>
      <c r="U127" s="8">
        <f t="shared" si="224"/>
        <v>200</v>
      </c>
      <c r="V127" s="8">
        <f t="shared" si="224"/>
        <v>200</v>
      </c>
      <c r="W127" s="8">
        <f t="shared" si="224"/>
        <v>200</v>
      </c>
      <c r="X127" s="8">
        <f t="shared" si="224"/>
        <v>200</v>
      </c>
      <c r="Y127" s="8">
        <f t="shared" si="224"/>
        <v>200</v>
      </c>
      <c r="Z127" s="8">
        <f t="shared" si="224"/>
        <v>200</v>
      </c>
      <c r="AA127" s="8">
        <f t="shared" si="224"/>
        <v>200</v>
      </c>
      <c r="AB127" s="8">
        <f t="shared" si="224"/>
        <v>200</v>
      </c>
      <c r="AC127" s="8">
        <f t="shared" si="224"/>
        <v>200</v>
      </c>
      <c r="AD127" s="8">
        <f t="shared" si="224"/>
        <v>200</v>
      </c>
      <c r="AE127" s="8">
        <f t="shared" si="224"/>
        <v>200</v>
      </c>
      <c r="AF127" s="8">
        <f t="shared" si="224"/>
        <v>200</v>
      </c>
      <c r="AG127" s="8">
        <f t="shared" si="224"/>
        <v>200</v>
      </c>
      <c r="AH127" s="8" t="str">
        <f t="shared" si="224"/>
        <v/>
      </c>
      <c r="AI127" s="8" t="str">
        <f t="shared" si="224"/>
        <v/>
      </c>
      <c r="AJ127" s="8" t="str">
        <f t="shared" si="224"/>
        <v/>
      </c>
      <c r="AK127" s="8" t="str">
        <f t="shared" si="224"/>
        <v/>
      </c>
      <c r="AL127" s="8" t="str">
        <f t="shared" si="224"/>
        <v/>
      </c>
      <c r="AM127" s="8" t="str">
        <f t="shared" si="224"/>
        <v/>
      </c>
      <c r="AN127" s="8" t="str">
        <f t="shared" si="224"/>
        <v/>
      </c>
      <c r="AO127" s="8" t="str">
        <f t="shared" ref="AO127:AS127" si="225">IF(AO123="","",AN127)</f>
        <v/>
      </c>
      <c r="AP127" s="8" t="str">
        <f t="shared" si="225"/>
        <v/>
      </c>
      <c r="AQ127" s="8" t="str">
        <f t="shared" si="225"/>
        <v/>
      </c>
      <c r="AR127" s="8" t="str">
        <f t="shared" si="225"/>
        <v/>
      </c>
      <c r="AS127" s="8" t="str">
        <f t="shared" si="225"/>
        <v/>
      </c>
    </row>
    <row r="128" spans="1:45" s="94" customFormat="1">
      <c r="A128" s="14" t="s">
        <v>9</v>
      </c>
      <c r="B128" s="13" t="s">
        <v>10</v>
      </c>
      <c r="C128" s="75" t="s">
        <v>91</v>
      </c>
      <c r="D128" s="12" t="str">
        <f t="shared" ref="D128:AN128" si="226">IF(D123="","",C128)</f>
        <v>プチFG</v>
      </c>
      <c r="E128" s="12" t="str">
        <f t="shared" si="226"/>
        <v>プチFG</v>
      </c>
      <c r="F128" s="12" t="str">
        <f t="shared" si="226"/>
        <v>プチFG</v>
      </c>
      <c r="G128" s="131" t="str">
        <f t="shared" si="226"/>
        <v>プチFG</v>
      </c>
      <c r="H128" s="12" t="str">
        <f t="shared" si="226"/>
        <v>プチFG</v>
      </c>
      <c r="I128" s="12" t="str">
        <f t="shared" si="226"/>
        <v>プチFG</v>
      </c>
      <c r="J128" s="131" t="str">
        <f t="shared" si="226"/>
        <v>プチFG</v>
      </c>
      <c r="K128" s="12" t="str">
        <f t="shared" si="226"/>
        <v>プチFG</v>
      </c>
      <c r="L128" s="12" t="str">
        <f t="shared" si="226"/>
        <v>プチFG</v>
      </c>
      <c r="M128" s="131" t="str">
        <f t="shared" si="226"/>
        <v>プチFG</v>
      </c>
      <c r="N128" s="12" t="str">
        <f t="shared" si="226"/>
        <v>プチFG</v>
      </c>
      <c r="O128" s="12" t="str">
        <f t="shared" si="226"/>
        <v>プチFG</v>
      </c>
      <c r="P128" s="12" t="str">
        <f t="shared" si="226"/>
        <v>プチFG</v>
      </c>
      <c r="Q128" s="131" t="str">
        <f t="shared" si="226"/>
        <v>プチFG</v>
      </c>
      <c r="R128" s="12" t="str">
        <f t="shared" si="226"/>
        <v>プチFG</v>
      </c>
      <c r="S128" s="12" t="str">
        <f t="shared" si="226"/>
        <v>プチFG</v>
      </c>
      <c r="T128" s="12" t="str">
        <f t="shared" si="226"/>
        <v>プチFG</v>
      </c>
      <c r="U128" s="12" t="str">
        <f t="shared" si="226"/>
        <v>プチFG</v>
      </c>
      <c r="V128" s="12" t="str">
        <f t="shared" si="226"/>
        <v>プチFG</v>
      </c>
      <c r="W128" s="12" t="str">
        <f t="shared" si="226"/>
        <v>プチFG</v>
      </c>
      <c r="X128" s="12" t="str">
        <f t="shared" si="226"/>
        <v>プチFG</v>
      </c>
      <c r="Y128" s="12" t="str">
        <f t="shared" si="226"/>
        <v>プチFG</v>
      </c>
      <c r="Z128" s="12" t="str">
        <f t="shared" si="226"/>
        <v>プチFG</v>
      </c>
      <c r="AA128" s="12" t="str">
        <f t="shared" si="226"/>
        <v>プチFG</v>
      </c>
      <c r="AB128" s="12" t="str">
        <f t="shared" si="226"/>
        <v>プチFG</v>
      </c>
      <c r="AC128" s="12" t="str">
        <f t="shared" si="226"/>
        <v>プチFG</v>
      </c>
      <c r="AD128" s="12" t="s">
        <v>410</v>
      </c>
      <c r="AE128" s="12" t="str">
        <f t="shared" si="226"/>
        <v>バタースクイーズ</v>
      </c>
      <c r="AF128" s="12" t="str">
        <f t="shared" si="226"/>
        <v>バタースクイーズ</v>
      </c>
      <c r="AG128" s="12" t="str">
        <f t="shared" si="226"/>
        <v>バタースクイーズ</v>
      </c>
      <c r="AH128" s="12" t="str">
        <f t="shared" si="226"/>
        <v/>
      </c>
      <c r="AI128" s="12" t="str">
        <f t="shared" si="226"/>
        <v/>
      </c>
      <c r="AJ128" s="12" t="str">
        <f t="shared" si="226"/>
        <v/>
      </c>
      <c r="AK128" s="12" t="str">
        <f t="shared" si="226"/>
        <v/>
      </c>
      <c r="AL128" s="12" t="str">
        <f t="shared" si="226"/>
        <v/>
      </c>
      <c r="AM128" s="12" t="str">
        <f t="shared" si="226"/>
        <v/>
      </c>
      <c r="AN128" s="12" t="str">
        <f t="shared" si="226"/>
        <v/>
      </c>
      <c r="AO128" s="12" t="str">
        <f t="shared" ref="AO128:AS128" si="227">IF(AO123="","",AN128)</f>
        <v/>
      </c>
      <c r="AP128" s="12" t="str">
        <f t="shared" si="227"/>
        <v/>
      </c>
      <c r="AQ128" s="12" t="str">
        <f t="shared" si="227"/>
        <v/>
      </c>
      <c r="AR128" s="12" t="str">
        <f t="shared" si="227"/>
        <v/>
      </c>
      <c r="AS128" s="12" t="str">
        <f t="shared" si="227"/>
        <v/>
      </c>
    </row>
    <row r="129" spans="1:45">
      <c r="A129" s="7">
        <f>AVERAGE(C130:AS130)*30*100</f>
        <v>47903.225806451606</v>
      </c>
      <c r="B129" s="9" t="s">
        <v>14</v>
      </c>
      <c r="C129" s="74"/>
      <c r="D129" s="8"/>
      <c r="E129" s="8"/>
      <c r="F129" s="8"/>
      <c r="G129" s="59"/>
      <c r="H129" s="8"/>
      <c r="I129" s="8"/>
      <c r="J129" s="59"/>
      <c r="K129" s="8"/>
      <c r="L129" s="8"/>
      <c r="M129" s="59"/>
      <c r="N129" s="8"/>
      <c r="O129" s="8"/>
      <c r="P129" s="8"/>
      <c r="Q129" s="59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</row>
    <row r="130" spans="1:45">
      <c r="A130" s="7">
        <f>SUM(C130:AS130)</f>
        <v>495</v>
      </c>
      <c r="B130" s="6"/>
      <c r="C130" s="74">
        <v>0</v>
      </c>
      <c r="D130" s="5">
        <f t="shared" ref="D130:AN130" si="228">IF(D123="","",D123-C123)</f>
        <v>0</v>
      </c>
      <c r="E130" s="5">
        <f t="shared" si="228"/>
        <v>0</v>
      </c>
      <c r="F130" s="5">
        <f t="shared" si="228"/>
        <v>56</v>
      </c>
      <c r="G130" s="59">
        <f t="shared" si="228"/>
        <v>0</v>
      </c>
      <c r="H130" s="5">
        <f t="shared" si="228"/>
        <v>0</v>
      </c>
      <c r="I130" s="5">
        <f t="shared" si="228"/>
        <v>7</v>
      </c>
      <c r="J130" s="59">
        <f t="shared" si="228"/>
        <v>0</v>
      </c>
      <c r="K130" s="5">
        <f t="shared" si="228"/>
        <v>0</v>
      </c>
      <c r="L130" s="5">
        <f t="shared" si="228"/>
        <v>101</v>
      </c>
      <c r="M130" s="59">
        <f t="shared" si="228"/>
        <v>0</v>
      </c>
      <c r="N130" s="5">
        <f t="shared" si="228"/>
        <v>0</v>
      </c>
      <c r="O130" s="5">
        <f t="shared" si="228"/>
        <v>0</v>
      </c>
      <c r="P130" s="5">
        <f t="shared" si="228"/>
        <v>68</v>
      </c>
      <c r="Q130" s="59">
        <f t="shared" si="228"/>
        <v>0</v>
      </c>
      <c r="R130" s="5">
        <f t="shared" si="228"/>
        <v>0</v>
      </c>
      <c r="S130" s="5">
        <f t="shared" si="228"/>
        <v>89</v>
      </c>
      <c r="T130" s="5">
        <f t="shared" si="228"/>
        <v>0</v>
      </c>
      <c r="U130" s="5">
        <f t="shared" si="228"/>
        <v>0</v>
      </c>
      <c r="V130" s="5">
        <f t="shared" si="228"/>
        <v>0</v>
      </c>
      <c r="W130" s="5">
        <f t="shared" si="228"/>
        <v>15</v>
      </c>
      <c r="X130" s="5">
        <f t="shared" si="228"/>
        <v>0</v>
      </c>
      <c r="Y130" s="5">
        <f t="shared" si="228"/>
        <v>0</v>
      </c>
      <c r="Z130" s="5">
        <f t="shared" si="228"/>
        <v>24</v>
      </c>
      <c r="AA130" s="5">
        <f t="shared" si="228"/>
        <v>0</v>
      </c>
      <c r="AB130" s="5">
        <f t="shared" si="228"/>
        <v>0</v>
      </c>
      <c r="AC130" s="5">
        <f t="shared" si="228"/>
        <v>0</v>
      </c>
      <c r="AD130" s="5">
        <f t="shared" si="228"/>
        <v>5</v>
      </c>
      <c r="AE130" s="5">
        <f t="shared" si="228"/>
        <v>0</v>
      </c>
      <c r="AF130" s="5">
        <f t="shared" si="228"/>
        <v>0</v>
      </c>
      <c r="AG130" s="5">
        <f t="shared" si="228"/>
        <v>130</v>
      </c>
      <c r="AH130" s="5" t="str">
        <f t="shared" si="228"/>
        <v/>
      </c>
      <c r="AI130" s="5" t="str">
        <f t="shared" si="228"/>
        <v/>
      </c>
      <c r="AJ130" s="5" t="str">
        <f t="shared" si="228"/>
        <v/>
      </c>
      <c r="AK130" s="5" t="str">
        <f t="shared" si="228"/>
        <v/>
      </c>
      <c r="AL130" s="5" t="str">
        <f t="shared" si="228"/>
        <v/>
      </c>
      <c r="AM130" s="5" t="str">
        <f t="shared" si="228"/>
        <v/>
      </c>
      <c r="AN130" s="5" t="str">
        <f t="shared" si="228"/>
        <v/>
      </c>
      <c r="AO130" s="5" t="str">
        <f t="shared" ref="AO130:AS130" si="229">IF(AO123="","",AO123-AN123)</f>
        <v/>
      </c>
      <c r="AP130" s="5" t="str">
        <f t="shared" si="229"/>
        <v/>
      </c>
      <c r="AQ130" s="5" t="str">
        <f t="shared" si="229"/>
        <v/>
      </c>
      <c r="AR130" s="5" t="str">
        <f t="shared" si="229"/>
        <v/>
      </c>
      <c r="AS130" s="5" t="str">
        <f t="shared" si="229"/>
        <v/>
      </c>
    </row>
    <row r="131" spans="1:45">
      <c r="A131" s="7">
        <f>SUM(C131:AS131)</f>
        <v>20</v>
      </c>
      <c r="B131" s="6"/>
      <c r="C131" s="74">
        <v>0</v>
      </c>
      <c r="D131" s="5">
        <f t="shared" ref="D131:AN131" si="230">IF(D124="","",D124-C124)</f>
        <v>0</v>
      </c>
      <c r="E131" s="5">
        <f t="shared" si="230"/>
        <v>0</v>
      </c>
      <c r="F131" s="5">
        <f t="shared" si="230"/>
        <v>4</v>
      </c>
      <c r="G131" s="59">
        <f t="shared" si="230"/>
        <v>0</v>
      </c>
      <c r="H131" s="5">
        <f t="shared" si="230"/>
        <v>0</v>
      </c>
      <c r="I131" s="5">
        <f t="shared" si="230"/>
        <v>0</v>
      </c>
      <c r="J131" s="59">
        <f t="shared" si="230"/>
        <v>0</v>
      </c>
      <c r="K131" s="5">
        <f t="shared" si="230"/>
        <v>0</v>
      </c>
      <c r="L131" s="5">
        <f t="shared" si="230"/>
        <v>2</v>
      </c>
      <c r="M131" s="59">
        <f t="shared" si="230"/>
        <v>0</v>
      </c>
      <c r="N131" s="5">
        <f t="shared" si="230"/>
        <v>0</v>
      </c>
      <c r="O131" s="5">
        <f t="shared" si="230"/>
        <v>0</v>
      </c>
      <c r="P131" s="5">
        <f t="shared" si="230"/>
        <v>3</v>
      </c>
      <c r="Q131" s="59">
        <f t="shared" si="230"/>
        <v>0</v>
      </c>
      <c r="R131" s="5">
        <f t="shared" si="230"/>
        <v>0</v>
      </c>
      <c r="S131" s="5">
        <f t="shared" si="230"/>
        <v>4</v>
      </c>
      <c r="T131" s="5">
        <f t="shared" si="230"/>
        <v>0</v>
      </c>
      <c r="U131" s="5">
        <f t="shared" si="230"/>
        <v>0</v>
      </c>
      <c r="V131" s="5">
        <f t="shared" si="230"/>
        <v>0</v>
      </c>
      <c r="W131" s="5">
        <f t="shared" si="230"/>
        <v>0</v>
      </c>
      <c r="X131" s="5">
        <f t="shared" si="230"/>
        <v>0</v>
      </c>
      <c r="Y131" s="5">
        <f t="shared" si="230"/>
        <v>0</v>
      </c>
      <c r="Z131" s="5">
        <f t="shared" si="230"/>
        <v>2</v>
      </c>
      <c r="AA131" s="5">
        <f t="shared" si="230"/>
        <v>0</v>
      </c>
      <c r="AB131" s="5">
        <f t="shared" si="230"/>
        <v>0</v>
      </c>
      <c r="AC131" s="5">
        <f t="shared" si="230"/>
        <v>0</v>
      </c>
      <c r="AD131" s="5">
        <f t="shared" si="230"/>
        <v>0</v>
      </c>
      <c r="AE131" s="5">
        <f t="shared" si="230"/>
        <v>0</v>
      </c>
      <c r="AF131" s="5">
        <f t="shared" si="230"/>
        <v>0</v>
      </c>
      <c r="AG131" s="5">
        <f t="shared" si="230"/>
        <v>5</v>
      </c>
      <c r="AH131" s="5" t="str">
        <f t="shared" si="230"/>
        <v/>
      </c>
      <c r="AI131" s="5" t="str">
        <f t="shared" si="230"/>
        <v/>
      </c>
      <c r="AJ131" s="5" t="str">
        <f t="shared" si="230"/>
        <v/>
      </c>
      <c r="AK131" s="5" t="str">
        <f t="shared" si="230"/>
        <v/>
      </c>
      <c r="AL131" s="5" t="str">
        <f t="shared" si="230"/>
        <v/>
      </c>
      <c r="AM131" s="5" t="str">
        <f t="shared" si="230"/>
        <v/>
      </c>
      <c r="AN131" s="5" t="str">
        <f t="shared" si="230"/>
        <v/>
      </c>
      <c r="AO131" s="5" t="str">
        <f t="shared" ref="AO131:AS131" si="231">IF(AO124="","",AO124-AN124)</f>
        <v/>
      </c>
      <c r="AP131" s="5" t="str">
        <f t="shared" si="231"/>
        <v/>
      </c>
      <c r="AQ131" s="5" t="str">
        <f t="shared" si="231"/>
        <v/>
      </c>
      <c r="AR131" s="5" t="str">
        <f t="shared" si="231"/>
        <v/>
      </c>
      <c r="AS131" s="5" t="str">
        <f t="shared" si="231"/>
        <v/>
      </c>
    </row>
    <row r="132" spans="1:45">
      <c r="A132" s="7">
        <f>SUM(C132:AS132)</f>
        <v>19</v>
      </c>
      <c r="B132" s="6"/>
      <c r="C132" s="74">
        <v>0</v>
      </c>
      <c r="D132" s="5">
        <f t="shared" ref="D132:AN132" si="232">IF(D125="","",C125+C126-D125)</f>
        <v>0</v>
      </c>
      <c r="E132" s="5">
        <f t="shared" si="232"/>
        <v>0</v>
      </c>
      <c r="F132" s="5">
        <f t="shared" si="232"/>
        <v>4</v>
      </c>
      <c r="G132" s="59">
        <f t="shared" si="232"/>
        <v>0</v>
      </c>
      <c r="H132" s="5">
        <f t="shared" si="232"/>
        <v>0</v>
      </c>
      <c r="I132" s="5">
        <f t="shared" si="232"/>
        <v>0</v>
      </c>
      <c r="J132" s="59">
        <f t="shared" si="232"/>
        <v>0</v>
      </c>
      <c r="K132" s="5">
        <f t="shared" si="232"/>
        <v>0</v>
      </c>
      <c r="L132" s="5">
        <f t="shared" si="232"/>
        <v>2</v>
      </c>
      <c r="M132" s="59">
        <f t="shared" si="232"/>
        <v>0</v>
      </c>
      <c r="N132" s="5">
        <f t="shared" si="232"/>
        <v>0</v>
      </c>
      <c r="O132" s="5">
        <f t="shared" si="232"/>
        <v>0</v>
      </c>
      <c r="P132" s="5">
        <f t="shared" si="232"/>
        <v>3</v>
      </c>
      <c r="Q132" s="59">
        <f t="shared" si="232"/>
        <v>0</v>
      </c>
      <c r="R132" s="5">
        <f t="shared" si="232"/>
        <v>0</v>
      </c>
      <c r="S132" s="5">
        <f t="shared" si="232"/>
        <v>4</v>
      </c>
      <c r="T132" s="5">
        <f t="shared" si="232"/>
        <v>0</v>
      </c>
      <c r="U132" s="5">
        <f t="shared" si="232"/>
        <v>0</v>
      </c>
      <c r="V132" s="5">
        <f t="shared" si="232"/>
        <v>0</v>
      </c>
      <c r="W132" s="5">
        <f t="shared" si="232"/>
        <v>0</v>
      </c>
      <c r="X132" s="5">
        <f t="shared" si="232"/>
        <v>0</v>
      </c>
      <c r="Y132" s="5">
        <f t="shared" si="232"/>
        <v>0</v>
      </c>
      <c r="Z132" s="5">
        <f t="shared" si="232"/>
        <v>2</v>
      </c>
      <c r="AA132" s="5">
        <f t="shared" si="232"/>
        <v>0</v>
      </c>
      <c r="AB132" s="5">
        <f t="shared" si="232"/>
        <v>0</v>
      </c>
      <c r="AC132" s="5">
        <f t="shared" si="232"/>
        <v>0</v>
      </c>
      <c r="AD132" s="5">
        <f t="shared" si="232"/>
        <v>0</v>
      </c>
      <c r="AE132" s="5">
        <f t="shared" si="232"/>
        <v>0</v>
      </c>
      <c r="AF132" s="5">
        <f t="shared" si="232"/>
        <v>0</v>
      </c>
      <c r="AG132" s="5">
        <f t="shared" si="232"/>
        <v>4</v>
      </c>
      <c r="AH132" s="5" t="str">
        <f t="shared" si="232"/>
        <v/>
      </c>
      <c r="AI132" s="5" t="str">
        <f t="shared" si="232"/>
        <v/>
      </c>
      <c r="AJ132" s="5" t="str">
        <f t="shared" si="232"/>
        <v/>
      </c>
      <c r="AK132" s="5" t="str">
        <f t="shared" si="232"/>
        <v/>
      </c>
      <c r="AL132" s="5" t="str">
        <f t="shared" si="232"/>
        <v/>
      </c>
      <c r="AM132" s="5" t="str">
        <f t="shared" si="232"/>
        <v/>
      </c>
      <c r="AN132" s="5" t="str">
        <f t="shared" si="232"/>
        <v/>
      </c>
      <c r="AO132" s="5" t="str">
        <f t="shared" ref="AO132:AS132" si="233">IF(AO125="","",AN125+AN126-AO125)</f>
        <v/>
      </c>
      <c r="AP132" s="5" t="str">
        <f t="shared" si="233"/>
        <v/>
      </c>
      <c r="AQ132" s="5" t="str">
        <f t="shared" si="233"/>
        <v/>
      </c>
      <c r="AR132" s="5" t="str">
        <f t="shared" si="233"/>
        <v/>
      </c>
      <c r="AS132" s="5" t="str">
        <f t="shared" si="233"/>
        <v/>
      </c>
    </row>
    <row r="133" spans="1:45">
      <c r="A133" s="7">
        <f>SUM(C133:AS133)</f>
        <v>3800</v>
      </c>
      <c r="B133" s="6"/>
      <c r="C133" s="74">
        <v>0</v>
      </c>
      <c r="D133" s="5">
        <f t="shared" ref="D133:AN133" si="234">IF(D123="","",D132*D127)</f>
        <v>0</v>
      </c>
      <c r="E133" s="5">
        <f t="shared" si="234"/>
        <v>0</v>
      </c>
      <c r="F133" s="5">
        <f t="shared" si="234"/>
        <v>800</v>
      </c>
      <c r="G133" s="59">
        <f t="shared" si="234"/>
        <v>0</v>
      </c>
      <c r="H133" s="5">
        <f t="shared" si="234"/>
        <v>0</v>
      </c>
      <c r="I133" s="5">
        <f t="shared" si="234"/>
        <v>0</v>
      </c>
      <c r="J133" s="59">
        <f t="shared" si="234"/>
        <v>0</v>
      </c>
      <c r="K133" s="5">
        <f t="shared" si="234"/>
        <v>0</v>
      </c>
      <c r="L133" s="5">
        <f t="shared" si="234"/>
        <v>400</v>
      </c>
      <c r="M133" s="59">
        <f t="shared" si="234"/>
        <v>0</v>
      </c>
      <c r="N133" s="5">
        <f t="shared" si="234"/>
        <v>0</v>
      </c>
      <c r="O133" s="5">
        <f t="shared" si="234"/>
        <v>0</v>
      </c>
      <c r="P133" s="5">
        <f t="shared" si="234"/>
        <v>600</v>
      </c>
      <c r="Q133" s="59">
        <f t="shared" si="234"/>
        <v>0</v>
      </c>
      <c r="R133" s="5">
        <f t="shared" si="234"/>
        <v>0</v>
      </c>
      <c r="S133" s="5">
        <f t="shared" si="234"/>
        <v>800</v>
      </c>
      <c r="T133" s="5">
        <f t="shared" si="234"/>
        <v>0</v>
      </c>
      <c r="U133" s="5">
        <f t="shared" si="234"/>
        <v>0</v>
      </c>
      <c r="V133" s="5">
        <f t="shared" si="234"/>
        <v>0</v>
      </c>
      <c r="W133" s="5">
        <f t="shared" si="234"/>
        <v>0</v>
      </c>
      <c r="X133" s="5">
        <f t="shared" si="234"/>
        <v>0</v>
      </c>
      <c r="Y133" s="5">
        <f t="shared" si="234"/>
        <v>0</v>
      </c>
      <c r="Z133" s="5">
        <f t="shared" si="234"/>
        <v>400</v>
      </c>
      <c r="AA133" s="5">
        <f t="shared" si="234"/>
        <v>0</v>
      </c>
      <c r="AB133" s="5">
        <f t="shared" si="234"/>
        <v>0</v>
      </c>
      <c r="AC133" s="5">
        <f t="shared" si="234"/>
        <v>0</v>
      </c>
      <c r="AD133" s="5">
        <f t="shared" si="234"/>
        <v>0</v>
      </c>
      <c r="AE133" s="5">
        <f t="shared" si="234"/>
        <v>0</v>
      </c>
      <c r="AF133" s="5">
        <f t="shared" si="234"/>
        <v>0</v>
      </c>
      <c r="AG133" s="5">
        <f t="shared" si="234"/>
        <v>800</v>
      </c>
      <c r="AH133" s="5" t="str">
        <f t="shared" si="234"/>
        <v/>
      </c>
      <c r="AI133" s="5" t="str">
        <f t="shared" si="234"/>
        <v/>
      </c>
      <c r="AJ133" s="5" t="str">
        <f t="shared" si="234"/>
        <v/>
      </c>
      <c r="AK133" s="5" t="str">
        <f t="shared" si="234"/>
        <v/>
      </c>
      <c r="AL133" s="5" t="str">
        <f t="shared" si="234"/>
        <v/>
      </c>
      <c r="AM133" s="5" t="str">
        <f t="shared" si="234"/>
        <v/>
      </c>
      <c r="AN133" s="5" t="str">
        <f t="shared" si="234"/>
        <v/>
      </c>
      <c r="AO133" s="5" t="str">
        <f t="shared" ref="AO133:AS133" si="235">IF(AO123="","",AO132*AO127)</f>
        <v/>
      </c>
      <c r="AP133" s="5" t="str">
        <f t="shared" si="235"/>
        <v/>
      </c>
      <c r="AQ133" s="5" t="str">
        <f t="shared" si="235"/>
        <v/>
      </c>
      <c r="AR133" s="5" t="str">
        <f t="shared" si="235"/>
        <v/>
      </c>
      <c r="AS133" s="5" t="str">
        <f t="shared" si="235"/>
        <v/>
      </c>
    </row>
    <row r="134" spans="1:45" ht="12" thickBot="1">
      <c r="A134" s="4">
        <f>IF(A133="","",A133/(A130*100))</f>
        <v>7.6767676767676762E-2</v>
      </c>
      <c r="B134" s="3"/>
      <c r="C134" s="77" t="s">
        <v>21</v>
      </c>
      <c r="D134" s="2" t="str">
        <f t="shared" ref="D134:AN134" si="236">IF(D133="","",IF(D133=0,"",D133/(D130*100)))</f>
        <v/>
      </c>
      <c r="E134" s="2" t="str">
        <f t="shared" si="236"/>
        <v/>
      </c>
      <c r="F134" s="2">
        <f t="shared" si="236"/>
        <v>0.14285714285714285</v>
      </c>
      <c r="G134" s="57" t="str">
        <f t="shared" si="236"/>
        <v/>
      </c>
      <c r="H134" s="2" t="str">
        <f t="shared" si="236"/>
        <v/>
      </c>
      <c r="I134" s="2" t="str">
        <f t="shared" si="236"/>
        <v/>
      </c>
      <c r="J134" s="57" t="str">
        <f t="shared" si="236"/>
        <v/>
      </c>
      <c r="K134" s="2" t="str">
        <f t="shared" si="236"/>
        <v/>
      </c>
      <c r="L134" s="2">
        <f t="shared" si="236"/>
        <v>3.9603960396039604E-2</v>
      </c>
      <c r="M134" s="57" t="str">
        <f t="shared" si="236"/>
        <v/>
      </c>
      <c r="N134" s="2" t="str">
        <f t="shared" si="236"/>
        <v/>
      </c>
      <c r="O134" s="2" t="str">
        <f t="shared" si="236"/>
        <v/>
      </c>
      <c r="P134" s="2">
        <f t="shared" si="236"/>
        <v>8.8235294117647065E-2</v>
      </c>
      <c r="Q134" s="57" t="str">
        <f t="shared" si="236"/>
        <v/>
      </c>
      <c r="R134" s="2" t="str">
        <f t="shared" si="236"/>
        <v/>
      </c>
      <c r="S134" s="2">
        <f t="shared" si="236"/>
        <v>8.98876404494382E-2</v>
      </c>
      <c r="T134" s="2" t="str">
        <f t="shared" si="236"/>
        <v/>
      </c>
      <c r="U134" s="2" t="str">
        <f t="shared" si="236"/>
        <v/>
      </c>
      <c r="V134" s="2" t="str">
        <f t="shared" si="236"/>
        <v/>
      </c>
      <c r="W134" s="2" t="str">
        <f t="shared" si="236"/>
        <v/>
      </c>
      <c r="X134" s="2" t="str">
        <f t="shared" si="236"/>
        <v/>
      </c>
      <c r="Y134" s="2" t="str">
        <f t="shared" si="236"/>
        <v/>
      </c>
      <c r="Z134" s="2">
        <f t="shared" si="236"/>
        <v>0.16666666666666666</v>
      </c>
      <c r="AA134" s="2" t="str">
        <f t="shared" si="236"/>
        <v/>
      </c>
      <c r="AB134" s="2" t="str">
        <f t="shared" si="236"/>
        <v/>
      </c>
      <c r="AC134" s="2" t="str">
        <f t="shared" si="236"/>
        <v/>
      </c>
      <c r="AD134" s="2" t="str">
        <f t="shared" si="236"/>
        <v/>
      </c>
      <c r="AE134" s="2" t="str">
        <f t="shared" si="236"/>
        <v/>
      </c>
      <c r="AF134" s="2" t="str">
        <f t="shared" si="236"/>
        <v/>
      </c>
      <c r="AG134" s="2">
        <f t="shared" si="236"/>
        <v>6.1538461538461542E-2</v>
      </c>
      <c r="AH134" s="2" t="str">
        <f t="shared" si="236"/>
        <v/>
      </c>
      <c r="AI134" s="2" t="str">
        <f t="shared" si="236"/>
        <v/>
      </c>
      <c r="AJ134" s="2" t="str">
        <f t="shared" si="236"/>
        <v/>
      </c>
      <c r="AK134" s="2" t="str">
        <f t="shared" si="236"/>
        <v/>
      </c>
      <c r="AL134" s="2" t="str">
        <f t="shared" si="236"/>
        <v/>
      </c>
      <c r="AM134" s="2" t="str">
        <f t="shared" si="236"/>
        <v/>
      </c>
      <c r="AN134" s="2" t="str">
        <f t="shared" si="236"/>
        <v/>
      </c>
      <c r="AO134" s="2" t="str">
        <f t="shared" ref="AO134:AS134" si="237">IF(AO133="","",IF(AO133=0,"",AO133/(AO130*100)))</f>
        <v/>
      </c>
      <c r="AP134" s="2" t="str">
        <f t="shared" si="237"/>
        <v/>
      </c>
      <c r="AQ134" s="2" t="str">
        <f t="shared" si="237"/>
        <v/>
      </c>
      <c r="AR134" s="2" t="str">
        <f t="shared" si="237"/>
        <v/>
      </c>
      <c r="AS134" s="2" t="str">
        <f t="shared" si="237"/>
        <v/>
      </c>
    </row>
    <row r="135" spans="1:45">
      <c r="A135" s="22" t="s">
        <v>78</v>
      </c>
      <c r="B135" s="21" t="s">
        <v>2</v>
      </c>
      <c r="C135" s="73">
        <v>9033</v>
      </c>
      <c r="D135" s="20">
        <f>IF(D$3="","",C135)</f>
        <v>9033</v>
      </c>
      <c r="E135" s="20">
        <f>IF(E$3="","",D135)</f>
        <v>9033</v>
      </c>
      <c r="F135" s="20">
        <v>9097</v>
      </c>
      <c r="G135" s="130">
        <f>IF(G$3="","",F135)</f>
        <v>9097</v>
      </c>
      <c r="H135" s="20">
        <f>IF(H$3="","",G135)</f>
        <v>9097</v>
      </c>
      <c r="I135" s="20">
        <v>9101</v>
      </c>
      <c r="J135" s="130">
        <f>IF(J$3="","",I135)</f>
        <v>9101</v>
      </c>
      <c r="K135" s="20">
        <f>IF(K$3="","",J135)</f>
        <v>9101</v>
      </c>
      <c r="L135" s="20">
        <v>9140</v>
      </c>
      <c r="M135" s="130">
        <f t="shared" ref="M135:O136" si="238">IF(M$3="","",L135)</f>
        <v>9140</v>
      </c>
      <c r="N135" s="20">
        <f t="shared" si="238"/>
        <v>9140</v>
      </c>
      <c r="O135" s="20">
        <f t="shared" si="238"/>
        <v>9140</v>
      </c>
      <c r="P135" s="20">
        <v>9174</v>
      </c>
      <c r="Q135" s="130">
        <f>IF(Q$3="","",P135)</f>
        <v>9174</v>
      </c>
      <c r="R135" s="20">
        <f>IF(R$3="","",Q135)</f>
        <v>9174</v>
      </c>
      <c r="S135" s="20">
        <v>9246</v>
      </c>
      <c r="T135" s="20">
        <f t="shared" ref="T135:AN135" si="239">IF(T$3="","",S135)</f>
        <v>9246</v>
      </c>
      <c r="U135" s="20">
        <f t="shared" si="239"/>
        <v>9246</v>
      </c>
      <c r="V135" s="20">
        <f t="shared" si="239"/>
        <v>9246</v>
      </c>
      <c r="W135" s="20">
        <v>9305</v>
      </c>
      <c r="X135" s="20">
        <f t="shared" si="239"/>
        <v>9305</v>
      </c>
      <c r="Y135" s="20">
        <f t="shared" si="239"/>
        <v>9305</v>
      </c>
      <c r="Z135" s="20">
        <v>9329</v>
      </c>
      <c r="AA135" s="20">
        <f t="shared" si="239"/>
        <v>9329</v>
      </c>
      <c r="AB135" s="20">
        <f t="shared" si="239"/>
        <v>9329</v>
      </c>
      <c r="AC135" s="20">
        <f t="shared" si="239"/>
        <v>9329</v>
      </c>
      <c r="AD135" s="20">
        <v>9353</v>
      </c>
      <c r="AE135" s="20">
        <f t="shared" si="239"/>
        <v>9353</v>
      </c>
      <c r="AF135" s="20">
        <f t="shared" si="239"/>
        <v>9353</v>
      </c>
      <c r="AG135" s="20">
        <v>9376</v>
      </c>
      <c r="AH135" s="20" t="str">
        <f t="shared" si="239"/>
        <v/>
      </c>
      <c r="AI135" s="20" t="str">
        <f t="shared" si="239"/>
        <v/>
      </c>
      <c r="AJ135" s="20" t="str">
        <f t="shared" si="239"/>
        <v/>
      </c>
      <c r="AK135" s="20" t="str">
        <f t="shared" si="239"/>
        <v/>
      </c>
      <c r="AL135" s="20" t="str">
        <f t="shared" si="239"/>
        <v/>
      </c>
      <c r="AM135" s="20" t="str">
        <f t="shared" si="239"/>
        <v/>
      </c>
      <c r="AN135" s="20" t="str">
        <f t="shared" si="239"/>
        <v/>
      </c>
      <c r="AO135" s="20" t="str">
        <f t="shared" ref="AO135:AS135" si="240">IF(AO$3="","",AN135)</f>
        <v/>
      </c>
      <c r="AP135" s="20" t="str">
        <f t="shared" si="240"/>
        <v/>
      </c>
      <c r="AQ135" s="20" t="str">
        <f t="shared" si="240"/>
        <v/>
      </c>
      <c r="AR135" s="20" t="str">
        <f t="shared" si="240"/>
        <v/>
      </c>
      <c r="AS135" s="20" t="str">
        <f t="shared" si="240"/>
        <v/>
      </c>
    </row>
    <row r="136" spans="1:45">
      <c r="A136" s="16" t="s">
        <v>35</v>
      </c>
      <c r="B136" s="9" t="s">
        <v>4</v>
      </c>
      <c r="C136" s="74">
        <v>199</v>
      </c>
      <c r="D136" s="8">
        <f>IF(D$3="","",C136)</f>
        <v>199</v>
      </c>
      <c r="E136" s="8">
        <f>IF(E$3="","",D136)</f>
        <v>199</v>
      </c>
      <c r="F136" s="8">
        <v>201</v>
      </c>
      <c r="G136" s="59">
        <f>IF(G$3="","",F136)</f>
        <v>201</v>
      </c>
      <c r="H136" s="8">
        <f>IF(H$3="","",G136)</f>
        <v>201</v>
      </c>
      <c r="I136" s="8">
        <f>IF(I$3="","",H136)</f>
        <v>201</v>
      </c>
      <c r="J136" s="59">
        <f>IF(J$3="","",I136)</f>
        <v>201</v>
      </c>
      <c r="K136" s="8">
        <f>IF(K$3="","",J136)</f>
        <v>201</v>
      </c>
      <c r="L136" s="8">
        <v>202</v>
      </c>
      <c r="M136" s="59">
        <f t="shared" si="238"/>
        <v>202</v>
      </c>
      <c r="N136" s="8">
        <f t="shared" si="238"/>
        <v>202</v>
      </c>
      <c r="O136" s="8">
        <f t="shared" si="238"/>
        <v>202</v>
      </c>
      <c r="P136" s="8">
        <f>IF(P$3="","",O136)</f>
        <v>202</v>
      </c>
      <c r="Q136" s="59">
        <f>IF(Q$3="","",P136)</f>
        <v>202</v>
      </c>
      <c r="R136" s="8">
        <f>IF(R$3="","",Q136)</f>
        <v>202</v>
      </c>
      <c r="S136" s="8">
        <v>204</v>
      </c>
      <c r="T136" s="8">
        <f t="shared" ref="T136:AN136" si="241">IF(T$3="","",S136)</f>
        <v>204</v>
      </c>
      <c r="U136" s="8">
        <f t="shared" si="241"/>
        <v>204</v>
      </c>
      <c r="V136" s="8">
        <f t="shared" si="241"/>
        <v>204</v>
      </c>
      <c r="W136" s="8">
        <v>205</v>
      </c>
      <c r="X136" s="8">
        <f t="shared" si="241"/>
        <v>205</v>
      </c>
      <c r="Y136" s="8">
        <f t="shared" si="241"/>
        <v>205</v>
      </c>
      <c r="Z136" s="8">
        <f t="shared" si="241"/>
        <v>205</v>
      </c>
      <c r="AA136" s="8">
        <f t="shared" si="241"/>
        <v>205</v>
      </c>
      <c r="AB136" s="8">
        <f t="shared" si="241"/>
        <v>205</v>
      </c>
      <c r="AC136" s="8">
        <f t="shared" si="241"/>
        <v>205</v>
      </c>
      <c r="AD136" s="8">
        <v>207</v>
      </c>
      <c r="AE136" s="8">
        <f t="shared" si="241"/>
        <v>207</v>
      </c>
      <c r="AF136" s="8">
        <f t="shared" si="241"/>
        <v>207</v>
      </c>
      <c r="AG136" s="8">
        <f t="shared" si="241"/>
        <v>207</v>
      </c>
      <c r="AH136" s="8" t="str">
        <f t="shared" si="241"/>
        <v/>
      </c>
      <c r="AI136" s="8" t="str">
        <f t="shared" si="241"/>
        <v/>
      </c>
      <c r="AJ136" s="8" t="str">
        <f t="shared" si="241"/>
        <v/>
      </c>
      <c r="AK136" s="8" t="str">
        <f t="shared" si="241"/>
        <v/>
      </c>
      <c r="AL136" s="8" t="str">
        <f t="shared" si="241"/>
        <v/>
      </c>
      <c r="AM136" s="8" t="str">
        <f t="shared" si="241"/>
        <v/>
      </c>
      <c r="AN136" s="8" t="str">
        <f t="shared" si="241"/>
        <v/>
      </c>
      <c r="AO136" s="8" t="str">
        <f t="shared" ref="AO136:AS136" si="242">IF(AO$3="","",AN136)</f>
        <v/>
      </c>
      <c r="AP136" s="8" t="str">
        <f t="shared" si="242"/>
        <v/>
      </c>
      <c r="AQ136" s="8" t="str">
        <f t="shared" si="242"/>
        <v/>
      </c>
      <c r="AR136" s="8" t="str">
        <f t="shared" si="242"/>
        <v/>
      </c>
      <c r="AS136" s="8" t="str">
        <f t="shared" si="242"/>
        <v/>
      </c>
    </row>
    <row r="137" spans="1:45">
      <c r="A137" s="15">
        <v>1</v>
      </c>
      <c r="B137" s="9" t="s">
        <v>5</v>
      </c>
      <c r="C137" s="74">
        <v>11</v>
      </c>
      <c r="D137" s="8">
        <f>IF(D135="","",(C137+C138))</f>
        <v>11</v>
      </c>
      <c r="E137" s="8">
        <f>IF(E135="","",(D137+D138))</f>
        <v>11</v>
      </c>
      <c r="F137" s="8">
        <v>9</v>
      </c>
      <c r="G137" s="59">
        <f>IF(G135="","",(F137+F138))</f>
        <v>11</v>
      </c>
      <c r="H137" s="8">
        <f>IF(H135="","",(G137+G138))</f>
        <v>11</v>
      </c>
      <c r="I137" s="8">
        <f>IF(I135="","",(H137+H138))</f>
        <v>11</v>
      </c>
      <c r="J137" s="59">
        <f>IF(J135="","",(I137+I138))</f>
        <v>11</v>
      </c>
      <c r="K137" s="8">
        <f>IF(K135="","",(J137+J138))</f>
        <v>11</v>
      </c>
      <c r="L137" s="8">
        <v>10</v>
      </c>
      <c r="M137" s="59">
        <f t="shared" ref="M137:R137" si="243">IF(M135="","",(L137+L138))</f>
        <v>10</v>
      </c>
      <c r="N137" s="8">
        <f t="shared" si="243"/>
        <v>10</v>
      </c>
      <c r="O137" s="8">
        <f t="shared" si="243"/>
        <v>10</v>
      </c>
      <c r="P137" s="8">
        <f t="shared" si="243"/>
        <v>10</v>
      </c>
      <c r="Q137" s="59">
        <f t="shared" si="243"/>
        <v>10</v>
      </c>
      <c r="R137" s="8">
        <f t="shared" si="243"/>
        <v>10</v>
      </c>
      <c r="S137" s="8">
        <v>8</v>
      </c>
      <c r="T137" s="8">
        <f t="shared" ref="T137:AN137" si="244">IF(T135="","",(S137+S138))</f>
        <v>10</v>
      </c>
      <c r="U137" s="8">
        <f t="shared" si="244"/>
        <v>10</v>
      </c>
      <c r="V137" s="8">
        <f t="shared" si="244"/>
        <v>10</v>
      </c>
      <c r="W137" s="8">
        <v>9</v>
      </c>
      <c r="X137" s="8">
        <f t="shared" si="244"/>
        <v>10</v>
      </c>
      <c r="Y137" s="8">
        <f t="shared" si="244"/>
        <v>10</v>
      </c>
      <c r="Z137" s="8">
        <f t="shared" si="244"/>
        <v>10</v>
      </c>
      <c r="AA137" s="8">
        <f t="shared" si="244"/>
        <v>10</v>
      </c>
      <c r="AB137" s="8">
        <f t="shared" si="244"/>
        <v>10</v>
      </c>
      <c r="AC137" s="8">
        <f t="shared" si="244"/>
        <v>10</v>
      </c>
      <c r="AD137" s="8">
        <v>8</v>
      </c>
      <c r="AE137" s="8">
        <f t="shared" si="244"/>
        <v>8</v>
      </c>
      <c r="AF137" s="8">
        <f t="shared" si="244"/>
        <v>8</v>
      </c>
      <c r="AG137" s="8">
        <f t="shared" si="244"/>
        <v>8</v>
      </c>
      <c r="AH137" s="8" t="str">
        <f t="shared" si="244"/>
        <v/>
      </c>
      <c r="AI137" s="8" t="str">
        <f t="shared" si="244"/>
        <v/>
      </c>
      <c r="AJ137" s="8" t="str">
        <f t="shared" si="244"/>
        <v/>
      </c>
      <c r="AK137" s="8" t="str">
        <f t="shared" si="244"/>
        <v/>
      </c>
      <c r="AL137" s="8" t="str">
        <f t="shared" si="244"/>
        <v/>
      </c>
      <c r="AM137" s="8" t="str">
        <f t="shared" si="244"/>
        <v/>
      </c>
      <c r="AN137" s="8" t="str">
        <f t="shared" si="244"/>
        <v/>
      </c>
      <c r="AO137" s="8" t="str">
        <f t="shared" ref="AO137:AS137" si="245">IF(AO135="","",(AN137+AN138))</f>
        <v/>
      </c>
      <c r="AP137" s="8" t="str">
        <f t="shared" si="245"/>
        <v/>
      </c>
      <c r="AQ137" s="8" t="str">
        <f t="shared" si="245"/>
        <v/>
      </c>
      <c r="AR137" s="8" t="str">
        <f t="shared" si="245"/>
        <v/>
      </c>
      <c r="AS137" s="8" t="str">
        <f t="shared" si="245"/>
        <v/>
      </c>
    </row>
    <row r="138" spans="1:45">
      <c r="A138" s="101" t="s">
        <v>6</v>
      </c>
      <c r="B138" s="9" t="s">
        <v>7</v>
      </c>
      <c r="C138" s="74"/>
      <c r="D138" s="8"/>
      <c r="E138" s="8"/>
      <c r="F138" s="8">
        <v>2</v>
      </c>
      <c r="G138" s="59"/>
      <c r="H138" s="8"/>
      <c r="I138" s="8"/>
      <c r="J138" s="59"/>
      <c r="K138" s="8"/>
      <c r="L138" s="8"/>
      <c r="M138" s="59"/>
      <c r="N138" s="8"/>
      <c r="O138" s="8"/>
      <c r="P138" s="8"/>
      <c r="Q138" s="59"/>
      <c r="R138" s="8"/>
      <c r="S138" s="8">
        <v>2</v>
      </c>
      <c r="T138" s="8"/>
      <c r="U138" s="8"/>
      <c r="V138" s="8"/>
      <c r="W138" s="8">
        <v>1</v>
      </c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</row>
    <row r="139" spans="1:45">
      <c r="A139" s="102">
        <f>+(A142+A154+A166+A178)*100</f>
        <v>229200</v>
      </c>
      <c r="B139" s="9" t="s">
        <v>8</v>
      </c>
      <c r="C139" s="74">
        <v>500</v>
      </c>
      <c r="D139" s="8">
        <f t="shared" ref="D139:AN139" si="246">IF(D135="","",C139)</f>
        <v>500</v>
      </c>
      <c r="E139" s="8">
        <f t="shared" si="246"/>
        <v>500</v>
      </c>
      <c r="F139" s="8">
        <f t="shared" si="246"/>
        <v>500</v>
      </c>
      <c r="G139" s="59">
        <f t="shared" si="246"/>
        <v>500</v>
      </c>
      <c r="H139" s="8">
        <f t="shared" si="246"/>
        <v>500</v>
      </c>
      <c r="I139" s="8">
        <f t="shared" si="246"/>
        <v>500</v>
      </c>
      <c r="J139" s="59">
        <f t="shared" si="246"/>
        <v>500</v>
      </c>
      <c r="K139" s="8">
        <f t="shared" si="246"/>
        <v>500</v>
      </c>
      <c r="L139" s="8">
        <f t="shared" si="246"/>
        <v>500</v>
      </c>
      <c r="M139" s="59">
        <f t="shared" si="246"/>
        <v>500</v>
      </c>
      <c r="N139" s="8">
        <f t="shared" si="246"/>
        <v>500</v>
      </c>
      <c r="O139" s="8">
        <f t="shared" si="246"/>
        <v>500</v>
      </c>
      <c r="P139" s="8">
        <f t="shared" si="246"/>
        <v>500</v>
      </c>
      <c r="Q139" s="59">
        <f t="shared" si="246"/>
        <v>500</v>
      </c>
      <c r="R139" s="8">
        <f t="shared" si="246"/>
        <v>500</v>
      </c>
      <c r="S139" s="8">
        <f t="shared" si="246"/>
        <v>500</v>
      </c>
      <c r="T139" s="8">
        <f t="shared" si="246"/>
        <v>500</v>
      </c>
      <c r="U139" s="8">
        <f t="shared" si="246"/>
        <v>500</v>
      </c>
      <c r="V139" s="8">
        <f t="shared" si="246"/>
        <v>500</v>
      </c>
      <c r="W139" s="8">
        <f t="shared" si="246"/>
        <v>500</v>
      </c>
      <c r="X139" s="8">
        <f t="shared" si="246"/>
        <v>500</v>
      </c>
      <c r="Y139" s="8">
        <f t="shared" si="246"/>
        <v>500</v>
      </c>
      <c r="Z139" s="8">
        <f t="shared" si="246"/>
        <v>500</v>
      </c>
      <c r="AA139" s="8">
        <f t="shared" si="246"/>
        <v>500</v>
      </c>
      <c r="AB139" s="8">
        <f t="shared" si="246"/>
        <v>500</v>
      </c>
      <c r="AC139" s="8">
        <f t="shared" si="246"/>
        <v>500</v>
      </c>
      <c r="AD139" s="8">
        <f t="shared" si="246"/>
        <v>500</v>
      </c>
      <c r="AE139" s="8">
        <f t="shared" si="246"/>
        <v>500</v>
      </c>
      <c r="AF139" s="8">
        <f t="shared" si="246"/>
        <v>500</v>
      </c>
      <c r="AG139" s="8">
        <f t="shared" si="246"/>
        <v>500</v>
      </c>
      <c r="AH139" s="8" t="str">
        <f t="shared" si="246"/>
        <v/>
      </c>
      <c r="AI139" s="8" t="str">
        <f t="shared" si="246"/>
        <v/>
      </c>
      <c r="AJ139" s="8" t="str">
        <f t="shared" si="246"/>
        <v/>
      </c>
      <c r="AK139" s="8" t="str">
        <f t="shared" si="246"/>
        <v/>
      </c>
      <c r="AL139" s="8" t="str">
        <f t="shared" si="246"/>
        <v/>
      </c>
      <c r="AM139" s="8" t="str">
        <f t="shared" si="246"/>
        <v/>
      </c>
      <c r="AN139" s="8" t="str">
        <f t="shared" si="246"/>
        <v/>
      </c>
      <c r="AO139" s="8" t="str">
        <f t="shared" ref="AO139:AS139" si="247">IF(AO135="","",AN139)</f>
        <v/>
      </c>
      <c r="AP139" s="8" t="str">
        <f t="shared" si="247"/>
        <v/>
      </c>
      <c r="AQ139" s="8" t="str">
        <f t="shared" si="247"/>
        <v/>
      </c>
      <c r="AR139" s="8" t="str">
        <f t="shared" si="247"/>
        <v/>
      </c>
      <c r="AS139" s="8" t="str">
        <f t="shared" si="247"/>
        <v/>
      </c>
    </row>
    <row r="140" spans="1:45" s="94" customFormat="1">
      <c r="A140" s="14" t="s">
        <v>9</v>
      </c>
      <c r="B140" s="13" t="s">
        <v>10</v>
      </c>
      <c r="C140" s="75" t="s">
        <v>92</v>
      </c>
      <c r="D140" s="12" t="str">
        <f t="shared" ref="D140:AN140" si="248">IF(D135="","",C140)</f>
        <v>番長ボタン</v>
      </c>
      <c r="E140" s="12" t="str">
        <f t="shared" si="248"/>
        <v>番長ボタン</v>
      </c>
      <c r="F140" s="12" t="str">
        <f t="shared" si="248"/>
        <v>番長ボタン</v>
      </c>
      <c r="G140" s="131" t="str">
        <f t="shared" si="248"/>
        <v>番長ボタン</v>
      </c>
      <c r="H140" s="12" t="str">
        <f t="shared" si="248"/>
        <v>番長ボタン</v>
      </c>
      <c r="I140" s="12" t="str">
        <f t="shared" si="248"/>
        <v>番長ボタン</v>
      </c>
      <c r="J140" s="131" t="str">
        <f t="shared" si="248"/>
        <v>番長ボタン</v>
      </c>
      <c r="K140" s="12" t="str">
        <f t="shared" si="248"/>
        <v>番長ボタン</v>
      </c>
      <c r="L140" s="12" t="str">
        <f t="shared" si="248"/>
        <v>番長ボタン</v>
      </c>
      <c r="M140" s="131" t="str">
        <f t="shared" si="248"/>
        <v>番長ボタン</v>
      </c>
      <c r="N140" s="12" t="str">
        <f t="shared" si="248"/>
        <v>番長ボタン</v>
      </c>
      <c r="O140" s="12" t="str">
        <f t="shared" si="248"/>
        <v>番長ボタン</v>
      </c>
      <c r="P140" s="12" t="str">
        <f t="shared" si="248"/>
        <v>番長ボタン</v>
      </c>
      <c r="Q140" s="131" t="str">
        <f t="shared" si="248"/>
        <v>番長ボタン</v>
      </c>
      <c r="R140" s="12" t="str">
        <f t="shared" si="248"/>
        <v>番長ボタン</v>
      </c>
      <c r="S140" s="12" t="str">
        <f t="shared" si="248"/>
        <v>番長ボタン</v>
      </c>
      <c r="T140" s="12" t="str">
        <f t="shared" si="248"/>
        <v>番長ボタン</v>
      </c>
      <c r="U140" s="12" t="str">
        <f t="shared" si="248"/>
        <v>番長ボタン</v>
      </c>
      <c r="V140" s="12" t="str">
        <f t="shared" si="248"/>
        <v>番長ボタン</v>
      </c>
      <c r="W140" s="12" t="str">
        <f t="shared" si="248"/>
        <v>番長ボタン</v>
      </c>
      <c r="X140" s="12" t="str">
        <f t="shared" si="248"/>
        <v>番長ボタン</v>
      </c>
      <c r="Y140" s="12" t="str">
        <f t="shared" si="248"/>
        <v>番長ボタン</v>
      </c>
      <c r="Z140" s="12" t="str">
        <f t="shared" si="248"/>
        <v>番長ボタン</v>
      </c>
      <c r="AA140" s="12" t="str">
        <f t="shared" si="248"/>
        <v>番長ボタン</v>
      </c>
      <c r="AB140" s="12" t="str">
        <f t="shared" si="248"/>
        <v>番長ボタン</v>
      </c>
      <c r="AC140" s="12" t="str">
        <f t="shared" si="248"/>
        <v>番長ボタン</v>
      </c>
      <c r="AD140" s="12" t="str">
        <f t="shared" si="248"/>
        <v>番長ボタン</v>
      </c>
      <c r="AE140" s="12" t="str">
        <f t="shared" si="248"/>
        <v>番長ボタン</v>
      </c>
      <c r="AF140" s="12" t="str">
        <f t="shared" si="248"/>
        <v>番長ボタン</v>
      </c>
      <c r="AG140" s="12" t="str">
        <f t="shared" si="248"/>
        <v>番長ボタン</v>
      </c>
      <c r="AH140" s="12" t="str">
        <f t="shared" si="248"/>
        <v/>
      </c>
      <c r="AI140" s="12" t="str">
        <f t="shared" si="248"/>
        <v/>
      </c>
      <c r="AJ140" s="12" t="str">
        <f t="shared" si="248"/>
        <v/>
      </c>
      <c r="AK140" s="12" t="str">
        <f t="shared" si="248"/>
        <v/>
      </c>
      <c r="AL140" s="12" t="str">
        <f t="shared" si="248"/>
        <v/>
      </c>
      <c r="AM140" s="12" t="str">
        <f t="shared" si="248"/>
        <v/>
      </c>
      <c r="AN140" s="12" t="str">
        <f t="shared" si="248"/>
        <v/>
      </c>
      <c r="AO140" s="12" t="str">
        <f t="shared" ref="AO140:AS140" si="249">IF(AO135="","",AN140)</f>
        <v/>
      </c>
      <c r="AP140" s="12" t="str">
        <f t="shared" si="249"/>
        <v/>
      </c>
      <c r="AQ140" s="12" t="str">
        <f t="shared" si="249"/>
        <v/>
      </c>
      <c r="AR140" s="12" t="str">
        <f t="shared" si="249"/>
        <v/>
      </c>
      <c r="AS140" s="12" t="str">
        <f t="shared" si="249"/>
        <v/>
      </c>
    </row>
    <row r="141" spans="1:45">
      <c r="A141" s="7">
        <f>AVERAGE(C142:AS142)*30*100</f>
        <v>33193.548387096773</v>
      </c>
      <c r="B141" s="9" t="s">
        <v>14</v>
      </c>
      <c r="C141" s="74"/>
      <c r="D141" s="8"/>
      <c r="E141" s="8"/>
      <c r="F141" s="8"/>
      <c r="G141" s="59"/>
      <c r="H141" s="8"/>
      <c r="I141" s="8"/>
      <c r="J141" s="59"/>
      <c r="K141" s="8"/>
      <c r="L141" s="8"/>
      <c r="M141" s="59"/>
      <c r="N141" s="8"/>
      <c r="O141" s="8"/>
      <c r="P141" s="8"/>
      <c r="Q141" s="59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</row>
    <row r="142" spans="1:45">
      <c r="A142" s="7">
        <f>SUM(C142:AS142)</f>
        <v>343</v>
      </c>
      <c r="B142" s="6" t="s">
        <v>15</v>
      </c>
      <c r="C142" s="74">
        <v>0</v>
      </c>
      <c r="D142" s="5">
        <f t="shared" ref="D142:AN142" si="250">IF(D135="","",D135-C135)</f>
        <v>0</v>
      </c>
      <c r="E142" s="5">
        <f t="shared" si="250"/>
        <v>0</v>
      </c>
      <c r="F142" s="5">
        <f t="shared" si="250"/>
        <v>64</v>
      </c>
      <c r="G142" s="59">
        <f t="shared" si="250"/>
        <v>0</v>
      </c>
      <c r="H142" s="5">
        <f t="shared" si="250"/>
        <v>0</v>
      </c>
      <c r="I142" s="5">
        <f t="shared" si="250"/>
        <v>4</v>
      </c>
      <c r="J142" s="59">
        <f t="shared" si="250"/>
        <v>0</v>
      </c>
      <c r="K142" s="5">
        <f t="shared" si="250"/>
        <v>0</v>
      </c>
      <c r="L142" s="5">
        <f t="shared" si="250"/>
        <v>39</v>
      </c>
      <c r="M142" s="59">
        <f t="shared" si="250"/>
        <v>0</v>
      </c>
      <c r="N142" s="5">
        <f t="shared" si="250"/>
        <v>0</v>
      </c>
      <c r="O142" s="5">
        <f t="shared" si="250"/>
        <v>0</v>
      </c>
      <c r="P142" s="5">
        <f t="shared" si="250"/>
        <v>34</v>
      </c>
      <c r="Q142" s="59">
        <f t="shared" si="250"/>
        <v>0</v>
      </c>
      <c r="R142" s="5">
        <f t="shared" si="250"/>
        <v>0</v>
      </c>
      <c r="S142" s="5">
        <f t="shared" si="250"/>
        <v>72</v>
      </c>
      <c r="T142" s="5">
        <f t="shared" si="250"/>
        <v>0</v>
      </c>
      <c r="U142" s="5">
        <f t="shared" si="250"/>
        <v>0</v>
      </c>
      <c r="V142" s="5">
        <f t="shared" si="250"/>
        <v>0</v>
      </c>
      <c r="W142" s="5">
        <f t="shared" si="250"/>
        <v>59</v>
      </c>
      <c r="X142" s="5">
        <f t="shared" si="250"/>
        <v>0</v>
      </c>
      <c r="Y142" s="5">
        <f t="shared" si="250"/>
        <v>0</v>
      </c>
      <c r="Z142" s="5">
        <f t="shared" si="250"/>
        <v>24</v>
      </c>
      <c r="AA142" s="5">
        <f t="shared" si="250"/>
        <v>0</v>
      </c>
      <c r="AB142" s="5">
        <f t="shared" si="250"/>
        <v>0</v>
      </c>
      <c r="AC142" s="5">
        <f t="shared" si="250"/>
        <v>0</v>
      </c>
      <c r="AD142" s="5">
        <f t="shared" si="250"/>
        <v>24</v>
      </c>
      <c r="AE142" s="5">
        <f t="shared" si="250"/>
        <v>0</v>
      </c>
      <c r="AF142" s="5">
        <f t="shared" si="250"/>
        <v>0</v>
      </c>
      <c r="AG142" s="5">
        <f t="shared" si="250"/>
        <v>23</v>
      </c>
      <c r="AH142" s="5" t="str">
        <f t="shared" si="250"/>
        <v/>
      </c>
      <c r="AI142" s="5" t="str">
        <f t="shared" si="250"/>
        <v/>
      </c>
      <c r="AJ142" s="5" t="str">
        <f t="shared" si="250"/>
        <v/>
      </c>
      <c r="AK142" s="5" t="str">
        <f t="shared" si="250"/>
        <v/>
      </c>
      <c r="AL142" s="5" t="str">
        <f t="shared" si="250"/>
        <v/>
      </c>
      <c r="AM142" s="5" t="str">
        <f t="shared" si="250"/>
        <v/>
      </c>
      <c r="AN142" s="5" t="str">
        <f t="shared" si="250"/>
        <v/>
      </c>
      <c r="AO142" s="5" t="str">
        <f t="shared" ref="AO142:AS142" si="251">IF(AO135="","",AO135-AN135)</f>
        <v/>
      </c>
      <c r="AP142" s="5" t="str">
        <f t="shared" si="251"/>
        <v/>
      </c>
      <c r="AQ142" s="5" t="str">
        <f t="shared" si="251"/>
        <v/>
      </c>
      <c r="AR142" s="5" t="str">
        <f t="shared" si="251"/>
        <v/>
      </c>
      <c r="AS142" s="5" t="str">
        <f t="shared" si="251"/>
        <v/>
      </c>
    </row>
    <row r="143" spans="1:45">
      <c r="A143" s="7">
        <f>SUM(C143:AS143)</f>
        <v>8</v>
      </c>
      <c r="B143" s="6" t="s">
        <v>16</v>
      </c>
      <c r="C143" s="74">
        <v>0</v>
      </c>
      <c r="D143" s="5">
        <f t="shared" ref="D143:AN143" si="252">IF(D136="","",D136-C136)</f>
        <v>0</v>
      </c>
      <c r="E143" s="5">
        <f t="shared" si="252"/>
        <v>0</v>
      </c>
      <c r="F143" s="5">
        <f t="shared" si="252"/>
        <v>2</v>
      </c>
      <c r="G143" s="59">
        <f t="shared" si="252"/>
        <v>0</v>
      </c>
      <c r="H143" s="5">
        <f t="shared" si="252"/>
        <v>0</v>
      </c>
      <c r="I143" s="5">
        <f t="shared" si="252"/>
        <v>0</v>
      </c>
      <c r="J143" s="59">
        <f t="shared" si="252"/>
        <v>0</v>
      </c>
      <c r="K143" s="5">
        <f t="shared" si="252"/>
        <v>0</v>
      </c>
      <c r="L143" s="5">
        <f t="shared" si="252"/>
        <v>1</v>
      </c>
      <c r="M143" s="59">
        <f t="shared" si="252"/>
        <v>0</v>
      </c>
      <c r="N143" s="5">
        <f t="shared" si="252"/>
        <v>0</v>
      </c>
      <c r="O143" s="5">
        <f t="shared" si="252"/>
        <v>0</v>
      </c>
      <c r="P143" s="5">
        <f t="shared" si="252"/>
        <v>0</v>
      </c>
      <c r="Q143" s="59">
        <f t="shared" si="252"/>
        <v>0</v>
      </c>
      <c r="R143" s="5">
        <f t="shared" si="252"/>
        <v>0</v>
      </c>
      <c r="S143" s="5">
        <f t="shared" si="252"/>
        <v>2</v>
      </c>
      <c r="T143" s="5">
        <f t="shared" si="252"/>
        <v>0</v>
      </c>
      <c r="U143" s="5">
        <f t="shared" si="252"/>
        <v>0</v>
      </c>
      <c r="V143" s="5">
        <f t="shared" si="252"/>
        <v>0</v>
      </c>
      <c r="W143" s="5">
        <f t="shared" si="252"/>
        <v>1</v>
      </c>
      <c r="X143" s="5">
        <f t="shared" si="252"/>
        <v>0</v>
      </c>
      <c r="Y143" s="5">
        <f t="shared" si="252"/>
        <v>0</v>
      </c>
      <c r="Z143" s="5">
        <f t="shared" si="252"/>
        <v>0</v>
      </c>
      <c r="AA143" s="5">
        <f t="shared" si="252"/>
        <v>0</v>
      </c>
      <c r="AB143" s="5">
        <f t="shared" si="252"/>
        <v>0</v>
      </c>
      <c r="AC143" s="5">
        <f t="shared" si="252"/>
        <v>0</v>
      </c>
      <c r="AD143" s="5">
        <f t="shared" si="252"/>
        <v>2</v>
      </c>
      <c r="AE143" s="5">
        <f t="shared" si="252"/>
        <v>0</v>
      </c>
      <c r="AF143" s="5">
        <f t="shared" si="252"/>
        <v>0</v>
      </c>
      <c r="AG143" s="5">
        <f t="shared" si="252"/>
        <v>0</v>
      </c>
      <c r="AH143" s="5" t="str">
        <f t="shared" si="252"/>
        <v/>
      </c>
      <c r="AI143" s="5" t="str">
        <f t="shared" si="252"/>
        <v/>
      </c>
      <c r="AJ143" s="5" t="str">
        <f t="shared" si="252"/>
        <v/>
      </c>
      <c r="AK143" s="5" t="str">
        <f t="shared" si="252"/>
        <v/>
      </c>
      <c r="AL143" s="5" t="str">
        <f t="shared" si="252"/>
        <v/>
      </c>
      <c r="AM143" s="5" t="str">
        <f t="shared" si="252"/>
        <v/>
      </c>
      <c r="AN143" s="5" t="str">
        <f t="shared" si="252"/>
        <v/>
      </c>
      <c r="AO143" s="5" t="str">
        <f t="shared" ref="AO143:AS143" si="253">IF(AO136="","",AO136-AN136)</f>
        <v/>
      </c>
      <c r="AP143" s="5" t="str">
        <f t="shared" si="253"/>
        <v/>
      </c>
      <c r="AQ143" s="5" t="str">
        <f t="shared" si="253"/>
        <v/>
      </c>
      <c r="AR143" s="5" t="str">
        <f t="shared" si="253"/>
        <v/>
      </c>
      <c r="AS143" s="5" t="str">
        <f t="shared" si="253"/>
        <v/>
      </c>
    </row>
    <row r="144" spans="1:45">
      <c r="A144" s="7">
        <f>SUM(C144:AS144)</f>
        <v>8</v>
      </c>
      <c r="B144" s="6" t="s">
        <v>17</v>
      </c>
      <c r="C144" s="74">
        <v>0</v>
      </c>
      <c r="D144" s="5">
        <f t="shared" ref="D144:AN144" si="254">IF(D137="","",C137+C138-D137)</f>
        <v>0</v>
      </c>
      <c r="E144" s="5">
        <f t="shared" si="254"/>
        <v>0</v>
      </c>
      <c r="F144" s="5">
        <f t="shared" si="254"/>
        <v>2</v>
      </c>
      <c r="G144" s="59">
        <f t="shared" si="254"/>
        <v>0</v>
      </c>
      <c r="H144" s="5">
        <f t="shared" si="254"/>
        <v>0</v>
      </c>
      <c r="I144" s="5">
        <f t="shared" si="254"/>
        <v>0</v>
      </c>
      <c r="J144" s="59">
        <f t="shared" si="254"/>
        <v>0</v>
      </c>
      <c r="K144" s="5">
        <f t="shared" si="254"/>
        <v>0</v>
      </c>
      <c r="L144" s="5">
        <f t="shared" si="254"/>
        <v>1</v>
      </c>
      <c r="M144" s="59">
        <f t="shared" si="254"/>
        <v>0</v>
      </c>
      <c r="N144" s="5">
        <f t="shared" si="254"/>
        <v>0</v>
      </c>
      <c r="O144" s="5">
        <f t="shared" si="254"/>
        <v>0</v>
      </c>
      <c r="P144" s="5">
        <f t="shared" si="254"/>
        <v>0</v>
      </c>
      <c r="Q144" s="59">
        <f t="shared" si="254"/>
        <v>0</v>
      </c>
      <c r="R144" s="5">
        <f t="shared" si="254"/>
        <v>0</v>
      </c>
      <c r="S144" s="5">
        <f t="shared" si="254"/>
        <v>2</v>
      </c>
      <c r="T144" s="5">
        <f t="shared" si="254"/>
        <v>0</v>
      </c>
      <c r="U144" s="5">
        <f t="shared" si="254"/>
        <v>0</v>
      </c>
      <c r="V144" s="5">
        <f t="shared" si="254"/>
        <v>0</v>
      </c>
      <c r="W144" s="5">
        <f t="shared" si="254"/>
        <v>1</v>
      </c>
      <c r="X144" s="5">
        <f t="shared" si="254"/>
        <v>0</v>
      </c>
      <c r="Y144" s="5">
        <f t="shared" si="254"/>
        <v>0</v>
      </c>
      <c r="Z144" s="5">
        <f t="shared" si="254"/>
        <v>0</v>
      </c>
      <c r="AA144" s="5">
        <f t="shared" si="254"/>
        <v>0</v>
      </c>
      <c r="AB144" s="5">
        <f t="shared" si="254"/>
        <v>0</v>
      </c>
      <c r="AC144" s="5">
        <f t="shared" si="254"/>
        <v>0</v>
      </c>
      <c r="AD144" s="5">
        <f t="shared" si="254"/>
        <v>2</v>
      </c>
      <c r="AE144" s="5">
        <f t="shared" si="254"/>
        <v>0</v>
      </c>
      <c r="AF144" s="5">
        <f t="shared" si="254"/>
        <v>0</v>
      </c>
      <c r="AG144" s="5">
        <f t="shared" si="254"/>
        <v>0</v>
      </c>
      <c r="AH144" s="5" t="str">
        <f t="shared" si="254"/>
        <v/>
      </c>
      <c r="AI144" s="5" t="str">
        <f t="shared" si="254"/>
        <v/>
      </c>
      <c r="AJ144" s="5" t="str">
        <f t="shared" si="254"/>
        <v/>
      </c>
      <c r="AK144" s="5" t="str">
        <f t="shared" si="254"/>
        <v/>
      </c>
      <c r="AL144" s="5" t="str">
        <f t="shared" si="254"/>
        <v/>
      </c>
      <c r="AM144" s="5" t="str">
        <f t="shared" si="254"/>
        <v/>
      </c>
      <c r="AN144" s="5" t="str">
        <f t="shared" si="254"/>
        <v/>
      </c>
      <c r="AO144" s="5" t="str">
        <f t="shared" ref="AO144:AS144" si="255">IF(AO137="","",AN137+AN138-AO137)</f>
        <v/>
      </c>
      <c r="AP144" s="5" t="str">
        <f t="shared" si="255"/>
        <v/>
      </c>
      <c r="AQ144" s="5" t="str">
        <f t="shared" si="255"/>
        <v/>
      </c>
      <c r="AR144" s="5" t="str">
        <f t="shared" si="255"/>
        <v/>
      </c>
      <c r="AS144" s="5" t="str">
        <f t="shared" si="255"/>
        <v/>
      </c>
    </row>
    <row r="145" spans="1:45">
      <c r="A145" s="7">
        <f>SUM(C145:AS145)</f>
        <v>4000</v>
      </c>
      <c r="B145" s="6" t="s">
        <v>18</v>
      </c>
      <c r="C145" s="74">
        <v>0</v>
      </c>
      <c r="D145" s="5">
        <f t="shared" ref="D145:AN145" si="256">IF(D135="","",D144*D139)</f>
        <v>0</v>
      </c>
      <c r="E145" s="5">
        <f t="shared" si="256"/>
        <v>0</v>
      </c>
      <c r="F145" s="5">
        <f t="shared" si="256"/>
        <v>1000</v>
      </c>
      <c r="G145" s="59">
        <f t="shared" si="256"/>
        <v>0</v>
      </c>
      <c r="H145" s="5">
        <f t="shared" si="256"/>
        <v>0</v>
      </c>
      <c r="I145" s="5">
        <f t="shared" si="256"/>
        <v>0</v>
      </c>
      <c r="J145" s="59">
        <f t="shared" si="256"/>
        <v>0</v>
      </c>
      <c r="K145" s="5">
        <f t="shared" si="256"/>
        <v>0</v>
      </c>
      <c r="L145" s="5">
        <f t="shared" si="256"/>
        <v>500</v>
      </c>
      <c r="M145" s="59">
        <f t="shared" si="256"/>
        <v>0</v>
      </c>
      <c r="N145" s="5">
        <f t="shared" si="256"/>
        <v>0</v>
      </c>
      <c r="O145" s="5">
        <f t="shared" si="256"/>
        <v>0</v>
      </c>
      <c r="P145" s="5">
        <f t="shared" si="256"/>
        <v>0</v>
      </c>
      <c r="Q145" s="59">
        <f t="shared" si="256"/>
        <v>0</v>
      </c>
      <c r="R145" s="5">
        <f t="shared" si="256"/>
        <v>0</v>
      </c>
      <c r="S145" s="5">
        <f t="shared" si="256"/>
        <v>1000</v>
      </c>
      <c r="T145" s="5">
        <f t="shared" si="256"/>
        <v>0</v>
      </c>
      <c r="U145" s="5">
        <f t="shared" si="256"/>
        <v>0</v>
      </c>
      <c r="V145" s="5">
        <f t="shared" si="256"/>
        <v>0</v>
      </c>
      <c r="W145" s="5">
        <f t="shared" si="256"/>
        <v>500</v>
      </c>
      <c r="X145" s="5">
        <f t="shared" si="256"/>
        <v>0</v>
      </c>
      <c r="Y145" s="5">
        <f t="shared" si="256"/>
        <v>0</v>
      </c>
      <c r="Z145" s="5">
        <f t="shared" si="256"/>
        <v>0</v>
      </c>
      <c r="AA145" s="5">
        <f t="shared" si="256"/>
        <v>0</v>
      </c>
      <c r="AB145" s="5">
        <f t="shared" si="256"/>
        <v>0</v>
      </c>
      <c r="AC145" s="5">
        <f t="shared" si="256"/>
        <v>0</v>
      </c>
      <c r="AD145" s="5">
        <f t="shared" si="256"/>
        <v>1000</v>
      </c>
      <c r="AE145" s="5">
        <f t="shared" si="256"/>
        <v>0</v>
      </c>
      <c r="AF145" s="5">
        <f t="shared" si="256"/>
        <v>0</v>
      </c>
      <c r="AG145" s="5">
        <f t="shared" si="256"/>
        <v>0</v>
      </c>
      <c r="AH145" s="5" t="str">
        <f t="shared" si="256"/>
        <v/>
      </c>
      <c r="AI145" s="5" t="str">
        <f t="shared" si="256"/>
        <v/>
      </c>
      <c r="AJ145" s="5" t="str">
        <f t="shared" si="256"/>
        <v/>
      </c>
      <c r="AK145" s="5" t="str">
        <f t="shared" si="256"/>
        <v/>
      </c>
      <c r="AL145" s="5" t="str">
        <f t="shared" si="256"/>
        <v/>
      </c>
      <c r="AM145" s="5" t="str">
        <f t="shared" si="256"/>
        <v/>
      </c>
      <c r="AN145" s="5" t="str">
        <f t="shared" si="256"/>
        <v/>
      </c>
      <c r="AO145" s="5" t="str">
        <f t="shared" ref="AO145:AS145" si="257">IF(AO135="","",AO144*AO139)</f>
        <v/>
      </c>
      <c r="AP145" s="5" t="str">
        <f t="shared" si="257"/>
        <v/>
      </c>
      <c r="AQ145" s="5" t="str">
        <f t="shared" si="257"/>
        <v/>
      </c>
      <c r="AR145" s="5" t="str">
        <f t="shared" si="257"/>
        <v/>
      </c>
      <c r="AS145" s="5" t="str">
        <f t="shared" si="257"/>
        <v/>
      </c>
    </row>
    <row r="146" spans="1:45" ht="12" thickBot="1">
      <c r="A146" s="4">
        <f>IF(A145="","",A145/(A142*100))</f>
        <v>0.11661807580174927</v>
      </c>
      <c r="B146" s="6" t="s">
        <v>20</v>
      </c>
      <c r="C146" s="76" t="s">
        <v>21</v>
      </c>
      <c r="D146" s="18" t="str">
        <f t="shared" ref="D146:AN146" si="258">IF(D145="","",IF(D145=0,"",D145/(D142*100)))</f>
        <v/>
      </c>
      <c r="E146" s="18" t="str">
        <f t="shared" si="258"/>
        <v/>
      </c>
      <c r="F146" s="18">
        <f t="shared" si="258"/>
        <v>0.15625</v>
      </c>
      <c r="G146" s="62" t="str">
        <f t="shared" si="258"/>
        <v/>
      </c>
      <c r="H146" s="18" t="str">
        <f t="shared" si="258"/>
        <v/>
      </c>
      <c r="I146" s="18" t="str">
        <f t="shared" si="258"/>
        <v/>
      </c>
      <c r="J146" s="62" t="str">
        <f t="shared" si="258"/>
        <v/>
      </c>
      <c r="K146" s="18" t="str">
        <f t="shared" si="258"/>
        <v/>
      </c>
      <c r="L146" s="18">
        <f t="shared" si="258"/>
        <v>0.12820512820512819</v>
      </c>
      <c r="M146" s="62" t="str">
        <f t="shared" si="258"/>
        <v/>
      </c>
      <c r="N146" s="18" t="str">
        <f t="shared" si="258"/>
        <v/>
      </c>
      <c r="O146" s="18" t="str">
        <f t="shared" si="258"/>
        <v/>
      </c>
      <c r="P146" s="18" t="str">
        <f t="shared" si="258"/>
        <v/>
      </c>
      <c r="Q146" s="62" t="str">
        <f t="shared" si="258"/>
        <v/>
      </c>
      <c r="R146" s="18" t="str">
        <f t="shared" si="258"/>
        <v/>
      </c>
      <c r="S146" s="18">
        <f t="shared" si="258"/>
        <v>0.1388888888888889</v>
      </c>
      <c r="T146" s="18" t="str">
        <f t="shared" si="258"/>
        <v/>
      </c>
      <c r="U146" s="18" t="str">
        <f t="shared" si="258"/>
        <v/>
      </c>
      <c r="V146" s="18" t="str">
        <f t="shared" si="258"/>
        <v/>
      </c>
      <c r="W146" s="18">
        <f t="shared" si="258"/>
        <v>8.4745762711864403E-2</v>
      </c>
      <c r="X146" s="18" t="str">
        <f t="shared" si="258"/>
        <v/>
      </c>
      <c r="Y146" s="18" t="str">
        <f t="shared" si="258"/>
        <v/>
      </c>
      <c r="Z146" s="18" t="str">
        <f t="shared" si="258"/>
        <v/>
      </c>
      <c r="AA146" s="18" t="str">
        <f t="shared" si="258"/>
        <v/>
      </c>
      <c r="AB146" s="18" t="str">
        <f t="shared" si="258"/>
        <v/>
      </c>
      <c r="AC146" s="18" t="str">
        <f t="shared" si="258"/>
        <v/>
      </c>
      <c r="AD146" s="18">
        <f t="shared" si="258"/>
        <v>0.41666666666666669</v>
      </c>
      <c r="AE146" s="18" t="str">
        <f t="shared" si="258"/>
        <v/>
      </c>
      <c r="AF146" s="18" t="str">
        <f t="shared" si="258"/>
        <v/>
      </c>
      <c r="AG146" s="18" t="str">
        <f t="shared" si="258"/>
        <v/>
      </c>
      <c r="AH146" s="18" t="str">
        <f t="shared" si="258"/>
        <v/>
      </c>
      <c r="AI146" s="18" t="str">
        <f t="shared" si="258"/>
        <v/>
      </c>
      <c r="AJ146" s="18" t="str">
        <f t="shared" si="258"/>
        <v/>
      </c>
      <c r="AK146" s="18" t="str">
        <f t="shared" si="258"/>
        <v/>
      </c>
      <c r="AL146" s="18" t="str">
        <f t="shared" si="258"/>
        <v/>
      </c>
      <c r="AM146" s="18" t="str">
        <f t="shared" si="258"/>
        <v/>
      </c>
      <c r="AN146" s="18" t="str">
        <f t="shared" si="258"/>
        <v/>
      </c>
      <c r="AO146" s="18" t="str">
        <f t="shared" ref="AO146:AS146" si="259">IF(AO145="","",IF(AO145=0,"",AO145/(AO142*100)))</f>
        <v/>
      </c>
      <c r="AP146" s="18" t="str">
        <f t="shared" si="259"/>
        <v/>
      </c>
      <c r="AQ146" s="18" t="str">
        <f t="shared" si="259"/>
        <v/>
      </c>
      <c r="AR146" s="18" t="str">
        <f t="shared" si="259"/>
        <v/>
      </c>
      <c r="AS146" s="18" t="str">
        <f t="shared" si="259"/>
        <v/>
      </c>
    </row>
    <row r="147" spans="1:45">
      <c r="A147" s="17" t="s">
        <v>78</v>
      </c>
      <c r="B147" s="9" t="s">
        <v>2</v>
      </c>
      <c r="C147" s="74">
        <v>9544</v>
      </c>
      <c r="D147" s="8">
        <f>IF(D$3="","",C147)</f>
        <v>9544</v>
      </c>
      <c r="E147" s="8">
        <f>IF(E$3="","",D147)</f>
        <v>9544</v>
      </c>
      <c r="F147" s="8">
        <v>9577</v>
      </c>
      <c r="G147" s="59">
        <f>IF(G$3="","",F147)</f>
        <v>9577</v>
      </c>
      <c r="H147" s="8">
        <f>IF(H$3="","",G147)</f>
        <v>9577</v>
      </c>
      <c r="I147" s="8">
        <v>9598</v>
      </c>
      <c r="J147" s="59">
        <f>IF(J$3="","",I147)</f>
        <v>9598</v>
      </c>
      <c r="K147" s="8">
        <f>IF(K$3="","",J147)</f>
        <v>9598</v>
      </c>
      <c r="L147" s="8">
        <v>9671</v>
      </c>
      <c r="M147" s="59">
        <f t="shared" ref="M147:O148" si="260">IF(M$3="","",L147)</f>
        <v>9671</v>
      </c>
      <c r="N147" s="8">
        <f t="shared" si="260"/>
        <v>9671</v>
      </c>
      <c r="O147" s="8">
        <f t="shared" si="260"/>
        <v>9671</v>
      </c>
      <c r="P147" s="8">
        <v>9719</v>
      </c>
      <c r="Q147" s="59">
        <f>IF(Q$3="","",P147)</f>
        <v>9719</v>
      </c>
      <c r="R147" s="8">
        <f>IF(R$3="","",Q147)</f>
        <v>9719</v>
      </c>
      <c r="S147" s="8">
        <v>9737</v>
      </c>
      <c r="T147" s="8">
        <f t="shared" ref="T147:AN147" si="261">IF(T$3="","",S147)</f>
        <v>9737</v>
      </c>
      <c r="U147" s="8">
        <f t="shared" si="261"/>
        <v>9737</v>
      </c>
      <c r="V147" s="8">
        <f t="shared" si="261"/>
        <v>9737</v>
      </c>
      <c r="W147" s="8">
        <v>9748</v>
      </c>
      <c r="X147" s="8">
        <f t="shared" si="261"/>
        <v>9748</v>
      </c>
      <c r="Y147" s="8">
        <f t="shared" si="261"/>
        <v>9748</v>
      </c>
      <c r="Z147" s="8">
        <v>9816</v>
      </c>
      <c r="AA147" s="8">
        <f t="shared" si="261"/>
        <v>9816</v>
      </c>
      <c r="AB147" s="8">
        <f t="shared" si="261"/>
        <v>9816</v>
      </c>
      <c r="AC147" s="8">
        <f t="shared" si="261"/>
        <v>9816</v>
      </c>
      <c r="AD147" s="8">
        <v>9845</v>
      </c>
      <c r="AE147" s="8">
        <f t="shared" si="261"/>
        <v>9845</v>
      </c>
      <c r="AF147" s="8">
        <f t="shared" si="261"/>
        <v>9845</v>
      </c>
      <c r="AG147" s="8">
        <v>9881</v>
      </c>
      <c r="AH147" s="8" t="str">
        <f t="shared" si="261"/>
        <v/>
      </c>
      <c r="AI147" s="8" t="str">
        <f t="shared" si="261"/>
        <v/>
      </c>
      <c r="AJ147" s="8" t="str">
        <f t="shared" si="261"/>
        <v/>
      </c>
      <c r="AK147" s="8" t="str">
        <f t="shared" si="261"/>
        <v/>
      </c>
      <c r="AL147" s="8" t="str">
        <f t="shared" si="261"/>
        <v/>
      </c>
      <c r="AM147" s="8" t="str">
        <f t="shared" si="261"/>
        <v/>
      </c>
      <c r="AN147" s="8" t="str">
        <f t="shared" si="261"/>
        <v/>
      </c>
      <c r="AO147" s="8" t="str">
        <f t="shared" ref="AO147:AS147" si="262">IF(AO$3="","",AN147)</f>
        <v/>
      </c>
      <c r="AP147" s="8" t="str">
        <f t="shared" si="262"/>
        <v/>
      </c>
      <c r="AQ147" s="8" t="str">
        <f t="shared" si="262"/>
        <v/>
      </c>
      <c r="AR147" s="8" t="str">
        <f t="shared" si="262"/>
        <v/>
      </c>
      <c r="AS147" s="8" t="str">
        <f t="shared" si="262"/>
        <v/>
      </c>
    </row>
    <row r="148" spans="1:45">
      <c r="A148" s="16" t="s">
        <v>37</v>
      </c>
      <c r="B148" s="9" t="s">
        <v>4</v>
      </c>
      <c r="C148" s="74">
        <v>458</v>
      </c>
      <c r="D148" s="8">
        <f>IF(D$3="","",C148)</f>
        <v>458</v>
      </c>
      <c r="E148" s="8">
        <f>IF(E$3="","",D148)</f>
        <v>458</v>
      </c>
      <c r="F148" s="8">
        <f>IF(F$3="","",E148)</f>
        <v>458</v>
      </c>
      <c r="G148" s="59">
        <f>IF(G$3="","",F148)</f>
        <v>458</v>
      </c>
      <c r="H148" s="8">
        <f>IF(H$3="","",G148)</f>
        <v>458</v>
      </c>
      <c r="I148" s="8">
        <f>IF(I$3="","",H148)</f>
        <v>458</v>
      </c>
      <c r="J148" s="59">
        <f>IF(J$3="","",I148)</f>
        <v>458</v>
      </c>
      <c r="K148" s="8">
        <f>IF(K$3="","",J148)</f>
        <v>458</v>
      </c>
      <c r="L148" s="8">
        <v>460</v>
      </c>
      <c r="M148" s="59">
        <f t="shared" si="260"/>
        <v>460</v>
      </c>
      <c r="N148" s="8">
        <f t="shared" si="260"/>
        <v>460</v>
      </c>
      <c r="O148" s="8">
        <f t="shared" si="260"/>
        <v>460</v>
      </c>
      <c r="P148" s="8">
        <v>461</v>
      </c>
      <c r="Q148" s="59">
        <f>IF(Q$3="","",P148)</f>
        <v>461</v>
      </c>
      <c r="R148" s="8">
        <f>IF(R$3="","",Q148)</f>
        <v>461</v>
      </c>
      <c r="S148" s="8">
        <f>IF(S$3="","",R148)</f>
        <v>461</v>
      </c>
      <c r="T148" s="8">
        <f t="shared" ref="T148:AN148" si="263">IF(T$3="","",S148)</f>
        <v>461</v>
      </c>
      <c r="U148" s="8">
        <f t="shared" si="263"/>
        <v>461</v>
      </c>
      <c r="V148" s="8">
        <f t="shared" si="263"/>
        <v>461</v>
      </c>
      <c r="W148" s="8">
        <f t="shared" si="263"/>
        <v>461</v>
      </c>
      <c r="X148" s="8">
        <f t="shared" si="263"/>
        <v>461</v>
      </c>
      <c r="Y148" s="8">
        <f t="shared" si="263"/>
        <v>461</v>
      </c>
      <c r="Z148" s="8">
        <f t="shared" si="263"/>
        <v>461</v>
      </c>
      <c r="AA148" s="8">
        <f t="shared" si="263"/>
        <v>461</v>
      </c>
      <c r="AB148" s="8">
        <f t="shared" si="263"/>
        <v>461</v>
      </c>
      <c r="AC148" s="8">
        <f t="shared" si="263"/>
        <v>461</v>
      </c>
      <c r="AD148" s="8">
        <v>462</v>
      </c>
      <c r="AE148" s="8">
        <f t="shared" si="263"/>
        <v>462</v>
      </c>
      <c r="AF148" s="8">
        <f t="shared" si="263"/>
        <v>462</v>
      </c>
      <c r="AG148" s="8">
        <f t="shared" si="263"/>
        <v>462</v>
      </c>
      <c r="AH148" s="8" t="str">
        <f t="shared" si="263"/>
        <v/>
      </c>
      <c r="AI148" s="8" t="str">
        <f t="shared" si="263"/>
        <v/>
      </c>
      <c r="AJ148" s="8" t="str">
        <f t="shared" si="263"/>
        <v/>
      </c>
      <c r="AK148" s="8" t="str">
        <f t="shared" si="263"/>
        <v/>
      </c>
      <c r="AL148" s="8" t="str">
        <f t="shared" si="263"/>
        <v/>
      </c>
      <c r="AM148" s="8" t="str">
        <f t="shared" si="263"/>
        <v/>
      </c>
      <c r="AN148" s="8" t="str">
        <f t="shared" si="263"/>
        <v/>
      </c>
      <c r="AO148" s="8" t="str">
        <f t="shared" ref="AO148:AS148" si="264">IF(AO$3="","",AN148)</f>
        <v/>
      </c>
      <c r="AP148" s="8" t="str">
        <f t="shared" si="264"/>
        <v/>
      </c>
      <c r="AQ148" s="8" t="str">
        <f t="shared" si="264"/>
        <v/>
      </c>
      <c r="AR148" s="8" t="str">
        <f t="shared" si="264"/>
        <v/>
      </c>
      <c r="AS148" s="8" t="str">
        <f t="shared" si="264"/>
        <v/>
      </c>
    </row>
    <row r="149" spans="1:45">
      <c r="A149" s="15">
        <v>2</v>
      </c>
      <c r="B149" s="9" t="s">
        <v>5</v>
      </c>
      <c r="C149" s="74">
        <v>12</v>
      </c>
      <c r="D149" s="8">
        <f t="shared" ref="D149:K149" si="265">IF(D147="","",(C149+C150))</f>
        <v>12</v>
      </c>
      <c r="E149" s="8">
        <f t="shared" si="265"/>
        <v>12</v>
      </c>
      <c r="F149" s="8">
        <f t="shared" si="265"/>
        <v>12</v>
      </c>
      <c r="G149" s="59">
        <f t="shared" si="265"/>
        <v>12</v>
      </c>
      <c r="H149" s="8">
        <f t="shared" si="265"/>
        <v>12</v>
      </c>
      <c r="I149" s="8">
        <f t="shared" si="265"/>
        <v>12</v>
      </c>
      <c r="J149" s="59">
        <f t="shared" si="265"/>
        <v>12</v>
      </c>
      <c r="K149" s="8">
        <f t="shared" si="265"/>
        <v>12</v>
      </c>
      <c r="L149" s="8">
        <v>10</v>
      </c>
      <c r="M149" s="59">
        <f>IF(M147="","",(L149+L150))</f>
        <v>13</v>
      </c>
      <c r="N149" s="8">
        <f>IF(N147="","",(M149+M150))</f>
        <v>13</v>
      </c>
      <c r="O149" s="8">
        <f>IF(O147="","",(N149+N150))</f>
        <v>13</v>
      </c>
      <c r="P149" s="8">
        <v>12</v>
      </c>
      <c r="Q149" s="59">
        <f t="shared" ref="Q149:AN149" si="266">IF(Q147="","",(P149+P150))</f>
        <v>12</v>
      </c>
      <c r="R149" s="8">
        <f t="shared" si="266"/>
        <v>12</v>
      </c>
      <c r="S149" s="8">
        <f t="shared" si="266"/>
        <v>12</v>
      </c>
      <c r="T149" s="8">
        <f t="shared" si="266"/>
        <v>17</v>
      </c>
      <c r="U149" s="8">
        <f t="shared" si="266"/>
        <v>17</v>
      </c>
      <c r="V149" s="8">
        <f t="shared" si="266"/>
        <v>17</v>
      </c>
      <c r="W149" s="8">
        <f t="shared" si="266"/>
        <v>17</v>
      </c>
      <c r="X149" s="8">
        <f t="shared" si="266"/>
        <v>17</v>
      </c>
      <c r="Y149" s="8">
        <f t="shared" si="266"/>
        <v>17</v>
      </c>
      <c r="Z149" s="8">
        <f t="shared" si="266"/>
        <v>17</v>
      </c>
      <c r="AA149" s="8">
        <f t="shared" si="266"/>
        <v>17</v>
      </c>
      <c r="AB149" s="8">
        <f t="shared" si="266"/>
        <v>17</v>
      </c>
      <c r="AC149" s="8">
        <f t="shared" si="266"/>
        <v>17</v>
      </c>
      <c r="AD149" s="8">
        <v>16</v>
      </c>
      <c r="AE149" s="8">
        <f t="shared" si="266"/>
        <v>16</v>
      </c>
      <c r="AF149" s="8">
        <f t="shared" si="266"/>
        <v>16</v>
      </c>
      <c r="AG149" s="8">
        <f t="shared" si="266"/>
        <v>16</v>
      </c>
      <c r="AH149" s="8" t="str">
        <f t="shared" si="266"/>
        <v/>
      </c>
      <c r="AI149" s="8" t="str">
        <f t="shared" si="266"/>
        <v/>
      </c>
      <c r="AJ149" s="8" t="str">
        <f t="shared" si="266"/>
        <v/>
      </c>
      <c r="AK149" s="8" t="str">
        <f t="shared" si="266"/>
        <v/>
      </c>
      <c r="AL149" s="8" t="str">
        <f t="shared" si="266"/>
        <v/>
      </c>
      <c r="AM149" s="8" t="str">
        <f t="shared" si="266"/>
        <v/>
      </c>
      <c r="AN149" s="8" t="str">
        <f t="shared" si="266"/>
        <v/>
      </c>
      <c r="AO149" s="8" t="str">
        <f t="shared" ref="AO149:AS149" si="267">IF(AO147="","",(AN149+AN150))</f>
        <v/>
      </c>
      <c r="AP149" s="8" t="str">
        <f t="shared" si="267"/>
        <v/>
      </c>
      <c r="AQ149" s="8" t="str">
        <f t="shared" si="267"/>
        <v/>
      </c>
      <c r="AR149" s="8" t="str">
        <f t="shared" si="267"/>
        <v/>
      </c>
      <c r="AS149" s="8" t="str">
        <f t="shared" si="267"/>
        <v/>
      </c>
    </row>
    <row r="150" spans="1:45">
      <c r="A150" s="14"/>
      <c r="B150" s="9" t="s">
        <v>7</v>
      </c>
      <c r="C150" s="74"/>
      <c r="D150" s="8"/>
      <c r="E150" s="8"/>
      <c r="F150" s="8"/>
      <c r="G150" s="59"/>
      <c r="H150" s="8"/>
      <c r="I150" s="8"/>
      <c r="J150" s="59"/>
      <c r="K150" s="8"/>
      <c r="L150" s="8">
        <v>3</v>
      </c>
      <c r="M150" s="59"/>
      <c r="N150" s="8"/>
      <c r="O150" s="8"/>
      <c r="P150" s="8"/>
      <c r="Q150" s="59"/>
      <c r="R150" s="8"/>
      <c r="S150" s="8">
        <v>5</v>
      </c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</row>
    <row r="151" spans="1:45">
      <c r="A151" s="7"/>
      <c r="B151" s="9" t="s">
        <v>8</v>
      </c>
      <c r="C151" s="74">
        <v>682</v>
      </c>
      <c r="D151" s="8">
        <f t="shared" ref="D151:AN151" si="268">IF(D147="","",C151)</f>
        <v>682</v>
      </c>
      <c r="E151" s="8">
        <f t="shared" si="268"/>
        <v>682</v>
      </c>
      <c r="F151" s="8">
        <f t="shared" si="268"/>
        <v>682</v>
      </c>
      <c r="G151" s="59">
        <f t="shared" si="268"/>
        <v>682</v>
      </c>
      <c r="H151" s="8">
        <f t="shared" si="268"/>
        <v>682</v>
      </c>
      <c r="I151" s="8">
        <f t="shared" si="268"/>
        <v>682</v>
      </c>
      <c r="J151" s="59">
        <f t="shared" si="268"/>
        <v>682</v>
      </c>
      <c r="K151" s="8">
        <f t="shared" si="268"/>
        <v>682</v>
      </c>
      <c r="L151" s="8">
        <f t="shared" si="268"/>
        <v>682</v>
      </c>
      <c r="M151" s="59">
        <f t="shared" si="268"/>
        <v>682</v>
      </c>
      <c r="N151" s="8">
        <f t="shared" si="268"/>
        <v>682</v>
      </c>
      <c r="O151" s="8">
        <f t="shared" si="268"/>
        <v>682</v>
      </c>
      <c r="P151" s="8">
        <f t="shared" si="268"/>
        <v>682</v>
      </c>
      <c r="Q151" s="59">
        <f t="shared" si="268"/>
        <v>682</v>
      </c>
      <c r="R151" s="8">
        <f t="shared" si="268"/>
        <v>682</v>
      </c>
      <c r="S151" s="8">
        <f t="shared" si="268"/>
        <v>682</v>
      </c>
      <c r="T151" s="8">
        <f t="shared" si="268"/>
        <v>682</v>
      </c>
      <c r="U151" s="8">
        <f t="shared" si="268"/>
        <v>682</v>
      </c>
      <c r="V151" s="8">
        <f t="shared" si="268"/>
        <v>682</v>
      </c>
      <c r="W151" s="8">
        <f t="shared" si="268"/>
        <v>682</v>
      </c>
      <c r="X151" s="8">
        <f t="shared" si="268"/>
        <v>682</v>
      </c>
      <c r="Y151" s="8">
        <f t="shared" si="268"/>
        <v>682</v>
      </c>
      <c r="Z151" s="8">
        <f t="shared" si="268"/>
        <v>682</v>
      </c>
      <c r="AA151" s="8">
        <f t="shared" si="268"/>
        <v>682</v>
      </c>
      <c r="AB151" s="8">
        <f t="shared" si="268"/>
        <v>682</v>
      </c>
      <c r="AC151" s="8">
        <f t="shared" si="268"/>
        <v>682</v>
      </c>
      <c r="AD151" s="8">
        <f t="shared" si="268"/>
        <v>682</v>
      </c>
      <c r="AE151" s="8">
        <f t="shared" si="268"/>
        <v>682</v>
      </c>
      <c r="AF151" s="8">
        <f t="shared" si="268"/>
        <v>682</v>
      </c>
      <c r="AG151" s="8">
        <f t="shared" si="268"/>
        <v>682</v>
      </c>
      <c r="AH151" s="8" t="str">
        <f t="shared" si="268"/>
        <v/>
      </c>
      <c r="AI151" s="8" t="str">
        <f t="shared" si="268"/>
        <v/>
      </c>
      <c r="AJ151" s="8" t="str">
        <f t="shared" si="268"/>
        <v/>
      </c>
      <c r="AK151" s="8" t="str">
        <f t="shared" si="268"/>
        <v/>
      </c>
      <c r="AL151" s="8" t="str">
        <f t="shared" si="268"/>
        <v/>
      </c>
      <c r="AM151" s="8" t="str">
        <f t="shared" si="268"/>
        <v/>
      </c>
      <c r="AN151" s="8" t="str">
        <f t="shared" si="268"/>
        <v/>
      </c>
      <c r="AO151" s="8" t="str">
        <f t="shared" ref="AO151:AS151" si="269">IF(AO147="","",AN151)</f>
        <v/>
      </c>
      <c r="AP151" s="8" t="str">
        <f t="shared" si="269"/>
        <v/>
      </c>
      <c r="AQ151" s="8" t="str">
        <f t="shared" si="269"/>
        <v/>
      </c>
      <c r="AR151" s="8" t="str">
        <f t="shared" si="269"/>
        <v/>
      </c>
      <c r="AS151" s="8" t="str">
        <f t="shared" si="269"/>
        <v/>
      </c>
    </row>
    <row r="152" spans="1:45" s="94" customFormat="1">
      <c r="A152" s="14" t="s">
        <v>9</v>
      </c>
      <c r="B152" s="13" t="s">
        <v>10</v>
      </c>
      <c r="C152" s="75" t="s">
        <v>93</v>
      </c>
      <c r="D152" s="12" t="str">
        <f t="shared" ref="D152:AN152" si="270">IF(D147="","",C152)</f>
        <v>NICI</v>
      </c>
      <c r="E152" s="12" t="str">
        <f t="shared" si="270"/>
        <v>NICI</v>
      </c>
      <c r="F152" s="12" t="str">
        <f t="shared" si="270"/>
        <v>NICI</v>
      </c>
      <c r="G152" s="131" t="str">
        <f t="shared" si="270"/>
        <v>NICI</v>
      </c>
      <c r="H152" s="12" t="str">
        <f t="shared" si="270"/>
        <v>NICI</v>
      </c>
      <c r="I152" s="12" t="str">
        <f t="shared" si="270"/>
        <v>NICI</v>
      </c>
      <c r="J152" s="131" t="str">
        <f t="shared" si="270"/>
        <v>NICI</v>
      </c>
      <c r="K152" s="12" t="str">
        <f t="shared" si="270"/>
        <v>NICI</v>
      </c>
      <c r="L152" s="12" t="str">
        <f t="shared" si="270"/>
        <v>NICI</v>
      </c>
      <c r="M152" s="131" t="str">
        <f t="shared" si="270"/>
        <v>NICI</v>
      </c>
      <c r="N152" s="12" t="str">
        <f t="shared" si="270"/>
        <v>NICI</v>
      </c>
      <c r="O152" s="12" t="str">
        <f t="shared" si="270"/>
        <v>NICI</v>
      </c>
      <c r="P152" s="12" t="str">
        <f t="shared" si="270"/>
        <v>NICI</v>
      </c>
      <c r="Q152" s="131" t="str">
        <f t="shared" si="270"/>
        <v>NICI</v>
      </c>
      <c r="R152" s="12" t="str">
        <f t="shared" si="270"/>
        <v>NICI</v>
      </c>
      <c r="S152" s="12" t="str">
        <f t="shared" si="270"/>
        <v>NICI</v>
      </c>
      <c r="T152" s="12" t="str">
        <f t="shared" si="270"/>
        <v>NICI</v>
      </c>
      <c r="U152" s="12" t="str">
        <f t="shared" si="270"/>
        <v>NICI</v>
      </c>
      <c r="V152" s="12" t="str">
        <f t="shared" si="270"/>
        <v>NICI</v>
      </c>
      <c r="W152" s="12" t="str">
        <f t="shared" si="270"/>
        <v>NICI</v>
      </c>
      <c r="X152" s="12" t="str">
        <f t="shared" si="270"/>
        <v>NICI</v>
      </c>
      <c r="Y152" s="12" t="str">
        <f t="shared" si="270"/>
        <v>NICI</v>
      </c>
      <c r="Z152" s="12" t="str">
        <f t="shared" si="270"/>
        <v>NICI</v>
      </c>
      <c r="AA152" s="12" t="str">
        <f t="shared" si="270"/>
        <v>NICI</v>
      </c>
      <c r="AB152" s="12" t="str">
        <f t="shared" si="270"/>
        <v>NICI</v>
      </c>
      <c r="AC152" s="12" t="str">
        <f t="shared" si="270"/>
        <v>NICI</v>
      </c>
      <c r="AD152" s="12" t="str">
        <f t="shared" si="270"/>
        <v>NICI</v>
      </c>
      <c r="AE152" s="12" t="str">
        <f t="shared" si="270"/>
        <v>NICI</v>
      </c>
      <c r="AF152" s="12" t="str">
        <f t="shared" si="270"/>
        <v>NICI</v>
      </c>
      <c r="AG152" s="12" t="str">
        <f t="shared" si="270"/>
        <v>NICI</v>
      </c>
      <c r="AH152" s="12" t="str">
        <f t="shared" si="270"/>
        <v/>
      </c>
      <c r="AI152" s="12" t="str">
        <f t="shared" si="270"/>
        <v/>
      </c>
      <c r="AJ152" s="12" t="str">
        <f t="shared" si="270"/>
        <v/>
      </c>
      <c r="AK152" s="12" t="str">
        <f t="shared" si="270"/>
        <v/>
      </c>
      <c r="AL152" s="12" t="str">
        <f t="shared" si="270"/>
        <v/>
      </c>
      <c r="AM152" s="12" t="str">
        <f t="shared" si="270"/>
        <v/>
      </c>
      <c r="AN152" s="12" t="str">
        <f t="shared" si="270"/>
        <v/>
      </c>
      <c r="AO152" s="12" t="str">
        <f t="shared" ref="AO152:AS152" si="271">IF(AO147="","",AN152)</f>
        <v/>
      </c>
      <c r="AP152" s="12" t="str">
        <f t="shared" si="271"/>
        <v/>
      </c>
      <c r="AQ152" s="12" t="str">
        <f t="shared" si="271"/>
        <v/>
      </c>
      <c r="AR152" s="12" t="str">
        <f t="shared" si="271"/>
        <v/>
      </c>
      <c r="AS152" s="12" t="str">
        <f t="shared" si="271"/>
        <v/>
      </c>
    </row>
    <row r="153" spans="1:45">
      <c r="A153" s="7">
        <f>AVERAGE(C154:AS154)*30*100</f>
        <v>32612.903225806451</v>
      </c>
      <c r="B153" s="9" t="s">
        <v>14</v>
      </c>
      <c r="C153" s="74"/>
      <c r="D153" s="8"/>
      <c r="E153" s="8"/>
      <c r="F153" s="8"/>
      <c r="G153" s="59"/>
      <c r="H153" s="8"/>
      <c r="I153" s="8"/>
      <c r="J153" s="59"/>
      <c r="K153" s="8"/>
      <c r="L153" s="8"/>
      <c r="M153" s="59"/>
      <c r="N153" s="8"/>
      <c r="O153" s="8"/>
      <c r="P153" s="8"/>
      <c r="Q153" s="59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</row>
    <row r="154" spans="1:45">
      <c r="A154" s="7">
        <f>SUM(C154:AS154)</f>
        <v>337</v>
      </c>
      <c r="B154" s="6" t="s">
        <v>15</v>
      </c>
      <c r="C154" s="74">
        <v>0</v>
      </c>
      <c r="D154" s="5">
        <f t="shared" ref="D154:AN154" si="272">IF(D147="","",D147-C147)</f>
        <v>0</v>
      </c>
      <c r="E154" s="5">
        <f t="shared" si="272"/>
        <v>0</v>
      </c>
      <c r="F154" s="5">
        <f t="shared" si="272"/>
        <v>33</v>
      </c>
      <c r="G154" s="59">
        <f t="shared" si="272"/>
        <v>0</v>
      </c>
      <c r="H154" s="5">
        <f t="shared" si="272"/>
        <v>0</v>
      </c>
      <c r="I154" s="5">
        <f t="shared" si="272"/>
        <v>21</v>
      </c>
      <c r="J154" s="59">
        <f t="shared" si="272"/>
        <v>0</v>
      </c>
      <c r="K154" s="5">
        <f t="shared" si="272"/>
        <v>0</v>
      </c>
      <c r="L154" s="5">
        <f t="shared" si="272"/>
        <v>73</v>
      </c>
      <c r="M154" s="59">
        <f t="shared" si="272"/>
        <v>0</v>
      </c>
      <c r="N154" s="5">
        <f t="shared" si="272"/>
        <v>0</v>
      </c>
      <c r="O154" s="5">
        <f t="shared" si="272"/>
        <v>0</v>
      </c>
      <c r="P154" s="5">
        <f t="shared" si="272"/>
        <v>48</v>
      </c>
      <c r="Q154" s="59">
        <f t="shared" si="272"/>
        <v>0</v>
      </c>
      <c r="R154" s="5">
        <f t="shared" si="272"/>
        <v>0</v>
      </c>
      <c r="S154" s="5">
        <f t="shared" si="272"/>
        <v>18</v>
      </c>
      <c r="T154" s="5">
        <f t="shared" si="272"/>
        <v>0</v>
      </c>
      <c r="U154" s="5">
        <f t="shared" si="272"/>
        <v>0</v>
      </c>
      <c r="V154" s="5">
        <f t="shared" si="272"/>
        <v>0</v>
      </c>
      <c r="W154" s="5">
        <f t="shared" si="272"/>
        <v>11</v>
      </c>
      <c r="X154" s="5">
        <f t="shared" si="272"/>
        <v>0</v>
      </c>
      <c r="Y154" s="5">
        <f t="shared" si="272"/>
        <v>0</v>
      </c>
      <c r="Z154" s="5">
        <f t="shared" si="272"/>
        <v>68</v>
      </c>
      <c r="AA154" s="5">
        <f t="shared" si="272"/>
        <v>0</v>
      </c>
      <c r="AB154" s="5">
        <f t="shared" si="272"/>
        <v>0</v>
      </c>
      <c r="AC154" s="5">
        <f t="shared" si="272"/>
        <v>0</v>
      </c>
      <c r="AD154" s="5">
        <f t="shared" si="272"/>
        <v>29</v>
      </c>
      <c r="AE154" s="5">
        <f t="shared" si="272"/>
        <v>0</v>
      </c>
      <c r="AF154" s="5">
        <f t="shared" si="272"/>
        <v>0</v>
      </c>
      <c r="AG154" s="5">
        <f t="shared" si="272"/>
        <v>36</v>
      </c>
      <c r="AH154" s="5" t="str">
        <f t="shared" si="272"/>
        <v/>
      </c>
      <c r="AI154" s="5" t="str">
        <f t="shared" si="272"/>
        <v/>
      </c>
      <c r="AJ154" s="5" t="str">
        <f t="shared" si="272"/>
        <v/>
      </c>
      <c r="AK154" s="5" t="str">
        <f t="shared" si="272"/>
        <v/>
      </c>
      <c r="AL154" s="5" t="str">
        <f t="shared" si="272"/>
        <v/>
      </c>
      <c r="AM154" s="5" t="str">
        <f t="shared" si="272"/>
        <v/>
      </c>
      <c r="AN154" s="5" t="str">
        <f t="shared" si="272"/>
        <v/>
      </c>
      <c r="AO154" s="5" t="str">
        <f t="shared" ref="AO154:AS154" si="273">IF(AO147="","",AO147-AN147)</f>
        <v/>
      </c>
      <c r="AP154" s="5" t="str">
        <f t="shared" si="273"/>
        <v/>
      </c>
      <c r="AQ154" s="5" t="str">
        <f t="shared" si="273"/>
        <v/>
      </c>
      <c r="AR154" s="5" t="str">
        <f t="shared" si="273"/>
        <v/>
      </c>
      <c r="AS154" s="5" t="str">
        <f t="shared" si="273"/>
        <v/>
      </c>
    </row>
    <row r="155" spans="1:45">
      <c r="A155" s="7">
        <f>SUM(C155:AS155)</f>
        <v>4</v>
      </c>
      <c r="B155" s="6" t="s">
        <v>16</v>
      </c>
      <c r="C155" s="74">
        <v>0</v>
      </c>
      <c r="D155" s="5">
        <f t="shared" ref="D155:AN155" si="274">IF(D148="","",D148-C148)</f>
        <v>0</v>
      </c>
      <c r="E155" s="5">
        <f t="shared" si="274"/>
        <v>0</v>
      </c>
      <c r="F155" s="5">
        <f t="shared" si="274"/>
        <v>0</v>
      </c>
      <c r="G155" s="59">
        <f t="shared" si="274"/>
        <v>0</v>
      </c>
      <c r="H155" s="5">
        <f t="shared" si="274"/>
        <v>0</v>
      </c>
      <c r="I155" s="5">
        <f t="shared" si="274"/>
        <v>0</v>
      </c>
      <c r="J155" s="59">
        <f t="shared" si="274"/>
        <v>0</v>
      </c>
      <c r="K155" s="5">
        <f t="shared" si="274"/>
        <v>0</v>
      </c>
      <c r="L155" s="5">
        <f t="shared" si="274"/>
        <v>2</v>
      </c>
      <c r="M155" s="59">
        <f t="shared" si="274"/>
        <v>0</v>
      </c>
      <c r="N155" s="5">
        <f t="shared" si="274"/>
        <v>0</v>
      </c>
      <c r="O155" s="5">
        <f t="shared" si="274"/>
        <v>0</v>
      </c>
      <c r="P155" s="5">
        <f t="shared" si="274"/>
        <v>1</v>
      </c>
      <c r="Q155" s="59">
        <f t="shared" si="274"/>
        <v>0</v>
      </c>
      <c r="R155" s="5">
        <f t="shared" si="274"/>
        <v>0</v>
      </c>
      <c r="S155" s="5">
        <f t="shared" si="274"/>
        <v>0</v>
      </c>
      <c r="T155" s="5">
        <f t="shared" si="274"/>
        <v>0</v>
      </c>
      <c r="U155" s="5">
        <f t="shared" si="274"/>
        <v>0</v>
      </c>
      <c r="V155" s="5">
        <f t="shared" si="274"/>
        <v>0</v>
      </c>
      <c r="W155" s="5">
        <f t="shared" si="274"/>
        <v>0</v>
      </c>
      <c r="X155" s="5">
        <f t="shared" si="274"/>
        <v>0</v>
      </c>
      <c r="Y155" s="5">
        <f t="shared" si="274"/>
        <v>0</v>
      </c>
      <c r="Z155" s="5">
        <f t="shared" si="274"/>
        <v>0</v>
      </c>
      <c r="AA155" s="5">
        <f t="shared" si="274"/>
        <v>0</v>
      </c>
      <c r="AB155" s="5">
        <f t="shared" si="274"/>
        <v>0</v>
      </c>
      <c r="AC155" s="5">
        <f t="shared" si="274"/>
        <v>0</v>
      </c>
      <c r="AD155" s="5">
        <f t="shared" si="274"/>
        <v>1</v>
      </c>
      <c r="AE155" s="5">
        <f t="shared" si="274"/>
        <v>0</v>
      </c>
      <c r="AF155" s="5">
        <f t="shared" si="274"/>
        <v>0</v>
      </c>
      <c r="AG155" s="5">
        <f t="shared" si="274"/>
        <v>0</v>
      </c>
      <c r="AH155" s="5" t="str">
        <f t="shared" si="274"/>
        <v/>
      </c>
      <c r="AI155" s="5" t="str">
        <f t="shared" si="274"/>
        <v/>
      </c>
      <c r="AJ155" s="5" t="str">
        <f t="shared" si="274"/>
        <v/>
      </c>
      <c r="AK155" s="5" t="str">
        <f t="shared" si="274"/>
        <v/>
      </c>
      <c r="AL155" s="5" t="str">
        <f t="shared" si="274"/>
        <v/>
      </c>
      <c r="AM155" s="5" t="str">
        <f t="shared" si="274"/>
        <v/>
      </c>
      <c r="AN155" s="5" t="str">
        <f t="shared" si="274"/>
        <v/>
      </c>
      <c r="AO155" s="5" t="str">
        <f t="shared" ref="AO155:AS155" si="275">IF(AO148="","",AO148-AN148)</f>
        <v/>
      </c>
      <c r="AP155" s="5" t="str">
        <f t="shared" si="275"/>
        <v/>
      </c>
      <c r="AQ155" s="5" t="str">
        <f t="shared" si="275"/>
        <v/>
      </c>
      <c r="AR155" s="5" t="str">
        <f t="shared" si="275"/>
        <v/>
      </c>
      <c r="AS155" s="5" t="str">
        <f t="shared" si="275"/>
        <v/>
      </c>
    </row>
    <row r="156" spans="1:45">
      <c r="A156" s="7">
        <f>SUM(C156:AS156)</f>
        <v>4</v>
      </c>
      <c r="B156" s="6" t="s">
        <v>17</v>
      </c>
      <c r="C156" s="74">
        <v>0</v>
      </c>
      <c r="D156" s="5">
        <f t="shared" ref="D156:AN156" si="276">IF(D149="","",C149+C150-D149)</f>
        <v>0</v>
      </c>
      <c r="E156" s="5">
        <f t="shared" si="276"/>
        <v>0</v>
      </c>
      <c r="F156" s="5">
        <f t="shared" si="276"/>
        <v>0</v>
      </c>
      <c r="G156" s="59">
        <f t="shared" si="276"/>
        <v>0</v>
      </c>
      <c r="H156" s="5">
        <f t="shared" si="276"/>
        <v>0</v>
      </c>
      <c r="I156" s="5">
        <f t="shared" si="276"/>
        <v>0</v>
      </c>
      <c r="J156" s="59">
        <f t="shared" si="276"/>
        <v>0</v>
      </c>
      <c r="K156" s="5">
        <f t="shared" si="276"/>
        <v>0</v>
      </c>
      <c r="L156" s="5">
        <f t="shared" si="276"/>
        <v>2</v>
      </c>
      <c r="M156" s="59">
        <f t="shared" si="276"/>
        <v>0</v>
      </c>
      <c r="N156" s="5">
        <f t="shared" si="276"/>
        <v>0</v>
      </c>
      <c r="O156" s="5">
        <f t="shared" si="276"/>
        <v>0</v>
      </c>
      <c r="P156" s="5">
        <f t="shared" si="276"/>
        <v>1</v>
      </c>
      <c r="Q156" s="59">
        <f t="shared" si="276"/>
        <v>0</v>
      </c>
      <c r="R156" s="5">
        <f t="shared" si="276"/>
        <v>0</v>
      </c>
      <c r="S156" s="5">
        <f t="shared" si="276"/>
        <v>0</v>
      </c>
      <c r="T156" s="5">
        <f t="shared" si="276"/>
        <v>0</v>
      </c>
      <c r="U156" s="5">
        <f t="shared" si="276"/>
        <v>0</v>
      </c>
      <c r="V156" s="5">
        <f t="shared" si="276"/>
        <v>0</v>
      </c>
      <c r="W156" s="5">
        <f t="shared" si="276"/>
        <v>0</v>
      </c>
      <c r="X156" s="5">
        <f t="shared" si="276"/>
        <v>0</v>
      </c>
      <c r="Y156" s="5">
        <f t="shared" si="276"/>
        <v>0</v>
      </c>
      <c r="Z156" s="5">
        <f t="shared" si="276"/>
        <v>0</v>
      </c>
      <c r="AA156" s="5">
        <f t="shared" si="276"/>
        <v>0</v>
      </c>
      <c r="AB156" s="5">
        <f t="shared" si="276"/>
        <v>0</v>
      </c>
      <c r="AC156" s="5">
        <f t="shared" si="276"/>
        <v>0</v>
      </c>
      <c r="AD156" s="5">
        <f t="shared" si="276"/>
        <v>1</v>
      </c>
      <c r="AE156" s="5">
        <f t="shared" si="276"/>
        <v>0</v>
      </c>
      <c r="AF156" s="5">
        <f t="shared" si="276"/>
        <v>0</v>
      </c>
      <c r="AG156" s="5">
        <f t="shared" si="276"/>
        <v>0</v>
      </c>
      <c r="AH156" s="5" t="str">
        <f t="shared" si="276"/>
        <v/>
      </c>
      <c r="AI156" s="5" t="str">
        <f t="shared" si="276"/>
        <v/>
      </c>
      <c r="AJ156" s="5" t="str">
        <f t="shared" si="276"/>
        <v/>
      </c>
      <c r="AK156" s="5" t="str">
        <f t="shared" si="276"/>
        <v/>
      </c>
      <c r="AL156" s="5" t="str">
        <f t="shared" si="276"/>
        <v/>
      </c>
      <c r="AM156" s="5" t="str">
        <f t="shared" si="276"/>
        <v/>
      </c>
      <c r="AN156" s="5" t="str">
        <f t="shared" si="276"/>
        <v/>
      </c>
      <c r="AO156" s="5" t="str">
        <f t="shared" ref="AO156:AS156" si="277">IF(AO149="","",AN149+AN150-AO149)</f>
        <v/>
      </c>
      <c r="AP156" s="5" t="str">
        <f t="shared" si="277"/>
        <v/>
      </c>
      <c r="AQ156" s="5" t="str">
        <f t="shared" si="277"/>
        <v/>
      </c>
      <c r="AR156" s="5" t="str">
        <f t="shared" si="277"/>
        <v/>
      </c>
      <c r="AS156" s="5" t="str">
        <f t="shared" si="277"/>
        <v/>
      </c>
    </row>
    <row r="157" spans="1:45">
      <c r="A157" s="7">
        <f>SUM(C157:AS157)</f>
        <v>2728</v>
      </c>
      <c r="B157" s="6" t="s">
        <v>18</v>
      </c>
      <c r="C157" s="74">
        <v>0</v>
      </c>
      <c r="D157" s="5">
        <f t="shared" ref="D157:AN157" si="278">IF(D147="","",D156*D151)</f>
        <v>0</v>
      </c>
      <c r="E157" s="5">
        <f t="shared" si="278"/>
        <v>0</v>
      </c>
      <c r="F157" s="5">
        <f t="shared" si="278"/>
        <v>0</v>
      </c>
      <c r="G157" s="59">
        <f t="shared" si="278"/>
        <v>0</v>
      </c>
      <c r="H157" s="5">
        <f t="shared" si="278"/>
        <v>0</v>
      </c>
      <c r="I157" s="5">
        <f t="shared" si="278"/>
        <v>0</v>
      </c>
      <c r="J157" s="59">
        <f t="shared" si="278"/>
        <v>0</v>
      </c>
      <c r="K157" s="5">
        <f t="shared" si="278"/>
        <v>0</v>
      </c>
      <c r="L157" s="5">
        <f t="shared" si="278"/>
        <v>1364</v>
      </c>
      <c r="M157" s="59">
        <f t="shared" si="278"/>
        <v>0</v>
      </c>
      <c r="N157" s="5">
        <f t="shared" si="278"/>
        <v>0</v>
      </c>
      <c r="O157" s="5">
        <f t="shared" si="278"/>
        <v>0</v>
      </c>
      <c r="P157" s="5">
        <f t="shared" si="278"/>
        <v>682</v>
      </c>
      <c r="Q157" s="59">
        <f t="shared" si="278"/>
        <v>0</v>
      </c>
      <c r="R157" s="5">
        <f t="shared" si="278"/>
        <v>0</v>
      </c>
      <c r="S157" s="5">
        <f t="shared" si="278"/>
        <v>0</v>
      </c>
      <c r="T157" s="5">
        <f t="shared" si="278"/>
        <v>0</v>
      </c>
      <c r="U157" s="5">
        <f t="shared" si="278"/>
        <v>0</v>
      </c>
      <c r="V157" s="5">
        <f t="shared" si="278"/>
        <v>0</v>
      </c>
      <c r="W157" s="5">
        <f t="shared" si="278"/>
        <v>0</v>
      </c>
      <c r="X157" s="5">
        <f t="shared" si="278"/>
        <v>0</v>
      </c>
      <c r="Y157" s="5">
        <f t="shared" si="278"/>
        <v>0</v>
      </c>
      <c r="Z157" s="5">
        <f t="shared" si="278"/>
        <v>0</v>
      </c>
      <c r="AA157" s="5">
        <f t="shared" si="278"/>
        <v>0</v>
      </c>
      <c r="AB157" s="5">
        <f t="shared" si="278"/>
        <v>0</v>
      </c>
      <c r="AC157" s="5">
        <f t="shared" si="278"/>
        <v>0</v>
      </c>
      <c r="AD157" s="5">
        <f t="shared" si="278"/>
        <v>682</v>
      </c>
      <c r="AE157" s="5">
        <f t="shared" si="278"/>
        <v>0</v>
      </c>
      <c r="AF157" s="5">
        <f t="shared" si="278"/>
        <v>0</v>
      </c>
      <c r="AG157" s="5">
        <f t="shared" si="278"/>
        <v>0</v>
      </c>
      <c r="AH157" s="5" t="str">
        <f t="shared" si="278"/>
        <v/>
      </c>
      <c r="AI157" s="5" t="str">
        <f t="shared" si="278"/>
        <v/>
      </c>
      <c r="AJ157" s="5" t="str">
        <f t="shared" si="278"/>
        <v/>
      </c>
      <c r="AK157" s="5" t="str">
        <f t="shared" si="278"/>
        <v/>
      </c>
      <c r="AL157" s="5" t="str">
        <f t="shared" si="278"/>
        <v/>
      </c>
      <c r="AM157" s="5" t="str">
        <f t="shared" si="278"/>
        <v/>
      </c>
      <c r="AN157" s="5" t="str">
        <f t="shared" si="278"/>
        <v/>
      </c>
      <c r="AO157" s="5" t="str">
        <f t="shared" ref="AO157:AS157" si="279">IF(AO147="","",AO156*AO151)</f>
        <v/>
      </c>
      <c r="AP157" s="5" t="str">
        <f t="shared" si="279"/>
        <v/>
      </c>
      <c r="AQ157" s="5" t="str">
        <f t="shared" si="279"/>
        <v/>
      </c>
      <c r="AR157" s="5" t="str">
        <f t="shared" si="279"/>
        <v/>
      </c>
      <c r="AS157" s="5" t="str">
        <f t="shared" si="279"/>
        <v/>
      </c>
    </row>
    <row r="158" spans="1:45" ht="12" thickBot="1">
      <c r="A158" s="4">
        <f>IF(A157="","",A157/(A154*100))</f>
        <v>8.0949554896142431E-2</v>
      </c>
      <c r="B158" s="6" t="s">
        <v>20</v>
      </c>
      <c r="C158" s="76" t="s">
        <v>21</v>
      </c>
      <c r="D158" s="18" t="str">
        <f t="shared" ref="D158:AN158" si="280">IF(D157="","",IF(D157=0,"",D157/(D154*100)))</f>
        <v/>
      </c>
      <c r="E158" s="18" t="str">
        <f t="shared" si="280"/>
        <v/>
      </c>
      <c r="F158" s="18" t="str">
        <f t="shared" si="280"/>
        <v/>
      </c>
      <c r="G158" s="62" t="str">
        <f t="shared" si="280"/>
        <v/>
      </c>
      <c r="H158" s="18" t="str">
        <f t="shared" si="280"/>
        <v/>
      </c>
      <c r="I158" s="18" t="str">
        <f t="shared" si="280"/>
        <v/>
      </c>
      <c r="J158" s="62" t="str">
        <f t="shared" si="280"/>
        <v/>
      </c>
      <c r="K158" s="18" t="str">
        <f t="shared" si="280"/>
        <v/>
      </c>
      <c r="L158" s="18">
        <f t="shared" si="280"/>
        <v>0.18684931506849314</v>
      </c>
      <c r="M158" s="62" t="str">
        <f t="shared" si="280"/>
        <v/>
      </c>
      <c r="N158" s="18" t="str">
        <f t="shared" si="280"/>
        <v/>
      </c>
      <c r="O158" s="18" t="str">
        <f t="shared" si="280"/>
        <v/>
      </c>
      <c r="P158" s="18">
        <f t="shared" si="280"/>
        <v>0.14208333333333334</v>
      </c>
      <c r="Q158" s="62" t="str">
        <f t="shared" si="280"/>
        <v/>
      </c>
      <c r="R158" s="18" t="str">
        <f t="shared" si="280"/>
        <v/>
      </c>
      <c r="S158" s="18" t="str">
        <f t="shared" si="280"/>
        <v/>
      </c>
      <c r="T158" s="18" t="str">
        <f t="shared" si="280"/>
        <v/>
      </c>
      <c r="U158" s="18" t="str">
        <f t="shared" si="280"/>
        <v/>
      </c>
      <c r="V158" s="18" t="str">
        <f t="shared" si="280"/>
        <v/>
      </c>
      <c r="W158" s="18" t="str">
        <f t="shared" si="280"/>
        <v/>
      </c>
      <c r="X158" s="18" t="str">
        <f t="shared" si="280"/>
        <v/>
      </c>
      <c r="Y158" s="18" t="str">
        <f t="shared" si="280"/>
        <v/>
      </c>
      <c r="Z158" s="18" t="str">
        <f t="shared" si="280"/>
        <v/>
      </c>
      <c r="AA158" s="18" t="str">
        <f t="shared" si="280"/>
        <v/>
      </c>
      <c r="AB158" s="18" t="str">
        <f t="shared" si="280"/>
        <v/>
      </c>
      <c r="AC158" s="18" t="str">
        <f t="shared" si="280"/>
        <v/>
      </c>
      <c r="AD158" s="18">
        <f t="shared" si="280"/>
        <v>0.23517241379310344</v>
      </c>
      <c r="AE158" s="18" t="str">
        <f t="shared" si="280"/>
        <v/>
      </c>
      <c r="AF158" s="18" t="str">
        <f t="shared" si="280"/>
        <v/>
      </c>
      <c r="AG158" s="18" t="str">
        <f t="shared" si="280"/>
        <v/>
      </c>
      <c r="AH158" s="18" t="str">
        <f t="shared" si="280"/>
        <v/>
      </c>
      <c r="AI158" s="18" t="str">
        <f t="shared" si="280"/>
        <v/>
      </c>
      <c r="AJ158" s="18" t="str">
        <f t="shared" si="280"/>
        <v/>
      </c>
      <c r="AK158" s="18" t="str">
        <f t="shared" si="280"/>
        <v/>
      </c>
      <c r="AL158" s="18" t="str">
        <f t="shared" si="280"/>
        <v/>
      </c>
      <c r="AM158" s="18" t="str">
        <f t="shared" si="280"/>
        <v/>
      </c>
      <c r="AN158" s="18" t="str">
        <f t="shared" si="280"/>
        <v/>
      </c>
      <c r="AO158" s="18" t="str">
        <f t="shared" ref="AO158:AS158" si="281">IF(AO157="","",IF(AO157=0,"",AO157/(AO154*100)))</f>
        <v/>
      </c>
      <c r="AP158" s="18" t="str">
        <f t="shared" si="281"/>
        <v/>
      </c>
      <c r="AQ158" s="18" t="str">
        <f t="shared" si="281"/>
        <v/>
      </c>
      <c r="AR158" s="18" t="str">
        <f t="shared" si="281"/>
        <v/>
      </c>
      <c r="AS158" s="18" t="str">
        <f t="shared" si="281"/>
        <v/>
      </c>
    </row>
    <row r="159" spans="1:45">
      <c r="A159" s="17" t="s">
        <v>78</v>
      </c>
      <c r="B159" s="9" t="s">
        <v>2</v>
      </c>
      <c r="C159" s="74">
        <v>12227</v>
      </c>
      <c r="D159" s="8">
        <f>IF(D$3="","",C159)</f>
        <v>12227</v>
      </c>
      <c r="E159" s="8">
        <f>IF(E$3="","",D159)</f>
        <v>12227</v>
      </c>
      <c r="F159" s="8">
        <v>12282</v>
      </c>
      <c r="G159" s="59">
        <f>IF(G$3="","",F159)</f>
        <v>12282</v>
      </c>
      <c r="H159" s="8">
        <f>IF(H$3="","",G159)</f>
        <v>12282</v>
      </c>
      <c r="I159" s="8">
        <v>12309</v>
      </c>
      <c r="J159" s="59">
        <f>IF(J$3="","",I159)</f>
        <v>12309</v>
      </c>
      <c r="K159" s="8">
        <f>IF(K$3="","",J159)</f>
        <v>12309</v>
      </c>
      <c r="L159" s="8">
        <v>12338</v>
      </c>
      <c r="M159" s="59">
        <f t="shared" ref="M159:O160" si="282">IF(M$3="","",L159)</f>
        <v>12338</v>
      </c>
      <c r="N159" s="8">
        <f t="shared" si="282"/>
        <v>12338</v>
      </c>
      <c r="O159" s="8">
        <f t="shared" si="282"/>
        <v>12338</v>
      </c>
      <c r="P159" s="8">
        <v>12378</v>
      </c>
      <c r="Q159" s="59">
        <f>IF(Q$3="","",P159)</f>
        <v>12378</v>
      </c>
      <c r="R159" s="8">
        <f>IF(R$3="","",Q159)</f>
        <v>12378</v>
      </c>
      <c r="S159" s="8">
        <v>12415</v>
      </c>
      <c r="T159" s="8">
        <f t="shared" ref="T159:AN159" si="283">IF(T$3="","",S159)</f>
        <v>12415</v>
      </c>
      <c r="U159" s="8">
        <f t="shared" si="283"/>
        <v>12415</v>
      </c>
      <c r="V159" s="8">
        <f t="shared" si="283"/>
        <v>12415</v>
      </c>
      <c r="W159" s="8">
        <v>12452</v>
      </c>
      <c r="X159" s="8">
        <f t="shared" si="283"/>
        <v>12452</v>
      </c>
      <c r="Y159" s="8">
        <f t="shared" si="283"/>
        <v>12452</v>
      </c>
      <c r="Z159" s="8">
        <v>12509</v>
      </c>
      <c r="AA159" s="8">
        <f t="shared" si="283"/>
        <v>12509</v>
      </c>
      <c r="AB159" s="8">
        <f t="shared" si="283"/>
        <v>12509</v>
      </c>
      <c r="AC159" s="8">
        <f t="shared" si="283"/>
        <v>12509</v>
      </c>
      <c r="AD159" s="8">
        <v>12554</v>
      </c>
      <c r="AE159" s="8">
        <f t="shared" si="283"/>
        <v>12554</v>
      </c>
      <c r="AF159" s="8">
        <f t="shared" si="283"/>
        <v>12554</v>
      </c>
      <c r="AG159" s="8">
        <v>12571</v>
      </c>
      <c r="AH159" s="8" t="str">
        <f t="shared" si="283"/>
        <v/>
      </c>
      <c r="AI159" s="8" t="str">
        <f t="shared" si="283"/>
        <v/>
      </c>
      <c r="AJ159" s="8" t="str">
        <f t="shared" si="283"/>
        <v/>
      </c>
      <c r="AK159" s="8" t="str">
        <f t="shared" si="283"/>
        <v/>
      </c>
      <c r="AL159" s="8" t="str">
        <f t="shared" si="283"/>
        <v/>
      </c>
      <c r="AM159" s="8" t="str">
        <f t="shared" si="283"/>
        <v/>
      </c>
      <c r="AN159" s="8" t="str">
        <f t="shared" si="283"/>
        <v/>
      </c>
      <c r="AO159" s="8" t="str">
        <f t="shared" ref="AO159:AS159" si="284">IF(AO$3="","",AN159)</f>
        <v/>
      </c>
      <c r="AP159" s="8" t="str">
        <f t="shared" si="284"/>
        <v/>
      </c>
      <c r="AQ159" s="8" t="str">
        <f t="shared" si="284"/>
        <v/>
      </c>
      <c r="AR159" s="8" t="str">
        <f t="shared" si="284"/>
        <v/>
      </c>
      <c r="AS159" s="8" t="str">
        <f t="shared" si="284"/>
        <v/>
      </c>
    </row>
    <row r="160" spans="1:45">
      <c r="A160" s="16" t="s">
        <v>37</v>
      </c>
      <c r="B160" s="9" t="s">
        <v>4</v>
      </c>
      <c r="C160" s="74">
        <v>235</v>
      </c>
      <c r="D160" s="8">
        <f>IF(D$3="","",C160)</f>
        <v>235</v>
      </c>
      <c r="E160" s="8">
        <f>IF(E$3="","",D160)</f>
        <v>235</v>
      </c>
      <c r="F160" s="8">
        <f>IF(F$3="","",E160)</f>
        <v>235</v>
      </c>
      <c r="G160" s="59">
        <f>IF(G$3="","",F160)</f>
        <v>235</v>
      </c>
      <c r="H160" s="8">
        <f>IF(H$3="","",G160)</f>
        <v>235</v>
      </c>
      <c r="I160" s="8">
        <f>IF(I$3="","",H160)</f>
        <v>235</v>
      </c>
      <c r="J160" s="59">
        <f>IF(J$3="","",I160)</f>
        <v>235</v>
      </c>
      <c r="K160" s="8">
        <f>IF(K$3="","",J160)</f>
        <v>235</v>
      </c>
      <c r="L160" s="8">
        <v>236</v>
      </c>
      <c r="M160" s="59">
        <f t="shared" si="282"/>
        <v>236</v>
      </c>
      <c r="N160" s="8">
        <f t="shared" si="282"/>
        <v>236</v>
      </c>
      <c r="O160" s="8">
        <f t="shared" si="282"/>
        <v>236</v>
      </c>
      <c r="P160" s="8">
        <v>237</v>
      </c>
      <c r="Q160" s="59">
        <f>IF(Q$3="","",P160)</f>
        <v>237</v>
      </c>
      <c r="R160" s="8">
        <f>IF(R$3="","",Q160)</f>
        <v>237</v>
      </c>
      <c r="S160" s="8">
        <v>238</v>
      </c>
      <c r="T160" s="8">
        <f t="shared" ref="T160:AN160" si="285">IF(T$3="","",S160)</f>
        <v>238</v>
      </c>
      <c r="U160" s="8">
        <f t="shared" si="285"/>
        <v>238</v>
      </c>
      <c r="V160" s="8">
        <f t="shared" si="285"/>
        <v>238</v>
      </c>
      <c r="W160" s="8">
        <f t="shared" si="285"/>
        <v>238</v>
      </c>
      <c r="X160" s="8">
        <f t="shared" si="285"/>
        <v>238</v>
      </c>
      <c r="Y160" s="8">
        <f t="shared" si="285"/>
        <v>238</v>
      </c>
      <c r="Z160" s="8">
        <v>240</v>
      </c>
      <c r="AA160" s="8">
        <f t="shared" si="285"/>
        <v>240</v>
      </c>
      <c r="AB160" s="8">
        <f t="shared" si="285"/>
        <v>240</v>
      </c>
      <c r="AC160" s="8">
        <f t="shared" si="285"/>
        <v>240</v>
      </c>
      <c r="AD160" s="8">
        <v>241</v>
      </c>
      <c r="AE160" s="8">
        <f t="shared" si="285"/>
        <v>241</v>
      </c>
      <c r="AF160" s="8">
        <f t="shared" si="285"/>
        <v>241</v>
      </c>
      <c r="AG160" s="8">
        <f t="shared" si="285"/>
        <v>241</v>
      </c>
      <c r="AH160" s="8" t="str">
        <f t="shared" si="285"/>
        <v/>
      </c>
      <c r="AI160" s="8" t="str">
        <f t="shared" si="285"/>
        <v/>
      </c>
      <c r="AJ160" s="8" t="str">
        <f t="shared" si="285"/>
        <v/>
      </c>
      <c r="AK160" s="8" t="str">
        <f t="shared" si="285"/>
        <v/>
      </c>
      <c r="AL160" s="8" t="str">
        <f t="shared" si="285"/>
        <v/>
      </c>
      <c r="AM160" s="8" t="str">
        <f t="shared" si="285"/>
        <v/>
      </c>
      <c r="AN160" s="8" t="str">
        <f t="shared" si="285"/>
        <v/>
      </c>
      <c r="AO160" s="8" t="str">
        <f t="shared" ref="AO160:AS160" si="286">IF(AO$3="","",AN160)</f>
        <v/>
      </c>
      <c r="AP160" s="8" t="str">
        <f t="shared" si="286"/>
        <v/>
      </c>
      <c r="AQ160" s="8" t="str">
        <f t="shared" si="286"/>
        <v/>
      </c>
      <c r="AR160" s="8" t="str">
        <f t="shared" si="286"/>
        <v/>
      </c>
      <c r="AS160" s="8" t="str">
        <f t="shared" si="286"/>
        <v/>
      </c>
    </row>
    <row r="161" spans="1:45">
      <c r="A161" s="15">
        <v>3</v>
      </c>
      <c r="B161" s="9" t="s">
        <v>5</v>
      </c>
      <c r="C161" s="74">
        <v>7</v>
      </c>
      <c r="D161" s="8">
        <f t="shared" ref="D161:K161" si="287">IF(D159="","",(C161+C162))</f>
        <v>7</v>
      </c>
      <c r="E161" s="8">
        <f t="shared" si="287"/>
        <v>7</v>
      </c>
      <c r="F161" s="8">
        <f t="shared" si="287"/>
        <v>7</v>
      </c>
      <c r="G161" s="59">
        <f t="shared" si="287"/>
        <v>7</v>
      </c>
      <c r="H161" s="8">
        <f t="shared" si="287"/>
        <v>7</v>
      </c>
      <c r="I161" s="8">
        <f t="shared" si="287"/>
        <v>7</v>
      </c>
      <c r="J161" s="59">
        <f t="shared" si="287"/>
        <v>7</v>
      </c>
      <c r="K161" s="8">
        <f t="shared" si="287"/>
        <v>7</v>
      </c>
      <c r="L161" s="8">
        <v>6</v>
      </c>
      <c r="M161" s="59">
        <f>IF(M159="","",(L161+L162))</f>
        <v>6</v>
      </c>
      <c r="N161" s="8">
        <f>IF(N159="","",(M161+M162))</f>
        <v>6</v>
      </c>
      <c r="O161" s="8">
        <f>IF(O159="","",(N161+N162))</f>
        <v>6</v>
      </c>
      <c r="P161" s="8">
        <v>5</v>
      </c>
      <c r="Q161" s="59">
        <f>IF(Q159="","",(P161+P162))</f>
        <v>7</v>
      </c>
      <c r="R161" s="8">
        <f>IF(R159="","",(Q161+Q162))</f>
        <v>7</v>
      </c>
      <c r="S161" s="8">
        <v>6</v>
      </c>
      <c r="T161" s="8">
        <f t="shared" ref="T161:AN161" si="288">IF(T159="","",(S161+S162))</f>
        <v>6</v>
      </c>
      <c r="U161" s="8">
        <f t="shared" si="288"/>
        <v>6</v>
      </c>
      <c r="V161" s="8">
        <f t="shared" si="288"/>
        <v>6</v>
      </c>
      <c r="W161" s="8">
        <f t="shared" si="288"/>
        <v>6</v>
      </c>
      <c r="X161" s="8">
        <f t="shared" si="288"/>
        <v>6</v>
      </c>
      <c r="Y161" s="8">
        <f t="shared" si="288"/>
        <v>6</v>
      </c>
      <c r="Z161" s="8">
        <v>4</v>
      </c>
      <c r="AA161" s="8">
        <f t="shared" si="288"/>
        <v>5</v>
      </c>
      <c r="AB161" s="8">
        <f t="shared" si="288"/>
        <v>5</v>
      </c>
      <c r="AC161" s="8">
        <f t="shared" si="288"/>
        <v>5</v>
      </c>
      <c r="AD161" s="8">
        <v>3</v>
      </c>
      <c r="AE161" s="8">
        <f t="shared" si="288"/>
        <v>5</v>
      </c>
      <c r="AF161" s="8">
        <f t="shared" si="288"/>
        <v>5</v>
      </c>
      <c r="AG161" s="8">
        <f t="shared" si="288"/>
        <v>5</v>
      </c>
      <c r="AH161" s="8" t="str">
        <f t="shared" si="288"/>
        <v/>
      </c>
      <c r="AI161" s="8" t="str">
        <f t="shared" si="288"/>
        <v/>
      </c>
      <c r="AJ161" s="8" t="str">
        <f t="shared" si="288"/>
        <v/>
      </c>
      <c r="AK161" s="8" t="str">
        <f t="shared" si="288"/>
        <v/>
      </c>
      <c r="AL161" s="8" t="str">
        <f t="shared" si="288"/>
        <v/>
      </c>
      <c r="AM161" s="8" t="str">
        <f t="shared" si="288"/>
        <v/>
      </c>
      <c r="AN161" s="8" t="str">
        <f t="shared" si="288"/>
        <v/>
      </c>
      <c r="AO161" s="8" t="str">
        <f t="shared" ref="AO161:AS161" si="289">IF(AO159="","",(AN161+AN162))</f>
        <v/>
      </c>
      <c r="AP161" s="8" t="str">
        <f t="shared" si="289"/>
        <v/>
      </c>
      <c r="AQ161" s="8" t="str">
        <f t="shared" si="289"/>
        <v/>
      </c>
      <c r="AR161" s="8" t="str">
        <f t="shared" si="289"/>
        <v/>
      </c>
      <c r="AS161" s="8" t="str">
        <f t="shared" si="289"/>
        <v/>
      </c>
    </row>
    <row r="162" spans="1:45">
      <c r="A162" s="14"/>
      <c r="B162" s="9" t="s">
        <v>7</v>
      </c>
      <c r="C162" s="74"/>
      <c r="D162" s="8"/>
      <c r="E162" s="8"/>
      <c r="F162" s="8"/>
      <c r="G162" s="59"/>
      <c r="H162" s="8"/>
      <c r="I162" s="8"/>
      <c r="J162" s="59"/>
      <c r="K162" s="8"/>
      <c r="L162" s="8"/>
      <c r="M162" s="59"/>
      <c r="N162" s="8"/>
      <c r="O162" s="8"/>
      <c r="P162" s="8">
        <v>2</v>
      </c>
      <c r="Q162" s="59"/>
      <c r="R162" s="8"/>
      <c r="S162" s="8"/>
      <c r="T162" s="8"/>
      <c r="U162" s="8"/>
      <c r="V162" s="8"/>
      <c r="W162" s="8"/>
      <c r="X162" s="8"/>
      <c r="Y162" s="8"/>
      <c r="Z162" s="8">
        <v>1</v>
      </c>
      <c r="AA162" s="8"/>
      <c r="AB162" s="8"/>
      <c r="AC162" s="8"/>
      <c r="AD162" s="8">
        <v>2</v>
      </c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</row>
    <row r="163" spans="1:45">
      <c r="A163" s="7"/>
      <c r="B163" s="9" t="s">
        <v>8</v>
      </c>
      <c r="C163" s="74">
        <v>350</v>
      </c>
      <c r="D163" s="8">
        <f t="shared" ref="D163:AN163" si="290">IF(D159="","",C163)</f>
        <v>350</v>
      </c>
      <c r="E163" s="8">
        <f t="shared" si="290"/>
        <v>350</v>
      </c>
      <c r="F163" s="8">
        <f t="shared" si="290"/>
        <v>350</v>
      </c>
      <c r="G163" s="59">
        <f t="shared" si="290"/>
        <v>350</v>
      </c>
      <c r="H163" s="8">
        <f t="shared" si="290"/>
        <v>350</v>
      </c>
      <c r="I163" s="8">
        <f t="shared" si="290"/>
        <v>350</v>
      </c>
      <c r="J163" s="59">
        <f t="shared" si="290"/>
        <v>350</v>
      </c>
      <c r="K163" s="8">
        <f t="shared" si="290"/>
        <v>350</v>
      </c>
      <c r="L163" s="8">
        <f t="shared" si="290"/>
        <v>350</v>
      </c>
      <c r="M163" s="59">
        <f t="shared" si="290"/>
        <v>350</v>
      </c>
      <c r="N163" s="8">
        <f t="shared" si="290"/>
        <v>350</v>
      </c>
      <c r="O163" s="8">
        <f t="shared" si="290"/>
        <v>350</v>
      </c>
      <c r="P163" s="8">
        <f t="shared" si="290"/>
        <v>350</v>
      </c>
      <c r="Q163" s="59">
        <f t="shared" si="290"/>
        <v>350</v>
      </c>
      <c r="R163" s="8">
        <f t="shared" si="290"/>
        <v>350</v>
      </c>
      <c r="S163" s="8">
        <f t="shared" si="290"/>
        <v>350</v>
      </c>
      <c r="T163" s="8">
        <f t="shared" si="290"/>
        <v>350</v>
      </c>
      <c r="U163" s="8">
        <f t="shared" si="290"/>
        <v>350</v>
      </c>
      <c r="V163" s="8">
        <f t="shared" si="290"/>
        <v>350</v>
      </c>
      <c r="W163" s="8">
        <f t="shared" si="290"/>
        <v>350</v>
      </c>
      <c r="X163" s="8">
        <f t="shared" si="290"/>
        <v>350</v>
      </c>
      <c r="Y163" s="8">
        <f t="shared" si="290"/>
        <v>350</v>
      </c>
      <c r="Z163" s="8">
        <f t="shared" si="290"/>
        <v>350</v>
      </c>
      <c r="AA163" s="8">
        <f t="shared" si="290"/>
        <v>350</v>
      </c>
      <c r="AB163" s="8">
        <f t="shared" si="290"/>
        <v>350</v>
      </c>
      <c r="AC163" s="8">
        <f t="shared" si="290"/>
        <v>350</v>
      </c>
      <c r="AD163" s="8">
        <f t="shared" si="290"/>
        <v>350</v>
      </c>
      <c r="AE163" s="8">
        <f t="shared" si="290"/>
        <v>350</v>
      </c>
      <c r="AF163" s="8">
        <f t="shared" si="290"/>
        <v>350</v>
      </c>
      <c r="AG163" s="8">
        <f t="shared" si="290"/>
        <v>350</v>
      </c>
      <c r="AH163" s="8" t="str">
        <f t="shared" si="290"/>
        <v/>
      </c>
      <c r="AI163" s="8" t="str">
        <f t="shared" si="290"/>
        <v/>
      </c>
      <c r="AJ163" s="8" t="str">
        <f t="shared" si="290"/>
        <v/>
      </c>
      <c r="AK163" s="8" t="str">
        <f t="shared" si="290"/>
        <v/>
      </c>
      <c r="AL163" s="8" t="str">
        <f t="shared" si="290"/>
        <v/>
      </c>
      <c r="AM163" s="8" t="str">
        <f t="shared" si="290"/>
        <v/>
      </c>
      <c r="AN163" s="8" t="str">
        <f t="shared" si="290"/>
        <v/>
      </c>
      <c r="AO163" s="8" t="str">
        <f t="shared" ref="AO163:AS163" si="291">IF(AO159="","",AN163)</f>
        <v/>
      </c>
      <c r="AP163" s="8" t="str">
        <f t="shared" si="291"/>
        <v/>
      </c>
      <c r="AQ163" s="8" t="str">
        <f t="shared" si="291"/>
        <v/>
      </c>
      <c r="AR163" s="8" t="str">
        <f t="shared" si="291"/>
        <v/>
      </c>
      <c r="AS163" s="8" t="str">
        <f t="shared" si="291"/>
        <v/>
      </c>
    </row>
    <row r="164" spans="1:45" s="94" customFormat="1">
      <c r="A164" s="14" t="s">
        <v>9</v>
      </c>
      <c r="B164" s="13" t="s">
        <v>10</v>
      </c>
      <c r="C164" s="75" t="s">
        <v>64</v>
      </c>
      <c r="D164" s="12" t="str">
        <f t="shared" ref="D164:AN164" si="292">IF(D159="","",C164)</f>
        <v>スライム</v>
      </c>
      <c r="E164" s="12" t="str">
        <f t="shared" si="292"/>
        <v>スライム</v>
      </c>
      <c r="F164" s="12" t="str">
        <f t="shared" si="292"/>
        <v>スライム</v>
      </c>
      <c r="G164" s="131" t="str">
        <f t="shared" si="292"/>
        <v>スライム</v>
      </c>
      <c r="H164" s="12" t="str">
        <f t="shared" si="292"/>
        <v>スライム</v>
      </c>
      <c r="I164" s="12" t="str">
        <f t="shared" si="292"/>
        <v>スライム</v>
      </c>
      <c r="J164" s="131" t="str">
        <f t="shared" si="292"/>
        <v>スライム</v>
      </c>
      <c r="K164" s="12" t="str">
        <f t="shared" si="292"/>
        <v>スライム</v>
      </c>
      <c r="L164" s="12" t="str">
        <f t="shared" si="292"/>
        <v>スライム</v>
      </c>
      <c r="M164" s="131" t="str">
        <f t="shared" si="292"/>
        <v>スライム</v>
      </c>
      <c r="N164" s="12" t="str">
        <f t="shared" si="292"/>
        <v>スライム</v>
      </c>
      <c r="O164" s="12" t="str">
        <f t="shared" si="292"/>
        <v>スライム</v>
      </c>
      <c r="P164" s="12" t="str">
        <f t="shared" si="292"/>
        <v>スライム</v>
      </c>
      <c r="Q164" s="131" t="str">
        <f t="shared" si="292"/>
        <v>スライム</v>
      </c>
      <c r="R164" s="12" t="str">
        <f t="shared" si="292"/>
        <v>スライム</v>
      </c>
      <c r="S164" s="12" t="str">
        <f t="shared" si="292"/>
        <v>スライム</v>
      </c>
      <c r="T164" s="12" t="str">
        <f t="shared" si="292"/>
        <v>スライム</v>
      </c>
      <c r="U164" s="12" t="str">
        <f t="shared" si="292"/>
        <v>スライム</v>
      </c>
      <c r="V164" s="12" t="str">
        <f t="shared" si="292"/>
        <v>スライム</v>
      </c>
      <c r="W164" s="12" t="str">
        <f t="shared" si="292"/>
        <v>スライム</v>
      </c>
      <c r="X164" s="12" t="str">
        <f t="shared" si="292"/>
        <v>スライム</v>
      </c>
      <c r="Y164" s="12" t="str">
        <f t="shared" si="292"/>
        <v>スライム</v>
      </c>
      <c r="Z164" s="12" t="str">
        <f t="shared" si="292"/>
        <v>スライム</v>
      </c>
      <c r="AA164" s="12" t="str">
        <f t="shared" si="292"/>
        <v>スライム</v>
      </c>
      <c r="AB164" s="12" t="str">
        <f t="shared" si="292"/>
        <v>スライム</v>
      </c>
      <c r="AC164" s="12" t="str">
        <f t="shared" si="292"/>
        <v>スライム</v>
      </c>
      <c r="AD164" s="12" t="str">
        <f t="shared" si="292"/>
        <v>スライム</v>
      </c>
      <c r="AE164" s="12" t="str">
        <f t="shared" si="292"/>
        <v>スライム</v>
      </c>
      <c r="AF164" s="12" t="str">
        <f t="shared" si="292"/>
        <v>スライム</v>
      </c>
      <c r="AG164" s="12" t="str">
        <f t="shared" si="292"/>
        <v>スライム</v>
      </c>
      <c r="AH164" s="12" t="str">
        <f t="shared" si="292"/>
        <v/>
      </c>
      <c r="AI164" s="12" t="str">
        <f t="shared" si="292"/>
        <v/>
      </c>
      <c r="AJ164" s="12" t="str">
        <f t="shared" si="292"/>
        <v/>
      </c>
      <c r="AK164" s="12" t="str">
        <f t="shared" si="292"/>
        <v/>
      </c>
      <c r="AL164" s="12" t="str">
        <f t="shared" si="292"/>
        <v/>
      </c>
      <c r="AM164" s="12" t="str">
        <f t="shared" si="292"/>
        <v/>
      </c>
      <c r="AN164" s="12" t="str">
        <f t="shared" si="292"/>
        <v/>
      </c>
      <c r="AO164" s="12" t="str">
        <f t="shared" ref="AO164:AS164" si="293">IF(AO159="","",AN164)</f>
        <v/>
      </c>
      <c r="AP164" s="12" t="str">
        <f t="shared" si="293"/>
        <v/>
      </c>
      <c r="AQ164" s="12" t="str">
        <f t="shared" si="293"/>
        <v/>
      </c>
      <c r="AR164" s="12" t="str">
        <f t="shared" si="293"/>
        <v/>
      </c>
      <c r="AS164" s="12" t="str">
        <f t="shared" si="293"/>
        <v/>
      </c>
    </row>
    <row r="165" spans="1:45">
      <c r="A165" s="7">
        <f>AVERAGE(C166:AS166)*30*100</f>
        <v>33290.322580645166</v>
      </c>
      <c r="B165" s="9" t="s">
        <v>14</v>
      </c>
      <c r="C165" s="74"/>
      <c r="D165" s="8"/>
      <c r="E165" s="8"/>
      <c r="F165" s="8"/>
      <c r="G165" s="59"/>
      <c r="H165" s="8"/>
      <c r="I165" s="8"/>
      <c r="J165" s="59"/>
      <c r="K165" s="8"/>
      <c r="L165" s="8"/>
      <c r="M165" s="59"/>
      <c r="N165" s="8"/>
      <c r="O165" s="8"/>
      <c r="P165" s="8"/>
      <c r="Q165" s="59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</row>
    <row r="166" spans="1:45">
      <c r="A166" s="7">
        <f>SUM(C166:AS166)</f>
        <v>344</v>
      </c>
      <c r="B166" s="6" t="s">
        <v>15</v>
      </c>
      <c r="C166" s="74">
        <v>0</v>
      </c>
      <c r="D166" s="5">
        <f t="shared" ref="D166:AN166" si="294">IF(D159="","",D159-C159)</f>
        <v>0</v>
      </c>
      <c r="E166" s="5">
        <f t="shared" si="294"/>
        <v>0</v>
      </c>
      <c r="F166" s="5">
        <f t="shared" si="294"/>
        <v>55</v>
      </c>
      <c r="G166" s="59">
        <f t="shared" si="294"/>
        <v>0</v>
      </c>
      <c r="H166" s="5">
        <f t="shared" si="294"/>
        <v>0</v>
      </c>
      <c r="I166" s="5">
        <f t="shared" si="294"/>
        <v>27</v>
      </c>
      <c r="J166" s="59">
        <f t="shared" si="294"/>
        <v>0</v>
      </c>
      <c r="K166" s="5">
        <f t="shared" si="294"/>
        <v>0</v>
      </c>
      <c r="L166" s="5">
        <f t="shared" si="294"/>
        <v>29</v>
      </c>
      <c r="M166" s="59">
        <f t="shared" si="294"/>
        <v>0</v>
      </c>
      <c r="N166" s="5">
        <f t="shared" si="294"/>
        <v>0</v>
      </c>
      <c r="O166" s="5">
        <f t="shared" si="294"/>
        <v>0</v>
      </c>
      <c r="P166" s="5">
        <f t="shared" si="294"/>
        <v>40</v>
      </c>
      <c r="Q166" s="59">
        <f t="shared" si="294"/>
        <v>0</v>
      </c>
      <c r="R166" s="5">
        <f t="shared" si="294"/>
        <v>0</v>
      </c>
      <c r="S166" s="5">
        <f t="shared" si="294"/>
        <v>37</v>
      </c>
      <c r="T166" s="5">
        <f t="shared" si="294"/>
        <v>0</v>
      </c>
      <c r="U166" s="5">
        <f t="shared" si="294"/>
        <v>0</v>
      </c>
      <c r="V166" s="5">
        <f t="shared" si="294"/>
        <v>0</v>
      </c>
      <c r="W166" s="5">
        <f t="shared" si="294"/>
        <v>37</v>
      </c>
      <c r="X166" s="5">
        <f t="shared" si="294"/>
        <v>0</v>
      </c>
      <c r="Y166" s="5">
        <f t="shared" si="294"/>
        <v>0</v>
      </c>
      <c r="Z166" s="5">
        <f t="shared" si="294"/>
        <v>57</v>
      </c>
      <c r="AA166" s="5">
        <f t="shared" si="294"/>
        <v>0</v>
      </c>
      <c r="AB166" s="5">
        <f t="shared" si="294"/>
        <v>0</v>
      </c>
      <c r="AC166" s="5">
        <f t="shared" si="294"/>
        <v>0</v>
      </c>
      <c r="AD166" s="5">
        <f t="shared" si="294"/>
        <v>45</v>
      </c>
      <c r="AE166" s="5">
        <f t="shared" si="294"/>
        <v>0</v>
      </c>
      <c r="AF166" s="5">
        <f t="shared" si="294"/>
        <v>0</v>
      </c>
      <c r="AG166" s="5">
        <f t="shared" si="294"/>
        <v>17</v>
      </c>
      <c r="AH166" s="5" t="str">
        <f t="shared" si="294"/>
        <v/>
      </c>
      <c r="AI166" s="5" t="str">
        <f t="shared" si="294"/>
        <v/>
      </c>
      <c r="AJ166" s="5" t="str">
        <f t="shared" si="294"/>
        <v/>
      </c>
      <c r="AK166" s="5" t="str">
        <f t="shared" si="294"/>
        <v/>
      </c>
      <c r="AL166" s="5" t="str">
        <f t="shared" si="294"/>
        <v/>
      </c>
      <c r="AM166" s="5" t="str">
        <f t="shared" si="294"/>
        <v/>
      </c>
      <c r="AN166" s="5" t="str">
        <f t="shared" si="294"/>
        <v/>
      </c>
      <c r="AO166" s="5" t="str">
        <f t="shared" ref="AO166:AS166" si="295">IF(AO159="","",AO159-AN159)</f>
        <v/>
      </c>
      <c r="AP166" s="5" t="str">
        <f t="shared" si="295"/>
        <v/>
      </c>
      <c r="AQ166" s="5" t="str">
        <f t="shared" si="295"/>
        <v/>
      </c>
      <c r="AR166" s="5" t="str">
        <f t="shared" si="295"/>
        <v/>
      </c>
      <c r="AS166" s="5" t="str">
        <f t="shared" si="295"/>
        <v/>
      </c>
    </row>
    <row r="167" spans="1:45">
      <c r="A167" s="7">
        <f>SUM(C167:AS167)</f>
        <v>6</v>
      </c>
      <c r="B167" s="6" t="s">
        <v>16</v>
      </c>
      <c r="C167" s="74">
        <v>0</v>
      </c>
      <c r="D167" s="5">
        <f t="shared" ref="D167:AN167" si="296">IF(D160="","",D160-C160)</f>
        <v>0</v>
      </c>
      <c r="E167" s="5">
        <f t="shared" si="296"/>
        <v>0</v>
      </c>
      <c r="F167" s="5">
        <f t="shared" si="296"/>
        <v>0</v>
      </c>
      <c r="G167" s="59">
        <f t="shared" si="296"/>
        <v>0</v>
      </c>
      <c r="H167" s="5">
        <f t="shared" si="296"/>
        <v>0</v>
      </c>
      <c r="I167" s="5">
        <f t="shared" si="296"/>
        <v>0</v>
      </c>
      <c r="J167" s="59">
        <f t="shared" si="296"/>
        <v>0</v>
      </c>
      <c r="K167" s="5">
        <f t="shared" si="296"/>
        <v>0</v>
      </c>
      <c r="L167" s="5">
        <f t="shared" si="296"/>
        <v>1</v>
      </c>
      <c r="M167" s="59">
        <f t="shared" si="296"/>
        <v>0</v>
      </c>
      <c r="N167" s="5">
        <f t="shared" si="296"/>
        <v>0</v>
      </c>
      <c r="O167" s="5">
        <f t="shared" si="296"/>
        <v>0</v>
      </c>
      <c r="P167" s="5">
        <f t="shared" si="296"/>
        <v>1</v>
      </c>
      <c r="Q167" s="59">
        <f t="shared" si="296"/>
        <v>0</v>
      </c>
      <c r="R167" s="5">
        <f t="shared" si="296"/>
        <v>0</v>
      </c>
      <c r="S167" s="5">
        <f t="shared" si="296"/>
        <v>1</v>
      </c>
      <c r="T167" s="5">
        <f t="shared" si="296"/>
        <v>0</v>
      </c>
      <c r="U167" s="5">
        <f t="shared" si="296"/>
        <v>0</v>
      </c>
      <c r="V167" s="5">
        <f t="shared" si="296"/>
        <v>0</v>
      </c>
      <c r="W167" s="5">
        <f t="shared" si="296"/>
        <v>0</v>
      </c>
      <c r="X167" s="5">
        <f t="shared" si="296"/>
        <v>0</v>
      </c>
      <c r="Y167" s="5">
        <f t="shared" si="296"/>
        <v>0</v>
      </c>
      <c r="Z167" s="5">
        <f t="shared" si="296"/>
        <v>2</v>
      </c>
      <c r="AA167" s="5">
        <f t="shared" si="296"/>
        <v>0</v>
      </c>
      <c r="AB167" s="5">
        <f t="shared" si="296"/>
        <v>0</v>
      </c>
      <c r="AC167" s="5">
        <f t="shared" si="296"/>
        <v>0</v>
      </c>
      <c r="AD167" s="5">
        <f t="shared" si="296"/>
        <v>1</v>
      </c>
      <c r="AE167" s="5">
        <f t="shared" si="296"/>
        <v>0</v>
      </c>
      <c r="AF167" s="5">
        <f t="shared" si="296"/>
        <v>0</v>
      </c>
      <c r="AG167" s="5">
        <f t="shared" si="296"/>
        <v>0</v>
      </c>
      <c r="AH167" s="5" t="str">
        <f t="shared" si="296"/>
        <v/>
      </c>
      <c r="AI167" s="5" t="str">
        <f t="shared" si="296"/>
        <v/>
      </c>
      <c r="AJ167" s="5" t="str">
        <f t="shared" si="296"/>
        <v/>
      </c>
      <c r="AK167" s="5" t="str">
        <f t="shared" si="296"/>
        <v/>
      </c>
      <c r="AL167" s="5" t="str">
        <f t="shared" si="296"/>
        <v/>
      </c>
      <c r="AM167" s="5" t="str">
        <f t="shared" si="296"/>
        <v/>
      </c>
      <c r="AN167" s="5" t="str">
        <f t="shared" si="296"/>
        <v/>
      </c>
      <c r="AO167" s="5" t="str">
        <f t="shared" ref="AO167:AS167" si="297">IF(AO160="","",AO160-AN160)</f>
        <v/>
      </c>
      <c r="AP167" s="5" t="str">
        <f t="shared" si="297"/>
        <v/>
      </c>
      <c r="AQ167" s="5" t="str">
        <f t="shared" si="297"/>
        <v/>
      </c>
      <c r="AR167" s="5" t="str">
        <f t="shared" si="297"/>
        <v/>
      </c>
      <c r="AS167" s="5" t="str">
        <f t="shared" si="297"/>
        <v/>
      </c>
    </row>
    <row r="168" spans="1:45">
      <c r="A168" s="7">
        <f>SUM(C168:AS168)</f>
        <v>7</v>
      </c>
      <c r="B168" s="6" t="s">
        <v>17</v>
      </c>
      <c r="C168" s="74">
        <v>0</v>
      </c>
      <c r="D168" s="5">
        <f t="shared" ref="D168:AN168" si="298">IF(D161="","",C161+C162-D161)</f>
        <v>0</v>
      </c>
      <c r="E168" s="5">
        <f t="shared" si="298"/>
        <v>0</v>
      </c>
      <c r="F168" s="5">
        <f t="shared" si="298"/>
        <v>0</v>
      </c>
      <c r="G168" s="59">
        <f t="shared" si="298"/>
        <v>0</v>
      </c>
      <c r="H168" s="5">
        <f t="shared" si="298"/>
        <v>0</v>
      </c>
      <c r="I168" s="5">
        <f t="shared" si="298"/>
        <v>0</v>
      </c>
      <c r="J168" s="59">
        <f t="shared" si="298"/>
        <v>0</v>
      </c>
      <c r="K168" s="5">
        <f t="shared" si="298"/>
        <v>0</v>
      </c>
      <c r="L168" s="5">
        <f t="shared" si="298"/>
        <v>1</v>
      </c>
      <c r="M168" s="59">
        <f t="shared" si="298"/>
        <v>0</v>
      </c>
      <c r="N168" s="5">
        <f t="shared" si="298"/>
        <v>0</v>
      </c>
      <c r="O168" s="5">
        <f t="shared" si="298"/>
        <v>0</v>
      </c>
      <c r="P168" s="5">
        <f t="shared" si="298"/>
        <v>1</v>
      </c>
      <c r="Q168" s="59">
        <f t="shared" si="298"/>
        <v>0</v>
      </c>
      <c r="R168" s="5">
        <f t="shared" si="298"/>
        <v>0</v>
      </c>
      <c r="S168" s="5">
        <f t="shared" si="298"/>
        <v>1</v>
      </c>
      <c r="T168" s="5">
        <f t="shared" si="298"/>
        <v>0</v>
      </c>
      <c r="U168" s="5">
        <f t="shared" si="298"/>
        <v>0</v>
      </c>
      <c r="V168" s="5">
        <f t="shared" si="298"/>
        <v>0</v>
      </c>
      <c r="W168" s="5">
        <f t="shared" si="298"/>
        <v>0</v>
      </c>
      <c r="X168" s="5">
        <f t="shared" si="298"/>
        <v>0</v>
      </c>
      <c r="Y168" s="5">
        <f t="shared" si="298"/>
        <v>0</v>
      </c>
      <c r="Z168" s="5">
        <f t="shared" si="298"/>
        <v>2</v>
      </c>
      <c r="AA168" s="5">
        <f t="shared" si="298"/>
        <v>0</v>
      </c>
      <c r="AB168" s="5">
        <f t="shared" si="298"/>
        <v>0</v>
      </c>
      <c r="AC168" s="5">
        <f t="shared" si="298"/>
        <v>0</v>
      </c>
      <c r="AD168" s="5">
        <f t="shared" si="298"/>
        <v>2</v>
      </c>
      <c r="AE168" s="5">
        <f t="shared" si="298"/>
        <v>0</v>
      </c>
      <c r="AF168" s="5">
        <f t="shared" si="298"/>
        <v>0</v>
      </c>
      <c r="AG168" s="5">
        <f t="shared" si="298"/>
        <v>0</v>
      </c>
      <c r="AH168" s="5" t="str">
        <f t="shared" si="298"/>
        <v/>
      </c>
      <c r="AI168" s="5" t="str">
        <f t="shared" si="298"/>
        <v/>
      </c>
      <c r="AJ168" s="5" t="str">
        <f t="shared" si="298"/>
        <v/>
      </c>
      <c r="AK168" s="5" t="str">
        <f t="shared" si="298"/>
        <v/>
      </c>
      <c r="AL168" s="5" t="str">
        <f t="shared" si="298"/>
        <v/>
      </c>
      <c r="AM168" s="5" t="str">
        <f t="shared" si="298"/>
        <v/>
      </c>
      <c r="AN168" s="5" t="str">
        <f t="shared" si="298"/>
        <v/>
      </c>
      <c r="AO168" s="5" t="str">
        <f t="shared" ref="AO168:AS168" si="299">IF(AO161="","",AN161+AN162-AO161)</f>
        <v/>
      </c>
      <c r="AP168" s="5" t="str">
        <f t="shared" si="299"/>
        <v/>
      </c>
      <c r="AQ168" s="5" t="str">
        <f t="shared" si="299"/>
        <v/>
      </c>
      <c r="AR168" s="5" t="str">
        <f t="shared" si="299"/>
        <v/>
      </c>
      <c r="AS168" s="5" t="str">
        <f t="shared" si="299"/>
        <v/>
      </c>
    </row>
    <row r="169" spans="1:45">
      <c r="A169" s="7">
        <f>SUM(C169:AS169)</f>
        <v>2450</v>
      </c>
      <c r="B169" s="6" t="s">
        <v>18</v>
      </c>
      <c r="C169" s="74">
        <v>0</v>
      </c>
      <c r="D169" s="5">
        <f t="shared" ref="D169:AN169" si="300">IF(D159="","",D168*D163)</f>
        <v>0</v>
      </c>
      <c r="E169" s="5">
        <f t="shared" si="300"/>
        <v>0</v>
      </c>
      <c r="F169" s="5">
        <f t="shared" si="300"/>
        <v>0</v>
      </c>
      <c r="G169" s="59">
        <f t="shared" si="300"/>
        <v>0</v>
      </c>
      <c r="H169" s="5">
        <f t="shared" si="300"/>
        <v>0</v>
      </c>
      <c r="I169" s="5">
        <f t="shared" si="300"/>
        <v>0</v>
      </c>
      <c r="J169" s="59">
        <f t="shared" si="300"/>
        <v>0</v>
      </c>
      <c r="K169" s="5">
        <f t="shared" si="300"/>
        <v>0</v>
      </c>
      <c r="L169" s="5">
        <f t="shared" si="300"/>
        <v>350</v>
      </c>
      <c r="M169" s="59">
        <f t="shared" si="300"/>
        <v>0</v>
      </c>
      <c r="N169" s="5">
        <f t="shared" si="300"/>
        <v>0</v>
      </c>
      <c r="O169" s="5">
        <f t="shared" si="300"/>
        <v>0</v>
      </c>
      <c r="P169" s="5">
        <f t="shared" si="300"/>
        <v>350</v>
      </c>
      <c r="Q169" s="59">
        <f t="shared" si="300"/>
        <v>0</v>
      </c>
      <c r="R169" s="5">
        <f t="shared" si="300"/>
        <v>0</v>
      </c>
      <c r="S169" s="5">
        <f t="shared" si="300"/>
        <v>350</v>
      </c>
      <c r="T169" s="5">
        <f t="shared" si="300"/>
        <v>0</v>
      </c>
      <c r="U169" s="5">
        <f t="shared" si="300"/>
        <v>0</v>
      </c>
      <c r="V169" s="5">
        <f t="shared" si="300"/>
        <v>0</v>
      </c>
      <c r="W169" s="5">
        <f t="shared" si="300"/>
        <v>0</v>
      </c>
      <c r="X169" s="5">
        <f t="shared" si="300"/>
        <v>0</v>
      </c>
      <c r="Y169" s="5">
        <f t="shared" si="300"/>
        <v>0</v>
      </c>
      <c r="Z169" s="5">
        <f t="shared" si="300"/>
        <v>700</v>
      </c>
      <c r="AA169" s="5">
        <f t="shared" si="300"/>
        <v>0</v>
      </c>
      <c r="AB169" s="5">
        <f t="shared" si="300"/>
        <v>0</v>
      </c>
      <c r="AC169" s="5">
        <f t="shared" si="300"/>
        <v>0</v>
      </c>
      <c r="AD169" s="5">
        <f t="shared" si="300"/>
        <v>700</v>
      </c>
      <c r="AE169" s="5">
        <f t="shared" si="300"/>
        <v>0</v>
      </c>
      <c r="AF169" s="5">
        <f t="shared" si="300"/>
        <v>0</v>
      </c>
      <c r="AG169" s="5">
        <f t="shared" si="300"/>
        <v>0</v>
      </c>
      <c r="AH169" s="5" t="str">
        <f t="shared" si="300"/>
        <v/>
      </c>
      <c r="AI169" s="5" t="str">
        <f t="shared" si="300"/>
        <v/>
      </c>
      <c r="AJ169" s="5" t="str">
        <f t="shared" si="300"/>
        <v/>
      </c>
      <c r="AK169" s="5" t="str">
        <f t="shared" si="300"/>
        <v/>
      </c>
      <c r="AL169" s="5" t="str">
        <f t="shared" si="300"/>
        <v/>
      </c>
      <c r="AM169" s="5" t="str">
        <f t="shared" si="300"/>
        <v/>
      </c>
      <c r="AN169" s="5" t="str">
        <f t="shared" si="300"/>
        <v/>
      </c>
      <c r="AO169" s="5" t="str">
        <f t="shared" ref="AO169:AS169" si="301">IF(AO159="","",AO168*AO163)</f>
        <v/>
      </c>
      <c r="AP169" s="5" t="str">
        <f t="shared" si="301"/>
        <v/>
      </c>
      <c r="AQ169" s="5" t="str">
        <f t="shared" si="301"/>
        <v/>
      </c>
      <c r="AR169" s="5" t="str">
        <f t="shared" si="301"/>
        <v/>
      </c>
      <c r="AS169" s="5" t="str">
        <f t="shared" si="301"/>
        <v/>
      </c>
    </row>
    <row r="170" spans="1:45" ht="12" thickBot="1">
      <c r="A170" s="4">
        <f>IF(A169="","",A169/(A166*100))</f>
        <v>7.1220930232558141E-2</v>
      </c>
      <c r="B170" s="6" t="s">
        <v>20</v>
      </c>
      <c r="C170" s="76" t="s">
        <v>21</v>
      </c>
      <c r="D170" s="18" t="str">
        <f t="shared" ref="D170:AN170" si="302">IF(D169="","",IF(D169=0,"",D169/(D166*100)))</f>
        <v/>
      </c>
      <c r="E170" s="18" t="str">
        <f t="shared" si="302"/>
        <v/>
      </c>
      <c r="F170" s="18" t="str">
        <f t="shared" si="302"/>
        <v/>
      </c>
      <c r="G170" s="62" t="str">
        <f t="shared" si="302"/>
        <v/>
      </c>
      <c r="H170" s="18" t="str">
        <f t="shared" si="302"/>
        <v/>
      </c>
      <c r="I170" s="18" t="str">
        <f t="shared" si="302"/>
        <v/>
      </c>
      <c r="J170" s="62" t="str">
        <f t="shared" si="302"/>
        <v/>
      </c>
      <c r="K170" s="18" t="str">
        <f t="shared" si="302"/>
        <v/>
      </c>
      <c r="L170" s="18">
        <f t="shared" si="302"/>
        <v>0.1206896551724138</v>
      </c>
      <c r="M170" s="62" t="str">
        <f t="shared" si="302"/>
        <v/>
      </c>
      <c r="N170" s="18" t="str">
        <f t="shared" si="302"/>
        <v/>
      </c>
      <c r="O170" s="18" t="str">
        <f t="shared" si="302"/>
        <v/>
      </c>
      <c r="P170" s="18">
        <f t="shared" si="302"/>
        <v>8.7499999999999994E-2</v>
      </c>
      <c r="Q170" s="62" t="str">
        <f t="shared" si="302"/>
        <v/>
      </c>
      <c r="R170" s="18" t="str">
        <f t="shared" si="302"/>
        <v/>
      </c>
      <c r="S170" s="18">
        <f t="shared" si="302"/>
        <v>9.45945945945946E-2</v>
      </c>
      <c r="T170" s="18" t="str">
        <f t="shared" si="302"/>
        <v/>
      </c>
      <c r="U170" s="18" t="str">
        <f t="shared" si="302"/>
        <v/>
      </c>
      <c r="V170" s="18" t="str">
        <f t="shared" si="302"/>
        <v/>
      </c>
      <c r="W170" s="18" t="str">
        <f t="shared" si="302"/>
        <v/>
      </c>
      <c r="X170" s="18" t="str">
        <f t="shared" si="302"/>
        <v/>
      </c>
      <c r="Y170" s="18" t="str">
        <f t="shared" si="302"/>
        <v/>
      </c>
      <c r="Z170" s="18">
        <f t="shared" si="302"/>
        <v>0.12280701754385964</v>
      </c>
      <c r="AA170" s="18" t="str">
        <f t="shared" si="302"/>
        <v/>
      </c>
      <c r="AB170" s="18" t="str">
        <f t="shared" si="302"/>
        <v/>
      </c>
      <c r="AC170" s="18" t="str">
        <f t="shared" si="302"/>
        <v/>
      </c>
      <c r="AD170" s="18">
        <f t="shared" si="302"/>
        <v>0.15555555555555556</v>
      </c>
      <c r="AE170" s="18" t="str">
        <f t="shared" si="302"/>
        <v/>
      </c>
      <c r="AF170" s="18" t="str">
        <f t="shared" si="302"/>
        <v/>
      </c>
      <c r="AG170" s="18" t="str">
        <f t="shared" si="302"/>
        <v/>
      </c>
      <c r="AH170" s="18" t="str">
        <f t="shared" si="302"/>
        <v/>
      </c>
      <c r="AI170" s="18" t="str">
        <f t="shared" si="302"/>
        <v/>
      </c>
      <c r="AJ170" s="18" t="str">
        <f t="shared" si="302"/>
        <v/>
      </c>
      <c r="AK170" s="18" t="str">
        <f t="shared" si="302"/>
        <v/>
      </c>
      <c r="AL170" s="18" t="str">
        <f t="shared" si="302"/>
        <v/>
      </c>
      <c r="AM170" s="18" t="str">
        <f t="shared" si="302"/>
        <v/>
      </c>
      <c r="AN170" s="18" t="str">
        <f t="shared" si="302"/>
        <v/>
      </c>
      <c r="AO170" s="18" t="str">
        <f t="shared" ref="AO170:AS170" si="303">IF(AO169="","",IF(AO169=0,"",AO169/(AO166*100)))</f>
        <v/>
      </c>
      <c r="AP170" s="18" t="str">
        <f t="shared" si="303"/>
        <v/>
      </c>
      <c r="AQ170" s="18" t="str">
        <f t="shared" si="303"/>
        <v/>
      </c>
      <c r="AR170" s="18" t="str">
        <f t="shared" si="303"/>
        <v/>
      </c>
      <c r="AS170" s="18" t="str">
        <f t="shared" si="303"/>
        <v/>
      </c>
    </row>
    <row r="171" spans="1:45">
      <c r="A171" s="17" t="s">
        <v>78</v>
      </c>
      <c r="B171" s="9" t="s">
        <v>2</v>
      </c>
      <c r="C171" s="74">
        <v>18224</v>
      </c>
      <c r="D171" s="8">
        <f>IF(D$3="","",C171)</f>
        <v>18224</v>
      </c>
      <c r="E171" s="8">
        <f>IF(E$3="","",D171)</f>
        <v>18224</v>
      </c>
      <c r="F171" s="8">
        <v>18244</v>
      </c>
      <c r="G171" s="59">
        <f>IF(G$3="","",F171)</f>
        <v>18244</v>
      </c>
      <c r="H171" s="8">
        <f>IF(H$3="","",G171)</f>
        <v>18244</v>
      </c>
      <c r="I171" s="8">
        <v>18373</v>
      </c>
      <c r="J171" s="59">
        <f>IF(J$3="","",I171)</f>
        <v>18373</v>
      </c>
      <c r="K171" s="8">
        <f>IF(K$3="","",J171)</f>
        <v>18373</v>
      </c>
      <c r="L171" s="8">
        <v>18567</v>
      </c>
      <c r="M171" s="59">
        <f t="shared" ref="M171:O172" si="304">IF(M$3="","",L171)</f>
        <v>18567</v>
      </c>
      <c r="N171" s="8">
        <f t="shared" si="304"/>
        <v>18567</v>
      </c>
      <c r="O171" s="8">
        <f t="shared" si="304"/>
        <v>18567</v>
      </c>
      <c r="P171" s="8">
        <v>18775</v>
      </c>
      <c r="Q171" s="59">
        <f>IF(Q$3="","",P171)</f>
        <v>18775</v>
      </c>
      <c r="R171" s="8">
        <f>IF(R$3="","",Q171)</f>
        <v>18775</v>
      </c>
      <c r="S171" s="8">
        <v>18921</v>
      </c>
      <c r="T171" s="8">
        <f t="shared" ref="T171:AN171" si="305">IF(T$3="","",S171)</f>
        <v>18921</v>
      </c>
      <c r="U171" s="8">
        <f t="shared" si="305"/>
        <v>18921</v>
      </c>
      <c r="V171" s="8">
        <f t="shared" si="305"/>
        <v>18921</v>
      </c>
      <c r="W171" s="8">
        <v>19065</v>
      </c>
      <c r="X171" s="8">
        <f t="shared" si="305"/>
        <v>19065</v>
      </c>
      <c r="Y171" s="8">
        <f t="shared" si="305"/>
        <v>19065</v>
      </c>
      <c r="Z171" s="8">
        <v>19215</v>
      </c>
      <c r="AA171" s="8">
        <f t="shared" si="305"/>
        <v>19215</v>
      </c>
      <c r="AB171" s="8">
        <f t="shared" si="305"/>
        <v>19215</v>
      </c>
      <c r="AC171" s="8">
        <f t="shared" si="305"/>
        <v>19215</v>
      </c>
      <c r="AD171" s="8">
        <v>19361</v>
      </c>
      <c r="AE171" s="8">
        <f t="shared" si="305"/>
        <v>19361</v>
      </c>
      <c r="AF171" s="8">
        <f t="shared" si="305"/>
        <v>19361</v>
      </c>
      <c r="AG171" s="8">
        <v>19492</v>
      </c>
      <c r="AH171" s="8" t="str">
        <f t="shared" si="305"/>
        <v/>
      </c>
      <c r="AI171" s="8" t="str">
        <f t="shared" si="305"/>
        <v/>
      </c>
      <c r="AJ171" s="8" t="str">
        <f t="shared" si="305"/>
        <v/>
      </c>
      <c r="AK171" s="8" t="str">
        <f t="shared" si="305"/>
        <v/>
      </c>
      <c r="AL171" s="8" t="str">
        <f t="shared" si="305"/>
        <v/>
      </c>
      <c r="AM171" s="8" t="str">
        <f t="shared" si="305"/>
        <v/>
      </c>
      <c r="AN171" s="8" t="str">
        <f t="shared" si="305"/>
        <v/>
      </c>
      <c r="AO171" s="8" t="str">
        <f t="shared" ref="AO171:AS171" si="306">IF(AO$3="","",AN171)</f>
        <v/>
      </c>
      <c r="AP171" s="8" t="str">
        <f t="shared" si="306"/>
        <v/>
      </c>
      <c r="AQ171" s="8" t="str">
        <f t="shared" si="306"/>
        <v/>
      </c>
      <c r="AR171" s="8" t="str">
        <f t="shared" si="306"/>
        <v/>
      </c>
      <c r="AS171" s="8" t="str">
        <f t="shared" si="306"/>
        <v/>
      </c>
    </row>
    <row r="172" spans="1:45">
      <c r="A172" s="16" t="s">
        <v>37</v>
      </c>
      <c r="B172" s="9" t="s">
        <v>4</v>
      </c>
      <c r="C172" s="74">
        <v>338</v>
      </c>
      <c r="D172" s="8">
        <f>IF(D$3="","",C172)</f>
        <v>338</v>
      </c>
      <c r="E172" s="8">
        <f>IF(E$3="","",D172)</f>
        <v>338</v>
      </c>
      <c r="F172" s="8">
        <f>IF(F$3="","",E172)</f>
        <v>338</v>
      </c>
      <c r="G172" s="59">
        <f>IF(G$3="","",F172)</f>
        <v>338</v>
      </c>
      <c r="H172" s="8">
        <f>IF(H$3="","",G172)</f>
        <v>338</v>
      </c>
      <c r="I172" s="8">
        <v>340</v>
      </c>
      <c r="J172" s="59">
        <f>IF(J$3="","",I172)</f>
        <v>340</v>
      </c>
      <c r="K172" s="8">
        <f>IF(K$3="","",J172)</f>
        <v>340</v>
      </c>
      <c r="L172" s="8">
        <v>344</v>
      </c>
      <c r="M172" s="59">
        <f t="shared" si="304"/>
        <v>344</v>
      </c>
      <c r="N172" s="8">
        <f t="shared" si="304"/>
        <v>344</v>
      </c>
      <c r="O172" s="8">
        <f t="shared" si="304"/>
        <v>344</v>
      </c>
      <c r="P172" s="8">
        <v>345</v>
      </c>
      <c r="Q172" s="59">
        <f>IF(Q$3="","",P172)</f>
        <v>345</v>
      </c>
      <c r="R172" s="8">
        <f>IF(R$3="","",Q172)</f>
        <v>345</v>
      </c>
      <c r="S172" s="8">
        <v>346</v>
      </c>
      <c r="T172" s="8">
        <f t="shared" ref="T172:AN172" si="307">IF(T$3="","",S172)</f>
        <v>346</v>
      </c>
      <c r="U172" s="8">
        <f t="shared" si="307"/>
        <v>346</v>
      </c>
      <c r="V172" s="8">
        <f t="shared" si="307"/>
        <v>346</v>
      </c>
      <c r="W172" s="8">
        <v>347</v>
      </c>
      <c r="X172" s="8">
        <f t="shared" si="307"/>
        <v>347</v>
      </c>
      <c r="Y172" s="8">
        <f t="shared" si="307"/>
        <v>347</v>
      </c>
      <c r="Z172" s="8">
        <f t="shared" si="307"/>
        <v>347</v>
      </c>
      <c r="AA172" s="8">
        <f t="shared" si="307"/>
        <v>347</v>
      </c>
      <c r="AB172" s="8">
        <f t="shared" si="307"/>
        <v>347</v>
      </c>
      <c r="AC172" s="8">
        <f t="shared" si="307"/>
        <v>347</v>
      </c>
      <c r="AD172" s="8">
        <v>348</v>
      </c>
      <c r="AE172" s="8">
        <f t="shared" si="307"/>
        <v>348</v>
      </c>
      <c r="AF172" s="8">
        <f t="shared" si="307"/>
        <v>348</v>
      </c>
      <c r="AG172" s="8">
        <v>349</v>
      </c>
      <c r="AH172" s="8" t="str">
        <f t="shared" si="307"/>
        <v/>
      </c>
      <c r="AI172" s="8" t="str">
        <f t="shared" si="307"/>
        <v/>
      </c>
      <c r="AJ172" s="8" t="str">
        <f t="shared" si="307"/>
        <v/>
      </c>
      <c r="AK172" s="8" t="str">
        <f t="shared" si="307"/>
        <v/>
      </c>
      <c r="AL172" s="8" t="str">
        <f t="shared" si="307"/>
        <v/>
      </c>
      <c r="AM172" s="8" t="str">
        <f t="shared" si="307"/>
        <v/>
      </c>
      <c r="AN172" s="8" t="str">
        <f t="shared" si="307"/>
        <v/>
      </c>
      <c r="AO172" s="8" t="str">
        <f t="shared" ref="AO172:AS172" si="308">IF(AO$3="","",AN172)</f>
        <v/>
      </c>
      <c r="AP172" s="8" t="str">
        <f t="shared" si="308"/>
        <v/>
      </c>
      <c r="AQ172" s="8" t="str">
        <f t="shared" si="308"/>
        <v/>
      </c>
      <c r="AR172" s="8" t="str">
        <f t="shared" si="308"/>
        <v/>
      </c>
      <c r="AS172" s="8" t="str">
        <f t="shared" si="308"/>
        <v/>
      </c>
    </row>
    <row r="173" spans="1:45">
      <c r="A173" s="15">
        <v>4</v>
      </c>
      <c r="B173" s="9" t="s">
        <v>5</v>
      </c>
      <c r="C173" s="74">
        <v>8</v>
      </c>
      <c r="D173" s="8">
        <f>IF(D171="","",(C173+C174))</f>
        <v>8</v>
      </c>
      <c r="E173" s="8">
        <f>IF(E171="","",(D173+D174))</f>
        <v>8</v>
      </c>
      <c r="F173" s="8">
        <f>IF(F171="","",(E173+E174))</f>
        <v>8</v>
      </c>
      <c r="G173" s="59">
        <f>IF(G171="","",(F173+F174))</f>
        <v>9</v>
      </c>
      <c r="H173" s="8">
        <f>IF(H171="","",(G173+G174))</f>
        <v>9</v>
      </c>
      <c r="I173" s="8">
        <v>7</v>
      </c>
      <c r="J173" s="59">
        <f>IF(J171="","",(I173+I174))</f>
        <v>9</v>
      </c>
      <c r="K173" s="8">
        <f>IF(K171="","",(J173+J174))</f>
        <v>9</v>
      </c>
      <c r="L173" s="8">
        <v>5</v>
      </c>
      <c r="M173" s="59">
        <f>IF(M171="","",(L173+L174))</f>
        <v>11</v>
      </c>
      <c r="N173" s="8">
        <f>IF(N171="","",(M173+M174))</f>
        <v>11</v>
      </c>
      <c r="O173" s="8">
        <f>IF(O171="","",(N173+N174))</f>
        <v>11</v>
      </c>
      <c r="P173" s="8">
        <v>9</v>
      </c>
      <c r="Q173" s="59">
        <f>IF(Q171="","",(P173+P174))</f>
        <v>11</v>
      </c>
      <c r="R173" s="8">
        <f>IF(R171="","",(Q173+Q174))</f>
        <v>11</v>
      </c>
      <c r="S173" s="8">
        <v>10</v>
      </c>
      <c r="T173" s="8">
        <f t="shared" ref="T173:AN173" si="309">IF(T171="","",(S173+S174))</f>
        <v>10</v>
      </c>
      <c r="U173" s="8">
        <f t="shared" si="309"/>
        <v>10</v>
      </c>
      <c r="V173" s="8">
        <f t="shared" si="309"/>
        <v>10</v>
      </c>
      <c r="W173" s="8">
        <v>7</v>
      </c>
      <c r="X173" s="8">
        <f t="shared" si="309"/>
        <v>9</v>
      </c>
      <c r="Y173" s="8">
        <f t="shared" si="309"/>
        <v>9</v>
      </c>
      <c r="Z173" s="8">
        <f t="shared" si="309"/>
        <v>9</v>
      </c>
      <c r="AA173" s="8">
        <f t="shared" si="309"/>
        <v>9</v>
      </c>
      <c r="AB173" s="8">
        <f t="shared" si="309"/>
        <v>9</v>
      </c>
      <c r="AC173" s="8">
        <f t="shared" si="309"/>
        <v>9</v>
      </c>
      <c r="AD173" s="8">
        <v>8</v>
      </c>
      <c r="AE173" s="8">
        <f t="shared" si="309"/>
        <v>8</v>
      </c>
      <c r="AF173" s="8">
        <f t="shared" si="309"/>
        <v>8</v>
      </c>
      <c r="AG173" s="8">
        <v>7</v>
      </c>
      <c r="AH173" s="8" t="str">
        <f t="shared" si="309"/>
        <v/>
      </c>
      <c r="AI173" s="8" t="str">
        <f t="shared" si="309"/>
        <v/>
      </c>
      <c r="AJ173" s="8" t="str">
        <f t="shared" si="309"/>
        <v/>
      </c>
      <c r="AK173" s="8" t="str">
        <f t="shared" si="309"/>
        <v/>
      </c>
      <c r="AL173" s="8" t="str">
        <f t="shared" si="309"/>
        <v/>
      </c>
      <c r="AM173" s="8" t="str">
        <f t="shared" si="309"/>
        <v/>
      </c>
      <c r="AN173" s="8" t="str">
        <f t="shared" si="309"/>
        <v/>
      </c>
      <c r="AO173" s="8" t="str">
        <f t="shared" ref="AO173:AS173" si="310">IF(AO171="","",(AN173+AN174))</f>
        <v/>
      </c>
      <c r="AP173" s="8" t="str">
        <f t="shared" si="310"/>
        <v/>
      </c>
      <c r="AQ173" s="8" t="str">
        <f t="shared" si="310"/>
        <v/>
      </c>
      <c r="AR173" s="8" t="str">
        <f t="shared" si="310"/>
        <v/>
      </c>
      <c r="AS173" s="8" t="str">
        <f t="shared" si="310"/>
        <v/>
      </c>
    </row>
    <row r="174" spans="1:45">
      <c r="A174" s="14"/>
      <c r="B174" s="9" t="s">
        <v>7</v>
      </c>
      <c r="C174" s="74"/>
      <c r="D174" s="8"/>
      <c r="E174" s="8"/>
      <c r="F174" s="8">
        <v>1</v>
      </c>
      <c r="G174" s="59"/>
      <c r="H174" s="8"/>
      <c r="I174" s="8">
        <v>2</v>
      </c>
      <c r="J174" s="59"/>
      <c r="K174" s="8"/>
      <c r="L174" s="8">
        <v>6</v>
      </c>
      <c r="M174" s="59"/>
      <c r="N174" s="8"/>
      <c r="O174" s="8"/>
      <c r="P174" s="8">
        <v>2</v>
      </c>
      <c r="Q174" s="59"/>
      <c r="R174" s="8"/>
      <c r="S174" s="8"/>
      <c r="T174" s="8"/>
      <c r="U174" s="8"/>
      <c r="V174" s="8"/>
      <c r="W174" s="8">
        <v>2</v>
      </c>
      <c r="X174" s="8"/>
      <c r="Y174" s="8"/>
      <c r="Z174" s="8"/>
      <c r="AA174" s="8"/>
      <c r="AB174" s="8"/>
      <c r="AC174" s="8"/>
      <c r="AD174" s="8"/>
      <c r="AE174" s="8"/>
      <c r="AF174" s="8"/>
      <c r="AG174" s="8">
        <v>2</v>
      </c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</row>
    <row r="175" spans="1:45">
      <c r="A175" s="7"/>
      <c r="B175" s="9" t="s">
        <v>8</v>
      </c>
      <c r="C175" s="74">
        <v>300</v>
      </c>
      <c r="D175" s="8">
        <f t="shared" ref="D175:AN175" si="311">IF(D171="","",C175)</f>
        <v>300</v>
      </c>
      <c r="E175" s="8">
        <f t="shared" si="311"/>
        <v>300</v>
      </c>
      <c r="F175" s="8">
        <f t="shared" si="311"/>
        <v>300</v>
      </c>
      <c r="G175" s="59">
        <f t="shared" si="311"/>
        <v>300</v>
      </c>
      <c r="H175" s="8">
        <f t="shared" si="311"/>
        <v>300</v>
      </c>
      <c r="I175" s="8">
        <f t="shared" si="311"/>
        <v>300</v>
      </c>
      <c r="J175" s="59">
        <f t="shared" si="311"/>
        <v>300</v>
      </c>
      <c r="K175" s="8">
        <f t="shared" si="311"/>
        <v>300</v>
      </c>
      <c r="L175" s="8">
        <f t="shared" si="311"/>
        <v>300</v>
      </c>
      <c r="M175" s="59">
        <f t="shared" si="311"/>
        <v>300</v>
      </c>
      <c r="N175" s="8">
        <f t="shared" si="311"/>
        <v>300</v>
      </c>
      <c r="O175" s="8">
        <f t="shared" si="311"/>
        <v>300</v>
      </c>
      <c r="P175" s="8">
        <f t="shared" si="311"/>
        <v>300</v>
      </c>
      <c r="Q175" s="59">
        <f t="shared" si="311"/>
        <v>300</v>
      </c>
      <c r="R175" s="8">
        <f t="shared" si="311"/>
        <v>300</v>
      </c>
      <c r="S175" s="8">
        <f t="shared" si="311"/>
        <v>300</v>
      </c>
      <c r="T175" s="8">
        <f t="shared" si="311"/>
        <v>300</v>
      </c>
      <c r="U175" s="8">
        <f t="shared" si="311"/>
        <v>300</v>
      </c>
      <c r="V175" s="8">
        <f t="shared" si="311"/>
        <v>300</v>
      </c>
      <c r="W175" s="8">
        <f t="shared" si="311"/>
        <v>300</v>
      </c>
      <c r="X175" s="8">
        <f t="shared" si="311"/>
        <v>300</v>
      </c>
      <c r="Y175" s="8">
        <f t="shared" si="311"/>
        <v>300</v>
      </c>
      <c r="Z175" s="8">
        <f t="shared" si="311"/>
        <v>300</v>
      </c>
      <c r="AA175" s="8">
        <f t="shared" si="311"/>
        <v>300</v>
      </c>
      <c r="AB175" s="8">
        <f t="shared" si="311"/>
        <v>300</v>
      </c>
      <c r="AC175" s="8">
        <f t="shared" si="311"/>
        <v>300</v>
      </c>
      <c r="AD175" s="8">
        <f t="shared" si="311"/>
        <v>300</v>
      </c>
      <c r="AE175" s="8">
        <f t="shared" si="311"/>
        <v>300</v>
      </c>
      <c r="AF175" s="8">
        <f t="shared" si="311"/>
        <v>300</v>
      </c>
      <c r="AG175" s="8">
        <f t="shared" si="311"/>
        <v>300</v>
      </c>
      <c r="AH175" s="8" t="str">
        <f t="shared" si="311"/>
        <v/>
      </c>
      <c r="AI175" s="8" t="str">
        <f t="shared" si="311"/>
        <v/>
      </c>
      <c r="AJ175" s="8" t="str">
        <f t="shared" si="311"/>
        <v/>
      </c>
      <c r="AK175" s="8" t="str">
        <f t="shared" si="311"/>
        <v/>
      </c>
      <c r="AL175" s="8" t="str">
        <f t="shared" si="311"/>
        <v/>
      </c>
      <c r="AM175" s="8" t="str">
        <f t="shared" si="311"/>
        <v/>
      </c>
      <c r="AN175" s="8" t="str">
        <f t="shared" si="311"/>
        <v/>
      </c>
      <c r="AO175" s="8" t="str">
        <f t="shared" ref="AO175:AS175" si="312">IF(AO171="","",AN175)</f>
        <v/>
      </c>
      <c r="AP175" s="8" t="str">
        <f t="shared" si="312"/>
        <v/>
      </c>
      <c r="AQ175" s="8" t="str">
        <f t="shared" si="312"/>
        <v/>
      </c>
      <c r="AR175" s="8" t="str">
        <f t="shared" si="312"/>
        <v/>
      </c>
      <c r="AS175" s="8" t="str">
        <f t="shared" si="312"/>
        <v/>
      </c>
    </row>
    <row r="176" spans="1:45" s="94" customFormat="1">
      <c r="A176" s="14" t="s">
        <v>9</v>
      </c>
      <c r="B176" s="13" t="s">
        <v>10</v>
      </c>
      <c r="C176" s="75" t="s">
        <v>94</v>
      </c>
      <c r="D176" s="12" t="str">
        <f>IF(D171="","",C176)</f>
        <v>ラブブKC</v>
      </c>
      <c r="E176" s="12" t="str">
        <f>IF(E171="","",D176)</f>
        <v>ラブブKC</v>
      </c>
      <c r="F176" s="12" t="s">
        <v>26</v>
      </c>
      <c r="G176" s="131" t="str">
        <f t="shared" ref="G176:AN176" si="313">IF(G171="","",F176)</f>
        <v>たまごっちマスコット</v>
      </c>
      <c r="H176" s="12" t="str">
        <f t="shared" si="313"/>
        <v>たまごっちマスコット</v>
      </c>
      <c r="I176" s="12" t="str">
        <f t="shared" si="313"/>
        <v>たまごっちマスコット</v>
      </c>
      <c r="J176" s="131" t="str">
        <f t="shared" si="313"/>
        <v>たまごっちマスコット</v>
      </c>
      <c r="K176" s="12" t="str">
        <f t="shared" si="313"/>
        <v>たまごっちマスコット</v>
      </c>
      <c r="L176" s="12" t="str">
        <f t="shared" si="313"/>
        <v>たまごっちマスコット</v>
      </c>
      <c r="M176" s="131" t="str">
        <f t="shared" si="313"/>
        <v>たまごっちマスコット</v>
      </c>
      <c r="N176" s="12" t="str">
        <f t="shared" si="313"/>
        <v>たまごっちマスコット</v>
      </c>
      <c r="O176" s="12" t="str">
        <f t="shared" si="313"/>
        <v>たまごっちマスコット</v>
      </c>
      <c r="P176" s="12" t="str">
        <f t="shared" si="313"/>
        <v>たまごっちマスコット</v>
      </c>
      <c r="Q176" s="131" t="str">
        <f t="shared" si="313"/>
        <v>たまごっちマスコット</v>
      </c>
      <c r="R176" s="12" t="str">
        <f t="shared" si="313"/>
        <v>たまごっちマスコット</v>
      </c>
      <c r="S176" s="12" t="str">
        <f t="shared" si="313"/>
        <v>たまごっちマスコット</v>
      </c>
      <c r="T176" s="12" t="str">
        <f t="shared" si="313"/>
        <v>たまごっちマスコット</v>
      </c>
      <c r="U176" s="12" t="str">
        <f t="shared" si="313"/>
        <v>たまごっちマスコット</v>
      </c>
      <c r="V176" s="12" t="str">
        <f t="shared" si="313"/>
        <v>たまごっちマスコット</v>
      </c>
      <c r="W176" s="12" t="str">
        <f t="shared" si="313"/>
        <v>たまごっちマスコット</v>
      </c>
      <c r="X176" s="12" t="str">
        <f t="shared" si="313"/>
        <v>たまごっちマスコット</v>
      </c>
      <c r="Y176" s="12" t="str">
        <f t="shared" si="313"/>
        <v>たまごっちマスコット</v>
      </c>
      <c r="Z176" s="12" t="str">
        <f t="shared" si="313"/>
        <v>たまごっちマスコット</v>
      </c>
      <c r="AA176" s="12" t="str">
        <f t="shared" si="313"/>
        <v>たまごっちマスコット</v>
      </c>
      <c r="AB176" s="12" t="str">
        <f t="shared" si="313"/>
        <v>たまごっちマスコット</v>
      </c>
      <c r="AC176" s="12" t="str">
        <f t="shared" si="313"/>
        <v>たまごっちマスコット</v>
      </c>
      <c r="AD176" s="12" t="str">
        <f t="shared" si="313"/>
        <v>たまごっちマスコット</v>
      </c>
      <c r="AE176" s="12" t="str">
        <f t="shared" si="313"/>
        <v>たまごっちマスコット</v>
      </c>
      <c r="AF176" s="12" t="str">
        <f t="shared" si="313"/>
        <v>たまごっちマスコット</v>
      </c>
      <c r="AG176" s="12" t="str">
        <f t="shared" si="313"/>
        <v>たまごっちマスコット</v>
      </c>
      <c r="AH176" s="12" t="str">
        <f t="shared" si="313"/>
        <v/>
      </c>
      <c r="AI176" s="12" t="str">
        <f t="shared" si="313"/>
        <v/>
      </c>
      <c r="AJ176" s="12" t="str">
        <f t="shared" si="313"/>
        <v/>
      </c>
      <c r="AK176" s="12" t="str">
        <f t="shared" si="313"/>
        <v/>
      </c>
      <c r="AL176" s="12" t="str">
        <f t="shared" si="313"/>
        <v/>
      </c>
      <c r="AM176" s="12" t="str">
        <f t="shared" si="313"/>
        <v/>
      </c>
      <c r="AN176" s="12" t="str">
        <f t="shared" si="313"/>
        <v/>
      </c>
      <c r="AO176" s="12" t="str">
        <f t="shared" ref="AO176:AS176" si="314">IF(AO171="","",AN176)</f>
        <v/>
      </c>
      <c r="AP176" s="12" t="str">
        <f t="shared" si="314"/>
        <v/>
      </c>
      <c r="AQ176" s="12" t="str">
        <f t="shared" si="314"/>
        <v/>
      </c>
      <c r="AR176" s="12" t="str">
        <f t="shared" si="314"/>
        <v/>
      </c>
      <c r="AS176" s="12" t="str">
        <f t="shared" si="314"/>
        <v/>
      </c>
    </row>
    <row r="177" spans="1:45">
      <c r="A177" s="7">
        <f>AVERAGE(C178:AS178)*30*100</f>
        <v>122709.67741935485</v>
      </c>
      <c r="B177" s="9" t="s">
        <v>14</v>
      </c>
      <c r="C177" s="74"/>
      <c r="D177" s="8"/>
      <c r="E177" s="8"/>
      <c r="F177" s="8"/>
      <c r="G177" s="59"/>
      <c r="H177" s="8"/>
      <c r="I177" s="8"/>
      <c r="J177" s="59"/>
      <c r="K177" s="8"/>
      <c r="L177" s="8"/>
      <c r="M177" s="59"/>
      <c r="N177" s="8"/>
      <c r="O177" s="8"/>
      <c r="P177" s="8"/>
      <c r="Q177" s="59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</row>
    <row r="178" spans="1:45">
      <c r="A178" s="7">
        <f>SUM(C178:AS178)</f>
        <v>1268</v>
      </c>
      <c r="B178" s="6" t="s">
        <v>15</v>
      </c>
      <c r="C178" s="74">
        <v>0</v>
      </c>
      <c r="D178" s="5">
        <f t="shared" ref="D178:AN178" si="315">IF(D171="","",D171-C171)</f>
        <v>0</v>
      </c>
      <c r="E178" s="5">
        <f t="shared" si="315"/>
        <v>0</v>
      </c>
      <c r="F178" s="5">
        <f t="shared" si="315"/>
        <v>20</v>
      </c>
      <c r="G178" s="59">
        <f t="shared" si="315"/>
        <v>0</v>
      </c>
      <c r="H178" s="5">
        <f t="shared" si="315"/>
        <v>0</v>
      </c>
      <c r="I178" s="5">
        <f t="shared" si="315"/>
        <v>129</v>
      </c>
      <c r="J178" s="59">
        <f t="shared" si="315"/>
        <v>0</v>
      </c>
      <c r="K178" s="5">
        <f t="shared" si="315"/>
        <v>0</v>
      </c>
      <c r="L178" s="5">
        <f t="shared" si="315"/>
        <v>194</v>
      </c>
      <c r="M178" s="59">
        <f t="shared" si="315"/>
        <v>0</v>
      </c>
      <c r="N178" s="5">
        <f t="shared" si="315"/>
        <v>0</v>
      </c>
      <c r="O178" s="5">
        <f t="shared" si="315"/>
        <v>0</v>
      </c>
      <c r="P178" s="5">
        <f t="shared" si="315"/>
        <v>208</v>
      </c>
      <c r="Q178" s="59">
        <f t="shared" si="315"/>
        <v>0</v>
      </c>
      <c r="R178" s="5">
        <f t="shared" si="315"/>
        <v>0</v>
      </c>
      <c r="S178" s="5">
        <f t="shared" si="315"/>
        <v>146</v>
      </c>
      <c r="T178" s="5">
        <f t="shared" si="315"/>
        <v>0</v>
      </c>
      <c r="U178" s="5">
        <f t="shared" si="315"/>
        <v>0</v>
      </c>
      <c r="V178" s="5">
        <f t="shared" si="315"/>
        <v>0</v>
      </c>
      <c r="W178" s="5">
        <f t="shared" si="315"/>
        <v>144</v>
      </c>
      <c r="X178" s="5">
        <f t="shared" si="315"/>
        <v>0</v>
      </c>
      <c r="Y178" s="5">
        <f t="shared" si="315"/>
        <v>0</v>
      </c>
      <c r="Z178" s="5">
        <f t="shared" si="315"/>
        <v>150</v>
      </c>
      <c r="AA178" s="5">
        <f t="shared" si="315"/>
        <v>0</v>
      </c>
      <c r="AB178" s="5">
        <f t="shared" si="315"/>
        <v>0</v>
      </c>
      <c r="AC178" s="5">
        <f t="shared" si="315"/>
        <v>0</v>
      </c>
      <c r="AD178" s="5">
        <f t="shared" si="315"/>
        <v>146</v>
      </c>
      <c r="AE178" s="5">
        <f t="shared" si="315"/>
        <v>0</v>
      </c>
      <c r="AF178" s="5">
        <f t="shared" si="315"/>
        <v>0</v>
      </c>
      <c r="AG178" s="5">
        <f t="shared" si="315"/>
        <v>131</v>
      </c>
      <c r="AH178" s="5" t="str">
        <f t="shared" si="315"/>
        <v/>
      </c>
      <c r="AI178" s="5" t="str">
        <f t="shared" si="315"/>
        <v/>
      </c>
      <c r="AJ178" s="5" t="str">
        <f t="shared" si="315"/>
        <v/>
      </c>
      <c r="AK178" s="5" t="str">
        <f t="shared" si="315"/>
        <v/>
      </c>
      <c r="AL178" s="5" t="str">
        <f t="shared" si="315"/>
        <v/>
      </c>
      <c r="AM178" s="5" t="str">
        <f t="shared" si="315"/>
        <v/>
      </c>
      <c r="AN178" s="5" t="str">
        <f t="shared" si="315"/>
        <v/>
      </c>
      <c r="AO178" s="5" t="str">
        <f t="shared" ref="AO178:AS178" si="316">IF(AO171="","",AO171-AN171)</f>
        <v/>
      </c>
      <c r="AP178" s="5" t="str">
        <f t="shared" si="316"/>
        <v/>
      </c>
      <c r="AQ178" s="5" t="str">
        <f t="shared" si="316"/>
        <v/>
      </c>
      <c r="AR178" s="5" t="str">
        <f t="shared" si="316"/>
        <v/>
      </c>
      <c r="AS178" s="5" t="str">
        <f t="shared" si="316"/>
        <v/>
      </c>
    </row>
    <row r="179" spans="1:45">
      <c r="A179" s="7">
        <f>SUM(C179:AS179)</f>
        <v>11</v>
      </c>
      <c r="B179" s="6" t="s">
        <v>16</v>
      </c>
      <c r="C179" s="74">
        <v>0</v>
      </c>
      <c r="D179" s="5">
        <f t="shared" ref="D179:AN179" si="317">IF(D172="","",D172-C172)</f>
        <v>0</v>
      </c>
      <c r="E179" s="5">
        <f t="shared" si="317"/>
        <v>0</v>
      </c>
      <c r="F179" s="5">
        <f t="shared" si="317"/>
        <v>0</v>
      </c>
      <c r="G179" s="59">
        <f t="shared" si="317"/>
        <v>0</v>
      </c>
      <c r="H179" s="5">
        <f t="shared" si="317"/>
        <v>0</v>
      </c>
      <c r="I179" s="5">
        <f t="shared" si="317"/>
        <v>2</v>
      </c>
      <c r="J179" s="59">
        <f t="shared" si="317"/>
        <v>0</v>
      </c>
      <c r="K179" s="5">
        <f t="shared" si="317"/>
        <v>0</v>
      </c>
      <c r="L179" s="5">
        <f t="shared" si="317"/>
        <v>4</v>
      </c>
      <c r="M179" s="59">
        <f t="shared" si="317"/>
        <v>0</v>
      </c>
      <c r="N179" s="5">
        <f t="shared" si="317"/>
        <v>0</v>
      </c>
      <c r="O179" s="5">
        <f t="shared" si="317"/>
        <v>0</v>
      </c>
      <c r="P179" s="5">
        <f t="shared" si="317"/>
        <v>1</v>
      </c>
      <c r="Q179" s="59">
        <f t="shared" si="317"/>
        <v>0</v>
      </c>
      <c r="R179" s="5">
        <f t="shared" si="317"/>
        <v>0</v>
      </c>
      <c r="S179" s="5">
        <f t="shared" si="317"/>
        <v>1</v>
      </c>
      <c r="T179" s="5">
        <f t="shared" si="317"/>
        <v>0</v>
      </c>
      <c r="U179" s="5">
        <f t="shared" si="317"/>
        <v>0</v>
      </c>
      <c r="V179" s="5">
        <f t="shared" si="317"/>
        <v>0</v>
      </c>
      <c r="W179" s="5">
        <f t="shared" si="317"/>
        <v>1</v>
      </c>
      <c r="X179" s="5">
        <f t="shared" si="317"/>
        <v>0</v>
      </c>
      <c r="Y179" s="5">
        <f t="shared" si="317"/>
        <v>0</v>
      </c>
      <c r="Z179" s="5">
        <f t="shared" si="317"/>
        <v>0</v>
      </c>
      <c r="AA179" s="5">
        <f t="shared" si="317"/>
        <v>0</v>
      </c>
      <c r="AB179" s="5">
        <f t="shared" si="317"/>
        <v>0</v>
      </c>
      <c r="AC179" s="5">
        <f t="shared" si="317"/>
        <v>0</v>
      </c>
      <c r="AD179" s="5">
        <f t="shared" si="317"/>
        <v>1</v>
      </c>
      <c r="AE179" s="5">
        <f t="shared" si="317"/>
        <v>0</v>
      </c>
      <c r="AF179" s="5">
        <f t="shared" si="317"/>
        <v>0</v>
      </c>
      <c r="AG179" s="5">
        <f t="shared" si="317"/>
        <v>1</v>
      </c>
      <c r="AH179" s="5" t="str">
        <f t="shared" si="317"/>
        <v/>
      </c>
      <c r="AI179" s="5" t="str">
        <f t="shared" si="317"/>
        <v/>
      </c>
      <c r="AJ179" s="5" t="str">
        <f t="shared" si="317"/>
        <v/>
      </c>
      <c r="AK179" s="5" t="str">
        <f t="shared" si="317"/>
        <v/>
      </c>
      <c r="AL179" s="5" t="str">
        <f t="shared" si="317"/>
        <v/>
      </c>
      <c r="AM179" s="5" t="str">
        <f t="shared" si="317"/>
        <v/>
      </c>
      <c r="AN179" s="5" t="str">
        <f t="shared" si="317"/>
        <v/>
      </c>
      <c r="AO179" s="5" t="str">
        <f t="shared" ref="AO179:AS179" si="318">IF(AO172="","",AO172-AN172)</f>
        <v/>
      </c>
      <c r="AP179" s="5" t="str">
        <f t="shared" si="318"/>
        <v/>
      </c>
      <c r="AQ179" s="5" t="str">
        <f t="shared" si="318"/>
        <v/>
      </c>
      <c r="AR179" s="5" t="str">
        <f t="shared" si="318"/>
        <v/>
      </c>
      <c r="AS179" s="5" t="str">
        <f t="shared" si="318"/>
        <v/>
      </c>
    </row>
    <row r="180" spans="1:45">
      <c r="A180" s="7">
        <f>SUM(C180:AS180)</f>
        <v>14</v>
      </c>
      <c r="B180" s="6" t="s">
        <v>17</v>
      </c>
      <c r="C180" s="74">
        <v>0</v>
      </c>
      <c r="D180" s="5">
        <f t="shared" ref="D180:AN180" si="319">IF(D173="","",C173+C174-D173)</f>
        <v>0</v>
      </c>
      <c r="E180" s="5">
        <f t="shared" si="319"/>
        <v>0</v>
      </c>
      <c r="F180" s="5">
        <f t="shared" si="319"/>
        <v>0</v>
      </c>
      <c r="G180" s="59">
        <f t="shared" si="319"/>
        <v>0</v>
      </c>
      <c r="H180" s="5">
        <f t="shared" si="319"/>
        <v>0</v>
      </c>
      <c r="I180" s="5">
        <f t="shared" si="319"/>
        <v>2</v>
      </c>
      <c r="J180" s="59">
        <f t="shared" si="319"/>
        <v>0</v>
      </c>
      <c r="K180" s="5">
        <f t="shared" si="319"/>
        <v>0</v>
      </c>
      <c r="L180" s="5">
        <f t="shared" si="319"/>
        <v>4</v>
      </c>
      <c r="M180" s="59">
        <f t="shared" si="319"/>
        <v>0</v>
      </c>
      <c r="N180" s="5">
        <f t="shared" si="319"/>
        <v>0</v>
      </c>
      <c r="O180" s="5">
        <f t="shared" si="319"/>
        <v>0</v>
      </c>
      <c r="P180" s="5">
        <f t="shared" si="319"/>
        <v>2</v>
      </c>
      <c r="Q180" s="59">
        <f t="shared" si="319"/>
        <v>0</v>
      </c>
      <c r="R180" s="5">
        <f t="shared" si="319"/>
        <v>0</v>
      </c>
      <c r="S180" s="5">
        <f t="shared" si="319"/>
        <v>1</v>
      </c>
      <c r="T180" s="5">
        <f t="shared" si="319"/>
        <v>0</v>
      </c>
      <c r="U180" s="5">
        <f t="shared" si="319"/>
        <v>0</v>
      </c>
      <c r="V180" s="5">
        <f t="shared" si="319"/>
        <v>0</v>
      </c>
      <c r="W180" s="5">
        <f t="shared" si="319"/>
        <v>3</v>
      </c>
      <c r="X180" s="5">
        <f t="shared" si="319"/>
        <v>0</v>
      </c>
      <c r="Y180" s="5">
        <f t="shared" si="319"/>
        <v>0</v>
      </c>
      <c r="Z180" s="5">
        <f t="shared" si="319"/>
        <v>0</v>
      </c>
      <c r="AA180" s="5">
        <f t="shared" si="319"/>
        <v>0</v>
      </c>
      <c r="AB180" s="5">
        <f t="shared" si="319"/>
        <v>0</v>
      </c>
      <c r="AC180" s="5">
        <f t="shared" si="319"/>
        <v>0</v>
      </c>
      <c r="AD180" s="5">
        <f t="shared" si="319"/>
        <v>1</v>
      </c>
      <c r="AE180" s="5">
        <f t="shared" si="319"/>
        <v>0</v>
      </c>
      <c r="AF180" s="5">
        <f t="shared" si="319"/>
        <v>0</v>
      </c>
      <c r="AG180" s="5">
        <f t="shared" si="319"/>
        <v>1</v>
      </c>
      <c r="AH180" s="5" t="str">
        <f t="shared" si="319"/>
        <v/>
      </c>
      <c r="AI180" s="5" t="str">
        <f t="shared" si="319"/>
        <v/>
      </c>
      <c r="AJ180" s="5" t="str">
        <f t="shared" si="319"/>
        <v/>
      </c>
      <c r="AK180" s="5" t="str">
        <f t="shared" si="319"/>
        <v/>
      </c>
      <c r="AL180" s="5" t="str">
        <f t="shared" si="319"/>
        <v/>
      </c>
      <c r="AM180" s="5" t="str">
        <f t="shared" si="319"/>
        <v/>
      </c>
      <c r="AN180" s="5" t="str">
        <f t="shared" si="319"/>
        <v/>
      </c>
      <c r="AO180" s="5" t="str">
        <f t="shared" ref="AO180:AS180" si="320">IF(AO173="","",AN173+AN174-AO173)</f>
        <v/>
      </c>
      <c r="AP180" s="5" t="str">
        <f t="shared" si="320"/>
        <v/>
      </c>
      <c r="AQ180" s="5" t="str">
        <f t="shared" si="320"/>
        <v/>
      </c>
      <c r="AR180" s="5" t="str">
        <f t="shared" si="320"/>
        <v/>
      </c>
      <c r="AS180" s="5" t="str">
        <f t="shared" si="320"/>
        <v/>
      </c>
    </row>
    <row r="181" spans="1:45">
      <c r="A181" s="7">
        <f>SUM(C181:AS181)</f>
        <v>4200</v>
      </c>
      <c r="B181" s="6" t="s">
        <v>18</v>
      </c>
      <c r="C181" s="74">
        <v>0</v>
      </c>
      <c r="D181" s="5">
        <f t="shared" ref="D181:AN181" si="321">IF(D171="","",D180*D175)</f>
        <v>0</v>
      </c>
      <c r="E181" s="5">
        <f t="shared" si="321"/>
        <v>0</v>
      </c>
      <c r="F181" s="5">
        <f t="shared" si="321"/>
        <v>0</v>
      </c>
      <c r="G181" s="59">
        <f t="shared" si="321"/>
        <v>0</v>
      </c>
      <c r="H181" s="5">
        <f t="shared" si="321"/>
        <v>0</v>
      </c>
      <c r="I181" s="5">
        <f t="shared" si="321"/>
        <v>600</v>
      </c>
      <c r="J181" s="59">
        <f t="shared" si="321"/>
        <v>0</v>
      </c>
      <c r="K181" s="5">
        <f t="shared" si="321"/>
        <v>0</v>
      </c>
      <c r="L181" s="5">
        <f t="shared" si="321"/>
        <v>1200</v>
      </c>
      <c r="M181" s="59">
        <f t="shared" si="321"/>
        <v>0</v>
      </c>
      <c r="N181" s="5">
        <f t="shared" si="321"/>
        <v>0</v>
      </c>
      <c r="O181" s="5">
        <f t="shared" si="321"/>
        <v>0</v>
      </c>
      <c r="P181" s="5">
        <f t="shared" si="321"/>
        <v>600</v>
      </c>
      <c r="Q181" s="59">
        <f t="shared" si="321"/>
        <v>0</v>
      </c>
      <c r="R181" s="5">
        <f t="shared" si="321"/>
        <v>0</v>
      </c>
      <c r="S181" s="5">
        <f t="shared" si="321"/>
        <v>300</v>
      </c>
      <c r="T181" s="5">
        <f t="shared" si="321"/>
        <v>0</v>
      </c>
      <c r="U181" s="5">
        <f t="shared" si="321"/>
        <v>0</v>
      </c>
      <c r="V181" s="5">
        <f t="shared" si="321"/>
        <v>0</v>
      </c>
      <c r="W181" s="5">
        <f t="shared" si="321"/>
        <v>900</v>
      </c>
      <c r="X181" s="5">
        <f t="shared" si="321"/>
        <v>0</v>
      </c>
      <c r="Y181" s="5">
        <f t="shared" si="321"/>
        <v>0</v>
      </c>
      <c r="Z181" s="5">
        <f t="shared" si="321"/>
        <v>0</v>
      </c>
      <c r="AA181" s="5">
        <f t="shared" si="321"/>
        <v>0</v>
      </c>
      <c r="AB181" s="5">
        <f t="shared" si="321"/>
        <v>0</v>
      </c>
      <c r="AC181" s="5">
        <f t="shared" si="321"/>
        <v>0</v>
      </c>
      <c r="AD181" s="5">
        <f t="shared" si="321"/>
        <v>300</v>
      </c>
      <c r="AE181" s="5">
        <f t="shared" si="321"/>
        <v>0</v>
      </c>
      <c r="AF181" s="5">
        <f t="shared" si="321"/>
        <v>0</v>
      </c>
      <c r="AG181" s="5">
        <f t="shared" si="321"/>
        <v>300</v>
      </c>
      <c r="AH181" s="5" t="str">
        <f t="shared" si="321"/>
        <v/>
      </c>
      <c r="AI181" s="5" t="str">
        <f t="shared" si="321"/>
        <v/>
      </c>
      <c r="AJ181" s="5" t="str">
        <f t="shared" si="321"/>
        <v/>
      </c>
      <c r="AK181" s="5" t="str">
        <f t="shared" si="321"/>
        <v/>
      </c>
      <c r="AL181" s="5" t="str">
        <f t="shared" si="321"/>
        <v/>
      </c>
      <c r="AM181" s="5" t="str">
        <f t="shared" si="321"/>
        <v/>
      </c>
      <c r="AN181" s="5" t="str">
        <f t="shared" si="321"/>
        <v/>
      </c>
      <c r="AO181" s="5" t="str">
        <f t="shared" ref="AO181:AS181" si="322">IF(AO171="","",AO180*AO175)</f>
        <v/>
      </c>
      <c r="AP181" s="5" t="str">
        <f t="shared" si="322"/>
        <v/>
      </c>
      <c r="AQ181" s="5" t="str">
        <f t="shared" si="322"/>
        <v/>
      </c>
      <c r="AR181" s="5" t="str">
        <f t="shared" si="322"/>
        <v/>
      </c>
      <c r="AS181" s="5" t="str">
        <f t="shared" si="322"/>
        <v/>
      </c>
    </row>
    <row r="182" spans="1:45" ht="12" thickBot="1">
      <c r="A182" s="4">
        <f>IF(A181="","",A181/(A178*100))</f>
        <v>3.3123028391167195E-2</v>
      </c>
      <c r="B182" s="3" t="s">
        <v>20</v>
      </c>
      <c r="C182" s="77" t="s">
        <v>21</v>
      </c>
      <c r="D182" s="2" t="str">
        <f t="shared" ref="D182:AN182" si="323">IF(D181="","",IF(D181=0,"",D181/(D178*100)))</f>
        <v/>
      </c>
      <c r="E182" s="2" t="str">
        <f t="shared" si="323"/>
        <v/>
      </c>
      <c r="F182" s="2" t="str">
        <f t="shared" si="323"/>
        <v/>
      </c>
      <c r="G182" s="57" t="str">
        <f t="shared" si="323"/>
        <v/>
      </c>
      <c r="H182" s="2" t="str">
        <f t="shared" si="323"/>
        <v/>
      </c>
      <c r="I182" s="2">
        <f t="shared" si="323"/>
        <v>4.6511627906976744E-2</v>
      </c>
      <c r="J182" s="57" t="str">
        <f t="shared" si="323"/>
        <v/>
      </c>
      <c r="K182" s="2" t="str">
        <f t="shared" si="323"/>
        <v/>
      </c>
      <c r="L182" s="2">
        <f t="shared" si="323"/>
        <v>6.1855670103092786E-2</v>
      </c>
      <c r="M182" s="57" t="str">
        <f t="shared" si="323"/>
        <v/>
      </c>
      <c r="N182" s="2" t="str">
        <f t="shared" si="323"/>
        <v/>
      </c>
      <c r="O182" s="2" t="str">
        <f t="shared" si="323"/>
        <v/>
      </c>
      <c r="P182" s="2">
        <f t="shared" si="323"/>
        <v>2.8846153846153848E-2</v>
      </c>
      <c r="Q182" s="57" t="str">
        <f t="shared" si="323"/>
        <v/>
      </c>
      <c r="R182" s="2" t="str">
        <f t="shared" si="323"/>
        <v/>
      </c>
      <c r="S182" s="2">
        <f t="shared" si="323"/>
        <v>2.0547945205479451E-2</v>
      </c>
      <c r="T182" s="2" t="str">
        <f t="shared" si="323"/>
        <v/>
      </c>
      <c r="U182" s="2" t="str">
        <f t="shared" si="323"/>
        <v/>
      </c>
      <c r="V182" s="2" t="str">
        <f t="shared" si="323"/>
        <v/>
      </c>
      <c r="W182" s="2">
        <f t="shared" si="323"/>
        <v>6.25E-2</v>
      </c>
      <c r="X182" s="2" t="str">
        <f t="shared" si="323"/>
        <v/>
      </c>
      <c r="Y182" s="2" t="str">
        <f t="shared" si="323"/>
        <v/>
      </c>
      <c r="Z182" s="2" t="str">
        <f t="shared" si="323"/>
        <v/>
      </c>
      <c r="AA182" s="2" t="str">
        <f t="shared" si="323"/>
        <v/>
      </c>
      <c r="AB182" s="2" t="str">
        <f t="shared" si="323"/>
        <v/>
      </c>
      <c r="AC182" s="2" t="str">
        <f t="shared" si="323"/>
        <v/>
      </c>
      <c r="AD182" s="2">
        <f t="shared" si="323"/>
        <v>2.0547945205479451E-2</v>
      </c>
      <c r="AE182" s="2" t="str">
        <f t="shared" si="323"/>
        <v/>
      </c>
      <c r="AF182" s="2" t="str">
        <f t="shared" si="323"/>
        <v/>
      </c>
      <c r="AG182" s="2">
        <f t="shared" si="323"/>
        <v>2.2900763358778626E-2</v>
      </c>
      <c r="AH182" s="2" t="str">
        <f t="shared" si="323"/>
        <v/>
      </c>
      <c r="AI182" s="2" t="str">
        <f t="shared" si="323"/>
        <v/>
      </c>
      <c r="AJ182" s="2" t="str">
        <f t="shared" si="323"/>
        <v/>
      </c>
      <c r="AK182" s="2" t="str">
        <f t="shared" si="323"/>
        <v/>
      </c>
      <c r="AL182" s="2" t="str">
        <f t="shared" si="323"/>
        <v/>
      </c>
      <c r="AM182" s="2" t="str">
        <f t="shared" si="323"/>
        <v/>
      </c>
      <c r="AN182" s="2" t="str">
        <f t="shared" si="323"/>
        <v/>
      </c>
      <c r="AO182" s="2" t="str">
        <f t="shared" ref="AO182:AS182" si="324">IF(AO181="","",IF(AO181=0,"",AO181/(AO178*100)))</f>
        <v/>
      </c>
      <c r="AP182" s="2" t="str">
        <f t="shared" si="324"/>
        <v/>
      </c>
      <c r="AQ182" s="2" t="str">
        <f t="shared" si="324"/>
        <v/>
      </c>
      <c r="AR182" s="2" t="str">
        <f t="shared" si="324"/>
        <v/>
      </c>
      <c r="AS182" s="2" t="str">
        <f t="shared" si="324"/>
        <v/>
      </c>
    </row>
    <row r="183" spans="1:45">
      <c r="A183" s="22" t="s">
        <v>78</v>
      </c>
      <c r="B183" s="21" t="s">
        <v>2</v>
      </c>
      <c r="C183" s="73">
        <v>11592</v>
      </c>
      <c r="D183" s="20">
        <f>IF(D$3="","",C183)</f>
        <v>11592</v>
      </c>
      <c r="E183" s="20">
        <f>IF(E$3="","",D183)</f>
        <v>11592</v>
      </c>
      <c r="F183" s="20">
        <v>11837</v>
      </c>
      <c r="G183" s="130">
        <f>IF(G$3="","",F183)</f>
        <v>11837</v>
      </c>
      <c r="H183" s="20">
        <f>IF(H$3="","",G183)</f>
        <v>11837</v>
      </c>
      <c r="I183" s="20">
        <v>11884</v>
      </c>
      <c r="J183" s="130">
        <f>IF(J$3="","",I183)</f>
        <v>11884</v>
      </c>
      <c r="K183" s="20">
        <f>IF(K$3="","",J183)</f>
        <v>11884</v>
      </c>
      <c r="L183" s="20">
        <v>11958</v>
      </c>
      <c r="M183" s="130">
        <f t="shared" ref="M183:O184" si="325">IF(M$3="","",L183)</f>
        <v>11958</v>
      </c>
      <c r="N183" s="20">
        <f t="shared" si="325"/>
        <v>11958</v>
      </c>
      <c r="O183" s="20">
        <f t="shared" si="325"/>
        <v>11958</v>
      </c>
      <c r="P183" s="20">
        <v>12053</v>
      </c>
      <c r="Q183" s="130">
        <f>IF(Q$3="","",P183)</f>
        <v>12053</v>
      </c>
      <c r="R183" s="20">
        <f>IF(R$3="","",Q183)</f>
        <v>12053</v>
      </c>
      <c r="S183" s="20">
        <v>12157</v>
      </c>
      <c r="T183" s="20">
        <f t="shared" ref="T183:AN183" si="326">IF(T$3="","",S183)</f>
        <v>12157</v>
      </c>
      <c r="U183" s="20">
        <f t="shared" si="326"/>
        <v>12157</v>
      </c>
      <c r="V183" s="20">
        <f t="shared" si="326"/>
        <v>12157</v>
      </c>
      <c r="W183" s="20">
        <v>12193</v>
      </c>
      <c r="X183" s="20">
        <f t="shared" si="326"/>
        <v>12193</v>
      </c>
      <c r="Y183" s="20">
        <f t="shared" si="326"/>
        <v>12193</v>
      </c>
      <c r="Z183" s="20">
        <v>12296</v>
      </c>
      <c r="AA183" s="20">
        <f t="shared" si="326"/>
        <v>12296</v>
      </c>
      <c r="AB183" s="20">
        <f t="shared" si="326"/>
        <v>12296</v>
      </c>
      <c r="AC183" s="20">
        <f t="shared" si="326"/>
        <v>12296</v>
      </c>
      <c r="AD183" s="20">
        <v>12333</v>
      </c>
      <c r="AE183" s="20">
        <f t="shared" si="326"/>
        <v>12333</v>
      </c>
      <c r="AF183" s="20">
        <f t="shared" si="326"/>
        <v>12333</v>
      </c>
      <c r="AG183" s="20">
        <v>12410</v>
      </c>
      <c r="AH183" s="20" t="str">
        <f t="shared" si="326"/>
        <v/>
      </c>
      <c r="AI183" s="20" t="str">
        <f t="shared" si="326"/>
        <v/>
      </c>
      <c r="AJ183" s="20" t="str">
        <f t="shared" si="326"/>
        <v/>
      </c>
      <c r="AK183" s="20" t="str">
        <f t="shared" si="326"/>
        <v/>
      </c>
      <c r="AL183" s="20" t="str">
        <f t="shared" si="326"/>
        <v/>
      </c>
      <c r="AM183" s="20" t="str">
        <f t="shared" si="326"/>
        <v/>
      </c>
      <c r="AN183" s="20" t="str">
        <f t="shared" si="326"/>
        <v/>
      </c>
      <c r="AO183" s="20" t="str">
        <f t="shared" ref="AO183:AS183" si="327">IF(AO$3="","",AN183)</f>
        <v/>
      </c>
      <c r="AP183" s="20" t="str">
        <f t="shared" si="327"/>
        <v/>
      </c>
      <c r="AQ183" s="20" t="str">
        <f t="shared" si="327"/>
        <v/>
      </c>
      <c r="AR183" s="20" t="str">
        <f t="shared" si="327"/>
        <v/>
      </c>
      <c r="AS183" s="20" t="str">
        <f t="shared" si="327"/>
        <v/>
      </c>
    </row>
    <row r="184" spans="1:45">
      <c r="A184" s="16" t="s">
        <v>46</v>
      </c>
      <c r="B184" s="9" t="s">
        <v>4</v>
      </c>
      <c r="C184" s="74">
        <v>215</v>
      </c>
      <c r="D184" s="8">
        <f>IF(D$3="","",C184)</f>
        <v>215</v>
      </c>
      <c r="E184" s="8">
        <f>IF(E$3="","",D184)</f>
        <v>215</v>
      </c>
      <c r="F184" s="8">
        <v>216</v>
      </c>
      <c r="G184" s="59">
        <f>IF(G$3="","",F184)</f>
        <v>216</v>
      </c>
      <c r="H184" s="8">
        <f>IF(H$3="","",G184)</f>
        <v>216</v>
      </c>
      <c r="I184" s="8">
        <v>217</v>
      </c>
      <c r="J184" s="59">
        <f>IF(J$3="","",I184)</f>
        <v>217</v>
      </c>
      <c r="K184" s="8">
        <f>IF(K$3="","",J184)</f>
        <v>217</v>
      </c>
      <c r="L184" s="8">
        <v>218</v>
      </c>
      <c r="M184" s="59">
        <f t="shared" si="325"/>
        <v>218</v>
      </c>
      <c r="N184" s="8">
        <f t="shared" si="325"/>
        <v>218</v>
      </c>
      <c r="O184" s="8">
        <f t="shared" si="325"/>
        <v>218</v>
      </c>
      <c r="P184" s="8">
        <v>220</v>
      </c>
      <c r="Q184" s="59">
        <f>IF(Q$3="","",P184)</f>
        <v>220</v>
      </c>
      <c r="R184" s="8">
        <f>IF(R$3="","",Q184)</f>
        <v>220</v>
      </c>
      <c r="S184" s="8">
        <v>221</v>
      </c>
      <c r="T184" s="8">
        <f t="shared" ref="T184:AN184" si="328">IF(T$3="","",S184)</f>
        <v>221</v>
      </c>
      <c r="U184" s="8">
        <f t="shared" si="328"/>
        <v>221</v>
      </c>
      <c r="V184" s="8">
        <f t="shared" si="328"/>
        <v>221</v>
      </c>
      <c r="W184" s="8">
        <v>222</v>
      </c>
      <c r="X184" s="8">
        <f t="shared" si="328"/>
        <v>222</v>
      </c>
      <c r="Y184" s="8">
        <f t="shared" si="328"/>
        <v>222</v>
      </c>
      <c r="Z184" s="8">
        <v>223</v>
      </c>
      <c r="AA184" s="8">
        <f t="shared" si="328"/>
        <v>223</v>
      </c>
      <c r="AB184" s="8">
        <f t="shared" si="328"/>
        <v>223</v>
      </c>
      <c r="AC184" s="8">
        <f t="shared" si="328"/>
        <v>223</v>
      </c>
      <c r="AD184" s="8">
        <f t="shared" si="328"/>
        <v>223</v>
      </c>
      <c r="AE184" s="8">
        <f t="shared" si="328"/>
        <v>223</v>
      </c>
      <c r="AF184" s="8">
        <f t="shared" si="328"/>
        <v>223</v>
      </c>
      <c r="AG184" s="8">
        <f t="shared" si="328"/>
        <v>223</v>
      </c>
      <c r="AH184" s="8" t="str">
        <f t="shared" si="328"/>
        <v/>
      </c>
      <c r="AI184" s="8" t="str">
        <f t="shared" si="328"/>
        <v/>
      </c>
      <c r="AJ184" s="8" t="str">
        <f t="shared" si="328"/>
        <v/>
      </c>
      <c r="AK184" s="8" t="str">
        <f t="shared" si="328"/>
        <v/>
      </c>
      <c r="AL184" s="8" t="str">
        <f t="shared" si="328"/>
        <v/>
      </c>
      <c r="AM184" s="8" t="str">
        <f t="shared" si="328"/>
        <v/>
      </c>
      <c r="AN184" s="8" t="str">
        <f t="shared" si="328"/>
        <v/>
      </c>
      <c r="AO184" s="8" t="str">
        <f t="shared" ref="AO184:AS184" si="329">IF(AO$3="","",AN184)</f>
        <v/>
      </c>
      <c r="AP184" s="8" t="str">
        <f t="shared" si="329"/>
        <v/>
      </c>
      <c r="AQ184" s="8" t="str">
        <f t="shared" si="329"/>
        <v/>
      </c>
      <c r="AR184" s="8" t="str">
        <f t="shared" si="329"/>
        <v/>
      </c>
      <c r="AS184" s="8" t="str">
        <f t="shared" si="329"/>
        <v/>
      </c>
    </row>
    <row r="185" spans="1:45">
      <c r="A185" s="15">
        <v>1</v>
      </c>
      <c r="B185" s="9" t="s">
        <v>5</v>
      </c>
      <c r="C185" s="74">
        <v>10</v>
      </c>
      <c r="D185" s="8">
        <f>IF(D183="","",(C185+C186))</f>
        <v>10</v>
      </c>
      <c r="E185" s="8">
        <f>IF(E183="","",(D185+D186))</f>
        <v>10</v>
      </c>
      <c r="F185" s="8">
        <v>9</v>
      </c>
      <c r="G185" s="59">
        <f>IF(G183="","",(F185+F186))</f>
        <v>10</v>
      </c>
      <c r="H185" s="8">
        <f>IF(H183="","",(G185+G186))</f>
        <v>10</v>
      </c>
      <c r="I185" s="8">
        <v>8</v>
      </c>
      <c r="J185" s="59">
        <f t="shared" ref="J185:O185" si="330">IF(J183="","",(I185+I186))</f>
        <v>8</v>
      </c>
      <c r="K185" s="8">
        <f t="shared" si="330"/>
        <v>8</v>
      </c>
      <c r="L185" s="8">
        <f t="shared" si="330"/>
        <v>8</v>
      </c>
      <c r="M185" s="59">
        <f t="shared" si="330"/>
        <v>8</v>
      </c>
      <c r="N185" s="8">
        <f t="shared" si="330"/>
        <v>8</v>
      </c>
      <c r="O185" s="8">
        <f t="shared" si="330"/>
        <v>8</v>
      </c>
      <c r="P185" s="8">
        <v>5</v>
      </c>
      <c r="Q185" s="59">
        <f>IF(Q183="","",(P185+P186))</f>
        <v>6</v>
      </c>
      <c r="R185" s="8">
        <f>IF(R183="","",(Q185+Q186))</f>
        <v>6</v>
      </c>
      <c r="S185" s="8">
        <v>5</v>
      </c>
      <c r="T185" s="8">
        <f t="shared" ref="T185:AN185" si="331">IF(T183="","",(S185+S186))</f>
        <v>5</v>
      </c>
      <c r="U185" s="8">
        <f t="shared" si="331"/>
        <v>5</v>
      </c>
      <c r="V185" s="8">
        <f t="shared" si="331"/>
        <v>5</v>
      </c>
      <c r="W185" s="8">
        <v>4</v>
      </c>
      <c r="X185" s="8">
        <f t="shared" si="331"/>
        <v>6</v>
      </c>
      <c r="Y185" s="8">
        <f t="shared" si="331"/>
        <v>6</v>
      </c>
      <c r="Z185" s="8">
        <v>5</v>
      </c>
      <c r="AA185" s="8">
        <f t="shared" si="331"/>
        <v>7</v>
      </c>
      <c r="AB185" s="8">
        <f t="shared" si="331"/>
        <v>7</v>
      </c>
      <c r="AC185" s="8">
        <f t="shared" si="331"/>
        <v>7</v>
      </c>
      <c r="AD185" s="8">
        <f t="shared" si="331"/>
        <v>7</v>
      </c>
      <c r="AE185" s="8">
        <f t="shared" si="331"/>
        <v>7</v>
      </c>
      <c r="AF185" s="8">
        <f t="shared" si="331"/>
        <v>7</v>
      </c>
      <c r="AG185" s="8">
        <f t="shared" si="331"/>
        <v>7</v>
      </c>
      <c r="AH185" s="8" t="str">
        <f t="shared" si="331"/>
        <v/>
      </c>
      <c r="AI185" s="8" t="str">
        <f t="shared" si="331"/>
        <v/>
      </c>
      <c r="AJ185" s="8" t="str">
        <f t="shared" si="331"/>
        <v/>
      </c>
      <c r="AK185" s="8" t="str">
        <f t="shared" si="331"/>
        <v/>
      </c>
      <c r="AL185" s="8" t="str">
        <f t="shared" si="331"/>
        <v/>
      </c>
      <c r="AM185" s="8" t="str">
        <f t="shared" si="331"/>
        <v/>
      </c>
      <c r="AN185" s="8" t="str">
        <f t="shared" si="331"/>
        <v/>
      </c>
      <c r="AO185" s="8" t="str">
        <f t="shared" ref="AO185:AS185" si="332">IF(AO183="","",(AN185+AN186))</f>
        <v/>
      </c>
      <c r="AP185" s="8" t="str">
        <f t="shared" si="332"/>
        <v/>
      </c>
      <c r="AQ185" s="8" t="str">
        <f t="shared" si="332"/>
        <v/>
      </c>
      <c r="AR185" s="8" t="str">
        <f t="shared" si="332"/>
        <v/>
      </c>
      <c r="AS185" s="8" t="str">
        <f t="shared" si="332"/>
        <v/>
      </c>
    </row>
    <row r="186" spans="1:45">
      <c r="A186" s="101" t="s">
        <v>6</v>
      </c>
      <c r="B186" s="9" t="s">
        <v>7</v>
      </c>
      <c r="C186" s="74"/>
      <c r="D186" s="8"/>
      <c r="E186" s="8"/>
      <c r="F186" s="8">
        <v>1</v>
      </c>
      <c r="G186" s="59"/>
      <c r="H186" s="8"/>
      <c r="I186" s="8"/>
      <c r="J186" s="59"/>
      <c r="K186" s="8"/>
      <c r="L186" s="8"/>
      <c r="M186" s="59"/>
      <c r="N186" s="8"/>
      <c r="O186" s="8"/>
      <c r="P186" s="8">
        <v>1</v>
      </c>
      <c r="Q186" s="59"/>
      <c r="R186" s="8"/>
      <c r="S186" s="8"/>
      <c r="T186" s="8"/>
      <c r="U186" s="8"/>
      <c r="V186" s="8"/>
      <c r="W186" s="8">
        <v>2</v>
      </c>
      <c r="X186" s="8"/>
      <c r="Y186" s="8"/>
      <c r="Z186" s="8">
        <v>2</v>
      </c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</row>
    <row r="187" spans="1:45">
      <c r="A187" s="102">
        <f>+(A190+A202+A214+A226)*100</f>
        <v>207800</v>
      </c>
      <c r="B187" s="9" t="s">
        <v>8</v>
      </c>
      <c r="C187" s="74">
        <v>750</v>
      </c>
      <c r="D187" s="8">
        <f t="shared" ref="D187:AN187" si="333">IF(D183="","",C187)</f>
        <v>750</v>
      </c>
      <c r="E187" s="8">
        <f t="shared" si="333"/>
        <v>750</v>
      </c>
      <c r="F187" s="8">
        <f t="shared" si="333"/>
        <v>750</v>
      </c>
      <c r="G187" s="59">
        <f t="shared" si="333"/>
        <v>750</v>
      </c>
      <c r="H187" s="8">
        <f t="shared" si="333"/>
        <v>750</v>
      </c>
      <c r="I187" s="8">
        <f t="shared" si="333"/>
        <v>750</v>
      </c>
      <c r="J187" s="59">
        <f t="shared" si="333"/>
        <v>750</v>
      </c>
      <c r="K187" s="8">
        <f t="shared" si="333"/>
        <v>750</v>
      </c>
      <c r="L187" s="8">
        <f t="shared" si="333"/>
        <v>750</v>
      </c>
      <c r="M187" s="59">
        <f t="shared" si="333"/>
        <v>750</v>
      </c>
      <c r="N187" s="8">
        <f t="shared" si="333"/>
        <v>750</v>
      </c>
      <c r="O187" s="8">
        <f t="shared" si="333"/>
        <v>750</v>
      </c>
      <c r="P187" s="8">
        <f t="shared" si="333"/>
        <v>750</v>
      </c>
      <c r="Q187" s="59">
        <f t="shared" si="333"/>
        <v>750</v>
      </c>
      <c r="R187" s="8">
        <f t="shared" si="333"/>
        <v>750</v>
      </c>
      <c r="S187" s="8">
        <f t="shared" si="333"/>
        <v>750</v>
      </c>
      <c r="T187" s="8">
        <f t="shared" si="333"/>
        <v>750</v>
      </c>
      <c r="U187" s="8">
        <f t="shared" si="333"/>
        <v>750</v>
      </c>
      <c r="V187" s="8">
        <f t="shared" si="333"/>
        <v>750</v>
      </c>
      <c r="W187" s="8">
        <f t="shared" si="333"/>
        <v>750</v>
      </c>
      <c r="X187" s="8">
        <f t="shared" si="333"/>
        <v>750</v>
      </c>
      <c r="Y187" s="8">
        <f t="shared" si="333"/>
        <v>750</v>
      </c>
      <c r="Z187" s="8">
        <f t="shared" si="333"/>
        <v>750</v>
      </c>
      <c r="AA187" s="8">
        <f t="shared" si="333"/>
        <v>750</v>
      </c>
      <c r="AB187" s="8">
        <f t="shared" si="333"/>
        <v>750</v>
      </c>
      <c r="AC187" s="8">
        <f t="shared" si="333"/>
        <v>750</v>
      </c>
      <c r="AD187" s="8">
        <f t="shared" si="333"/>
        <v>750</v>
      </c>
      <c r="AE187" s="8">
        <f t="shared" si="333"/>
        <v>750</v>
      </c>
      <c r="AF187" s="8">
        <f t="shared" si="333"/>
        <v>750</v>
      </c>
      <c r="AG187" s="8">
        <f t="shared" si="333"/>
        <v>750</v>
      </c>
      <c r="AH187" s="8" t="str">
        <f t="shared" si="333"/>
        <v/>
      </c>
      <c r="AI187" s="8" t="str">
        <f t="shared" si="333"/>
        <v/>
      </c>
      <c r="AJ187" s="8" t="str">
        <f t="shared" si="333"/>
        <v/>
      </c>
      <c r="AK187" s="8" t="str">
        <f t="shared" si="333"/>
        <v/>
      </c>
      <c r="AL187" s="8" t="str">
        <f t="shared" si="333"/>
        <v/>
      </c>
      <c r="AM187" s="8" t="str">
        <f t="shared" si="333"/>
        <v/>
      </c>
      <c r="AN187" s="8" t="str">
        <f t="shared" si="333"/>
        <v/>
      </c>
      <c r="AO187" s="8" t="str">
        <f t="shared" ref="AO187:AS187" si="334">IF(AO183="","",AN187)</f>
        <v/>
      </c>
      <c r="AP187" s="8" t="str">
        <f t="shared" si="334"/>
        <v/>
      </c>
      <c r="AQ187" s="8" t="str">
        <f t="shared" si="334"/>
        <v/>
      </c>
      <c r="AR187" s="8" t="str">
        <f t="shared" si="334"/>
        <v/>
      </c>
      <c r="AS187" s="8" t="str">
        <f t="shared" si="334"/>
        <v/>
      </c>
    </row>
    <row r="188" spans="1:45" s="94" customFormat="1">
      <c r="A188" s="14" t="s">
        <v>9</v>
      </c>
      <c r="B188" s="13" t="s">
        <v>10</v>
      </c>
      <c r="C188" s="75" t="s">
        <v>47</v>
      </c>
      <c r="D188" s="12" t="str">
        <f t="shared" ref="D188:AN188" si="335">IF(D183="","",C188)</f>
        <v>サンリオボアキーケース</v>
      </c>
      <c r="E188" s="12" t="str">
        <f t="shared" si="335"/>
        <v>サンリオボアキーケース</v>
      </c>
      <c r="F188" s="12" t="str">
        <f t="shared" si="335"/>
        <v>サンリオボアキーケース</v>
      </c>
      <c r="G188" s="131" t="str">
        <f t="shared" si="335"/>
        <v>サンリオボアキーケース</v>
      </c>
      <c r="H188" s="12" t="str">
        <f t="shared" si="335"/>
        <v>サンリオボアキーケース</v>
      </c>
      <c r="I188" s="12" t="str">
        <f t="shared" si="335"/>
        <v>サンリオボアキーケース</v>
      </c>
      <c r="J188" s="131" t="str">
        <f t="shared" si="335"/>
        <v>サンリオボアキーケース</v>
      </c>
      <c r="K188" s="12" t="str">
        <f t="shared" si="335"/>
        <v>サンリオボアキーケース</v>
      </c>
      <c r="L188" s="12" t="str">
        <f t="shared" si="335"/>
        <v>サンリオボアキーケース</v>
      </c>
      <c r="M188" s="131" t="str">
        <f t="shared" si="335"/>
        <v>サンリオボアキーケース</v>
      </c>
      <c r="N188" s="12" t="str">
        <f t="shared" si="335"/>
        <v>サンリオボアキーケース</v>
      </c>
      <c r="O188" s="12" t="str">
        <f t="shared" si="335"/>
        <v>サンリオボアキーケース</v>
      </c>
      <c r="P188" s="12" t="str">
        <f t="shared" si="335"/>
        <v>サンリオボアキーケース</v>
      </c>
      <c r="Q188" s="131" t="str">
        <f t="shared" si="335"/>
        <v>サンリオボアキーケース</v>
      </c>
      <c r="R188" s="12" t="str">
        <f t="shared" si="335"/>
        <v>サンリオボアキーケース</v>
      </c>
      <c r="S188" s="12" t="str">
        <f t="shared" si="335"/>
        <v>サンリオボアキーケース</v>
      </c>
      <c r="T188" s="12" t="str">
        <f t="shared" si="335"/>
        <v>サンリオボアキーケース</v>
      </c>
      <c r="U188" s="12" t="str">
        <f t="shared" si="335"/>
        <v>サンリオボアキーケース</v>
      </c>
      <c r="V188" s="12" t="str">
        <f t="shared" si="335"/>
        <v>サンリオボアキーケース</v>
      </c>
      <c r="W188" s="12" t="str">
        <f t="shared" si="335"/>
        <v>サンリオボアキーケース</v>
      </c>
      <c r="X188" s="12" t="str">
        <f t="shared" si="335"/>
        <v>サンリオボアキーケース</v>
      </c>
      <c r="Y188" s="12" t="str">
        <f t="shared" si="335"/>
        <v>サンリオボアキーケース</v>
      </c>
      <c r="Z188" s="12" t="str">
        <f t="shared" si="335"/>
        <v>サンリオボアキーケース</v>
      </c>
      <c r="AA188" s="12" t="str">
        <f t="shared" si="335"/>
        <v>サンリオボアキーケース</v>
      </c>
      <c r="AB188" s="12" t="str">
        <f t="shared" si="335"/>
        <v>サンリオボアキーケース</v>
      </c>
      <c r="AC188" s="12" t="str">
        <f t="shared" si="335"/>
        <v>サンリオボアキーケース</v>
      </c>
      <c r="AD188" s="12" t="str">
        <f t="shared" si="335"/>
        <v>サンリオボアキーケース</v>
      </c>
      <c r="AE188" s="12" t="str">
        <f t="shared" si="335"/>
        <v>サンリオボアキーケース</v>
      </c>
      <c r="AF188" s="12" t="str">
        <f t="shared" si="335"/>
        <v>サンリオボアキーケース</v>
      </c>
      <c r="AG188" s="12" t="str">
        <f t="shared" si="335"/>
        <v>サンリオボアキーケース</v>
      </c>
      <c r="AH188" s="12" t="str">
        <f t="shared" si="335"/>
        <v/>
      </c>
      <c r="AI188" s="12" t="str">
        <f t="shared" si="335"/>
        <v/>
      </c>
      <c r="AJ188" s="12" t="str">
        <f t="shared" si="335"/>
        <v/>
      </c>
      <c r="AK188" s="12" t="str">
        <f t="shared" si="335"/>
        <v/>
      </c>
      <c r="AL188" s="12" t="str">
        <f t="shared" si="335"/>
        <v/>
      </c>
      <c r="AM188" s="12" t="str">
        <f t="shared" si="335"/>
        <v/>
      </c>
      <c r="AN188" s="12" t="str">
        <f t="shared" si="335"/>
        <v/>
      </c>
      <c r="AO188" s="12" t="str">
        <f t="shared" ref="AO188:AS188" si="336">IF(AO183="","",AN188)</f>
        <v/>
      </c>
      <c r="AP188" s="12" t="str">
        <f t="shared" si="336"/>
        <v/>
      </c>
      <c r="AQ188" s="12" t="str">
        <f t="shared" si="336"/>
        <v/>
      </c>
      <c r="AR188" s="12" t="str">
        <f t="shared" si="336"/>
        <v/>
      </c>
      <c r="AS188" s="12" t="str">
        <f t="shared" si="336"/>
        <v/>
      </c>
    </row>
    <row r="189" spans="1:45">
      <c r="A189" s="7">
        <f>AVERAGE(C190:AS190)*30*100</f>
        <v>79161.290322580651</v>
      </c>
      <c r="B189" s="9" t="s">
        <v>14</v>
      </c>
      <c r="C189" s="74"/>
      <c r="D189" s="8"/>
      <c r="E189" s="8"/>
      <c r="F189" s="8"/>
      <c r="G189" s="59"/>
      <c r="H189" s="8"/>
      <c r="I189" s="8"/>
      <c r="J189" s="59"/>
      <c r="K189" s="8"/>
      <c r="L189" s="8"/>
      <c r="M189" s="59"/>
      <c r="N189" s="8"/>
      <c r="O189" s="8"/>
      <c r="P189" s="8"/>
      <c r="Q189" s="59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</row>
    <row r="190" spans="1:45">
      <c r="A190" s="7">
        <f>SUM(C190:AS190)</f>
        <v>818</v>
      </c>
      <c r="B190" s="6" t="s">
        <v>15</v>
      </c>
      <c r="C190" s="74">
        <v>0</v>
      </c>
      <c r="D190" s="5">
        <f t="shared" ref="D190:AN190" si="337">IF(D183="","",D183-C183)</f>
        <v>0</v>
      </c>
      <c r="E190" s="5">
        <f t="shared" si="337"/>
        <v>0</v>
      </c>
      <c r="F190" s="5">
        <f t="shared" si="337"/>
        <v>245</v>
      </c>
      <c r="G190" s="59">
        <f t="shared" si="337"/>
        <v>0</v>
      </c>
      <c r="H190" s="5">
        <f t="shared" si="337"/>
        <v>0</v>
      </c>
      <c r="I190" s="5">
        <f t="shared" si="337"/>
        <v>47</v>
      </c>
      <c r="J190" s="59">
        <f t="shared" si="337"/>
        <v>0</v>
      </c>
      <c r="K190" s="5">
        <f t="shared" si="337"/>
        <v>0</v>
      </c>
      <c r="L190" s="5">
        <f t="shared" si="337"/>
        <v>74</v>
      </c>
      <c r="M190" s="59">
        <f t="shared" si="337"/>
        <v>0</v>
      </c>
      <c r="N190" s="5">
        <f t="shared" si="337"/>
        <v>0</v>
      </c>
      <c r="O190" s="5">
        <f t="shared" si="337"/>
        <v>0</v>
      </c>
      <c r="P190" s="5">
        <f t="shared" si="337"/>
        <v>95</v>
      </c>
      <c r="Q190" s="59">
        <f t="shared" si="337"/>
        <v>0</v>
      </c>
      <c r="R190" s="5">
        <f t="shared" si="337"/>
        <v>0</v>
      </c>
      <c r="S190" s="5">
        <f t="shared" si="337"/>
        <v>104</v>
      </c>
      <c r="T190" s="5">
        <f t="shared" si="337"/>
        <v>0</v>
      </c>
      <c r="U190" s="5">
        <f t="shared" si="337"/>
        <v>0</v>
      </c>
      <c r="V190" s="5">
        <f t="shared" si="337"/>
        <v>0</v>
      </c>
      <c r="W190" s="5">
        <f t="shared" si="337"/>
        <v>36</v>
      </c>
      <c r="X190" s="5">
        <f t="shared" si="337"/>
        <v>0</v>
      </c>
      <c r="Y190" s="5">
        <f t="shared" si="337"/>
        <v>0</v>
      </c>
      <c r="Z190" s="5">
        <f t="shared" si="337"/>
        <v>103</v>
      </c>
      <c r="AA190" s="5">
        <f t="shared" si="337"/>
        <v>0</v>
      </c>
      <c r="AB190" s="5">
        <f t="shared" si="337"/>
        <v>0</v>
      </c>
      <c r="AC190" s="5">
        <f t="shared" si="337"/>
        <v>0</v>
      </c>
      <c r="AD190" s="5">
        <f t="shared" si="337"/>
        <v>37</v>
      </c>
      <c r="AE190" s="5">
        <f t="shared" si="337"/>
        <v>0</v>
      </c>
      <c r="AF190" s="5">
        <f t="shared" si="337"/>
        <v>0</v>
      </c>
      <c r="AG190" s="5">
        <f t="shared" si="337"/>
        <v>77</v>
      </c>
      <c r="AH190" s="5" t="str">
        <f t="shared" si="337"/>
        <v/>
      </c>
      <c r="AI190" s="5" t="str">
        <f t="shared" si="337"/>
        <v/>
      </c>
      <c r="AJ190" s="5" t="str">
        <f t="shared" si="337"/>
        <v/>
      </c>
      <c r="AK190" s="5" t="str">
        <f t="shared" si="337"/>
        <v/>
      </c>
      <c r="AL190" s="5" t="str">
        <f t="shared" si="337"/>
        <v/>
      </c>
      <c r="AM190" s="5" t="str">
        <f t="shared" si="337"/>
        <v/>
      </c>
      <c r="AN190" s="5" t="str">
        <f t="shared" si="337"/>
        <v/>
      </c>
      <c r="AO190" s="5" t="str">
        <f t="shared" ref="AO190:AS190" si="338">IF(AO183="","",AO183-AN183)</f>
        <v/>
      </c>
      <c r="AP190" s="5" t="str">
        <f t="shared" si="338"/>
        <v/>
      </c>
      <c r="AQ190" s="5" t="str">
        <f t="shared" si="338"/>
        <v/>
      </c>
      <c r="AR190" s="5" t="str">
        <f t="shared" si="338"/>
        <v/>
      </c>
      <c r="AS190" s="5" t="str">
        <f t="shared" si="338"/>
        <v/>
      </c>
    </row>
    <row r="191" spans="1:45">
      <c r="A191" s="7">
        <f>SUM(C191:AS191)</f>
        <v>8</v>
      </c>
      <c r="B191" s="6" t="s">
        <v>16</v>
      </c>
      <c r="C191" s="74">
        <v>0</v>
      </c>
      <c r="D191" s="5">
        <f t="shared" ref="D191:AN191" si="339">IF(D184="","",D184-C184)</f>
        <v>0</v>
      </c>
      <c r="E191" s="5">
        <f t="shared" si="339"/>
        <v>0</v>
      </c>
      <c r="F191" s="5">
        <f t="shared" si="339"/>
        <v>1</v>
      </c>
      <c r="G191" s="59">
        <f t="shared" si="339"/>
        <v>0</v>
      </c>
      <c r="H191" s="5">
        <f t="shared" si="339"/>
        <v>0</v>
      </c>
      <c r="I191" s="5">
        <f t="shared" si="339"/>
        <v>1</v>
      </c>
      <c r="J191" s="59">
        <f t="shared" si="339"/>
        <v>0</v>
      </c>
      <c r="K191" s="5">
        <f t="shared" si="339"/>
        <v>0</v>
      </c>
      <c r="L191" s="5">
        <f t="shared" si="339"/>
        <v>1</v>
      </c>
      <c r="M191" s="59">
        <f t="shared" si="339"/>
        <v>0</v>
      </c>
      <c r="N191" s="5">
        <f t="shared" si="339"/>
        <v>0</v>
      </c>
      <c r="O191" s="5">
        <f t="shared" si="339"/>
        <v>0</v>
      </c>
      <c r="P191" s="5">
        <f t="shared" si="339"/>
        <v>2</v>
      </c>
      <c r="Q191" s="59">
        <f t="shared" si="339"/>
        <v>0</v>
      </c>
      <c r="R191" s="5">
        <f t="shared" si="339"/>
        <v>0</v>
      </c>
      <c r="S191" s="5">
        <f t="shared" si="339"/>
        <v>1</v>
      </c>
      <c r="T191" s="5">
        <f t="shared" si="339"/>
        <v>0</v>
      </c>
      <c r="U191" s="5">
        <f t="shared" si="339"/>
        <v>0</v>
      </c>
      <c r="V191" s="5">
        <f t="shared" si="339"/>
        <v>0</v>
      </c>
      <c r="W191" s="5">
        <f t="shared" si="339"/>
        <v>1</v>
      </c>
      <c r="X191" s="5">
        <f t="shared" si="339"/>
        <v>0</v>
      </c>
      <c r="Y191" s="5">
        <f t="shared" si="339"/>
        <v>0</v>
      </c>
      <c r="Z191" s="5">
        <f t="shared" si="339"/>
        <v>1</v>
      </c>
      <c r="AA191" s="5">
        <f t="shared" si="339"/>
        <v>0</v>
      </c>
      <c r="AB191" s="5">
        <f t="shared" si="339"/>
        <v>0</v>
      </c>
      <c r="AC191" s="5">
        <f t="shared" si="339"/>
        <v>0</v>
      </c>
      <c r="AD191" s="5">
        <f t="shared" si="339"/>
        <v>0</v>
      </c>
      <c r="AE191" s="5">
        <f t="shared" si="339"/>
        <v>0</v>
      </c>
      <c r="AF191" s="5">
        <f t="shared" si="339"/>
        <v>0</v>
      </c>
      <c r="AG191" s="5">
        <f t="shared" si="339"/>
        <v>0</v>
      </c>
      <c r="AH191" s="5" t="str">
        <f t="shared" si="339"/>
        <v/>
      </c>
      <c r="AI191" s="5" t="str">
        <f t="shared" si="339"/>
        <v/>
      </c>
      <c r="AJ191" s="5" t="str">
        <f t="shared" si="339"/>
        <v/>
      </c>
      <c r="AK191" s="5" t="str">
        <f t="shared" si="339"/>
        <v/>
      </c>
      <c r="AL191" s="5" t="str">
        <f t="shared" si="339"/>
        <v/>
      </c>
      <c r="AM191" s="5" t="str">
        <f t="shared" si="339"/>
        <v/>
      </c>
      <c r="AN191" s="5" t="str">
        <f t="shared" si="339"/>
        <v/>
      </c>
      <c r="AO191" s="5" t="str">
        <f t="shared" ref="AO191:AS191" si="340">IF(AO184="","",AO184-AN184)</f>
        <v/>
      </c>
      <c r="AP191" s="5" t="str">
        <f t="shared" si="340"/>
        <v/>
      </c>
      <c r="AQ191" s="5" t="str">
        <f t="shared" si="340"/>
        <v/>
      </c>
      <c r="AR191" s="5" t="str">
        <f t="shared" si="340"/>
        <v/>
      </c>
      <c r="AS191" s="5" t="str">
        <f t="shared" si="340"/>
        <v/>
      </c>
    </row>
    <row r="192" spans="1:45">
      <c r="A192" s="7">
        <f>SUM(C192:AS192)</f>
        <v>9</v>
      </c>
      <c r="B192" s="6" t="s">
        <v>17</v>
      </c>
      <c r="C192" s="74">
        <v>0</v>
      </c>
      <c r="D192" s="5">
        <f t="shared" ref="D192:AN192" si="341">IF(D185="","",C185+C186-D185)</f>
        <v>0</v>
      </c>
      <c r="E192" s="5">
        <f t="shared" si="341"/>
        <v>0</v>
      </c>
      <c r="F192" s="5">
        <f t="shared" si="341"/>
        <v>1</v>
      </c>
      <c r="G192" s="59">
        <f t="shared" si="341"/>
        <v>0</v>
      </c>
      <c r="H192" s="5">
        <f t="shared" si="341"/>
        <v>0</v>
      </c>
      <c r="I192" s="5">
        <f t="shared" si="341"/>
        <v>2</v>
      </c>
      <c r="J192" s="59">
        <f t="shared" si="341"/>
        <v>0</v>
      </c>
      <c r="K192" s="5">
        <f t="shared" si="341"/>
        <v>0</v>
      </c>
      <c r="L192" s="5">
        <f t="shared" si="341"/>
        <v>0</v>
      </c>
      <c r="M192" s="59">
        <f t="shared" si="341"/>
        <v>0</v>
      </c>
      <c r="N192" s="5">
        <f t="shared" si="341"/>
        <v>0</v>
      </c>
      <c r="O192" s="5">
        <f t="shared" si="341"/>
        <v>0</v>
      </c>
      <c r="P192" s="5">
        <f t="shared" si="341"/>
        <v>3</v>
      </c>
      <c r="Q192" s="59">
        <f t="shared" si="341"/>
        <v>0</v>
      </c>
      <c r="R192" s="5">
        <f t="shared" si="341"/>
        <v>0</v>
      </c>
      <c r="S192" s="5">
        <f t="shared" si="341"/>
        <v>1</v>
      </c>
      <c r="T192" s="5">
        <f t="shared" si="341"/>
        <v>0</v>
      </c>
      <c r="U192" s="5">
        <f t="shared" si="341"/>
        <v>0</v>
      </c>
      <c r="V192" s="5">
        <f t="shared" si="341"/>
        <v>0</v>
      </c>
      <c r="W192" s="5">
        <f t="shared" si="341"/>
        <v>1</v>
      </c>
      <c r="X192" s="5">
        <f t="shared" si="341"/>
        <v>0</v>
      </c>
      <c r="Y192" s="5">
        <f t="shared" si="341"/>
        <v>0</v>
      </c>
      <c r="Z192" s="5">
        <f t="shared" si="341"/>
        <v>1</v>
      </c>
      <c r="AA192" s="5">
        <f t="shared" si="341"/>
        <v>0</v>
      </c>
      <c r="AB192" s="5">
        <f t="shared" si="341"/>
        <v>0</v>
      </c>
      <c r="AC192" s="5">
        <f t="shared" si="341"/>
        <v>0</v>
      </c>
      <c r="AD192" s="5">
        <f t="shared" si="341"/>
        <v>0</v>
      </c>
      <c r="AE192" s="5">
        <f t="shared" si="341"/>
        <v>0</v>
      </c>
      <c r="AF192" s="5">
        <f t="shared" si="341"/>
        <v>0</v>
      </c>
      <c r="AG192" s="5">
        <f t="shared" si="341"/>
        <v>0</v>
      </c>
      <c r="AH192" s="5" t="str">
        <f t="shared" si="341"/>
        <v/>
      </c>
      <c r="AI192" s="5" t="str">
        <f t="shared" si="341"/>
        <v/>
      </c>
      <c r="AJ192" s="5" t="str">
        <f t="shared" si="341"/>
        <v/>
      </c>
      <c r="AK192" s="5" t="str">
        <f t="shared" si="341"/>
        <v/>
      </c>
      <c r="AL192" s="5" t="str">
        <f t="shared" si="341"/>
        <v/>
      </c>
      <c r="AM192" s="5" t="str">
        <f t="shared" si="341"/>
        <v/>
      </c>
      <c r="AN192" s="5" t="str">
        <f t="shared" si="341"/>
        <v/>
      </c>
      <c r="AO192" s="5" t="str">
        <f t="shared" ref="AO192:AS192" si="342">IF(AO185="","",AN185+AN186-AO185)</f>
        <v/>
      </c>
      <c r="AP192" s="5" t="str">
        <f t="shared" si="342"/>
        <v/>
      </c>
      <c r="AQ192" s="5" t="str">
        <f t="shared" si="342"/>
        <v/>
      </c>
      <c r="AR192" s="5" t="str">
        <f t="shared" si="342"/>
        <v/>
      </c>
      <c r="AS192" s="5" t="str">
        <f t="shared" si="342"/>
        <v/>
      </c>
    </row>
    <row r="193" spans="1:45">
      <c r="A193" s="7">
        <f>SUM(C193:AS193)</f>
        <v>6750</v>
      </c>
      <c r="B193" s="6" t="s">
        <v>18</v>
      </c>
      <c r="C193" s="74">
        <v>0</v>
      </c>
      <c r="D193" s="5">
        <f t="shared" ref="D193:AN193" si="343">IF(D183="","",D192*D187)</f>
        <v>0</v>
      </c>
      <c r="E193" s="5">
        <f t="shared" si="343"/>
        <v>0</v>
      </c>
      <c r="F193" s="5">
        <f t="shared" si="343"/>
        <v>750</v>
      </c>
      <c r="G193" s="59">
        <f t="shared" si="343"/>
        <v>0</v>
      </c>
      <c r="H193" s="5">
        <f t="shared" si="343"/>
        <v>0</v>
      </c>
      <c r="I193" s="5">
        <f t="shared" si="343"/>
        <v>1500</v>
      </c>
      <c r="J193" s="59">
        <f t="shared" si="343"/>
        <v>0</v>
      </c>
      <c r="K193" s="5">
        <f t="shared" si="343"/>
        <v>0</v>
      </c>
      <c r="L193" s="5">
        <f t="shared" si="343"/>
        <v>0</v>
      </c>
      <c r="M193" s="59">
        <f t="shared" si="343"/>
        <v>0</v>
      </c>
      <c r="N193" s="5">
        <f t="shared" si="343"/>
        <v>0</v>
      </c>
      <c r="O193" s="5">
        <f t="shared" si="343"/>
        <v>0</v>
      </c>
      <c r="P193" s="5">
        <f t="shared" si="343"/>
        <v>2250</v>
      </c>
      <c r="Q193" s="59">
        <f t="shared" si="343"/>
        <v>0</v>
      </c>
      <c r="R193" s="5">
        <f t="shared" si="343"/>
        <v>0</v>
      </c>
      <c r="S193" s="5">
        <f t="shared" si="343"/>
        <v>750</v>
      </c>
      <c r="T193" s="5">
        <f t="shared" si="343"/>
        <v>0</v>
      </c>
      <c r="U193" s="5">
        <f t="shared" si="343"/>
        <v>0</v>
      </c>
      <c r="V193" s="5">
        <f t="shared" si="343"/>
        <v>0</v>
      </c>
      <c r="W193" s="5">
        <f t="shared" si="343"/>
        <v>750</v>
      </c>
      <c r="X193" s="5">
        <f t="shared" si="343"/>
        <v>0</v>
      </c>
      <c r="Y193" s="5">
        <f t="shared" si="343"/>
        <v>0</v>
      </c>
      <c r="Z193" s="5">
        <f t="shared" si="343"/>
        <v>750</v>
      </c>
      <c r="AA193" s="5">
        <f t="shared" si="343"/>
        <v>0</v>
      </c>
      <c r="AB193" s="5">
        <f t="shared" si="343"/>
        <v>0</v>
      </c>
      <c r="AC193" s="5">
        <f t="shared" si="343"/>
        <v>0</v>
      </c>
      <c r="AD193" s="5">
        <f t="shared" si="343"/>
        <v>0</v>
      </c>
      <c r="AE193" s="5">
        <f t="shared" si="343"/>
        <v>0</v>
      </c>
      <c r="AF193" s="5">
        <f t="shared" si="343"/>
        <v>0</v>
      </c>
      <c r="AG193" s="5">
        <f t="shared" si="343"/>
        <v>0</v>
      </c>
      <c r="AH193" s="5" t="str">
        <f t="shared" si="343"/>
        <v/>
      </c>
      <c r="AI193" s="5" t="str">
        <f t="shared" si="343"/>
        <v/>
      </c>
      <c r="AJ193" s="5" t="str">
        <f t="shared" si="343"/>
        <v/>
      </c>
      <c r="AK193" s="5" t="str">
        <f t="shared" si="343"/>
        <v/>
      </c>
      <c r="AL193" s="5" t="str">
        <f t="shared" si="343"/>
        <v/>
      </c>
      <c r="AM193" s="5" t="str">
        <f t="shared" si="343"/>
        <v/>
      </c>
      <c r="AN193" s="5" t="str">
        <f t="shared" si="343"/>
        <v/>
      </c>
      <c r="AO193" s="5" t="str">
        <f t="shared" ref="AO193:AS193" si="344">IF(AO183="","",AO192*AO187)</f>
        <v/>
      </c>
      <c r="AP193" s="5" t="str">
        <f t="shared" si="344"/>
        <v/>
      </c>
      <c r="AQ193" s="5" t="str">
        <f t="shared" si="344"/>
        <v/>
      </c>
      <c r="AR193" s="5" t="str">
        <f t="shared" si="344"/>
        <v/>
      </c>
      <c r="AS193" s="5" t="str">
        <f t="shared" si="344"/>
        <v/>
      </c>
    </row>
    <row r="194" spans="1:45" ht="12" thickBot="1">
      <c r="A194" s="4">
        <f>IF(A193="","",A193/(A190*100))</f>
        <v>8.2518337408312964E-2</v>
      </c>
      <c r="B194" s="6" t="s">
        <v>20</v>
      </c>
      <c r="C194" s="76" t="s">
        <v>21</v>
      </c>
      <c r="D194" s="18" t="str">
        <f t="shared" ref="D194:AN194" si="345">IF(D193="","",IF(D193=0,"",D193/(D190*100)))</f>
        <v/>
      </c>
      <c r="E194" s="18" t="str">
        <f t="shared" si="345"/>
        <v/>
      </c>
      <c r="F194" s="18">
        <f t="shared" si="345"/>
        <v>3.0612244897959183E-2</v>
      </c>
      <c r="G194" s="62" t="str">
        <f t="shared" si="345"/>
        <v/>
      </c>
      <c r="H194" s="18" t="str">
        <f t="shared" si="345"/>
        <v/>
      </c>
      <c r="I194" s="18">
        <f t="shared" si="345"/>
        <v>0.31914893617021278</v>
      </c>
      <c r="J194" s="62" t="str">
        <f t="shared" si="345"/>
        <v/>
      </c>
      <c r="K194" s="18" t="str">
        <f t="shared" si="345"/>
        <v/>
      </c>
      <c r="L194" s="18" t="str">
        <f t="shared" si="345"/>
        <v/>
      </c>
      <c r="M194" s="62" t="str">
        <f t="shared" si="345"/>
        <v/>
      </c>
      <c r="N194" s="18" t="str">
        <f t="shared" si="345"/>
        <v/>
      </c>
      <c r="O194" s="18" t="str">
        <f t="shared" si="345"/>
        <v/>
      </c>
      <c r="P194" s="18">
        <f t="shared" si="345"/>
        <v>0.23684210526315788</v>
      </c>
      <c r="Q194" s="62" t="str">
        <f t="shared" si="345"/>
        <v/>
      </c>
      <c r="R194" s="18" t="str">
        <f t="shared" si="345"/>
        <v/>
      </c>
      <c r="S194" s="18">
        <f t="shared" si="345"/>
        <v>7.2115384615384609E-2</v>
      </c>
      <c r="T194" s="18" t="str">
        <f t="shared" si="345"/>
        <v/>
      </c>
      <c r="U194" s="18" t="str">
        <f t="shared" si="345"/>
        <v/>
      </c>
      <c r="V194" s="18" t="str">
        <f t="shared" si="345"/>
        <v/>
      </c>
      <c r="W194" s="18">
        <f t="shared" si="345"/>
        <v>0.20833333333333334</v>
      </c>
      <c r="X194" s="18" t="str">
        <f t="shared" si="345"/>
        <v/>
      </c>
      <c r="Y194" s="18" t="str">
        <f t="shared" si="345"/>
        <v/>
      </c>
      <c r="Z194" s="18">
        <f t="shared" si="345"/>
        <v>7.281553398058252E-2</v>
      </c>
      <c r="AA194" s="18" t="str">
        <f t="shared" si="345"/>
        <v/>
      </c>
      <c r="AB194" s="18" t="str">
        <f t="shared" si="345"/>
        <v/>
      </c>
      <c r="AC194" s="18" t="str">
        <f t="shared" si="345"/>
        <v/>
      </c>
      <c r="AD194" s="18" t="str">
        <f t="shared" si="345"/>
        <v/>
      </c>
      <c r="AE194" s="18" t="str">
        <f t="shared" si="345"/>
        <v/>
      </c>
      <c r="AF194" s="18" t="str">
        <f t="shared" si="345"/>
        <v/>
      </c>
      <c r="AG194" s="18" t="str">
        <f t="shared" si="345"/>
        <v/>
      </c>
      <c r="AH194" s="18" t="str">
        <f t="shared" si="345"/>
        <v/>
      </c>
      <c r="AI194" s="18" t="str">
        <f t="shared" si="345"/>
        <v/>
      </c>
      <c r="AJ194" s="18" t="str">
        <f t="shared" si="345"/>
        <v/>
      </c>
      <c r="AK194" s="18" t="str">
        <f t="shared" si="345"/>
        <v/>
      </c>
      <c r="AL194" s="18" t="str">
        <f t="shared" si="345"/>
        <v/>
      </c>
      <c r="AM194" s="18" t="str">
        <f t="shared" si="345"/>
        <v/>
      </c>
      <c r="AN194" s="18" t="str">
        <f t="shared" si="345"/>
        <v/>
      </c>
      <c r="AO194" s="18" t="str">
        <f t="shared" ref="AO194:AS194" si="346">IF(AO193="","",IF(AO193=0,"",AO193/(AO190*100)))</f>
        <v/>
      </c>
      <c r="AP194" s="18" t="str">
        <f t="shared" si="346"/>
        <v/>
      </c>
      <c r="AQ194" s="18" t="str">
        <f t="shared" si="346"/>
        <v/>
      </c>
      <c r="AR194" s="18" t="str">
        <f t="shared" si="346"/>
        <v/>
      </c>
      <c r="AS194" s="18" t="str">
        <f t="shared" si="346"/>
        <v/>
      </c>
    </row>
    <row r="195" spans="1:45">
      <c r="A195" s="17" t="s">
        <v>78</v>
      </c>
      <c r="B195" s="9" t="s">
        <v>2</v>
      </c>
      <c r="C195" s="74">
        <v>6806</v>
      </c>
      <c r="D195" s="8">
        <f>IF(D$3="","",C195)</f>
        <v>6806</v>
      </c>
      <c r="E195" s="8">
        <f>IF(E$3="","",D195)</f>
        <v>6806</v>
      </c>
      <c r="F195" s="8">
        <v>6819</v>
      </c>
      <c r="G195" s="59">
        <f>IF(G$3="","",F195)</f>
        <v>6819</v>
      </c>
      <c r="H195" s="8">
        <f>IF(H$3="","",G195)</f>
        <v>6819</v>
      </c>
      <c r="I195" s="8">
        <v>6895</v>
      </c>
      <c r="J195" s="59">
        <f>IF(J$3="","",I195)</f>
        <v>6895</v>
      </c>
      <c r="K195" s="8">
        <f>IF(K$3="","",J195)</f>
        <v>6895</v>
      </c>
      <c r="L195" s="8">
        <v>6996</v>
      </c>
      <c r="M195" s="59">
        <f t="shared" ref="M195:O196" si="347">IF(M$3="","",L195)</f>
        <v>6996</v>
      </c>
      <c r="N195" s="8">
        <f t="shared" si="347"/>
        <v>6996</v>
      </c>
      <c r="O195" s="8">
        <f t="shared" si="347"/>
        <v>6996</v>
      </c>
      <c r="P195" s="8">
        <v>7012</v>
      </c>
      <c r="Q195" s="59">
        <f>IF(Q$3="","",P195)</f>
        <v>7012</v>
      </c>
      <c r="R195" s="8">
        <f>IF(R$3="","",Q195)</f>
        <v>7012</v>
      </c>
      <c r="S195" s="8">
        <v>7021</v>
      </c>
      <c r="T195" s="8">
        <f t="shared" ref="T195:AN195" si="348">IF(T$3="","",S195)</f>
        <v>7021</v>
      </c>
      <c r="U195" s="8">
        <f t="shared" si="348"/>
        <v>7021</v>
      </c>
      <c r="V195" s="8">
        <f t="shared" si="348"/>
        <v>7021</v>
      </c>
      <c r="W195" s="8">
        <v>7036</v>
      </c>
      <c r="X195" s="8">
        <f t="shared" si="348"/>
        <v>7036</v>
      </c>
      <c r="Y195" s="8">
        <f t="shared" si="348"/>
        <v>7036</v>
      </c>
      <c r="Z195" s="8">
        <v>7067</v>
      </c>
      <c r="AA195" s="8">
        <f t="shared" si="348"/>
        <v>7067</v>
      </c>
      <c r="AB195" s="8">
        <f t="shared" si="348"/>
        <v>7067</v>
      </c>
      <c r="AC195" s="8">
        <f t="shared" si="348"/>
        <v>7067</v>
      </c>
      <c r="AD195" s="8">
        <v>7079</v>
      </c>
      <c r="AE195" s="8">
        <f t="shared" si="348"/>
        <v>7079</v>
      </c>
      <c r="AF195" s="8">
        <f t="shared" si="348"/>
        <v>7079</v>
      </c>
      <c r="AG195" s="8">
        <v>7132</v>
      </c>
      <c r="AH195" s="8" t="str">
        <f t="shared" si="348"/>
        <v/>
      </c>
      <c r="AI195" s="8" t="str">
        <f t="shared" si="348"/>
        <v/>
      </c>
      <c r="AJ195" s="8" t="str">
        <f t="shared" si="348"/>
        <v/>
      </c>
      <c r="AK195" s="8" t="str">
        <f t="shared" si="348"/>
        <v/>
      </c>
      <c r="AL195" s="8" t="str">
        <f t="shared" si="348"/>
        <v/>
      </c>
      <c r="AM195" s="8" t="str">
        <f t="shared" si="348"/>
        <v/>
      </c>
      <c r="AN195" s="8" t="str">
        <f t="shared" si="348"/>
        <v/>
      </c>
      <c r="AO195" s="8" t="str">
        <f t="shared" ref="AO195:AS195" si="349">IF(AO$3="","",AN195)</f>
        <v/>
      </c>
      <c r="AP195" s="8" t="str">
        <f t="shared" si="349"/>
        <v/>
      </c>
      <c r="AQ195" s="8" t="str">
        <f t="shared" si="349"/>
        <v/>
      </c>
      <c r="AR195" s="8" t="str">
        <f t="shared" si="349"/>
        <v/>
      </c>
      <c r="AS195" s="8" t="str">
        <f t="shared" si="349"/>
        <v/>
      </c>
    </row>
    <row r="196" spans="1:45">
      <c r="A196" s="16" t="s">
        <v>44</v>
      </c>
      <c r="B196" s="9" t="s">
        <v>4</v>
      </c>
      <c r="C196" s="74">
        <v>135</v>
      </c>
      <c r="D196" s="8">
        <f>IF(D$3="","",C196)</f>
        <v>135</v>
      </c>
      <c r="E196" s="8">
        <f>IF(E$3="","",D196)</f>
        <v>135</v>
      </c>
      <c r="F196" s="8">
        <f>IF(F$3="","",E196)</f>
        <v>135</v>
      </c>
      <c r="G196" s="59">
        <f>IF(G$3="","",F196)</f>
        <v>135</v>
      </c>
      <c r="H196" s="8">
        <f>IF(H$3="","",G196)</f>
        <v>135</v>
      </c>
      <c r="I196" s="8">
        <v>136</v>
      </c>
      <c r="J196" s="59">
        <f>IF(J$3="","",I196)</f>
        <v>136</v>
      </c>
      <c r="K196" s="8">
        <f>IF(K$3="","",J196)</f>
        <v>136</v>
      </c>
      <c r="L196" s="8">
        <v>137</v>
      </c>
      <c r="M196" s="59">
        <f t="shared" si="347"/>
        <v>137</v>
      </c>
      <c r="N196" s="8">
        <f t="shared" si="347"/>
        <v>137</v>
      </c>
      <c r="O196" s="8">
        <f t="shared" si="347"/>
        <v>137</v>
      </c>
      <c r="P196" s="8">
        <f>IF(P$3="","",O196)</f>
        <v>137</v>
      </c>
      <c r="Q196" s="59">
        <f>IF(Q$3="","",P196)</f>
        <v>137</v>
      </c>
      <c r="R196" s="8">
        <f>IF(R$3="","",Q196)</f>
        <v>137</v>
      </c>
      <c r="S196" s="8">
        <f>IF(S$3="","",R196)</f>
        <v>137</v>
      </c>
      <c r="T196" s="8">
        <f t="shared" ref="T196:AN196" si="350">IF(T$3="","",S196)</f>
        <v>137</v>
      </c>
      <c r="U196" s="8">
        <f t="shared" si="350"/>
        <v>137</v>
      </c>
      <c r="V196" s="8">
        <f t="shared" si="350"/>
        <v>137</v>
      </c>
      <c r="W196" s="8">
        <f t="shared" si="350"/>
        <v>137</v>
      </c>
      <c r="X196" s="8">
        <f t="shared" si="350"/>
        <v>137</v>
      </c>
      <c r="Y196" s="8">
        <f t="shared" si="350"/>
        <v>137</v>
      </c>
      <c r="Z196" s="8">
        <v>138</v>
      </c>
      <c r="AA196" s="8">
        <f t="shared" si="350"/>
        <v>138</v>
      </c>
      <c r="AB196" s="8">
        <f t="shared" si="350"/>
        <v>138</v>
      </c>
      <c r="AC196" s="8">
        <f t="shared" si="350"/>
        <v>138</v>
      </c>
      <c r="AD196" s="8">
        <f t="shared" si="350"/>
        <v>138</v>
      </c>
      <c r="AE196" s="8">
        <f t="shared" si="350"/>
        <v>138</v>
      </c>
      <c r="AF196" s="8">
        <f t="shared" si="350"/>
        <v>138</v>
      </c>
      <c r="AG196" s="8">
        <v>139</v>
      </c>
      <c r="AH196" s="8" t="str">
        <f t="shared" si="350"/>
        <v/>
      </c>
      <c r="AI196" s="8" t="str">
        <f t="shared" si="350"/>
        <v/>
      </c>
      <c r="AJ196" s="8" t="str">
        <f t="shared" si="350"/>
        <v/>
      </c>
      <c r="AK196" s="8" t="str">
        <f t="shared" si="350"/>
        <v/>
      </c>
      <c r="AL196" s="8" t="str">
        <f t="shared" si="350"/>
        <v/>
      </c>
      <c r="AM196" s="8" t="str">
        <f t="shared" si="350"/>
        <v/>
      </c>
      <c r="AN196" s="8" t="str">
        <f t="shared" si="350"/>
        <v/>
      </c>
      <c r="AO196" s="8" t="str">
        <f t="shared" ref="AO196:AS196" si="351">IF(AO$3="","",AN196)</f>
        <v/>
      </c>
      <c r="AP196" s="8" t="str">
        <f t="shared" si="351"/>
        <v/>
      </c>
      <c r="AQ196" s="8" t="str">
        <f t="shared" si="351"/>
        <v/>
      </c>
      <c r="AR196" s="8" t="str">
        <f t="shared" si="351"/>
        <v/>
      </c>
      <c r="AS196" s="8" t="str">
        <f t="shared" si="351"/>
        <v/>
      </c>
    </row>
    <row r="197" spans="1:45">
      <c r="A197" s="15">
        <v>2</v>
      </c>
      <c r="B197" s="9" t="s">
        <v>5</v>
      </c>
      <c r="C197" s="74">
        <v>5</v>
      </c>
      <c r="D197" s="8">
        <f>IF(D195="","",(C197+C198))</f>
        <v>5</v>
      </c>
      <c r="E197" s="8">
        <f>IF(E195="","",(D197+D198))</f>
        <v>5</v>
      </c>
      <c r="F197" s="8">
        <f>IF(F195="","",(E197+E198))</f>
        <v>5</v>
      </c>
      <c r="G197" s="59">
        <f>IF(G195="","",(F197+F198))</f>
        <v>6</v>
      </c>
      <c r="H197" s="8">
        <f>IF(H195="","",(G197+G198))</f>
        <v>6</v>
      </c>
      <c r="I197" s="8">
        <v>5</v>
      </c>
      <c r="J197" s="59">
        <f>IF(J195="","",(I197+I198))</f>
        <v>5</v>
      </c>
      <c r="K197" s="8">
        <f>IF(K195="","",(J197+J198))</f>
        <v>5</v>
      </c>
      <c r="L197" s="8">
        <v>4</v>
      </c>
      <c r="M197" s="59">
        <f t="shared" ref="M197:AN197" si="352">IF(M195="","",(L197+L198))</f>
        <v>4</v>
      </c>
      <c r="N197" s="8">
        <f t="shared" si="352"/>
        <v>4</v>
      </c>
      <c r="O197" s="8">
        <f t="shared" si="352"/>
        <v>4</v>
      </c>
      <c r="P197" s="8">
        <f t="shared" si="352"/>
        <v>4</v>
      </c>
      <c r="Q197" s="59">
        <f t="shared" si="352"/>
        <v>4</v>
      </c>
      <c r="R197" s="8">
        <f t="shared" si="352"/>
        <v>4</v>
      </c>
      <c r="S197" s="8">
        <f t="shared" si="352"/>
        <v>4</v>
      </c>
      <c r="T197" s="8">
        <f t="shared" si="352"/>
        <v>4</v>
      </c>
      <c r="U197" s="8">
        <f t="shared" si="352"/>
        <v>4</v>
      </c>
      <c r="V197" s="8">
        <f t="shared" si="352"/>
        <v>4</v>
      </c>
      <c r="W197" s="8">
        <f t="shared" si="352"/>
        <v>4</v>
      </c>
      <c r="X197" s="8">
        <f t="shared" si="352"/>
        <v>4</v>
      </c>
      <c r="Y197" s="8">
        <f t="shared" si="352"/>
        <v>4</v>
      </c>
      <c r="Z197" s="8">
        <v>3</v>
      </c>
      <c r="AA197" s="8">
        <f t="shared" si="352"/>
        <v>5</v>
      </c>
      <c r="AB197" s="8">
        <f t="shared" si="352"/>
        <v>5</v>
      </c>
      <c r="AC197" s="8">
        <f t="shared" si="352"/>
        <v>5</v>
      </c>
      <c r="AD197" s="8">
        <f t="shared" si="352"/>
        <v>5</v>
      </c>
      <c r="AE197" s="8">
        <f t="shared" si="352"/>
        <v>6</v>
      </c>
      <c r="AF197" s="8">
        <f t="shared" si="352"/>
        <v>6</v>
      </c>
      <c r="AG197" s="8">
        <f t="shared" si="352"/>
        <v>6</v>
      </c>
      <c r="AH197" s="8" t="str">
        <f t="shared" si="352"/>
        <v/>
      </c>
      <c r="AI197" s="8" t="str">
        <f t="shared" si="352"/>
        <v/>
      </c>
      <c r="AJ197" s="8" t="str">
        <f t="shared" si="352"/>
        <v/>
      </c>
      <c r="AK197" s="8" t="str">
        <f t="shared" si="352"/>
        <v/>
      </c>
      <c r="AL197" s="8" t="str">
        <f t="shared" si="352"/>
        <v/>
      </c>
      <c r="AM197" s="8" t="str">
        <f t="shared" si="352"/>
        <v/>
      </c>
      <c r="AN197" s="8" t="str">
        <f t="shared" si="352"/>
        <v/>
      </c>
      <c r="AO197" s="8" t="str">
        <f t="shared" ref="AO197:AS197" si="353">IF(AO195="","",(AN197+AN198))</f>
        <v/>
      </c>
      <c r="AP197" s="8" t="str">
        <f t="shared" si="353"/>
        <v/>
      </c>
      <c r="AQ197" s="8" t="str">
        <f t="shared" si="353"/>
        <v/>
      </c>
      <c r="AR197" s="8" t="str">
        <f t="shared" si="353"/>
        <v/>
      </c>
      <c r="AS197" s="8" t="str">
        <f t="shared" si="353"/>
        <v/>
      </c>
    </row>
    <row r="198" spans="1:45">
      <c r="A198" s="14"/>
      <c r="B198" s="9" t="s">
        <v>7</v>
      </c>
      <c r="C198" s="74"/>
      <c r="D198" s="8"/>
      <c r="E198" s="8"/>
      <c r="F198" s="8">
        <v>1</v>
      </c>
      <c r="G198" s="59"/>
      <c r="H198" s="8"/>
      <c r="I198" s="8"/>
      <c r="J198" s="59"/>
      <c r="K198" s="8"/>
      <c r="L198" s="8"/>
      <c r="M198" s="59"/>
      <c r="N198" s="8"/>
      <c r="O198" s="8"/>
      <c r="P198" s="8"/>
      <c r="Q198" s="59"/>
      <c r="R198" s="8"/>
      <c r="S198" s="8"/>
      <c r="T198" s="8"/>
      <c r="U198" s="8"/>
      <c r="V198" s="8"/>
      <c r="W198" s="8"/>
      <c r="X198" s="8"/>
      <c r="Y198" s="8"/>
      <c r="Z198" s="8">
        <v>2</v>
      </c>
      <c r="AA198" s="8"/>
      <c r="AB198" s="8"/>
      <c r="AC198" s="8"/>
      <c r="AD198" s="8">
        <v>1</v>
      </c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</row>
    <row r="199" spans="1:45">
      <c r="A199" s="7"/>
      <c r="B199" s="9" t="s">
        <v>8</v>
      </c>
      <c r="C199" s="74">
        <v>750</v>
      </c>
      <c r="D199" s="8">
        <f t="shared" ref="D199:AN199" si="354">IF(D195="","",C199)</f>
        <v>750</v>
      </c>
      <c r="E199" s="8">
        <f t="shared" si="354"/>
        <v>750</v>
      </c>
      <c r="F199" s="8">
        <f t="shared" si="354"/>
        <v>750</v>
      </c>
      <c r="G199" s="59">
        <f t="shared" si="354"/>
        <v>750</v>
      </c>
      <c r="H199" s="8">
        <f t="shared" si="354"/>
        <v>750</v>
      </c>
      <c r="I199" s="8">
        <f t="shared" si="354"/>
        <v>750</v>
      </c>
      <c r="J199" s="59">
        <f t="shared" si="354"/>
        <v>750</v>
      </c>
      <c r="K199" s="8">
        <f t="shared" si="354"/>
        <v>750</v>
      </c>
      <c r="L199" s="8">
        <f t="shared" si="354"/>
        <v>750</v>
      </c>
      <c r="M199" s="59">
        <f t="shared" si="354"/>
        <v>750</v>
      </c>
      <c r="N199" s="8">
        <f t="shared" si="354"/>
        <v>750</v>
      </c>
      <c r="O199" s="8">
        <f t="shared" si="354"/>
        <v>750</v>
      </c>
      <c r="P199" s="8">
        <f t="shared" si="354"/>
        <v>750</v>
      </c>
      <c r="Q199" s="59">
        <f t="shared" si="354"/>
        <v>750</v>
      </c>
      <c r="R199" s="8">
        <f t="shared" si="354"/>
        <v>750</v>
      </c>
      <c r="S199" s="8">
        <f t="shared" si="354"/>
        <v>750</v>
      </c>
      <c r="T199" s="8">
        <f t="shared" si="354"/>
        <v>750</v>
      </c>
      <c r="U199" s="8">
        <f t="shared" si="354"/>
        <v>750</v>
      </c>
      <c r="V199" s="8">
        <f t="shared" si="354"/>
        <v>750</v>
      </c>
      <c r="W199" s="8">
        <f t="shared" si="354"/>
        <v>750</v>
      </c>
      <c r="X199" s="8">
        <f t="shared" si="354"/>
        <v>750</v>
      </c>
      <c r="Y199" s="8">
        <f t="shared" si="354"/>
        <v>750</v>
      </c>
      <c r="Z199" s="8">
        <f t="shared" si="354"/>
        <v>750</v>
      </c>
      <c r="AA199" s="8">
        <f t="shared" si="354"/>
        <v>750</v>
      </c>
      <c r="AB199" s="8">
        <f t="shared" si="354"/>
        <v>750</v>
      </c>
      <c r="AC199" s="8">
        <f t="shared" si="354"/>
        <v>750</v>
      </c>
      <c r="AD199" s="8">
        <f t="shared" si="354"/>
        <v>750</v>
      </c>
      <c r="AE199" s="8">
        <f t="shared" si="354"/>
        <v>750</v>
      </c>
      <c r="AF199" s="8">
        <f t="shared" si="354"/>
        <v>750</v>
      </c>
      <c r="AG199" s="8">
        <f t="shared" si="354"/>
        <v>750</v>
      </c>
      <c r="AH199" s="8" t="str">
        <f t="shared" si="354"/>
        <v/>
      </c>
      <c r="AI199" s="8" t="str">
        <f t="shared" si="354"/>
        <v/>
      </c>
      <c r="AJ199" s="8" t="str">
        <f t="shared" si="354"/>
        <v/>
      </c>
      <c r="AK199" s="8" t="str">
        <f t="shared" si="354"/>
        <v/>
      </c>
      <c r="AL199" s="8" t="str">
        <f t="shared" si="354"/>
        <v/>
      </c>
      <c r="AM199" s="8" t="str">
        <f t="shared" si="354"/>
        <v/>
      </c>
      <c r="AN199" s="8" t="str">
        <f t="shared" si="354"/>
        <v/>
      </c>
      <c r="AO199" s="8" t="str">
        <f t="shared" ref="AO199:AS199" si="355">IF(AO195="","",AN199)</f>
        <v/>
      </c>
      <c r="AP199" s="8" t="str">
        <f t="shared" si="355"/>
        <v/>
      </c>
      <c r="AQ199" s="8" t="str">
        <f t="shared" si="355"/>
        <v/>
      </c>
      <c r="AR199" s="8" t="str">
        <f t="shared" si="355"/>
        <v/>
      </c>
      <c r="AS199" s="8" t="str">
        <f t="shared" si="355"/>
        <v/>
      </c>
    </row>
    <row r="200" spans="1:45" s="94" customFormat="1">
      <c r="A200" s="14" t="s">
        <v>9</v>
      </c>
      <c r="B200" s="13" t="s">
        <v>10</v>
      </c>
      <c r="C200" s="75" t="s">
        <v>29</v>
      </c>
      <c r="D200" s="12" t="str">
        <f t="shared" ref="D200:AN200" si="356">IF(D195="","",C200)</f>
        <v>モンチッチキーケース</v>
      </c>
      <c r="E200" s="12" t="str">
        <f t="shared" si="356"/>
        <v>モンチッチキーケース</v>
      </c>
      <c r="F200" s="12" t="str">
        <f t="shared" si="356"/>
        <v>モンチッチキーケース</v>
      </c>
      <c r="G200" s="131" t="str">
        <f t="shared" si="356"/>
        <v>モンチッチキーケース</v>
      </c>
      <c r="H200" s="12" t="str">
        <f t="shared" si="356"/>
        <v>モンチッチキーケース</v>
      </c>
      <c r="I200" s="12" t="str">
        <f t="shared" si="356"/>
        <v>モンチッチキーケース</v>
      </c>
      <c r="J200" s="131" t="str">
        <f t="shared" si="356"/>
        <v>モンチッチキーケース</v>
      </c>
      <c r="K200" s="12" t="str">
        <f t="shared" si="356"/>
        <v>モンチッチキーケース</v>
      </c>
      <c r="L200" s="12" t="str">
        <f t="shared" si="356"/>
        <v>モンチッチキーケース</v>
      </c>
      <c r="M200" s="131" t="str">
        <f t="shared" si="356"/>
        <v>モンチッチキーケース</v>
      </c>
      <c r="N200" s="12" t="str">
        <f t="shared" si="356"/>
        <v>モンチッチキーケース</v>
      </c>
      <c r="O200" s="12" t="str">
        <f t="shared" si="356"/>
        <v>モンチッチキーケース</v>
      </c>
      <c r="P200" s="12" t="str">
        <f t="shared" si="356"/>
        <v>モンチッチキーケース</v>
      </c>
      <c r="Q200" s="131" t="str">
        <f t="shared" si="356"/>
        <v>モンチッチキーケース</v>
      </c>
      <c r="R200" s="12" t="str">
        <f t="shared" si="356"/>
        <v>モンチッチキーケース</v>
      </c>
      <c r="S200" s="12" t="str">
        <f t="shared" si="356"/>
        <v>モンチッチキーケース</v>
      </c>
      <c r="T200" s="12" t="str">
        <f t="shared" si="356"/>
        <v>モンチッチキーケース</v>
      </c>
      <c r="U200" s="12" t="str">
        <f t="shared" si="356"/>
        <v>モンチッチキーケース</v>
      </c>
      <c r="V200" s="12" t="str">
        <f t="shared" si="356"/>
        <v>モンチッチキーケース</v>
      </c>
      <c r="W200" s="12" t="str">
        <f t="shared" si="356"/>
        <v>モンチッチキーケース</v>
      </c>
      <c r="X200" s="12" t="str">
        <f t="shared" si="356"/>
        <v>モンチッチキーケース</v>
      </c>
      <c r="Y200" s="12" t="str">
        <f t="shared" si="356"/>
        <v>モンチッチキーケース</v>
      </c>
      <c r="Z200" s="12" t="str">
        <f t="shared" si="356"/>
        <v>モンチッチキーケース</v>
      </c>
      <c r="AA200" s="12" t="str">
        <f t="shared" si="356"/>
        <v>モンチッチキーケース</v>
      </c>
      <c r="AB200" s="12" t="str">
        <f t="shared" si="356"/>
        <v>モンチッチキーケース</v>
      </c>
      <c r="AC200" s="12" t="str">
        <f t="shared" si="356"/>
        <v>モンチッチキーケース</v>
      </c>
      <c r="AD200" s="12" t="s">
        <v>38</v>
      </c>
      <c r="AE200" s="12" t="str">
        <f t="shared" si="356"/>
        <v>PRO4</v>
      </c>
      <c r="AF200" s="12" t="str">
        <f t="shared" si="356"/>
        <v>PRO4</v>
      </c>
      <c r="AG200" s="12" t="str">
        <f t="shared" si="356"/>
        <v>PRO4</v>
      </c>
      <c r="AH200" s="12" t="str">
        <f t="shared" si="356"/>
        <v/>
      </c>
      <c r="AI200" s="12" t="str">
        <f t="shared" si="356"/>
        <v/>
      </c>
      <c r="AJ200" s="12" t="str">
        <f t="shared" si="356"/>
        <v/>
      </c>
      <c r="AK200" s="12" t="str">
        <f t="shared" si="356"/>
        <v/>
      </c>
      <c r="AL200" s="12" t="str">
        <f t="shared" si="356"/>
        <v/>
      </c>
      <c r="AM200" s="12" t="str">
        <f t="shared" si="356"/>
        <v/>
      </c>
      <c r="AN200" s="12" t="str">
        <f t="shared" si="356"/>
        <v/>
      </c>
      <c r="AO200" s="12" t="str">
        <f t="shared" ref="AO200:AS200" si="357">IF(AO195="","",AN200)</f>
        <v/>
      </c>
      <c r="AP200" s="12" t="str">
        <f t="shared" si="357"/>
        <v/>
      </c>
      <c r="AQ200" s="12" t="str">
        <f t="shared" si="357"/>
        <v/>
      </c>
      <c r="AR200" s="12" t="str">
        <f t="shared" si="357"/>
        <v/>
      </c>
      <c r="AS200" s="12" t="str">
        <f t="shared" si="357"/>
        <v/>
      </c>
    </row>
    <row r="201" spans="1:45">
      <c r="A201" s="7">
        <f>AVERAGE(C202:AS202)*30*100</f>
        <v>31548.387096774197</v>
      </c>
      <c r="B201" s="9" t="s">
        <v>14</v>
      </c>
      <c r="C201" s="74"/>
      <c r="D201" s="8"/>
      <c r="E201" s="8"/>
      <c r="F201" s="8"/>
      <c r="G201" s="59"/>
      <c r="H201" s="8"/>
      <c r="I201" s="8"/>
      <c r="J201" s="59"/>
      <c r="K201" s="8"/>
      <c r="L201" s="8"/>
      <c r="M201" s="59"/>
      <c r="N201" s="8"/>
      <c r="O201" s="8"/>
      <c r="P201" s="8"/>
      <c r="Q201" s="59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</row>
    <row r="202" spans="1:45">
      <c r="A202" s="7">
        <f>SUM(C202:AS202)</f>
        <v>326</v>
      </c>
      <c r="B202" s="6" t="s">
        <v>15</v>
      </c>
      <c r="C202" s="74">
        <v>0</v>
      </c>
      <c r="D202" s="5">
        <f t="shared" ref="D202:AN202" si="358">IF(D195="","",D195-C195)</f>
        <v>0</v>
      </c>
      <c r="E202" s="5">
        <f t="shared" si="358"/>
        <v>0</v>
      </c>
      <c r="F202" s="5">
        <f t="shared" si="358"/>
        <v>13</v>
      </c>
      <c r="G202" s="59">
        <f t="shared" si="358"/>
        <v>0</v>
      </c>
      <c r="H202" s="5">
        <f t="shared" si="358"/>
        <v>0</v>
      </c>
      <c r="I202" s="5">
        <f t="shared" si="358"/>
        <v>76</v>
      </c>
      <c r="J202" s="59">
        <f t="shared" si="358"/>
        <v>0</v>
      </c>
      <c r="K202" s="5">
        <f t="shared" si="358"/>
        <v>0</v>
      </c>
      <c r="L202" s="5">
        <f t="shared" si="358"/>
        <v>101</v>
      </c>
      <c r="M202" s="59">
        <f t="shared" si="358"/>
        <v>0</v>
      </c>
      <c r="N202" s="5">
        <f t="shared" si="358"/>
        <v>0</v>
      </c>
      <c r="O202" s="5">
        <f t="shared" si="358"/>
        <v>0</v>
      </c>
      <c r="P202" s="5">
        <f t="shared" si="358"/>
        <v>16</v>
      </c>
      <c r="Q202" s="59">
        <f t="shared" si="358"/>
        <v>0</v>
      </c>
      <c r="R202" s="5">
        <f t="shared" si="358"/>
        <v>0</v>
      </c>
      <c r="S202" s="5">
        <f t="shared" si="358"/>
        <v>9</v>
      </c>
      <c r="T202" s="5">
        <f t="shared" si="358"/>
        <v>0</v>
      </c>
      <c r="U202" s="5">
        <f t="shared" si="358"/>
        <v>0</v>
      </c>
      <c r="V202" s="5">
        <f t="shared" si="358"/>
        <v>0</v>
      </c>
      <c r="W202" s="5">
        <f t="shared" si="358"/>
        <v>15</v>
      </c>
      <c r="X202" s="5">
        <f t="shared" si="358"/>
        <v>0</v>
      </c>
      <c r="Y202" s="5">
        <f t="shared" si="358"/>
        <v>0</v>
      </c>
      <c r="Z202" s="5">
        <f t="shared" si="358"/>
        <v>31</v>
      </c>
      <c r="AA202" s="5">
        <f t="shared" si="358"/>
        <v>0</v>
      </c>
      <c r="AB202" s="5">
        <f t="shared" si="358"/>
        <v>0</v>
      </c>
      <c r="AC202" s="5">
        <f t="shared" si="358"/>
        <v>0</v>
      </c>
      <c r="AD202" s="5">
        <f t="shared" si="358"/>
        <v>12</v>
      </c>
      <c r="AE202" s="5">
        <f t="shared" si="358"/>
        <v>0</v>
      </c>
      <c r="AF202" s="5">
        <f t="shared" si="358"/>
        <v>0</v>
      </c>
      <c r="AG202" s="5">
        <f t="shared" si="358"/>
        <v>53</v>
      </c>
      <c r="AH202" s="5" t="str">
        <f t="shared" si="358"/>
        <v/>
      </c>
      <c r="AI202" s="5" t="str">
        <f t="shared" si="358"/>
        <v/>
      </c>
      <c r="AJ202" s="5" t="str">
        <f t="shared" si="358"/>
        <v/>
      </c>
      <c r="AK202" s="5" t="str">
        <f t="shared" si="358"/>
        <v/>
      </c>
      <c r="AL202" s="5" t="str">
        <f t="shared" si="358"/>
        <v/>
      </c>
      <c r="AM202" s="5" t="str">
        <f t="shared" si="358"/>
        <v/>
      </c>
      <c r="AN202" s="5" t="str">
        <f t="shared" si="358"/>
        <v/>
      </c>
      <c r="AO202" s="5" t="str">
        <f t="shared" ref="AO202:AS202" si="359">IF(AO195="","",AO195-AN195)</f>
        <v/>
      </c>
      <c r="AP202" s="5" t="str">
        <f t="shared" si="359"/>
        <v/>
      </c>
      <c r="AQ202" s="5" t="str">
        <f t="shared" si="359"/>
        <v/>
      </c>
      <c r="AR202" s="5" t="str">
        <f t="shared" si="359"/>
        <v/>
      </c>
      <c r="AS202" s="5" t="str">
        <f t="shared" si="359"/>
        <v/>
      </c>
    </row>
    <row r="203" spans="1:45">
      <c r="A203" s="7">
        <f>SUM(C203:AS203)</f>
        <v>4</v>
      </c>
      <c r="B203" s="6" t="s">
        <v>16</v>
      </c>
      <c r="C203" s="74">
        <v>0</v>
      </c>
      <c r="D203" s="5">
        <f t="shared" ref="D203:AN203" si="360">IF(D196="","",D196-C196)</f>
        <v>0</v>
      </c>
      <c r="E203" s="5">
        <f t="shared" si="360"/>
        <v>0</v>
      </c>
      <c r="F203" s="5">
        <f t="shared" si="360"/>
        <v>0</v>
      </c>
      <c r="G203" s="59">
        <f t="shared" si="360"/>
        <v>0</v>
      </c>
      <c r="H203" s="5">
        <f t="shared" si="360"/>
        <v>0</v>
      </c>
      <c r="I203" s="5">
        <f t="shared" si="360"/>
        <v>1</v>
      </c>
      <c r="J203" s="59">
        <f t="shared" si="360"/>
        <v>0</v>
      </c>
      <c r="K203" s="5">
        <f t="shared" si="360"/>
        <v>0</v>
      </c>
      <c r="L203" s="5">
        <f t="shared" si="360"/>
        <v>1</v>
      </c>
      <c r="M203" s="59">
        <f t="shared" si="360"/>
        <v>0</v>
      </c>
      <c r="N203" s="5">
        <f t="shared" si="360"/>
        <v>0</v>
      </c>
      <c r="O203" s="5">
        <f t="shared" si="360"/>
        <v>0</v>
      </c>
      <c r="P203" s="5">
        <f t="shared" si="360"/>
        <v>0</v>
      </c>
      <c r="Q203" s="59">
        <f t="shared" si="360"/>
        <v>0</v>
      </c>
      <c r="R203" s="5">
        <f t="shared" si="360"/>
        <v>0</v>
      </c>
      <c r="S203" s="5">
        <f t="shared" si="360"/>
        <v>0</v>
      </c>
      <c r="T203" s="5">
        <f t="shared" si="360"/>
        <v>0</v>
      </c>
      <c r="U203" s="5">
        <f t="shared" si="360"/>
        <v>0</v>
      </c>
      <c r="V203" s="5">
        <f t="shared" si="360"/>
        <v>0</v>
      </c>
      <c r="W203" s="5">
        <f t="shared" si="360"/>
        <v>0</v>
      </c>
      <c r="X203" s="5">
        <f t="shared" si="360"/>
        <v>0</v>
      </c>
      <c r="Y203" s="5">
        <f t="shared" si="360"/>
        <v>0</v>
      </c>
      <c r="Z203" s="5">
        <f t="shared" si="360"/>
        <v>1</v>
      </c>
      <c r="AA203" s="5">
        <f t="shared" si="360"/>
        <v>0</v>
      </c>
      <c r="AB203" s="5">
        <f t="shared" si="360"/>
        <v>0</v>
      </c>
      <c r="AC203" s="5">
        <f t="shared" si="360"/>
        <v>0</v>
      </c>
      <c r="AD203" s="5">
        <f t="shared" si="360"/>
        <v>0</v>
      </c>
      <c r="AE203" s="5">
        <f t="shared" si="360"/>
        <v>0</v>
      </c>
      <c r="AF203" s="5">
        <f t="shared" si="360"/>
        <v>0</v>
      </c>
      <c r="AG203" s="5">
        <f t="shared" si="360"/>
        <v>1</v>
      </c>
      <c r="AH203" s="5" t="str">
        <f t="shared" si="360"/>
        <v/>
      </c>
      <c r="AI203" s="5" t="str">
        <f t="shared" si="360"/>
        <v/>
      </c>
      <c r="AJ203" s="5" t="str">
        <f t="shared" si="360"/>
        <v/>
      </c>
      <c r="AK203" s="5" t="str">
        <f t="shared" si="360"/>
        <v/>
      </c>
      <c r="AL203" s="5" t="str">
        <f t="shared" si="360"/>
        <v/>
      </c>
      <c r="AM203" s="5" t="str">
        <f t="shared" si="360"/>
        <v/>
      </c>
      <c r="AN203" s="5" t="str">
        <f t="shared" si="360"/>
        <v/>
      </c>
      <c r="AO203" s="5" t="str">
        <f t="shared" ref="AO203:AS203" si="361">IF(AO196="","",AO196-AN196)</f>
        <v/>
      </c>
      <c r="AP203" s="5" t="str">
        <f t="shared" si="361"/>
        <v/>
      </c>
      <c r="AQ203" s="5" t="str">
        <f t="shared" si="361"/>
        <v/>
      </c>
      <c r="AR203" s="5" t="str">
        <f t="shared" si="361"/>
        <v/>
      </c>
      <c r="AS203" s="5" t="str">
        <f t="shared" si="361"/>
        <v/>
      </c>
    </row>
    <row r="204" spans="1:45">
      <c r="A204" s="7">
        <f>SUM(C204:AS204)</f>
        <v>3</v>
      </c>
      <c r="B204" s="6" t="s">
        <v>17</v>
      </c>
      <c r="C204" s="74">
        <v>0</v>
      </c>
      <c r="D204" s="5">
        <f t="shared" ref="D204:AN204" si="362">IF(D197="","",C197+C198-D197)</f>
        <v>0</v>
      </c>
      <c r="E204" s="5">
        <f t="shared" si="362"/>
        <v>0</v>
      </c>
      <c r="F204" s="5">
        <f t="shared" si="362"/>
        <v>0</v>
      </c>
      <c r="G204" s="59">
        <f t="shared" si="362"/>
        <v>0</v>
      </c>
      <c r="H204" s="5">
        <f t="shared" si="362"/>
        <v>0</v>
      </c>
      <c r="I204" s="5">
        <f t="shared" si="362"/>
        <v>1</v>
      </c>
      <c r="J204" s="59">
        <f t="shared" si="362"/>
        <v>0</v>
      </c>
      <c r="K204" s="5">
        <f t="shared" si="362"/>
        <v>0</v>
      </c>
      <c r="L204" s="5">
        <f t="shared" si="362"/>
        <v>1</v>
      </c>
      <c r="M204" s="59">
        <f t="shared" si="362"/>
        <v>0</v>
      </c>
      <c r="N204" s="5">
        <f t="shared" si="362"/>
        <v>0</v>
      </c>
      <c r="O204" s="5">
        <f t="shared" si="362"/>
        <v>0</v>
      </c>
      <c r="P204" s="5">
        <f t="shared" si="362"/>
        <v>0</v>
      </c>
      <c r="Q204" s="59">
        <f t="shared" si="362"/>
        <v>0</v>
      </c>
      <c r="R204" s="5">
        <f t="shared" si="362"/>
        <v>0</v>
      </c>
      <c r="S204" s="5">
        <f t="shared" si="362"/>
        <v>0</v>
      </c>
      <c r="T204" s="5">
        <f t="shared" si="362"/>
        <v>0</v>
      </c>
      <c r="U204" s="5">
        <f t="shared" si="362"/>
        <v>0</v>
      </c>
      <c r="V204" s="5">
        <f t="shared" si="362"/>
        <v>0</v>
      </c>
      <c r="W204" s="5">
        <f t="shared" si="362"/>
        <v>0</v>
      </c>
      <c r="X204" s="5">
        <f t="shared" si="362"/>
        <v>0</v>
      </c>
      <c r="Y204" s="5">
        <f t="shared" si="362"/>
        <v>0</v>
      </c>
      <c r="Z204" s="5">
        <f t="shared" si="362"/>
        <v>1</v>
      </c>
      <c r="AA204" s="5">
        <f t="shared" si="362"/>
        <v>0</v>
      </c>
      <c r="AB204" s="5">
        <f t="shared" si="362"/>
        <v>0</v>
      </c>
      <c r="AC204" s="5">
        <f t="shared" si="362"/>
        <v>0</v>
      </c>
      <c r="AD204" s="5">
        <f t="shared" si="362"/>
        <v>0</v>
      </c>
      <c r="AE204" s="5">
        <f t="shared" si="362"/>
        <v>0</v>
      </c>
      <c r="AF204" s="5">
        <f t="shared" si="362"/>
        <v>0</v>
      </c>
      <c r="AG204" s="5">
        <f t="shared" si="362"/>
        <v>0</v>
      </c>
      <c r="AH204" s="5" t="str">
        <f t="shared" si="362"/>
        <v/>
      </c>
      <c r="AI204" s="5" t="str">
        <f t="shared" si="362"/>
        <v/>
      </c>
      <c r="AJ204" s="5" t="str">
        <f t="shared" si="362"/>
        <v/>
      </c>
      <c r="AK204" s="5" t="str">
        <f t="shared" si="362"/>
        <v/>
      </c>
      <c r="AL204" s="5" t="str">
        <f t="shared" si="362"/>
        <v/>
      </c>
      <c r="AM204" s="5" t="str">
        <f t="shared" si="362"/>
        <v/>
      </c>
      <c r="AN204" s="5" t="str">
        <f t="shared" si="362"/>
        <v/>
      </c>
      <c r="AO204" s="5" t="str">
        <f t="shared" ref="AO204:AS204" si="363">IF(AO197="","",AN197+AN198-AO197)</f>
        <v/>
      </c>
      <c r="AP204" s="5" t="str">
        <f t="shared" si="363"/>
        <v/>
      </c>
      <c r="AQ204" s="5" t="str">
        <f t="shared" si="363"/>
        <v/>
      </c>
      <c r="AR204" s="5" t="str">
        <f t="shared" si="363"/>
        <v/>
      </c>
      <c r="AS204" s="5" t="str">
        <f t="shared" si="363"/>
        <v/>
      </c>
    </row>
    <row r="205" spans="1:45">
      <c r="A205" s="7">
        <f>SUM(C205:AS205)</f>
        <v>2250</v>
      </c>
      <c r="B205" s="6" t="s">
        <v>18</v>
      </c>
      <c r="C205" s="74">
        <v>0</v>
      </c>
      <c r="D205" s="5">
        <f t="shared" ref="D205:AN205" si="364">IF(D195="","",D204*D199)</f>
        <v>0</v>
      </c>
      <c r="E205" s="5">
        <f t="shared" si="364"/>
        <v>0</v>
      </c>
      <c r="F205" s="5">
        <f t="shared" si="364"/>
        <v>0</v>
      </c>
      <c r="G205" s="59">
        <f t="shared" si="364"/>
        <v>0</v>
      </c>
      <c r="H205" s="5">
        <f t="shared" si="364"/>
        <v>0</v>
      </c>
      <c r="I205" s="5">
        <f t="shared" si="364"/>
        <v>750</v>
      </c>
      <c r="J205" s="59">
        <f t="shared" si="364"/>
        <v>0</v>
      </c>
      <c r="K205" s="5">
        <f t="shared" si="364"/>
        <v>0</v>
      </c>
      <c r="L205" s="5">
        <f t="shared" si="364"/>
        <v>750</v>
      </c>
      <c r="M205" s="59">
        <f t="shared" si="364"/>
        <v>0</v>
      </c>
      <c r="N205" s="5">
        <f t="shared" si="364"/>
        <v>0</v>
      </c>
      <c r="O205" s="5">
        <f t="shared" si="364"/>
        <v>0</v>
      </c>
      <c r="P205" s="5">
        <f t="shared" si="364"/>
        <v>0</v>
      </c>
      <c r="Q205" s="59">
        <f t="shared" si="364"/>
        <v>0</v>
      </c>
      <c r="R205" s="5">
        <f t="shared" si="364"/>
        <v>0</v>
      </c>
      <c r="S205" s="5">
        <f t="shared" si="364"/>
        <v>0</v>
      </c>
      <c r="T205" s="5">
        <f t="shared" si="364"/>
        <v>0</v>
      </c>
      <c r="U205" s="5">
        <f t="shared" si="364"/>
        <v>0</v>
      </c>
      <c r="V205" s="5">
        <f t="shared" si="364"/>
        <v>0</v>
      </c>
      <c r="W205" s="5">
        <f t="shared" si="364"/>
        <v>0</v>
      </c>
      <c r="X205" s="5">
        <f t="shared" si="364"/>
        <v>0</v>
      </c>
      <c r="Y205" s="5">
        <f t="shared" si="364"/>
        <v>0</v>
      </c>
      <c r="Z205" s="5">
        <f t="shared" si="364"/>
        <v>750</v>
      </c>
      <c r="AA205" s="5">
        <f t="shared" si="364"/>
        <v>0</v>
      </c>
      <c r="AB205" s="5">
        <f t="shared" si="364"/>
        <v>0</v>
      </c>
      <c r="AC205" s="5">
        <f t="shared" si="364"/>
        <v>0</v>
      </c>
      <c r="AD205" s="5">
        <f t="shared" si="364"/>
        <v>0</v>
      </c>
      <c r="AE205" s="5">
        <f t="shared" si="364"/>
        <v>0</v>
      </c>
      <c r="AF205" s="5">
        <f t="shared" si="364"/>
        <v>0</v>
      </c>
      <c r="AG205" s="5">
        <f t="shared" si="364"/>
        <v>0</v>
      </c>
      <c r="AH205" s="5" t="str">
        <f t="shared" si="364"/>
        <v/>
      </c>
      <c r="AI205" s="5" t="str">
        <f t="shared" si="364"/>
        <v/>
      </c>
      <c r="AJ205" s="5" t="str">
        <f t="shared" si="364"/>
        <v/>
      </c>
      <c r="AK205" s="5" t="str">
        <f t="shared" si="364"/>
        <v/>
      </c>
      <c r="AL205" s="5" t="str">
        <f t="shared" si="364"/>
        <v/>
      </c>
      <c r="AM205" s="5" t="str">
        <f t="shared" si="364"/>
        <v/>
      </c>
      <c r="AN205" s="5" t="str">
        <f t="shared" si="364"/>
        <v/>
      </c>
      <c r="AO205" s="5" t="str">
        <f t="shared" ref="AO205:AS205" si="365">IF(AO195="","",AO204*AO199)</f>
        <v/>
      </c>
      <c r="AP205" s="5" t="str">
        <f t="shared" si="365"/>
        <v/>
      </c>
      <c r="AQ205" s="5" t="str">
        <f t="shared" si="365"/>
        <v/>
      </c>
      <c r="AR205" s="5" t="str">
        <f t="shared" si="365"/>
        <v/>
      </c>
      <c r="AS205" s="5" t="str">
        <f t="shared" si="365"/>
        <v/>
      </c>
    </row>
    <row r="206" spans="1:45" ht="12" thickBot="1">
      <c r="A206" s="4">
        <f>IF(A205="","",A205/(A202*100))</f>
        <v>6.9018404907975464E-2</v>
      </c>
      <c r="B206" s="6" t="s">
        <v>20</v>
      </c>
      <c r="C206" s="76" t="s">
        <v>21</v>
      </c>
      <c r="D206" s="18" t="str">
        <f t="shared" ref="D206:AN206" si="366">IF(D205="","",IF(D205=0,"",D205/(D202*100)))</f>
        <v/>
      </c>
      <c r="E206" s="18" t="str">
        <f t="shared" si="366"/>
        <v/>
      </c>
      <c r="F206" s="18" t="str">
        <f t="shared" si="366"/>
        <v/>
      </c>
      <c r="G206" s="62" t="str">
        <f t="shared" si="366"/>
        <v/>
      </c>
      <c r="H206" s="18" t="str">
        <f t="shared" si="366"/>
        <v/>
      </c>
      <c r="I206" s="18">
        <f t="shared" si="366"/>
        <v>9.8684210526315791E-2</v>
      </c>
      <c r="J206" s="62" t="str">
        <f t="shared" si="366"/>
        <v/>
      </c>
      <c r="K206" s="18" t="str">
        <f t="shared" si="366"/>
        <v/>
      </c>
      <c r="L206" s="18">
        <f t="shared" si="366"/>
        <v>7.4257425742574254E-2</v>
      </c>
      <c r="M206" s="62" t="str">
        <f t="shared" si="366"/>
        <v/>
      </c>
      <c r="N206" s="18" t="str">
        <f t="shared" si="366"/>
        <v/>
      </c>
      <c r="O206" s="18" t="str">
        <f t="shared" si="366"/>
        <v/>
      </c>
      <c r="P206" s="18" t="str">
        <f t="shared" si="366"/>
        <v/>
      </c>
      <c r="Q206" s="62" t="str">
        <f t="shared" si="366"/>
        <v/>
      </c>
      <c r="R206" s="18" t="str">
        <f t="shared" si="366"/>
        <v/>
      </c>
      <c r="S206" s="18" t="str">
        <f t="shared" si="366"/>
        <v/>
      </c>
      <c r="T206" s="18" t="str">
        <f t="shared" si="366"/>
        <v/>
      </c>
      <c r="U206" s="18" t="str">
        <f t="shared" si="366"/>
        <v/>
      </c>
      <c r="V206" s="18" t="str">
        <f t="shared" si="366"/>
        <v/>
      </c>
      <c r="W206" s="18" t="str">
        <f t="shared" si="366"/>
        <v/>
      </c>
      <c r="X206" s="18" t="str">
        <f t="shared" si="366"/>
        <v/>
      </c>
      <c r="Y206" s="18" t="str">
        <f t="shared" si="366"/>
        <v/>
      </c>
      <c r="Z206" s="18">
        <f t="shared" si="366"/>
        <v>0.24193548387096775</v>
      </c>
      <c r="AA206" s="18" t="str">
        <f t="shared" si="366"/>
        <v/>
      </c>
      <c r="AB206" s="18" t="str">
        <f t="shared" si="366"/>
        <v/>
      </c>
      <c r="AC206" s="18" t="str">
        <f t="shared" si="366"/>
        <v/>
      </c>
      <c r="AD206" s="18" t="str">
        <f t="shared" si="366"/>
        <v/>
      </c>
      <c r="AE206" s="18" t="str">
        <f t="shared" si="366"/>
        <v/>
      </c>
      <c r="AF206" s="18" t="str">
        <f t="shared" si="366"/>
        <v/>
      </c>
      <c r="AG206" s="18" t="str">
        <f t="shared" si="366"/>
        <v/>
      </c>
      <c r="AH206" s="18" t="str">
        <f t="shared" si="366"/>
        <v/>
      </c>
      <c r="AI206" s="18" t="str">
        <f t="shared" si="366"/>
        <v/>
      </c>
      <c r="AJ206" s="18" t="str">
        <f t="shared" si="366"/>
        <v/>
      </c>
      <c r="AK206" s="18" t="str">
        <f t="shared" si="366"/>
        <v/>
      </c>
      <c r="AL206" s="18" t="str">
        <f t="shared" si="366"/>
        <v/>
      </c>
      <c r="AM206" s="18" t="str">
        <f t="shared" si="366"/>
        <v/>
      </c>
      <c r="AN206" s="18" t="str">
        <f t="shared" si="366"/>
        <v/>
      </c>
      <c r="AO206" s="18" t="str">
        <f t="shared" ref="AO206:AS206" si="367">IF(AO205="","",IF(AO205=0,"",AO205/(AO202*100)))</f>
        <v/>
      </c>
      <c r="AP206" s="18" t="str">
        <f t="shared" si="367"/>
        <v/>
      </c>
      <c r="AQ206" s="18" t="str">
        <f t="shared" si="367"/>
        <v/>
      </c>
      <c r="AR206" s="18" t="str">
        <f t="shared" si="367"/>
        <v/>
      </c>
      <c r="AS206" s="18" t="str">
        <f t="shared" si="367"/>
        <v/>
      </c>
    </row>
    <row r="207" spans="1:45">
      <c r="A207" s="17" t="s">
        <v>78</v>
      </c>
      <c r="B207" s="9" t="s">
        <v>2</v>
      </c>
      <c r="C207" s="74">
        <v>10506</v>
      </c>
      <c r="D207" s="8">
        <f>IF(D$3="","",C207)</f>
        <v>10506</v>
      </c>
      <c r="E207" s="8">
        <f>IF(E$3="","",D207)</f>
        <v>10506</v>
      </c>
      <c r="F207" s="8">
        <v>10552</v>
      </c>
      <c r="G207" s="59">
        <f>IF(G$3="","",F207)</f>
        <v>10552</v>
      </c>
      <c r="H207" s="8">
        <f>IF(H$3="","",G207)</f>
        <v>10552</v>
      </c>
      <c r="I207" s="8">
        <v>10597</v>
      </c>
      <c r="J207" s="59">
        <f>IF(J$3="","",I207)</f>
        <v>10597</v>
      </c>
      <c r="K207" s="8">
        <f>IF(K$3="","",J207)</f>
        <v>10597</v>
      </c>
      <c r="L207" s="8">
        <v>10629</v>
      </c>
      <c r="M207" s="59">
        <f t="shared" ref="M207:O208" si="368">IF(M$3="","",L207)</f>
        <v>10629</v>
      </c>
      <c r="N207" s="8">
        <f t="shared" si="368"/>
        <v>10629</v>
      </c>
      <c r="O207" s="8">
        <f t="shared" si="368"/>
        <v>10629</v>
      </c>
      <c r="P207" s="8">
        <v>10724</v>
      </c>
      <c r="Q207" s="59">
        <f>IF(Q$3="","",P207)</f>
        <v>10724</v>
      </c>
      <c r="R207" s="8">
        <f>IF(R$3="","",Q207)</f>
        <v>10724</v>
      </c>
      <c r="S207" s="8">
        <v>10801</v>
      </c>
      <c r="T207" s="8">
        <f t="shared" ref="T207:AN207" si="369">IF(T$3="","",S207)</f>
        <v>10801</v>
      </c>
      <c r="U207" s="8">
        <f t="shared" si="369"/>
        <v>10801</v>
      </c>
      <c r="V207" s="8">
        <f t="shared" si="369"/>
        <v>10801</v>
      </c>
      <c r="W207" s="8">
        <v>10833</v>
      </c>
      <c r="X207" s="8">
        <f t="shared" si="369"/>
        <v>10833</v>
      </c>
      <c r="Y207" s="8">
        <f t="shared" si="369"/>
        <v>10833</v>
      </c>
      <c r="Z207" s="8">
        <v>10898</v>
      </c>
      <c r="AA207" s="8">
        <f t="shared" si="369"/>
        <v>10898</v>
      </c>
      <c r="AB207" s="8">
        <f t="shared" si="369"/>
        <v>10898</v>
      </c>
      <c r="AC207" s="8">
        <f t="shared" si="369"/>
        <v>10898</v>
      </c>
      <c r="AD207" s="8">
        <v>10937</v>
      </c>
      <c r="AE207" s="8">
        <f t="shared" si="369"/>
        <v>10937</v>
      </c>
      <c r="AF207" s="8">
        <f t="shared" si="369"/>
        <v>10937</v>
      </c>
      <c r="AG207" s="8">
        <v>11004</v>
      </c>
      <c r="AH207" s="8" t="str">
        <f t="shared" si="369"/>
        <v/>
      </c>
      <c r="AI207" s="8" t="str">
        <f t="shared" si="369"/>
        <v/>
      </c>
      <c r="AJ207" s="8" t="str">
        <f t="shared" si="369"/>
        <v/>
      </c>
      <c r="AK207" s="8" t="str">
        <f t="shared" si="369"/>
        <v/>
      </c>
      <c r="AL207" s="8" t="str">
        <f t="shared" si="369"/>
        <v/>
      </c>
      <c r="AM207" s="8" t="str">
        <f t="shared" si="369"/>
        <v/>
      </c>
      <c r="AN207" s="8" t="str">
        <f t="shared" si="369"/>
        <v/>
      </c>
      <c r="AO207" s="8" t="str">
        <f t="shared" ref="AO207:AS207" si="370">IF(AO$3="","",AN207)</f>
        <v/>
      </c>
      <c r="AP207" s="8" t="str">
        <f t="shared" si="370"/>
        <v/>
      </c>
      <c r="AQ207" s="8" t="str">
        <f t="shared" si="370"/>
        <v/>
      </c>
      <c r="AR207" s="8" t="str">
        <f t="shared" si="370"/>
        <v/>
      </c>
      <c r="AS207" s="8" t="str">
        <f t="shared" si="370"/>
        <v/>
      </c>
    </row>
    <row r="208" spans="1:45">
      <c r="A208" s="16" t="s">
        <v>44</v>
      </c>
      <c r="B208" s="9" t="s">
        <v>4</v>
      </c>
      <c r="C208" s="74">
        <v>289</v>
      </c>
      <c r="D208" s="8">
        <f>IF(D$3="","",C208)</f>
        <v>289</v>
      </c>
      <c r="E208" s="8">
        <f>IF(E$3="","",D208)</f>
        <v>289</v>
      </c>
      <c r="F208" s="8">
        <v>290</v>
      </c>
      <c r="G208" s="59">
        <f>IF(G$3="","",F208)</f>
        <v>290</v>
      </c>
      <c r="H208" s="8">
        <f>IF(H$3="","",G208)</f>
        <v>290</v>
      </c>
      <c r="I208" s="8">
        <f>IF(I$3="","",H208)</f>
        <v>290</v>
      </c>
      <c r="J208" s="59">
        <f>IF(J$3="","",I208)</f>
        <v>290</v>
      </c>
      <c r="K208" s="8">
        <f>IF(K$3="","",J208)</f>
        <v>290</v>
      </c>
      <c r="L208" s="8">
        <v>291</v>
      </c>
      <c r="M208" s="59">
        <f t="shared" si="368"/>
        <v>291</v>
      </c>
      <c r="N208" s="8">
        <f t="shared" si="368"/>
        <v>291</v>
      </c>
      <c r="O208" s="8">
        <f t="shared" si="368"/>
        <v>291</v>
      </c>
      <c r="P208" s="8">
        <v>292</v>
      </c>
      <c r="Q208" s="59">
        <f>IF(Q$3="","",P208)</f>
        <v>292</v>
      </c>
      <c r="R208" s="8">
        <f>IF(R$3="","",Q208)</f>
        <v>292</v>
      </c>
      <c r="S208" s="8">
        <f>IF(S$3="","",R208)</f>
        <v>292</v>
      </c>
      <c r="T208" s="8">
        <f t="shared" ref="T208:AN208" si="371">IF(T$3="","",S208)</f>
        <v>292</v>
      </c>
      <c r="U208" s="8">
        <f t="shared" si="371"/>
        <v>292</v>
      </c>
      <c r="V208" s="8">
        <f t="shared" si="371"/>
        <v>292</v>
      </c>
      <c r="W208" s="8">
        <v>293</v>
      </c>
      <c r="X208" s="8">
        <f t="shared" si="371"/>
        <v>293</v>
      </c>
      <c r="Y208" s="8">
        <f t="shared" si="371"/>
        <v>293</v>
      </c>
      <c r="Z208" s="8">
        <v>294</v>
      </c>
      <c r="AA208" s="8">
        <f t="shared" si="371"/>
        <v>294</v>
      </c>
      <c r="AB208" s="8">
        <f t="shared" si="371"/>
        <v>294</v>
      </c>
      <c r="AC208" s="8">
        <f t="shared" si="371"/>
        <v>294</v>
      </c>
      <c r="AD208" s="8">
        <f t="shared" si="371"/>
        <v>294</v>
      </c>
      <c r="AE208" s="8">
        <f t="shared" si="371"/>
        <v>294</v>
      </c>
      <c r="AF208" s="8">
        <f t="shared" si="371"/>
        <v>294</v>
      </c>
      <c r="AG208" s="8">
        <v>295</v>
      </c>
      <c r="AH208" s="8" t="str">
        <f t="shared" si="371"/>
        <v/>
      </c>
      <c r="AI208" s="8" t="str">
        <f t="shared" si="371"/>
        <v/>
      </c>
      <c r="AJ208" s="8" t="str">
        <f t="shared" si="371"/>
        <v/>
      </c>
      <c r="AK208" s="8" t="str">
        <f t="shared" si="371"/>
        <v/>
      </c>
      <c r="AL208" s="8" t="str">
        <f t="shared" si="371"/>
        <v/>
      </c>
      <c r="AM208" s="8" t="str">
        <f t="shared" si="371"/>
        <v/>
      </c>
      <c r="AN208" s="8" t="str">
        <f t="shared" si="371"/>
        <v/>
      </c>
      <c r="AO208" s="8" t="str">
        <f t="shared" ref="AO208:AS208" si="372">IF(AO$3="","",AN208)</f>
        <v/>
      </c>
      <c r="AP208" s="8" t="str">
        <f t="shared" si="372"/>
        <v/>
      </c>
      <c r="AQ208" s="8" t="str">
        <f t="shared" si="372"/>
        <v/>
      </c>
      <c r="AR208" s="8" t="str">
        <f t="shared" si="372"/>
        <v/>
      </c>
      <c r="AS208" s="8" t="str">
        <f t="shared" si="372"/>
        <v/>
      </c>
    </row>
    <row r="209" spans="1:45">
      <c r="A209" s="15">
        <v>3</v>
      </c>
      <c r="B209" s="9" t="s">
        <v>5</v>
      </c>
      <c r="C209" s="74">
        <v>7</v>
      </c>
      <c r="D209" s="8">
        <f>IF(D207="","",(C209+C210))</f>
        <v>7</v>
      </c>
      <c r="E209" s="8">
        <f>IF(E207="","",(D209+D210))</f>
        <v>7</v>
      </c>
      <c r="F209" s="8">
        <v>5</v>
      </c>
      <c r="G209" s="59">
        <f>IF(G207="","",(F209+F210))</f>
        <v>6</v>
      </c>
      <c r="H209" s="8">
        <f>IF(H207="","",(G209+G210))</f>
        <v>6</v>
      </c>
      <c r="I209" s="8">
        <v>5</v>
      </c>
      <c r="J209" s="59">
        <f>IF(J207="","",(I209+I210))</f>
        <v>5</v>
      </c>
      <c r="K209" s="8">
        <f>IF(K207="","",(J209+J210))</f>
        <v>5</v>
      </c>
      <c r="L209" s="8">
        <v>4</v>
      </c>
      <c r="M209" s="59">
        <f>IF(M207="","",(L209+L210))</f>
        <v>4</v>
      </c>
      <c r="N209" s="8">
        <f>IF(N207="","",(M209+M210))</f>
        <v>4</v>
      </c>
      <c r="O209" s="8">
        <f>IF(O207="","",(N209+N210))</f>
        <v>4</v>
      </c>
      <c r="P209" s="8">
        <v>2</v>
      </c>
      <c r="Q209" s="59">
        <f t="shared" ref="Q209:AN209" si="373">IF(Q207="","",(P209+P210))</f>
        <v>5</v>
      </c>
      <c r="R209" s="8">
        <f t="shared" si="373"/>
        <v>5</v>
      </c>
      <c r="S209" s="8">
        <f t="shared" si="373"/>
        <v>5</v>
      </c>
      <c r="T209" s="8">
        <f t="shared" si="373"/>
        <v>5</v>
      </c>
      <c r="U209" s="8">
        <f t="shared" si="373"/>
        <v>5</v>
      </c>
      <c r="V209" s="8">
        <f t="shared" si="373"/>
        <v>5</v>
      </c>
      <c r="W209" s="8">
        <v>3</v>
      </c>
      <c r="X209" s="8">
        <f t="shared" si="373"/>
        <v>4</v>
      </c>
      <c r="Y209" s="8">
        <f t="shared" si="373"/>
        <v>4</v>
      </c>
      <c r="Z209" s="8">
        <v>3</v>
      </c>
      <c r="AA209" s="8">
        <f t="shared" si="373"/>
        <v>6</v>
      </c>
      <c r="AB209" s="8">
        <f t="shared" si="373"/>
        <v>6</v>
      </c>
      <c r="AC209" s="8">
        <f t="shared" si="373"/>
        <v>6</v>
      </c>
      <c r="AD209" s="8">
        <f t="shared" si="373"/>
        <v>6</v>
      </c>
      <c r="AE209" s="8">
        <f t="shared" si="373"/>
        <v>6</v>
      </c>
      <c r="AF209" s="8">
        <f t="shared" si="373"/>
        <v>6</v>
      </c>
      <c r="AG209" s="8">
        <v>2</v>
      </c>
      <c r="AH209" s="8" t="str">
        <f t="shared" si="373"/>
        <v/>
      </c>
      <c r="AI209" s="8" t="str">
        <f t="shared" si="373"/>
        <v/>
      </c>
      <c r="AJ209" s="8" t="str">
        <f t="shared" si="373"/>
        <v/>
      </c>
      <c r="AK209" s="8" t="str">
        <f t="shared" si="373"/>
        <v/>
      </c>
      <c r="AL209" s="8" t="str">
        <f t="shared" si="373"/>
        <v/>
      </c>
      <c r="AM209" s="8" t="str">
        <f t="shared" si="373"/>
        <v/>
      </c>
      <c r="AN209" s="8" t="str">
        <f t="shared" si="373"/>
        <v/>
      </c>
      <c r="AO209" s="8" t="str">
        <f t="shared" ref="AO209:AS209" si="374">IF(AO207="","",(AN209+AN210))</f>
        <v/>
      </c>
      <c r="AP209" s="8" t="str">
        <f t="shared" si="374"/>
        <v/>
      </c>
      <c r="AQ209" s="8" t="str">
        <f t="shared" si="374"/>
        <v/>
      </c>
      <c r="AR209" s="8" t="str">
        <f t="shared" si="374"/>
        <v/>
      </c>
      <c r="AS209" s="8" t="str">
        <f t="shared" si="374"/>
        <v/>
      </c>
    </row>
    <row r="210" spans="1:45">
      <c r="A210" s="14"/>
      <c r="B210" s="9" t="s">
        <v>7</v>
      </c>
      <c r="C210" s="74"/>
      <c r="D210" s="8"/>
      <c r="E210" s="8"/>
      <c r="F210" s="8">
        <v>1</v>
      </c>
      <c r="G210" s="59"/>
      <c r="H210" s="8"/>
      <c r="I210" s="8"/>
      <c r="J210" s="59"/>
      <c r="K210" s="8"/>
      <c r="L210" s="8"/>
      <c r="M210" s="59"/>
      <c r="N210" s="8"/>
      <c r="O210" s="8"/>
      <c r="P210" s="8">
        <v>3</v>
      </c>
      <c r="Q210" s="59"/>
      <c r="R210" s="8"/>
      <c r="S210" s="8"/>
      <c r="T210" s="8"/>
      <c r="U210" s="8"/>
      <c r="V210" s="8"/>
      <c r="W210" s="8">
        <v>1</v>
      </c>
      <c r="X210" s="8"/>
      <c r="Y210" s="8"/>
      <c r="Z210" s="8">
        <v>3</v>
      </c>
      <c r="AA210" s="8"/>
      <c r="AB210" s="8"/>
      <c r="AC210" s="8"/>
      <c r="AD210" s="8"/>
      <c r="AE210" s="8"/>
      <c r="AF210" s="8"/>
      <c r="AG210" s="8">
        <v>4</v>
      </c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</row>
    <row r="211" spans="1:45">
      <c r="A211" s="7"/>
      <c r="B211" s="9" t="s">
        <v>8</v>
      </c>
      <c r="C211" s="74">
        <v>996</v>
      </c>
      <c r="D211" s="8">
        <f t="shared" ref="D211:AN211" si="375">IF(D207="","",C211)</f>
        <v>996</v>
      </c>
      <c r="E211" s="8">
        <f t="shared" si="375"/>
        <v>996</v>
      </c>
      <c r="F211" s="8">
        <f t="shared" si="375"/>
        <v>996</v>
      </c>
      <c r="G211" s="59">
        <f t="shared" si="375"/>
        <v>996</v>
      </c>
      <c r="H211" s="8">
        <f t="shared" si="375"/>
        <v>996</v>
      </c>
      <c r="I211" s="8">
        <f t="shared" si="375"/>
        <v>996</v>
      </c>
      <c r="J211" s="59">
        <f t="shared" si="375"/>
        <v>996</v>
      </c>
      <c r="K211" s="8">
        <f t="shared" si="375"/>
        <v>996</v>
      </c>
      <c r="L211" s="8">
        <f t="shared" si="375"/>
        <v>996</v>
      </c>
      <c r="M211" s="59">
        <f t="shared" si="375"/>
        <v>996</v>
      </c>
      <c r="N211" s="8">
        <f t="shared" si="375"/>
        <v>996</v>
      </c>
      <c r="O211" s="8">
        <f t="shared" si="375"/>
        <v>996</v>
      </c>
      <c r="P211" s="8">
        <f t="shared" si="375"/>
        <v>996</v>
      </c>
      <c r="Q211" s="59">
        <f t="shared" si="375"/>
        <v>996</v>
      </c>
      <c r="R211" s="8">
        <f t="shared" si="375"/>
        <v>996</v>
      </c>
      <c r="S211" s="8">
        <f t="shared" si="375"/>
        <v>996</v>
      </c>
      <c r="T211" s="8">
        <f t="shared" si="375"/>
        <v>996</v>
      </c>
      <c r="U211" s="8">
        <f t="shared" si="375"/>
        <v>996</v>
      </c>
      <c r="V211" s="8">
        <f t="shared" si="375"/>
        <v>996</v>
      </c>
      <c r="W211" s="8">
        <f t="shared" si="375"/>
        <v>996</v>
      </c>
      <c r="X211" s="8">
        <f t="shared" si="375"/>
        <v>996</v>
      </c>
      <c r="Y211" s="8">
        <f t="shared" si="375"/>
        <v>996</v>
      </c>
      <c r="Z211" s="8">
        <f t="shared" si="375"/>
        <v>996</v>
      </c>
      <c r="AA211" s="8">
        <f t="shared" si="375"/>
        <v>996</v>
      </c>
      <c r="AB211" s="8">
        <f t="shared" si="375"/>
        <v>996</v>
      </c>
      <c r="AC211" s="8">
        <f t="shared" si="375"/>
        <v>996</v>
      </c>
      <c r="AD211" s="8">
        <f t="shared" si="375"/>
        <v>996</v>
      </c>
      <c r="AE211" s="8">
        <f t="shared" si="375"/>
        <v>996</v>
      </c>
      <c r="AF211" s="8">
        <f t="shared" si="375"/>
        <v>996</v>
      </c>
      <c r="AG211" s="8">
        <f t="shared" si="375"/>
        <v>996</v>
      </c>
      <c r="AH211" s="8" t="str">
        <f t="shared" si="375"/>
        <v/>
      </c>
      <c r="AI211" s="8" t="str">
        <f t="shared" si="375"/>
        <v/>
      </c>
      <c r="AJ211" s="8" t="str">
        <f t="shared" si="375"/>
        <v/>
      </c>
      <c r="AK211" s="8" t="str">
        <f t="shared" si="375"/>
        <v/>
      </c>
      <c r="AL211" s="8" t="str">
        <f t="shared" si="375"/>
        <v/>
      </c>
      <c r="AM211" s="8" t="str">
        <f t="shared" si="375"/>
        <v/>
      </c>
      <c r="AN211" s="8" t="str">
        <f t="shared" si="375"/>
        <v/>
      </c>
      <c r="AO211" s="8" t="str">
        <f t="shared" ref="AO211:AS211" si="376">IF(AO207="","",AN211)</f>
        <v/>
      </c>
      <c r="AP211" s="8" t="str">
        <f t="shared" si="376"/>
        <v/>
      </c>
      <c r="AQ211" s="8" t="str">
        <f t="shared" si="376"/>
        <v/>
      </c>
      <c r="AR211" s="8" t="str">
        <f t="shared" si="376"/>
        <v/>
      </c>
      <c r="AS211" s="8" t="str">
        <f t="shared" si="376"/>
        <v/>
      </c>
    </row>
    <row r="212" spans="1:45" s="94" customFormat="1">
      <c r="A212" s="14" t="s">
        <v>9</v>
      </c>
      <c r="B212" s="13" t="s">
        <v>10</v>
      </c>
      <c r="C212" s="75" t="s">
        <v>67</v>
      </c>
      <c r="D212" s="12" t="str">
        <f t="shared" ref="D212:AN212" si="377">IF(D207="","",C212)</f>
        <v>キティバンスクリップ</v>
      </c>
      <c r="E212" s="12" t="str">
        <f t="shared" si="377"/>
        <v>キティバンスクリップ</v>
      </c>
      <c r="F212" s="12" t="str">
        <f t="shared" si="377"/>
        <v>キティバンスクリップ</v>
      </c>
      <c r="G212" s="131" t="str">
        <f t="shared" si="377"/>
        <v>キティバンスクリップ</v>
      </c>
      <c r="H212" s="12" t="str">
        <f t="shared" si="377"/>
        <v>キティバンスクリップ</v>
      </c>
      <c r="I212" s="12" t="str">
        <f t="shared" si="377"/>
        <v>キティバンスクリップ</v>
      </c>
      <c r="J212" s="131" t="str">
        <f t="shared" si="377"/>
        <v>キティバンスクリップ</v>
      </c>
      <c r="K212" s="12" t="str">
        <f t="shared" si="377"/>
        <v>キティバンスクリップ</v>
      </c>
      <c r="L212" s="12" t="str">
        <f t="shared" si="377"/>
        <v>キティバンスクリップ</v>
      </c>
      <c r="M212" s="131" t="str">
        <f t="shared" si="377"/>
        <v>キティバンスクリップ</v>
      </c>
      <c r="N212" s="12" t="str">
        <f t="shared" si="377"/>
        <v>キティバンスクリップ</v>
      </c>
      <c r="O212" s="12" t="str">
        <f t="shared" si="377"/>
        <v>キティバンスクリップ</v>
      </c>
      <c r="P212" s="12" t="str">
        <f t="shared" si="377"/>
        <v>キティバンスクリップ</v>
      </c>
      <c r="Q212" s="131" t="str">
        <f t="shared" si="377"/>
        <v>キティバンスクリップ</v>
      </c>
      <c r="R212" s="12" t="str">
        <f t="shared" si="377"/>
        <v>キティバンスクリップ</v>
      </c>
      <c r="S212" s="12" t="str">
        <f t="shared" si="377"/>
        <v>キティバンスクリップ</v>
      </c>
      <c r="T212" s="12" t="str">
        <f t="shared" si="377"/>
        <v>キティバンスクリップ</v>
      </c>
      <c r="U212" s="12" t="str">
        <f t="shared" si="377"/>
        <v>キティバンスクリップ</v>
      </c>
      <c r="V212" s="12" t="str">
        <f t="shared" si="377"/>
        <v>キティバンスクリップ</v>
      </c>
      <c r="W212" s="12" t="str">
        <f t="shared" si="377"/>
        <v>キティバンスクリップ</v>
      </c>
      <c r="X212" s="12" t="str">
        <f t="shared" si="377"/>
        <v>キティバンスクリップ</v>
      </c>
      <c r="Y212" s="12" t="str">
        <f t="shared" si="377"/>
        <v>キティバンスクリップ</v>
      </c>
      <c r="Z212" s="12" t="str">
        <f t="shared" si="377"/>
        <v>キティバンスクリップ</v>
      </c>
      <c r="AA212" s="12" t="str">
        <f t="shared" si="377"/>
        <v>キティバンスクリップ</v>
      </c>
      <c r="AB212" s="12" t="str">
        <f t="shared" si="377"/>
        <v>キティバンスクリップ</v>
      </c>
      <c r="AC212" s="12" t="str">
        <f t="shared" si="377"/>
        <v>キティバンスクリップ</v>
      </c>
      <c r="AD212" s="12" t="str">
        <f t="shared" si="377"/>
        <v>キティバンスクリップ</v>
      </c>
      <c r="AE212" s="12" t="str">
        <f t="shared" si="377"/>
        <v>キティバンスクリップ</v>
      </c>
      <c r="AF212" s="12" t="str">
        <f t="shared" si="377"/>
        <v>キティバンスクリップ</v>
      </c>
      <c r="AG212" s="12" t="str">
        <f t="shared" si="377"/>
        <v>キティバンスクリップ</v>
      </c>
      <c r="AH212" s="12" t="str">
        <f t="shared" si="377"/>
        <v/>
      </c>
      <c r="AI212" s="12" t="str">
        <f t="shared" si="377"/>
        <v/>
      </c>
      <c r="AJ212" s="12" t="str">
        <f t="shared" si="377"/>
        <v/>
      </c>
      <c r="AK212" s="12" t="str">
        <f t="shared" si="377"/>
        <v/>
      </c>
      <c r="AL212" s="12" t="str">
        <f t="shared" si="377"/>
        <v/>
      </c>
      <c r="AM212" s="12" t="str">
        <f t="shared" si="377"/>
        <v/>
      </c>
      <c r="AN212" s="12" t="str">
        <f t="shared" si="377"/>
        <v/>
      </c>
      <c r="AO212" s="12" t="str">
        <f t="shared" ref="AO212:AS212" si="378">IF(AO207="","",AN212)</f>
        <v/>
      </c>
      <c r="AP212" s="12" t="str">
        <f t="shared" si="378"/>
        <v/>
      </c>
      <c r="AQ212" s="12" t="str">
        <f t="shared" si="378"/>
        <v/>
      </c>
      <c r="AR212" s="12" t="str">
        <f t="shared" si="378"/>
        <v/>
      </c>
      <c r="AS212" s="12" t="str">
        <f t="shared" si="378"/>
        <v/>
      </c>
    </row>
    <row r="213" spans="1:45">
      <c r="A213" s="7">
        <f>AVERAGE(C214:AS214)*30*100</f>
        <v>48193.54838709678</v>
      </c>
      <c r="B213" s="9" t="s">
        <v>14</v>
      </c>
      <c r="C213" s="74"/>
      <c r="D213" s="8"/>
      <c r="E213" s="8"/>
      <c r="F213" s="8"/>
      <c r="G213" s="59"/>
      <c r="H213" s="8"/>
      <c r="I213" s="8"/>
      <c r="J213" s="59"/>
      <c r="K213" s="8"/>
      <c r="L213" s="8"/>
      <c r="M213" s="59"/>
      <c r="N213" s="8"/>
      <c r="O213" s="8"/>
      <c r="P213" s="8"/>
      <c r="Q213" s="59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</row>
    <row r="214" spans="1:45">
      <c r="A214" s="7">
        <f>SUM(C214:AS214)</f>
        <v>498</v>
      </c>
      <c r="B214" s="6" t="s">
        <v>15</v>
      </c>
      <c r="C214" s="74">
        <v>0</v>
      </c>
      <c r="D214" s="5">
        <f t="shared" ref="D214:AN214" si="379">IF(D207="","",D207-C207)</f>
        <v>0</v>
      </c>
      <c r="E214" s="5">
        <f t="shared" si="379"/>
        <v>0</v>
      </c>
      <c r="F214" s="5">
        <f t="shared" si="379"/>
        <v>46</v>
      </c>
      <c r="G214" s="59">
        <f t="shared" si="379"/>
        <v>0</v>
      </c>
      <c r="H214" s="5">
        <f t="shared" si="379"/>
        <v>0</v>
      </c>
      <c r="I214" s="5">
        <f t="shared" si="379"/>
        <v>45</v>
      </c>
      <c r="J214" s="59">
        <f t="shared" si="379"/>
        <v>0</v>
      </c>
      <c r="K214" s="5">
        <f t="shared" si="379"/>
        <v>0</v>
      </c>
      <c r="L214" s="5">
        <f t="shared" si="379"/>
        <v>32</v>
      </c>
      <c r="M214" s="59">
        <f t="shared" si="379"/>
        <v>0</v>
      </c>
      <c r="N214" s="5">
        <f t="shared" si="379"/>
        <v>0</v>
      </c>
      <c r="O214" s="5">
        <f t="shared" si="379"/>
        <v>0</v>
      </c>
      <c r="P214" s="5">
        <f t="shared" si="379"/>
        <v>95</v>
      </c>
      <c r="Q214" s="59">
        <f t="shared" si="379"/>
        <v>0</v>
      </c>
      <c r="R214" s="5">
        <f t="shared" si="379"/>
        <v>0</v>
      </c>
      <c r="S214" s="5">
        <f t="shared" si="379"/>
        <v>77</v>
      </c>
      <c r="T214" s="5">
        <f t="shared" si="379"/>
        <v>0</v>
      </c>
      <c r="U214" s="5">
        <f t="shared" si="379"/>
        <v>0</v>
      </c>
      <c r="V214" s="5">
        <f t="shared" si="379"/>
        <v>0</v>
      </c>
      <c r="W214" s="5">
        <f t="shared" si="379"/>
        <v>32</v>
      </c>
      <c r="X214" s="5">
        <f t="shared" si="379"/>
        <v>0</v>
      </c>
      <c r="Y214" s="5">
        <f t="shared" si="379"/>
        <v>0</v>
      </c>
      <c r="Z214" s="5">
        <f t="shared" si="379"/>
        <v>65</v>
      </c>
      <c r="AA214" s="5">
        <f t="shared" si="379"/>
        <v>0</v>
      </c>
      <c r="AB214" s="5">
        <f t="shared" si="379"/>
        <v>0</v>
      </c>
      <c r="AC214" s="5">
        <f t="shared" si="379"/>
        <v>0</v>
      </c>
      <c r="AD214" s="5">
        <f t="shared" si="379"/>
        <v>39</v>
      </c>
      <c r="AE214" s="5">
        <f t="shared" si="379"/>
        <v>0</v>
      </c>
      <c r="AF214" s="5">
        <f t="shared" si="379"/>
        <v>0</v>
      </c>
      <c r="AG214" s="5">
        <f t="shared" si="379"/>
        <v>67</v>
      </c>
      <c r="AH214" s="5" t="str">
        <f t="shared" si="379"/>
        <v/>
      </c>
      <c r="AI214" s="5" t="str">
        <f t="shared" si="379"/>
        <v/>
      </c>
      <c r="AJ214" s="5" t="str">
        <f t="shared" si="379"/>
        <v/>
      </c>
      <c r="AK214" s="5" t="str">
        <f t="shared" si="379"/>
        <v/>
      </c>
      <c r="AL214" s="5" t="str">
        <f t="shared" si="379"/>
        <v/>
      </c>
      <c r="AM214" s="5" t="str">
        <f t="shared" si="379"/>
        <v/>
      </c>
      <c r="AN214" s="5" t="str">
        <f t="shared" si="379"/>
        <v/>
      </c>
      <c r="AO214" s="5" t="str">
        <f t="shared" ref="AO214:AS214" si="380">IF(AO207="","",AO207-AN207)</f>
        <v/>
      </c>
      <c r="AP214" s="5" t="str">
        <f t="shared" si="380"/>
        <v/>
      </c>
      <c r="AQ214" s="5" t="str">
        <f t="shared" si="380"/>
        <v/>
      </c>
      <c r="AR214" s="5" t="str">
        <f t="shared" si="380"/>
        <v/>
      </c>
      <c r="AS214" s="5" t="str">
        <f t="shared" si="380"/>
        <v/>
      </c>
    </row>
    <row r="215" spans="1:45">
      <c r="A215" s="7">
        <f>SUM(C215:AS215)</f>
        <v>6</v>
      </c>
      <c r="B215" s="6" t="s">
        <v>16</v>
      </c>
      <c r="C215" s="74">
        <v>0</v>
      </c>
      <c r="D215" s="5">
        <f t="shared" ref="D215:AN215" si="381">IF(D208="","",D208-C208)</f>
        <v>0</v>
      </c>
      <c r="E215" s="5">
        <f t="shared" si="381"/>
        <v>0</v>
      </c>
      <c r="F215" s="5">
        <f t="shared" si="381"/>
        <v>1</v>
      </c>
      <c r="G215" s="59">
        <f t="shared" si="381"/>
        <v>0</v>
      </c>
      <c r="H215" s="5">
        <f t="shared" si="381"/>
        <v>0</v>
      </c>
      <c r="I215" s="5">
        <f t="shared" si="381"/>
        <v>0</v>
      </c>
      <c r="J215" s="59">
        <f t="shared" si="381"/>
        <v>0</v>
      </c>
      <c r="K215" s="5">
        <f t="shared" si="381"/>
        <v>0</v>
      </c>
      <c r="L215" s="5">
        <f t="shared" si="381"/>
        <v>1</v>
      </c>
      <c r="M215" s="59">
        <f t="shared" si="381"/>
        <v>0</v>
      </c>
      <c r="N215" s="5">
        <f t="shared" si="381"/>
        <v>0</v>
      </c>
      <c r="O215" s="5">
        <f t="shared" si="381"/>
        <v>0</v>
      </c>
      <c r="P215" s="5">
        <f t="shared" si="381"/>
        <v>1</v>
      </c>
      <c r="Q215" s="59">
        <f t="shared" si="381"/>
        <v>0</v>
      </c>
      <c r="R215" s="5">
        <f t="shared" si="381"/>
        <v>0</v>
      </c>
      <c r="S215" s="5">
        <f t="shared" si="381"/>
        <v>0</v>
      </c>
      <c r="T215" s="5">
        <f t="shared" si="381"/>
        <v>0</v>
      </c>
      <c r="U215" s="5">
        <f t="shared" si="381"/>
        <v>0</v>
      </c>
      <c r="V215" s="5">
        <f t="shared" si="381"/>
        <v>0</v>
      </c>
      <c r="W215" s="5">
        <f t="shared" si="381"/>
        <v>1</v>
      </c>
      <c r="X215" s="5">
        <f t="shared" si="381"/>
        <v>0</v>
      </c>
      <c r="Y215" s="5">
        <f t="shared" si="381"/>
        <v>0</v>
      </c>
      <c r="Z215" s="5">
        <f t="shared" si="381"/>
        <v>1</v>
      </c>
      <c r="AA215" s="5">
        <f t="shared" si="381"/>
        <v>0</v>
      </c>
      <c r="AB215" s="5">
        <f t="shared" si="381"/>
        <v>0</v>
      </c>
      <c r="AC215" s="5">
        <f t="shared" si="381"/>
        <v>0</v>
      </c>
      <c r="AD215" s="5">
        <f t="shared" si="381"/>
        <v>0</v>
      </c>
      <c r="AE215" s="5">
        <f t="shared" si="381"/>
        <v>0</v>
      </c>
      <c r="AF215" s="5">
        <f t="shared" si="381"/>
        <v>0</v>
      </c>
      <c r="AG215" s="5">
        <f t="shared" si="381"/>
        <v>1</v>
      </c>
      <c r="AH215" s="5" t="str">
        <f t="shared" si="381"/>
        <v/>
      </c>
      <c r="AI215" s="5" t="str">
        <f t="shared" si="381"/>
        <v/>
      </c>
      <c r="AJ215" s="5" t="str">
        <f t="shared" si="381"/>
        <v/>
      </c>
      <c r="AK215" s="5" t="str">
        <f t="shared" si="381"/>
        <v/>
      </c>
      <c r="AL215" s="5" t="str">
        <f t="shared" si="381"/>
        <v/>
      </c>
      <c r="AM215" s="5" t="str">
        <f t="shared" si="381"/>
        <v/>
      </c>
      <c r="AN215" s="5" t="str">
        <f t="shared" si="381"/>
        <v/>
      </c>
      <c r="AO215" s="5" t="str">
        <f t="shared" ref="AO215:AS215" si="382">IF(AO208="","",AO208-AN208)</f>
        <v/>
      </c>
      <c r="AP215" s="5" t="str">
        <f t="shared" si="382"/>
        <v/>
      </c>
      <c r="AQ215" s="5" t="str">
        <f t="shared" si="382"/>
        <v/>
      </c>
      <c r="AR215" s="5" t="str">
        <f t="shared" si="382"/>
        <v/>
      </c>
      <c r="AS215" s="5" t="str">
        <f t="shared" si="382"/>
        <v/>
      </c>
    </row>
    <row r="216" spans="1:45">
      <c r="A216" s="7">
        <f>SUM(C216:AS216)</f>
        <v>13</v>
      </c>
      <c r="B216" s="6" t="s">
        <v>17</v>
      </c>
      <c r="C216" s="74">
        <v>0</v>
      </c>
      <c r="D216" s="5">
        <f t="shared" ref="D216:AN216" si="383">IF(D209="","",C209+C210-D209)</f>
        <v>0</v>
      </c>
      <c r="E216" s="5">
        <f t="shared" si="383"/>
        <v>0</v>
      </c>
      <c r="F216" s="5">
        <f t="shared" si="383"/>
        <v>2</v>
      </c>
      <c r="G216" s="59">
        <f t="shared" si="383"/>
        <v>0</v>
      </c>
      <c r="H216" s="5">
        <f t="shared" si="383"/>
        <v>0</v>
      </c>
      <c r="I216" s="5">
        <f t="shared" si="383"/>
        <v>1</v>
      </c>
      <c r="J216" s="59">
        <f t="shared" si="383"/>
        <v>0</v>
      </c>
      <c r="K216" s="5">
        <f t="shared" si="383"/>
        <v>0</v>
      </c>
      <c r="L216" s="5">
        <f t="shared" si="383"/>
        <v>1</v>
      </c>
      <c r="M216" s="59">
        <f t="shared" si="383"/>
        <v>0</v>
      </c>
      <c r="N216" s="5">
        <f t="shared" si="383"/>
        <v>0</v>
      </c>
      <c r="O216" s="5">
        <f t="shared" si="383"/>
        <v>0</v>
      </c>
      <c r="P216" s="5">
        <f t="shared" si="383"/>
        <v>2</v>
      </c>
      <c r="Q216" s="59">
        <f t="shared" si="383"/>
        <v>0</v>
      </c>
      <c r="R216" s="5">
        <f t="shared" si="383"/>
        <v>0</v>
      </c>
      <c r="S216" s="5">
        <f t="shared" si="383"/>
        <v>0</v>
      </c>
      <c r="T216" s="5">
        <f t="shared" si="383"/>
        <v>0</v>
      </c>
      <c r="U216" s="5">
        <f t="shared" si="383"/>
        <v>0</v>
      </c>
      <c r="V216" s="5">
        <f t="shared" si="383"/>
        <v>0</v>
      </c>
      <c r="W216" s="5">
        <f t="shared" si="383"/>
        <v>2</v>
      </c>
      <c r="X216" s="5">
        <f t="shared" si="383"/>
        <v>0</v>
      </c>
      <c r="Y216" s="5">
        <f t="shared" si="383"/>
        <v>0</v>
      </c>
      <c r="Z216" s="5">
        <f t="shared" si="383"/>
        <v>1</v>
      </c>
      <c r="AA216" s="5">
        <f t="shared" si="383"/>
        <v>0</v>
      </c>
      <c r="AB216" s="5">
        <f t="shared" si="383"/>
        <v>0</v>
      </c>
      <c r="AC216" s="5">
        <f t="shared" si="383"/>
        <v>0</v>
      </c>
      <c r="AD216" s="5">
        <f t="shared" si="383"/>
        <v>0</v>
      </c>
      <c r="AE216" s="5">
        <f t="shared" si="383"/>
        <v>0</v>
      </c>
      <c r="AF216" s="5">
        <f t="shared" si="383"/>
        <v>0</v>
      </c>
      <c r="AG216" s="5">
        <f t="shared" si="383"/>
        <v>4</v>
      </c>
      <c r="AH216" s="5" t="str">
        <f t="shared" si="383"/>
        <v/>
      </c>
      <c r="AI216" s="5" t="str">
        <f t="shared" si="383"/>
        <v/>
      </c>
      <c r="AJ216" s="5" t="str">
        <f t="shared" si="383"/>
        <v/>
      </c>
      <c r="AK216" s="5" t="str">
        <f t="shared" si="383"/>
        <v/>
      </c>
      <c r="AL216" s="5" t="str">
        <f t="shared" si="383"/>
        <v/>
      </c>
      <c r="AM216" s="5" t="str">
        <f t="shared" si="383"/>
        <v/>
      </c>
      <c r="AN216" s="5" t="str">
        <f t="shared" si="383"/>
        <v/>
      </c>
      <c r="AO216" s="5" t="str">
        <f t="shared" ref="AO216:AS216" si="384">IF(AO209="","",AN209+AN210-AO209)</f>
        <v/>
      </c>
      <c r="AP216" s="5" t="str">
        <f t="shared" si="384"/>
        <v/>
      </c>
      <c r="AQ216" s="5" t="str">
        <f t="shared" si="384"/>
        <v/>
      </c>
      <c r="AR216" s="5" t="str">
        <f t="shared" si="384"/>
        <v/>
      </c>
      <c r="AS216" s="5" t="str">
        <f t="shared" si="384"/>
        <v/>
      </c>
    </row>
    <row r="217" spans="1:45">
      <c r="A217" s="7">
        <f>SUM(C217:AS217)</f>
        <v>12948</v>
      </c>
      <c r="B217" s="6" t="s">
        <v>18</v>
      </c>
      <c r="C217" s="74">
        <v>0</v>
      </c>
      <c r="D217" s="5">
        <f t="shared" ref="D217:AN217" si="385">IF(D207="","",D216*D211)</f>
        <v>0</v>
      </c>
      <c r="E217" s="5">
        <f t="shared" si="385"/>
        <v>0</v>
      </c>
      <c r="F217" s="5">
        <f t="shared" si="385"/>
        <v>1992</v>
      </c>
      <c r="G217" s="59">
        <f t="shared" si="385"/>
        <v>0</v>
      </c>
      <c r="H217" s="5">
        <f t="shared" si="385"/>
        <v>0</v>
      </c>
      <c r="I217" s="5">
        <f t="shared" si="385"/>
        <v>996</v>
      </c>
      <c r="J217" s="59">
        <f t="shared" si="385"/>
        <v>0</v>
      </c>
      <c r="K217" s="5">
        <f t="shared" si="385"/>
        <v>0</v>
      </c>
      <c r="L217" s="5">
        <f t="shared" si="385"/>
        <v>996</v>
      </c>
      <c r="M217" s="59">
        <f t="shared" si="385"/>
        <v>0</v>
      </c>
      <c r="N217" s="5">
        <f t="shared" si="385"/>
        <v>0</v>
      </c>
      <c r="O217" s="5">
        <f t="shared" si="385"/>
        <v>0</v>
      </c>
      <c r="P217" s="5">
        <f t="shared" si="385"/>
        <v>1992</v>
      </c>
      <c r="Q217" s="59">
        <f t="shared" si="385"/>
        <v>0</v>
      </c>
      <c r="R217" s="5">
        <f t="shared" si="385"/>
        <v>0</v>
      </c>
      <c r="S217" s="5">
        <f t="shared" si="385"/>
        <v>0</v>
      </c>
      <c r="T217" s="5">
        <f t="shared" si="385"/>
        <v>0</v>
      </c>
      <c r="U217" s="5">
        <f t="shared" si="385"/>
        <v>0</v>
      </c>
      <c r="V217" s="5">
        <f t="shared" si="385"/>
        <v>0</v>
      </c>
      <c r="W217" s="5">
        <f t="shared" si="385"/>
        <v>1992</v>
      </c>
      <c r="X217" s="5">
        <f t="shared" si="385"/>
        <v>0</v>
      </c>
      <c r="Y217" s="5">
        <f t="shared" si="385"/>
        <v>0</v>
      </c>
      <c r="Z217" s="5">
        <f t="shared" si="385"/>
        <v>996</v>
      </c>
      <c r="AA217" s="5">
        <f t="shared" si="385"/>
        <v>0</v>
      </c>
      <c r="AB217" s="5">
        <f t="shared" si="385"/>
        <v>0</v>
      </c>
      <c r="AC217" s="5">
        <f t="shared" si="385"/>
        <v>0</v>
      </c>
      <c r="AD217" s="5">
        <f t="shared" si="385"/>
        <v>0</v>
      </c>
      <c r="AE217" s="5">
        <f t="shared" si="385"/>
        <v>0</v>
      </c>
      <c r="AF217" s="5">
        <f t="shared" si="385"/>
        <v>0</v>
      </c>
      <c r="AG217" s="5">
        <f t="shared" si="385"/>
        <v>3984</v>
      </c>
      <c r="AH217" s="5" t="str">
        <f t="shared" si="385"/>
        <v/>
      </c>
      <c r="AI217" s="5" t="str">
        <f t="shared" si="385"/>
        <v/>
      </c>
      <c r="AJ217" s="5" t="str">
        <f t="shared" si="385"/>
        <v/>
      </c>
      <c r="AK217" s="5" t="str">
        <f t="shared" si="385"/>
        <v/>
      </c>
      <c r="AL217" s="5" t="str">
        <f t="shared" si="385"/>
        <v/>
      </c>
      <c r="AM217" s="5" t="str">
        <f t="shared" si="385"/>
        <v/>
      </c>
      <c r="AN217" s="5" t="str">
        <f t="shared" si="385"/>
        <v/>
      </c>
      <c r="AO217" s="5" t="str">
        <f t="shared" ref="AO217:AS217" si="386">IF(AO207="","",AO216*AO211)</f>
        <v/>
      </c>
      <c r="AP217" s="5" t="str">
        <f t="shared" si="386"/>
        <v/>
      </c>
      <c r="AQ217" s="5" t="str">
        <f t="shared" si="386"/>
        <v/>
      </c>
      <c r="AR217" s="5" t="str">
        <f t="shared" si="386"/>
        <v/>
      </c>
      <c r="AS217" s="5" t="str">
        <f t="shared" si="386"/>
        <v/>
      </c>
    </row>
    <row r="218" spans="1:45" ht="12" thickBot="1">
      <c r="A218" s="4">
        <f>IF(A217="","",A217/(A214*100))</f>
        <v>0.26</v>
      </c>
      <c r="B218" s="6" t="s">
        <v>20</v>
      </c>
      <c r="C218" s="76" t="s">
        <v>21</v>
      </c>
      <c r="D218" s="18" t="str">
        <f t="shared" ref="D218:AN218" si="387">IF(D217="","",IF(D217=0,"",D217/(D214*100)))</f>
        <v/>
      </c>
      <c r="E218" s="18" t="str">
        <f t="shared" si="387"/>
        <v/>
      </c>
      <c r="F218" s="18">
        <f t="shared" si="387"/>
        <v>0.43304347826086959</v>
      </c>
      <c r="G218" s="62" t="str">
        <f t="shared" si="387"/>
        <v/>
      </c>
      <c r="H218" s="18" t="str">
        <f t="shared" si="387"/>
        <v/>
      </c>
      <c r="I218" s="18">
        <f t="shared" si="387"/>
        <v>0.22133333333333333</v>
      </c>
      <c r="J218" s="62" t="str">
        <f t="shared" si="387"/>
        <v/>
      </c>
      <c r="K218" s="18" t="str">
        <f t="shared" si="387"/>
        <v/>
      </c>
      <c r="L218" s="18">
        <f t="shared" si="387"/>
        <v>0.31125000000000003</v>
      </c>
      <c r="M218" s="62" t="str">
        <f t="shared" si="387"/>
        <v/>
      </c>
      <c r="N218" s="18" t="str">
        <f t="shared" si="387"/>
        <v/>
      </c>
      <c r="O218" s="18" t="str">
        <f t="shared" si="387"/>
        <v/>
      </c>
      <c r="P218" s="18">
        <f t="shared" si="387"/>
        <v>0.20968421052631578</v>
      </c>
      <c r="Q218" s="62" t="str">
        <f t="shared" si="387"/>
        <v/>
      </c>
      <c r="R218" s="18" t="str">
        <f t="shared" si="387"/>
        <v/>
      </c>
      <c r="S218" s="18" t="str">
        <f t="shared" si="387"/>
        <v/>
      </c>
      <c r="T218" s="18" t="str">
        <f t="shared" si="387"/>
        <v/>
      </c>
      <c r="U218" s="18" t="str">
        <f t="shared" si="387"/>
        <v/>
      </c>
      <c r="V218" s="18" t="str">
        <f t="shared" si="387"/>
        <v/>
      </c>
      <c r="W218" s="18">
        <f t="shared" si="387"/>
        <v>0.62250000000000005</v>
      </c>
      <c r="X218" s="18" t="str">
        <f t="shared" si="387"/>
        <v/>
      </c>
      <c r="Y218" s="18" t="str">
        <f t="shared" si="387"/>
        <v/>
      </c>
      <c r="Z218" s="18">
        <f t="shared" si="387"/>
        <v>0.15323076923076923</v>
      </c>
      <c r="AA218" s="18" t="str">
        <f t="shared" si="387"/>
        <v/>
      </c>
      <c r="AB218" s="18" t="str">
        <f t="shared" si="387"/>
        <v/>
      </c>
      <c r="AC218" s="18" t="str">
        <f t="shared" si="387"/>
        <v/>
      </c>
      <c r="AD218" s="18" t="str">
        <f t="shared" si="387"/>
        <v/>
      </c>
      <c r="AE218" s="18" t="str">
        <f t="shared" si="387"/>
        <v/>
      </c>
      <c r="AF218" s="18" t="str">
        <f t="shared" si="387"/>
        <v/>
      </c>
      <c r="AG218" s="18">
        <f t="shared" si="387"/>
        <v>0.5946268656716418</v>
      </c>
      <c r="AH218" s="18" t="str">
        <f t="shared" si="387"/>
        <v/>
      </c>
      <c r="AI218" s="18" t="str">
        <f t="shared" si="387"/>
        <v/>
      </c>
      <c r="AJ218" s="18" t="str">
        <f t="shared" si="387"/>
        <v/>
      </c>
      <c r="AK218" s="18" t="str">
        <f t="shared" si="387"/>
        <v/>
      </c>
      <c r="AL218" s="18" t="str">
        <f t="shared" si="387"/>
        <v/>
      </c>
      <c r="AM218" s="18" t="str">
        <f t="shared" si="387"/>
        <v/>
      </c>
      <c r="AN218" s="18" t="str">
        <f t="shared" si="387"/>
        <v/>
      </c>
      <c r="AO218" s="18" t="str">
        <f t="shared" ref="AO218:AS218" si="388">IF(AO217="","",IF(AO217=0,"",AO217/(AO214*100)))</f>
        <v/>
      </c>
      <c r="AP218" s="18" t="str">
        <f t="shared" si="388"/>
        <v/>
      </c>
      <c r="AQ218" s="18" t="str">
        <f t="shared" si="388"/>
        <v/>
      </c>
      <c r="AR218" s="18" t="str">
        <f t="shared" si="388"/>
        <v/>
      </c>
      <c r="AS218" s="18" t="str">
        <f t="shared" si="388"/>
        <v/>
      </c>
    </row>
    <row r="219" spans="1:45">
      <c r="A219" s="17" t="s">
        <v>78</v>
      </c>
      <c r="B219" s="9" t="s">
        <v>2</v>
      </c>
      <c r="C219" s="74">
        <v>8511</v>
      </c>
      <c r="D219" s="8">
        <f>IF(D$3="","",C219)</f>
        <v>8511</v>
      </c>
      <c r="E219" s="8">
        <f>IF(E$3="","",D219)</f>
        <v>8511</v>
      </c>
      <c r="F219" s="8">
        <v>8627</v>
      </c>
      <c r="G219" s="59">
        <f>IF(G$3="","",F219)</f>
        <v>8627</v>
      </c>
      <c r="H219" s="8">
        <f>IF(H$3="","",G219)</f>
        <v>8627</v>
      </c>
      <c r="I219" s="8">
        <v>8642</v>
      </c>
      <c r="J219" s="59">
        <f>IF(J$3="","",I219)</f>
        <v>8642</v>
      </c>
      <c r="K219" s="8">
        <f>IF(K$3="","",J219)</f>
        <v>8642</v>
      </c>
      <c r="L219" s="8">
        <v>8707</v>
      </c>
      <c r="M219" s="59">
        <f t="shared" ref="M219:O220" si="389">IF(M$3="","",L219)</f>
        <v>8707</v>
      </c>
      <c r="N219" s="8">
        <f t="shared" si="389"/>
        <v>8707</v>
      </c>
      <c r="O219" s="8">
        <f t="shared" si="389"/>
        <v>8707</v>
      </c>
      <c r="P219" s="8">
        <v>8729</v>
      </c>
      <c r="Q219" s="59">
        <f>IF(Q$3="","",P219)</f>
        <v>8729</v>
      </c>
      <c r="R219" s="8">
        <f>IF(R$3="","",Q219)</f>
        <v>8729</v>
      </c>
      <c r="S219" s="8">
        <v>8831</v>
      </c>
      <c r="T219" s="8">
        <f t="shared" ref="T219:AN219" si="390">IF(T$3="","",S219)</f>
        <v>8831</v>
      </c>
      <c r="U219" s="8">
        <f t="shared" si="390"/>
        <v>8831</v>
      </c>
      <c r="V219" s="8">
        <f t="shared" si="390"/>
        <v>8831</v>
      </c>
      <c r="W219" s="8">
        <v>8842</v>
      </c>
      <c r="X219" s="8">
        <f t="shared" si="390"/>
        <v>8842</v>
      </c>
      <c r="Y219" s="8">
        <f t="shared" si="390"/>
        <v>8842</v>
      </c>
      <c r="Z219" s="8">
        <v>8906</v>
      </c>
      <c r="AA219" s="8">
        <f t="shared" si="390"/>
        <v>8906</v>
      </c>
      <c r="AB219" s="8">
        <f t="shared" si="390"/>
        <v>8906</v>
      </c>
      <c r="AC219" s="8">
        <f t="shared" si="390"/>
        <v>8906</v>
      </c>
      <c r="AD219" s="8">
        <v>8923</v>
      </c>
      <c r="AE219" s="8">
        <f t="shared" si="390"/>
        <v>8923</v>
      </c>
      <c r="AF219" s="8">
        <f t="shared" si="390"/>
        <v>8923</v>
      </c>
      <c r="AG219" s="8">
        <v>8947</v>
      </c>
      <c r="AH219" s="8" t="str">
        <f t="shared" si="390"/>
        <v/>
      </c>
      <c r="AI219" s="8" t="str">
        <f t="shared" si="390"/>
        <v/>
      </c>
      <c r="AJ219" s="8" t="str">
        <f t="shared" si="390"/>
        <v/>
      </c>
      <c r="AK219" s="8" t="str">
        <f t="shared" si="390"/>
        <v/>
      </c>
      <c r="AL219" s="8" t="str">
        <f t="shared" si="390"/>
        <v/>
      </c>
      <c r="AM219" s="8" t="str">
        <f t="shared" si="390"/>
        <v/>
      </c>
      <c r="AN219" s="8" t="str">
        <f t="shared" si="390"/>
        <v/>
      </c>
      <c r="AO219" s="8" t="str">
        <f t="shared" ref="AO219:AS219" si="391">IF(AO$3="","",AN219)</f>
        <v/>
      </c>
      <c r="AP219" s="8" t="str">
        <f t="shared" si="391"/>
        <v/>
      </c>
      <c r="AQ219" s="8" t="str">
        <f t="shared" si="391"/>
        <v/>
      </c>
      <c r="AR219" s="8" t="str">
        <f t="shared" si="391"/>
        <v/>
      </c>
      <c r="AS219" s="8" t="str">
        <f t="shared" si="391"/>
        <v/>
      </c>
    </row>
    <row r="220" spans="1:45">
      <c r="A220" s="16" t="s">
        <v>44</v>
      </c>
      <c r="B220" s="9" t="s">
        <v>4</v>
      </c>
      <c r="C220" s="74">
        <v>332</v>
      </c>
      <c r="D220" s="8">
        <f>IF(D$3="","",C220)</f>
        <v>332</v>
      </c>
      <c r="E220" s="8">
        <f>IF(E$3="","",D220)</f>
        <v>332</v>
      </c>
      <c r="F220" s="8">
        <v>333</v>
      </c>
      <c r="G220" s="59">
        <f>IF(G$3="","",F220)</f>
        <v>333</v>
      </c>
      <c r="H220" s="8">
        <f>IF(H$3="","",G220)</f>
        <v>333</v>
      </c>
      <c r="I220" s="8">
        <f>IF(I$3="","",H220)</f>
        <v>333</v>
      </c>
      <c r="J220" s="59">
        <f>IF(J$3="","",I220)</f>
        <v>333</v>
      </c>
      <c r="K220" s="8">
        <f>IF(K$3="","",J220)</f>
        <v>333</v>
      </c>
      <c r="L220" s="8">
        <f>IF(L$3="","",K220)</f>
        <v>333</v>
      </c>
      <c r="M220" s="59">
        <f t="shared" si="389"/>
        <v>333</v>
      </c>
      <c r="N220" s="8">
        <f t="shared" si="389"/>
        <v>333</v>
      </c>
      <c r="O220" s="8">
        <f t="shared" si="389"/>
        <v>333</v>
      </c>
      <c r="P220" s="8">
        <v>334</v>
      </c>
      <c r="Q220" s="59">
        <f>IF(Q$3="","",P220)</f>
        <v>334</v>
      </c>
      <c r="R220" s="8">
        <f>IF(R$3="","",Q220)</f>
        <v>334</v>
      </c>
      <c r="S220" s="8">
        <v>336</v>
      </c>
      <c r="T220" s="8">
        <f t="shared" ref="T220:AN220" si="392">IF(T$3="","",S220)</f>
        <v>336</v>
      </c>
      <c r="U220" s="8">
        <f t="shared" si="392"/>
        <v>336</v>
      </c>
      <c r="V220" s="8">
        <f t="shared" si="392"/>
        <v>336</v>
      </c>
      <c r="W220" s="8">
        <f t="shared" si="392"/>
        <v>336</v>
      </c>
      <c r="X220" s="8">
        <f t="shared" si="392"/>
        <v>336</v>
      </c>
      <c r="Y220" s="8">
        <f t="shared" si="392"/>
        <v>336</v>
      </c>
      <c r="Z220" s="8">
        <v>337</v>
      </c>
      <c r="AA220" s="8">
        <f t="shared" si="392"/>
        <v>337</v>
      </c>
      <c r="AB220" s="8">
        <f t="shared" si="392"/>
        <v>337</v>
      </c>
      <c r="AC220" s="8">
        <f t="shared" si="392"/>
        <v>337</v>
      </c>
      <c r="AD220" s="8">
        <f t="shared" si="392"/>
        <v>337</v>
      </c>
      <c r="AE220" s="8">
        <f t="shared" si="392"/>
        <v>337</v>
      </c>
      <c r="AF220" s="8">
        <f t="shared" si="392"/>
        <v>337</v>
      </c>
      <c r="AG220" s="8">
        <v>339</v>
      </c>
      <c r="AH220" s="8" t="str">
        <f t="shared" si="392"/>
        <v/>
      </c>
      <c r="AI220" s="8" t="str">
        <f t="shared" si="392"/>
        <v/>
      </c>
      <c r="AJ220" s="8" t="str">
        <f t="shared" si="392"/>
        <v/>
      </c>
      <c r="AK220" s="8" t="str">
        <f t="shared" si="392"/>
        <v/>
      </c>
      <c r="AL220" s="8" t="str">
        <f t="shared" si="392"/>
        <v/>
      </c>
      <c r="AM220" s="8" t="str">
        <f t="shared" si="392"/>
        <v/>
      </c>
      <c r="AN220" s="8" t="str">
        <f t="shared" si="392"/>
        <v/>
      </c>
      <c r="AO220" s="8" t="str">
        <f t="shared" ref="AO220:AS220" si="393">IF(AO$3="","",AN220)</f>
        <v/>
      </c>
      <c r="AP220" s="8" t="str">
        <f t="shared" si="393"/>
        <v/>
      </c>
      <c r="AQ220" s="8" t="str">
        <f t="shared" si="393"/>
        <v/>
      </c>
      <c r="AR220" s="8" t="str">
        <f t="shared" si="393"/>
        <v/>
      </c>
      <c r="AS220" s="8" t="str">
        <f t="shared" si="393"/>
        <v/>
      </c>
    </row>
    <row r="221" spans="1:45">
      <c r="A221" s="15">
        <v>4</v>
      </c>
      <c r="B221" s="9" t="s">
        <v>5</v>
      </c>
      <c r="C221" s="74">
        <v>6</v>
      </c>
      <c r="D221" s="8">
        <f>IF(D219="","",(C221+C222))</f>
        <v>6</v>
      </c>
      <c r="E221" s="8">
        <f>IF(E219="","",(D221+D222))</f>
        <v>6</v>
      </c>
      <c r="F221" s="8">
        <v>4</v>
      </c>
      <c r="G221" s="59">
        <f t="shared" ref="G221:O221" si="394">IF(G219="","",(F221+F222))</f>
        <v>4</v>
      </c>
      <c r="H221" s="8">
        <f t="shared" si="394"/>
        <v>4</v>
      </c>
      <c r="I221" s="8">
        <f t="shared" si="394"/>
        <v>4</v>
      </c>
      <c r="J221" s="59">
        <f t="shared" si="394"/>
        <v>4</v>
      </c>
      <c r="K221" s="8">
        <f t="shared" si="394"/>
        <v>4</v>
      </c>
      <c r="L221" s="8">
        <f t="shared" si="394"/>
        <v>4</v>
      </c>
      <c r="M221" s="59">
        <f t="shared" si="394"/>
        <v>4</v>
      </c>
      <c r="N221" s="8">
        <f t="shared" si="394"/>
        <v>4</v>
      </c>
      <c r="O221" s="8">
        <f t="shared" si="394"/>
        <v>4</v>
      </c>
      <c r="P221" s="8">
        <v>3</v>
      </c>
      <c r="Q221" s="59">
        <f>IF(Q219="","",(P221+P222))</f>
        <v>5</v>
      </c>
      <c r="R221" s="8">
        <f>IF(R219="","",(Q221+Q222))</f>
        <v>5</v>
      </c>
      <c r="S221" s="8">
        <v>3</v>
      </c>
      <c r="T221" s="8">
        <f t="shared" ref="T221:AN221" si="395">IF(T219="","",(S221+S222))</f>
        <v>5</v>
      </c>
      <c r="U221" s="8">
        <f t="shared" si="395"/>
        <v>5</v>
      </c>
      <c r="V221" s="8">
        <f t="shared" si="395"/>
        <v>5</v>
      </c>
      <c r="W221" s="8">
        <f t="shared" si="395"/>
        <v>5</v>
      </c>
      <c r="X221" s="8">
        <f t="shared" si="395"/>
        <v>5</v>
      </c>
      <c r="Y221" s="8">
        <f t="shared" si="395"/>
        <v>5</v>
      </c>
      <c r="Z221" s="8">
        <v>5</v>
      </c>
      <c r="AA221" s="8">
        <f t="shared" si="395"/>
        <v>5</v>
      </c>
      <c r="AB221" s="8">
        <f t="shared" si="395"/>
        <v>5</v>
      </c>
      <c r="AC221" s="8">
        <f t="shared" si="395"/>
        <v>5</v>
      </c>
      <c r="AD221" s="8">
        <f t="shared" si="395"/>
        <v>5</v>
      </c>
      <c r="AE221" s="8">
        <f t="shared" si="395"/>
        <v>5</v>
      </c>
      <c r="AF221" s="8">
        <f t="shared" si="395"/>
        <v>5</v>
      </c>
      <c r="AG221" s="8">
        <v>2</v>
      </c>
      <c r="AH221" s="8" t="str">
        <f t="shared" si="395"/>
        <v/>
      </c>
      <c r="AI221" s="8" t="str">
        <f t="shared" si="395"/>
        <v/>
      </c>
      <c r="AJ221" s="8" t="str">
        <f t="shared" si="395"/>
        <v/>
      </c>
      <c r="AK221" s="8" t="str">
        <f t="shared" si="395"/>
        <v/>
      </c>
      <c r="AL221" s="8" t="str">
        <f t="shared" si="395"/>
        <v/>
      </c>
      <c r="AM221" s="8" t="str">
        <f t="shared" si="395"/>
        <v/>
      </c>
      <c r="AN221" s="8" t="str">
        <f t="shared" si="395"/>
        <v/>
      </c>
      <c r="AO221" s="8" t="str">
        <f t="shared" ref="AO221:AS221" si="396">IF(AO219="","",(AN221+AN222))</f>
        <v/>
      </c>
      <c r="AP221" s="8" t="str">
        <f t="shared" si="396"/>
        <v/>
      </c>
      <c r="AQ221" s="8" t="str">
        <f t="shared" si="396"/>
        <v/>
      </c>
      <c r="AR221" s="8" t="str">
        <f t="shared" si="396"/>
        <v/>
      </c>
      <c r="AS221" s="8" t="str">
        <f t="shared" si="396"/>
        <v/>
      </c>
    </row>
    <row r="222" spans="1:45">
      <c r="A222" s="14"/>
      <c r="B222" s="9" t="s">
        <v>7</v>
      </c>
      <c r="C222" s="74"/>
      <c r="D222" s="8"/>
      <c r="E222" s="8"/>
      <c r="F222" s="8"/>
      <c r="G222" s="59"/>
      <c r="H222" s="8"/>
      <c r="I222" s="8"/>
      <c r="J222" s="59"/>
      <c r="K222" s="8"/>
      <c r="L222" s="8"/>
      <c r="M222" s="59"/>
      <c r="N222" s="8"/>
      <c r="O222" s="8"/>
      <c r="P222" s="8">
        <v>2</v>
      </c>
      <c r="Q222" s="59"/>
      <c r="R222" s="8"/>
      <c r="S222" s="8">
        <v>2</v>
      </c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>
        <v>2</v>
      </c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</row>
    <row r="223" spans="1:45">
      <c r="A223" s="7"/>
      <c r="B223" s="9" t="s">
        <v>8</v>
      </c>
      <c r="C223" s="74">
        <v>500</v>
      </c>
      <c r="D223" s="8">
        <f t="shared" ref="D223:AN223" si="397">IF(D219="","",C223)</f>
        <v>500</v>
      </c>
      <c r="E223" s="8">
        <f t="shared" si="397"/>
        <v>500</v>
      </c>
      <c r="F223" s="8">
        <f t="shared" si="397"/>
        <v>500</v>
      </c>
      <c r="G223" s="59">
        <f t="shared" si="397"/>
        <v>500</v>
      </c>
      <c r="H223" s="8">
        <f t="shared" si="397"/>
        <v>500</v>
      </c>
      <c r="I223" s="8">
        <f t="shared" si="397"/>
        <v>500</v>
      </c>
      <c r="J223" s="59">
        <f t="shared" si="397"/>
        <v>500</v>
      </c>
      <c r="K223" s="8">
        <f t="shared" si="397"/>
        <v>500</v>
      </c>
      <c r="L223" s="8">
        <f t="shared" si="397"/>
        <v>500</v>
      </c>
      <c r="M223" s="59">
        <f t="shared" si="397"/>
        <v>500</v>
      </c>
      <c r="N223" s="8">
        <f t="shared" si="397"/>
        <v>500</v>
      </c>
      <c r="O223" s="8">
        <f t="shared" si="397"/>
        <v>500</v>
      </c>
      <c r="P223" s="8">
        <f t="shared" si="397"/>
        <v>500</v>
      </c>
      <c r="Q223" s="59">
        <f t="shared" si="397"/>
        <v>500</v>
      </c>
      <c r="R223" s="8">
        <f t="shared" si="397"/>
        <v>500</v>
      </c>
      <c r="S223" s="8">
        <f t="shared" si="397"/>
        <v>500</v>
      </c>
      <c r="T223" s="8">
        <f t="shared" si="397"/>
        <v>500</v>
      </c>
      <c r="U223" s="8">
        <f t="shared" si="397"/>
        <v>500</v>
      </c>
      <c r="V223" s="8">
        <f t="shared" si="397"/>
        <v>500</v>
      </c>
      <c r="W223" s="8">
        <f t="shared" si="397"/>
        <v>500</v>
      </c>
      <c r="X223" s="8">
        <f t="shared" si="397"/>
        <v>500</v>
      </c>
      <c r="Y223" s="8">
        <f t="shared" si="397"/>
        <v>500</v>
      </c>
      <c r="Z223" s="8">
        <f t="shared" si="397"/>
        <v>500</v>
      </c>
      <c r="AA223" s="8">
        <f t="shared" si="397"/>
        <v>500</v>
      </c>
      <c r="AB223" s="8">
        <f t="shared" si="397"/>
        <v>500</v>
      </c>
      <c r="AC223" s="8">
        <f t="shared" si="397"/>
        <v>500</v>
      </c>
      <c r="AD223" s="8">
        <f t="shared" si="397"/>
        <v>500</v>
      </c>
      <c r="AE223" s="8">
        <f t="shared" si="397"/>
        <v>500</v>
      </c>
      <c r="AF223" s="8">
        <f t="shared" si="397"/>
        <v>500</v>
      </c>
      <c r="AG223" s="8">
        <f t="shared" si="397"/>
        <v>500</v>
      </c>
      <c r="AH223" s="8" t="str">
        <f t="shared" si="397"/>
        <v/>
      </c>
      <c r="AI223" s="8" t="str">
        <f t="shared" si="397"/>
        <v/>
      </c>
      <c r="AJ223" s="8" t="str">
        <f t="shared" si="397"/>
        <v/>
      </c>
      <c r="AK223" s="8" t="str">
        <f t="shared" si="397"/>
        <v/>
      </c>
      <c r="AL223" s="8" t="str">
        <f t="shared" si="397"/>
        <v/>
      </c>
      <c r="AM223" s="8" t="str">
        <f t="shared" si="397"/>
        <v/>
      </c>
      <c r="AN223" s="8" t="str">
        <f t="shared" si="397"/>
        <v/>
      </c>
      <c r="AO223" s="8" t="str">
        <f t="shared" ref="AO223:AS223" si="398">IF(AO219="","",AN223)</f>
        <v/>
      </c>
      <c r="AP223" s="8" t="str">
        <f t="shared" si="398"/>
        <v/>
      </c>
      <c r="AQ223" s="8" t="str">
        <f t="shared" si="398"/>
        <v/>
      </c>
      <c r="AR223" s="8" t="str">
        <f t="shared" si="398"/>
        <v/>
      </c>
      <c r="AS223" s="8" t="str">
        <f t="shared" si="398"/>
        <v/>
      </c>
    </row>
    <row r="224" spans="1:45" s="94" customFormat="1">
      <c r="A224" s="14" t="s">
        <v>9</v>
      </c>
      <c r="B224" s="13" t="s">
        <v>10</v>
      </c>
      <c r="C224" s="75" t="s">
        <v>40</v>
      </c>
      <c r="D224" s="12" t="str">
        <f t="shared" ref="D224:AN224" si="399">IF(D219="","",C224)</f>
        <v>ゲームアーク</v>
      </c>
      <c r="E224" s="12" t="str">
        <f t="shared" si="399"/>
        <v>ゲームアーク</v>
      </c>
      <c r="F224" s="12" t="str">
        <f t="shared" si="399"/>
        <v>ゲームアーク</v>
      </c>
      <c r="G224" s="131" t="str">
        <f t="shared" si="399"/>
        <v>ゲームアーク</v>
      </c>
      <c r="H224" s="12" t="str">
        <f t="shared" si="399"/>
        <v>ゲームアーク</v>
      </c>
      <c r="I224" s="12" t="str">
        <f t="shared" si="399"/>
        <v>ゲームアーク</v>
      </c>
      <c r="J224" s="131" t="str">
        <f t="shared" si="399"/>
        <v>ゲームアーク</v>
      </c>
      <c r="K224" s="12" t="str">
        <f t="shared" si="399"/>
        <v>ゲームアーク</v>
      </c>
      <c r="L224" s="12" t="str">
        <f t="shared" si="399"/>
        <v>ゲームアーク</v>
      </c>
      <c r="M224" s="131" t="str">
        <f t="shared" si="399"/>
        <v>ゲームアーク</v>
      </c>
      <c r="N224" s="12" t="str">
        <f t="shared" si="399"/>
        <v>ゲームアーク</v>
      </c>
      <c r="O224" s="12" t="str">
        <f t="shared" si="399"/>
        <v>ゲームアーク</v>
      </c>
      <c r="P224" s="12" t="str">
        <f t="shared" si="399"/>
        <v>ゲームアーク</v>
      </c>
      <c r="Q224" s="131" t="str">
        <f t="shared" si="399"/>
        <v>ゲームアーク</v>
      </c>
      <c r="R224" s="12" t="str">
        <f t="shared" si="399"/>
        <v>ゲームアーク</v>
      </c>
      <c r="S224" s="12" t="str">
        <f t="shared" si="399"/>
        <v>ゲームアーク</v>
      </c>
      <c r="T224" s="12" t="str">
        <f t="shared" si="399"/>
        <v>ゲームアーク</v>
      </c>
      <c r="U224" s="12" t="str">
        <f t="shared" si="399"/>
        <v>ゲームアーク</v>
      </c>
      <c r="V224" s="12" t="str">
        <f t="shared" si="399"/>
        <v>ゲームアーク</v>
      </c>
      <c r="W224" s="12" t="str">
        <f t="shared" si="399"/>
        <v>ゲームアーク</v>
      </c>
      <c r="X224" s="12" t="str">
        <f t="shared" si="399"/>
        <v>ゲームアーク</v>
      </c>
      <c r="Y224" s="12" t="str">
        <f t="shared" si="399"/>
        <v>ゲームアーク</v>
      </c>
      <c r="Z224" s="12" t="str">
        <f t="shared" si="399"/>
        <v>ゲームアーク</v>
      </c>
      <c r="AA224" s="12" t="str">
        <f t="shared" si="399"/>
        <v>ゲームアーク</v>
      </c>
      <c r="AB224" s="12" t="str">
        <f t="shared" si="399"/>
        <v>ゲームアーク</v>
      </c>
      <c r="AC224" s="12" t="str">
        <f t="shared" si="399"/>
        <v>ゲームアーク</v>
      </c>
      <c r="AD224" s="12" t="str">
        <f t="shared" si="399"/>
        <v>ゲームアーク</v>
      </c>
      <c r="AE224" s="12" t="str">
        <f t="shared" si="399"/>
        <v>ゲームアーク</v>
      </c>
      <c r="AF224" s="12" t="str">
        <f t="shared" si="399"/>
        <v>ゲームアーク</v>
      </c>
      <c r="AG224" s="12" t="str">
        <f t="shared" si="399"/>
        <v>ゲームアーク</v>
      </c>
      <c r="AH224" s="12" t="str">
        <f t="shared" si="399"/>
        <v/>
      </c>
      <c r="AI224" s="12" t="str">
        <f t="shared" si="399"/>
        <v/>
      </c>
      <c r="AJ224" s="12" t="str">
        <f t="shared" si="399"/>
        <v/>
      </c>
      <c r="AK224" s="12" t="str">
        <f t="shared" si="399"/>
        <v/>
      </c>
      <c r="AL224" s="12" t="str">
        <f t="shared" si="399"/>
        <v/>
      </c>
      <c r="AM224" s="12" t="str">
        <f t="shared" si="399"/>
        <v/>
      </c>
      <c r="AN224" s="12" t="str">
        <f t="shared" si="399"/>
        <v/>
      </c>
      <c r="AO224" s="12" t="str">
        <f t="shared" ref="AO224:AS224" si="400">IF(AO219="","",AN224)</f>
        <v/>
      </c>
      <c r="AP224" s="12" t="str">
        <f t="shared" si="400"/>
        <v/>
      </c>
      <c r="AQ224" s="12" t="str">
        <f t="shared" si="400"/>
        <v/>
      </c>
      <c r="AR224" s="12" t="str">
        <f t="shared" si="400"/>
        <v/>
      </c>
      <c r="AS224" s="12" t="str">
        <f t="shared" si="400"/>
        <v/>
      </c>
    </row>
    <row r="225" spans="1:45">
      <c r="A225" s="7">
        <f>AVERAGE(C226:AS226)*30*100</f>
        <v>42193.548387096773</v>
      </c>
      <c r="B225" s="9" t="s">
        <v>14</v>
      </c>
      <c r="C225" s="74"/>
      <c r="D225" s="8"/>
      <c r="E225" s="8"/>
      <c r="F225" s="8"/>
      <c r="G225" s="59"/>
      <c r="H225" s="8"/>
      <c r="I225" s="8"/>
      <c r="J225" s="59"/>
      <c r="K225" s="8"/>
      <c r="L225" s="8"/>
      <c r="M225" s="59"/>
      <c r="N225" s="8"/>
      <c r="O225" s="8"/>
      <c r="P225" s="8"/>
      <c r="Q225" s="59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</row>
    <row r="226" spans="1:45">
      <c r="A226" s="7">
        <f>SUM(C226:AS226)</f>
        <v>436</v>
      </c>
      <c r="B226" s="6" t="s">
        <v>15</v>
      </c>
      <c r="C226" s="74">
        <v>0</v>
      </c>
      <c r="D226" s="5">
        <f t="shared" ref="D226:AN226" si="401">IF(D219="","",D219-C219)</f>
        <v>0</v>
      </c>
      <c r="E226" s="5">
        <f t="shared" si="401"/>
        <v>0</v>
      </c>
      <c r="F226" s="5">
        <f t="shared" si="401"/>
        <v>116</v>
      </c>
      <c r="G226" s="59">
        <f t="shared" si="401"/>
        <v>0</v>
      </c>
      <c r="H226" s="5">
        <f t="shared" si="401"/>
        <v>0</v>
      </c>
      <c r="I226" s="5">
        <f t="shared" si="401"/>
        <v>15</v>
      </c>
      <c r="J226" s="59">
        <f t="shared" si="401"/>
        <v>0</v>
      </c>
      <c r="K226" s="5">
        <f t="shared" si="401"/>
        <v>0</v>
      </c>
      <c r="L226" s="5">
        <f t="shared" si="401"/>
        <v>65</v>
      </c>
      <c r="M226" s="59">
        <f t="shared" si="401"/>
        <v>0</v>
      </c>
      <c r="N226" s="5">
        <f t="shared" si="401"/>
        <v>0</v>
      </c>
      <c r="O226" s="5">
        <f t="shared" si="401"/>
        <v>0</v>
      </c>
      <c r="P226" s="5">
        <f t="shared" si="401"/>
        <v>22</v>
      </c>
      <c r="Q226" s="59">
        <f t="shared" si="401"/>
        <v>0</v>
      </c>
      <c r="R226" s="5">
        <f t="shared" si="401"/>
        <v>0</v>
      </c>
      <c r="S226" s="5">
        <f t="shared" si="401"/>
        <v>102</v>
      </c>
      <c r="T226" s="5">
        <f t="shared" si="401"/>
        <v>0</v>
      </c>
      <c r="U226" s="5">
        <f t="shared" si="401"/>
        <v>0</v>
      </c>
      <c r="V226" s="5">
        <f t="shared" si="401"/>
        <v>0</v>
      </c>
      <c r="W226" s="5">
        <f t="shared" si="401"/>
        <v>11</v>
      </c>
      <c r="X226" s="5">
        <f t="shared" si="401"/>
        <v>0</v>
      </c>
      <c r="Y226" s="5">
        <f t="shared" si="401"/>
        <v>0</v>
      </c>
      <c r="Z226" s="5">
        <f t="shared" si="401"/>
        <v>64</v>
      </c>
      <c r="AA226" s="5">
        <f t="shared" si="401"/>
        <v>0</v>
      </c>
      <c r="AB226" s="5">
        <f t="shared" si="401"/>
        <v>0</v>
      </c>
      <c r="AC226" s="5">
        <f t="shared" si="401"/>
        <v>0</v>
      </c>
      <c r="AD226" s="5">
        <f t="shared" si="401"/>
        <v>17</v>
      </c>
      <c r="AE226" s="5">
        <f t="shared" si="401"/>
        <v>0</v>
      </c>
      <c r="AF226" s="5">
        <f t="shared" si="401"/>
        <v>0</v>
      </c>
      <c r="AG226" s="5">
        <f t="shared" si="401"/>
        <v>24</v>
      </c>
      <c r="AH226" s="5" t="str">
        <f t="shared" si="401"/>
        <v/>
      </c>
      <c r="AI226" s="5" t="str">
        <f t="shared" si="401"/>
        <v/>
      </c>
      <c r="AJ226" s="5" t="str">
        <f t="shared" si="401"/>
        <v/>
      </c>
      <c r="AK226" s="5" t="str">
        <f t="shared" si="401"/>
        <v/>
      </c>
      <c r="AL226" s="5" t="str">
        <f t="shared" si="401"/>
        <v/>
      </c>
      <c r="AM226" s="5" t="str">
        <f t="shared" si="401"/>
        <v/>
      </c>
      <c r="AN226" s="5" t="str">
        <f t="shared" si="401"/>
        <v/>
      </c>
      <c r="AO226" s="5" t="str">
        <f t="shared" ref="AO226:AS226" si="402">IF(AO219="","",AO219-AN219)</f>
        <v/>
      </c>
      <c r="AP226" s="5" t="str">
        <f t="shared" si="402"/>
        <v/>
      </c>
      <c r="AQ226" s="5" t="str">
        <f t="shared" si="402"/>
        <v/>
      </c>
      <c r="AR226" s="5" t="str">
        <f t="shared" si="402"/>
        <v/>
      </c>
      <c r="AS226" s="5" t="str">
        <f t="shared" si="402"/>
        <v/>
      </c>
    </row>
    <row r="227" spans="1:45">
      <c r="A227" s="7">
        <f>SUM(C227:AS227)</f>
        <v>7</v>
      </c>
      <c r="B227" s="6" t="s">
        <v>16</v>
      </c>
      <c r="C227" s="74">
        <v>0</v>
      </c>
      <c r="D227" s="5">
        <f t="shared" ref="D227:AN227" si="403">IF(D220="","",D220-C220)</f>
        <v>0</v>
      </c>
      <c r="E227" s="5">
        <f t="shared" si="403"/>
        <v>0</v>
      </c>
      <c r="F227" s="5">
        <f t="shared" si="403"/>
        <v>1</v>
      </c>
      <c r="G227" s="59">
        <f t="shared" si="403"/>
        <v>0</v>
      </c>
      <c r="H227" s="5">
        <f t="shared" si="403"/>
        <v>0</v>
      </c>
      <c r="I227" s="5">
        <f t="shared" si="403"/>
        <v>0</v>
      </c>
      <c r="J227" s="59">
        <f t="shared" si="403"/>
        <v>0</v>
      </c>
      <c r="K227" s="5">
        <f t="shared" si="403"/>
        <v>0</v>
      </c>
      <c r="L227" s="5">
        <f t="shared" si="403"/>
        <v>0</v>
      </c>
      <c r="M227" s="59">
        <f t="shared" si="403"/>
        <v>0</v>
      </c>
      <c r="N227" s="5">
        <f t="shared" si="403"/>
        <v>0</v>
      </c>
      <c r="O227" s="5">
        <f t="shared" si="403"/>
        <v>0</v>
      </c>
      <c r="P227" s="5">
        <f t="shared" si="403"/>
        <v>1</v>
      </c>
      <c r="Q227" s="59">
        <f t="shared" si="403"/>
        <v>0</v>
      </c>
      <c r="R227" s="5">
        <f t="shared" si="403"/>
        <v>0</v>
      </c>
      <c r="S227" s="5">
        <f t="shared" si="403"/>
        <v>2</v>
      </c>
      <c r="T227" s="5">
        <f t="shared" si="403"/>
        <v>0</v>
      </c>
      <c r="U227" s="5">
        <f t="shared" si="403"/>
        <v>0</v>
      </c>
      <c r="V227" s="5">
        <f t="shared" si="403"/>
        <v>0</v>
      </c>
      <c r="W227" s="5">
        <f t="shared" si="403"/>
        <v>0</v>
      </c>
      <c r="X227" s="5">
        <f t="shared" si="403"/>
        <v>0</v>
      </c>
      <c r="Y227" s="5">
        <f t="shared" si="403"/>
        <v>0</v>
      </c>
      <c r="Z227" s="5">
        <f t="shared" si="403"/>
        <v>1</v>
      </c>
      <c r="AA227" s="5">
        <f t="shared" si="403"/>
        <v>0</v>
      </c>
      <c r="AB227" s="5">
        <f t="shared" si="403"/>
        <v>0</v>
      </c>
      <c r="AC227" s="5">
        <f t="shared" si="403"/>
        <v>0</v>
      </c>
      <c r="AD227" s="5">
        <f t="shared" si="403"/>
        <v>0</v>
      </c>
      <c r="AE227" s="5">
        <f t="shared" si="403"/>
        <v>0</v>
      </c>
      <c r="AF227" s="5">
        <f t="shared" si="403"/>
        <v>0</v>
      </c>
      <c r="AG227" s="5">
        <f t="shared" si="403"/>
        <v>2</v>
      </c>
      <c r="AH227" s="5" t="str">
        <f t="shared" si="403"/>
        <v/>
      </c>
      <c r="AI227" s="5" t="str">
        <f t="shared" si="403"/>
        <v/>
      </c>
      <c r="AJ227" s="5" t="str">
        <f t="shared" si="403"/>
        <v/>
      </c>
      <c r="AK227" s="5" t="str">
        <f t="shared" si="403"/>
        <v/>
      </c>
      <c r="AL227" s="5" t="str">
        <f t="shared" si="403"/>
        <v/>
      </c>
      <c r="AM227" s="5" t="str">
        <f t="shared" si="403"/>
        <v/>
      </c>
      <c r="AN227" s="5" t="str">
        <f t="shared" si="403"/>
        <v/>
      </c>
      <c r="AO227" s="5" t="str">
        <f t="shared" ref="AO227:AS227" si="404">IF(AO220="","",AO220-AN220)</f>
        <v/>
      </c>
      <c r="AP227" s="5" t="str">
        <f t="shared" si="404"/>
        <v/>
      </c>
      <c r="AQ227" s="5" t="str">
        <f t="shared" si="404"/>
        <v/>
      </c>
      <c r="AR227" s="5" t="str">
        <f t="shared" si="404"/>
        <v/>
      </c>
      <c r="AS227" s="5" t="str">
        <f t="shared" si="404"/>
        <v/>
      </c>
    </row>
    <row r="228" spans="1:45">
      <c r="A228" s="7">
        <f>SUM(C228:AS228)</f>
        <v>8</v>
      </c>
      <c r="B228" s="6" t="s">
        <v>17</v>
      </c>
      <c r="C228" s="74">
        <v>0</v>
      </c>
      <c r="D228" s="5">
        <f t="shared" ref="D228:AN228" si="405">IF(D221="","",C221+C222-D221)</f>
        <v>0</v>
      </c>
      <c r="E228" s="5">
        <f t="shared" si="405"/>
        <v>0</v>
      </c>
      <c r="F228" s="5">
        <f t="shared" si="405"/>
        <v>2</v>
      </c>
      <c r="G228" s="59">
        <f t="shared" si="405"/>
        <v>0</v>
      </c>
      <c r="H228" s="5">
        <f t="shared" si="405"/>
        <v>0</v>
      </c>
      <c r="I228" s="5">
        <f t="shared" si="405"/>
        <v>0</v>
      </c>
      <c r="J228" s="59">
        <f t="shared" si="405"/>
        <v>0</v>
      </c>
      <c r="K228" s="5">
        <f t="shared" si="405"/>
        <v>0</v>
      </c>
      <c r="L228" s="5">
        <f t="shared" si="405"/>
        <v>0</v>
      </c>
      <c r="M228" s="59">
        <f t="shared" si="405"/>
        <v>0</v>
      </c>
      <c r="N228" s="5">
        <f t="shared" si="405"/>
        <v>0</v>
      </c>
      <c r="O228" s="5">
        <f t="shared" si="405"/>
        <v>0</v>
      </c>
      <c r="P228" s="5">
        <f t="shared" si="405"/>
        <v>1</v>
      </c>
      <c r="Q228" s="59">
        <f t="shared" si="405"/>
        <v>0</v>
      </c>
      <c r="R228" s="5">
        <f t="shared" si="405"/>
        <v>0</v>
      </c>
      <c r="S228" s="5">
        <f t="shared" si="405"/>
        <v>2</v>
      </c>
      <c r="T228" s="5">
        <f t="shared" si="405"/>
        <v>0</v>
      </c>
      <c r="U228" s="5">
        <f t="shared" si="405"/>
        <v>0</v>
      </c>
      <c r="V228" s="5">
        <f t="shared" si="405"/>
        <v>0</v>
      </c>
      <c r="W228" s="5">
        <f t="shared" si="405"/>
        <v>0</v>
      </c>
      <c r="X228" s="5">
        <f t="shared" si="405"/>
        <v>0</v>
      </c>
      <c r="Y228" s="5">
        <f t="shared" si="405"/>
        <v>0</v>
      </c>
      <c r="Z228" s="5">
        <f t="shared" si="405"/>
        <v>0</v>
      </c>
      <c r="AA228" s="5">
        <f t="shared" si="405"/>
        <v>0</v>
      </c>
      <c r="AB228" s="5">
        <f t="shared" si="405"/>
        <v>0</v>
      </c>
      <c r="AC228" s="5">
        <f t="shared" si="405"/>
        <v>0</v>
      </c>
      <c r="AD228" s="5">
        <f t="shared" si="405"/>
        <v>0</v>
      </c>
      <c r="AE228" s="5">
        <f t="shared" si="405"/>
        <v>0</v>
      </c>
      <c r="AF228" s="5">
        <f t="shared" si="405"/>
        <v>0</v>
      </c>
      <c r="AG228" s="5">
        <f t="shared" si="405"/>
        <v>3</v>
      </c>
      <c r="AH228" s="5" t="str">
        <f t="shared" si="405"/>
        <v/>
      </c>
      <c r="AI228" s="5" t="str">
        <f t="shared" si="405"/>
        <v/>
      </c>
      <c r="AJ228" s="5" t="str">
        <f t="shared" si="405"/>
        <v/>
      </c>
      <c r="AK228" s="5" t="str">
        <f t="shared" si="405"/>
        <v/>
      </c>
      <c r="AL228" s="5" t="str">
        <f t="shared" si="405"/>
        <v/>
      </c>
      <c r="AM228" s="5" t="str">
        <f t="shared" si="405"/>
        <v/>
      </c>
      <c r="AN228" s="5" t="str">
        <f t="shared" si="405"/>
        <v/>
      </c>
      <c r="AO228" s="5" t="str">
        <f t="shared" ref="AO228:AS228" si="406">IF(AO221="","",AN221+AN222-AO221)</f>
        <v/>
      </c>
      <c r="AP228" s="5" t="str">
        <f t="shared" si="406"/>
        <v/>
      </c>
      <c r="AQ228" s="5" t="str">
        <f t="shared" si="406"/>
        <v/>
      </c>
      <c r="AR228" s="5" t="str">
        <f t="shared" si="406"/>
        <v/>
      </c>
      <c r="AS228" s="5" t="str">
        <f t="shared" si="406"/>
        <v/>
      </c>
    </row>
    <row r="229" spans="1:45">
      <c r="A229" s="7">
        <f>SUM(C229:AS229)</f>
        <v>4000</v>
      </c>
      <c r="B229" s="6" t="s">
        <v>18</v>
      </c>
      <c r="C229" s="74">
        <v>0</v>
      </c>
      <c r="D229" s="5">
        <f t="shared" ref="D229:AN229" si="407">IF(D219="","",D228*D223)</f>
        <v>0</v>
      </c>
      <c r="E229" s="5">
        <f t="shared" si="407"/>
        <v>0</v>
      </c>
      <c r="F229" s="5">
        <f t="shared" si="407"/>
        <v>1000</v>
      </c>
      <c r="G229" s="59">
        <f t="shared" si="407"/>
        <v>0</v>
      </c>
      <c r="H229" s="5">
        <f t="shared" si="407"/>
        <v>0</v>
      </c>
      <c r="I229" s="5">
        <f t="shared" si="407"/>
        <v>0</v>
      </c>
      <c r="J229" s="59">
        <f t="shared" si="407"/>
        <v>0</v>
      </c>
      <c r="K229" s="5">
        <f t="shared" si="407"/>
        <v>0</v>
      </c>
      <c r="L229" s="5">
        <f t="shared" si="407"/>
        <v>0</v>
      </c>
      <c r="M229" s="59">
        <f t="shared" si="407"/>
        <v>0</v>
      </c>
      <c r="N229" s="5">
        <f t="shared" si="407"/>
        <v>0</v>
      </c>
      <c r="O229" s="5">
        <f t="shared" si="407"/>
        <v>0</v>
      </c>
      <c r="P229" s="5">
        <f t="shared" si="407"/>
        <v>500</v>
      </c>
      <c r="Q229" s="59">
        <f t="shared" si="407"/>
        <v>0</v>
      </c>
      <c r="R229" s="5">
        <f t="shared" si="407"/>
        <v>0</v>
      </c>
      <c r="S229" s="5">
        <f t="shared" si="407"/>
        <v>1000</v>
      </c>
      <c r="T229" s="5">
        <f t="shared" si="407"/>
        <v>0</v>
      </c>
      <c r="U229" s="5">
        <f t="shared" si="407"/>
        <v>0</v>
      </c>
      <c r="V229" s="5">
        <f t="shared" si="407"/>
        <v>0</v>
      </c>
      <c r="W229" s="5">
        <f t="shared" si="407"/>
        <v>0</v>
      </c>
      <c r="X229" s="5">
        <f t="shared" si="407"/>
        <v>0</v>
      </c>
      <c r="Y229" s="5">
        <f t="shared" si="407"/>
        <v>0</v>
      </c>
      <c r="Z229" s="5">
        <f t="shared" si="407"/>
        <v>0</v>
      </c>
      <c r="AA229" s="5">
        <f t="shared" si="407"/>
        <v>0</v>
      </c>
      <c r="AB229" s="5">
        <f t="shared" si="407"/>
        <v>0</v>
      </c>
      <c r="AC229" s="5">
        <f t="shared" si="407"/>
        <v>0</v>
      </c>
      <c r="AD229" s="5">
        <f t="shared" si="407"/>
        <v>0</v>
      </c>
      <c r="AE229" s="5">
        <f t="shared" si="407"/>
        <v>0</v>
      </c>
      <c r="AF229" s="5">
        <f t="shared" si="407"/>
        <v>0</v>
      </c>
      <c r="AG229" s="5">
        <f t="shared" si="407"/>
        <v>1500</v>
      </c>
      <c r="AH229" s="5" t="str">
        <f t="shared" si="407"/>
        <v/>
      </c>
      <c r="AI229" s="5" t="str">
        <f t="shared" si="407"/>
        <v/>
      </c>
      <c r="AJ229" s="5" t="str">
        <f t="shared" si="407"/>
        <v/>
      </c>
      <c r="AK229" s="5" t="str">
        <f t="shared" si="407"/>
        <v/>
      </c>
      <c r="AL229" s="5" t="str">
        <f t="shared" si="407"/>
        <v/>
      </c>
      <c r="AM229" s="5" t="str">
        <f t="shared" si="407"/>
        <v/>
      </c>
      <c r="AN229" s="5" t="str">
        <f t="shared" si="407"/>
        <v/>
      </c>
      <c r="AO229" s="5" t="str">
        <f t="shared" ref="AO229:AS229" si="408">IF(AO219="","",AO228*AO223)</f>
        <v/>
      </c>
      <c r="AP229" s="5" t="str">
        <f t="shared" si="408"/>
        <v/>
      </c>
      <c r="AQ229" s="5" t="str">
        <f t="shared" si="408"/>
        <v/>
      </c>
      <c r="AR229" s="5" t="str">
        <f t="shared" si="408"/>
        <v/>
      </c>
      <c r="AS229" s="5" t="str">
        <f t="shared" si="408"/>
        <v/>
      </c>
    </row>
    <row r="230" spans="1:45" ht="12" thickBot="1">
      <c r="A230" s="4">
        <f>IF(A229="","",A229/(A226*100))</f>
        <v>9.1743119266055051E-2</v>
      </c>
      <c r="B230" s="3" t="s">
        <v>20</v>
      </c>
      <c r="C230" s="77" t="s">
        <v>21</v>
      </c>
      <c r="D230" s="2" t="str">
        <f t="shared" ref="D230:AN230" si="409">IF(D229="","",IF(D229=0,"",D229/(D226*100)))</f>
        <v/>
      </c>
      <c r="E230" s="2" t="str">
        <f t="shared" si="409"/>
        <v/>
      </c>
      <c r="F230" s="2">
        <f t="shared" si="409"/>
        <v>8.6206896551724144E-2</v>
      </c>
      <c r="G230" s="57" t="str">
        <f t="shared" si="409"/>
        <v/>
      </c>
      <c r="H230" s="2" t="str">
        <f t="shared" si="409"/>
        <v/>
      </c>
      <c r="I230" s="2" t="str">
        <f t="shared" si="409"/>
        <v/>
      </c>
      <c r="J230" s="57" t="str">
        <f t="shared" si="409"/>
        <v/>
      </c>
      <c r="K230" s="2" t="str">
        <f t="shared" si="409"/>
        <v/>
      </c>
      <c r="L230" s="2" t="str">
        <f t="shared" si="409"/>
        <v/>
      </c>
      <c r="M230" s="57" t="str">
        <f t="shared" si="409"/>
        <v/>
      </c>
      <c r="N230" s="2" t="str">
        <f t="shared" si="409"/>
        <v/>
      </c>
      <c r="O230" s="2" t="str">
        <f t="shared" si="409"/>
        <v/>
      </c>
      <c r="P230" s="2">
        <f t="shared" si="409"/>
        <v>0.22727272727272727</v>
      </c>
      <c r="Q230" s="57" t="str">
        <f t="shared" si="409"/>
        <v/>
      </c>
      <c r="R230" s="2" t="str">
        <f t="shared" si="409"/>
        <v/>
      </c>
      <c r="S230" s="2">
        <f t="shared" si="409"/>
        <v>9.8039215686274508E-2</v>
      </c>
      <c r="T230" s="2" t="str">
        <f t="shared" si="409"/>
        <v/>
      </c>
      <c r="U230" s="2" t="str">
        <f t="shared" si="409"/>
        <v/>
      </c>
      <c r="V230" s="2" t="str">
        <f t="shared" si="409"/>
        <v/>
      </c>
      <c r="W230" s="2" t="str">
        <f t="shared" si="409"/>
        <v/>
      </c>
      <c r="X230" s="2" t="str">
        <f t="shared" si="409"/>
        <v/>
      </c>
      <c r="Y230" s="2" t="str">
        <f t="shared" si="409"/>
        <v/>
      </c>
      <c r="Z230" s="2" t="str">
        <f t="shared" si="409"/>
        <v/>
      </c>
      <c r="AA230" s="2" t="str">
        <f t="shared" si="409"/>
        <v/>
      </c>
      <c r="AB230" s="2" t="str">
        <f t="shared" si="409"/>
        <v/>
      </c>
      <c r="AC230" s="2" t="str">
        <f t="shared" si="409"/>
        <v/>
      </c>
      <c r="AD230" s="2" t="str">
        <f t="shared" si="409"/>
        <v/>
      </c>
      <c r="AE230" s="2" t="str">
        <f t="shared" si="409"/>
        <v/>
      </c>
      <c r="AF230" s="2" t="str">
        <f t="shared" si="409"/>
        <v/>
      </c>
      <c r="AG230" s="2">
        <f t="shared" si="409"/>
        <v>0.625</v>
      </c>
      <c r="AH230" s="2" t="str">
        <f t="shared" si="409"/>
        <v/>
      </c>
      <c r="AI230" s="2" t="str">
        <f t="shared" si="409"/>
        <v/>
      </c>
      <c r="AJ230" s="2" t="str">
        <f t="shared" si="409"/>
        <v/>
      </c>
      <c r="AK230" s="2" t="str">
        <f t="shared" si="409"/>
        <v/>
      </c>
      <c r="AL230" s="2" t="str">
        <f t="shared" si="409"/>
        <v/>
      </c>
      <c r="AM230" s="2" t="str">
        <f t="shared" si="409"/>
        <v/>
      </c>
      <c r="AN230" s="2" t="str">
        <f t="shared" si="409"/>
        <v/>
      </c>
      <c r="AO230" s="2" t="str">
        <f t="shared" ref="AO230:AS230" si="410">IF(AO229="","",IF(AO229=0,"",AO229/(AO226*100)))</f>
        <v/>
      </c>
      <c r="AP230" s="2" t="str">
        <f t="shared" si="410"/>
        <v/>
      </c>
      <c r="AQ230" s="2" t="str">
        <f t="shared" si="410"/>
        <v/>
      </c>
      <c r="AR230" s="2" t="str">
        <f t="shared" si="410"/>
        <v/>
      </c>
      <c r="AS230" s="2" t="str">
        <f t="shared" si="410"/>
        <v/>
      </c>
    </row>
    <row r="231" spans="1:45">
      <c r="A231" s="22" t="s">
        <v>78</v>
      </c>
      <c r="B231" s="21" t="s">
        <v>2</v>
      </c>
      <c r="C231" s="73">
        <v>112176</v>
      </c>
      <c r="D231" s="20">
        <f t="shared" ref="D231:E234" si="411">IF(D$3="","",C231)</f>
        <v>112176</v>
      </c>
      <c r="E231" s="20">
        <f t="shared" si="411"/>
        <v>112176</v>
      </c>
      <c r="F231" s="20">
        <v>112426</v>
      </c>
      <c r="G231" s="130">
        <f t="shared" ref="G231:H234" si="412">IF(G$3="","",F231)</f>
        <v>112426</v>
      </c>
      <c r="H231" s="20">
        <f t="shared" si="412"/>
        <v>112426</v>
      </c>
      <c r="I231" s="20">
        <v>112590</v>
      </c>
      <c r="J231" s="130">
        <f t="shared" ref="J231:K234" si="413">IF(J$3="","",I231)</f>
        <v>112590</v>
      </c>
      <c r="K231" s="20">
        <f t="shared" si="413"/>
        <v>112590</v>
      </c>
      <c r="L231" s="20">
        <v>113065</v>
      </c>
      <c r="M231" s="130">
        <f t="shared" ref="M231:O234" si="414">IF(M$3="","",L231)</f>
        <v>113065</v>
      </c>
      <c r="N231" s="20">
        <f t="shared" si="414"/>
        <v>113065</v>
      </c>
      <c r="O231" s="20">
        <f t="shared" si="414"/>
        <v>113065</v>
      </c>
      <c r="P231" s="20">
        <v>113379</v>
      </c>
      <c r="Q231" s="130">
        <f t="shared" ref="Q231:R234" si="415">IF(Q$3="","",P231)</f>
        <v>113379</v>
      </c>
      <c r="R231" s="20">
        <f t="shared" si="415"/>
        <v>113379</v>
      </c>
      <c r="S231" s="20">
        <v>113716</v>
      </c>
      <c r="T231" s="20">
        <f t="shared" ref="T231:AN231" si="416">IF(T$3="","",S231)</f>
        <v>113716</v>
      </c>
      <c r="U231" s="20">
        <f t="shared" si="416"/>
        <v>113716</v>
      </c>
      <c r="V231" s="20">
        <f t="shared" si="416"/>
        <v>113716</v>
      </c>
      <c r="W231" s="20">
        <v>113831</v>
      </c>
      <c r="X231" s="20">
        <f t="shared" si="416"/>
        <v>113831</v>
      </c>
      <c r="Y231" s="20">
        <f t="shared" si="416"/>
        <v>113831</v>
      </c>
      <c r="Z231" s="20">
        <v>114040</v>
      </c>
      <c r="AA231" s="20">
        <f t="shared" si="416"/>
        <v>114040</v>
      </c>
      <c r="AB231" s="20">
        <f t="shared" si="416"/>
        <v>114040</v>
      </c>
      <c r="AC231" s="20">
        <f t="shared" si="416"/>
        <v>114040</v>
      </c>
      <c r="AD231" s="20">
        <v>114156</v>
      </c>
      <c r="AE231" s="20">
        <f t="shared" si="416"/>
        <v>114156</v>
      </c>
      <c r="AF231" s="20">
        <f t="shared" si="416"/>
        <v>114156</v>
      </c>
      <c r="AG231" s="20">
        <v>114215</v>
      </c>
      <c r="AH231" s="20" t="str">
        <f t="shared" si="416"/>
        <v/>
      </c>
      <c r="AI231" s="20" t="str">
        <f t="shared" si="416"/>
        <v/>
      </c>
      <c r="AJ231" s="20" t="str">
        <f t="shared" si="416"/>
        <v/>
      </c>
      <c r="AK231" s="20" t="str">
        <f t="shared" si="416"/>
        <v/>
      </c>
      <c r="AL231" s="20" t="str">
        <f t="shared" si="416"/>
        <v/>
      </c>
      <c r="AM231" s="20" t="str">
        <f t="shared" si="416"/>
        <v/>
      </c>
      <c r="AN231" s="20" t="str">
        <f t="shared" si="416"/>
        <v/>
      </c>
      <c r="AO231" s="20" t="str">
        <f t="shared" ref="AO231:AS231" si="417">IF(AO$3="","",AN231)</f>
        <v/>
      </c>
      <c r="AP231" s="20" t="str">
        <f t="shared" si="417"/>
        <v/>
      </c>
      <c r="AQ231" s="20" t="str">
        <f t="shared" si="417"/>
        <v/>
      </c>
      <c r="AR231" s="20" t="str">
        <f t="shared" si="417"/>
        <v/>
      </c>
      <c r="AS231" s="20" t="str">
        <f t="shared" si="417"/>
        <v/>
      </c>
    </row>
    <row r="232" spans="1:45">
      <c r="A232" s="16" t="s">
        <v>95</v>
      </c>
      <c r="B232" s="9" t="s">
        <v>96</v>
      </c>
      <c r="C232" s="74">
        <v>514</v>
      </c>
      <c r="D232" s="8">
        <f t="shared" si="411"/>
        <v>514</v>
      </c>
      <c r="E232" s="8">
        <f t="shared" si="411"/>
        <v>514</v>
      </c>
      <c r="F232" s="8">
        <f>IF(F$3="","",E232)</f>
        <v>514</v>
      </c>
      <c r="G232" s="59">
        <f t="shared" si="412"/>
        <v>514</v>
      </c>
      <c r="H232" s="8">
        <f t="shared" si="412"/>
        <v>514</v>
      </c>
      <c r="I232" s="8">
        <f>IF(I$3="","",H232)</f>
        <v>514</v>
      </c>
      <c r="J232" s="59">
        <f t="shared" si="413"/>
        <v>514</v>
      </c>
      <c r="K232" s="8">
        <f t="shared" si="413"/>
        <v>514</v>
      </c>
      <c r="L232" s="8">
        <f>IF(L$3="","",K232)</f>
        <v>514</v>
      </c>
      <c r="M232" s="59">
        <f t="shared" si="414"/>
        <v>514</v>
      </c>
      <c r="N232" s="8">
        <f t="shared" si="414"/>
        <v>514</v>
      </c>
      <c r="O232" s="8">
        <f t="shared" si="414"/>
        <v>514</v>
      </c>
      <c r="P232" s="8">
        <f>IF(P$3="","",O232)</f>
        <v>514</v>
      </c>
      <c r="Q232" s="59">
        <f t="shared" si="415"/>
        <v>514</v>
      </c>
      <c r="R232" s="8">
        <f t="shared" si="415"/>
        <v>514</v>
      </c>
      <c r="S232" s="8">
        <f>IF(S$3="","",R232)</f>
        <v>514</v>
      </c>
      <c r="T232" s="8">
        <f t="shared" ref="T232:AN232" si="418">IF(T$3="","",S232)</f>
        <v>514</v>
      </c>
      <c r="U232" s="8">
        <f t="shared" si="418"/>
        <v>514</v>
      </c>
      <c r="V232" s="8">
        <f t="shared" si="418"/>
        <v>514</v>
      </c>
      <c r="W232" s="8">
        <f t="shared" si="418"/>
        <v>514</v>
      </c>
      <c r="X232" s="8">
        <f t="shared" si="418"/>
        <v>514</v>
      </c>
      <c r="Y232" s="8">
        <f t="shared" si="418"/>
        <v>514</v>
      </c>
      <c r="Z232" s="8">
        <f t="shared" si="418"/>
        <v>514</v>
      </c>
      <c r="AA232" s="8">
        <f t="shared" si="418"/>
        <v>514</v>
      </c>
      <c r="AB232" s="8">
        <f t="shared" si="418"/>
        <v>514</v>
      </c>
      <c r="AC232" s="8">
        <f t="shared" si="418"/>
        <v>514</v>
      </c>
      <c r="AD232" s="8">
        <v>521</v>
      </c>
      <c r="AE232" s="8">
        <f t="shared" si="418"/>
        <v>521</v>
      </c>
      <c r="AF232" s="8">
        <f t="shared" si="418"/>
        <v>521</v>
      </c>
      <c r="AG232" s="8">
        <f t="shared" si="418"/>
        <v>521</v>
      </c>
      <c r="AH232" s="8" t="str">
        <f t="shared" si="418"/>
        <v/>
      </c>
      <c r="AI232" s="8" t="str">
        <f t="shared" si="418"/>
        <v/>
      </c>
      <c r="AJ232" s="8" t="str">
        <f t="shared" si="418"/>
        <v/>
      </c>
      <c r="AK232" s="8" t="str">
        <f t="shared" si="418"/>
        <v/>
      </c>
      <c r="AL232" s="8" t="str">
        <f t="shared" si="418"/>
        <v/>
      </c>
      <c r="AM232" s="8" t="str">
        <f t="shared" si="418"/>
        <v/>
      </c>
      <c r="AN232" s="8" t="str">
        <f t="shared" si="418"/>
        <v/>
      </c>
      <c r="AO232" s="8" t="str">
        <f t="shared" ref="AO232:AS232" si="419">IF(AO$3="","",AN232)</f>
        <v/>
      </c>
      <c r="AP232" s="8" t="str">
        <f t="shared" si="419"/>
        <v/>
      </c>
      <c r="AQ232" s="8" t="str">
        <f t="shared" si="419"/>
        <v/>
      </c>
      <c r="AR232" s="8" t="str">
        <f t="shared" si="419"/>
        <v/>
      </c>
      <c r="AS232" s="8" t="str">
        <f t="shared" si="419"/>
        <v/>
      </c>
    </row>
    <row r="233" spans="1:45">
      <c r="A233" s="15">
        <v>1</v>
      </c>
      <c r="B233" s="9" t="s">
        <v>97</v>
      </c>
      <c r="C233" s="74">
        <v>969</v>
      </c>
      <c r="D233" s="8">
        <f t="shared" si="411"/>
        <v>969</v>
      </c>
      <c r="E233" s="8">
        <f t="shared" si="411"/>
        <v>969</v>
      </c>
      <c r="F233" s="8">
        <f>IF(F$3="","",E233)</f>
        <v>969</v>
      </c>
      <c r="G233" s="59">
        <f t="shared" si="412"/>
        <v>969</v>
      </c>
      <c r="H233" s="8">
        <f t="shared" si="412"/>
        <v>969</v>
      </c>
      <c r="I233" s="8">
        <v>970</v>
      </c>
      <c r="J233" s="59">
        <f t="shared" si="413"/>
        <v>970</v>
      </c>
      <c r="K233" s="8">
        <f t="shared" si="413"/>
        <v>970</v>
      </c>
      <c r="L233" s="8">
        <f>IF(L$3="","",K233)</f>
        <v>970</v>
      </c>
      <c r="M233" s="59">
        <f t="shared" si="414"/>
        <v>970</v>
      </c>
      <c r="N233" s="8">
        <f t="shared" si="414"/>
        <v>970</v>
      </c>
      <c r="O233" s="8">
        <f t="shared" si="414"/>
        <v>970</v>
      </c>
      <c r="P233" s="8">
        <f>IF(P$3="","",O233)</f>
        <v>970</v>
      </c>
      <c r="Q233" s="59">
        <f t="shared" si="415"/>
        <v>970</v>
      </c>
      <c r="R233" s="8">
        <f t="shared" si="415"/>
        <v>970</v>
      </c>
      <c r="S233" s="8">
        <f>IF(S$3="","",R233)</f>
        <v>970</v>
      </c>
      <c r="T233" s="8">
        <f t="shared" ref="T233:AN233" si="420">IF(T$3="","",S233)</f>
        <v>970</v>
      </c>
      <c r="U233" s="8">
        <f t="shared" si="420"/>
        <v>970</v>
      </c>
      <c r="V233" s="8">
        <f t="shared" si="420"/>
        <v>970</v>
      </c>
      <c r="W233" s="8">
        <f t="shared" si="420"/>
        <v>970</v>
      </c>
      <c r="X233" s="8">
        <f t="shared" si="420"/>
        <v>970</v>
      </c>
      <c r="Y233" s="8">
        <f t="shared" si="420"/>
        <v>970</v>
      </c>
      <c r="Z233" s="8">
        <v>971</v>
      </c>
      <c r="AA233" s="8">
        <f t="shared" si="420"/>
        <v>971</v>
      </c>
      <c r="AB233" s="8">
        <f t="shared" si="420"/>
        <v>971</v>
      </c>
      <c r="AC233" s="8">
        <f t="shared" si="420"/>
        <v>971</v>
      </c>
      <c r="AD233" s="8">
        <f t="shared" si="420"/>
        <v>971</v>
      </c>
      <c r="AE233" s="8">
        <f t="shared" si="420"/>
        <v>971</v>
      </c>
      <c r="AF233" s="8">
        <f t="shared" si="420"/>
        <v>971</v>
      </c>
      <c r="AG233" s="8">
        <f t="shared" si="420"/>
        <v>971</v>
      </c>
      <c r="AH233" s="8" t="str">
        <f t="shared" si="420"/>
        <v/>
      </c>
      <c r="AI233" s="8" t="str">
        <f t="shared" si="420"/>
        <v/>
      </c>
      <c r="AJ233" s="8" t="str">
        <f t="shared" si="420"/>
        <v/>
      </c>
      <c r="AK233" s="8" t="str">
        <f t="shared" si="420"/>
        <v/>
      </c>
      <c r="AL233" s="8" t="str">
        <f t="shared" si="420"/>
        <v/>
      </c>
      <c r="AM233" s="8" t="str">
        <f t="shared" si="420"/>
        <v/>
      </c>
      <c r="AN233" s="8" t="str">
        <f t="shared" si="420"/>
        <v/>
      </c>
      <c r="AO233" s="8" t="str">
        <f t="shared" ref="AO233:AS233" si="421">IF(AO$3="","",AN233)</f>
        <v/>
      </c>
      <c r="AP233" s="8" t="str">
        <f t="shared" si="421"/>
        <v/>
      </c>
      <c r="AQ233" s="8" t="str">
        <f t="shared" si="421"/>
        <v/>
      </c>
      <c r="AR233" s="8" t="str">
        <f t="shared" si="421"/>
        <v/>
      </c>
      <c r="AS233" s="8" t="str">
        <f t="shared" si="421"/>
        <v/>
      </c>
    </row>
    <row r="234" spans="1:45">
      <c r="A234" s="14"/>
      <c r="B234" s="9" t="s">
        <v>98</v>
      </c>
      <c r="C234" s="74">
        <v>1834</v>
      </c>
      <c r="D234" s="8">
        <f t="shared" si="411"/>
        <v>1834</v>
      </c>
      <c r="E234" s="8">
        <f t="shared" si="411"/>
        <v>1834</v>
      </c>
      <c r="F234" s="8">
        <f>IF(F$3="","",E234)</f>
        <v>1834</v>
      </c>
      <c r="G234" s="59">
        <f t="shared" si="412"/>
        <v>1834</v>
      </c>
      <c r="H234" s="8">
        <f t="shared" si="412"/>
        <v>1834</v>
      </c>
      <c r="I234" s="8">
        <f>IF(I$3="","",H234)</f>
        <v>1834</v>
      </c>
      <c r="J234" s="59">
        <f t="shared" si="413"/>
        <v>1834</v>
      </c>
      <c r="K234" s="8">
        <f t="shared" si="413"/>
        <v>1834</v>
      </c>
      <c r="L234" s="8">
        <f>IF(L$3="","",K234)</f>
        <v>1834</v>
      </c>
      <c r="M234" s="59">
        <f t="shared" si="414"/>
        <v>1834</v>
      </c>
      <c r="N234" s="8">
        <f t="shared" si="414"/>
        <v>1834</v>
      </c>
      <c r="O234" s="8">
        <f t="shared" si="414"/>
        <v>1834</v>
      </c>
      <c r="P234" s="8">
        <f>IF(P$3="","",O234)</f>
        <v>1834</v>
      </c>
      <c r="Q234" s="59">
        <f t="shared" si="415"/>
        <v>1834</v>
      </c>
      <c r="R234" s="8">
        <f t="shared" si="415"/>
        <v>1834</v>
      </c>
      <c r="S234" s="8">
        <f>IF(S$3="","",R234)</f>
        <v>1834</v>
      </c>
      <c r="T234" s="8">
        <f t="shared" ref="T234:AN234" si="422">IF(T$3="","",S234)</f>
        <v>1834</v>
      </c>
      <c r="U234" s="8">
        <f t="shared" si="422"/>
        <v>1834</v>
      </c>
      <c r="V234" s="8">
        <f t="shared" si="422"/>
        <v>1834</v>
      </c>
      <c r="W234" s="8">
        <v>1835</v>
      </c>
      <c r="X234" s="8">
        <f t="shared" si="422"/>
        <v>1835</v>
      </c>
      <c r="Y234" s="8">
        <f t="shared" si="422"/>
        <v>1835</v>
      </c>
      <c r="Z234" s="8">
        <f t="shared" si="422"/>
        <v>1835</v>
      </c>
      <c r="AA234" s="8">
        <f t="shared" si="422"/>
        <v>1835</v>
      </c>
      <c r="AB234" s="8">
        <f t="shared" si="422"/>
        <v>1835</v>
      </c>
      <c r="AC234" s="8">
        <f t="shared" si="422"/>
        <v>1835</v>
      </c>
      <c r="AD234" s="8">
        <f t="shared" si="422"/>
        <v>1835</v>
      </c>
      <c r="AE234" s="8">
        <f t="shared" si="422"/>
        <v>1835</v>
      </c>
      <c r="AF234" s="8">
        <f t="shared" si="422"/>
        <v>1835</v>
      </c>
      <c r="AG234" s="8">
        <f t="shared" si="422"/>
        <v>1835</v>
      </c>
      <c r="AH234" s="8" t="str">
        <f t="shared" si="422"/>
        <v/>
      </c>
      <c r="AI234" s="8" t="str">
        <f t="shared" si="422"/>
        <v/>
      </c>
      <c r="AJ234" s="8" t="str">
        <f t="shared" si="422"/>
        <v/>
      </c>
      <c r="AK234" s="8" t="str">
        <f t="shared" si="422"/>
        <v/>
      </c>
      <c r="AL234" s="8" t="str">
        <f t="shared" si="422"/>
        <v/>
      </c>
      <c r="AM234" s="8" t="str">
        <f t="shared" si="422"/>
        <v/>
      </c>
      <c r="AN234" s="8" t="str">
        <f t="shared" si="422"/>
        <v/>
      </c>
      <c r="AO234" s="8" t="str">
        <f t="shared" ref="AO234:AS234" si="423">IF(AO$3="","",AN234)</f>
        <v/>
      </c>
      <c r="AP234" s="8" t="str">
        <f t="shared" si="423"/>
        <v/>
      </c>
      <c r="AQ234" s="8" t="str">
        <f t="shared" si="423"/>
        <v/>
      </c>
      <c r="AR234" s="8" t="str">
        <f t="shared" si="423"/>
        <v/>
      </c>
      <c r="AS234" s="8" t="str">
        <f t="shared" si="423"/>
        <v/>
      </c>
    </row>
    <row r="235" spans="1:45">
      <c r="A235" s="7"/>
      <c r="B235" s="9" t="s">
        <v>8</v>
      </c>
      <c r="C235" s="74">
        <v>1100</v>
      </c>
      <c r="D235" s="8">
        <f t="shared" ref="D235:AN235" si="424">IF(D231="","",C235)</f>
        <v>1100</v>
      </c>
      <c r="E235" s="8">
        <f t="shared" si="424"/>
        <v>1100</v>
      </c>
      <c r="F235" s="8">
        <f t="shared" si="424"/>
        <v>1100</v>
      </c>
      <c r="G235" s="59">
        <f t="shared" si="424"/>
        <v>1100</v>
      </c>
      <c r="H235" s="8">
        <f t="shared" si="424"/>
        <v>1100</v>
      </c>
      <c r="I235" s="8">
        <f t="shared" si="424"/>
        <v>1100</v>
      </c>
      <c r="J235" s="59">
        <f t="shared" si="424"/>
        <v>1100</v>
      </c>
      <c r="K235" s="8">
        <f t="shared" si="424"/>
        <v>1100</v>
      </c>
      <c r="L235" s="8">
        <f t="shared" si="424"/>
        <v>1100</v>
      </c>
      <c r="M235" s="59">
        <f t="shared" si="424"/>
        <v>1100</v>
      </c>
      <c r="N235" s="8">
        <f t="shared" si="424"/>
        <v>1100</v>
      </c>
      <c r="O235" s="8">
        <f t="shared" si="424"/>
        <v>1100</v>
      </c>
      <c r="P235" s="8">
        <f t="shared" si="424"/>
        <v>1100</v>
      </c>
      <c r="Q235" s="59">
        <f t="shared" si="424"/>
        <v>1100</v>
      </c>
      <c r="R235" s="8">
        <f t="shared" si="424"/>
        <v>1100</v>
      </c>
      <c r="S235" s="8">
        <f t="shared" si="424"/>
        <v>1100</v>
      </c>
      <c r="T235" s="8">
        <f t="shared" si="424"/>
        <v>1100</v>
      </c>
      <c r="U235" s="8">
        <f t="shared" si="424"/>
        <v>1100</v>
      </c>
      <c r="V235" s="8">
        <f t="shared" si="424"/>
        <v>1100</v>
      </c>
      <c r="W235" s="8">
        <f t="shared" si="424"/>
        <v>1100</v>
      </c>
      <c r="X235" s="8">
        <f t="shared" si="424"/>
        <v>1100</v>
      </c>
      <c r="Y235" s="8">
        <f t="shared" si="424"/>
        <v>1100</v>
      </c>
      <c r="Z235" s="8">
        <f t="shared" si="424"/>
        <v>1100</v>
      </c>
      <c r="AA235" s="8">
        <f t="shared" si="424"/>
        <v>1100</v>
      </c>
      <c r="AB235" s="8">
        <f t="shared" si="424"/>
        <v>1100</v>
      </c>
      <c r="AC235" s="8">
        <f t="shared" si="424"/>
        <v>1100</v>
      </c>
      <c r="AD235" s="8">
        <f t="shared" si="424"/>
        <v>1100</v>
      </c>
      <c r="AE235" s="8">
        <f t="shared" si="424"/>
        <v>1100</v>
      </c>
      <c r="AF235" s="8">
        <f t="shared" si="424"/>
        <v>1100</v>
      </c>
      <c r="AG235" s="8">
        <f t="shared" si="424"/>
        <v>1100</v>
      </c>
      <c r="AH235" s="8" t="str">
        <f t="shared" si="424"/>
        <v/>
      </c>
      <c r="AI235" s="8" t="str">
        <f t="shared" si="424"/>
        <v/>
      </c>
      <c r="AJ235" s="8" t="str">
        <f t="shared" si="424"/>
        <v/>
      </c>
      <c r="AK235" s="8" t="str">
        <f t="shared" si="424"/>
        <v/>
      </c>
      <c r="AL235" s="8" t="str">
        <f t="shared" si="424"/>
        <v/>
      </c>
      <c r="AM235" s="8" t="str">
        <f t="shared" si="424"/>
        <v/>
      </c>
      <c r="AN235" s="8" t="str">
        <f t="shared" si="424"/>
        <v/>
      </c>
      <c r="AO235" s="8" t="str">
        <f t="shared" ref="AO235:AS235" si="425">IF(AO231="","",AN235)</f>
        <v/>
      </c>
      <c r="AP235" s="8" t="str">
        <f t="shared" si="425"/>
        <v/>
      </c>
      <c r="AQ235" s="8" t="str">
        <f t="shared" si="425"/>
        <v/>
      </c>
      <c r="AR235" s="8" t="str">
        <f t="shared" si="425"/>
        <v/>
      </c>
      <c r="AS235" s="8" t="str">
        <f t="shared" si="425"/>
        <v/>
      </c>
    </row>
    <row r="236" spans="1:45" s="94" customFormat="1">
      <c r="A236" s="14" t="s">
        <v>9</v>
      </c>
      <c r="B236" s="13" t="s">
        <v>10</v>
      </c>
      <c r="C236" s="75" t="s">
        <v>99</v>
      </c>
      <c r="D236" s="12" t="str">
        <f t="shared" ref="D236:AN236" si="426">IF(D231="","",C236)</f>
        <v>ボンボンドロップシール</v>
      </c>
      <c r="E236" s="12" t="str">
        <f t="shared" si="426"/>
        <v>ボンボンドロップシール</v>
      </c>
      <c r="F236" s="12" t="str">
        <f t="shared" si="426"/>
        <v>ボンボンドロップシール</v>
      </c>
      <c r="G236" s="131" t="str">
        <f t="shared" si="426"/>
        <v>ボンボンドロップシール</v>
      </c>
      <c r="H236" s="12" t="str">
        <f t="shared" si="426"/>
        <v>ボンボンドロップシール</v>
      </c>
      <c r="I236" s="12" t="str">
        <f t="shared" si="426"/>
        <v>ボンボンドロップシール</v>
      </c>
      <c r="J236" s="131" t="str">
        <f t="shared" si="426"/>
        <v>ボンボンドロップシール</v>
      </c>
      <c r="K236" s="12" t="str">
        <f t="shared" si="426"/>
        <v>ボンボンドロップシール</v>
      </c>
      <c r="L236" s="12" t="str">
        <f t="shared" si="426"/>
        <v>ボンボンドロップシール</v>
      </c>
      <c r="M236" s="131" t="str">
        <f t="shared" si="426"/>
        <v>ボンボンドロップシール</v>
      </c>
      <c r="N236" s="12" t="str">
        <f t="shared" si="426"/>
        <v>ボンボンドロップシール</v>
      </c>
      <c r="O236" s="12" t="str">
        <f t="shared" si="426"/>
        <v>ボンボンドロップシール</v>
      </c>
      <c r="P236" s="12" t="str">
        <f t="shared" si="426"/>
        <v>ボンボンドロップシール</v>
      </c>
      <c r="Q236" s="131" t="str">
        <f t="shared" si="426"/>
        <v>ボンボンドロップシール</v>
      </c>
      <c r="R236" s="12" t="str">
        <f t="shared" si="426"/>
        <v>ボンボンドロップシール</v>
      </c>
      <c r="S236" s="12" t="str">
        <f t="shared" si="426"/>
        <v>ボンボンドロップシール</v>
      </c>
      <c r="T236" s="12" t="str">
        <f t="shared" si="426"/>
        <v>ボンボンドロップシール</v>
      </c>
      <c r="U236" s="12" t="str">
        <f t="shared" si="426"/>
        <v>ボンボンドロップシール</v>
      </c>
      <c r="V236" s="12" t="str">
        <f t="shared" si="426"/>
        <v>ボンボンドロップシール</v>
      </c>
      <c r="W236" s="12" t="str">
        <f t="shared" si="426"/>
        <v>ボンボンドロップシール</v>
      </c>
      <c r="X236" s="12" t="str">
        <f t="shared" si="426"/>
        <v>ボンボンドロップシール</v>
      </c>
      <c r="Y236" s="12" t="str">
        <f t="shared" si="426"/>
        <v>ボンボンドロップシール</v>
      </c>
      <c r="Z236" s="12" t="str">
        <f t="shared" si="426"/>
        <v>ボンボンドロップシール</v>
      </c>
      <c r="AA236" s="12" t="str">
        <f t="shared" si="426"/>
        <v>ボンボンドロップシール</v>
      </c>
      <c r="AB236" s="12" t="str">
        <f t="shared" si="426"/>
        <v>ボンボンドロップシール</v>
      </c>
      <c r="AC236" s="12" t="str">
        <f t="shared" si="426"/>
        <v>ボンボンドロップシール</v>
      </c>
      <c r="AD236" s="12" t="str">
        <f t="shared" si="426"/>
        <v>ボンボンドロップシール</v>
      </c>
      <c r="AE236" s="12" t="str">
        <f t="shared" si="426"/>
        <v>ボンボンドロップシール</v>
      </c>
      <c r="AF236" s="12" t="str">
        <f t="shared" si="426"/>
        <v>ボンボンドロップシール</v>
      </c>
      <c r="AG236" s="12" t="str">
        <f t="shared" si="426"/>
        <v>ボンボンドロップシール</v>
      </c>
      <c r="AH236" s="12" t="str">
        <f t="shared" si="426"/>
        <v/>
      </c>
      <c r="AI236" s="12" t="str">
        <f t="shared" si="426"/>
        <v/>
      </c>
      <c r="AJ236" s="12" t="str">
        <f t="shared" si="426"/>
        <v/>
      </c>
      <c r="AK236" s="12" t="str">
        <f t="shared" si="426"/>
        <v/>
      </c>
      <c r="AL236" s="12" t="str">
        <f t="shared" si="426"/>
        <v/>
      </c>
      <c r="AM236" s="12" t="str">
        <f t="shared" si="426"/>
        <v/>
      </c>
      <c r="AN236" s="12" t="str">
        <f t="shared" si="426"/>
        <v/>
      </c>
      <c r="AO236" s="12" t="str">
        <f t="shared" ref="AO236:AS236" si="427">IF(AO231="","",AN236)</f>
        <v/>
      </c>
      <c r="AP236" s="12" t="str">
        <f t="shared" si="427"/>
        <v/>
      </c>
      <c r="AQ236" s="12" t="str">
        <f t="shared" si="427"/>
        <v/>
      </c>
      <c r="AR236" s="12" t="str">
        <f t="shared" si="427"/>
        <v/>
      </c>
      <c r="AS236" s="12" t="str">
        <f t="shared" si="427"/>
        <v/>
      </c>
    </row>
    <row r="237" spans="1:45">
      <c r="A237" s="7">
        <f>AVERAGE(C238:AS238)*30*100</f>
        <v>197322.5806451613</v>
      </c>
      <c r="B237" s="9" t="s">
        <v>14</v>
      </c>
      <c r="C237" s="74"/>
      <c r="D237" s="8"/>
      <c r="E237" s="8"/>
      <c r="F237" s="8"/>
      <c r="G237" s="59"/>
      <c r="H237" s="8"/>
      <c r="I237" s="8"/>
      <c r="J237" s="59"/>
      <c r="K237" s="8"/>
      <c r="L237" s="8"/>
      <c r="M237" s="59"/>
      <c r="N237" s="8"/>
      <c r="O237" s="8"/>
      <c r="P237" s="8"/>
      <c r="Q237" s="59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</row>
    <row r="238" spans="1:45">
      <c r="A238" s="7">
        <f>SUM(C238:AS238)</f>
        <v>2039</v>
      </c>
      <c r="B238" s="6" t="s">
        <v>15</v>
      </c>
      <c r="C238" s="74">
        <v>0</v>
      </c>
      <c r="D238" s="5">
        <f t="shared" ref="D238:AN238" si="428">IF(D231="","",D231-C231)</f>
        <v>0</v>
      </c>
      <c r="E238" s="5">
        <f t="shared" si="428"/>
        <v>0</v>
      </c>
      <c r="F238" s="5">
        <f t="shared" si="428"/>
        <v>250</v>
      </c>
      <c r="G238" s="59">
        <f t="shared" si="428"/>
        <v>0</v>
      </c>
      <c r="H238" s="5">
        <f t="shared" si="428"/>
        <v>0</v>
      </c>
      <c r="I238" s="5">
        <f t="shared" si="428"/>
        <v>164</v>
      </c>
      <c r="J238" s="59">
        <f t="shared" si="428"/>
        <v>0</v>
      </c>
      <c r="K238" s="5">
        <f t="shared" si="428"/>
        <v>0</v>
      </c>
      <c r="L238" s="5">
        <f t="shared" si="428"/>
        <v>475</v>
      </c>
      <c r="M238" s="59">
        <f t="shared" si="428"/>
        <v>0</v>
      </c>
      <c r="N238" s="5">
        <f t="shared" si="428"/>
        <v>0</v>
      </c>
      <c r="O238" s="5">
        <f t="shared" si="428"/>
        <v>0</v>
      </c>
      <c r="P238" s="5">
        <f t="shared" si="428"/>
        <v>314</v>
      </c>
      <c r="Q238" s="59">
        <f t="shared" si="428"/>
        <v>0</v>
      </c>
      <c r="R238" s="5">
        <f t="shared" si="428"/>
        <v>0</v>
      </c>
      <c r="S238" s="5">
        <f t="shared" si="428"/>
        <v>337</v>
      </c>
      <c r="T238" s="5">
        <f t="shared" si="428"/>
        <v>0</v>
      </c>
      <c r="U238" s="5">
        <f t="shared" si="428"/>
        <v>0</v>
      </c>
      <c r="V238" s="5">
        <f t="shared" si="428"/>
        <v>0</v>
      </c>
      <c r="W238" s="5">
        <f t="shared" si="428"/>
        <v>115</v>
      </c>
      <c r="X238" s="5">
        <f t="shared" si="428"/>
        <v>0</v>
      </c>
      <c r="Y238" s="5">
        <f t="shared" si="428"/>
        <v>0</v>
      </c>
      <c r="Z238" s="5">
        <f t="shared" si="428"/>
        <v>209</v>
      </c>
      <c r="AA238" s="5">
        <f t="shared" si="428"/>
        <v>0</v>
      </c>
      <c r="AB238" s="5">
        <f t="shared" si="428"/>
        <v>0</v>
      </c>
      <c r="AC238" s="5">
        <f t="shared" si="428"/>
        <v>0</v>
      </c>
      <c r="AD238" s="5">
        <f t="shared" si="428"/>
        <v>116</v>
      </c>
      <c r="AE238" s="5">
        <f t="shared" si="428"/>
        <v>0</v>
      </c>
      <c r="AF238" s="5">
        <f t="shared" si="428"/>
        <v>0</v>
      </c>
      <c r="AG238" s="5">
        <f t="shared" si="428"/>
        <v>59</v>
      </c>
      <c r="AH238" s="5" t="str">
        <f t="shared" si="428"/>
        <v/>
      </c>
      <c r="AI238" s="5" t="str">
        <f t="shared" si="428"/>
        <v/>
      </c>
      <c r="AJ238" s="5" t="str">
        <f t="shared" si="428"/>
        <v/>
      </c>
      <c r="AK238" s="5" t="str">
        <f t="shared" si="428"/>
        <v/>
      </c>
      <c r="AL238" s="5" t="str">
        <f t="shared" si="428"/>
        <v/>
      </c>
      <c r="AM238" s="5" t="str">
        <f t="shared" si="428"/>
        <v/>
      </c>
      <c r="AN238" s="5" t="str">
        <f t="shared" si="428"/>
        <v/>
      </c>
      <c r="AO238" s="5" t="str">
        <f t="shared" ref="AO238:AS238" si="429">IF(AO231="","",AO231-AN231)</f>
        <v/>
      </c>
      <c r="AP238" s="5" t="str">
        <f t="shared" si="429"/>
        <v/>
      </c>
      <c r="AQ238" s="5" t="str">
        <f t="shared" si="429"/>
        <v/>
      </c>
      <c r="AR238" s="5" t="str">
        <f t="shared" si="429"/>
        <v/>
      </c>
      <c r="AS238" s="5" t="str">
        <f t="shared" si="429"/>
        <v/>
      </c>
    </row>
    <row r="239" spans="1:45">
      <c r="A239" s="7">
        <f>SUM(C239:AS239)</f>
        <v>10</v>
      </c>
      <c r="B239" s="6" t="s">
        <v>16</v>
      </c>
      <c r="C239" s="74">
        <v>0</v>
      </c>
      <c r="D239" s="5">
        <f t="shared" ref="D239:AN239" si="430">IF(D232="","",(D232+D233+D234-C232-C233-C234))</f>
        <v>0</v>
      </c>
      <c r="E239" s="5">
        <f t="shared" si="430"/>
        <v>0</v>
      </c>
      <c r="F239" s="5">
        <f t="shared" si="430"/>
        <v>0</v>
      </c>
      <c r="G239" s="59">
        <f t="shared" si="430"/>
        <v>0</v>
      </c>
      <c r="H239" s="5">
        <f t="shared" si="430"/>
        <v>0</v>
      </c>
      <c r="I239" s="5">
        <f t="shared" si="430"/>
        <v>1</v>
      </c>
      <c r="J239" s="59">
        <f t="shared" si="430"/>
        <v>0</v>
      </c>
      <c r="K239" s="5">
        <f t="shared" si="430"/>
        <v>0</v>
      </c>
      <c r="L239" s="5">
        <f t="shared" si="430"/>
        <v>0</v>
      </c>
      <c r="M239" s="59">
        <f t="shared" si="430"/>
        <v>0</v>
      </c>
      <c r="N239" s="5">
        <f t="shared" si="430"/>
        <v>0</v>
      </c>
      <c r="O239" s="5">
        <f t="shared" si="430"/>
        <v>0</v>
      </c>
      <c r="P239" s="5">
        <f t="shared" si="430"/>
        <v>0</v>
      </c>
      <c r="Q239" s="59">
        <f t="shared" si="430"/>
        <v>0</v>
      </c>
      <c r="R239" s="5">
        <f t="shared" si="430"/>
        <v>0</v>
      </c>
      <c r="S239" s="5">
        <f t="shared" si="430"/>
        <v>0</v>
      </c>
      <c r="T239" s="5">
        <f t="shared" si="430"/>
        <v>0</v>
      </c>
      <c r="U239" s="5">
        <f t="shared" si="430"/>
        <v>0</v>
      </c>
      <c r="V239" s="5">
        <f t="shared" si="430"/>
        <v>0</v>
      </c>
      <c r="W239" s="5">
        <f t="shared" si="430"/>
        <v>1</v>
      </c>
      <c r="X239" s="5">
        <f t="shared" si="430"/>
        <v>0</v>
      </c>
      <c r="Y239" s="5">
        <f t="shared" si="430"/>
        <v>0</v>
      </c>
      <c r="Z239" s="5">
        <f t="shared" si="430"/>
        <v>1</v>
      </c>
      <c r="AA239" s="5">
        <f t="shared" si="430"/>
        <v>0</v>
      </c>
      <c r="AB239" s="5">
        <f t="shared" si="430"/>
        <v>0</v>
      </c>
      <c r="AC239" s="5">
        <f t="shared" si="430"/>
        <v>0</v>
      </c>
      <c r="AD239" s="5">
        <f t="shared" si="430"/>
        <v>7</v>
      </c>
      <c r="AE239" s="5">
        <f t="shared" si="430"/>
        <v>0</v>
      </c>
      <c r="AF239" s="5">
        <f t="shared" si="430"/>
        <v>0</v>
      </c>
      <c r="AG239" s="5">
        <f t="shared" si="430"/>
        <v>0</v>
      </c>
      <c r="AH239" s="5" t="str">
        <f t="shared" si="430"/>
        <v/>
      </c>
      <c r="AI239" s="5" t="str">
        <f t="shared" si="430"/>
        <v/>
      </c>
      <c r="AJ239" s="5" t="str">
        <f t="shared" si="430"/>
        <v/>
      </c>
      <c r="AK239" s="5" t="str">
        <f t="shared" si="430"/>
        <v/>
      </c>
      <c r="AL239" s="5" t="str">
        <f t="shared" si="430"/>
        <v/>
      </c>
      <c r="AM239" s="5" t="str">
        <f t="shared" si="430"/>
        <v/>
      </c>
      <c r="AN239" s="5" t="str">
        <f t="shared" si="430"/>
        <v/>
      </c>
      <c r="AO239" s="5" t="str">
        <f t="shared" ref="AO239:AS239" si="431">IF(AO232="","",(AO232+AO233+AO234-AN232-AN233-AN234))</f>
        <v/>
      </c>
      <c r="AP239" s="5" t="str">
        <f t="shared" si="431"/>
        <v/>
      </c>
      <c r="AQ239" s="5" t="str">
        <f t="shared" si="431"/>
        <v/>
      </c>
      <c r="AR239" s="5" t="str">
        <f t="shared" si="431"/>
        <v/>
      </c>
      <c r="AS239" s="5" t="str">
        <f t="shared" si="431"/>
        <v/>
      </c>
    </row>
    <row r="240" spans="1:45">
      <c r="A240" s="7">
        <f>SUM(C240:AS240)</f>
        <v>10</v>
      </c>
      <c r="B240" s="6" t="s">
        <v>17</v>
      </c>
      <c r="C240" s="74">
        <v>0</v>
      </c>
      <c r="D240" s="5">
        <f t="shared" ref="D240:AN240" si="432">D239</f>
        <v>0</v>
      </c>
      <c r="E240" s="5">
        <f t="shared" si="432"/>
        <v>0</v>
      </c>
      <c r="F240" s="5">
        <f t="shared" si="432"/>
        <v>0</v>
      </c>
      <c r="G240" s="59">
        <f t="shared" si="432"/>
        <v>0</v>
      </c>
      <c r="H240" s="5">
        <f t="shared" si="432"/>
        <v>0</v>
      </c>
      <c r="I240" s="5">
        <f t="shared" si="432"/>
        <v>1</v>
      </c>
      <c r="J240" s="59">
        <f t="shared" si="432"/>
        <v>0</v>
      </c>
      <c r="K240" s="5">
        <f t="shared" si="432"/>
        <v>0</v>
      </c>
      <c r="L240" s="5">
        <f t="shared" si="432"/>
        <v>0</v>
      </c>
      <c r="M240" s="59">
        <f t="shared" si="432"/>
        <v>0</v>
      </c>
      <c r="N240" s="5">
        <f t="shared" si="432"/>
        <v>0</v>
      </c>
      <c r="O240" s="5">
        <f t="shared" si="432"/>
        <v>0</v>
      </c>
      <c r="P240" s="5">
        <f t="shared" si="432"/>
        <v>0</v>
      </c>
      <c r="Q240" s="59">
        <f t="shared" si="432"/>
        <v>0</v>
      </c>
      <c r="R240" s="5">
        <f t="shared" si="432"/>
        <v>0</v>
      </c>
      <c r="S240" s="5">
        <f t="shared" si="432"/>
        <v>0</v>
      </c>
      <c r="T240" s="5">
        <f t="shared" si="432"/>
        <v>0</v>
      </c>
      <c r="U240" s="5">
        <f t="shared" si="432"/>
        <v>0</v>
      </c>
      <c r="V240" s="5">
        <f t="shared" si="432"/>
        <v>0</v>
      </c>
      <c r="W240" s="5">
        <f t="shared" si="432"/>
        <v>1</v>
      </c>
      <c r="X240" s="5">
        <f t="shared" si="432"/>
        <v>0</v>
      </c>
      <c r="Y240" s="5">
        <f t="shared" si="432"/>
        <v>0</v>
      </c>
      <c r="Z240" s="5">
        <f t="shared" si="432"/>
        <v>1</v>
      </c>
      <c r="AA240" s="5">
        <f t="shared" si="432"/>
        <v>0</v>
      </c>
      <c r="AB240" s="5">
        <f t="shared" si="432"/>
        <v>0</v>
      </c>
      <c r="AC240" s="5">
        <f t="shared" si="432"/>
        <v>0</v>
      </c>
      <c r="AD240" s="5">
        <f t="shared" si="432"/>
        <v>7</v>
      </c>
      <c r="AE240" s="5">
        <f t="shared" si="432"/>
        <v>0</v>
      </c>
      <c r="AF240" s="5">
        <f t="shared" si="432"/>
        <v>0</v>
      </c>
      <c r="AG240" s="5">
        <f t="shared" si="432"/>
        <v>0</v>
      </c>
      <c r="AH240" s="5" t="str">
        <f t="shared" si="432"/>
        <v/>
      </c>
      <c r="AI240" s="5" t="str">
        <f t="shared" si="432"/>
        <v/>
      </c>
      <c r="AJ240" s="5" t="str">
        <f t="shared" si="432"/>
        <v/>
      </c>
      <c r="AK240" s="5" t="str">
        <f t="shared" si="432"/>
        <v/>
      </c>
      <c r="AL240" s="5" t="str">
        <f t="shared" si="432"/>
        <v/>
      </c>
      <c r="AM240" s="5" t="str">
        <f t="shared" si="432"/>
        <v/>
      </c>
      <c r="AN240" s="5" t="str">
        <f t="shared" si="432"/>
        <v/>
      </c>
      <c r="AO240" s="5" t="str">
        <f t="shared" ref="AO240:AS240" si="433">AO239</f>
        <v/>
      </c>
      <c r="AP240" s="5" t="str">
        <f t="shared" si="433"/>
        <v/>
      </c>
      <c r="AQ240" s="5" t="str">
        <f t="shared" si="433"/>
        <v/>
      </c>
      <c r="AR240" s="5" t="str">
        <f t="shared" si="433"/>
        <v/>
      </c>
      <c r="AS240" s="5" t="str">
        <f t="shared" si="433"/>
        <v/>
      </c>
    </row>
    <row r="241" spans="1:45">
      <c r="A241" s="7">
        <f>SUM(C241:AS241)</f>
        <v>11000</v>
      </c>
      <c r="B241" s="6" t="s">
        <v>18</v>
      </c>
      <c r="C241" s="74">
        <v>0</v>
      </c>
      <c r="D241" s="5">
        <f t="shared" ref="D241:AN241" si="434">IF(D231="","",D240*D235)</f>
        <v>0</v>
      </c>
      <c r="E241" s="5">
        <f t="shared" si="434"/>
        <v>0</v>
      </c>
      <c r="F241" s="5">
        <f t="shared" si="434"/>
        <v>0</v>
      </c>
      <c r="G241" s="59">
        <f t="shared" si="434"/>
        <v>0</v>
      </c>
      <c r="H241" s="5">
        <f t="shared" si="434"/>
        <v>0</v>
      </c>
      <c r="I241" s="5">
        <f t="shared" si="434"/>
        <v>1100</v>
      </c>
      <c r="J241" s="59">
        <f t="shared" si="434"/>
        <v>0</v>
      </c>
      <c r="K241" s="5">
        <f t="shared" si="434"/>
        <v>0</v>
      </c>
      <c r="L241" s="5">
        <f t="shared" si="434"/>
        <v>0</v>
      </c>
      <c r="M241" s="59">
        <f t="shared" si="434"/>
        <v>0</v>
      </c>
      <c r="N241" s="5">
        <f t="shared" si="434"/>
        <v>0</v>
      </c>
      <c r="O241" s="5">
        <f t="shared" si="434"/>
        <v>0</v>
      </c>
      <c r="P241" s="5">
        <f t="shared" si="434"/>
        <v>0</v>
      </c>
      <c r="Q241" s="59">
        <f t="shared" si="434"/>
        <v>0</v>
      </c>
      <c r="R241" s="5">
        <f t="shared" si="434"/>
        <v>0</v>
      </c>
      <c r="S241" s="5">
        <f t="shared" si="434"/>
        <v>0</v>
      </c>
      <c r="T241" s="5">
        <f t="shared" si="434"/>
        <v>0</v>
      </c>
      <c r="U241" s="5">
        <f t="shared" si="434"/>
        <v>0</v>
      </c>
      <c r="V241" s="5">
        <f t="shared" si="434"/>
        <v>0</v>
      </c>
      <c r="W241" s="5">
        <f t="shared" si="434"/>
        <v>1100</v>
      </c>
      <c r="X241" s="5">
        <f t="shared" si="434"/>
        <v>0</v>
      </c>
      <c r="Y241" s="5">
        <f t="shared" si="434"/>
        <v>0</v>
      </c>
      <c r="Z241" s="5">
        <f t="shared" si="434"/>
        <v>1100</v>
      </c>
      <c r="AA241" s="5">
        <f t="shared" si="434"/>
        <v>0</v>
      </c>
      <c r="AB241" s="5">
        <f t="shared" si="434"/>
        <v>0</v>
      </c>
      <c r="AC241" s="5">
        <f t="shared" si="434"/>
        <v>0</v>
      </c>
      <c r="AD241" s="5">
        <f t="shared" si="434"/>
        <v>7700</v>
      </c>
      <c r="AE241" s="5">
        <f t="shared" si="434"/>
        <v>0</v>
      </c>
      <c r="AF241" s="5">
        <f t="shared" si="434"/>
        <v>0</v>
      </c>
      <c r="AG241" s="5">
        <f t="shared" si="434"/>
        <v>0</v>
      </c>
      <c r="AH241" s="5" t="str">
        <f t="shared" si="434"/>
        <v/>
      </c>
      <c r="AI241" s="5" t="str">
        <f t="shared" si="434"/>
        <v/>
      </c>
      <c r="AJ241" s="5" t="str">
        <f t="shared" si="434"/>
        <v/>
      </c>
      <c r="AK241" s="5" t="str">
        <f t="shared" si="434"/>
        <v/>
      </c>
      <c r="AL241" s="5" t="str">
        <f t="shared" si="434"/>
        <v/>
      </c>
      <c r="AM241" s="5" t="str">
        <f t="shared" si="434"/>
        <v/>
      </c>
      <c r="AN241" s="5" t="str">
        <f t="shared" si="434"/>
        <v/>
      </c>
      <c r="AO241" s="5" t="str">
        <f t="shared" ref="AO241:AS241" si="435">IF(AO231="","",AO240*AO235)</f>
        <v/>
      </c>
      <c r="AP241" s="5" t="str">
        <f t="shared" si="435"/>
        <v/>
      </c>
      <c r="AQ241" s="5" t="str">
        <f t="shared" si="435"/>
        <v/>
      </c>
      <c r="AR241" s="5" t="str">
        <f t="shared" si="435"/>
        <v/>
      </c>
      <c r="AS241" s="5" t="str">
        <f t="shared" si="435"/>
        <v/>
      </c>
    </row>
    <row r="242" spans="1:45" ht="12" thickBot="1">
      <c r="A242" s="4">
        <f>IF(A241="","",A241/(A238*100))</f>
        <v>5.3948013732221675E-2</v>
      </c>
      <c r="B242" s="6" t="s">
        <v>20</v>
      </c>
      <c r="C242" s="76" t="s">
        <v>21</v>
      </c>
      <c r="D242" s="18" t="str">
        <f t="shared" ref="D242:AN242" si="436">IF(D241="","",IF(D241=0,"",D241/(D238*100)))</f>
        <v/>
      </c>
      <c r="E242" s="18" t="str">
        <f t="shared" si="436"/>
        <v/>
      </c>
      <c r="F242" s="18" t="str">
        <f t="shared" si="436"/>
        <v/>
      </c>
      <c r="G242" s="62" t="str">
        <f t="shared" si="436"/>
        <v/>
      </c>
      <c r="H242" s="18" t="str">
        <f t="shared" si="436"/>
        <v/>
      </c>
      <c r="I242" s="18">
        <f t="shared" si="436"/>
        <v>6.7073170731707321E-2</v>
      </c>
      <c r="J242" s="62" t="str">
        <f t="shared" si="436"/>
        <v/>
      </c>
      <c r="K242" s="18" t="str">
        <f t="shared" si="436"/>
        <v/>
      </c>
      <c r="L242" s="18" t="str">
        <f t="shared" si="436"/>
        <v/>
      </c>
      <c r="M242" s="62" t="str">
        <f t="shared" si="436"/>
        <v/>
      </c>
      <c r="N242" s="18" t="str">
        <f t="shared" si="436"/>
        <v/>
      </c>
      <c r="O242" s="18" t="str">
        <f t="shared" si="436"/>
        <v/>
      </c>
      <c r="P242" s="18" t="str">
        <f t="shared" si="436"/>
        <v/>
      </c>
      <c r="Q242" s="62" t="str">
        <f t="shared" si="436"/>
        <v/>
      </c>
      <c r="R242" s="18" t="str">
        <f t="shared" si="436"/>
        <v/>
      </c>
      <c r="S242" s="18" t="str">
        <f t="shared" si="436"/>
        <v/>
      </c>
      <c r="T242" s="18" t="str">
        <f t="shared" si="436"/>
        <v/>
      </c>
      <c r="U242" s="18" t="str">
        <f t="shared" si="436"/>
        <v/>
      </c>
      <c r="V242" s="18" t="str">
        <f t="shared" si="436"/>
        <v/>
      </c>
      <c r="W242" s="18">
        <f t="shared" si="436"/>
        <v>9.5652173913043481E-2</v>
      </c>
      <c r="X242" s="18" t="str">
        <f t="shared" si="436"/>
        <v/>
      </c>
      <c r="Y242" s="18" t="str">
        <f t="shared" si="436"/>
        <v/>
      </c>
      <c r="Z242" s="18">
        <f t="shared" si="436"/>
        <v>5.2631578947368418E-2</v>
      </c>
      <c r="AA242" s="18" t="str">
        <f t="shared" si="436"/>
        <v/>
      </c>
      <c r="AB242" s="18" t="str">
        <f t="shared" si="436"/>
        <v/>
      </c>
      <c r="AC242" s="18" t="str">
        <f t="shared" si="436"/>
        <v/>
      </c>
      <c r="AD242" s="18">
        <f t="shared" si="436"/>
        <v>0.66379310344827591</v>
      </c>
      <c r="AE242" s="18" t="str">
        <f t="shared" si="436"/>
        <v/>
      </c>
      <c r="AF242" s="18" t="str">
        <f t="shared" si="436"/>
        <v/>
      </c>
      <c r="AG242" s="18" t="str">
        <f t="shared" si="436"/>
        <v/>
      </c>
      <c r="AH242" s="18" t="str">
        <f t="shared" si="436"/>
        <v/>
      </c>
      <c r="AI242" s="18" t="str">
        <f t="shared" si="436"/>
        <v/>
      </c>
      <c r="AJ242" s="18" t="str">
        <f t="shared" si="436"/>
        <v/>
      </c>
      <c r="AK242" s="18" t="str">
        <f t="shared" si="436"/>
        <v/>
      </c>
      <c r="AL242" s="18" t="str">
        <f t="shared" si="436"/>
        <v/>
      </c>
      <c r="AM242" s="18" t="str">
        <f t="shared" si="436"/>
        <v/>
      </c>
      <c r="AN242" s="18" t="str">
        <f t="shared" si="436"/>
        <v/>
      </c>
      <c r="AO242" s="18" t="str">
        <f t="shared" ref="AO242:AS242" si="437">IF(AO241="","",IF(AO241=0,"",AO241/(AO238*100)))</f>
        <v/>
      </c>
      <c r="AP242" s="18" t="str">
        <f t="shared" si="437"/>
        <v/>
      </c>
      <c r="AQ242" s="18" t="str">
        <f t="shared" si="437"/>
        <v/>
      </c>
      <c r="AR242" s="18" t="str">
        <f t="shared" si="437"/>
        <v/>
      </c>
      <c r="AS242" s="18" t="str">
        <f t="shared" si="437"/>
        <v/>
      </c>
    </row>
    <row r="243" spans="1:45">
      <c r="A243" s="17" t="s">
        <v>78</v>
      </c>
      <c r="B243" s="9" t="s">
        <v>2</v>
      </c>
      <c r="C243" s="74">
        <v>104898</v>
      </c>
      <c r="D243" s="8">
        <f t="shared" ref="D243:E246" si="438">IF(D$3="","",C243)</f>
        <v>104898</v>
      </c>
      <c r="E243" s="8">
        <f t="shared" si="438"/>
        <v>104898</v>
      </c>
      <c r="F243" s="8">
        <v>104989</v>
      </c>
      <c r="G243" s="59">
        <f t="shared" ref="G243:H246" si="439">IF(G$3="","",F243)</f>
        <v>104989</v>
      </c>
      <c r="H243" s="8">
        <f t="shared" si="439"/>
        <v>104989</v>
      </c>
      <c r="I243" s="8">
        <v>105025</v>
      </c>
      <c r="J243" s="59">
        <f t="shared" ref="J243:K246" si="440">IF(J$3="","",I243)</f>
        <v>105025</v>
      </c>
      <c r="K243" s="8">
        <f t="shared" si="440"/>
        <v>105025</v>
      </c>
      <c r="L243" s="8">
        <v>105116</v>
      </c>
      <c r="M243" s="59">
        <f t="shared" ref="M243:O246" si="441">IF(M$3="","",L243)</f>
        <v>105116</v>
      </c>
      <c r="N243" s="8">
        <f t="shared" si="441"/>
        <v>105116</v>
      </c>
      <c r="O243" s="8">
        <f t="shared" si="441"/>
        <v>105116</v>
      </c>
      <c r="P243" s="8">
        <v>105185</v>
      </c>
      <c r="Q243" s="59">
        <f t="shared" ref="Q243:R246" si="442">IF(Q$3="","",P243)</f>
        <v>105185</v>
      </c>
      <c r="R243" s="8">
        <f t="shared" si="442"/>
        <v>105185</v>
      </c>
      <c r="S243" s="8">
        <v>105271</v>
      </c>
      <c r="T243" s="8">
        <f t="shared" ref="T243:AN243" si="443">IF(T$3="","",S243)</f>
        <v>105271</v>
      </c>
      <c r="U243" s="8">
        <f t="shared" si="443"/>
        <v>105271</v>
      </c>
      <c r="V243" s="8">
        <f t="shared" si="443"/>
        <v>105271</v>
      </c>
      <c r="W243" s="8">
        <v>105306</v>
      </c>
      <c r="X243" s="8">
        <f t="shared" si="443"/>
        <v>105306</v>
      </c>
      <c r="Y243" s="8">
        <f t="shared" si="443"/>
        <v>105306</v>
      </c>
      <c r="Z243" s="8">
        <v>105343</v>
      </c>
      <c r="AA243" s="8">
        <f t="shared" si="443"/>
        <v>105343</v>
      </c>
      <c r="AB243" s="8">
        <f t="shared" si="443"/>
        <v>105343</v>
      </c>
      <c r="AC243" s="8">
        <f t="shared" si="443"/>
        <v>105343</v>
      </c>
      <c r="AD243" s="8">
        <v>105400</v>
      </c>
      <c r="AE243" s="8">
        <f t="shared" si="443"/>
        <v>105400</v>
      </c>
      <c r="AF243" s="8">
        <f t="shared" si="443"/>
        <v>105400</v>
      </c>
      <c r="AG243" s="8">
        <v>105517</v>
      </c>
      <c r="AH243" s="8" t="str">
        <f t="shared" si="443"/>
        <v/>
      </c>
      <c r="AI243" s="8" t="str">
        <f t="shared" si="443"/>
        <v/>
      </c>
      <c r="AJ243" s="8" t="str">
        <f t="shared" si="443"/>
        <v/>
      </c>
      <c r="AK243" s="8" t="str">
        <f t="shared" si="443"/>
        <v/>
      </c>
      <c r="AL243" s="8" t="str">
        <f t="shared" si="443"/>
        <v/>
      </c>
      <c r="AM243" s="8" t="str">
        <f t="shared" si="443"/>
        <v/>
      </c>
      <c r="AN243" s="8" t="str">
        <f t="shared" si="443"/>
        <v/>
      </c>
      <c r="AO243" s="8" t="str">
        <f t="shared" ref="AO243:AS243" si="444">IF(AO$3="","",AN243)</f>
        <v/>
      </c>
      <c r="AP243" s="8" t="str">
        <f t="shared" si="444"/>
        <v/>
      </c>
      <c r="AQ243" s="8" t="str">
        <f t="shared" si="444"/>
        <v/>
      </c>
      <c r="AR243" s="8" t="str">
        <f t="shared" si="444"/>
        <v/>
      </c>
      <c r="AS243" s="8" t="str">
        <f t="shared" si="444"/>
        <v/>
      </c>
    </row>
    <row r="244" spans="1:45">
      <c r="A244" s="16" t="s">
        <v>95</v>
      </c>
      <c r="B244" s="9" t="s">
        <v>96</v>
      </c>
      <c r="C244" s="74">
        <v>597</v>
      </c>
      <c r="D244" s="8">
        <f t="shared" si="438"/>
        <v>597</v>
      </c>
      <c r="E244" s="8">
        <f t="shared" si="438"/>
        <v>597</v>
      </c>
      <c r="F244" s="8">
        <f>IF(F$3="","",E244)</f>
        <v>597</v>
      </c>
      <c r="G244" s="59">
        <f t="shared" si="439"/>
        <v>597</v>
      </c>
      <c r="H244" s="8">
        <f t="shared" si="439"/>
        <v>597</v>
      </c>
      <c r="I244" s="8">
        <f>IF(I$3="","",H244)</f>
        <v>597</v>
      </c>
      <c r="J244" s="59">
        <f t="shared" si="440"/>
        <v>597</v>
      </c>
      <c r="K244" s="8">
        <f t="shared" si="440"/>
        <v>597</v>
      </c>
      <c r="L244" s="8">
        <f>IF(L$3="","",K244)</f>
        <v>597</v>
      </c>
      <c r="M244" s="59">
        <f t="shared" si="441"/>
        <v>597</v>
      </c>
      <c r="N244" s="8">
        <f t="shared" si="441"/>
        <v>597</v>
      </c>
      <c r="O244" s="8">
        <f t="shared" si="441"/>
        <v>597</v>
      </c>
      <c r="P244" s="8">
        <f>IF(P$3="","",O244)</f>
        <v>597</v>
      </c>
      <c r="Q244" s="59">
        <f t="shared" si="442"/>
        <v>597</v>
      </c>
      <c r="R244" s="8">
        <f t="shared" si="442"/>
        <v>597</v>
      </c>
      <c r="S244" s="8">
        <f>IF(S$3="","",R244)</f>
        <v>597</v>
      </c>
      <c r="T244" s="8">
        <f t="shared" ref="T244:AN244" si="445">IF(T$3="","",S244)</f>
        <v>597</v>
      </c>
      <c r="U244" s="8">
        <f t="shared" si="445"/>
        <v>597</v>
      </c>
      <c r="V244" s="8">
        <f t="shared" si="445"/>
        <v>597</v>
      </c>
      <c r="W244" s="8">
        <f t="shared" si="445"/>
        <v>597</v>
      </c>
      <c r="X244" s="8">
        <f t="shared" si="445"/>
        <v>597</v>
      </c>
      <c r="Y244" s="8">
        <f t="shared" si="445"/>
        <v>597</v>
      </c>
      <c r="Z244" s="8">
        <f t="shared" si="445"/>
        <v>597</v>
      </c>
      <c r="AA244" s="8">
        <f t="shared" si="445"/>
        <v>597</v>
      </c>
      <c r="AB244" s="8">
        <f t="shared" si="445"/>
        <v>597</v>
      </c>
      <c r="AC244" s="8">
        <f t="shared" si="445"/>
        <v>597</v>
      </c>
      <c r="AD244" s="8">
        <f t="shared" si="445"/>
        <v>597</v>
      </c>
      <c r="AE244" s="8">
        <f t="shared" si="445"/>
        <v>597</v>
      </c>
      <c r="AF244" s="8">
        <f t="shared" si="445"/>
        <v>597</v>
      </c>
      <c r="AG244" s="8">
        <f t="shared" si="445"/>
        <v>597</v>
      </c>
      <c r="AH244" s="8" t="str">
        <f t="shared" si="445"/>
        <v/>
      </c>
      <c r="AI244" s="8" t="str">
        <f t="shared" si="445"/>
        <v/>
      </c>
      <c r="AJ244" s="8" t="str">
        <f t="shared" si="445"/>
        <v/>
      </c>
      <c r="AK244" s="8" t="str">
        <f t="shared" si="445"/>
        <v/>
      </c>
      <c r="AL244" s="8" t="str">
        <f t="shared" si="445"/>
        <v/>
      </c>
      <c r="AM244" s="8" t="str">
        <f t="shared" si="445"/>
        <v/>
      </c>
      <c r="AN244" s="8" t="str">
        <f t="shared" si="445"/>
        <v/>
      </c>
      <c r="AO244" s="8" t="str">
        <f t="shared" ref="AO244:AS244" si="446">IF(AO$3="","",AN244)</f>
        <v/>
      </c>
      <c r="AP244" s="8" t="str">
        <f t="shared" si="446"/>
        <v/>
      </c>
      <c r="AQ244" s="8" t="str">
        <f t="shared" si="446"/>
        <v/>
      </c>
      <c r="AR244" s="8" t="str">
        <f t="shared" si="446"/>
        <v/>
      </c>
      <c r="AS244" s="8" t="str">
        <f t="shared" si="446"/>
        <v/>
      </c>
    </row>
    <row r="245" spans="1:45">
      <c r="A245" s="15">
        <v>1</v>
      </c>
      <c r="B245" s="9" t="s">
        <v>97</v>
      </c>
      <c r="C245" s="74">
        <v>1026</v>
      </c>
      <c r="D245" s="8">
        <f t="shared" si="438"/>
        <v>1026</v>
      </c>
      <c r="E245" s="8">
        <f t="shared" si="438"/>
        <v>1026</v>
      </c>
      <c r="F245" s="8">
        <f>IF(F$3="","",E245)</f>
        <v>1026</v>
      </c>
      <c r="G245" s="59">
        <f t="shared" si="439"/>
        <v>1026</v>
      </c>
      <c r="H245" s="8">
        <f t="shared" si="439"/>
        <v>1026</v>
      </c>
      <c r="I245" s="8">
        <f>IF(I$3="","",H245)</f>
        <v>1026</v>
      </c>
      <c r="J245" s="59">
        <f t="shared" si="440"/>
        <v>1026</v>
      </c>
      <c r="K245" s="8">
        <f t="shared" si="440"/>
        <v>1026</v>
      </c>
      <c r="L245" s="8">
        <f>IF(L$3="","",K245)</f>
        <v>1026</v>
      </c>
      <c r="M245" s="59">
        <f t="shared" si="441"/>
        <v>1026</v>
      </c>
      <c r="N245" s="8">
        <f t="shared" si="441"/>
        <v>1026</v>
      </c>
      <c r="O245" s="8">
        <f t="shared" si="441"/>
        <v>1026</v>
      </c>
      <c r="P245" s="8">
        <f>IF(P$3="","",O245)</f>
        <v>1026</v>
      </c>
      <c r="Q245" s="59">
        <f t="shared" si="442"/>
        <v>1026</v>
      </c>
      <c r="R245" s="8">
        <f t="shared" si="442"/>
        <v>1026</v>
      </c>
      <c r="S245" s="8">
        <f>IF(S$3="","",R245)</f>
        <v>1026</v>
      </c>
      <c r="T245" s="8">
        <f t="shared" ref="T245:AN245" si="447">IF(T$3="","",S245)</f>
        <v>1026</v>
      </c>
      <c r="U245" s="8">
        <f t="shared" si="447"/>
        <v>1026</v>
      </c>
      <c r="V245" s="8">
        <f t="shared" si="447"/>
        <v>1026</v>
      </c>
      <c r="W245" s="8">
        <f t="shared" si="447"/>
        <v>1026</v>
      </c>
      <c r="X245" s="8">
        <f t="shared" si="447"/>
        <v>1026</v>
      </c>
      <c r="Y245" s="8">
        <f t="shared" si="447"/>
        <v>1026</v>
      </c>
      <c r="Z245" s="8">
        <f t="shared" si="447"/>
        <v>1026</v>
      </c>
      <c r="AA245" s="8">
        <f t="shared" si="447"/>
        <v>1026</v>
      </c>
      <c r="AB245" s="8">
        <f t="shared" si="447"/>
        <v>1026</v>
      </c>
      <c r="AC245" s="8">
        <f t="shared" si="447"/>
        <v>1026</v>
      </c>
      <c r="AD245" s="8">
        <f t="shared" si="447"/>
        <v>1026</v>
      </c>
      <c r="AE245" s="8">
        <f t="shared" si="447"/>
        <v>1026</v>
      </c>
      <c r="AF245" s="8">
        <f t="shared" si="447"/>
        <v>1026</v>
      </c>
      <c r="AG245" s="8">
        <f t="shared" si="447"/>
        <v>1026</v>
      </c>
      <c r="AH245" s="8" t="str">
        <f t="shared" si="447"/>
        <v/>
      </c>
      <c r="AI245" s="8" t="str">
        <f t="shared" si="447"/>
        <v/>
      </c>
      <c r="AJ245" s="8" t="str">
        <f t="shared" si="447"/>
        <v/>
      </c>
      <c r="AK245" s="8" t="str">
        <f t="shared" si="447"/>
        <v/>
      </c>
      <c r="AL245" s="8" t="str">
        <f t="shared" si="447"/>
        <v/>
      </c>
      <c r="AM245" s="8" t="str">
        <f t="shared" si="447"/>
        <v/>
      </c>
      <c r="AN245" s="8" t="str">
        <f t="shared" si="447"/>
        <v/>
      </c>
      <c r="AO245" s="8" t="str">
        <f t="shared" ref="AO245:AS245" si="448">IF(AO$3="","",AN245)</f>
        <v/>
      </c>
      <c r="AP245" s="8" t="str">
        <f t="shared" si="448"/>
        <v/>
      </c>
      <c r="AQ245" s="8" t="str">
        <f t="shared" si="448"/>
        <v/>
      </c>
      <c r="AR245" s="8" t="str">
        <f t="shared" si="448"/>
        <v/>
      </c>
      <c r="AS245" s="8" t="str">
        <f t="shared" si="448"/>
        <v/>
      </c>
    </row>
    <row r="246" spans="1:45">
      <c r="A246" s="14"/>
      <c r="B246" s="9" t="s">
        <v>98</v>
      </c>
      <c r="C246" s="74">
        <v>1690</v>
      </c>
      <c r="D246" s="8">
        <f t="shared" si="438"/>
        <v>1690</v>
      </c>
      <c r="E246" s="8">
        <f t="shared" si="438"/>
        <v>1690</v>
      </c>
      <c r="F246" s="8">
        <f>IF(F$3="","",E246)</f>
        <v>1690</v>
      </c>
      <c r="G246" s="59">
        <f t="shared" si="439"/>
        <v>1690</v>
      </c>
      <c r="H246" s="8">
        <f t="shared" si="439"/>
        <v>1690</v>
      </c>
      <c r="I246" s="8">
        <f>IF(I$3="","",H246)</f>
        <v>1690</v>
      </c>
      <c r="J246" s="59">
        <f t="shared" si="440"/>
        <v>1690</v>
      </c>
      <c r="K246" s="8">
        <f t="shared" si="440"/>
        <v>1690</v>
      </c>
      <c r="L246" s="8">
        <f>IF(L$3="","",K246)</f>
        <v>1690</v>
      </c>
      <c r="M246" s="59">
        <f t="shared" si="441"/>
        <v>1690</v>
      </c>
      <c r="N246" s="8">
        <f t="shared" si="441"/>
        <v>1690</v>
      </c>
      <c r="O246" s="8">
        <f t="shared" si="441"/>
        <v>1690</v>
      </c>
      <c r="P246" s="8">
        <f>IF(P$3="","",O246)</f>
        <v>1690</v>
      </c>
      <c r="Q246" s="59">
        <f t="shared" si="442"/>
        <v>1690</v>
      </c>
      <c r="R246" s="8">
        <f t="shared" si="442"/>
        <v>1690</v>
      </c>
      <c r="S246" s="8">
        <f>IF(S$3="","",R246)</f>
        <v>1690</v>
      </c>
      <c r="T246" s="8">
        <f t="shared" ref="T246:AN246" si="449">IF(T$3="","",S246)</f>
        <v>1690</v>
      </c>
      <c r="U246" s="8">
        <f t="shared" si="449"/>
        <v>1690</v>
      </c>
      <c r="V246" s="8">
        <f t="shared" si="449"/>
        <v>1690</v>
      </c>
      <c r="W246" s="8">
        <f t="shared" si="449"/>
        <v>1690</v>
      </c>
      <c r="X246" s="8">
        <f t="shared" si="449"/>
        <v>1690</v>
      </c>
      <c r="Y246" s="8">
        <f t="shared" si="449"/>
        <v>1690</v>
      </c>
      <c r="Z246" s="8">
        <v>1691</v>
      </c>
      <c r="AA246" s="8">
        <f t="shared" si="449"/>
        <v>1691</v>
      </c>
      <c r="AB246" s="8">
        <f t="shared" si="449"/>
        <v>1691</v>
      </c>
      <c r="AC246" s="8">
        <f t="shared" si="449"/>
        <v>1691</v>
      </c>
      <c r="AD246" s="8">
        <f t="shared" si="449"/>
        <v>1691</v>
      </c>
      <c r="AE246" s="8">
        <f t="shared" si="449"/>
        <v>1691</v>
      </c>
      <c r="AF246" s="8">
        <f t="shared" si="449"/>
        <v>1691</v>
      </c>
      <c r="AG246" s="8">
        <f t="shared" si="449"/>
        <v>1691</v>
      </c>
      <c r="AH246" s="8" t="str">
        <f t="shared" si="449"/>
        <v/>
      </c>
      <c r="AI246" s="8" t="str">
        <f t="shared" si="449"/>
        <v/>
      </c>
      <c r="AJ246" s="8" t="str">
        <f t="shared" si="449"/>
        <v/>
      </c>
      <c r="AK246" s="8" t="str">
        <f t="shared" si="449"/>
        <v/>
      </c>
      <c r="AL246" s="8" t="str">
        <f t="shared" si="449"/>
        <v/>
      </c>
      <c r="AM246" s="8" t="str">
        <f t="shared" si="449"/>
        <v/>
      </c>
      <c r="AN246" s="8" t="str">
        <f t="shared" si="449"/>
        <v/>
      </c>
      <c r="AO246" s="8" t="str">
        <f t="shared" ref="AO246:AS246" si="450">IF(AO$3="","",AN246)</f>
        <v/>
      </c>
      <c r="AP246" s="8" t="str">
        <f t="shared" si="450"/>
        <v/>
      </c>
      <c r="AQ246" s="8" t="str">
        <f t="shared" si="450"/>
        <v/>
      </c>
      <c r="AR246" s="8" t="str">
        <f t="shared" si="450"/>
        <v/>
      </c>
      <c r="AS246" s="8" t="str">
        <f t="shared" si="450"/>
        <v/>
      </c>
    </row>
    <row r="247" spans="1:45">
      <c r="A247" s="7"/>
      <c r="B247" s="9" t="s">
        <v>8</v>
      </c>
      <c r="C247" s="74">
        <v>1050</v>
      </c>
      <c r="D247" s="8">
        <f t="shared" ref="D247:AN247" si="451">IF(D243="","",C247)</f>
        <v>1050</v>
      </c>
      <c r="E247" s="8">
        <f t="shared" si="451"/>
        <v>1050</v>
      </c>
      <c r="F247" s="8">
        <f t="shared" si="451"/>
        <v>1050</v>
      </c>
      <c r="G247" s="59">
        <f t="shared" si="451"/>
        <v>1050</v>
      </c>
      <c r="H247" s="8">
        <f t="shared" si="451"/>
        <v>1050</v>
      </c>
      <c r="I247" s="8">
        <f t="shared" si="451"/>
        <v>1050</v>
      </c>
      <c r="J247" s="59">
        <f t="shared" si="451"/>
        <v>1050</v>
      </c>
      <c r="K247" s="8">
        <f t="shared" si="451"/>
        <v>1050</v>
      </c>
      <c r="L247" s="8">
        <f t="shared" si="451"/>
        <v>1050</v>
      </c>
      <c r="M247" s="59">
        <f t="shared" si="451"/>
        <v>1050</v>
      </c>
      <c r="N247" s="8">
        <f t="shared" si="451"/>
        <v>1050</v>
      </c>
      <c r="O247" s="8">
        <f t="shared" si="451"/>
        <v>1050</v>
      </c>
      <c r="P247" s="8">
        <f t="shared" si="451"/>
        <v>1050</v>
      </c>
      <c r="Q247" s="59">
        <f t="shared" si="451"/>
        <v>1050</v>
      </c>
      <c r="R247" s="8">
        <f t="shared" si="451"/>
        <v>1050</v>
      </c>
      <c r="S247" s="8">
        <f t="shared" si="451"/>
        <v>1050</v>
      </c>
      <c r="T247" s="8">
        <f t="shared" si="451"/>
        <v>1050</v>
      </c>
      <c r="U247" s="8">
        <f t="shared" si="451"/>
        <v>1050</v>
      </c>
      <c r="V247" s="8">
        <f t="shared" si="451"/>
        <v>1050</v>
      </c>
      <c r="W247" s="8">
        <f t="shared" si="451"/>
        <v>1050</v>
      </c>
      <c r="X247" s="8">
        <f t="shared" si="451"/>
        <v>1050</v>
      </c>
      <c r="Y247" s="8">
        <f t="shared" si="451"/>
        <v>1050</v>
      </c>
      <c r="Z247" s="8">
        <f t="shared" si="451"/>
        <v>1050</v>
      </c>
      <c r="AA247" s="8">
        <f t="shared" si="451"/>
        <v>1050</v>
      </c>
      <c r="AB247" s="8">
        <f t="shared" si="451"/>
        <v>1050</v>
      </c>
      <c r="AC247" s="8">
        <f t="shared" si="451"/>
        <v>1050</v>
      </c>
      <c r="AD247" s="8">
        <f t="shared" si="451"/>
        <v>1050</v>
      </c>
      <c r="AE247" s="8">
        <f t="shared" si="451"/>
        <v>1050</v>
      </c>
      <c r="AF247" s="8">
        <f t="shared" si="451"/>
        <v>1050</v>
      </c>
      <c r="AG247" s="8">
        <f t="shared" si="451"/>
        <v>1050</v>
      </c>
      <c r="AH247" s="8" t="str">
        <f t="shared" si="451"/>
        <v/>
      </c>
      <c r="AI247" s="8" t="str">
        <f t="shared" si="451"/>
        <v/>
      </c>
      <c r="AJ247" s="8" t="str">
        <f t="shared" si="451"/>
        <v/>
      </c>
      <c r="AK247" s="8" t="str">
        <f t="shared" si="451"/>
        <v/>
      </c>
      <c r="AL247" s="8" t="str">
        <f t="shared" si="451"/>
        <v/>
      </c>
      <c r="AM247" s="8" t="str">
        <f t="shared" si="451"/>
        <v/>
      </c>
      <c r="AN247" s="8" t="str">
        <f t="shared" si="451"/>
        <v/>
      </c>
      <c r="AO247" s="8" t="str">
        <f t="shared" ref="AO247:AS247" si="452">IF(AO243="","",AN247)</f>
        <v/>
      </c>
      <c r="AP247" s="8" t="str">
        <f t="shared" si="452"/>
        <v/>
      </c>
      <c r="AQ247" s="8" t="str">
        <f t="shared" si="452"/>
        <v/>
      </c>
      <c r="AR247" s="8" t="str">
        <f t="shared" si="452"/>
        <v/>
      </c>
      <c r="AS247" s="8" t="str">
        <f t="shared" si="452"/>
        <v/>
      </c>
    </row>
    <row r="248" spans="1:45" s="94" customFormat="1">
      <c r="A248" s="14" t="s">
        <v>9</v>
      </c>
      <c r="B248" s="13" t="s">
        <v>10</v>
      </c>
      <c r="C248" s="75" t="s">
        <v>100</v>
      </c>
      <c r="D248" s="12" t="str">
        <f t="shared" ref="D248:AN248" si="453">IF(D243="","",C248)</f>
        <v>A景品</v>
      </c>
      <c r="E248" s="12" t="str">
        <f t="shared" si="453"/>
        <v>A景品</v>
      </c>
      <c r="F248" s="12" t="str">
        <f t="shared" si="453"/>
        <v>A景品</v>
      </c>
      <c r="G248" s="131" t="str">
        <f t="shared" si="453"/>
        <v>A景品</v>
      </c>
      <c r="H248" s="12" t="str">
        <f t="shared" si="453"/>
        <v>A景品</v>
      </c>
      <c r="I248" s="12" t="str">
        <f t="shared" si="453"/>
        <v>A景品</v>
      </c>
      <c r="J248" s="131" t="str">
        <f t="shared" si="453"/>
        <v>A景品</v>
      </c>
      <c r="K248" s="12" t="str">
        <f t="shared" si="453"/>
        <v>A景品</v>
      </c>
      <c r="L248" s="12" t="str">
        <f t="shared" si="453"/>
        <v>A景品</v>
      </c>
      <c r="M248" s="131" t="str">
        <f t="shared" si="453"/>
        <v>A景品</v>
      </c>
      <c r="N248" s="12" t="str">
        <f t="shared" si="453"/>
        <v>A景品</v>
      </c>
      <c r="O248" s="12" t="str">
        <f t="shared" si="453"/>
        <v>A景品</v>
      </c>
      <c r="P248" s="12" t="str">
        <f t="shared" si="453"/>
        <v>A景品</v>
      </c>
      <c r="Q248" s="131" t="str">
        <f t="shared" si="453"/>
        <v>A景品</v>
      </c>
      <c r="R248" s="12" t="str">
        <f t="shared" si="453"/>
        <v>A景品</v>
      </c>
      <c r="S248" s="12" t="str">
        <f t="shared" si="453"/>
        <v>A景品</v>
      </c>
      <c r="T248" s="12" t="str">
        <f t="shared" si="453"/>
        <v>A景品</v>
      </c>
      <c r="U248" s="12" t="str">
        <f t="shared" si="453"/>
        <v>A景品</v>
      </c>
      <c r="V248" s="12" t="str">
        <f t="shared" si="453"/>
        <v>A景品</v>
      </c>
      <c r="W248" s="12" t="str">
        <f t="shared" si="453"/>
        <v>A景品</v>
      </c>
      <c r="X248" s="12" t="str">
        <f t="shared" si="453"/>
        <v>A景品</v>
      </c>
      <c r="Y248" s="12" t="str">
        <f t="shared" si="453"/>
        <v>A景品</v>
      </c>
      <c r="Z248" s="12" t="str">
        <f t="shared" si="453"/>
        <v>A景品</v>
      </c>
      <c r="AA248" s="12" t="str">
        <f t="shared" si="453"/>
        <v>A景品</v>
      </c>
      <c r="AB248" s="12" t="str">
        <f t="shared" si="453"/>
        <v>A景品</v>
      </c>
      <c r="AC248" s="12" t="str">
        <f t="shared" si="453"/>
        <v>A景品</v>
      </c>
      <c r="AD248" s="12" t="str">
        <f t="shared" si="453"/>
        <v>A景品</v>
      </c>
      <c r="AE248" s="12" t="str">
        <f t="shared" si="453"/>
        <v>A景品</v>
      </c>
      <c r="AF248" s="12" t="str">
        <f t="shared" si="453"/>
        <v>A景品</v>
      </c>
      <c r="AG248" s="12" t="str">
        <f t="shared" si="453"/>
        <v>A景品</v>
      </c>
      <c r="AH248" s="12" t="str">
        <f t="shared" si="453"/>
        <v/>
      </c>
      <c r="AI248" s="12" t="str">
        <f t="shared" si="453"/>
        <v/>
      </c>
      <c r="AJ248" s="12" t="str">
        <f t="shared" si="453"/>
        <v/>
      </c>
      <c r="AK248" s="12" t="str">
        <f t="shared" si="453"/>
        <v/>
      </c>
      <c r="AL248" s="12" t="str">
        <f t="shared" si="453"/>
        <v/>
      </c>
      <c r="AM248" s="12" t="str">
        <f t="shared" si="453"/>
        <v/>
      </c>
      <c r="AN248" s="12" t="str">
        <f t="shared" si="453"/>
        <v/>
      </c>
      <c r="AO248" s="12" t="str">
        <f t="shared" ref="AO248:AS248" si="454">IF(AO243="","",AN248)</f>
        <v/>
      </c>
      <c r="AP248" s="12" t="str">
        <f t="shared" si="454"/>
        <v/>
      </c>
      <c r="AQ248" s="12" t="str">
        <f t="shared" si="454"/>
        <v/>
      </c>
      <c r="AR248" s="12" t="str">
        <f t="shared" si="454"/>
        <v/>
      </c>
      <c r="AS248" s="12" t="str">
        <f t="shared" si="454"/>
        <v/>
      </c>
    </row>
    <row r="249" spans="1:45">
      <c r="A249" s="7">
        <f>AVERAGE(C250:AS250)*30*100</f>
        <v>59903.225806451606</v>
      </c>
      <c r="B249" s="9" t="s">
        <v>14</v>
      </c>
      <c r="C249" s="74"/>
      <c r="D249" s="8"/>
      <c r="E249" s="8"/>
      <c r="F249" s="8"/>
      <c r="G249" s="59"/>
      <c r="H249" s="8"/>
      <c r="I249" s="8"/>
      <c r="J249" s="59"/>
      <c r="K249" s="8"/>
      <c r="L249" s="8"/>
      <c r="M249" s="59"/>
      <c r="N249" s="8"/>
      <c r="O249" s="8"/>
      <c r="P249" s="8"/>
      <c r="Q249" s="59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</row>
    <row r="250" spans="1:45">
      <c r="A250" s="7">
        <f>SUM(C250:AS250)</f>
        <v>619</v>
      </c>
      <c r="B250" s="6" t="s">
        <v>15</v>
      </c>
      <c r="C250" s="74">
        <v>0</v>
      </c>
      <c r="D250" s="5">
        <f t="shared" ref="D250:AN250" si="455">IF(D243="","",D243-C243)</f>
        <v>0</v>
      </c>
      <c r="E250" s="5">
        <f t="shared" si="455"/>
        <v>0</v>
      </c>
      <c r="F250" s="5">
        <f t="shared" si="455"/>
        <v>91</v>
      </c>
      <c r="G250" s="59">
        <f t="shared" si="455"/>
        <v>0</v>
      </c>
      <c r="H250" s="5">
        <f t="shared" si="455"/>
        <v>0</v>
      </c>
      <c r="I250" s="5">
        <f t="shared" si="455"/>
        <v>36</v>
      </c>
      <c r="J250" s="59">
        <f t="shared" si="455"/>
        <v>0</v>
      </c>
      <c r="K250" s="5">
        <f t="shared" si="455"/>
        <v>0</v>
      </c>
      <c r="L250" s="5">
        <f t="shared" si="455"/>
        <v>91</v>
      </c>
      <c r="M250" s="59">
        <f t="shared" si="455"/>
        <v>0</v>
      </c>
      <c r="N250" s="5">
        <f t="shared" si="455"/>
        <v>0</v>
      </c>
      <c r="O250" s="5">
        <f t="shared" si="455"/>
        <v>0</v>
      </c>
      <c r="P250" s="5">
        <f t="shared" si="455"/>
        <v>69</v>
      </c>
      <c r="Q250" s="59">
        <f t="shared" si="455"/>
        <v>0</v>
      </c>
      <c r="R250" s="5">
        <f t="shared" si="455"/>
        <v>0</v>
      </c>
      <c r="S250" s="5">
        <f t="shared" si="455"/>
        <v>86</v>
      </c>
      <c r="T250" s="5">
        <f t="shared" si="455"/>
        <v>0</v>
      </c>
      <c r="U250" s="5">
        <f t="shared" si="455"/>
        <v>0</v>
      </c>
      <c r="V250" s="5">
        <f t="shared" si="455"/>
        <v>0</v>
      </c>
      <c r="W250" s="5">
        <f t="shared" si="455"/>
        <v>35</v>
      </c>
      <c r="X250" s="5">
        <f t="shared" si="455"/>
        <v>0</v>
      </c>
      <c r="Y250" s="5">
        <f t="shared" si="455"/>
        <v>0</v>
      </c>
      <c r="Z250" s="5">
        <f t="shared" si="455"/>
        <v>37</v>
      </c>
      <c r="AA250" s="5">
        <f t="shared" si="455"/>
        <v>0</v>
      </c>
      <c r="AB250" s="5">
        <f t="shared" si="455"/>
        <v>0</v>
      </c>
      <c r="AC250" s="5">
        <f t="shared" si="455"/>
        <v>0</v>
      </c>
      <c r="AD250" s="5">
        <f t="shared" si="455"/>
        <v>57</v>
      </c>
      <c r="AE250" s="5">
        <f t="shared" si="455"/>
        <v>0</v>
      </c>
      <c r="AF250" s="5">
        <f t="shared" si="455"/>
        <v>0</v>
      </c>
      <c r="AG250" s="5">
        <f t="shared" si="455"/>
        <v>117</v>
      </c>
      <c r="AH250" s="5" t="str">
        <f t="shared" si="455"/>
        <v/>
      </c>
      <c r="AI250" s="5" t="str">
        <f t="shared" si="455"/>
        <v/>
      </c>
      <c r="AJ250" s="5" t="str">
        <f t="shared" si="455"/>
        <v/>
      </c>
      <c r="AK250" s="5" t="str">
        <f t="shared" si="455"/>
        <v/>
      </c>
      <c r="AL250" s="5" t="str">
        <f t="shared" si="455"/>
        <v/>
      </c>
      <c r="AM250" s="5" t="str">
        <f t="shared" si="455"/>
        <v/>
      </c>
      <c r="AN250" s="5" t="str">
        <f t="shared" si="455"/>
        <v/>
      </c>
      <c r="AO250" s="5" t="str">
        <f t="shared" ref="AO250:AS250" si="456">IF(AO243="","",AO243-AN243)</f>
        <v/>
      </c>
      <c r="AP250" s="5" t="str">
        <f t="shared" si="456"/>
        <v/>
      </c>
      <c r="AQ250" s="5" t="str">
        <f t="shared" si="456"/>
        <v/>
      </c>
      <c r="AR250" s="5" t="str">
        <f t="shared" si="456"/>
        <v/>
      </c>
      <c r="AS250" s="5" t="str">
        <f t="shared" si="456"/>
        <v/>
      </c>
    </row>
    <row r="251" spans="1:45">
      <c r="A251" s="7">
        <f>SUM(C251:AS251)</f>
        <v>1</v>
      </c>
      <c r="B251" s="6" t="s">
        <v>16</v>
      </c>
      <c r="C251" s="74">
        <v>0</v>
      </c>
      <c r="D251" s="5">
        <f t="shared" ref="D251:AN251" si="457">IF(D244="","",(D244+D245+D246-C244-C245-C246))</f>
        <v>0</v>
      </c>
      <c r="E251" s="5">
        <f t="shared" si="457"/>
        <v>0</v>
      </c>
      <c r="F251" s="5">
        <f t="shared" si="457"/>
        <v>0</v>
      </c>
      <c r="G251" s="59">
        <f t="shared" si="457"/>
        <v>0</v>
      </c>
      <c r="H251" s="5">
        <f t="shared" si="457"/>
        <v>0</v>
      </c>
      <c r="I251" s="5">
        <f t="shared" si="457"/>
        <v>0</v>
      </c>
      <c r="J251" s="59">
        <f t="shared" si="457"/>
        <v>0</v>
      </c>
      <c r="K251" s="5">
        <f t="shared" si="457"/>
        <v>0</v>
      </c>
      <c r="L251" s="5">
        <f t="shared" si="457"/>
        <v>0</v>
      </c>
      <c r="M251" s="59">
        <f t="shared" si="457"/>
        <v>0</v>
      </c>
      <c r="N251" s="5">
        <f t="shared" si="457"/>
        <v>0</v>
      </c>
      <c r="O251" s="5">
        <f t="shared" si="457"/>
        <v>0</v>
      </c>
      <c r="P251" s="5">
        <f t="shared" si="457"/>
        <v>0</v>
      </c>
      <c r="Q251" s="59">
        <f t="shared" si="457"/>
        <v>0</v>
      </c>
      <c r="R251" s="5">
        <f t="shared" si="457"/>
        <v>0</v>
      </c>
      <c r="S251" s="5">
        <f t="shared" si="457"/>
        <v>0</v>
      </c>
      <c r="T251" s="5">
        <f t="shared" si="457"/>
        <v>0</v>
      </c>
      <c r="U251" s="5">
        <f t="shared" si="457"/>
        <v>0</v>
      </c>
      <c r="V251" s="5">
        <f t="shared" si="457"/>
        <v>0</v>
      </c>
      <c r="W251" s="5">
        <f t="shared" si="457"/>
        <v>0</v>
      </c>
      <c r="X251" s="5">
        <f t="shared" si="457"/>
        <v>0</v>
      </c>
      <c r="Y251" s="5">
        <f t="shared" si="457"/>
        <v>0</v>
      </c>
      <c r="Z251" s="5">
        <f t="shared" si="457"/>
        <v>1</v>
      </c>
      <c r="AA251" s="5">
        <f t="shared" si="457"/>
        <v>0</v>
      </c>
      <c r="AB251" s="5">
        <f t="shared" si="457"/>
        <v>0</v>
      </c>
      <c r="AC251" s="5">
        <f t="shared" si="457"/>
        <v>0</v>
      </c>
      <c r="AD251" s="5">
        <f t="shared" si="457"/>
        <v>0</v>
      </c>
      <c r="AE251" s="5">
        <f t="shared" si="457"/>
        <v>0</v>
      </c>
      <c r="AF251" s="5">
        <f t="shared" si="457"/>
        <v>0</v>
      </c>
      <c r="AG251" s="5">
        <f t="shared" si="457"/>
        <v>0</v>
      </c>
      <c r="AH251" s="5" t="str">
        <f t="shared" si="457"/>
        <v/>
      </c>
      <c r="AI251" s="5" t="str">
        <f t="shared" si="457"/>
        <v/>
      </c>
      <c r="AJ251" s="5" t="str">
        <f t="shared" si="457"/>
        <v/>
      </c>
      <c r="AK251" s="5" t="str">
        <f t="shared" si="457"/>
        <v/>
      </c>
      <c r="AL251" s="5" t="str">
        <f t="shared" si="457"/>
        <v/>
      </c>
      <c r="AM251" s="5" t="str">
        <f t="shared" si="457"/>
        <v/>
      </c>
      <c r="AN251" s="5" t="str">
        <f t="shared" si="457"/>
        <v/>
      </c>
      <c r="AO251" s="5" t="str">
        <f t="shared" ref="AO251:AS251" si="458">IF(AO244="","",(AO244+AO245+AO246-AN244-AN245-AN246))</f>
        <v/>
      </c>
      <c r="AP251" s="5" t="str">
        <f t="shared" si="458"/>
        <v/>
      </c>
      <c r="AQ251" s="5" t="str">
        <f t="shared" si="458"/>
        <v/>
      </c>
      <c r="AR251" s="5" t="str">
        <f t="shared" si="458"/>
        <v/>
      </c>
      <c r="AS251" s="5" t="str">
        <f t="shared" si="458"/>
        <v/>
      </c>
    </row>
    <row r="252" spans="1:45">
      <c r="A252" s="7">
        <f>SUM(C252:AS252)</f>
        <v>1</v>
      </c>
      <c r="B252" s="6" t="s">
        <v>17</v>
      </c>
      <c r="C252" s="74">
        <v>0</v>
      </c>
      <c r="D252" s="5">
        <f t="shared" ref="D252:AN252" si="459">D251</f>
        <v>0</v>
      </c>
      <c r="E252" s="5">
        <f t="shared" si="459"/>
        <v>0</v>
      </c>
      <c r="F252" s="5">
        <f t="shared" si="459"/>
        <v>0</v>
      </c>
      <c r="G252" s="59">
        <f t="shared" si="459"/>
        <v>0</v>
      </c>
      <c r="H252" s="5">
        <f t="shared" si="459"/>
        <v>0</v>
      </c>
      <c r="I252" s="5">
        <f t="shared" si="459"/>
        <v>0</v>
      </c>
      <c r="J252" s="59">
        <f t="shared" si="459"/>
        <v>0</v>
      </c>
      <c r="K252" s="5">
        <f t="shared" si="459"/>
        <v>0</v>
      </c>
      <c r="L252" s="5">
        <f t="shared" si="459"/>
        <v>0</v>
      </c>
      <c r="M252" s="59">
        <f t="shared" si="459"/>
        <v>0</v>
      </c>
      <c r="N252" s="5">
        <f t="shared" si="459"/>
        <v>0</v>
      </c>
      <c r="O252" s="5">
        <f t="shared" si="459"/>
        <v>0</v>
      </c>
      <c r="P252" s="5">
        <f t="shared" si="459"/>
        <v>0</v>
      </c>
      <c r="Q252" s="59">
        <f t="shared" si="459"/>
        <v>0</v>
      </c>
      <c r="R252" s="5">
        <f t="shared" si="459"/>
        <v>0</v>
      </c>
      <c r="S252" s="5">
        <f t="shared" si="459"/>
        <v>0</v>
      </c>
      <c r="T252" s="5">
        <f t="shared" si="459"/>
        <v>0</v>
      </c>
      <c r="U252" s="5">
        <f t="shared" si="459"/>
        <v>0</v>
      </c>
      <c r="V252" s="5">
        <f t="shared" si="459"/>
        <v>0</v>
      </c>
      <c r="W252" s="5">
        <f t="shared" si="459"/>
        <v>0</v>
      </c>
      <c r="X252" s="5">
        <f t="shared" si="459"/>
        <v>0</v>
      </c>
      <c r="Y252" s="5">
        <f t="shared" si="459"/>
        <v>0</v>
      </c>
      <c r="Z252" s="5">
        <f t="shared" si="459"/>
        <v>1</v>
      </c>
      <c r="AA252" s="5">
        <f t="shared" si="459"/>
        <v>0</v>
      </c>
      <c r="AB252" s="5">
        <f t="shared" si="459"/>
        <v>0</v>
      </c>
      <c r="AC252" s="5">
        <f t="shared" si="459"/>
        <v>0</v>
      </c>
      <c r="AD252" s="5">
        <f t="shared" si="459"/>
        <v>0</v>
      </c>
      <c r="AE252" s="5">
        <f t="shared" si="459"/>
        <v>0</v>
      </c>
      <c r="AF252" s="5">
        <f t="shared" si="459"/>
        <v>0</v>
      </c>
      <c r="AG252" s="5">
        <f t="shared" si="459"/>
        <v>0</v>
      </c>
      <c r="AH252" s="5" t="str">
        <f t="shared" si="459"/>
        <v/>
      </c>
      <c r="AI252" s="5" t="str">
        <f t="shared" si="459"/>
        <v/>
      </c>
      <c r="AJ252" s="5" t="str">
        <f t="shared" si="459"/>
        <v/>
      </c>
      <c r="AK252" s="5" t="str">
        <f t="shared" si="459"/>
        <v/>
      </c>
      <c r="AL252" s="5" t="str">
        <f t="shared" si="459"/>
        <v/>
      </c>
      <c r="AM252" s="5" t="str">
        <f t="shared" si="459"/>
        <v/>
      </c>
      <c r="AN252" s="5" t="str">
        <f t="shared" si="459"/>
        <v/>
      </c>
      <c r="AO252" s="5" t="str">
        <f t="shared" ref="AO252:AS252" si="460">AO251</f>
        <v/>
      </c>
      <c r="AP252" s="5" t="str">
        <f t="shared" si="460"/>
        <v/>
      </c>
      <c r="AQ252" s="5" t="str">
        <f t="shared" si="460"/>
        <v/>
      </c>
      <c r="AR252" s="5" t="str">
        <f t="shared" si="460"/>
        <v/>
      </c>
      <c r="AS252" s="5" t="str">
        <f t="shared" si="460"/>
        <v/>
      </c>
    </row>
    <row r="253" spans="1:45">
      <c r="A253" s="7">
        <f>SUM(C253:AS253)</f>
        <v>1050</v>
      </c>
      <c r="B253" s="6" t="s">
        <v>18</v>
      </c>
      <c r="C253" s="74">
        <v>0</v>
      </c>
      <c r="D253" s="5">
        <f t="shared" ref="D253:AN253" si="461">IF(D243="","",D252*D247)</f>
        <v>0</v>
      </c>
      <c r="E253" s="5">
        <f t="shared" si="461"/>
        <v>0</v>
      </c>
      <c r="F253" s="5">
        <f t="shared" si="461"/>
        <v>0</v>
      </c>
      <c r="G253" s="59">
        <f t="shared" si="461"/>
        <v>0</v>
      </c>
      <c r="H253" s="5">
        <f t="shared" si="461"/>
        <v>0</v>
      </c>
      <c r="I253" s="5">
        <f t="shared" si="461"/>
        <v>0</v>
      </c>
      <c r="J253" s="59">
        <f t="shared" si="461"/>
        <v>0</v>
      </c>
      <c r="K253" s="5">
        <f t="shared" si="461"/>
        <v>0</v>
      </c>
      <c r="L253" s="5">
        <f t="shared" si="461"/>
        <v>0</v>
      </c>
      <c r="M253" s="59">
        <f t="shared" si="461"/>
        <v>0</v>
      </c>
      <c r="N253" s="5">
        <f t="shared" si="461"/>
        <v>0</v>
      </c>
      <c r="O253" s="5">
        <f t="shared" si="461"/>
        <v>0</v>
      </c>
      <c r="P253" s="5">
        <f t="shared" si="461"/>
        <v>0</v>
      </c>
      <c r="Q253" s="59">
        <f t="shared" si="461"/>
        <v>0</v>
      </c>
      <c r="R253" s="5">
        <f t="shared" si="461"/>
        <v>0</v>
      </c>
      <c r="S253" s="5">
        <f t="shared" si="461"/>
        <v>0</v>
      </c>
      <c r="T253" s="5">
        <f t="shared" si="461"/>
        <v>0</v>
      </c>
      <c r="U253" s="5">
        <f t="shared" si="461"/>
        <v>0</v>
      </c>
      <c r="V253" s="5">
        <f t="shared" si="461"/>
        <v>0</v>
      </c>
      <c r="W253" s="5">
        <f t="shared" si="461"/>
        <v>0</v>
      </c>
      <c r="X253" s="5">
        <f t="shared" si="461"/>
        <v>0</v>
      </c>
      <c r="Y253" s="5">
        <f t="shared" si="461"/>
        <v>0</v>
      </c>
      <c r="Z253" s="5">
        <f t="shared" si="461"/>
        <v>1050</v>
      </c>
      <c r="AA253" s="5">
        <f t="shared" si="461"/>
        <v>0</v>
      </c>
      <c r="AB253" s="5">
        <f t="shared" si="461"/>
        <v>0</v>
      </c>
      <c r="AC253" s="5">
        <f t="shared" si="461"/>
        <v>0</v>
      </c>
      <c r="AD253" s="5">
        <f t="shared" si="461"/>
        <v>0</v>
      </c>
      <c r="AE253" s="5">
        <f t="shared" si="461"/>
        <v>0</v>
      </c>
      <c r="AF253" s="5">
        <f t="shared" si="461"/>
        <v>0</v>
      </c>
      <c r="AG253" s="5">
        <f t="shared" si="461"/>
        <v>0</v>
      </c>
      <c r="AH253" s="5" t="str">
        <f t="shared" si="461"/>
        <v/>
      </c>
      <c r="AI253" s="5" t="str">
        <f t="shared" si="461"/>
        <v/>
      </c>
      <c r="AJ253" s="5" t="str">
        <f t="shared" si="461"/>
        <v/>
      </c>
      <c r="AK253" s="5" t="str">
        <f t="shared" si="461"/>
        <v/>
      </c>
      <c r="AL253" s="5" t="str">
        <f t="shared" si="461"/>
        <v/>
      </c>
      <c r="AM253" s="5" t="str">
        <f t="shared" si="461"/>
        <v/>
      </c>
      <c r="AN253" s="5" t="str">
        <f t="shared" si="461"/>
        <v/>
      </c>
      <c r="AO253" s="5" t="str">
        <f t="shared" ref="AO253:AS253" si="462">IF(AO243="","",AO252*AO247)</f>
        <v/>
      </c>
      <c r="AP253" s="5" t="str">
        <f t="shared" si="462"/>
        <v/>
      </c>
      <c r="AQ253" s="5" t="str">
        <f t="shared" si="462"/>
        <v/>
      </c>
      <c r="AR253" s="5" t="str">
        <f t="shared" si="462"/>
        <v/>
      </c>
      <c r="AS253" s="5" t="str">
        <f t="shared" si="462"/>
        <v/>
      </c>
    </row>
    <row r="254" spans="1:45" ht="12" thickBot="1">
      <c r="A254" s="4">
        <f>IF(A253="","",A253/(A250*100))</f>
        <v>1.6962843295638127E-2</v>
      </c>
      <c r="B254" s="3" t="s">
        <v>20</v>
      </c>
      <c r="C254" s="77" t="s">
        <v>21</v>
      </c>
      <c r="D254" s="2" t="str">
        <f t="shared" ref="D254:AN254" si="463">IF(D253="","",IF(D253=0,"",D253/(D250*100)))</f>
        <v/>
      </c>
      <c r="E254" s="2" t="str">
        <f t="shared" si="463"/>
        <v/>
      </c>
      <c r="F254" s="2" t="str">
        <f t="shared" si="463"/>
        <v/>
      </c>
      <c r="G254" s="57" t="str">
        <f t="shared" si="463"/>
        <v/>
      </c>
      <c r="H254" s="2" t="str">
        <f t="shared" si="463"/>
        <v/>
      </c>
      <c r="I254" s="2" t="str">
        <f t="shared" si="463"/>
        <v/>
      </c>
      <c r="J254" s="57" t="str">
        <f t="shared" si="463"/>
        <v/>
      </c>
      <c r="K254" s="2" t="str">
        <f t="shared" si="463"/>
        <v/>
      </c>
      <c r="L254" s="2" t="str">
        <f t="shared" si="463"/>
        <v/>
      </c>
      <c r="M254" s="57" t="str">
        <f t="shared" si="463"/>
        <v/>
      </c>
      <c r="N254" s="2" t="str">
        <f t="shared" si="463"/>
        <v/>
      </c>
      <c r="O254" s="2" t="str">
        <f t="shared" si="463"/>
        <v/>
      </c>
      <c r="P254" s="2" t="str">
        <f t="shared" si="463"/>
        <v/>
      </c>
      <c r="Q254" s="57" t="str">
        <f t="shared" si="463"/>
        <v/>
      </c>
      <c r="R254" s="2" t="str">
        <f t="shared" si="463"/>
        <v/>
      </c>
      <c r="S254" s="2" t="str">
        <f t="shared" si="463"/>
        <v/>
      </c>
      <c r="T254" s="2" t="str">
        <f t="shared" si="463"/>
        <v/>
      </c>
      <c r="U254" s="2" t="str">
        <f t="shared" si="463"/>
        <v/>
      </c>
      <c r="V254" s="2" t="str">
        <f t="shared" si="463"/>
        <v/>
      </c>
      <c r="W254" s="2" t="str">
        <f t="shared" si="463"/>
        <v/>
      </c>
      <c r="X254" s="2" t="str">
        <f t="shared" si="463"/>
        <v/>
      </c>
      <c r="Y254" s="2" t="str">
        <f t="shared" si="463"/>
        <v/>
      </c>
      <c r="Z254" s="2">
        <f t="shared" si="463"/>
        <v>0.28378378378378377</v>
      </c>
      <c r="AA254" s="2" t="str">
        <f t="shared" si="463"/>
        <v/>
      </c>
      <c r="AB254" s="2" t="str">
        <f t="shared" si="463"/>
        <v/>
      </c>
      <c r="AC254" s="2" t="str">
        <f t="shared" si="463"/>
        <v/>
      </c>
      <c r="AD254" s="2" t="str">
        <f t="shared" si="463"/>
        <v/>
      </c>
      <c r="AE254" s="2" t="str">
        <f t="shared" si="463"/>
        <v/>
      </c>
      <c r="AF254" s="2" t="str">
        <f t="shared" si="463"/>
        <v/>
      </c>
      <c r="AG254" s="2" t="str">
        <f t="shared" si="463"/>
        <v/>
      </c>
      <c r="AH254" s="2" t="str">
        <f t="shared" si="463"/>
        <v/>
      </c>
      <c r="AI254" s="2" t="str">
        <f t="shared" si="463"/>
        <v/>
      </c>
      <c r="AJ254" s="2" t="str">
        <f t="shared" si="463"/>
        <v/>
      </c>
      <c r="AK254" s="2" t="str">
        <f t="shared" si="463"/>
        <v/>
      </c>
      <c r="AL254" s="2" t="str">
        <f t="shared" si="463"/>
        <v/>
      </c>
      <c r="AM254" s="2" t="str">
        <f t="shared" si="463"/>
        <v/>
      </c>
      <c r="AN254" s="2" t="str">
        <f t="shared" si="463"/>
        <v/>
      </c>
      <c r="AO254" s="2" t="str">
        <f t="shared" ref="AO254:AS254" si="464">IF(AO253="","",IF(AO253=0,"",AO253/(AO250*100)))</f>
        <v/>
      </c>
      <c r="AP254" s="2" t="str">
        <f t="shared" si="464"/>
        <v/>
      </c>
      <c r="AQ254" s="2" t="str">
        <f t="shared" si="464"/>
        <v/>
      </c>
      <c r="AR254" s="2" t="str">
        <f t="shared" si="464"/>
        <v/>
      </c>
      <c r="AS254" s="2" t="str">
        <f t="shared" si="464"/>
        <v/>
      </c>
    </row>
    <row r="255" spans="1:45" ht="15">
      <c r="A255" s="435" t="s">
        <v>429</v>
      </c>
      <c r="B255"/>
      <c r="C255">
        <v>1</v>
      </c>
      <c r="AJ255" s="93">
        <v>1</v>
      </c>
    </row>
  </sheetData>
  <phoneticPr fontId="2"/>
  <conditionalFormatting sqref="A14">
    <cfRule type="cellIs" dxfId="106" priority="62" operator="greaterThan">
      <formula>0.25</formula>
    </cfRule>
  </conditionalFormatting>
  <conditionalFormatting sqref="A26 A29:A31 A38">
    <cfRule type="cellIs" dxfId="105" priority="63" operator="greaterThan">
      <formula>0.25</formula>
    </cfRule>
  </conditionalFormatting>
  <conditionalFormatting sqref="A50">
    <cfRule type="cellIs" dxfId="104" priority="24" operator="greaterThan">
      <formula>0.25</formula>
    </cfRule>
  </conditionalFormatting>
  <conditionalFormatting sqref="A62">
    <cfRule type="cellIs" dxfId="103" priority="25" operator="greaterThan">
      <formula>0.25</formula>
    </cfRule>
  </conditionalFormatting>
  <conditionalFormatting sqref="A74">
    <cfRule type="cellIs" dxfId="102" priority="26" operator="greaterThan">
      <formula>0.25</formula>
    </cfRule>
  </conditionalFormatting>
  <conditionalFormatting sqref="A86">
    <cfRule type="cellIs" dxfId="101" priority="64" operator="greaterThan">
      <formula>0.25</formula>
    </cfRule>
  </conditionalFormatting>
  <conditionalFormatting sqref="A98">
    <cfRule type="cellIs" dxfId="100" priority="45" operator="greaterThan">
      <formula>0.25</formula>
    </cfRule>
  </conditionalFormatting>
  <conditionalFormatting sqref="A110">
    <cfRule type="cellIs" dxfId="99" priority="65" operator="greaterThan">
      <formula>0.25</formula>
    </cfRule>
  </conditionalFormatting>
  <conditionalFormatting sqref="A122">
    <cfRule type="cellIs" dxfId="98" priority="66" operator="greaterThan">
      <formula>0.25</formula>
    </cfRule>
  </conditionalFormatting>
  <conditionalFormatting sqref="A134">
    <cfRule type="cellIs" dxfId="97" priority="67" operator="greaterThan">
      <formula>0.25</formula>
    </cfRule>
  </conditionalFormatting>
  <conditionalFormatting sqref="A146">
    <cfRule type="cellIs" dxfId="96" priority="46" operator="greaterThan">
      <formula>0.25</formula>
    </cfRule>
  </conditionalFormatting>
  <conditionalFormatting sqref="A158">
    <cfRule type="cellIs" dxfId="95" priority="68" operator="greaterThan">
      <formula>0.25</formula>
    </cfRule>
  </conditionalFormatting>
  <conditionalFormatting sqref="A170">
    <cfRule type="cellIs" dxfId="94" priority="69" operator="greaterThan">
      <formula>0.25</formula>
    </cfRule>
  </conditionalFormatting>
  <conditionalFormatting sqref="A182">
    <cfRule type="cellIs" dxfId="93" priority="70" operator="greaterThan">
      <formula>0.25</formula>
    </cfRule>
  </conditionalFormatting>
  <conditionalFormatting sqref="A194">
    <cfRule type="cellIs" dxfId="92" priority="47" operator="greaterThan">
      <formula>0.25</formula>
    </cfRule>
  </conditionalFormatting>
  <conditionalFormatting sqref="A206">
    <cfRule type="cellIs" dxfId="91" priority="71" operator="greaterThan">
      <formula>0.25</formula>
    </cfRule>
  </conditionalFormatting>
  <conditionalFormatting sqref="A218">
    <cfRule type="cellIs" dxfId="90" priority="72" operator="greaterThan">
      <formula>0.25</formula>
    </cfRule>
  </conditionalFormatting>
  <conditionalFormatting sqref="A230">
    <cfRule type="cellIs" dxfId="89" priority="73" operator="greaterThan">
      <formula>0.25</formula>
    </cfRule>
  </conditionalFormatting>
  <conditionalFormatting sqref="A242">
    <cfRule type="cellIs" dxfId="88" priority="74" operator="greaterThan">
      <formula>0.25</formula>
    </cfRule>
  </conditionalFormatting>
  <conditionalFormatting sqref="A254">
    <cfRule type="cellIs" dxfId="87" priority="75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C152-CA12-4C1D-BBDF-FABA0E1C31DB}">
  <dimension ref="A1:AS267"/>
  <sheetViews>
    <sheetView zoomScaleNormal="6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baseColWidth="10" defaultColWidth="8.83203125" defaultRowHeight="15"/>
  <cols>
    <col min="7" max="40" width="9.1640625" bestFit="1" customWidth="1"/>
  </cols>
  <sheetData>
    <row r="1" spans="1:45" s="93" customFormat="1" ht="11">
      <c r="A1" s="416">
        <f>SUM(A9,A45,A57,A69,A81,A93,A105,A117,A129,A153,A141,A165,A177,A189,A201,A213,A225,A33,A21,A237,A249)</f>
        <v>1204999.9999999998</v>
      </c>
      <c r="B1" s="49" t="s">
        <v>0</v>
      </c>
      <c r="C1" s="48">
        <v>46071</v>
      </c>
      <c r="D1" s="48">
        <f t="shared" ref="D1:AN1" si="0">C1+1</f>
        <v>46072</v>
      </c>
      <c r="E1" s="48">
        <f t="shared" si="0"/>
        <v>46073</v>
      </c>
      <c r="F1" s="48">
        <f t="shared" si="0"/>
        <v>46074</v>
      </c>
      <c r="G1" s="48">
        <f t="shared" si="0"/>
        <v>46075</v>
      </c>
      <c r="H1" s="48">
        <f t="shared" si="0"/>
        <v>46076</v>
      </c>
      <c r="I1" s="48">
        <f t="shared" si="0"/>
        <v>46077</v>
      </c>
      <c r="J1" s="48">
        <f t="shared" si="0"/>
        <v>46078</v>
      </c>
      <c r="K1" s="48">
        <f t="shared" si="0"/>
        <v>46079</v>
      </c>
      <c r="L1" s="48">
        <f t="shared" si="0"/>
        <v>46080</v>
      </c>
      <c r="M1" s="48">
        <f t="shared" si="0"/>
        <v>46081</v>
      </c>
      <c r="N1" s="48">
        <f t="shared" si="0"/>
        <v>46082</v>
      </c>
      <c r="O1" s="48">
        <f t="shared" si="0"/>
        <v>46083</v>
      </c>
      <c r="P1" s="48">
        <f t="shared" si="0"/>
        <v>46084</v>
      </c>
      <c r="Q1" s="48">
        <f t="shared" si="0"/>
        <v>46085</v>
      </c>
      <c r="R1" s="48">
        <f t="shared" si="0"/>
        <v>46086</v>
      </c>
      <c r="S1" s="48">
        <f t="shared" si="0"/>
        <v>46087</v>
      </c>
      <c r="T1" s="48">
        <f t="shared" si="0"/>
        <v>46088</v>
      </c>
      <c r="U1" s="48">
        <f t="shared" si="0"/>
        <v>46089</v>
      </c>
      <c r="V1" s="48">
        <f t="shared" si="0"/>
        <v>46090</v>
      </c>
      <c r="W1" s="48">
        <f t="shared" si="0"/>
        <v>46091</v>
      </c>
      <c r="X1" s="48">
        <f t="shared" si="0"/>
        <v>46092</v>
      </c>
      <c r="Y1" s="48">
        <f t="shared" si="0"/>
        <v>46093</v>
      </c>
      <c r="Z1" s="48">
        <f t="shared" si="0"/>
        <v>46094</v>
      </c>
      <c r="AA1" s="48">
        <f t="shared" si="0"/>
        <v>46095</v>
      </c>
      <c r="AB1" s="48">
        <f t="shared" si="0"/>
        <v>46096</v>
      </c>
      <c r="AC1" s="48">
        <f t="shared" si="0"/>
        <v>46097</v>
      </c>
      <c r="AD1" s="48">
        <f t="shared" si="0"/>
        <v>46098</v>
      </c>
      <c r="AE1" s="48">
        <f t="shared" si="0"/>
        <v>46099</v>
      </c>
      <c r="AF1" s="48">
        <f t="shared" si="0"/>
        <v>46100</v>
      </c>
      <c r="AG1" s="48">
        <f t="shared" si="0"/>
        <v>46101</v>
      </c>
      <c r="AH1" s="48">
        <f t="shared" si="0"/>
        <v>46102</v>
      </c>
      <c r="AI1" s="48">
        <f t="shared" si="0"/>
        <v>46103</v>
      </c>
      <c r="AJ1" s="48">
        <f t="shared" si="0"/>
        <v>46104</v>
      </c>
      <c r="AK1" s="48">
        <f t="shared" si="0"/>
        <v>46105</v>
      </c>
      <c r="AL1" s="48">
        <f t="shared" si="0"/>
        <v>46106</v>
      </c>
      <c r="AM1" s="48">
        <f t="shared" si="0"/>
        <v>46107</v>
      </c>
      <c r="AN1" s="48">
        <f t="shared" si="0"/>
        <v>46108</v>
      </c>
      <c r="AO1" s="48">
        <f t="shared" ref="AO1:AS1" si="1">AN1+1</f>
        <v>46109</v>
      </c>
      <c r="AP1" s="48">
        <f t="shared" si="1"/>
        <v>46110</v>
      </c>
      <c r="AQ1" s="48">
        <f t="shared" si="1"/>
        <v>46111</v>
      </c>
      <c r="AR1" s="48">
        <f t="shared" si="1"/>
        <v>46112</v>
      </c>
      <c r="AS1" s="48">
        <f t="shared" si="1"/>
        <v>46113</v>
      </c>
    </row>
    <row r="2" spans="1:45" s="93" customFormat="1" ht="12" thickBot="1">
      <c r="A2" s="47"/>
      <c r="B2" s="46">
        <f>SUM(C2:AO2)</f>
        <v>10093</v>
      </c>
      <c r="C2" s="115">
        <v>0</v>
      </c>
      <c r="D2" s="45">
        <f t="shared" ref="D2:AN2" si="2">SUM(D10,D22,D34,D46,D58,D70,D82,D94,D106,D118,D130,D142,D154,D166,D178,D190,D202,D214,D226,D240)</f>
        <v>0</v>
      </c>
      <c r="E2" s="45">
        <f t="shared" si="2"/>
        <v>969</v>
      </c>
      <c r="F2" s="126">
        <f t="shared" si="2"/>
        <v>0</v>
      </c>
      <c r="G2" s="45">
        <f t="shared" si="2"/>
        <v>0</v>
      </c>
      <c r="H2" s="45">
        <f t="shared" si="2"/>
        <v>1221</v>
      </c>
      <c r="I2" s="45">
        <f t="shared" si="2"/>
        <v>0</v>
      </c>
      <c r="J2" s="45">
        <f t="shared" si="2"/>
        <v>0</v>
      </c>
      <c r="K2" s="45">
        <f t="shared" si="2"/>
        <v>0</v>
      </c>
      <c r="L2" s="45">
        <f t="shared" si="2"/>
        <v>1041</v>
      </c>
      <c r="M2" s="126">
        <f t="shared" si="2"/>
        <v>0</v>
      </c>
      <c r="N2" s="45">
        <f t="shared" si="2"/>
        <v>0</v>
      </c>
      <c r="O2" s="45">
        <f t="shared" si="2"/>
        <v>1513</v>
      </c>
      <c r="P2" s="45">
        <f t="shared" si="2"/>
        <v>0</v>
      </c>
      <c r="Q2" s="45">
        <f t="shared" si="2"/>
        <v>0</v>
      </c>
      <c r="R2" s="45">
        <f t="shared" si="2"/>
        <v>0</v>
      </c>
      <c r="S2" s="45">
        <f t="shared" si="2"/>
        <v>0</v>
      </c>
      <c r="T2" s="45">
        <f t="shared" si="2"/>
        <v>1116</v>
      </c>
      <c r="U2" s="45">
        <f t="shared" si="2"/>
        <v>0</v>
      </c>
      <c r="V2" s="45">
        <f t="shared" si="2"/>
        <v>1532</v>
      </c>
      <c r="W2" s="45">
        <f t="shared" si="2"/>
        <v>0</v>
      </c>
      <c r="X2" s="45">
        <f t="shared" si="2"/>
        <v>0</v>
      </c>
      <c r="Y2" s="45">
        <f t="shared" si="2"/>
        <v>0</v>
      </c>
      <c r="Z2" s="45">
        <f t="shared" si="2"/>
        <v>1089</v>
      </c>
      <c r="AA2" s="45">
        <f t="shared" si="2"/>
        <v>0</v>
      </c>
      <c r="AB2" s="45">
        <f t="shared" si="2"/>
        <v>0</v>
      </c>
      <c r="AC2" s="45">
        <f t="shared" si="2"/>
        <v>1612</v>
      </c>
      <c r="AD2" s="45">
        <f t="shared" si="2"/>
        <v>0</v>
      </c>
      <c r="AE2" s="45">
        <f t="shared" si="2"/>
        <v>0</v>
      </c>
      <c r="AF2" s="45">
        <f t="shared" si="2"/>
        <v>0</v>
      </c>
      <c r="AG2" s="45">
        <f t="shared" si="2"/>
        <v>0</v>
      </c>
      <c r="AH2" s="45">
        <f t="shared" si="2"/>
        <v>0</v>
      </c>
      <c r="AI2" s="45">
        <f t="shared" si="2"/>
        <v>0</v>
      </c>
      <c r="AJ2" s="45">
        <f t="shared" si="2"/>
        <v>0</v>
      </c>
      <c r="AK2" s="45">
        <f t="shared" si="2"/>
        <v>0</v>
      </c>
      <c r="AL2" s="45">
        <f t="shared" si="2"/>
        <v>0</v>
      </c>
      <c r="AM2" s="45">
        <f t="shared" si="2"/>
        <v>0</v>
      </c>
      <c r="AN2" s="45">
        <f t="shared" si="2"/>
        <v>0</v>
      </c>
      <c r="AO2" s="45">
        <f t="shared" ref="AO2:AS2" si="3">SUM(AO10,AO22,AO34,AO46,AO58,AO70,AO82,AO94,AO106,AO118,AO130,AO142,AO154,AO166,AO178,AO190,AO202,AO214,AO226,AO240)</f>
        <v>0</v>
      </c>
      <c r="AP2" s="45">
        <f t="shared" si="3"/>
        <v>0</v>
      </c>
      <c r="AQ2" s="45">
        <f t="shared" si="3"/>
        <v>0</v>
      </c>
      <c r="AR2" s="45">
        <f t="shared" si="3"/>
        <v>0</v>
      </c>
      <c r="AS2" s="45">
        <f t="shared" si="3"/>
        <v>0</v>
      </c>
    </row>
    <row r="3" spans="1:45" s="93" customFormat="1" ht="11">
      <c r="A3" s="22" t="s">
        <v>101</v>
      </c>
      <c r="B3" s="21" t="s">
        <v>2</v>
      </c>
      <c r="C3" s="73">
        <v>15588</v>
      </c>
      <c r="D3" s="20">
        <v>15588</v>
      </c>
      <c r="E3" s="20">
        <v>15680</v>
      </c>
      <c r="F3" s="20">
        <v>15680</v>
      </c>
      <c r="G3" s="20">
        <v>15680</v>
      </c>
      <c r="H3" s="20">
        <v>15818</v>
      </c>
      <c r="I3" s="20">
        <v>15818</v>
      </c>
      <c r="J3" s="20">
        <v>15818</v>
      </c>
      <c r="K3" s="20">
        <v>15818</v>
      </c>
      <c r="L3" s="20">
        <v>15887</v>
      </c>
      <c r="M3" s="20">
        <v>15887</v>
      </c>
      <c r="N3" s="20">
        <v>15887</v>
      </c>
      <c r="O3" s="20">
        <v>15957</v>
      </c>
      <c r="P3" s="20">
        <v>15957</v>
      </c>
      <c r="Q3" s="20">
        <v>15957</v>
      </c>
      <c r="R3" s="20">
        <v>15957</v>
      </c>
      <c r="S3" s="20">
        <v>15957</v>
      </c>
      <c r="T3" s="20">
        <v>15976</v>
      </c>
      <c r="U3" s="20">
        <v>15976</v>
      </c>
      <c r="V3" s="20">
        <v>16044</v>
      </c>
      <c r="W3" s="20">
        <v>16044</v>
      </c>
      <c r="X3" s="20">
        <v>16044</v>
      </c>
      <c r="Y3" s="20">
        <v>16044</v>
      </c>
      <c r="Z3" s="20">
        <v>16160</v>
      </c>
      <c r="AA3" s="20">
        <v>16160</v>
      </c>
      <c r="AB3" s="20">
        <v>16160</v>
      </c>
      <c r="AC3" s="20">
        <v>16252</v>
      </c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s="93" customFormat="1" ht="11">
      <c r="A4" s="16" t="s">
        <v>3</v>
      </c>
      <c r="B4" s="9" t="s">
        <v>4</v>
      </c>
      <c r="C4" s="74">
        <v>413</v>
      </c>
      <c r="D4" s="8">
        <f>IF(D$3="","",C4)</f>
        <v>413</v>
      </c>
      <c r="E4" s="8">
        <v>416</v>
      </c>
      <c r="F4" s="59">
        <f>IF(F$3="","",E4)</f>
        <v>416</v>
      </c>
      <c r="G4" s="8">
        <f>IF(G$3="","",F4)</f>
        <v>416</v>
      </c>
      <c r="H4" s="8">
        <v>417</v>
      </c>
      <c r="I4" s="59">
        <f>IF(I$3="","",H4)</f>
        <v>417</v>
      </c>
      <c r="J4" s="8">
        <f>IF(J$3="","",I4)</f>
        <v>417</v>
      </c>
      <c r="K4" s="8">
        <f>IF(K$3="","",J4)</f>
        <v>417</v>
      </c>
      <c r="L4" s="8">
        <v>418</v>
      </c>
      <c r="M4" s="59">
        <f t="shared" ref="M4:AN4" si="4">IF(M$3="","",L4)</f>
        <v>418</v>
      </c>
      <c r="N4" s="8">
        <f t="shared" si="4"/>
        <v>418</v>
      </c>
      <c r="O4" s="8">
        <f t="shared" si="4"/>
        <v>418</v>
      </c>
      <c r="P4" s="8">
        <f t="shared" si="4"/>
        <v>418</v>
      </c>
      <c r="Q4" s="8">
        <f t="shared" si="4"/>
        <v>418</v>
      </c>
      <c r="R4" s="8">
        <f t="shared" si="4"/>
        <v>418</v>
      </c>
      <c r="S4" s="8">
        <f t="shared" si="4"/>
        <v>418</v>
      </c>
      <c r="T4" s="8">
        <f t="shared" si="4"/>
        <v>418</v>
      </c>
      <c r="U4" s="8">
        <f t="shared" si="4"/>
        <v>418</v>
      </c>
      <c r="V4" s="8">
        <v>419</v>
      </c>
      <c r="W4" s="8">
        <f t="shared" si="4"/>
        <v>419</v>
      </c>
      <c r="X4" s="8">
        <f t="shared" si="4"/>
        <v>419</v>
      </c>
      <c r="Y4" s="8">
        <f t="shared" si="4"/>
        <v>419</v>
      </c>
      <c r="Z4" s="8">
        <v>420</v>
      </c>
      <c r="AA4" s="8">
        <f t="shared" si="4"/>
        <v>420</v>
      </c>
      <c r="AB4" s="8">
        <f t="shared" si="4"/>
        <v>420</v>
      </c>
      <c r="AC4" s="8">
        <f t="shared" si="4"/>
        <v>420</v>
      </c>
      <c r="AD4" s="8" t="str">
        <f t="shared" si="4"/>
        <v/>
      </c>
      <c r="AE4" s="8" t="str">
        <f t="shared" si="4"/>
        <v/>
      </c>
      <c r="AF4" s="8" t="str">
        <f t="shared" si="4"/>
        <v/>
      </c>
      <c r="AG4" s="8" t="str">
        <f t="shared" si="4"/>
        <v/>
      </c>
      <c r="AH4" s="8" t="str">
        <f t="shared" si="4"/>
        <v/>
      </c>
      <c r="AI4" s="8" t="str">
        <f t="shared" si="4"/>
        <v/>
      </c>
      <c r="AJ4" s="8" t="str">
        <f t="shared" si="4"/>
        <v/>
      </c>
      <c r="AK4" s="8" t="str">
        <f t="shared" si="4"/>
        <v/>
      </c>
      <c r="AL4" s="8" t="str">
        <f t="shared" si="4"/>
        <v/>
      </c>
      <c r="AM4" s="8" t="str">
        <f t="shared" si="4"/>
        <v/>
      </c>
      <c r="AN4" s="8" t="str">
        <f t="shared" si="4"/>
        <v/>
      </c>
      <c r="AO4" s="8" t="str">
        <f t="shared" ref="AO4:AS4" si="5">IF(AO$3="","",AN4)</f>
        <v/>
      </c>
      <c r="AP4" s="8" t="str">
        <f t="shared" si="5"/>
        <v/>
      </c>
      <c r="AQ4" s="8" t="str">
        <f t="shared" si="5"/>
        <v/>
      </c>
      <c r="AR4" s="8" t="str">
        <f t="shared" si="5"/>
        <v/>
      </c>
      <c r="AS4" s="8" t="str">
        <f t="shared" si="5"/>
        <v/>
      </c>
    </row>
    <row r="5" spans="1:45" s="93" customFormat="1" ht="11">
      <c r="A5" s="15">
        <v>1</v>
      </c>
      <c r="B5" s="9" t="s">
        <v>5</v>
      </c>
      <c r="C5" s="74">
        <v>6</v>
      </c>
      <c r="D5" s="8">
        <f>IF(D3="","",(C5+C6))</f>
        <v>6</v>
      </c>
      <c r="E5" s="8">
        <v>3</v>
      </c>
      <c r="F5" s="59">
        <f>IF(F3="","",(E5+E6))</f>
        <v>9</v>
      </c>
      <c r="G5" s="8">
        <f>IF(G3="","",(F5+F6))</f>
        <v>9</v>
      </c>
      <c r="H5" s="8">
        <v>8</v>
      </c>
      <c r="I5" s="59">
        <f>IF(I3="","",(H5+H6))</f>
        <v>8</v>
      </c>
      <c r="J5" s="8">
        <f>IF(J3="","",(I5+I6))</f>
        <v>8</v>
      </c>
      <c r="K5" s="8">
        <f>IF(K3="","",(J5+J6))</f>
        <v>8</v>
      </c>
      <c r="L5" s="8">
        <v>6</v>
      </c>
      <c r="M5" s="59">
        <f t="shared" ref="M5:AN5" si="6">IF(M3="","",(L5+L6))</f>
        <v>6</v>
      </c>
      <c r="N5" s="8">
        <f t="shared" si="6"/>
        <v>6</v>
      </c>
      <c r="O5" s="8">
        <f t="shared" si="6"/>
        <v>6</v>
      </c>
      <c r="P5" s="8">
        <f t="shared" si="6"/>
        <v>6</v>
      </c>
      <c r="Q5" s="8">
        <f t="shared" si="6"/>
        <v>6</v>
      </c>
      <c r="R5" s="8">
        <f t="shared" si="6"/>
        <v>6</v>
      </c>
      <c r="S5" s="8">
        <f t="shared" si="6"/>
        <v>6</v>
      </c>
      <c r="T5" s="8">
        <v>5</v>
      </c>
      <c r="U5" s="8">
        <f t="shared" si="6"/>
        <v>6</v>
      </c>
      <c r="V5" s="8">
        <v>5</v>
      </c>
      <c r="W5" s="8">
        <f t="shared" si="6"/>
        <v>7</v>
      </c>
      <c r="X5" s="8">
        <f t="shared" si="6"/>
        <v>7</v>
      </c>
      <c r="Y5" s="8">
        <f t="shared" si="6"/>
        <v>7</v>
      </c>
      <c r="Z5" s="8">
        <v>6</v>
      </c>
      <c r="AA5" s="8">
        <f t="shared" si="6"/>
        <v>6</v>
      </c>
      <c r="AB5" s="8">
        <f t="shared" si="6"/>
        <v>6</v>
      </c>
      <c r="AC5" s="8">
        <f t="shared" si="6"/>
        <v>6</v>
      </c>
      <c r="AD5" s="8" t="str">
        <f t="shared" si="6"/>
        <v/>
      </c>
      <c r="AE5" s="8" t="str">
        <f t="shared" si="6"/>
        <v/>
      </c>
      <c r="AF5" s="8" t="str">
        <f t="shared" si="6"/>
        <v/>
      </c>
      <c r="AG5" s="8" t="str">
        <f t="shared" si="6"/>
        <v/>
      </c>
      <c r="AH5" s="8" t="str">
        <f t="shared" si="6"/>
        <v/>
      </c>
      <c r="AI5" s="8" t="str">
        <f t="shared" si="6"/>
        <v/>
      </c>
      <c r="AJ5" s="8" t="str">
        <f t="shared" si="6"/>
        <v/>
      </c>
      <c r="AK5" s="8" t="str">
        <f t="shared" si="6"/>
        <v/>
      </c>
      <c r="AL5" s="8" t="str">
        <f t="shared" si="6"/>
        <v/>
      </c>
      <c r="AM5" s="8" t="str">
        <f t="shared" si="6"/>
        <v/>
      </c>
      <c r="AN5" s="8" t="str">
        <f t="shared" si="6"/>
        <v/>
      </c>
      <c r="AO5" s="8" t="str">
        <f t="shared" ref="AO5:AS5" si="7">IF(AO3="","",(AN5+AN6))</f>
        <v/>
      </c>
      <c r="AP5" s="8" t="str">
        <f t="shared" si="7"/>
        <v/>
      </c>
      <c r="AQ5" s="8" t="str">
        <f t="shared" si="7"/>
        <v/>
      </c>
      <c r="AR5" s="8" t="str">
        <f t="shared" si="7"/>
        <v/>
      </c>
      <c r="AS5" s="8" t="str">
        <f t="shared" si="7"/>
        <v/>
      </c>
    </row>
    <row r="6" spans="1:45" s="93" customFormat="1" ht="11">
      <c r="A6" s="101" t="s">
        <v>6</v>
      </c>
      <c r="B6" s="9" t="s">
        <v>7</v>
      </c>
      <c r="C6" s="74"/>
      <c r="D6" s="8"/>
      <c r="E6" s="8">
        <v>6</v>
      </c>
      <c r="F6" s="59"/>
      <c r="G6" s="8"/>
      <c r="H6" s="8"/>
      <c r="I6" s="59"/>
      <c r="J6" s="8"/>
      <c r="K6" s="8"/>
      <c r="L6" s="8"/>
      <c r="M6" s="59"/>
      <c r="N6" s="8"/>
      <c r="O6" s="8"/>
      <c r="P6" s="8"/>
      <c r="Q6" s="8"/>
      <c r="R6" s="8"/>
      <c r="S6" s="8"/>
      <c r="T6" s="8">
        <v>1</v>
      </c>
      <c r="U6" s="8"/>
      <c r="V6" s="8">
        <v>2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s="93" customFormat="1" ht="11">
      <c r="A7" s="102">
        <f>+(A10+A22+A34+A46)*100</f>
        <v>167000</v>
      </c>
      <c r="B7" s="9" t="s">
        <v>8</v>
      </c>
      <c r="C7" s="74">
        <v>500</v>
      </c>
      <c r="D7" s="8">
        <f t="shared" ref="D7:AN7" si="8">IF(D3="","",C7)</f>
        <v>500</v>
      </c>
      <c r="E7" s="8">
        <f t="shared" si="8"/>
        <v>500</v>
      </c>
      <c r="F7" s="59">
        <f t="shared" si="8"/>
        <v>500</v>
      </c>
      <c r="G7" s="8">
        <f t="shared" si="8"/>
        <v>500</v>
      </c>
      <c r="H7" s="8">
        <f t="shared" si="8"/>
        <v>500</v>
      </c>
      <c r="I7" s="59">
        <f t="shared" si="8"/>
        <v>500</v>
      </c>
      <c r="J7" s="8">
        <f t="shared" si="8"/>
        <v>500</v>
      </c>
      <c r="K7" s="8">
        <f t="shared" si="8"/>
        <v>500</v>
      </c>
      <c r="L7" s="8">
        <f t="shared" si="8"/>
        <v>500</v>
      </c>
      <c r="M7" s="59">
        <f t="shared" si="8"/>
        <v>500</v>
      </c>
      <c r="N7" s="8">
        <f t="shared" si="8"/>
        <v>500</v>
      </c>
      <c r="O7" s="8">
        <f t="shared" si="8"/>
        <v>500</v>
      </c>
      <c r="P7" s="8">
        <f t="shared" si="8"/>
        <v>500</v>
      </c>
      <c r="Q7" s="8">
        <f t="shared" si="8"/>
        <v>500</v>
      </c>
      <c r="R7" s="8">
        <f t="shared" si="8"/>
        <v>500</v>
      </c>
      <c r="S7" s="8">
        <f t="shared" si="8"/>
        <v>500</v>
      </c>
      <c r="T7" s="8">
        <f t="shared" si="8"/>
        <v>500</v>
      </c>
      <c r="U7" s="8">
        <f t="shared" si="8"/>
        <v>500</v>
      </c>
      <c r="V7" s="8">
        <f t="shared" si="8"/>
        <v>500</v>
      </c>
      <c r="W7" s="8">
        <f t="shared" si="8"/>
        <v>500</v>
      </c>
      <c r="X7" s="8">
        <f t="shared" si="8"/>
        <v>500</v>
      </c>
      <c r="Y7" s="8">
        <f t="shared" si="8"/>
        <v>500</v>
      </c>
      <c r="Z7" s="8">
        <f t="shared" si="8"/>
        <v>500</v>
      </c>
      <c r="AA7" s="8">
        <f t="shared" si="8"/>
        <v>500</v>
      </c>
      <c r="AB7" s="8">
        <f t="shared" si="8"/>
        <v>500</v>
      </c>
      <c r="AC7" s="8">
        <f t="shared" si="8"/>
        <v>500</v>
      </c>
      <c r="AD7" s="8" t="str">
        <f t="shared" si="8"/>
        <v/>
      </c>
      <c r="AE7" s="8" t="str">
        <f t="shared" si="8"/>
        <v/>
      </c>
      <c r="AF7" s="8" t="str">
        <f t="shared" si="8"/>
        <v/>
      </c>
      <c r="AG7" s="8" t="str">
        <f t="shared" si="8"/>
        <v/>
      </c>
      <c r="AH7" s="8" t="str">
        <f t="shared" si="8"/>
        <v/>
      </c>
      <c r="AI7" s="8" t="str">
        <f t="shared" si="8"/>
        <v/>
      </c>
      <c r="AJ7" s="8" t="str">
        <f t="shared" si="8"/>
        <v/>
      </c>
      <c r="AK7" s="8" t="str">
        <f t="shared" si="8"/>
        <v/>
      </c>
      <c r="AL7" s="8" t="str">
        <f t="shared" si="8"/>
        <v/>
      </c>
      <c r="AM7" s="8" t="str">
        <f t="shared" si="8"/>
        <v/>
      </c>
      <c r="AN7" s="8" t="str">
        <f t="shared" si="8"/>
        <v/>
      </c>
      <c r="AO7" s="8" t="str">
        <f t="shared" ref="AO7:AS7" si="9">IF(AO3="","",AN7)</f>
        <v/>
      </c>
      <c r="AP7" s="8" t="str">
        <f t="shared" si="9"/>
        <v/>
      </c>
      <c r="AQ7" s="8" t="str">
        <f t="shared" si="9"/>
        <v/>
      </c>
      <c r="AR7" s="8" t="str">
        <f t="shared" si="9"/>
        <v/>
      </c>
      <c r="AS7" s="8" t="str">
        <f t="shared" si="9"/>
        <v/>
      </c>
    </row>
    <row r="8" spans="1:45" s="94" customFormat="1" ht="11">
      <c r="A8" s="14" t="s">
        <v>9</v>
      </c>
      <c r="B8" s="13" t="s">
        <v>10</v>
      </c>
      <c r="C8" s="75" t="s">
        <v>26</v>
      </c>
      <c r="D8" s="12" t="str">
        <f t="shared" ref="D8:AN8" si="10">IF(D3="","",C8)</f>
        <v>たまごっちマスコット</v>
      </c>
      <c r="E8" s="12" t="str">
        <f t="shared" si="10"/>
        <v>たまごっちマスコット</v>
      </c>
      <c r="F8" s="131" t="str">
        <f t="shared" si="10"/>
        <v>たまごっちマスコット</v>
      </c>
      <c r="G8" s="12" t="str">
        <f t="shared" si="10"/>
        <v>たまごっちマスコット</v>
      </c>
      <c r="H8" s="12" t="str">
        <f t="shared" si="10"/>
        <v>たまごっちマスコット</v>
      </c>
      <c r="I8" s="131" t="str">
        <f t="shared" si="10"/>
        <v>たまごっちマスコット</v>
      </c>
      <c r="J8" s="12" t="str">
        <f t="shared" si="10"/>
        <v>たまごっちマスコット</v>
      </c>
      <c r="K8" s="12" t="str">
        <f t="shared" si="10"/>
        <v>たまごっちマスコット</v>
      </c>
      <c r="L8" s="12" t="str">
        <f t="shared" si="10"/>
        <v>たまごっちマスコット</v>
      </c>
      <c r="M8" s="131" t="str">
        <f t="shared" si="10"/>
        <v>たまごっちマスコット</v>
      </c>
      <c r="N8" s="12" t="str">
        <f t="shared" si="10"/>
        <v>たまごっちマスコット</v>
      </c>
      <c r="O8" s="12" t="str">
        <f t="shared" si="10"/>
        <v>たまごっちマスコット</v>
      </c>
      <c r="P8" s="12" t="str">
        <f t="shared" si="10"/>
        <v>たまごっちマスコット</v>
      </c>
      <c r="Q8" s="12" t="str">
        <f t="shared" si="10"/>
        <v>たまごっちマスコット</v>
      </c>
      <c r="R8" s="12" t="str">
        <f t="shared" si="10"/>
        <v>たまごっちマスコット</v>
      </c>
      <c r="S8" s="12" t="str">
        <f t="shared" si="10"/>
        <v>たまごっちマスコット</v>
      </c>
      <c r="T8" s="12" t="str">
        <f t="shared" si="10"/>
        <v>たまごっちマスコット</v>
      </c>
      <c r="U8" s="12" t="str">
        <f t="shared" si="10"/>
        <v>たまごっちマスコット</v>
      </c>
      <c r="V8" s="12" t="str">
        <f t="shared" si="10"/>
        <v>たまごっちマスコット</v>
      </c>
      <c r="W8" s="12" t="str">
        <f t="shared" si="10"/>
        <v>たまごっちマスコット</v>
      </c>
      <c r="X8" s="12" t="str">
        <f t="shared" si="10"/>
        <v>たまごっちマスコット</v>
      </c>
      <c r="Y8" s="12" t="str">
        <f t="shared" si="10"/>
        <v>たまごっちマスコット</v>
      </c>
      <c r="Z8" s="12" t="str">
        <f t="shared" si="10"/>
        <v>たまごっちマスコット</v>
      </c>
      <c r="AA8" s="12" t="str">
        <f t="shared" si="10"/>
        <v>たまごっちマスコット</v>
      </c>
      <c r="AB8" s="12" t="str">
        <f t="shared" si="10"/>
        <v>たまごっちマスコット</v>
      </c>
      <c r="AC8" s="12" t="str">
        <f t="shared" si="10"/>
        <v>たまごっちマスコット</v>
      </c>
      <c r="AD8" s="12" t="str">
        <f t="shared" si="10"/>
        <v/>
      </c>
      <c r="AE8" s="12" t="str">
        <f t="shared" si="10"/>
        <v/>
      </c>
      <c r="AF8" s="12" t="str">
        <f t="shared" si="10"/>
        <v/>
      </c>
      <c r="AG8" s="12" t="str">
        <f t="shared" si="10"/>
        <v/>
      </c>
      <c r="AH8" s="12" t="str">
        <f t="shared" si="10"/>
        <v/>
      </c>
      <c r="AI8" s="12" t="str">
        <f t="shared" si="10"/>
        <v/>
      </c>
      <c r="AJ8" s="12" t="str">
        <f t="shared" si="10"/>
        <v/>
      </c>
      <c r="AK8" s="12" t="str">
        <f t="shared" si="10"/>
        <v/>
      </c>
      <c r="AL8" s="12" t="str">
        <f t="shared" si="10"/>
        <v/>
      </c>
      <c r="AM8" s="12" t="str">
        <f t="shared" si="10"/>
        <v/>
      </c>
      <c r="AN8" s="12" t="str">
        <f t="shared" si="10"/>
        <v/>
      </c>
      <c r="AO8" s="12" t="str">
        <f t="shared" ref="AO8:AS8" si="11">IF(AO3="","",AN8)</f>
        <v/>
      </c>
      <c r="AP8" s="12" t="str">
        <f t="shared" si="11"/>
        <v/>
      </c>
      <c r="AQ8" s="12" t="str">
        <f t="shared" si="11"/>
        <v/>
      </c>
      <c r="AR8" s="12" t="str">
        <f t="shared" si="11"/>
        <v/>
      </c>
      <c r="AS8" s="12" t="str">
        <f t="shared" si="11"/>
        <v/>
      </c>
    </row>
    <row r="9" spans="1:45" s="93" customFormat="1" ht="11">
      <c r="A9" s="7">
        <f>AVERAGE(C10:AS10)*30*100</f>
        <v>73777.777777777766</v>
      </c>
      <c r="B9" s="9" t="s">
        <v>14</v>
      </c>
      <c r="C9" s="74"/>
      <c r="D9" s="8"/>
      <c r="E9" s="8"/>
      <c r="F9" s="59"/>
      <c r="G9" s="8"/>
      <c r="H9" s="8"/>
      <c r="I9" s="59"/>
      <c r="J9" s="8"/>
      <c r="K9" s="8"/>
      <c r="L9" s="8"/>
      <c r="M9" s="5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s="93" customFormat="1" ht="11">
      <c r="A10" s="7">
        <f>SUM(C10:AS10)</f>
        <v>664</v>
      </c>
      <c r="B10" s="6" t="s">
        <v>15</v>
      </c>
      <c r="C10" s="74">
        <v>0</v>
      </c>
      <c r="D10" s="5">
        <f t="shared" ref="D10:AN10" si="12">IF(D3="","",D3-C3)</f>
        <v>0</v>
      </c>
      <c r="E10" s="5">
        <f t="shared" si="12"/>
        <v>92</v>
      </c>
      <c r="F10" s="59">
        <f t="shared" si="12"/>
        <v>0</v>
      </c>
      <c r="G10" s="5">
        <f t="shared" si="12"/>
        <v>0</v>
      </c>
      <c r="H10" s="5">
        <f t="shared" si="12"/>
        <v>138</v>
      </c>
      <c r="I10" s="59">
        <f t="shared" si="12"/>
        <v>0</v>
      </c>
      <c r="J10" s="5">
        <f t="shared" si="12"/>
        <v>0</v>
      </c>
      <c r="K10" s="5">
        <f t="shared" si="12"/>
        <v>0</v>
      </c>
      <c r="L10" s="5">
        <f t="shared" si="12"/>
        <v>69</v>
      </c>
      <c r="M10" s="59">
        <f t="shared" si="12"/>
        <v>0</v>
      </c>
      <c r="N10" s="5">
        <f t="shared" si="12"/>
        <v>0</v>
      </c>
      <c r="O10" s="5">
        <f t="shared" si="12"/>
        <v>70</v>
      </c>
      <c r="P10" s="5">
        <f t="shared" si="12"/>
        <v>0</v>
      </c>
      <c r="Q10" s="5">
        <f t="shared" si="12"/>
        <v>0</v>
      </c>
      <c r="R10" s="5">
        <f t="shared" si="12"/>
        <v>0</v>
      </c>
      <c r="S10" s="5">
        <f t="shared" si="12"/>
        <v>0</v>
      </c>
      <c r="T10" s="5">
        <f t="shared" si="12"/>
        <v>19</v>
      </c>
      <c r="U10" s="5">
        <f t="shared" si="12"/>
        <v>0</v>
      </c>
      <c r="V10" s="5">
        <f t="shared" si="12"/>
        <v>68</v>
      </c>
      <c r="W10" s="5">
        <f t="shared" si="12"/>
        <v>0</v>
      </c>
      <c r="X10" s="5">
        <f t="shared" si="12"/>
        <v>0</v>
      </c>
      <c r="Y10" s="5">
        <f t="shared" si="12"/>
        <v>0</v>
      </c>
      <c r="Z10" s="5">
        <f t="shared" si="12"/>
        <v>116</v>
      </c>
      <c r="AA10" s="5">
        <f t="shared" si="12"/>
        <v>0</v>
      </c>
      <c r="AB10" s="5">
        <f t="shared" si="12"/>
        <v>0</v>
      </c>
      <c r="AC10" s="5">
        <f t="shared" si="12"/>
        <v>92</v>
      </c>
      <c r="AD10" s="5" t="str">
        <f t="shared" si="12"/>
        <v/>
      </c>
      <c r="AE10" s="5" t="str">
        <f t="shared" si="12"/>
        <v/>
      </c>
      <c r="AF10" s="5" t="str">
        <f t="shared" si="12"/>
        <v/>
      </c>
      <c r="AG10" s="5" t="str">
        <f t="shared" si="12"/>
        <v/>
      </c>
      <c r="AH10" s="5" t="str">
        <f t="shared" si="12"/>
        <v/>
      </c>
      <c r="AI10" s="5" t="str">
        <f t="shared" si="12"/>
        <v/>
      </c>
      <c r="AJ10" s="5" t="str">
        <f t="shared" si="12"/>
        <v/>
      </c>
      <c r="AK10" s="5" t="str">
        <f t="shared" si="12"/>
        <v/>
      </c>
      <c r="AL10" s="5" t="str">
        <f t="shared" si="12"/>
        <v/>
      </c>
      <c r="AM10" s="5" t="str">
        <f t="shared" si="12"/>
        <v/>
      </c>
      <c r="AN10" s="5" t="str">
        <f t="shared" si="12"/>
        <v/>
      </c>
      <c r="AO10" s="5" t="str">
        <f t="shared" ref="AO10:AS10" si="13">IF(AO3="","",AO3-AN3)</f>
        <v/>
      </c>
      <c r="AP10" s="5" t="str">
        <f t="shared" si="13"/>
        <v/>
      </c>
      <c r="AQ10" s="5" t="str">
        <f t="shared" si="13"/>
        <v/>
      </c>
      <c r="AR10" s="5" t="str">
        <f t="shared" si="13"/>
        <v/>
      </c>
      <c r="AS10" s="5" t="str">
        <f t="shared" si="13"/>
        <v/>
      </c>
    </row>
    <row r="11" spans="1:45" s="93" customFormat="1" ht="11">
      <c r="A11" s="7">
        <f>SUM(C11:AS11)</f>
        <v>7</v>
      </c>
      <c r="B11" s="6" t="s">
        <v>16</v>
      </c>
      <c r="C11" s="74">
        <v>0</v>
      </c>
      <c r="D11" s="5">
        <f t="shared" ref="D11:AN11" si="14">IF(D4="","",D4-C4)</f>
        <v>0</v>
      </c>
      <c r="E11" s="5">
        <f t="shared" si="14"/>
        <v>3</v>
      </c>
      <c r="F11" s="59">
        <f t="shared" si="14"/>
        <v>0</v>
      </c>
      <c r="G11" s="5">
        <f t="shared" si="14"/>
        <v>0</v>
      </c>
      <c r="H11" s="5">
        <f t="shared" si="14"/>
        <v>1</v>
      </c>
      <c r="I11" s="59">
        <f t="shared" si="14"/>
        <v>0</v>
      </c>
      <c r="J11" s="5">
        <f t="shared" si="14"/>
        <v>0</v>
      </c>
      <c r="K11" s="5">
        <f t="shared" si="14"/>
        <v>0</v>
      </c>
      <c r="L11" s="5">
        <f t="shared" si="14"/>
        <v>1</v>
      </c>
      <c r="M11" s="59">
        <f t="shared" si="14"/>
        <v>0</v>
      </c>
      <c r="N11" s="5">
        <f t="shared" si="14"/>
        <v>0</v>
      </c>
      <c r="O11" s="5">
        <f t="shared" si="14"/>
        <v>0</v>
      </c>
      <c r="P11" s="5">
        <f t="shared" si="14"/>
        <v>0</v>
      </c>
      <c r="Q11" s="5">
        <f t="shared" si="14"/>
        <v>0</v>
      </c>
      <c r="R11" s="5">
        <f t="shared" si="14"/>
        <v>0</v>
      </c>
      <c r="S11" s="5">
        <f t="shared" si="14"/>
        <v>0</v>
      </c>
      <c r="T11" s="5">
        <f t="shared" si="14"/>
        <v>0</v>
      </c>
      <c r="U11" s="5">
        <f t="shared" si="14"/>
        <v>0</v>
      </c>
      <c r="V11" s="5">
        <f t="shared" si="14"/>
        <v>1</v>
      </c>
      <c r="W11" s="5">
        <f t="shared" si="14"/>
        <v>0</v>
      </c>
      <c r="X11" s="5">
        <f t="shared" si="14"/>
        <v>0</v>
      </c>
      <c r="Y11" s="5">
        <f t="shared" si="14"/>
        <v>0</v>
      </c>
      <c r="Z11" s="5">
        <f t="shared" si="14"/>
        <v>1</v>
      </c>
      <c r="AA11" s="5">
        <f t="shared" si="14"/>
        <v>0</v>
      </c>
      <c r="AB11" s="5">
        <f t="shared" si="14"/>
        <v>0</v>
      </c>
      <c r="AC11" s="5">
        <f t="shared" si="14"/>
        <v>0</v>
      </c>
      <c r="AD11" s="5" t="str">
        <f t="shared" si="14"/>
        <v/>
      </c>
      <c r="AE11" s="5" t="str">
        <f t="shared" si="14"/>
        <v/>
      </c>
      <c r="AF11" s="5" t="str">
        <f t="shared" si="14"/>
        <v/>
      </c>
      <c r="AG11" s="5" t="str">
        <f t="shared" si="14"/>
        <v/>
      </c>
      <c r="AH11" s="5" t="str">
        <f t="shared" si="14"/>
        <v/>
      </c>
      <c r="AI11" s="5" t="str">
        <f t="shared" si="14"/>
        <v/>
      </c>
      <c r="AJ11" s="5" t="str">
        <f t="shared" si="14"/>
        <v/>
      </c>
      <c r="AK11" s="5" t="str">
        <f t="shared" si="14"/>
        <v/>
      </c>
      <c r="AL11" s="5" t="str">
        <f t="shared" si="14"/>
        <v/>
      </c>
      <c r="AM11" s="5" t="str">
        <f t="shared" si="14"/>
        <v/>
      </c>
      <c r="AN11" s="5" t="str">
        <f t="shared" si="14"/>
        <v/>
      </c>
      <c r="AO11" s="5" t="str">
        <f t="shared" ref="AO11:AS11" si="15">IF(AO4="","",AO4-AN4)</f>
        <v/>
      </c>
      <c r="AP11" s="5" t="str">
        <f t="shared" si="15"/>
        <v/>
      </c>
      <c r="AQ11" s="5" t="str">
        <f t="shared" si="15"/>
        <v/>
      </c>
      <c r="AR11" s="5" t="str">
        <f t="shared" si="15"/>
        <v/>
      </c>
      <c r="AS11" s="5" t="str">
        <f t="shared" si="15"/>
        <v/>
      </c>
    </row>
    <row r="12" spans="1:45" s="93" customFormat="1" ht="11">
      <c r="A12" s="7">
        <f>SUM(C12:AS12)</f>
        <v>9</v>
      </c>
      <c r="B12" s="6" t="s">
        <v>17</v>
      </c>
      <c r="C12" s="74">
        <v>0</v>
      </c>
      <c r="D12" s="5">
        <f t="shared" ref="D12:AN12" si="16">IF(D5="","",C5+C6-D5)</f>
        <v>0</v>
      </c>
      <c r="E12" s="5">
        <f t="shared" si="16"/>
        <v>3</v>
      </c>
      <c r="F12" s="59">
        <f t="shared" si="16"/>
        <v>0</v>
      </c>
      <c r="G12" s="5">
        <f t="shared" si="16"/>
        <v>0</v>
      </c>
      <c r="H12" s="5">
        <f t="shared" si="16"/>
        <v>1</v>
      </c>
      <c r="I12" s="59">
        <f t="shared" si="16"/>
        <v>0</v>
      </c>
      <c r="J12" s="5">
        <f t="shared" si="16"/>
        <v>0</v>
      </c>
      <c r="K12" s="5">
        <f t="shared" si="16"/>
        <v>0</v>
      </c>
      <c r="L12" s="5">
        <f t="shared" si="16"/>
        <v>2</v>
      </c>
      <c r="M12" s="59">
        <f t="shared" si="16"/>
        <v>0</v>
      </c>
      <c r="N12" s="5">
        <f t="shared" si="16"/>
        <v>0</v>
      </c>
      <c r="O12" s="5">
        <f t="shared" si="16"/>
        <v>0</v>
      </c>
      <c r="P12" s="5">
        <f t="shared" si="16"/>
        <v>0</v>
      </c>
      <c r="Q12" s="5">
        <f t="shared" si="16"/>
        <v>0</v>
      </c>
      <c r="R12" s="5">
        <f t="shared" si="16"/>
        <v>0</v>
      </c>
      <c r="S12" s="5">
        <f t="shared" si="16"/>
        <v>0</v>
      </c>
      <c r="T12" s="5">
        <f t="shared" si="16"/>
        <v>1</v>
      </c>
      <c r="U12" s="5">
        <f t="shared" si="16"/>
        <v>0</v>
      </c>
      <c r="V12" s="5">
        <f t="shared" si="16"/>
        <v>1</v>
      </c>
      <c r="W12" s="5">
        <f t="shared" si="16"/>
        <v>0</v>
      </c>
      <c r="X12" s="5">
        <f t="shared" si="16"/>
        <v>0</v>
      </c>
      <c r="Y12" s="5">
        <f t="shared" si="16"/>
        <v>0</v>
      </c>
      <c r="Z12" s="5">
        <f t="shared" si="16"/>
        <v>1</v>
      </c>
      <c r="AA12" s="5">
        <f t="shared" si="16"/>
        <v>0</v>
      </c>
      <c r="AB12" s="5">
        <f t="shared" si="16"/>
        <v>0</v>
      </c>
      <c r="AC12" s="5">
        <f t="shared" si="16"/>
        <v>0</v>
      </c>
      <c r="AD12" s="5" t="str">
        <f t="shared" si="16"/>
        <v/>
      </c>
      <c r="AE12" s="5" t="str">
        <f t="shared" si="16"/>
        <v/>
      </c>
      <c r="AF12" s="5" t="str">
        <f t="shared" si="16"/>
        <v/>
      </c>
      <c r="AG12" s="5" t="str">
        <f t="shared" si="16"/>
        <v/>
      </c>
      <c r="AH12" s="5" t="str">
        <f t="shared" si="16"/>
        <v/>
      </c>
      <c r="AI12" s="5" t="str">
        <f t="shared" si="16"/>
        <v/>
      </c>
      <c r="AJ12" s="5" t="str">
        <f t="shared" si="16"/>
        <v/>
      </c>
      <c r="AK12" s="5" t="str">
        <f t="shared" si="16"/>
        <v/>
      </c>
      <c r="AL12" s="5" t="str">
        <f t="shared" si="16"/>
        <v/>
      </c>
      <c r="AM12" s="5" t="str">
        <f t="shared" si="16"/>
        <v/>
      </c>
      <c r="AN12" s="5" t="str">
        <f t="shared" si="16"/>
        <v/>
      </c>
      <c r="AO12" s="5" t="str">
        <f t="shared" ref="AO12:AS12" si="17">IF(AO5="","",AN5+AN6-AO5)</f>
        <v/>
      </c>
      <c r="AP12" s="5" t="str">
        <f t="shared" si="17"/>
        <v/>
      </c>
      <c r="AQ12" s="5" t="str">
        <f t="shared" si="17"/>
        <v/>
      </c>
      <c r="AR12" s="5" t="str">
        <f t="shared" si="17"/>
        <v/>
      </c>
      <c r="AS12" s="5" t="str">
        <f t="shared" si="17"/>
        <v/>
      </c>
    </row>
    <row r="13" spans="1:45" s="93" customFormat="1" ht="11">
      <c r="A13" s="7">
        <f>SUM(C13:AS13)</f>
        <v>4500</v>
      </c>
      <c r="B13" s="6" t="s">
        <v>18</v>
      </c>
      <c r="C13" s="74">
        <v>0</v>
      </c>
      <c r="D13" s="5">
        <f t="shared" ref="D13:AN13" si="18">IF(D3="","",D12*D7)</f>
        <v>0</v>
      </c>
      <c r="E13" s="5">
        <f t="shared" si="18"/>
        <v>1500</v>
      </c>
      <c r="F13" s="59">
        <f t="shared" si="18"/>
        <v>0</v>
      </c>
      <c r="G13" s="5">
        <f t="shared" si="18"/>
        <v>0</v>
      </c>
      <c r="H13" s="5">
        <f t="shared" si="18"/>
        <v>500</v>
      </c>
      <c r="I13" s="59">
        <f t="shared" si="18"/>
        <v>0</v>
      </c>
      <c r="J13" s="5">
        <f t="shared" si="18"/>
        <v>0</v>
      </c>
      <c r="K13" s="5">
        <f t="shared" si="18"/>
        <v>0</v>
      </c>
      <c r="L13" s="5">
        <f t="shared" si="18"/>
        <v>1000</v>
      </c>
      <c r="M13" s="59">
        <f t="shared" si="18"/>
        <v>0</v>
      </c>
      <c r="N13" s="5">
        <f t="shared" si="18"/>
        <v>0</v>
      </c>
      <c r="O13" s="5">
        <f t="shared" si="18"/>
        <v>0</v>
      </c>
      <c r="P13" s="5">
        <f t="shared" si="18"/>
        <v>0</v>
      </c>
      <c r="Q13" s="5">
        <f t="shared" si="18"/>
        <v>0</v>
      </c>
      <c r="R13" s="5">
        <f t="shared" si="18"/>
        <v>0</v>
      </c>
      <c r="S13" s="5">
        <f t="shared" si="18"/>
        <v>0</v>
      </c>
      <c r="T13" s="5">
        <f t="shared" si="18"/>
        <v>500</v>
      </c>
      <c r="U13" s="5">
        <f t="shared" si="18"/>
        <v>0</v>
      </c>
      <c r="V13" s="5">
        <f t="shared" si="18"/>
        <v>500</v>
      </c>
      <c r="W13" s="5">
        <f t="shared" si="18"/>
        <v>0</v>
      </c>
      <c r="X13" s="5">
        <f t="shared" si="18"/>
        <v>0</v>
      </c>
      <c r="Y13" s="5">
        <f t="shared" si="18"/>
        <v>0</v>
      </c>
      <c r="Z13" s="5">
        <f t="shared" si="18"/>
        <v>500</v>
      </c>
      <c r="AA13" s="5">
        <f t="shared" si="18"/>
        <v>0</v>
      </c>
      <c r="AB13" s="5">
        <f t="shared" si="18"/>
        <v>0</v>
      </c>
      <c r="AC13" s="5">
        <f t="shared" si="18"/>
        <v>0</v>
      </c>
      <c r="AD13" s="5" t="str">
        <f t="shared" si="18"/>
        <v/>
      </c>
      <c r="AE13" s="5" t="str">
        <f t="shared" si="18"/>
        <v/>
      </c>
      <c r="AF13" s="5" t="str">
        <f t="shared" si="18"/>
        <v/>
      </c>
      <c r="AG13" s="5" t="str">
        <f t="shared" si="18"/>
        <v/>
      </c>
      <c r="AH13" s="5" t="str">
        <f t="shared" si="18"/>
        <v/>
      </c>
      <c r="AI13" s="5" t="str">
        <f t="shared" si="18"/>
        <v/>
      </c>
      <c r="AJ13" s="5" t="str">
        <f t="shared" si="18"/>
        <v/>
      </c>
      <c r="AK13" s="5" t="str">
        <f t="shared" si="18"/>
        <v/>
      </c>
      <c r="AL13" s="5" t="str">
        <f t="shared" si="18"/>
        <v/>
      </c>
      <c r="AM13" s="5" t="str">
        <f t="shared" si="18"/>
        <v/>
      </c>
      <c r="AN13" s="5" t="str">
        <f t="shared" si="18"/>
        <v/>
      </c>
      <c r="AO13" s="5" t="str">
        <f t="shared" ref="AO13:AS13" si="19">IF(AO3="","",AO12*AO7)</f>
        <v/>
      </c>
      <c r="AP13" s="5" t="str">
        <f t="shared" si="19"/>
        <v/>
      </c>
      <c r="AQ13" s="5" t="str">
        <f t="shared" si="19"/>
        <v/>
      </c>
      <c r="AR13" s="5" t="str">
        <f t="shared" si="19"/>
        <v/>
      </c>
      <c r="AS13" s="5" t="str">
        <f t="shared" si="19"/>
        <v/>
      </c>
    </row>
    <row r="14" spans="1:45" s="93" customFormat="1" ht="12" thickBot="1">
      <c r="A14" s="4">
        <f>IF(A13="","",A13/(A10*100))</f>
        <v>6.7771084337349394E-2</v>
      </c>
      <c r="B14" s="6" t="s">
        <v>20</v>
      </c>
      <c r="C14" s="76" t="s">
        <v>21</v>
      </c>
      <c r="D14" s="18" t="str">
        <f t="shared" ref="D14:AN14" si="20">IF(D13="","",IF(D13=0,"",D13/(D10*100)))</f>
        <v/>
      </c>
      <c r="E14" s="18">
        <f t="shared" si="20"/>
        <v>0.16304347826086957</v>
      </c>
      <c r="F14" s="62" t="str">
        <f t="shared" si="20"/>
        <v/>
      </c>
      <c r="G14" s="18" t="str">
        <f t="shared" si="20"/>
        <v/>
      </c>
      <c r="H14" s="18">
        <f t="shared" si="20"/>
        <v>3.6231884057971016E-2</v>
      </c>
      <c r="I14" s="62" t="str">
        <f t="shared" si="20"/>
        <v/>
      </c>
      <c r="J14" s="18" t="str">
        <f t="shared" si="20"/>
        <v/>
      </c>
      <c r="K14" s="18" t="str">
        <f t="shared" si="20"/>
        <v/>
      </c>
      <c r="L14" s="18">
        <f t="shared" si="20"/>
        <v>0.14492753623188406</v>
      </c>
      <c r="M14" s="62" t="str">
        <f t="shared" si="20"/>
        <v/>
      </c>
      <c r="N14" s="18" t="str">
        <f t="shared" si="20"/>
        <v/>
      </c>
      <c r="O14" s="18" t="str">
        <f t="shared" si="20"/>
        <v/>
      </c>
      <c r="P14" s="18" t="str">
        <f t="shared" si="20"/>
        <v/>
      </c>
      <c r="Q14" s="18" t="str">
        <f t="shared" si="20"/>
        <v/>
      </c>
      <c r="R14" s="18" t="str">
        <f t="shared" si="20"/>
        <v/>
      </c>
      <c r="S14" s="18" t="str">
        <f t="shared" si="20"/>
        <v/>
      </c>
      <c r="T14" s="18">
        <f t="shared" si="20"/>
        <v>0.26315789473684209</v>
      </c>
      <c r="U14" s="18" t="str">
        <f t="shared" si="20"/>
        <v/>
      </c>
      <c r="V14" s="18">
        <f t="shared" si="20"/>
        <v>7.3529411764705885E-2</v>
      </c>
      <c r="W14" s="18" t="str">
        <f t="shared" si="20"/>
        <v/>
      </c>
      <c r="X14" s="18" t="str">
        <f t="shared" si="20"/>
        <v/>
      </c>
      <c r="Y14" s="18" t="str">
        <f t="shared" si="20"/>
        <v/>
      </c>
      <c r="Z14" s="18">
        <f t="shared" si="20"/>
        <v>4.3103448275862072E-2</v>
      </c>
      <c r="AA14" s="18" t="str">
        <f t="shared" si="20"/>
        <v/>
      </c>
      <c r="AB14" s="18" t="str">
        <f t="shared" si="20"/>
        <v/>
      </c>
      <c r="AC14" s="18" t="str">
        <f t="shared" si="20"/>
        <v/>
      </c>
      <c r="AD14" s="18" t="str">
        <f t="shared" si="20"/>
        <v/>
      </c>
      <c r="AE14" s="18" t="str">
        <f t="shared" si="20"/>
        <v/>
      </c>
      <c r="AF14" s="18" t="str">
        <f t="shared" si="20"/>
        <v/>
      </c>
      <c r="AG14" s="18" t="str">
        <f t="shared" si="20"/>
        <v/>
      </c>
      <c r="AH14" s="18" t="str">
        <f t="shared" si="20"/>
        <v/>
      </c>
      <c r="AI14" s="18" t="str">
        <f t="shared" si="20"/>
        <v/>
      </c>
      <c r="AJ14" s="18" t="str">
        <f t="shared" si="20"/>
        <v/>
      </c>
      <c r="AK14" s="18" t="str">
        <f t="shared" si="20"/>
        <v/>
      </c>
      <c r="AL14" s="18" t="str">
        <f t="shared" si="20"/>
        <v/>
      </c>
      <c r="AM14" s="18" t="str">
        <f t="shared" si="20"/>
        <v/>
      </c>
      <c r="AN14" s="18" t="str">
        <f t="shared" si="20"/>
        <v/>
      </c>
      <c r="AO14" s="18" t="str">
        <f t="shared" ref="AO14:AS14" si="21">IF(AO13="","",IF(AO13=0,"",AO13/(AO10*100)))</f>
        <v/>
      </c>
      <c r="AP14" s="18" t="str">
        <f t="shared" si="21"/>
        <v/>
      </c>
      <c r="AQ14" s="18" t="str">
        <f t="shared" si="21"/>
        <v/>
      </c>
      <c r="AR14" s="18" t="str">
        <f t="shared" si="21"/>
        <v/>
      </c>
      <c r="AS14" s="18" t="str">
        <f t="shared" si="21"/>
        <v/>
      </c>
    </row>
    <row r="15" spans="1:45" s="93" customFormat="1" ht="11">
      <c r="A15" s="17" t="s">
        <v>101</v>
      </c>
      <c r="B15" s="9" t="s">
        <v>2</v>
      </c>
      <c r="C15" s="74">
        <v>18232</v>
      </c>
      <c r="D15" s="8">
        <f>IF(D$3="","",C15)</f>
        <v>18232</v>
      </c>
      <c r="E15" s="8">
        <v>18247</v>
      </c>
      <c r="F15" s="59">
        <f>IF(F$3="","",E15)</f>
        <v>18247</v>
      </c>
      <c r="G15" s="8">
        <f>IF(G$3="","",F15)</f>
        <v>18247</v>
      </c>
      <c r="H15" s="8">
        <v>18313</v>
      </c>
      <c r="I15" s="59">
        <f t="shared" ref="I15:K16" si="22">IF(I$3="","",H15)</f>
        <v>18313</v>
      </c>
      <c r="J15" s="8">
        <f t="shared" si="22"/>
        <v>18313</v>
      </c>
      <c r="K15" s="8">
        <f t="shared" si="22"/>
        <v>18313</v>
      </c>
      <c r="L15" s="8">
        <v>18341</v>
      </c>
      <c r="M15" s="59">
        <f>IF(M$3="","",L15)</f>
        <v>18341</v>
      </c>
      <c r="N15" s="8">
        <f>IF(N$3="","",M15)</f>
        <v>18341</v>
      </c>
      <c r="O15" s="8">
        <v>18384</v>
      </c>
      <c r="P15" s="8">
        <f t="shared" ref="P15:AN15" si="23">IF(P$3="","",O15)</f>
        <v>18384</v>
      </c>
      <c r="Q15" s="8">
        <f t="shared" si="23"/>
        <v>18384</v>
      </c>
      <c r="R15" s="8">
        <f t="shared" si="23"/>
        <v>18384</v>
      </c>
      <c r="S15" s="8">
        <f t="shared" si="23"/>
        <v>18384</v>
      </c>
      <c r="T15" s="8">
        <v>18390</v>
      </c>
      <c r="U15" s="8">
        <f t="shared" si="23"/>
        <v>18390</v>
      </c>
      <c r="V15" s="8">
        <v>18425</v>
      </c>
      <c r="W15" s="8">
        <f t="shared" si="23"/>
        <v>18425</v>
      </c>
      <c r="X15" s="8">
        <f t="shared" si="23"/>
        <v>18425</v>
      </c>
      <c r="Y15" s="8">
        <f t="shared" si="23"/>
        <v>18425</v>
      </c>
      <c r="Z15" s="8">
        <v>18511</v>
      </c>
      <c r="AA15" s="8">
        <f t="shared" si="23"/>
        <v>18511</v>
      </c>
      <c r="AB15" s="8">
        <f t="shared" si="23"/>
        <v>18511</v>
      </c>
      <c r="AC15" s="8">
        <v>18534</v>
      </c>
      <c r="AD15" s="8" t="str">
        <f t="shared" si="23"/>
        <v/>
      </c>
      <c r="AE15" s="8" t="str">
        <f t="shared" si="23"/>
        <v/>
      </c>
      <c r="AF15" s="8" t="str">
        <f t="shared" si="23"/>
        <v/>
      </c>
      <c r="AG15" s="8" t="str">
        <f t="shared" si="23"/>
        <v/>
      </c>
      <c r="AH15" s="8" t="str">
        <f t="shared" si="23"/>
        <v/>
      </c>
      <c r="AI15" s="8" t="str">
        <f t="shared" si="23"/>
        <v/>
      </c>
      <c r="AJ15" s="8" t="str">
        <f t="shared" si="23"/>
        <v/>
      </c>
      <c r="AK15" s="8" t="str">
        <f t="shared" si="23"/>
        <v/>
      </c>
      <c r="AL15" s="8" t="str">
        <f t="shared" si="23"/>
        <v/>
      </c>
      <c r="AM15" s="8" t="str">
        <f t="shared" si="23"/>
        <v/>
      </c>
      <c r="AN15" s="8" t="str">
        <f t="shared" si="23"/>
        <v/>
      </c>
      <c r="AO15" s="8" t="str">
        <f t="shared" ref="AO15:AS15" si="24">IF(AO$3="","",AN15)</f>
        <v/>
      </c>
      <c r="AP15" s="8" t="str">
        <f t="shared" si="24"/>
        <v/>
      </c>
      <c r="AQ15" s="8" t="str">
        <f t="shared" si="24"/>
        <v/>
      </c>
      <c r="AR15" s="8" t="str">
        <f t="shared" si="24"/>
        <v/>
      </c>
      <c r="AS15" s="8" t="str">
        <f t="shared" si="24"/>
        <v/>
      </c>
    </row>
    <row r="16" spans="1:45" s="93" customFormat="1" ht="11">
      <c r="A16" s="16" t="s">
        <v>3</v>
      </c>
      <c r="B16" s="9" t="s">
        <v>4</v>
      </c>
      <c r="C16" s="74">
        <v>399</v>
      </c>
      <c r="D16" s="8">
        <f>IF(D$3="","",C16)</f>
        <v>399</v>
      </c>
      <c r="E16" s="8">
        <f>IF(E$3="","",D16)</f>
        <v>399</v>
      </c>
      <c r="F16" s="59">
        <f>IF(F$3="","",E16)</f>
        <v>399</v>
      </c>
      <c r="G16" s="8">
        <f>IF(G$3="","",F16)</f>
        <v>399</v>
      </c>
      <c r="H16" s="8">
        <f>IF(H$3="","",G16)</f>
        <v>399</v>
      </c>
      <c r="I16" s="59">
        <f t="shared" si="22"/>
        <v>399</v>
      </c>
      <c r="J16" s="8">
        <f t="shared" si="22"/>
        <v>399</v>
      </c>
      <c r="K16" s="8">
        <f t="shared" si="22"/>
        <v>399</v>
      </c>
      <c r="L16" s="8">
        <f>IF(L$3="","",K16)</f>
        <v>399</v>
      </c>
      <c r="M16" s="59">
        <f>IF(M$3="","",L16)</f>
        <v>399</v>
      </c>
      <c r="N16" s="8">
        <f>IF(N$3="","",M16)</f>
        <v>399</v>
      </c>
      <c r="O16" s="8">
        <f>IF(O$3="","",N16)</f>
        <v>399</v>
      </c>
      <c r="P16" s="8">
        <f t="shared" ref="P16:AN16" si="25">IF(P$3="","",O16)</f>
        <v>399</v>
      </c>
      <c r="Q16" s="8">
        <f t="shared" si="25"/>
        <v>399</v>
      </c>
      <c r="R16" s="8">
        <f t="shared" si="25"/>
        <v>399</v>
      </c>
      <c r="S16" s="8">
        <f t="shared" si="25"/>
        <v>399</v>
      </c>
      <c r="T16" s="8">
        <f t="shared" si="25"/>
        <v>399</v>
      </c>
      <c r="U16" s="8">
        <f t="shared" si="25"/>
        <v>399</v>
      </c>
      <c r="V16" s="8">
        <f t="shared" si="25"/>
        <v>399</v>
      </c>
      <c r="W16" s="8">
        <f t="shared" si="25"/>
        <v>399</v>
      </c>
      <c r="X16" s="8">
        <f t="shared" si="25"/>
        <v>399</v>
      </c>
      <c r="Y16" s="8">
        <f t="shared" si="25"/>
        <v>399</v>
      </c>
      <c r="Z16" s="8">
        <v>402</v>
      </c>
      <c r="AA16" s="8">
        <f t="shared" si="25"/>
        <v>402</v>
      </c>
      <c r="AB16" s="8">
        <f t="shared" si="25"/>
        <v>402</v>
      </c>
      <c r="AC16" s="8">
        <v>403</v>
      </c>
      <c r="AD16" s="8" t="str">
        <f t="shared" si="25"/>
        <v/>
      </c>
      <c r="AE16" s="8" t="str">
        <f t="shared" si="25"/>
        <v/>
      </c>
      <c r="AF16" s="8" t="str">
        <f t="shared" si="25"/>
        <v/>
      </c>
      <c r="AG16" s="8" t="str">
        <f t="shared" si="25"/>
        <v/>
      </c>
      <c r="AH16" s="8" t="str">
        <f t="shared" si="25"/>
        <v/>
      </c>
      <c r="AI16" s="8" t="str">
        <f t="shared" si="25"/>
        <v/>
      </c>
      <c r="AJ16" s="8" t="str">
        <f t="shared" si="25"/>
        <v/>
      </c>
      <c r="AK16" s="8" t="str">
        <f t="shared" si="25"/>
        <v/>
      </c>
      <c r="AL16" s="8" t="str">
        <f t="shared" si="25"/>
        <v/>
      </c>
      <c r="AM16" s="8" t="str">
        <f t="shared" si="25"/>
        <v/>
      </c>
      <c r="AN16" s="8" t="str">
        <f t="shared" si="25"/>
        <v/>
      </c>
      <c r="AO16" s="8" t="str">
        <f t="shared" ref="AO16:AS16" si="26">IF(AO$3="","",AN16)</f>
        <v/>
      </c>
      <c r="AP16" s="8" t="str">
        <f t="shared" si="26"/>
        <v/>
      </c>
      <c r="AQ16" s="8" t="str">
        <f t="shared" si="26"/>
        <v/>
      </c>
      <c r="AR16" s="8" t="str">
        <f t="shared" si="26"/>
        <v/>
      </c>
      <c r="AS16" s="8" t="str">
        <f t="shared" si="26"/>
        <v/>
      </c>
    </row>
    <row r="17" spans="1:45" s="93" customFormat="1" ht="11">
      <c r="A17" s="15">
        <v>2</v>
      </c>
      <c r="B17" s="9" t="s">
        <v>5</v>
      </c>
      <c r="C17" s="74">
        <v>3</v>
      </c>
      <c r="D17" s="8">
        <f>IF(D15="","",(C17+C18))</f>
        <v>3</v>
      </c>
      <c r="E17" s="8">
        <f>IF(E15="","",(D17+D18))</f>
        <v>3</v>
      </c>
      <c r="F17" s="59">
        <f>IF(F15="","",(E17+E18))</f>
        <v>4</v>
      </c>
      <c r="G17" s="8">
        <f>IF(G15="","",(F17+F18))</f>
        <v>4</v>
      </c>
      <c r="H17" s="8">
        <v>3</v>
      </c>
      <c r="I17" s="59">
        <f t="shared" ref="I17:AN17" si="27">IF(I15="","",(H17+H18))</f>
        <v>3</v>
      </c>
      <c r="J17" s="8">
        <f t="shared" si="27"/>
        <v>3</v>
      </c>
      <c r="K17" s="8">
        <f t="shared" si="27"/>
        <v>3</v>
      </c>
      <c r="L17" s="8">
        <f t="shared" si="27"/>
        <v>3</v>
      </c>
      <c r="M17" s="59">
        <f t="shared" si="27"/>
        <v>3</v>
      </c>
      <c r="N17" s="8">
        <f t="shared" si="27"/>
        <v>3</v>
      </c>
      <c r="O17" s="8">
        <f t="shared" si="27"/>
        <v>3</v>
      </c>
      <c r="P17" s="8">
        <f t="shared" si="27"/>
        <v>3</v>
      </c>
      <c r="Q17" s="8">
        <f t="shared" si="27"/>
        <v>3</v>
      </c>
      <c r="R17" s="8">
        <f t="shared" si="27"/>
        <v>3</v>
      </c>
      <c r="S17" s="8">
        <f t="shared" si="27"/>
        <v>3</v>
      </c>
      <c r="T17" s="8">
        <f t="shared" si="27"/>
        <v>3</v>
      </c>
      <c r="U17" s="8">
        <f t="shared" si="27"/>
        <v>3</v>
      </c>
      <c r="V17" s="8">
        <f t="shared" si="27"/>
        <v>3</v>
      </c>
      <c r="W17" s="8">
        <f t="shared" si="27"/>
        <v>3</v>
      </c>
      <c r="X17" s="8">
        <f t="shared" si="27"/>
        <v>3</v>
      </c>
      <c r="Y17" s="8">
        <f t="shared" si="27"/>
        <v>3</v>
      </c>
      <c r="Z17" s="8">
        <v>0</v>
      </c>
      <c r="AA17" s="8">
        <f t="shared" si="27"/>
        <v>17</v>
      </c>
      <c r="AB17" s="8">
        <f t="shared" si="27"/>
        <v>17</v>
      </c>
      <c r="AC17" s="8">
        <v>16</v>
      </c>
      <c r="AD17" s="8" t="str">
        <f t="shared" si="27"/>
        <v/>
      </c>
      <c r="AE17" s="8" t="str">
        <f t="shared" si="27"/>
        <v/>
      </c>
      <c r="AF17" s="8" t="str">
        <f t="shared" si="27"/>
        <v/>
      </c>
      <c r="AG17" s="8" t="str">
        <f t="shared" si="27"/>
        <v/>
      </c>
      <c r="AH17" s="8" t="str">
        <f t="shared" si="27"/>
        <v/>
      </c>
      <c r="AI17" s="8" t="str">
        <f t="shared" si="27"/>
        <v/>
      </c>
      <c r="AJ17" s="8" t="str">
        <f t="shared" si="27"/>
        <v/>
      </c>
      <c r="AK17" s="8" t="str">
        <f t="shared" si="27"/>
        <v/>
      </c>
      <c r="AL17" s="8" t="str">
        <f t="shared" si="27"/>
        <v/>
      </c>
      <c r="AM17" s="8" t="str">
        <f t="shared" si="27"/>
        <v/>
      </c>
      <c r="AN17" s="8" t="str">
        <f t="shared" si="27"/>
        <v/>
      </c>
      <c r="AO17" s="8" t="str">
        <f t="shared" ref="AO17:AS17" si="28">IF(AO15="","",(AN17+AN18))</f>
        <v/>
      </c>
      <c r="AP17" s="8" t="str">
        <f t="shared" si="28"/>
        <v/>
      </c>
      <c r="AQ17" s="8" t="str">
        <f t="shared" si="28"/>
        <v/>
      </c>
      <c r="AR17" s="8" t="str">
        <f t="shared" si="28"/>
        <v/>
      </c>
      <c r="AS17" s="8" t="str">
        <f t="shared" si="28"/>
        <v/>
      </c>
    </row>
    <row r="18" spans="1:45" s="93" customFormat="1" ht="11">
      <c r="A18" s="14"/>
      <c r="B18" s="9" t="s">
        <v>7</v>
      </c>
      <c r="C18" s="74"/>
      <c r="D18" s="8"/>
      <c r="E18" s="8">
        <v>1</v>
      </c>
      <c r="F18" s="59"/>
      <c r="G18" s="8"/>
      <c r="H18" s="8"/>
      <c r="I18" s="59"/>
      <c r="J18" s="8"/>
      <c r="K18" s="8"/>
      <c r="L18" s="8"/>
      <c r="M18" s="5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>
        <v>17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s="93" customFormat="1" ht="11">
      <c r="A19" s="7"/>
      <c r="B19" s="9" t="s">
        <v>8</v>
      </c>
      <c r="C19" s="74">
        <v>682</v>
      </c>
      <c r="D19" s="8">
        <f t="shared" ref="D19:AN19" si="29">IF(D15="","",C19)</f>
        <v>682</v>
      </c>
      <c r="E19" s="8">
        <f t="shared" si="29"/>
        <v>682</v>
      </c>
      <c r="F19" s="59">
        <f t="shared" si="29"/>
        <v>682</v>
      </c>
      <c r="G19" s="8">
        <f t="shared" si="29"/>
        <v>682</v>
      </c>
      <c r="H19" s="8">
        <f t="shared" si="29"/>
        <v>682</v>
      </c>
      <c r="I19" s="59">
        <f t="shared" si="29"/>
        <v>682</v>
      </c>
      <c r="J19" s="8">
        <f t="shared" si="29"/>
        <v>682</v>
      </c>
      <c r="K19" s="8">
        <f t="shared" si="29"/>
        <v>682</v>
      </c>
      <c r="L19" s="8">
        <f t="shared" si="29"/>
        <v>682</v>
      </c>
      <c r="M19" s="59">
        <f t="shared" si="29"/>
        <v>682</v>
      </c>
      <c r="N19" s="8">
        <f t="shared" si="29"/>
        <v>682</v>
      </c>
      <c r="O19" s="8">
        <f t="shared" si="29"/>
        <v>682</v>
      </c>
      <c r="P19" s="8">
        <f t="shared" si="29"/>
        <v>682</v>
      </c>
      <c r="Q19" s="8">
        <f t="shared" si="29"/>
        <v>682</v>
      </c>
      <c r="R19" s="8">
        <f t="shared" si="29"/>
        <v>682</v>
      </c>
      <c r="S19" s="8">
        <f t="shared" si="29"/>
        <v>682</v>
      </c>
      <c r="T19" s="8">
        <f t="shared" si="29"/>
        <v>682</v>
      </c>
      <c r="U19" s="8">
        <f t="shared" si="29"/>
        <v>682</v>
      </c>
      <c r="V19" s="8">
        <f t="shared" si="29"/>
        <v>682</v>
      </c>
      <c r="W19" s="8">
        <f t="shared" si="29"/>
        <v>682</v>
      </c>
      <c r="X19" s="8">
        <f t="shared" si="29"/>
        <v>682</v>
      </c>
      <c r="Y19" s="8">
        <f t="shared" si="29"/>
        <v>682</v>
      </c>
      <c r="Z19" s="8">
        <f t="shared" si="29"/>
        <v>682</v>
      </c>
      <c r="AA19" s="8">
        <f t="shared" si="29"/>
        <v>682</v>
      </c>
      <c r="AB19" s="8">
        <f t="shared" si="29"/>
        <v>682</v>
      </c>
      <c r="AC19" s="8">
        <f t="shared" si="29"/>
        <v>682</v>
      </c>
      <c r="AD19" s="8" t="str">
        <f t="shared" si="29"/>
        <v/>
      </c>
      <c r="AE19" s="8" t="str">
        <f t="shared" si="29"/>
        <v/>
      </c>
      <c r="AF19" s="8" t="str">
        <f t="shared" si="29"/>
        <v/>
      </c>
      <c r="AG19" s="8" t="str">
        <f t="shared" si="29"/>
        <v/>
      </c>
      <c r="AH19" s="8" t="str">
        <f t="shared" si="29"/>
        <v/>
      </c>
      <c r="AI19" s="8" t="str">
        <f t="shared" si="29"/>
        <v/>
      </c>
      <c r="AJ19" s="8" t="str">
        <f t="shared" si="29"/>
        <v/>
      </c>
      <c r="AK19" s="8" t="str">
        <f t="shared" si="29"/>
        <v/>
      </c>
      <c r="AL19" s="8" t="str">
        <f t="shared" si="29"/>
        <v/>
      </c>
      <c r="AM19" s="8" t="str">
        <f t="shared" si="29"/>
        <v/>
      </c>
      <c r="AN19" s="8" t="str">
        <f t="shared" si="29"/>
        <v/>
      </c>
      <c r="AO19" s="8" t="str">
        <f t="shared" ref="AO19:AS19" si="30">IF(AO15="","",AN19)</f>
        <v/>
      </c>
      <c r="AP19" s="8" t="str">
        <f t="shared" si="30"/>
        <v/>
      </c>
      <c r="AQ19" s="8" t="str">
        <f t="shared" si="30"/>
        <v/>
      </c>
      <c r="AR19" s="8" t="str">
        <f t="shared" si="30"/>
        <v/>
      </c>
      <c r="AS19" s="8" t="str">
        <f t="shared" si="30"/>
        <v/>
      </c>
    </row>
    <row r="20" spans="1:45" s="94" customFormat="1" ht="11">
      <c r="A20" s="14" t="s">
        <v>9</v>
      </c>
      <c r="B20" s="13" t="s">
        <v>10</v>
      </c>
      <c r="C20" s="75" t="s">
        <v>33</v>
      </c>
      <c r="D20" s="12" t="str">
        <f t="shared" ref="D20:AN20" si="31">IF(D15="","",C20)</f>
        <v>パステルケーキ</v>
      </c>
      <c r="E20" s="12" t="str">
        <f t="shared" si="31"/>
        <v>パステルケーキ</v>
      </c>
      <c r="F20" s="131" t="str">
        <f t="shared" si="31"/>
        <v>パステルケーキ</v>
      </c>
      <c r="G20" s="12" t="str">
        <f t="shared" si="31"/>
        <v>パステルケーキ</v>
      </c>
      <c r="H20" s="12" t="str">
        <f t="shared" si="31"/>
        <v>パステルケーキ</v>
      </c>
      <c r="I20" s="131" t="str">
        <f t="shared" si="31"/>
        <v>パステルケーキ</v>
      </c>
      <c r="J20" s="12" t="str">
        <f t="shared" si="31"/>
        <v>パステルケーキ</v>
      </c>
      <c r="K20" s="12" t="str">
        <f t="shared" si="31"/>
        <v>パステルケーキ</v>
      </c>
      <c r="L20" s="12" t="str">
        <f t="shared" si="31"/>
        <v>パステルケーキ</v>
      </c>
      <c r="M20" s="131" t="str">
        <f t="shared" si="31"/>
        <v>パステルケーキ</v>
      </c>
      <c r="N20" s="12" t="str">
        <f t="shared" si="31"/>
        <v>パステルケーキ</v>
      </c>
      <c r="O20" s="12" t="str">
        <f t="shared" si="31"/>
        <v>パステルケーキ</v>
      </c>
      <c r="P20" s="12" t="str">
        <f t="shared" si="31"/>
        <v>パステルケーキ</v>
      </c>
      <c r="Q20" s="12" t="str">
        <f t="shared" si="31"/>
        <v>パステルケーキ</v>
      </c>
      <c r="R20" s="12" t="str">
        <f t="shared" si="31"/>
        <v>パステルケーキ</v>
      </c>
      <c r="S20" s="12" t="str">
        <f t="shared" si="31"/>
        <v>パステルケーキ</v>
      </c>
      <c r="T20" s="12" t="str">
        <f t="shared" si="31"/>
        <v>パステルケーキ</v>
      </c>
      <c r="U20" s="12" t="str">
        <f t="shared" si="31"/>
        <v>パステルケーキ</v>
      </c>
      <c r="V20" s="12" t="str">
        <f t="shared" si="31"/>
        <v>パステルケーキ</v>
      </c>
      <c r="W20" s="12" t="str">
        <f t="shared" si="31"/>
        <v>パステルケーキ</v>
      </c>
      <c r="X20" s="12" t="str">
        <f t="shared" si="31"/>
        <v>パステルケーキ</v>
      </c>
      <c r="Y20" s="12" t="str">
        <f t="shared" si="31"/>
        <v>パステルケーキ</v>
      </c>
      <c r="Z20" s="12" t="s">
        <v>411</v>
      </c>
      <c r="AA20" s="12" t="str">
        <f t="shared" si="31"/>
        <v>キティサンダルキーホルダー</v>
      </c>
      <c r="AB20" s="12" t="str">
        <f t="shared" si="31"/>
        <v>キティサンダルキーホルダー</v>
      </c>
      <c r="AC20" s="12" t="str">
        <f t="shared" si="31"/>
        <v>キティサンダルキーホルダー</v>
      </c>
      <c r="AD20" s="12" t="str">
        <f t="shared" si="31"/>
        <v/>
      </c>
      <c r="AE20" s="12" t="str">
        <f t="shared" si="31"/>
        <v/>
      </c>
      <c r="AF20" s="12" t="str">
        <f t="shared" si="31"/>
        <v/>
      </c>
      <c r="AG20" s="12" t="str">
        <f t="shared" si="31"/>
        <v/>
      </c>
      <c r="AH20" s="12" t="str">
        <f t="shared" si="31"/>
        <v/>
      </c>
      <c r="AI20" s="12" t="str">
        <f t="shared" si="31"/>
        <v/>
      </c>
      <c r="AJ20" s="12" t="str">
        <f t="shared" si="31"/>
        <v/>
      </c>
      <c r="AK20" s="12" t="str">
        <f t="shared" si="31"/>
        <v/>
      </c>
      <c r="AL20" s="12" t="str">
        <f t="shared" si="31"/>
        <v/>
      </c>
      <c r="AM20" s="12" t="str">
        <f t="shared" si="31"/>
        <v/>
      </c>
      <c r="AN20" s="12" t="str">
        <f t="shared" si="31"/>
        <v/>
      </c>
      <c r="AO20" s="12" t="str">
        <f t="shared" ref="AO20:AS20" si="32">IF(AO15="","",AN20)</f>
        <v/>
      </c>
      <c r="AP20" s="12" t="str">
        <f t="shared" si="32"/>
        <v/>
      </c>
      <c r="AQ20" s="12" t="str">
        <f t="shared" si="32"/>
        <v/>
      </c>
      <c r="AR20" s="12" t="str">
        <f t="shared" si="32"/>
        <v/>
      </c>
      <c r="AS20" s="12" t="str">
        <f t="shared" si="32"/>
        <v/>
      </c>
    </row>
    <row r="21" spans="1:45" s="93" customFormat="1" ht="11">
      <c r="A21" s="7">
        <f>AVERAGE(C22:AS22)*30*100</f>
        <v>33555.555555555555</v>
      </c>
      <c r="B21" s="9" t="s">
        <v>14</v>
      </c>
      <c r="C21" s="74"/>
      <c r="D21" s="8"/>
      <c r="E21" s="8"/>
      <c r="F21" s="59"/>
      <c r="G21" s="8"/>
      <c r="H21" s="8"/>
      <c r="I21" s="59"/>
      <c r="J21" s="8"/>
      <c r="K21" s="8"/>
      <c r="L21" s="8"/>
      <c r="M21" s="5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s="93" customFormat="1" ht="11">
      <c r="A22" s="7">
        <f>SUM(C22:AS22)</f>
        <v>302</v>
      </c>
      <c r="B22" s="6" t="s">
        <v>15</v>
      </c>
      <c r="C22" s="74">
        <v>0</v>
      </c>
      <c r="D22" s="5">
        <f t="shared" ref="D22:AN22" si="33">IF(D15="","",D15-C15)</f>
        <v>0</v>
      </c>
      <c r="E22" s="5">
        <f t="shared" si="33"/>
        <v>15</v>
      </c>
      <c r="F22" s="59">
        <f t="shared" si="33"/>
        <v>0</v>
      </c>
      <c r="G22" s="5">
        <f t="shared" si="33"/>
        <v>0</v>
      </c>
      <c r="H22" s="5">
        <f t="shared" si="33"/>
        <v>66</v>
      </c>
      <c r="I22" s="59">
        <f t="shared" si="33"/>
        <v>0</v>
      </c>
      <c r="J22" s="5">
        <f t="shared" si="33"/>
        <v>0</v>
      </c>
      <c r="K22" s="5">
        <f t="shared" si="33"/>
        <v>0</v>
      </c>
      <c r="L22" s="5">
        <f t="shared" si="33"/>
        <v>28</v>
      </c>
      <c r="M22" s="59">
        <f t="shared" si="33"/>
        <v>0</v>
      </c>
      <c r="N22" s="5">
        <f t="shared" si="33"/>
        <v>0</v>
      </c>
      <c r="O22" s="5">
        <f t="shared" si="33"/>
        <v>43</v>
      </c>
      <c r="P22" s="5">
        <f t="shared" si="33"/>
        <v>0</v>
      </c>
      <c r="Q22" s="5">
        <f t="shared" si="33"/>
        <v>0</v>
      </c>
      <c r="R22" s="5">
        <f t="shared" si="33"/>
        <v>0</v>
      </c>
      <c r="S22" s="5">
        <f t="shared" si="33"/>
        <v>0</v>
      </c>
      <c r="T22" s="5">
        <f t="shared" si="33"/>
        <v>6</v>
      </c>
      <c r="U22" s="5">
        <f t="shared" si="33"/>
        <v>0</v>
      </c>
      <c r="V22" s="5">
        <f t="shared" si="33"/>
        <v>35</v>
      </c>
      <c r="W22" s="5">
        <f t="shared" si="33"/>
        <v>0</v>
      </c>
      <c r="X22" s="5">
        <f t="shared" si="33"/>
        <v>0</v>
      </c>
      <c r="Y22" s="5">
        <f t="shared" si="33"/>
        <v>0</v>
      </c>
      <c r="Z22" s="5">
        <f t="shared" si="33"/>
        <v>86</v>
      </c>
      <c r="AA22" s="5">
        <f t="shared" si="33"/>
        <v>0</v>
      </c>
      <c r="AB22" s="5">
        <f t="shared" si="33"/>
        <v>0</v>
      </c>
      <c r="AC22" s="5">
        <f t="shared" si="33"/>
        <v>23</v>
      </c>
      <c r="AD22" s="5" t="str">
        <f t="shared" si="33"/>
        <v/>
      </c>
      <c r="AE22" s="5" t="str">
        <f t="shared" si="33"/>
        <v/>
      </c>
      <c r="AF22" s="5" t="str">
        <f t="shared" si="33"/>
        <v/>
      </c>
      <c r="AG22" s="5" t="str">
        <f t="shared" si="33"/>
        <v/>
      </c>
      <c r="AH22" s="5" t="str">
        <f t="shared" si="33"/>
        <v/>
      </c>
      <c r="AI22" s="5" t="str">
        <f t="shared" si="33"/>
        <v/>
      </c>
      <c r="AJ22" s="5" t="str">
        <f t="shared" si="33"/>
        <v/>
      </c>
      <c r="AK22" s="5" t="str">
        <f t="shared" si="33"/>
        <v/>
      </c>
      <c r="AL22" s="5" t="str">
        <f t="shared" si="33"/>
        <v/>
      </c>
      <c r="AM22" s="5" t="str">
        <f t="shared" si="33"/>
        <v/>
      </c>
      <c r="AN22" s="5" t="str">
        <f t="shared" si="33"/>
        <v/>
      </c>
      <c r="AO22" s="5" t="str">
        <f t="shared" ref="AO22:AS22" si="34">IF(AO15="","",AO15-AN15)</f>
        <v/>
      </c>
      <c r="AP22" s="5" t="str">
        <f t="shared" si="34"/>
        <v/>
      </c>
      <c r="AQ22" s="5" t="str">
        <f t="shared" si="34"/>
        <v/>
      </c>
      <c r="AR22" s="5" t="str">
        <f t="shared" si="34"/>
        <v/>
      </c>
      <c r="AS22" s="5" t="str">
        <f t="shared" si="34"/>
        <v/>
      </c>
    </row>
    <row r="23" spans="1:45" s="93" customFormat="1" ht="11">
      <c r="A23" s="7">
        <f>SUM(C23:AS23)</f>
        <v>4</v>
      </c>
      <c r="B23" s="6" t="s">
        <v>16</v>
      </c>
      <c r="C23" s="74">
        <v>0</v>
      </c>
      <c r="D23" s="5">
        <f t="shared" ref="D23:AN23" si="35">IF(D16="","",D16-C16)</f>
        <v>0</v>
      </c>
      <c r="E23" s="5">
        <f t="shared" si="35"/>
        <v>0</v>
      </c>
      <c r="F23" s="59">
        <f t="shared" si="35"/>
        <v>0</v>
      </c>
      <c r="G23" s="5">
        <f t="shared" si="35"/>
        <v>0</v>
      </c>
      <c r="H23" s="5">
        <f t="shared" si="35"/>
        <v>0</v>
      </c>
      <c r="I23" s="59">
        <f t="shared" si="35"/>
        <v>0</v>
      </c>
      <c r="J23" s="5">
        <f t="shared" si="35"/>
        <v>0</v>
      </c>
      <c r="K23" s="5">
        <f t="shared" si="35"/>
        <v>0</v>
      </c>
      <c r="L23" s="5">
        <f t="shared" si="35"/>
        <v>0</v>
      </c>
      <c r="M23" s="59">
        <f t="shared" si="35"/>
        <v>0</v>
      </c>
      <c r="N23" s="5">
        <f t="shared" si="35"/>
        <v>0</v>
      </c>
      <c r="O23" s="5">
        <f t="shared" si="35"/>
        <v>0</v>
      </c>
      <c r="P23" s="5">
        <f t="shared" si="35"/>
        <v>0</v>
      </c>
      <c r="Q23" s="5">
        <f t="shared" si="35"/>
        <v>0</v>
      </c>
      <c r="R23" s="5">
        <f t="shared" si="35"/>
        <v>0</v>
      </c>
      <c r="S23" s="5">
        <f t="shared" si="35"/>
        <v>0</v>
      </c>
      <c r="T23" s="5">
        <f t="shared" si="35"/>
        <v>0</v>
      </c>
      <c r="U23" s="5">
        <f t="shared" si="35"/>
        <v>0</v>
      </c>
      <c r="V23" s="5">
        <f t="shared" si="35"/>
        <v>0</v>
      </c>
      <c r="W23" s="5">
        <f t="shared" si="35"/>
        <v>0</v>
      </c>
      <c r="X23" s="5">
        <f t="shared" si="35"/>
        <v>0</v>
      </c>
      <c r="Y23" s="5">
        <f t="shared" si="35"/>
        <v>0</v>
      </c>
      <c r="Z23" s="5">
        <f t="shared" si="35"/>
        <v>3</v>
      </c>
      <c r="AA23" s="5">
        <f t="shared" si="35"/>
        <v>0</v>
      </c>
      <c r="AB23" s="5">
        <f t="shared" si="35"/>
        <v>0</v>
      </c>
      <c r="AC23" s="5">
        <f t="shared" si="35"/>
        <v>1</v>
      </c>
      <c r="AD23" s="5" t="str">
        <f t="shared" si="35"/>
        <v/>
      </c>
      <c r="AE23" s="5" t="str">
        <f t="shared" si="35"/>
        <v/>
      </c>
      <c r="AF23" s="5" t="str">
        <f t="shared" si="35"/>
        <v/>
      </c>
      <c r="AG23" s="5" t="str">
        <f t="shared" si="35"/>
        <v/>
      </c>
      <c r="AH23" s="5" t="str">
        <f t="shared" si="35"/>
        <v/>
      </c>
      <c r="AI23" s="5" t="str">
        <f t="shared" si="35"/>
        <v/>
      </c>
      <c r="AJ23" s="5" t="str">
        <f t="shared" si="35"/>
        <v/>
      </c>
      <c r="AK23" s="5" t="str">
        <f t="shared" si="35"/>
        <v/>
      </c>
      <c r="AL23" s="5" t="str">
        <f t="shared" si="35"/>
        <v/>
      </c>
      <c r="AM23" s="5" t="str">
        <f t="shared" si="35"/>
        <v/>
      </c>
      <c r="AN23" s="5" t="str">
        <f t="shared" si="35"/>
        <v/>
      </c>
      <c r="AO23" s="5" t="str">
        <f t="shared" ref="AO23:AS23" si="36">IF(AO16="","",AO16-AN16)</f>
        <v/>
      </c>
      <c r="AP23" s="5" t="str">
        <f t="shared" si="36"/>
        <v/>
      </c>
      <c r="AQ23" s="5" t="str">
        <f t="shared" si="36"/>
        <v/>
      </c>
      <c r="AR23" s="5" t="str">
        <f t="shared" si="36"/>
        <v/>
      </c>
      <c r="AS23" s="5" t="str">
        <f t="shared" si="36"/>
        <v/>
      </c>
    </row>
    <row r="24" spans="1:45" s="93" customFormat="1" ht="11">
      <c r="A24" s="7">
        <f>SUM(C24:AS24)</f>
        <v>5</v>
      </c>
      <c r="B24" s="6" t="s">
        <v>17</v>
      </c>
      <c r="C24" s="74">
        <v>0</v>
      </c>
      <c r="D24" s="5">
        <f t="shared" ref="D24:AN24" si="37">IF(D17="","",C17+C18-D17)</f>
        <v>0</v>
      </c>
      <c r="E24" s="5">
        <f t="shared" si="37"/>
        <v>0</v>
      </c>
      <c r="F24" s="59">
        <f t="shared" si="37"/>
        <v>0</v>
      </c>
      <c r="G24" s="5">
        <f t="shared" si="37"/>
        <v>0</v>
      </c>
      <c r="H24" s="5">
        <f t="shared" si="37"/>
        <v>1</v>
      </c>
      <c r="I24" s="59">
        <f t="shared" si="37"/>
        <v>0</v>
      </c>
      <c r="J24" s="5">
        <f t="shared" si="37"/>
        <v>0</v>
      </c>
      <c r="K24" s="5">
        <f t="shared" si="37"/>
        <v>0</v>
      </c>
      <c r="L24" s="5">
        <f t="shared" si="37"/>
        <v>0</v>
      </c>
      <c r="M24" s="59">
        <f t="shared" si="37"/>
        <v>0</v>
      </c>
      <c r="N24" s="5">
        <f t="shared" si="37"/>
        <v>0</v>
      </c>
      <c r="O24" s="5">
        <f t="shared" si="37"/>
        <v>0</v>
      </c>
      <c r="P24" s="5">
        <f t="shared" si="37"/>
        <v>0</v>
      </c>
      <c r="Q24" s="5">
        <f t="shared" si="37"/>
        <v>0</v>
      </c>
      <c r="R24" s="5">
        <f t="shared" si="37"/>
        <v>0</v>
      </c>
      <c r="S24" s="5">
        <f t="shared" si="37"/>
        <v>0</v>
      </c>
      <c r="T24" s="5">
        <f t="shared" si="37"/>
        <v>0</v>
      </c>
      <c r="U24" s="5">
        <f t="shared" si="37"/>
        <v>0</v>
      </c>
      <c r="V24" s="5">
        <f t="shared" si="37"/>
        <v>0</v>
      </c>
      <c r="W24" s="5">
        <f t="shared" si="37"/>
        <v>0</v>
      </c>
      <c r="X24" s="5">
        <f t="shared" si="37"/>
        <v>0</v>
      </c>
      <c r="Y24" s="5">
        <f t="shared" si="37"/>
        <v>0</v>
      </c>
      <c r="Z24" s="5">
        <f t="shared" si="37"/>
        <v>3</v>
      </c>
      <c r="AA24" s="5">
        <f t="shared" si="37"/>
        <v>0</v>
      </c>
      <c r="AB24" s="5">
        <f t="shared" si="37"/>
        <v>0</v>
      </c>
      <c r="AC24" s="5">
        <f t="shared" si="37"/>
        <v>1</v>
      </c>
      <c r="AD24" s="5" t="str">
        <f t="shared" si="37"/>
        <v/>
      </c>
      <c r="AE24" s="5" t="str">
        <f t="shared" si="37"/>
        <v/>
      </c>
      <c r="AF24" s="5" t="str">
        <f t="shared" si="37"/>
        <v/>
      </c>
      <c r="AG24" s="5" t="str">
        <f t="shared" si="37"/>
        <v/>
      </c>
      <c r="AH24" s="5" t="str">
        <f t="shared" si="37"/>
        <v/>
      </c>
      <c r="AI24" s="5" t="str">
        <f t="shared" si="37"/>
        <v/>
      </c>
      <c r="AJ24" s="5" t="str">
        <f t="shared" si="37"/>
        <v/>
      </c>
      <c r="AK24" s="5" t="str">
        <f t="shared" si="37"/>
        <v/>
      </c>
      <c r="AL24" s="5" t="str">
        <f t="shared" si="37"/>
        <v/>
      </c>
      <c r="AM24" s="5" t="str">
        <f t="shared" si="37"/>
        <v/>
      </c>
      <c r="AN24" s="5" t="str">
        <f t="shared" si="37"/>
        <v/>
      </c>
      <c r="AO24" s="5" t="str">
        <f t="shared" ref="AO24:AS24" si="38">IF(AO17="","",AN17+AN18-AO17)</f>
        <v/>
      </c>
      <c r="AP24" s="5" t="str">
        <f t="shared" si="38"/>
        <v/>
      </c>
      <c r="AQ24" s="5" t="str">
        <f t="shared" si="38"/>
        <v/>
      </c>
      <c r="AR24" s="5" t="str">
        <f t="shared" si="38"/>
        <v/>
      </c>
      <c r="AS24" s="5" t="str">
        <f t="shared" si="38"/>
        <v/>
      </c>
    </row>
    <row r="25" spans="1:45" s="93" customFormat="1" ht="11">
      <c r="A25" s="7">
        <f>SUM(C25:AS25)</f>
        <v>3410</v>
      </c>
      <c r="B25" s="6" t="s">
        <v>18</v>
      </c>
      <c r="C25" s="74">
        <v>0</v>
      </c>
      <c r="D25" s="5">
        <f t="shared" ref="D25:AN25" si="39">IF(D15="","",D24*D19)</f>
        <v>0</v>
      </c>
      <c r="E25" s="5">
        <f t="shared" si="39"/>
        <v>0</v>
      </c>
      <c r="F25" s="59">
        <f t="shared" si="39"/>
        <v>0</v>
      </c>
      <c r="G25" s="5">
        <f t="shared" si="39"/>
        <v>0</v>
      </c>
      <c r="H25" s="5">
        <f t="shared" si="39"/>
        <v>682</v>
      </c>
      <c r="I25" s="59">
        <f t="shared" si="39"/>
        <v>0</v>
      </c>
      <c r="J25" s="5">
        <f t="shared" si="39"/>
        <v>0</v>
      </c>
      <c r="K25" s="5">
        <f t="shared" si="39"/>
        <v>0</v>
      </c>
      <c r="L25" s="5">
        <f t="shared" si="39"/>
        <v>0</v>
      </c>
      <c r="M25" s="59">
        <f t="shared" si="39"/>
        <v>0</v>
      </c>
      <c r="N25" s="5">
        <f t="shared" si="39"/>
        <v>0</v>
      </c>
      <c r="O25" s="5">
        <f t="shared" si="39"/>
        <v>0</v>
      </c>
      <c r="P25" s="5">
        <f t="shared" si="39"/>
        <v>0</v>
      </c>
      <c r="Q25" s="5">
        <f t="shared" si="39"/>
        <v>0</v>
      </c>
      <c r="R25" s="5">
        <f t="shared" si="39"/>
        <v>0</v>
      </c>
      <c r="S25" s="5">
        <f t="shared" si="39"/>
        <v>0</v>
      </c>
      <c r="T25" s="5">
        <f t="shared" si="39"/>
        <v>0</v>
      </c>
      <c r="U25" s="5">
        <f t="shared" si="39"/>
        <v>0</v>
      </c>
      <c r="V25" s="5">
        <f t="shared" si="39"/>
        <v>0</v>
      </c>
      <c r="W25" s="5">
        <f t="shared" si="39"/>
        <v>0</v>
      </c>
      <c r="X25" s="5">
        <f t="shared" si="39"/>
        <v>0</v>
      </c>
      <c r="Y25" s="5">
        <f t="shared" si="39"/>
        <v>0</v>
      </c>
      <c r="Z25" s="5">
        <f t="shared" si="39"/>
        <v>2046</v>
      </c>
      <c r="AA25" s="5">
        <f t="shared" si="39"/>
        <v>0</v>
      </c>
      <c r="AB25" s="5">
        <f t="shared" si="39"/>
        <v>0</v>
      </c>
      <c r="AC25" s="5">
        <f t="shared" si="39"/>
        <v>682</v>
      </c>
      <c r="AD25" s="5" t="str">
        <f t="shared" si="39"/>
        <v/>
      </c>
      <c r="AE25" s="5" t="str">
        <f t="shared" si="39"/>
        <v/>
      </c>
      <c r="AF25" s="5" t="str">
        <f t="shared" si="39"/>
        <v/>
      </c>
      <c r="AG25" s="5" t="str">
        <f t="shared" si="39"/>
        <v/>
      </c>
      <c r="AH25" s="5" t="str">
        <f t="shared" si="39"/>
        <v/>
      </c>
      <c r="AI25" s="5" t="str">
        <f t="shared" si="39"/>
        <v/>
      </c>
      <c r="AJ25" s="5" t="str">
        <f t="shared" si="39"/>
        <v/>
      </c>
      <c r="AK25" s="5" t="str">
        <f t="shared" si="39"/>
        <v/>
      </c>
      <c r="AL25" s="5" t="str">
        <f t="shared" si="39"/>
        <v/>
      </c>
      <c r="AM25" s="5" t="str">
        <f t="shared" si="39"/>
        <v/>
      </c>
      <c r="AN25" s="5" t="str">
        <f t="shared" si="39"/>
        <v/>
      </c>
      <c r="AO25" s="5" t="str">
        <f t="shared" ref="AO25:AS25" si="40">IF(AO15="","",AO24*AO19)</f>
        <v/>
      </c>
      <c r="AP25" s="5" t="str">
        <f t="shared" si="40"/>
        <v/>
      </c>
      <c r="AQ25" s="5" t="str">
        <f t="shared" si="40"/>
        <v/>
      </c>
      <c r="AR25" s="5" t="str">
        <f t="shared" si="40"/>
        <v/>
      </c>
      <c r="AS25" s="5" t="str">
        <f t="shared" si="40"/>
        <v/>
      </c>
    </row>
    <row r="26" spans="1:45" s="93" customFormat="1" ht="12" thickBot="1">
      <c r="A26" s="4">
        <f>IF(A25="","",A25/(A22*100))</f>
        <v>0.11291390728476822</v>
      </c>
      <c r="B26" s="6" t="s">
        <v>20</v>
      </c>
      <c r="C26" s="76" t="s">
        <v>21</v>
      </c>
      <c r="D26" s="18" t="str">
        <f t="shared" ref="D26:AN26" si="41">IF(D25="","",IF(D25=0,"",D25/(D22*100)))</f>
        <v/>
      </c>
      <c r="E26" s="18" t="str">
        <f t="shared" si="41"/>
        <v/>
      </c>
      <c r="F26" s="62" t="str">
        <f t="shared" si="41"/>
        <v/>
      </c>
      <c r="G26" s="18" t="str">
        <f t="shared" si="41"/>
        <v/>
      </c>
      <c r="H26" s="18">
        <f t="shared" si="41"/>
        <v>0.10333333333333333</v>
      </c>
      <c r="I26" s="62" t="str">
        <f t="shared" si="41"/>
        <v/>
      </c>
      <c r="J26" s="18" t="str">
        <f t="shared" si="41"/>
        <v/>
      </c>
      <c r="K26" s="18" t="str">
        <f t="shared" si="41"/>
        <v/>
      </c>
      <c r="L26" s="18" t="str">
        <f t="shared" si="41"/>
        <v/>
      </c>
      <c r="M26" s="62" t="str">
        <f t="shared" si="41"/>
        <v/>
      </c>
      <c r="N26" s="18" t="str">
        <f t="shared" si="41"/>
        <v/>
      </c>
      <c r="O26" s="18" t="str">
        <f t="shared" si="41"/>
        <v/>
      </c>
      <c r="P26" s="18" t="str">
        <f t="shared" si="41"/>
        <v/>
      </c>
      <c r="Q26" s="18" t="str">
        <f t="shared" si="41"/>
        <v/>
      </c>
      <c r="R26" s="18" t="str">
        <f t="shared" si="41"/>
        <v/>
      </c>
      <c r="S26" s="18" t="str">
        <f t="shared" si="41"/>
        <v/>
      </c>
      <c r="T26" s="18" t="str">
        <f t="shared" si="41"/>
        <v/>
      </c>
      <c r="U26" s="18" t="str">
        <f t="shared" si="41"/>
        <v/>
      </c>
      <c r="V26" s="18" t="str">
        <f t="shared" si="41"/>
        <v/>
      </c>
      <c r="W26" s="18" t="str">
        <f t="shared" si="41"/>
        <v/>
      </c>
      <c r="X26" s="18" t="str">
        <f t="shared" si="41"/>
        <v/>
      </c>
      <c r="Y26" s="18" t="str">
        <f t="shared" si="41"/>
        <v/>
      </c>
      <c r="Z26" s="18">
        <f t="shared" si="41"/>
        <v>0.23790697674418604</v>
      </c>
      <c r="AA26" s="18" t="str">
        <f t="shared" si="41"/>
        <v/>
      </c>
      <c r="AB26" s="18" t="str">
        <f t="shared" si="41"/>
        <v/>
      </c>
      <c r="AC26" s="18">
        <f t="shared" si="41"/>
        <v>0.29652173913043478</v>
      </c>
      <c r="AD26" s="18" t="str">
        <f t="shared" si="41"/>
        <v/>
      </c>
      <c r="AE26" s="18" t="str">
        <f t="shared" si="41"/>
        <v/>
      </c>
      <c r="AF26" s="18" t="str">
        <f t="shared" si="41"/>
        <v/>
      </c>
      <c r="AG26" s="18" t="str">
        <f t="shared" si="41"/>
        <v/>
      </c>
      <c r="AH26" s="18" t="str">
        <f t="shared" si="41"/>
        <v/>
      </c>
      <c r="AI26" s="18" t="str">
        <f t="shared" si="41"/>
        <v/>
      </c>
      <c r="AJ26" s="18" t="str">
        <f t="shared" si="41"/>
        <v/>
      </c>
      <c r="AK26" s="18" t="str">
        <f t="shared" si="41"/>
        <v/>
      </c>
      <c r="AL26" s="18" t="str">
        <f t="shared" si="41"/>
        <v/>
      </c>
      <c r="AM26" s="18" t="str">
        <f t="shared" si="41"/>
        <v/>
      </c>
      <c r="AN26" s="18" t="str">
        <f t="shared" si="41"/>
        <v/>
      </c>
      <c r="AO26" s="18" t="str">
        <f t="shared" ref="AO26:AS26" si="42">IF(AO25="","",IF(AO25=0,"",AO25/(AO22*100)))</f>
        <v/>
      </c>
      <c r="AP26" s="18" t="str">
        <f t="shared" si="42"/>
        <v/>
      </c>
      <c r="AQ26" s="18" t="str">
        <f t="shared" si="42"/>
        <v/>
      </c>
      <c r="AR26" s="18" t="str">
        <f t="shared" si="42"/>
        <v/>
      </c>
      <c r="AS26" s="18" t="str">
        <f t="shared" si="42"/>
        <v/>
      </c>
    </row>
    <row r="27" spans="1:45" s="93" customFormat="1" ht="11">
      <c r="A27" s="17" t="s">
        <v>101</v>
      </c>
      <c r="B27" s="9" t="s">
        <v>2</v>
      </c>
      <c r="C27" s="74">
        <v>13236</v>
      </c>
      <c r="D27" s="8">
        <f>IF(D$3="","",C27)</f>
        <v>13236</v>
      </c>
      <c r="E27" s="8">
        <v>13250</v>
      </c>
      <c r="F27" s="59">
        <f>IF(F$3="","",E27)</f>
        <v>13250</v>
      </c>
      <c r="G27" s="8">
        <f>IF(G$3="","",F27)</f>
        <v>13250</v>
      </c>
      <c r="H27" s="8">
        <v>13316</v>
      </c>
      <c r="I27" s="59">
        <f t="shared" ref="I27:K28" si="43">IF(I$3="","",H27)</f>
        <v>13316</v>
      </c>
      <c r="J27" s="8">
        <f t="shared" si="43"/>
        <v>13316</v>
      </c>
      <c r="K27" s="8">
        <f t="shared" si="43"/>
        <v>13316</v>
      </c>
      <c r="L27" s="8">
        <v>13323</v>
      </c>
      <c r="M27" s="59">
        <f>IF(M$3="","",L27)</f>
        <v>13323</v>
      </c>
      <c r="N27" s="8">
        <f>IF(N$3="","",M27)</f>
        <v>13323</v>
      </c>
      <c r="O27" s="8">
        <v>13373</v>
      </c>
      <c r="P27" s="8">
        <f t="shared" ref="P27:AN27" si="44">IF(P$3="","",O27)</f>
        <v>13373</v>
      </c>
      <c r="Q27" s="8">
        <f t="shared" si="44"/>
        <v>13373</v>
      </c>
      <c r="R27" s="8">
        <f t="shared" si="44"/>
        <v>13373</v>
      </c>
      <c r="S27" s="8">
        <f t="shared" si="44"/>
        <v>13373</v>
      </c>
      <c r="T27" s="8">
        <v>13415</v>
      </c>
      <c r="U27" s="8">
        <f t="shared" si="44"/>
        <v>13415</v>
      </c>
      <c r="V27" s="8">
        <v>13450</v>
      </c>
      <c r="W27" s="8">
        <f t="shared" si="44"/>
        <v>13450</v>
      </c>
      <c r="X27" s="8">
        <f t="shared" si="44"/>
        <v>13450</v>
      </c>
      <c r="Y27" s="8">
        <f t="shared" si="44"/>
        <v>13450</v>
      </c>
      <c r="Z27" s="8">
        <v>13549</v>
      </c>
      <c r="AA27" s="8">
        <f t="shared" si="44"/>
        <v>13549</v>
      </c>
      <c r="AB27" s="8">
        <f t="shared" si="44"/>
        <v>13549</v>
      </c>
      <c r="AC27" s="8">
        <v>13623</v>
      </c>
      <c r="AD27" s="8" t="str">
        <f t="shared" si="44"/>
        <v/>
      </c>
      <c r="AE27" s="8" t="str">
        <f t="shared" si="44"/>
        <v/>
      </c>
      <c r="AF27" s="8" t="str">
        <f t="shared" si="44"/>
        <v/>
      </c>
      <c r="AG27" s="8" t="str">
        <f t="shared" si="44"/>
        <v/>
      </c>
      <c r="AH27" s="8" t="str">
        <f t="shared" si="44"/>
        <v/>
      </c>
      <c r="AI27" s="8" t="str">
        <f t="shared" si="44"/>
        <v/>
      </c>
      <c r="AJ27" s="8" t="str">
        <f t="shared" si="44"/>
        <v/>
      </c>
      <c r="AK27" s="8" t="str">
        <f t="shared" si="44"/>
        <v/>
      </c>
      <c r="AL27" s="8" t="str">
        <f t="shared" si="44"/>
        <v/>
      </c>
      <c r="AM27" s="8" t="str">
        <f t="shared" si="44"/>
        <v/>
      </c>
      <c r="AN27" s="8" t="str">
        <f t="shared" si="44"/>
        <v/>
      </c>
      <c r="AO27" s="8" t="str">
        <f t="shared" ref="AO27:AS27" si="45">IF(AO$3="","",AN27)</f>
        <v/>
      </c>
      <c r="AP27" s="8" t="str">
        <f t="shared" si="45"/>
        <v/>
      </c>
      <c r="AQ27" s="8" t="str">
        <f t="shared" si="45"/>
        <v/>
      </c>
      <c r="AR27" s="8" t="str">
        <f t="shared" si="45"/>
        <v/>
      </c>
      <c r="AS27" s="8" t="str">
        <f t="shared" si="45"/>
        <v/>
      </c>
    </row>
    <row r="28" spans="1:45" s="93" customFormat="1" ht="11">
      <c r="A28" s="16" t="s">
        <v>3</v>
      </c>
      <c r="B28" s="9" t="s">
        <v>4</v>
      </c>
      <c r="C28" s="74">
        <v>486</v>
      </c>
      <c r="D28" s="8">
        <f>IF(D$3="","",C28)</f>
        <v>486</v>
      </c>
      <c r="E28" s="8">
        <v>487</v>
      </c>
      <c r="F28" s="59">
        <f>IF(F$3="","",E28)</f>
        <v>487</v>
      </c>
      <c r="G28" s="8">
        <f>IF(G$3="","",F28)</f>
        <v>487</v>
      </c>
      <c r="H28" s="8">
        <f>IF(H$3="","",G28)</f>
        <v>487</v>
      </c>
      <c r="I28" s="59">
        <f t="shared" si="43"/>
        <v>487</v>
      </c>
      <c r="J28" s="8">
        <f t="shared" si="43"/>
        <v>487</v>
      </c>
      <c r="K28" s="8">
        <f t="shared" si="43"/>
        <v>487</v>
      </c>
      <c r="L28" s="8">
        <v>487</v>
      </c>
      <c r="M28" s="59">
        <f>IF(M$3="","",L28)</f>
        <v>487</v>
      </c>
      <c r="N28" s="8">
        <f>IF(N$3="","",M28)</f>
        <v>487</v>
      </c>
      <c r="O28" s="8">
        <v>488</v>
      </c>
      <c r="P28" s="8">
        <f t="shared" ref="P28:AN28" si="46">IF(P$3="","",O28)</f>
        <v>488</v>
      </c>
      <c r="Q28" s="8">
        <f t="shared" si="46"/>
        <v>488</v>
      </c>
      <c r="R28" s="8">
        <f t="shared" si="46"/>
        <v>488</v>
      </c>
      <c r="S28" s="8">
        <f t="shared" si="46"/>
        <v>488</v>
      </c>
      <c r="T28" s="8">
        <f t="shared" si="46"/>
        <v>488</v>
      </c>
      <c r="U28" s="8">
        <f t="shared" si="46"/>
        <v>488</v>
      </c>
      <c r="V28" s="8">
        <f t="shared" si="46"/>
        <v>488</v>
      </c>
      <c r="W28" s="8">
        <f t="shared" si="46"/>
        <v>488</v>
      </c>
      <c r="X28" s="8">
        <f t="shared" si="46"/>
        <v>488</v>
      </c>
      <c r="Y28" s="8">
        <f t="shared" si="46"/>
        <v>488</v>
      </c>
      <c r="Z28" s="8">
        <v>491</v>
      </c>
      <c r="AA28" s="8">
        <f t="shared" si="46"/>
        <v>491</v>
      </c>
      <c r="AB28" s="8">
        <f t="shared" si="46"/>
        <v>491</v>
      </c>
      <c r="AC28" s="8">
        <f t="shared" si="46"/>
        <v>491</v>
      </c>
      <c r="AD28" s="8" t="str">
        <f t="shared" si="46"/>
        <v/>
      </c>
      <c r="AE28" s="8" t="str">
        <f t="shared" si="46"/>
        <v/>
      </c>
      <c r="AF28" s="8" t="str">
        <f t="shared" si="46"/>
        <v/>
      </c>
      <c r="AG28" s="8" t="str">
        <f t="shared" si="46"/>
        <v/>
      </c>
      <c r="AH28" s="8" t="str">
        <f t="shared" si="46"/>
        <v/>
      </c>
      <c r="AI28" s="8" t="str">
        <f t="shared" si="46"/>
        <v/>
      </c>
      <c r="AJ28" s="8" t="str">
        <f t="shared" si="46"/>
        <v/>
      </c>
      <c r="AK28" s="8" t="str">
        <f t="shared" si="46"/>
        <v/>
      </c>
      <c r="AL28" s="8" t="str">
        <f t="shared" si="46"/>
        <v/>
      </c>
      <c r="AM28" s="8" t="str">
        <f t="shared" si="46"/>
        <v/>
      </c>
      <c r="AN28" s="8" t="str">
        <f t="shared" si="46"/>
        <v/>
      </c>
      <c r="AO28" s="8" t="str">
        <f t="shared" ref="AO28:AS28" si="47">IF(AO$3="","",AN28)</f>
        <v/>
      </c>
      <c r="AP28" s="8" t="str">
        <f t="shared" si="47"/>
        <v/>
      </c>
      <c r="AQ28" s="8" t="str">
        <f t="shared" si="47"/>
        <v/>
      </c>
      <c r="AR28" s="8" t="str">
        <f t="shared" si="47"/>
        <v/>
      </c>
      <c r="AS28" s="8" t="str">
        <f t="shared" si="47"/>
        <v/>
      </c>
    </row>
    <row r="29" spans="1:45" s="93" customFormat="1" ht="11">
      <c r="A29" s="15">
        <v>3</v>
      </c>
      <c r="B29" s="9" t="s">
        <v>5</v>
      </c>
      <c r="C29" s="74">
        <v>10</v>
      </c>
      <c r="D29" s="8">
        <f>IF(D27="","",(C29+C30))</f>
        <v>10</v>
      </c>
      <c r="E29" s="8">
        <v>9</v>
      </c>
      <c r="F29" s="59">
        <f t="shared" ref="F29:AN29" si="48">IF(F27="","",(E29+E30))</f>
        <v>12</v>
      </c>
      <c r="G29" s="8">
        <f t="shared" si="48"/>
        <v>12</v>
      </c>
      <c r="H29" s="8">
        <f t="shared" si="48"/>
        <v>12</v>
      </c>
      <c r="I29" s="59">
        <f t="shared" si="48"/>
        <v>11</v>
      </c>
      <c r="J29" s="8">
        <f t="shared" si="48"/>
        <v>11</v>
      </c>
      <c r="K29" s="8">
        <f t="shared" si="48"/>
        <v>11</v>
      </c>
      <c r="L29" s="8">
        <f t="shared" si="48"/>
        <v>11</v>
      </c>
      <c r="M29" s="59">
        <f t="shared" si="48"/>
        <v>11</v>
      </c>
      <c r="N29" s="8">
        <f t="shared" si="48"/>
        <v>11</v>
      </c>
      <c r="O29" s="8">
        <f t="shared" si="48"/>
        <v>11</v>
      </c>
      <c r="P29" s="8">
        <f t="shared" si="48"/>
        <v>11</v>
      </c>
      <c r="Q29" s="8">
        <f t="shared" si="48"/>
        <v>11</v>
      </c>
      <c r="R29" s="8">
        <f t="shared" si="48"/>
        <v>11</v>
      </c>
      <c r="S29" s="8">
        <f t="shared" si="48"/>
        <v>11</v>
      </c>
      <c r="T29" s="8">
        <f t="shared" si="48"/>
        <v>11</v>
      </c>
      <c r="U29" s="8">
        <f t="shared" si="48"/>
        <v>11</v>
      </c>
      <c r="V29" s="8">
        <f t="shared" si="48"/>
        <v>11</v>
      </c>
      <c r="W29" s="8">
        <f t="shared" si="48"/>
        <v>11</v>
      </c>
      <c r="X29" s="8">
        <f t="shared" si="48"/>
        <v>11</v>
      </c>
      <c r="Y29" s="8">
        <f t="shared" si="48"/>
        <v>11</v>
      </c>
      <c r="Z29" s="8">
        <v>9</v>
      </c>
      <c r="AA29" s="8">
        <f t="shared" si="48"/>
        <v>9</v>
      </c>
      <c r="AB29" s="8">
        <f t="shared" si="48"/>
        <v>9</v>
      </c>
      <c r="AC29" s="8">
        <f t="shared" si="48"/>
        <v>9</v>
      </c>
      <c r="AD29" s="8" t="str">
        <f t="shared" si="48"/>
        <v/>
      </c>
      <c r="AE29" s="8" t="str">
        <f t="shared" si="48"/>
        <v/>
      </c>
      <c r="AF29" s="8" t="str">
        <f t="shared" si="48"/>
        <v/>
      </c>
      <c r="AG29" s="8" t="str">
        <f t="shared" si="48"/>
        <v/>
      </c>
      <c r="AH29" s="8" t="str">
        <f t="shared" si="48"/>
        <v/>
      </c>
      <c r="AI29" s="8" t="str">
        <f t="shared" si="48"/>
        <v/>
      </c>
      <c r="AJ29" s="8" t="str">
        <f t="shared" si="48"/>
        <v/>
      </c>
      <c r="AK29" s="8" t="str">
        <f t="shared" si="48"/>
        <v/>
      </c>
      <c r="AL29" s="8" t="str">
        <f t="shared" si="48"/>
        <v/>
      </c>
      <c r="AM29" s="8" t="str">
        <f t="shared" si="48"/>
        <v/>
      </c>
      <c r="AN29" s="8" t="str">
        <f t="shared" si="48"/>
        <v/>
      </c>
      <c r="AO29" s="8" t="str">
        <f t="shared" ref="AO29:AS29" si="49">IF(AO27="","",(AN29+AN30))</f>
        <v/>
      </c>
      <c r="AP29" s="8" t="str">
        <f t="shared" si="49"/>
        <v/>
      </c>
      <c r="AQ29" s="8" t="str">
        <f t="shared" si="49"/>
        <v/>
      </c>
      <c r="AR29" s="8" t="str">
        <f t="shared" si="49"/>
        <v/>
      </c>
      <c r="AS29" s="8" t="str">
        <f t="shared" si="49"/>
        <v/>
      </c>
    </row>
    <row r="30" spans="1:45" s="93" customFormat="1" ht="11">
      <c r="A30" s="14"/>
      <c r="B30" s="9" t="s">
        <v>7</v>
      </c>
      <c r="C30" s="74"/>
      <c r="D30" s="8"/>
      <c r="E30" s="8">
        <v>3</v>
      </c>
      <c r="F30" s="59"/>
      <c r="G30" s="8"/>
      <c r="H30" s="8">
        <v>-1</v>
      </c>
      <c r="I30" s="59"/>
      <c r="J30" s="8"/>
      <c r="K30" s="8"/>
      <c r="L30" s="8"/>
      <c r="M30" s="59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s="93" customFormat="1" ht="11">
      <c r="A31" s="7"/>
      <c r="B31" s="9" t="s">
        <v>8</v>
      </c>
      <c r="C31" s="74">
        <v>750</v>
      </c>
      <c r="D31" s="8">
        <f t="shared" ref="D31:AN31" si="50">IF(D27="","",C31)</f>
        <v>750</v>
      </c>
      <c r="E31" s="8">
        <f t="shared" si="50"/>
        <v>750</v>
      </c>
      <c r="F31" s="59">
        <f t="shared" si="50"/>
        <v>750</v>
      </c>
      <c r="G31" s="8">
        <f t="shared" si="50"/>
        <v>750</v>
      </c>
      <c r="H31" s="8">
        <f t="shared" si="50"/>
        <v>750</v>
      </c>
      <c r="I31" s="59">
        <f t="shared" si="50"/>
        <v>750</v>
      </c>
      <c r="J31" s="8">
        <f t="shared" si="50"/>
        <v>750</v>
      </c>
      <c r="K31" s="8">
        <f t="shared" si="50"/>
        <v>750</v>
      </c>
      <c r="L31" s="8">
        <f t="shared" si="50"/>
        <v>750</v>
      </c>
      <c r="M31" s="59">
        <f t="shared" si="50"/>
        <v>750</v>
      </c>
      <c r="N31" s="8">
        <f t="shared" si="50"/>
        <v>750</v>
      </c>
      <c r="O31" s="8">
        <f t="shared" si="50"/>
        <v>750</v>
      </c>
      <c r="P31" s="8">
        <f t="shared" si="50"/>
        <v>750</v>
      </c>
      <c r="Q31" s="8">
        <f t="shared" si="50"/>
        <v>750</v>
      </c>
      <c r="R31" s="8">
        <f t="shared" si="50"/>
        <v>750</v>
      </c>
      <c r="S31" s="8">
        <f t="shared" si="50"/>
        <v>750</v>
      </c>
      <c r="T31" s="8">
        <f t="shared" si="50"/>
        <v>750</v>
      </c>
      <c r="U31" s="8">
        <f t="shared" si="50"/>
        <v>750</v>
      </c>
      <c r="V31" s="8">
        <f t="shared" si="50"/>
        <v>750</v>
      </c>
      <c r="W31" s="8">
        <f t="shared" si="50"/>
        <v>750</v>
      </c>
      <c r="X31" s="8">
        <f t="shared" si="50"/>
        <v>750</v>
      </c>
      <c r="Y31" s="8">
        <f t="shared" si="50"/>
        <v>750</v>
      </c>
      <c r="Z31" s="8">
        <f t="shared" si="50"/>
        <v>750</v>
      </c>
      <c r="AA31" s="8">
        <f t="shared" si="50"/>
        <v>750</v>
      </c>
      <c r="AB31" s="8">
        <f t="shared" si="50"/>
        <v>750</v>
      </c>
      <c r="AC31" s="8">
        <f t="shared" si="50"/>
        <v>750</v>
      </c>
      <c r="AD31" s="8" t="str">
        <f t="shared" si="50"/>
        <v/>
      </c>
      <c r="AE31" s="8" t="str">
        <f t="shared" si="50"/>
        <v/>
      </c>
      <c r="AF31" s="8" t="str">
        <f t="shared" si="50"/>
        <v/>
      </c>
      <c r="AG31" s="8" t="str">
        <f t="shared" si="50"/>
        <v/>
      </c>
      <c r="AH31" s="8" t="str">
        <f t="shared" si="50"/>
        <v/>
      </c>
      <c r="AI31" s="8" t="str">
        <f t="shared" si="50"/>
        <v/>
      </c>
      <c r="AJ31" s="8" t="str">
        <f t="shared" si="50"/>
        <v/>
      </c>
      <c r="AK31" s="8" t="str">
        <f t="shared" si="50"/>
        <v/>
      </c>
      <c r="AL31" s="8" t="str">
        <f t="shared" si="50"/>
        <v/>
      </c>
      <c r="AM31" s="8" t="str">
        <f t="shared" si="50"/>
        <v/>
      </c>
      <c r="AN31" s="8" t="str">
        <f t="shared" si="50"/>
        <v/>
      </c>
      <c r="AO31" s="8" t="str">
        <f t="shared" ref="AO31:AS31" si="51">IF(AO27="","",AN31)</f>
        <v/>
      </c>
      <c r="AP31" s="8" t="str">
        <f t="shared" si="51"/>
        <v/>
      </c>
      <c r="AQ31" s="8" t="str">
        <f t="shared" si="51"/>
        <v/>
      </c>
      <c r="AR31" s="8" t="str">
        <f t="shared" si="51"/>
        <v/>
      </c>
      <c r="AS31" s="8" t="str">
        <f t="shared" si="51"/>
        <v/>
      </c>
    </row>
    <row r="32" spans="1:45" s="94" customFormat="1" ht="11">
      <c r="A32" s="14" t="s">
        <v>9</v>
      </c>
      <c r="B32" s="13" t="s">
        <v>10</v>
      </c>
      <c r="C32" s="75" t="s">
        <v>93</v>
      </c>
      <c r="D32" s="12" t="str">
        <f t="shared" ref="D32:AN32" si="52">IF(D27="","",C32)</f>
        <v>NICI</v>
      </c>
      <c r="E32" s="12" t="str">
        <f t="shared" si="52"/>
        <v>NICI</v>
      </c>
      <c r="F32" s="131" t="str">
        <f t="shared" si="52"/>
        <v>NICI</v>
      </c>
      <c r="G32" s="12" t="str">
        <f t="shared" si="52"/>
        <v>NICI</v>
      </c>
      <c r="H32" s="12" t="str">
        <f t="shared" si="52"/>
        <v>NICI</v>
      </c>
      <c r="I32" s="131" t="str">
        <f t="shared" si="52"/>
        <v>NICI</v>
      </c>
      <c r="J32" s="12" t="str">
        <f t="shared" si="52"/>
        <v>NICI</v>
      </c>
      <c r="K32" s="12" t="str">
        <f t="shared" si="52"/>
        <v>NICI</v>
      </c>
      <c r="L32" s="12" t="str">
        <f t="shared" si="52"/>
        <v>NICI</v>
      </c>
      <c r="M32" s="131" t="str">
        <f t="shared" si="52"/>
        <v>NICI</v>
      </c>
      <c r="N32" s="12" t="str">
        <f t="shared" si="52"/>
        <v>NICI</v>
      </c>
      <c r="O32" s="12" t="str">
        <f t="shared" si="52"/>
        <v>NICI</v>
      </c>
      <c r="P32" s="12" t="str">
        <f t="shared" si="52"/>
        <v>NICI</v>
      </c>
      <c r="Q32" s="12" t="str">
        <f t="shared" si="52"/>
        <v>NICI</v>
      </c>
      <c r="R32" s="12" t="str">
        <f t="shared" si="52"/>
        <v>NICI</v>
      </c>
      <c r="S32" s="12" t="str">
        <f t="shared" si="52"/>
        <v>NICI</v>
      </c>
      <c r="T32" s="12" t="str">
        <f t="shared" si="52"/>
        <v>NICI</v>
      </c>
      <c r="U32" s="12" t="str">
        <f t="shared" si="52"/>
        <v>NICI</v>
      </c>
      <c r="V32" s="12" t="str">
        <f t="shared" si="52"/>
        <v>NICI</v>
      </c>
      <c r="W32" s="12" t="str">
        <f t="shared" si="52"/>
        <v>NICI</v>
      </c>
      <c r="X32" s="12" t="str">
        <f t="shared" si="52"/>
        <v>NICI</v>
      </c>
      <c r="Y32" s="12" t="str">
        <f t="shared" si="52"/>
        <v>NICI</v>
      </c>
      <c r="Z32" s="12" t="str">
        <f t="shared" si="52"/>
        <v>NICI</v>
      </c>
      <c r="AA32" s="12" t="str">
        <f t="shared" si="52"/>
        <v>NICI</v>
      </c>
      <c r="AB32" s="12" t="str">
        <f t="shared" si="52"/>
        <v>NICI</v>
      </c>
      <c r="AC32" s="12" t="str">
        <f t="shared" si="52"/>
        <v>NICI</v>
      </c>
      <c r="AD32" s="12" t="str">
        <f t="shared" si="52"/>
        <v/>
      </c>
      <c r="AE32" s="12" t="str">
        <f t="shared" si="52"/>
        <v/>
      </c>
      <c r="AF32" s="12" t="str">
        <f t="shared" si="52"/>
        <v/>
      </c>
      <c r="AG32" s="12" t="str">
        <f t="shared" si="52"/>
        <v/>
      </c>
      <c r="AH32" s="12" t="str">
        <f t="shared" si="52"/>
        <v/>
      </c>
      <c r="AI32" s="12" t="str">
        <f t="shared" si="52"/>
        <v/>
      </c>
      <c r="AJ32" s="12" t="str">
        <f t="shared" si="52"/>
        <v/>
      </c>
      <c r="AK32" s="12" t="str">
        <f t="shared" si="52"/>
        <v/>
      </c>
      <c r="AL32" s="12" t="str">
        <f t="shared" si="52"/>
        <v/>
      </c>
      <c r="AM32" s="12" t="str">
        <f t="shared" si="52"/>
        <v/>
      </c>
      <c r="AN32" s="12" t="str">
        <f t="shared" si="52"/>
        <v/>
      </c>
      <c r="AO32" s="12" t="str">
        <f t="shared" ref="AO32:AS32" si="53">IF(AO27="","",AN32)</f>
        <v/>
      </c>
      <c r="AP32" s="12" t="str">
        <f t="shared" si="53"/>
        <v/>
      </c>
      <c r="AQ32" s="12" t="str">
        <f t="shared" si="53"/>
        <v/>
      </c>
      <c r="AR32" s="12" t="str">
        <f t="shared" si="53"/>
        <v/>
      </c>
      <c r="AS32" s="12" t="str">
        <f t="shared" si="53"/>
        <v/>
      </c>
    </row>
    <row r="33" spans="1:45" s="93" customFormat="1" ht="11">
      <c r="A33" s="7">
        <f>AVERAGE(C34:AS34)*30*100</f>
        <v>43000</v>
      </c>
      <c r="B33" s="9" t="s">
        <v>14</v>
      </c>
      <c r="C33" s="74"/>
      <c r="D33" s="8"/>
      <c r="E33" s="8"/>
      <c r="F33" s="59"/>
      <c r="G33" s="8"/>
      <c r="H33" s="8"/>
      <c r="I33" s="59"/>
      <c r="J33" s="8"/>
      <c r="K33" s="8"/>
      <c r="L33" s="8"/>
      <c r="M33" s="59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s="93" customFormat="1" ht="11">
      <c r="A34" s="7">
        <f>SUM(C34:AS34)</f>
        <v>387</v>
      </c>
      <c r="B34" s="6" t="s">
        <v>15</v>
      </c>
      <c r="C34" s="74">
        <v>0</v>
      </c>
      <c r="D34" s="5">
        <f t="shared" ref="D34:AN34" si="54">IF(D27="","",D27-C27)</f>
        <v>0</v>
      </c>
      <c r="E34" s="5">
        <f t="shared" si="54"/>
        <v>14</v>
      </c>
      <c r="F34" s="59">
        <f t="shared" si="54"/>
        <v>0</v>
      </c>
      <c r="G34" s="5">
        <f t="shared" si="54"/>
        <v>0</v>
      </c>
      <c r="H34" s="5">
        <f t="shared" si="54"/>
        <v>66</v>
      </c>
      <c r="I34" s="59">
        <f t="shared" si="54"/>
        <v>0</v>
      </c>
      <c r="J34" s="5">
        <f t="shared" si="54"/>
        <v>0</v>
      </c>
      <c r="K34" s="5">
        <f t="shared" si="54"/>
        <v>0</v>
      </c>
      <c r="L34" s="5">
        <f t="shared" si="54"/>
        <v>7</v>
      </c>
      <c r="M34" s="59">
        <f t="shared" si="54"/>
        <v>0</v>
      </c>
      <c r="N34" s="5">
        <f t="shared" si="54"/>
        <v>0</v>
      </c>
      <c r="O34" s="5">
        <f t="shared" si="54"/>
        <v>50</v>
      </c>
      <c r="P34" s="5">
        <f t="shared" si="54"/>
        <v>0</v>
      </c>
      <c r="Q34" s="5">
        <f t="shared" si="54"/>
        <v>0</v>
      </c>
      <c r="R34" s="5">
        <f t="shared" si="54"/>
        <v>0</v>
      </c>
      <c r="S34" s="5">
        <f t="shared" si="54"/>
        <v>0</v>
      </c>
      <c r="T34" s="5">
        <f t="shared" si="54"/>
        <v>42</v>
      </c>
      <c r="U34" s="5">
        <f t="shared" si="54"/>
        <v>0</v>
      </c>
      <c r="V34" s="5">
        <f t="shared" si="54"/>
        <v>35</v>
      </c>
      <c r="W34" s="5">
        <f t="shared" si="54"/>
        <v>0</v>
      </c>
      <c r="X34" s="5">
        <f t="shared" si="54"/>
        <v>0</v>
      </c>
      <c r="Y34" s="5">
        <f t="shared" si="54"/>
        <v>0</v>
      </c>
      <c r="Z34" s="5">
        <f t="shared" si="54"/>
        <v>99</v>
      </c>
      <c r="AA34" s="5">
        <f t="shared" si="54"/>
        <v>0</v>
      </c>
      <c r="AB34" s="5">
        <f t="shared" si="54"/>
        <v>0</v>
      </c>
      <c r="AC34" s="5">
        <f t="shared" si="54"/>
        <v>74</v>
      </c>
      <c r="AD34" s="5" t="str">
        <f t="shared" si="54"/>
        <v/>
      </c>
      <c r="AE34" s="5" t="str">
        <f t="shared" si="54"/>
        <v/>
      </c>
      <c r="AF34" s="5" t="str">
        <f t="shared" si="54"/>
        <v/>
      </c>
      <c r="AG34" s="5" t="str">
        <f t="shared" si="54"/>
        <v/>
      </c>
      <c r="AH34" s="5" t="str">
        <f t="shared" si="54"/>
        <v/>
      </c>
      <c r="AI34" s="5" t="str">
        <f t="shared" si="54"/>
        <v/>
      </c>
      <c r="AJ34" s="5" t="str">
        <f t="shared" si="54"/>
        <v/>
      </c>
      <c r="AK34" s="5" t="str">
        <f t="shared" si="54"/>
        <v/>
      </c>
      <c r="AL34" s="5" t="str">
        <f t="shared" si="54"/>
        <v/>
      </c>
      <c r="AM34" s="5" t="str">
        <f t="shared" si="54"/>
        <v/>
      </c>
      <c r="AN34" s="5" t="str">
        <f t="shared" si="54"/>
        <v/>
      </c>
      <c r="AO34" s="5" t="str">
        <f t="shared" ref="AO34:AS34" si="55">IF(AO27="","",AO27-AN27)</f>
        <v/>
      </c>
      <c r="AP34" s="5" t="str">
        <f t="shared" si="55"/>
        <v/>
      </c>
      <c r="AQ34" s="5" t="str">
        <f t="shared" si="55"/>
        <v/>
      </c>
      <c r="AR34" s="5" t="str">
        <f t="shared" si="55"/>
        <v/>
      </c>
      <c r="AS34" s="5" t="str">
        <f t="shared" si="55"/>
        <v/>
      </c>
    </row>
    <row r="35" spans="1:45" s="93" customFormat="1" ht="11">
      <c r="A35" s="7">
        <f>SUM(C35:AS35)</f>
        <v>5</v>
      </c>
      <c r="B35" s="6" t="s">
        <v>16</v>
      </c>
      <c r="C35" s="74">
        <v>0</v>
      </c>
      <c r="D35" s="5">
        <f t="shared" ref="D35:AN35" si="56">IF(D28="","",D28-C28)</f>
        <v>0</v>
      </c>
      <c r="E35" s="5">
        <f t="shared" si="56"/>
        <v>1</v>
      </c>
      <c r="F35" s="59">
        <f t="shared" si="56"/>
        <v>0</v>
      </c>
      <c r="G35" s="5">
        <f t="shared" si="56"/>
        <v>0</v>
      </c>
      <c r="H35" s="5">
        <f t="shared" si="56"/>
        <v>0</v>
      </c>
      <c r="I35" s="59">
        <f t="shared" si="56"/>
        <v>0</v>
      </c>
      <c r="J35" s="5">
        <f t="shared" si="56"/>
        <v>0</v>
      </c>
      <c r="K35" s="5">
        <f t="shared" si="56"/>
        <v>0</v>
      </c>
      <c r="L35" s="5">
        <f t="shared" si="56"/>
        <v>0</v>
      </c>
      <c r="M35" s="59">
        <f t="shared" si="56"/>
        <v>0</v>
      </c>
      <c r="N35" s="5">
        <f t="shared" si="56"/>
        <v>0</v>
      </c>
      <c r="O35" s="5">
        <f t="shared" si="56"/>
        <v>1</v>
      </c>
      <c r="P35" s="5">
        <f t="shared" si="56"/>
        <v>0</v>
      </c>
      <c r="Q35" s="5">
        <f t="shared" si="56"/>
        <v>0</v>
      </c>
      <c r="R35" s="5">
        <f t="shared" si="56"/>
        <v>0</v>
      </c>
      <c r="S35" s="5">
        <f t="shared" si="56"/>
        <v>0</v>
      </c>
      <c r="T35" s="5">
        <f t="shared" si="56"/>
        <v>0</v>
      </c>
      <c r="U35" s="5">
        <f t="shared" si="56"/>
        <v>0</v>
      </c>
      <c r="V35" s="5">
        <f t="shared" si="56"/>
        <v>0</v>
      </c>
      <c r="W35" s="5">
        <f t="shared" si="56"/>
        <v>0</v>
      </c>
      <c r="X35" s="5">
        <f t="shared" si="56"/>
        <v>0</v>
      </c>
      <c r="Y35" s="5">
        <f t="shared" si="56"/>
        <v>0</v>
      </c>
      <c r="Z35" s="5">
        <f t="shared" si="56"/>
        <v>3</v>
      </c>
      <c r="AA35" s="5">
        <f t="shared" si="56"/>
        <v>0</v>
      </c>
      <c r="AB35" s="5">
        <f t="shared" si="56"/>
        <v>0</v>
      </c>
      <c r="AC35" s="5">
        <f t="shared" si="56"/>
        <v>0</v>
      </c>
      <c r="AD35" s="5" t="str">
        <f t="shared" si="56"/>
        <v/>
      </c>
      <c r="AE35" s="5" t="str">
        <f t="shared" si="56"/>
        <v/>
      </c>
      <c r="AF35" s="5" t="str">
        <f t="shared" si="56"/>
        <v/>
      </c>
      <c r="AG35" s="5" t="str">
        <f t="shared" si="56"/>
        <v/>
      </c>
      <c r="AH35" s="5" t="str">
        <f t="shared" si="56"/>
        <v/>
      </c>
      <c r="AI35" s="5" t="str">
        <f t="shared" si="56"/>
        <v/>
      </c>
      <c r="AJ35" s="5" t="str">
        <f t="shared" si="56"/>
        <v/>
      </c>
      <c r="AK35" s="5" t="str">
        <f t="shared" si="56"/>
        <v/>
      </c>
      <c r="AL35" s="5" t="str">
        <f t="shared" si="56"/>
        <v/>
      </c>
      <c r="AM35" s="5" t="str">
        <f t="shared" si="56"/>
        <v/>
      </c>
      <c r="AN35" s="5" t="str">
        <f t="shared" si="56"/>
        <v/>
      </c>
      <c r="AO35" s="5" t="str">
        <f t="shared" ref="AO35:AS35" si="57">IF(AO28="","",AO28-AN28)</f>
        <v/>
      </c>
      <c r="AP35" s="5" t="str">
        <f t="shared" si="57"/>
        <v/>
      </c>
      <c r="AQ35" s="5" t="str">
        <f t="shared" si="57"/>
        <v/>
      </c>
      <c r="AR35" s="5" t="str">
        <f t="shared" si="57"/>
        <v/>
      </c>
      <c r="AS35" s="5" t="str">
        <f t="shared" si="57"/>
        <v/>
      </c>
    </row>
    <row r="36" spans="1:45" s="93" customFormat="1" ht="11">
      <c r="A36" s="7">
        <f>SUM(C36:AS36)</f>
        <v>3</v>
      </c>
      <c r="B36" s="6" t="s">
        <v>17</v>
      </c>
      <c r="C36" s="74">
        <v>0</v>
      </c>
      <c r="D36" s="5">
        <f t="shared" ref="D36:AN36" si="58">IF(D29="","",C29+C30-D29)</f>
        <v>0</v>
      </c>
      <c r="E36" s="5">
        <f t="shared" si="58"/>
        <v>1</v>
      </c>
      <c r="F36" s="59">
        <f t="shared" si="58"/>
        <v>0</v>
      </c>
      <c r="G36" s="5">
        <f t="shared" si="58"/>
        <v>0</v>
      </c>
      <c r="H36" s="5">
        <f t="shared" si="58"/>
        <v>0</v>
      </c>
      <c r="I36" s="59">
        <f t="shared" si="58"/>
        <v>0</v>
      </c>
      <c r="J36" s="5">
        <f t="shared" si="58"/>
        <v>0</v>
      </c>
      <c r="K36" s="5">
        <f t="shared" si="58"/>
        <v>0</v>
      </c>
      <c r="L36" s="5">
        <f t="shared" si="58"/>
        <v>0</v>
      </c>
      <c r="M36" s="59">
        <f t="shared" si="58"/>
        <v>0</v>
      </c>
      <c r="N36" s="5">
        <f t="shared" si="58"/>
        <v>0</v>
      </c>
      <c r="O36" s="5">
        <f t="shared" si="58"/>
        <v>0</v>
      </c>
      <c r="P36" s="5">
        <f t="shared" si="58"/>
        <v>0</v>
      </c>
      <c r="Q36" s="5">
        <f t="shared" si="58"/>
        <v>0</v>
      </c>
      <c r="R36" s="5">
        <f t="shared" si="58"/>
        <v>0</v>
      </c>
      <c r="S36" s="5">
        <f t="shared" si="58"/>
        <v>0</v>
      </c>
      <c r="T36" s="5">
        <f t="shared" si="58"/>
        <v>0</v>
      </c>
      <c r="U36" s="5">
        <f t="shared" si="58"/>
        <v>0</v>
      </c>
      <c r="V36" s="5">
        <f t="shared" si="58"/>
        <v>0</v>
      </c>
      <c r="W36" s="5">
        <f t="shared" si="58"/>
        <v>0</v>
      </c>
      <c r="X36" s="5">
        <f t="shared" si="58"/>
        <v>0</v>
      </c>
      <c r="Y36" s="5">
        <f t="shared" si="58"/>
        <v>0</v>
      </c>
      <c r="Z36" s="5">
        <f t="shared" si="58"/>
        <v>2</v>
      </c>
      <c r="AA36" s="5">
        <f t="shared" si="58"/>
        <v>0</v>
      </c>
      <c r="AB36" s="5">
        <f t="shared" si="58"/>
        <v>0</v>
      </c>
      <c r="AC36" s="5">
        <f t="shared" si="58"/>
        <v>0</v>
      </c>
      <c r="AD36" s="5" t="str">
        <f t="shared" si="58"/>
        <v/>
      </c>
      <c r="AE36" s="5" t="str">
        <f t="shared" si="58"/>
        <v/>
      </c>
      <c r="AF36" s="5" t="str">
        <f t="shared" si="58"/>
        <v/>
      </c>
      <c r="AG36" s="5" t="str">
        <f t="shared" si="58"/>
        <v/>
      </c>
      <c r="AH36" s="5" t="str">
        <f t="shared" si="58"/>
        <v/>
      </c>
      <c r="AI36" s="5" t="str">
        <f t="shared" si="58"/>
        <v/>
      </c>
      <c r="AJ36" s="5" t="str">
        <f t="shared" si="58"/>
        <v/>
      </c>
      <c r="AK36" s="5" t="str">
        <f t="shared" si="58"/>
        <v/>
      </c>
      <c r="AL36" s="5" t="str">
        <f t="shared" si="58"/>
        <v/>
      </c>
      <c r="AM36" s="5" t="str">
        <f t="shared" si="58"/>
        <v/>
      </c>
      <c r="AN36" s="5" t="str">
        <f t="shared" si="58"/>
        <v/>
      </c>
      <c r="AO36" s="5" t="str">
        <f t="shared" ref="AO36:AS36" si="59">IF(AO29="","",AN29+AN30-AO29)</f>
        <v/>
      </c>
      <c r="AP36" s="5" t="str">
        <f t="shared" si="59"/>
        <v/>
      </c>
      <c r="AQ36" s="5" t="str">
        <f t="shared" si="59"/>
        <v/>
      </c>
      <c r="AR36" s="5" t="str">
        <f t="shared" si="59"/>
        <v/>
      </c>
      <c r="AS36" s="5" t="str">
        <f t="shared" si="59"/>
        <v/>
      </c>
    </row>
    <row r="37" spans="1:45" s="93" customFormat="1" ht="11">
      <c r="A37" s="7">
        <f>SUM(C37:AS37)</f>
        <v>2250</v>
      </c>
      <c r="B37" s="6" t="s">
        <v>18</v>
      </c>
      <c r="C37" s="74">
        <v>0</v>
      </c>
      <c r="D37" s="5">
        <f t="shared" ref="D37:AN37" si="60">IF(D27="","",D36*D31)</f>
        <v>0</v>
      </c>
      <c r="E37" s="5">
        <f t="shared" si="60"/>
        <v>750</v>
      </c>
      <c r="F37" s="59">
        <f t="shared" si="60"/>
        <v>0</v>
      </c>
      <c r="G37" s="5">
        <f t="shared" si="60"/>
        <v>0</v>
      </c>
      <c r="H37" s="5">
        <f t="shared" si="60"/>
        <v>0</v>
      </c>
      <c r="I37" s="59">
        <f t="shared" si="60"/>
        <v>0</v>
      </c>
      <c r="J37" s="5">
        <f t="shared" si="60"/>
        <v>0</v>
      </c>
      <c r="K37" s="5">
        <f t="shared" si="60"/>
        <v>0</v>
      </c>
      <c r="L37" s="5">
        <f t="shared" si="60"/>
        <v>0</v>
      </c>
      <c r="M37" s="59">
        <f t="shared" si="60"/>
        <v>0</v>
      </c>
      <c r="N37" s="5">
        <f t="shared" si="60"/>
        <v>0</v>
      </c>
      <c r="O37" s="5">
        <f t="shared" si="60"/>
        <v>0</v>
      </c>
      <c r="P37" s="5">
        <f t="shared" si="60"/>
        <v>0</v>
      </c>
      <c r="Q37" s="5">
        <f t="shared" si="60"/>
        <v>0</v>
      </c>
      <c r="R37" s="5">
        <f t="shared" si="60"/>
        <v>0</v>
      </c>
      <c r="S37" s="5">
        <f t="shared" si="60"/>
        <v>0</v>
      </c>
      <c r="T37" s="5">
        <f t="shared" si="60"/>
        <v>0</v>
      </c>
      <c r="U37" s="5">
        <f t="shared" si="60"/>
        <v>0</v>
      </c>
      <c r="V37" s="5">
        <f t="shared" si="60"/>
        <v>0</v>
      </c>
      <c r="W37" s="5">
        <f t="shared" si="60"/>
        <v>0</v>
      </c>
      <c r="X37" s="5">
        <f t="shared" si="60"/>
        <v>0</v>
      </c>
      <c r="Y37" s="5">
        <f t="shared" si="60"/>
        <v>0</v>
      </c>
      <c r="Z37" s="5">
        <f t="shared" si="60"/>
        <v>1500</v>
      </c>
      <c r="AA37" s="5">
        <f t="shared" si="60"/>
        <v>0</v>
      </c>
      <c r="AB37" s="5">
        <f t="shared" si="60"/>
        <v>0</v>
      </c>
      <c r="AC37" s="5">
        <f t="shared" si="60"/>
        <v>0</v>
      </c>
      <c r="AD37" s="5" t="str">
        <f t="shared" si="60"/>
        <v/>
      </c>
      <c r="AE37" s="5" t="str">
        <f t="shared" si="60"/>
        <v/>
      </c>
      <c r="AF37" s="5" t="str">
        <f t="shared" si="60"/>
        <v/>
      </c>
      <c r="AG37" s="5" t="str">
        <f t="shared" si="60"/>
        <v/>
      </c>
      <c r="AH37" s="5" t="str">
        <f t="shared" si="60"/>
        <v/>
      </c>
      <c r="AI37" s="5" t="str">
        <f t="shared" si="60"/>
        <v/>
      </c>
      <c r="AJ37" s="5" t="str">
        <f t="shared" si="60"/>
        <v/>
      </c>
      <c r="AK37" s="5" t="str">
        <f t="shared" si="60"/>
        <v/>
      </c>
      <c r="AL37" s="5" t="str">
        <f t="shared" si="60"/>
        <v/>
      </c>
      <c r="AM37" s="5" t="str">
        <f t="shared" si="60"/>
        <v/>
      </c>
      <c r="AN37" s="5" t="str">
        <f t="shared" si="60"/>
        <v/>
      </c>
      <c r="AO37" s="5" t="str">
        <f t="shared" ref="AO37:AS37" si="61">IF(AO27="","",AO36*AO31)</f>
        <v/>
      </c>
      <c r="AP37" s="5" t="str">
        <f t="shared" si="61"/>
        <v/>
      </c>
      <c r="AQ37" s="5" t="str">
        <f t="shared" si="61"/>
        <v/>
      </c>
      <c r="AR37" s="5" t="str">
        <f t="shared" si="61"/>
        <v/>
      </c>
      <c r="AS37" s="5" t="str">
        <f t="shared" si="61"/>
        <v/>
      </c>
    </row>
    <row r="38" spans="1:45" s="93" customFormat="1" ht="12" thickBot="1">
      <c r="A38" s="4">
        <f>IF(A37="","",A37/(A34*100))</f>
        <v>5.8139534883720929E-2</v>
      </c>
      <c r="B38" s="6" t="s">
        <v>20</v>
      </c>
      <c r="C38" s="76" t="s">
        <v>21</v>
      </c>
      <c r="D38" s="18" t="str">
        <f t="shared" ref="D38:AN38" si="62">IF(D37="","",IF(D37=0,"",D37/(D34*100)))</f>
        <v/>
      </c>
      <c r="E38" s="18">
        <f t="shared" si="62"/>
        <v>0.5357142857142857</v>
      </c>
      <c r="F38" s="62" t="str">
        <f t="shared" si="62"/>
        <v/>
      </c>
      <c r="G38" s="18" t="str">
        <f t="shared" si="62"/>
        <v/>
      </c>
      <c r="H38" s="18" t="str">
        <f t="shared" si="62"/>
        <v/>
      </c>
      <c r="I38" s="62" t="str">
        <f t="shared" si="62"/>
        <v/>
      </c>
      <c r="J38" s="18" t="str">
        <f t="shared" si="62"/>
        <v/>
      </c>
      <c r="K38" s="18" t="str">
        <f t="shared" si="62"/>
        <v/>
      </c>
      <c r="L38" s="18" t="str">
        <f t="shared" si="62"/>
        <v/>
      </c>
      <c r="M38" s="62" t="str">
        <f t="shared" si="62"/>
        <v/>
      </c>
      <c r="N38" s="18" t="str">
        <f t="shared" si="62"/>
        <v/>
      </c>
      <c r="O38" s="18" t="str">
        <f t="shared" si="62"/>
        <v/>
      </c>
      <c r="P38" s="18" t="str">
        <f t="shared" si="62"/>
        <v/>
      </c>
      <c r="Q38" s="18" t="str">
        <f t="shared" si="62"/>
        <v/>
      </c>
      <c r="R38" s="18" t="str">
        <f t="shared" si="62"/>
        <v/>
      </c>
      <c r="S38" s="18" t="str">
        <f t="shared" si="62"/>
        <v/>
      </c>
      <c r="T38" s="18" t="str">
        <f t="shared" si="62"/>
        <v/>
      </c>
      <c r="U38" s="18" t="str">
        <f t="shared" si="62"/>
        <v/>
      </c>
      <c r="V38" s="18" t="str">
        <f t="shared" si="62"/>
        <v/>
      </c>
      <c r="W38" s="18" t="str">
        <f t="shared" si="62"/>
        <v/>
      </c>
      <c r="X38" s="18" t="str">
        <f t="shared" si="62"/>
        <v/>
      </c>
      <c r="Y38" s="18" t="str">
        <f t="shared" si="62"/>
        <v/>
      </c>
      <c r="Z38" s="18">
        <f t="shared" si="62"/>
        <v>0.15151515151515152</v>
      </c>
      <c r="AA38" s="18" t="str">
        <f t="shared" si="62"/>
        <v/>
      </c>
      <c r="AB38" s="18" t="str">
        <f t="shared" si="62"/>
        <v/>
      </c>
      <c r="AC38" s="18" t="str">
        <f t="shared" si="62"/>
        <v/>
      </c>
      <c r="AD38" s="18" t="str">
        <f t="shared" si="62"/>
        <v/>
      </c>
      <c r="AE38" s="18" t="str">
        <f t="shared" si="62"/>
        <v/>
      </c>
      <c r="AF38" s="18" t="str">
        <f t="shared" si="62"/>
        <v/>
      </c>
      <c r="AG38" s="18" t="str">
        <f t="shared" si="62"/>
        <v/>
      </c>
      <c r="AH38" s="18" t="str">
        <f t="shared" si="62"/>
        <v/>
      </c>
      <c r="AI38" s="18" t="str">
        <f t="shared" si="62"/>
        <v/>
      </c>
      <c r="AJ38" s="18" t="str">
        <f t="shared" si="62"/>
        <v/>
      </c>
      <c r="AK38" s="18" t="str">
        <f t="shared" si="62"/>
        <v/>
      </c>
      <c r="AL38" s="18" t="str">
        <f t="shared" si="62"/>
        <v/>
      </c>
      <c r="AM38" s="18" t="str">
        <f t="shared" si="62"/>
        <v/>
      </c>
      <c r="AN38" s="18" t="str">
        <f t="shared" si="62"/>
        <v/>
      </c>
      <c r="AO38" s="18" t="str">
        <f t="shared" ref="AO38:AS38" si="63">IF(AO37="","",IF(AO37=0,"",AO37/(AO34*100)))</f>
        <v/>
      </c>
      <c r="AP38" s="18" t="str">
        <f t="shared" si="63"/>
        <v/>
      </c>
      <c r="AQ38" s="18" t="str">
        <f t="shared" si="63"/>
        <v/>
      </c>
      <c r="AR38" s="18" t="str">
        <f t="shared" si="63"/>
        <v/>
      </c>
      <c r="AS38" s="18" t="str">
        <f t="shared" si="63"/>
        <v/>
      </c>
    </row>
    <row r="39" spans="1:45" s="93" customFormat="1" ht="11">
      <c r="A39" s="17" t="s">
        <v>101</v>
      </c>
      <c r="B39" s="9" t="s">
        <v>2</v>
      </c>
      <c r="C39" s="74">
        <v>18834</v>
      </c>
      <c r="D39" s="8">
        <f>IF(D$3="","",C39)</f>
        <v>18834</v>
      </c>
      <c r="E39" s="8">
        <v>18848</v>
      </c>
      <c r="F39" s="59">
        <f>IF(F$3="","",E39)</f>
        <v>18848</v>
      </c>
      <c r="G39" s="8">
        <f>IF(G$3="","",F39)</f>
        <v>18848</v>
      </c>
      <c r="H39" s="8">
        <v>18891</v>
      </c>
      <c r="I39" s="59">
        <f t="shared" ref="I39:K40" si="64">IF(I$3="","",H39)</f>
        <v>18891</v>
      </c>
      <c r="J39" s="8">
        <f t="shared" si="64"/>
        <v>18891</v>
      </c>
      <c r="K39" s="8">
        <f t="shared" si="64"/>
        <v>18891</v>
      </c>
      <c r="L39" s="8">
        <v>18906</v>
      </c>
      <c r="M39" s="59">
        <f>IF(M$3="","",L39)</f>
        <v>18906</v>
      </c>
      <c r="N39" s="8">
        <f>IF(N$3="","",M39)</f>
        <v>18906</v>
      </c>
      <c r="O39" s="8">
        <v>18962</v>
      </c>
      <c r="P39" s="8">
        <f t="shared" ref="P39:AN39" si="65">IF(P$3="","",O39)</f>
        <v>18962</v>
      </c>
      <c r="Q39" s="8">
        <f t="shared" si="65"/>
        <v>18962</v>
      </c>
      <c r="R39" s="8">
        <f t="shared" si="65"/>
        <v>18962</v>
      </c>
      <c r="S39" s="8">
        <f t="shared" si="65"/>
        <v>18962</v>
      </c>
      <c r="T39" s="8">
        <v>18980</v>
      </c>
      <c r="U39" s="8">
        <f t="shared" si="65"/>
        <v>18980</v>
      </c>
      <c r="V39" s="8">
        <v>19040</v>
      </c>
      <c r="W39" s="8">
        <f t="shared" si="65"/>
        <v>19040</v>
      </c>
      <c r="X39" s="8">
        <f t="shared" si="65"/>
        <v>19040</v>
      </c>
      <c r="Y39" s="8">
        <f t="shared" si="65"/>
        <v>19040</v>
      </c>
      <c r="Z39" s="8">
        <v>19076</v>
      </c>
      <c r="AA39" s="8">
        <f t="shared" si="65"/>
        <v>19076</v>
      </c>
      <c r="AB39" s="8">
        <f t="shared" si="65"/>
        <v>19076</v>
      </c>
      <c r="AC39" s="8">
        <v>19151</v>
      </c>
      <c r="AD39" s="8" t="str">
        <f t="shared" si="65"/>
        <v/>
      </c>
      <c r="AE39" s="8" t="str">
        <f t="shared" si="65"/>
        <v/>
      </c>
      <c r="AF39" s="8" t="str">
        <f t="shared" si="65"/>
        <v/>
      </c>
      <c r="AG39" s="8" t="str">
        <f t="shared" si="65"/>
        <v/>
      </c>
      <c r="AH39" s="8" t="str">
        <f t="shared" si="65"/>
        <v/>
      </c>
      <c r="AI39" s="8" t="str">
        <f t="shared" si="65"/>
        <v/>
      </c>
      <c r="AJ39" s="8" t="str">
        <f t="shared" si="65"/>
        <v/>
      </c>
      <c r="AK39" s="8" t="str">
        <f t="shared" si="65"/>
        <v/>
      </c>
      <c r="AL39" s="8" t="str">
        <f t="shared" si="65"/>
        <v/>
      </c>
      <c r="AM39" s="8" t="str">
        <f t="shared" si="65"/>
        <v/>
      </c>
      <c r="AN39" s="8" t="str">
        <f t="shared" si="65"/>
        <v/>
      </c>
      <c r="AO39" s="8" t="str">
        <f t="shared" ref="AO39:AS39" si="66">IF(AO$3="","",AN39)</f>
        <v/>
      </c>
      <c r="AP39" s="8" t="str">
        <f t="shared" si="66"/>
        <v/>
      </c>
      <c r="AQ39" s="8" t="str">
        <f t="shared" si="66"/>
        <v/>
      </c>
      <c r="AR39" s="8" t="str">
        <f t="shared" si="66"/>
        <v/>
      </c>
      <c r="AS39" s="8" t="str">
        <f t="shared" si="66"/>
        <v/>
      </c>
    </row>
    <row r="40" spans="1:45" s="93" customFormat="1" ht="11">
      <c r="A40" s="16" t="s">
        <v>3</v>
      </c>
      <c r="B40" s="9" t="s">
        <v>4</v>
      </c>
      <c r="C40" s="74">
        <v>510</v>
      </c>
      <c r="D40" s="8">
        <f>IF(D$3="","",C40)</f>
        <v>510</v>
      </c>
      <c r="E40" s="8">
        <f>IF(E$3="","",D40)</f>
        <v>510</v>
      </c>
      <c r="F40" s="59">
        <f>IF(F$3="","",E40)</f>
        <v>510</v>
      </c>
      <c r="G40" s="8">
        <f>IF(G$3="","",F40)</f>
        <v>510</v>
      </c>
      <c r="H40" s="8">
        <v>513</v>
      </c>
      <c r="I40" s="59">
        <f t="shared" si="64"/>
        <v>513</v>
      </c>
      <c r="J40" s="8">
        <f t="shared" si="64"/>
        <v>513</v>
      </c>
      <c r="K40" s="8">
        <f t="shared" si="64"/>
        <v>513</v>
      </c>
      <c r="L40" s="8">
        <f>IF(L$3="","",K40)</f>
        <v>513</v>
      </c>
      <c r="M40" s="59">
        <f>IF(M$3="","",L40)</f>
        <v>513</v>
      </c>
      <c r="N40" s="8">
        <f>IF(N$3="","",M40)</f>
        <v>513</v>
      </c>
      <c r="O40" s="8">
        <v>514</v>
      </c>
      <c r="P40" s="8">
        <f t="shared" ref="P40:AN40" si="67">IF(P$3="","",O40)</f>
        <v>514</v>
      </c>
      <c r="Q40" s="8">
        <f t="shared" si="67"/>
        <v>514</v>
      </c>
      <c r="R40" s="8">
        <f t="shared" si="67"/>
        <v>514</v>
      </c>
      <c r="S40" s="8">
        <f t="shared" si="67"/>
        <v>514</v>
      </c>
      <c r="T40" s="8">
        <v>515</v>
      </c>
      <c r="U40" s="8">
        <f t="shared" si="67"/>
        <v>515</v>
      </c>
      <c r="V40" s="8">
        <v>516</v>
      </c>
      <c r="W40" s="8">
        <f t="shared" si="67"/>
        <v>516</v>
      </c>
      <c r="X40" s="8">
        <f t="shared" si="67"/>
        <v>516</v>
      </c>
      <c r="Y40" s="8">
        <f t="shared" si="67"/>
        <v>516</v>
      </c>
      <c r="Z40" s="8">
        <v>517</v>
      </c>
      <c r="AA40" s="8">
        <f t="shared" si="67"/>
        <v>517</v>
      </c>
      <c r="AB40" s="8">
        <f t="shared" si="67"/>
        <v>517</v>
      </c>
      <c r="AC40" s="8">
        <f t="shared" si="67"/>
        <v>517</v>
      </c>
      <c r="AD40" s="8" t="str">
        <f t="shared" si="67"/>
        <v/>
      </c>
      <c r="AE40" s="8" t="str">
        <f t="shared" si="67"/>
        <v/>
      </c>
      <c r="AF40" s="8" t="str">
        <f t="shared" si="67"/>
        <v/>
      </c>
      <c r="AG40" s="8" t="str">
        <f t="shared" si="67"/>
        <v/>
      </c>
      <c r="AH40" s="8" t="str">
        <f t="shared" si="67"/>
        <v/>
      </c>
      <c r="AI40" s="8" t="str">
        <f t="shared" si="67"/>
        <v/>
      </c>
      <c r="AJ40" s="8" t="str">
        <f t="shared" si="67"/>
        <v/>
      </c>
      <c r="AK40" s="8" t="str">
        <f t="shared" si="67"/>
        <v/>
      </c>
      <c r="AL40" s="8" t="str">
        <f t="shared" si="67"/>
        <v/>
      </c>
      <c r="AM40" s="8" t="str">
        <f t="shared" si="67"/>
        <v/>
      </c>
      <c r="AN40" s="8" t="str">
        <f t="shared" si="67"/>
        <v/>
      </c>
      <c r="AO40" s="8" t="str">
        <f t="shared" ref="AO40:AS40" si="68">IF(AO$3="","",AN40)</f>
        <v/>
      </c>
      <c r="AP40" s="8" t="str">
        <f t="shared" si="68"/>
        <v/>
      </c>
      <c r="AQ40" s="8" t="str">
        <f t="shared" si="68"/>
        <v/>
      </c>
      <c r="AR40" s="8" t="str">
        <f t="shared" si="68"/>
        <v/>
      </c>
      <c r="AS40" s="8" t="str">
        <f t="shared" si="68"/>
        <v/>
      </c>
    </row>
    <row r="41" spans="1:45" s="93" customFormat="1" ht="11">
      <c r="A41" s="15">
        <v>4</v>
      </c>
      <c r="B41" s="9" t="s">
        <v>5</v>
      </c>
      <c r="C41" s="74">
        <v>6</v>
      </c>
      <c r="D41" s="8">
        <f>IF(D39="","",(C41+C42))</f>
        <v>6</v>
      </c>
      <c r="E41" s="8">
        <v>3</v>
      </c>
      <c r="F41" s="59">
        <f>IF(F39="","",(E41+E42))</f>
        <v>5</v>
      </c>
      <c r="G41" s="8">
        <f>IF(G39="","",(F41+F42))</f>
        <v>5</v>
      </c>
      <c r="H41" s="8">
        <v>2</v>
      </c>
      <c r="I41" s="59">
        <f t="shared" ref="I41:N41" si="69">IF(I39="","",(H41+H42))</f>
        <v>5</v>
      </c>
      <c r="J41" s="8">
        <f t="shared" si="69"/>
        <v>5</v>
      </c>
      <c r="K41" s="8">
        <f t="shared" si="69"/>
        <v>5</v>
      </c>
      <c r="L41" s="8">
        <f t="shared" si="69"/>
        <v>5</v>
      </c>
      <c r="M41" s="59">
        <f t="shared" si="69"/>
        <v>5</v>
      </c>
      <c r="N41" s="8">
        <f t="shared" si="69"/>
        <v>5</v>
      </c>
      <c r="O41" s="8">
        <v>4</v>
      </c>
      <c r="P41" s="8">
        <f t="shared" ref="P41:AN41" si="70">IF(P39="","",(O41+O42))</f>
        <v>4</v>
      </c>
      <c r="Q41" s="8">
        <f t="shared" si="70"/>
        <v>4</v>
      </c>
      <c r="R41" s="8">
        <f t="shared" si="70"/>
        <v>4</v>
      </c>
      <c r="S41" s="8">
        <f t="shared" si="70"/>
        <v>4</v>
      </c>
      <c r="T41" s="8">
        <v>3</v>
      </c>
      <c r="U41" s="8">
        <f t="shared" si="70"/>
        <v>5</v>
      </c>
      <c r="V41" s="8">
        <v>4</v>
      </c>
      <c r="W41" s="8">
        <f t="shared" si="70"/>
        <v>4</v>
      </c>
      <c r="X41" s="8">
        <f t="shared" si="70"/>
        <v>4</v>
      </c>
      <c r="Y41" s="8">
        <f t="shared" si="70"/>
        <v>4</v>
      </c>
      <c r="Z41" s="8">
        <v>3</v>
      </c>
      <c r="AA41" s="8">
        <f t="shared" si="70"/>
        <v>5</v>
      </c>
      <c r="AB41" s="8">
        <f t="shared" si="70"/>
        <v>5</v>
      </c>
      <c r="AC41" s="8">
        <f t="shared" si="70"/>
        <v>5</v>
      </c>
      <c r="AD41" s="8" t="str">
        <f t="shared" si="70"/>
        <v/>
      </c>
      <c r="AE41" s="8" t="str">
        <f t="shared" si="70"/>
        <v/>
      </c>
      <c r="AF41" s="8" t="str">
        <f t="shared" si="70"/>
        <v/>
      </c>
      <c r="AG41" s="8" t="str">
        <f t="shared" si="70"/>
        <v/>
      </c>
      <c r="AH41" s="8" t="str">
        <f t="shared" si="70"/>
        <v/>
      </c>
      <c r="AI41" s="8" t="str">
        <f t="shared" si="70"/>
        <v/>
      </c>
      <c r="AJ41" s="8" t="str">
        <f t="shared" si="70"/>
        <v/>
      </c>
      <c r="AK41" s="8" t="str">
        <f t="shared" si="70"/>
        <v/>
      </c>
      <c r="AL41" s="8" t="str">
        <f t="shared" si="70"/>
        <v/>
      </c>
      <c r="AM41" s="8" t="str">
        <f t="shared" si="70"/>
        <v/>
      </c>
      <c r="AN41" s="8" t="str">
        <f t="shared" si="70"/>
        <v/>
      </c>
      <c r="AO41" s="8" t="str">
        <f t="shared" ref="AO41:AS41" si="71">IF(AO39="","",(AN41+AN42))</f>
        <v/>
      </c>
      <c r="AP41" s="8" t="str">
        <f t="shared" si="71"/>
        <v/>
      </c>
      <c r="AQ41" s="8" t="str">
        <f t="shared" si="71"/>
        <v/>
      </c>
      <c r="AR41" s="8" t="str">
        <f t="shared" si="71"/>
        <v/>
      </c>
      <c r="AS41" s="8" t="str">
        <f t="shared" si="71"/>
        <v/>
      </c>
    </row>
    <row r="42" spans="1:45" s="93" customFormat="1" ht="11">
      <c r="A42" s="14"/>
      <c r="B42" s="9" t="s">
        <v>7</v>
      </c>
      <c r="C42" s="74"/>
      <c r="D42" s="8"/>
      <c r="E42" s="8">
        <v>2</v>
      </c>
      <c r="F42" s="59"/>
      <c r="G42" s="8"/>
      <c r="H42" s="8">
        <v>3</v>
      </c>
      <c r="I42" s="59"/>
      <c r="J42" s="8"/>
      <c r="K42" s="8"/>
      <c r="L42" s="8"/>
      <c r="M42" s="59"/>
      <c r="N42" s="8"/>
      <c r="O42" s="8"/>
      <c r="P42" s="8"/>
      <c r="Q42" s="8"/>
      <c r="R42" s="8"/>
      <c r="S42" s="8"/>
      <c r="T42" s="8">
        <v>2</v>
      </c>
      <c r="U42" s="8"/>
      <c r="V42" s="8"/>
      <c r="W42" s="8"/>
      <c r="X42" s="8"/>
      <c r="Y42" s="8"/>
      <c r="Z42" s="8">
        <v>2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s="93" customFormat="1" ht="11">
      <c r="A43" s="7"/>
      <c r="B43" s="9" t="s">
        <v>8</v>
      </c>
      <c r="C43" s="74">
        <v>800</v>
      </c>
      <c r="D43" s="8">
        <f t="shared" ref="D43:AN43" si="72">IF(D39="","",C43)</f>
        <v>800</v>
      </c>
      <c r="E43" s="8">
        <f t="shared" si="72"/>
        <v>800</v>
      </c>
      <c r="F43" s="59">
        <f t="shared" si="72"/>
        <v>800</v>
      </c>
      <c r="G43" s="8">
        <f t="shared" si="72"/>
        <v>800</v>
      </c>
      <c r="H43" s="8">
        <f t="shared" si="72"/>
        <v>800</v>
      </c>
      <c r="I43" s="59">
        <f t="shared" si="72"/>
        <v>800</v>
      </c>
      <c r="J43" s="8">
        <f t="shared" si="72"/>
        <v>800</v>
      </c>
      <c r="K43" s="8">
        <f t="shared" si="72"/>
        <v>800</v>
      </c>
      <c r="L43" s="8">
        <f t="shared" si="72"/>
        <v>800</v>
      </c>
      <c r="M43" s="59">
        <f t="shared" si="72"/>
        <v>800</v>
      </c>
      <c r="N43" s="8">
        <f t="shared" si="72"/>
        <v>800</v>
      </c>
      <c r="O43" s="8">
        <f t="shared" si="72"/>
        <v>800</v>
      </c>
      <c r="P43" s="8">
        <f t="shared" si="72"/>
        <v>800</v>
      </c>
      <c r="Q43" s="8">
        <f t="shared" si="72"/>
        <v>800</v>
      </c>
      <c r="R43" s="8">
        <f t="shared" si="72"/>
        <v>800</v>
      </c>
      <c r="S43" s="8">
        <f t="shared" si="72"/>
        <v>800</v>
      </c>
      <c r="T43" s="8">
        <f t="shared" si="72"/>
        <v>800</v>
      </c>
      <c r="U43" s="8">
        <f t="shared" si="72"/>
        <v>800</v>
      </c>
      <c r="V43" s="8">
        <f t="shared" si="72"/>
        <v>800</v>
      </c>
      <c r="W43" s="8">
        <f t="shared" si="72"/>
        <v>800</v>
      </c>
      <c r="X43" s="8">
        <f t="shared" si="72"/>
        <v>800</v>
      </c>
      <c r="Y43" s="8">
        <f t="shared" si="72"/>
        <v>800</v>
      </c>
      <c r="Z43" s="8">
        <f t="shared" si="72"/>
        <v>800</v>
      </c>
      <c r="AA43" s="8">
        <f t="shared" si="72"/>
        <v>800</v>
      </c>
      <c r="AB43" s="8">
        <f t="shared" si="72"/>
        <v>800</v>
      </c>
      <c r="AC43" s="8">
        <f t="shared" si="72"/>
        <v>800</v>
      </c>
      <c r="AD43" s="8" t="str">
        <f t="shared" si="72"/>
        <v/>
      </c>
      <c r="AE43" s="8" t="str">
        <f t="shared" si="72"/>
        <v/>
      </c>
      <c r="AF43" s="8" t="str">
        <f t="shared" si="72"/>
        <v/>
      </c>
      <c r="AG43" s="8" t="str">
        <f t="shared" si="72"/>
        <v/>
      </c>
      <c r="AH43" s="8" t="str">
        <f t="shared" si="72"/>
        <v/>
      </c>
      <c r="AI43" s="8" t="str">
        <f t="shared" si="72"/>
        <v/>
      </c>
      <c r="AJ43" s="8" t="str">
        <f t="shared" si="72"/>
        <v/>
      </c>
      <c r="AK43" s="8" t="str">
        <f t="shared" si="72"/>
        <v/>
      </c>
      <c r="AL43" s="8" t="str">
        <f t="shared" si="72"/>
        <v/>
      </c>
      <c r="AM43" s="8" t="str">
        <f t="shared" si="72"/>
        <v/>
      </c>
      <c r="AN43" s="8" t="str">
        <f t="shared" si="72"/>
        <v/>
      </c>
      <c r="AO43" s="8" t="str">
        <f t="shared" ref="AO43:AS43" si="73">IF(AO39="","",AN43)</f>
        <v/>
      </c>
      <c r="AP43" s="8" t="str">
        <f t="shared" si="73"/>
        <v/>
      </c>
      <c r="AQ43" s="8" t="str">
        <f t="shared" si="73"/>
        <v/>
      </c>
      <c r="AR43" s="8" t="str">
        <f t="shared" si="73"/>
        <v/>
      </c>
      <c r="AS43" s="8" t="str">
        <f t="shared" si="73"/>
        <v/>
      </c>
    </row>
    <row r="44" spans="1:45" s="94" customFormat="1" ht="11">
      <c r="A44" s="14" t="s">
        <v>9</v>
      </c>
      <c r="B44" s="13" t="s">
        <v>10</v>
      </c>
      <c r="C44" s="75" t="s">
        <v>54</v>
      </c>
      <c r="D44" s="12" t="str">
        <f t="shared" ref="D44:AN44" si="74">IF(D39="","",C44)</f>
        <v>サンリオバンズクリップ</v>
      </c>
      <c r="E44" s="12" t="str">
        <f t="shared" si="74"/>
        <v>サンリオバンズクリップ</v>
      </c>
      <c r="F44" s="131" t="str">
        <f t="shared" si="74"/>
        <v>サンリオバンズクリップ</v>
      </c>
      <c r="G44" s="12" t="str">
        <f t="shared" si="74"/>
        <v>サンリオバンズクリップ</v>
      </c>
      <c r="H44" s="12" t="str">
        <f t="shared" si="74"/>
        <v>サンリオバンズクリップ</v>
      </c>
      <c r="I44" s="131" t="str">
        <f t="shared" si="74"/>
        <v>サンリオバンズクリップ</v>
      </c>
      <c r="J44" s="12" t="str">
        <f t="shared" si="74"/>
        <v>サンリオバンズクリップ</v>
      </c>
      <c r="K44" s="12" t="str">
        <f t="shared" si="74"/>
        <v>サンリオバンズクリップ</v>
      </c>
      <c r="L44" s="12" t="str">
        <f t="shared" si="74"/>
        <v>サンリオバンズクリップ</v>
      </c>
      <c r="M44" s="131" t="str">
        <f t="shared" si="74"/>
        <v>サンリオバンズクリップ</v>
      </c>
      <c r="N44" s="12" t="str">
        <f t="shared" si="74"/>
        <v>サンリオバンズクリップ</v>
      </c>
      <c r="O44" s="12" t="str">
        <f t="shared" si="74"/>
        <v>サンリオバンズクリップ</v>
      </c>
      <c r="P44" s="12" t="str">
        <f t="shared" si="74"/>
        <v>サンリオバンズクリップ</v>
      </c>
      <c r="Q44" s="12" t="str">
        <f t="shared" si="74"/>
        <v>サンリオバンズクリップ</v>
      </c>
      <c r="R44" s="12" t="str">
        <f t="shared" si="74"/>
        <v>サンリオバンズクリップ</v>
      </c>
      <c r="S44" s="12" t="str">
        <f t="shared" si="74"/>
        <v>サンリオバンズクリップ</v>
      </c>
      <c r="T44" s="12" t="str">
        <f t="shared" si="74"/>
        <v>サンリオバンズクリップ</v>
      </c>
      <c r="U44" s="12" t="str">
        <f t="shared" si="74"/>
        <v>サンリオバンズクリップ</v>
      </c>
      <c r="V44" s="12" t="str">
        <f t="shared" si="74"/>
        <v>サンリオバンズクリップ</v>
      </c>
      <c r="W44" s="12" t="str">
        <f t="shared" si="74"/>
        <v>サンリオバンズクリップ</v>
      </c>
      <c r="X44" s="12" t="str">
        <f t="shared" si="74"/>
        <v>サンリオバンズクリップ</v>
      </c>
      <c r="Y44" s="12" t="str">
        <f t="shared" si="74"/>
        <v>サンリオバンズクリップ</v>
      </c>
      <c r="Z44" s="12" t="str">
        <f t="shared" si="74"/>
        <v>サンリオバンズクリップ</v>
      </c>
      <c r="AA44" s="12" t="str">
        <f t="shared" si="74"/>
        <v>サンリオバンズクリップ</v>
      </c>
      <c r="AB44" s="12" t="str">
        <f t="shared" si="74"/>
        <v>サンリオバンズクリップ</v>
      </c>
      <c r="AC44" s="12" t="str">
        <f t="shared" si="74"/>
        <v>サンリオバンズクリップ</v>
      </c>
      <c r="AD44" s="12" t="str">
        <f t="shared" si="74"/>
        <v/>
      </c>
      <c r="AE44" s="12" t="str">
        <f t="shared" si="74"/>
        <v/>
      </c>
      <c r="AF44" s="12" t="str">
        <f t="shared" si="74"/>
        <v/>
      </c>
      <c r="AG44" s="12" t="str">
        <f t="shared" si="74"/>
        <v/>
      </c>
      <c r="AH44" s="12" t="str">
        <f t="shared" si="74"/>
        <v/>
      </c>
      <c r="AI44" s="12" t="str">
        <f t="shared" si="74"/>
        <v/>
      </c>
      <c r="AJ44" s="12" t="str">
        <f t="shared" si="74"/>
        <v/>
      </c>
      <c r="AK44" s="12" t="str">
        <f t="shared" si="74"/>
        <v/>
      </c>
      <c r="AL44" s="12" t="str">
        <f t="shared" si="74"/>
        <v/>
      </c>
      <c r="AM44" s="12" t="str">
        <f t="shared" si="74"/>
        <v/>
      </c>
      <c r="AN44" s="12" t="str">
        <f t="shared" si="74"/>
        <v/>
      </c>
      <c r="AO44" s="12" t="str">
        <f t="shared" ref="AO44:AS44" si="75">IF(AO39="","",AN44)</f>
        <v/>
      </c>
      <c r="AP44" s="12" t="str">
        <f t="shared" si="75"/>
        <v/>
      </c>
      <c r="AQ44" s="12" t="str">
        <f t="shared" si="75"/>
        <v/>
      </c>
      <c r="AR44" s="12" t="str">
        <f t="shared" si="75"/>
        <v/>
      </c>
      <c r="AS44" s="12" t="str">
        <f t="shared" si="75"/>
        <v/>
      </c>
    </row>
    <row r="45" spans="1:45" s="93" customFormat="1" ht="11">
      <c r="A45" s="7">
        <f>AVERAGE(C46:AS46)*30*100</f>
        <v>35222.222222222226</v>
      </c>
      <c r="B45" s="9" t="s">
        <v>14</v>
      </c>
      <c r="C45" s="74"/>
      <c r="D45" s="8"/>
      <c r="E45" s="8"/>
      <c r="F45" s="59"/>
      <c r="G45" s="8"/>
      <c r="H45" s="8"/>
      <c r="I45" s="59"/>
      <c r="J45" s="8"/>
      <c r="K45" s="8"/>
      <c r="L45" s="8"/>
      <c r="M45" s="5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s="93" customFormat="1" ht="11">
      <c r="A46" s="7">
        <f>SUM(C46:AS46)</f>
        <v>317</v>
      </c>
      <c r="B46" s="6" t="s">
        <v>15</v>
      </c>
      <c r="C46" s="74">
        <v>0</v>
      </c>
      <c r="D46" s="5">
        <f t="shared" ref="D46:AN46" si="76">IF(D39="","",D39-C39)</f>
        <v>0</v>
      </c>
      <c r="E46" s="5">
        <f t="shared" si="76"/>
        <v>14</v>
      </c>
      <c r="F46" s="59">
        <f t="shared" si="76"/>
        <v>0</v>
      </c>
      <c r="G46" s="5">
        <f t="shared" si="76"/>
        <v>0</v>
      </c>
      <c r="H46" s="5">
        <f t="shared" si="76"/>
        <v>43</v>
      </c>
      <c r="I46" s="59">
        <f t="shared" si="76"/>
        <v>0</v>
      </c>
      <c r="J46" s="5">
        <f t="shared" si="76"/>
        <v>0</v>
      </c>
      <c r="K46" s="5">
        <f t="shared" si="76"/>
        <v>0</v>
      </c>
      <c r="L46" s="5">
        <f t="shared" si="76"/>
        <v>15</v>
      </c>
      <c r="M46" s="59">
        <f t="shared" si="76"/>
        <v>0</v>
      </c>
      <c r="N46" s="5">
        <f t="shared" si="76"/>
        <v>0</v>
      </c>
      <c r="O46" s="5">
        <f t="shared" si="76"/>
        <v>56</v>
      </c>
      <c r="P46" s="5">
        <f t="shared" si="76"/>
        <v>0</v>
      </c>
      <c r="Q46" s="5">
        <f t="shared" si="76"/>
        <v>0</v>
      </c>
      <c r="R46" s="5">
        <f t="shared" si="76"/>
        <v>0</v>
      </c>
      <c r="S46" s="5">
        <f t="shared" si="76"/>
        <v>0</v>
      </c>
      <c r="T46" s="5">
        <f t="shared" si="76"/>
        <v>18</v>
      </c>
      <c r="U46" s="5">
        <f t="shared" si="76"/>
        <v>0</v>
      </c>
      <c r="V46" s="5">
        <f t="shared" si="76"/>
        <v>60</v>
      </c>
      <c r="W46" s="5">
        <f t="shared" si="76"/>
        <v>0</v>
      </c>
      <c r="X46" s="5">
        <f t="shared" si="76"/>
        <v>0</v>
      </c>
      <c r="Y46" s="5">
        <f t="shared" si="76"/>
        <v>0</v>
      </c>
      <c r="Z46" s="5">
        <f t="shared" si="76"/>
        <v>36</v>
      </c>
      <c r="AA46" s="5">
        <f t="shared" si="76"/>
        <v>0</v>
      </c>
      <c r="AB46" s="5">
        <f t="shared" si="76"/>
        <v>0</v>
      </c>
      <c r="AC46" s="5">
        <f t="shared" si="76"/>
        <v>75</v>
      </c>
      <c r="AD46" s="5" t="str">
        <f t="shared" si="76"/>
        <v/>
      </c>
      <c r="AE46" s="5" t="str">
        <f t="shared" si="76"/>
        <v/>
      </c>
      <c r="AF46" s="5" t="str">
        <f t="shared" si="76"/>
        <v/>
      </c>
      <c r="AG46" s="5" t="str">
        <f t="shared" si="76"/>
        <v/>
      </c>
      <c r="AH46" s="5" t="str">
        <f t="shared" si="76"/>
        <v/>
      </c>
      <c r="AI46" s="5" t="str">
        <f t="shared" si="76"/>
        <v/>
      </c>
      <c r="AJ46" s="5" t="str">
        <f t="shared" si="76"/>
        <v/>
      </c>
      <c r="AK46" s="5" t="str">
        <f t="shared" si="76"/>
        <v/>
      </c>
      <c r="AL46" s="5" t="str">
        <f t="shared" si="76"/>
        <v/>
      </c>
      <c r="AM46" s="5" t="str">
        <f t="shared" si="76"/>
        <v/>
      </c>
      <c r="AN46" s="5" t="str">
        <f t="shared" si="76"/>
        <v/>
      </c>
      <c r="AO46" s="5" t="str">
        <f t="shared" ref="AO46:AS46" si="77">IF(AO39="","",AO39-AN39)</f>
        <v/>
      </c>
      <c r="AP46" s="5" t="str">
        <f t="shared" si="77"/>
        <v/>
      </c>
      <c r="AQ46" s="5" t="str">
        <f t="shared" si="77"/>
        <v/>
      </c>
      <c r="AR46" s="5" t="str">
        <f t="shared" si="77"/>
        <v/>
      </c>
      <c r="AS46" s="5" t="str">
        <f t="shared" si="77"/>
        <v/>
      </c>
    </row>
    <row r="47" spans="1:45" s="93" customFormat="1" ht="11">
      <c r="A47" s="7">
        <f>SUM(C47:AS47)</f>
        <v>7</v>
      </c>
      <c r="B47" s="6" t="s">
        <v>16</v>
      </c>
      <c r="C47" s="74">
        <v>0</v>
      </c>
      <c r="D47" s="5">
        <f t="shared" ref="D47:AN47" si="78">IF(D40="","",D40-C40)</f>
        <v>0</v>
      </c>
      <c r="E47" s="5">
        <f t="shared" si="78"/>
        <v>0</v>
      </c>
      <c r="F47" s="59">
        <f t="shared" si="78"/>
        <v>0</v>
      </c>
      <c r="G47" s="5">
        <f t="shared" si="78"/>
        <v>0</v>
      </c>
      <c r="H47" s="5">
        <f t="shared" si="78"/>
        <v>3</v>
      </c>
      <c r="I47" s="59">
        <f t="shared" si="78"/>
        <v>0</v>
      </c>
      <c r="J47" s="5">
        <f t="shared" si="78"/>
        <v>0</v>
      </c>
      <c r="K47" s="5">
        <f t="shared" si="78"/>
        <v>0</v>
      </c>
      <c r="L47" s="5">
        <f t="shared" si="78"/>
        <v>0</v>
      </c>
      <c r="M47" s="59">
        <f t="shared" si="78"/>
        <v>0</v>
      </c>
      <c r="N47" s="5">
        <f t="shared" si="78"/>
        <v>0</v>
      </c>
      <c r="O47" s="5">
        <f t="shared" si="78"/>
        <v>1</v>
      </c>
      <c r="P47" s="5">
        <f t="shared" si="78"/>
        <v>0</v>
      </c>
      <c r="Q47" s="5">
        <f t="shared" si="78"/>
        <v>0</v>
      </c>
      <c r="R47" s="5">
        <f t="shared" si="78"/>
        <v>0</v>
      </c>
      <c r="S47" s="5">
        <f t="shared" si="78"/>
        <v>0</v>
      </c>
      <c r="T47" s="5">
        <f t="shared" si="78"/>
        <v>1</v>
      </c>
      <c r="U47" s="5">
        <f t="shared" si="78"/>
        <v>0</v>
      </c>
      <c r="V47" s="5">
        <f t="shared" si="78"/>
        <v>1</v>
      </c>
      <c r="W47" s="5">
        <f t="shared" si="78"/>
        <v>0</v>
      </c>
      <c r="X47" s="5">
        <f t="shared" si="78"/>
        <v>0</v>
      </c>
      <c r="Y47" s="5">
        <f t="shared" si="78"/>
        <v>0</v>
      </c>
      <c r="Z47" s="5">
        <f t="shared" si="78"/>
        <v>1</v>
      </c>
      <c r="AA47" s="5">
        <f t="shared" si="78"/>
        <v>0</v>
      </c>
      <c r="AB47" s="5">
        <f t="shared" si="78"/>
        <v>0</v>
      </c>
      <c r="AC47" s="5">
        <f t="shared" si="78"/>
        <v>0</v>
      </c>
      <c r="AD47" s="5" t="str">
        <f t="shared" si="78"/>
        <v/>
      </c>
      <c r="AE47" s="5" t="str">
        <f t="shared" si="78"/>
        <v/>
      </c>
      <c r="AF47" s="5" t="str">
        <f t="shared" si="78"/>
        <v/>
      </c>
      <c r="AG47" s="5" t="str">
        <f t="shared" si="78"/>
        <v/>
      </c>
      <c r="AH47" s="5" t="str">
        <f t="shared" si="78"/>
        <v/>
      </c>
      <c r="AI47" s="5" t="str">
        <f t="shared" si="78"/>
        <v/>
      </c>
      <c r="AJ47" s="5" t="str">
        <f t="shared" si="78"/>
        <v/>
      </c>
      <c r="AK47" s="5" t="str">
        <f t="shared" si="78"/>
        <v/>
      </c>
      <c r="AL47" s="5" t="str">
        <f t="shared" si="78"/>
        <v/>
      </c>
      <c r="AM47" s="5" t="str">
        <f t="shared" si="78"/>
        <v/>
      </c>
      <c r="AN47" s="5" t="str">
        <f t="shared" si="78"/>
        <v/>
      </c>
      <c r="AO47" s="5" t="str">
        <f t="shared" ref="AO47:AS47" si="79">IF(AO40="","",AO40-AN40)</f>
        <v/>
      </c>
      <c r="AP47" s="5" t="str">
        <f t="shared" si="79"/>
        <v/>
      </c>
      <c r="AQ47" s="5" t="str">
        <f t="shared" si="79"/>
        <v/>
      </c>
      <c r="AR47" s="5" t="str">
        <f t="shared" si="79"/>
        <v/>
      </c>
      <c r="AS47" s="5" t="str">
        <f t="shared" si="79"/>
        <v/>
      </c>
    </row>
    <row r="48" spans="1:45" s="93" customFormat="1" ht="11">
      <c r="A48" s="7">
        <f>SUM(C48:AS48)</f>
        <v>10</v>
      </c>
      <c r="B48" s="6" t="s">
        <v>17</v>
      </c>
      <c r="C48" s="74">
        <v>0</v>
      </c>
      <c r="D48" s="5">
        <f t="shared" ref="D48:AN48" si="80">IF(D41="","",C41+C42-D41)</f>
        <v>0</v>
      </c>
      <c r="E48" s="5">
        <f t="shared" si="80"/>
        <v>3</v>
      </c>
      <c r="F48" s="59">
        <f t="shared" si="80"/>
        <v>0</v>
      </c>
      <c r="G48" s="5">
        <f t="shared" si="80"/>
        <v>0</v>
      </c>
      <c r="H48" s="5">
        <f t="shared" si="80"/>
        <v>3</v>
      </c>
      <c r="I48" s="59">
        <f t="shared" si="80"/>
        <v>0</v>
      </c>
      <c r="J48" s="5">
        <f t="shared" si="80"/>
        <v>0</v>
      </c>
      <c r="K48" s="5">
        <f t="shared" si="80"/>
        <v>0</v>
      </c>
      <c r="L48" s="5">
        <f t="shared" si="80"/>
        <v>0</v>
      </c>
      <c r="M48" s="59">
        <f t="shared" si="80"/>
        <v>0</v>
      </c>
      <c r="N48" s="5">
        <f t="shared" si="80"/>
        <v>0</v>
      </c>
      <c r="O48" s="5">
        <f t="shared" si="80"/>
        <v>1</v>
      </c>
      <c r="P48" s="5">
        <f t="shared" si="80"/>
        <v>0</v>
      </c>
      <c r="Q48" s="5">
        <f t="shared" si="80"/>
        <v>0</v>
      </c>
      <c r="R48" s="5">
        <f t="shared" si="80"/>
        <v>0</v>
      </c>
      <c r="S48" s="5">
        <f t="shared" si="80"/>
        <v>0</v>
      </c>
      <c r="T48" s="5">
        <f t="shared" si="80"/>
        <v>1</v>
      </c>
      <c r="U48" s="5">
        <f t="shared" si="80"/>
        <v>0</v>
      </c>
      <c r="V48" s="5">
        <f t="shared" si="80"/>
        <v>1</v>
      </c>
      <c r="W48" s="5">
        <f t="shared" si="80"/>
        <v>0</v>
      </c>
      <c r="X48" s="5">
        <f t="shared" si="80"/>
        <v>0</v>
      </c>
      <c r="Y48" s="5">
        <f t="shared" si="80"/>
        <v>0</v>
      </c>
      <c r="Z48" s="5">
        <f t="shared" si="80"/>
        <v>1</v>
      </c>
      <c r="AA48" s="5">
        <f t="shared" si="80"/>
        <v>0</v>
      </c>
      <c r="AB48" s="5">
        <f t="shared" si="80"/>
        <v>0</v>
      </c>
      <c r="AC48" s="5">
        <f t="shared" si="80"/>
        <v>0</v>
      </c>
      <c r="AD48" s="5" t="str">
        <f t="shared" si="80"/>
        <v/>
      </c>
      <c r="AE48" s="5" t="str">
        <f t="shared" si="80"/>
        <v/>
      </c>
      <c r="AF48" s="5" t="str">
        <f t="shared" si="80"/>
        <v/>
      </c>
      <c r="AG48" s="5" t="str">
        <f t="shared" si="80"/>
        <v/>
      </c>
      <c r="AH48" s="5" t="str">
        <f t="shared" si="80"/>
        <v/>
      </c>
      <c r="AI48" s="5" t="str">
        <f t="shared" si="80"/>
        <v/>
      </c>
      <c r="AJ48" s="5" t="str">
        <f t="shared" si="80"/>
        <v/>
      </c>
      <c r="AK48" s="5" t="str">
        <f t="shared" si="80"/>
        <v/>
      </c>
      <c r="AL48" s="5" t="str">
        <f t="shared" si="80"/>
        <v/>
      </c>
      <c r="AM48" s="5" t="str">
        <f t="shared" si="80"/>
        <v/>
      </c>
      <c r="AN48" s="5" t="str">
        <f t="shared" si="80"/>
        <v/>
      </c>
      <c r="AO48" s="5" t="str">
        <f t="shared" ref="AO48:AS48" si="81">IF(AO41="","",AN41+AN42-AO41)</f>
        <v/>
      </c>
      <c r="AP48" s="5" t="str">
        <f t="shared" si="81"/>
        <v/>
      </c>
      <c r="AQ48" s="5" t="str">
        <f t="shared" si="81"/>
        <v/>
      </c>
      <c r="AR48" s="5" t="str">
        <f t="shared" si="81"/>
        <v/>
      </c>
      <c r="AS48" s="5" t="str">
        <f t="shared" si="81"/>
        <v/>
      </c>
    </row>
    <row r="49" spans="1:45" s="93" customFormat="1" ht="11">
      <c r="A49" s="7">
        <f>SUM(C49:AS49)</f>
        <v>8000</v>
      </c>
      <c r="B49" s="6" t="s">
        <v>18</v>
      </c>
      <c r="C49" s="74">
        <v>0</v>
      </c>
      <c r="D49" s="5">
        <f t="shared" ref="D49:AN49" si="82">IF(D39="","",D48*D43)</f>
        <v>0</v>
      </c>
      <c r="E49" s="5">
        <f t="shared" si="82"/>
        <v>2400</v>
      </c>
      <c r="F49" s="59">
        <f t="shared" si="82"/>
        <v>0</v>
      </c>
      <c r="G49" s="5">
        <f t="shared" si="82"/>
        <v>0</v>
      </c>
      <c r="H49" s="5">
        <f t="shared" si="82"/>
        <v>2400</v>
      </c>
      <c r="I49" s="59">
        <f t="shared" si="82"/>
        <v>0</v>
      </c>
      <c r="J49" s="5">
        <f t="shared" si="82"/>
        <v>0</v>
      </c>
      <c r="K49" s="5">
        <f t="shared" si="82"/>
        <v>0</v>
      </c>
      <c r="L49" s="5">
        <f t="shared" si="82"/>
        <v>0</v>
      </c>
      <c r="M49" s="59">
        <f t="shared" si="82"/>
        <v>0</v>
      </c>
      <c r="N49" s="5">
        <f t="shared" si="82"/>
        <v>0</v>
      </c>
      <c r="O49" s="5">
        <f t="shared" si="82"/>
        <v>800</v>
      </c>
      <c r="P49" s="5">
        <f t="shared" si="82"/>
        <v>0</v>
      </c>
      <c r="Q49" s="5">
        <f t="shared" si="82"/>
        <v>0</v>
      </c>
      <c r="R49" s="5">
        <f t="shared" si="82"/>
        <v>0</v>
      </c>
      <c r="S49" s="5">
        <f t="shared" si="82"/>
        <v>0</v>
      </c>
      <c r="T49" s="5">
        <f t="shared" si="82"/>
        <v>800</v>
      </c>
      <c r="U49" s="5">
        <f t="shared" si="82"/>
        <v>0</v>
      </c>
      <c r="V49" s="5">
        <f t="shared" si="82"/>
        <v>800</v>
      </c>
      <c r="W49" s="5">
        <f t="shared" si="82"/>
        <v>0</v>
      </c>
      <c r="X49" s="5">
        <f t="shared" si="82"/>
        <v>0</v>
      </c>
      <c r="Y49" s="5">
        <f t="shared" si="82"/>
        <v>0</v>
      </c>
      <c r="Z49" s="5">
        <f t="shared" si="82"/>
        <v>800</v>
      </c>
      <c r="AA49" s="5">
        <f t="shared" si="82"/>
        <v>0</v>
      </c>
      <c r="AB49" s="5">
        <f t="shared" si="82"/>
        <v>0</v>
      </c>
      <c r="AC49" s="5">
        <f t="shared" si="82"/>
        <v>0</v>
      </c>
      <c r="AD49" s="5" t="str">
        <f t="shared" si="82"/>
        <v/>
      </c>
      <c r="AE49" s="5" t="str">
        <f t="shared" si="82"/>
        <v/>
      </c>
      <c r="AF49" s="5" t="str">
        <f t="shared" si="82"/>
        <v/>
      </c>
      <c r="AG49" s="5" t="str">
        <f t="shared" si="82"/>
        <v/>
      </c>
      <c r="AH49" s="5" t="str">
        <f t="shared" si="82"/>
        <v/>
      </c>
      <c r="AI49" s="5" t="str">
        <f t="shared" si="82"/>
        <v/>
      </c>
      <c r="AJ49" s="5" t="str">
        <f t="shared" si="82"/>
        <v/>
      </c>
      <c r="AK49" s="5" t="str">
        <f t="shared" si="82"/>
        <v/>
      </c>
      <c r="AL49" s="5" t="str">
        <f t="shared" si="82"/>
        <v/>
      </c>
      <c r="AM49" s="5" t="str">
        <f t="shared" si="82"/>
        <v/>
      </c>
      <c r="AN49" s="5" t="str">
        <f t="shared" si="82"/>
        <v/>
      </c>
      <c r="AO49" s="5" t="str">
        <f t="shared" ref="AO49:AS49" si="83">IF(AO39="","",AO48*AO43)</f>
        <v/>
      </c>
      <c r="AP49" s="5" t="str">
        <f t="shared" si="83"/>
        <v/>
      </c>
      <c r="AQ49" s="5" t="str">
        <f t="shared" si="83"/>
        <v/>
      </c>
      <c r="AR49" s="5" t="str">
        <f t="shared" si="83"/>
        <v/>
      </c>
      <c r="AS49" s="5" t="str">
        <f t="shared" si="83"/>
        <v/>
      </c>
    </row>
    <row r="50" spans="1:45" s="93" customFormat="1" ht="12" thickBot="1">
      <c r="A50" s="4">
        <f>IF(A49="","",A49/(A46*100))</f>
        <v>0.25236593059936907</v>
      </c>
      <c r="B50" s="3" t="s">
        <v>20</v>
      </c>
      <c r="C50" s="77" t="s">
        <v>21</v>
      </c>
      <c r="D50" s="2" t="str">
        <f t="shared" ref="D50:AN50" si="84">IF(D49="","",IF(D49=0,"",D49/(D46*100)))</f>
        <v/>
      </c>
      <c r="E50" s="2">
        <f t="shared" si="84"/>
        <v>1.7142857142857142</v>
      </c>
      <c r="F50" s="57" t="str">
        <f t="shared" si="84"/>
        <v/>
      </c>
      <c r="G50" s="2" t="str">
        <f t="shared" si="84"/>
        <v/>
      </c>
      <c r="H50" s="2">
        <f t="shared" si="84"/>
        <v>0.55813953488372092</v>
      </c>
      <c r="I50" s="57" t="str">
        <f t="shared" si="84"/>
        <v/>
      </c>
      <c r="J50" s="2" t="str">
        <f t="shared" si="84"/>
        <v/>
      </c>
      <c r="K50" s="2" t="str">
        <f t="shared" si="84"/>
        <v/>
      </c>
      <c r="L50" s="2" t="str">
        <f t="shared" si="84"/>
        <v/>
      </c>
      <c r="M50" s="57" t="str">
        <f t="shared" si="84"/>
        <v/>
      </c>
      <c r="N50" s="2" t="str">
        <f t="shared" si="84"/>
        <v/>
      </c>
      <c r="O50" s="2">
        <f t="shared" si="84"/>
        <v>0.14285714285714285</v>
      </c>
      <c r="P50" s="2" t="str">
        <f t="shared" si="84"/>
        <v/>
      </c>
      <c r="Q50" s="2" t="str">
        <f t="shared" si="84"/>
        <v/>
      </c>
      <c r="R50" s="2" t="str">
        <f t="shared" si="84"/>
        <v/>
      </c>
      <c r="S50" s="2" t="str">
        <f t="shared" si="84"/>
        <v/>
      </c>
      <c r="T50" s="2">
        <f t="shared" si="84"/>
        <v>0.44444444444444442</v>
      </c>
      <c r="U50" s="2" t="str">
        <f t="shared" si="84"/>
        <v/>
      </c>
      <c r="V50" s="2">
        <f t="shared" si="84"/>
        <v>0.13333333333333333</v>
      </c>
      <c r="W50" s="2" t="str">
        <f t="shared" si="84"/>
        <v/>
      </c>
      <c r="X50" s="2" t="str">
        <f t="shared" si="84"/>
        <v/>
      </c>
      <c r="Y50" s="2" t="str">
        <f t="shared" si="84"/>
        <v/>
      </c>
      <c r="Z50" s="2">
        <f t="shared" si="84"/>
        <v>0.22222222222222221</v>
      </c>
      <c r="AA50" s="2" t="str">
        <f t="shared" si="84"/>
        <v/>
      </c>
      <c r="AB50" s="2" t="str">
        <f t="shared" si="84"/>
        <v/>
      </c>
      <c r="AC50" s="2" t="str">
        <f t="shared" si="84"/>
        <v/>
      </c>
      <c r="AD50" s="2" t="str">
        <f t="shared" si="84"/>
        <v/>
      </c>
      <c r="AE50" s="2" t="str">
        <f t="shared" si="84"/>
        <v/>
      </c>
      <c r="AF50" s="2" t="str">
        <f t="shared" si="84"/>
        <v/>
      </c>
      <c r="AG50" s="2" t="str">
        <f t="shared" si="84"/>
        <v/>
      </c>
      <c r="AH50" s="2" t="str">
        <f t="shared" si="84"/>
        <v/>
      </c>
      <c r="AI50" s="2" t="str">
        <f t="shared" si="84"/>
        <v/>
      </c>
      <c r="AJ50" s="2" t="str">
        <f t="shared" si="84"/>
        <v/>
      </c>
      <c r="AK50" s="2" t="str">
        <f t="shared" si="84"/>
        <v/>
      </c>
      <c r="AL50" s="2" t="str">
        <f t="shared" si="84"/>
        <v/>
      </c>
      <c r="AM50" s="2" t="str">
        <f t="shared" si="84"/>
        <v/>
      </c>
      <c r="AN50" s="2" t="str">
        <f t="shared" si="84"/>
        <v/>
      </c>
      <c r="AO50" s="2" t="str">
        <f t="shared" ref="AO50:AS50" si="85">IF(AO49="","",IF(AO49=0,"",AO49/(AO46*100)))</f>
        <v/>
      </c>
      <c r="AP50" s="2" t="str">
        <f t="shared" si="85"/>
        <v/>
      </c>
      <c r="AQ50" s="2" t="str">
        <f t="shared" si="85"/>
        <v/>
      </c>
      <c r="AR50" s="2" t="str">
        <f t="shared" si="85"/>
        <v/>
      </c>
      <c r="AS50" s="2" t="str">
        <f t="shared" si="85"/>
        <v/>
      </c>
    </row>
    <row r="51" spans="1:45" s="93" customFormat="1" ht="11">
      <c r="A51" s="22" t="s">
        <v>101</v>
      </c>
      <c r="B51" s="21" t="s">
        <v>2</v>
      </c>
      <c r="C51" s="73">
        <v>14308</v>
      </c>
      <c r="D51" s="20">
        <f>IF(D$3="","",C51)</f>
        <v>14308</v>
      </c>
      <c r="E51" s="20">
        <v>14327</v>
      </c>
      <c r="F51" s="130">
        <f>IF(F$3="","",E51)</f>
        <v>14327</v>
      </c>
      <c r="G51" s="20">
        <f>IF(G$3="","",F51)</f>
        <v>14327</v>
      </c>
      <c r="H51" s="20">
        <v>14361</v>
      </c>
      <c r="I51" s="130">
        <f t="shared" ref="I51:K52" si="86">IF(I$3="","",H51)</f>
        <v>14361</v>
      </c>
      <c r="J51" s="20">
        <f t="shared" si="86"/>
        <v>14361</v>
      </c>
      <c r="K51" s="20">
        <f t="shared" si="86"/>
        <v>14361</v>
      </c>
      <c r="L51" s="20">
        <v>14380</v>
      </c>
      <c r="M51" s="130">
        <f>IF(M$3="","",L51)</f>
        <v>14380</v>
      </c>
      <c r="N51" s="20">
        <f>IF(N$3="","",M51)</f>
        <v>14380</v>
      </c>
      <c r="O51" s="20">
        <v>14404</v>
      </c>
      <c r="P51" s="20">
        <f t="shared" ref="P51:AN51" si="87">IF(P$3="","",O51)</f>
        <v>14404</v>
      </c>
      <c r="Q51" s="20">
        <f t="shared" si="87"/>
        <v>14404</v>
      </c>
      <c r="R51" s="20">
        <f t="shared" si="87"/>
        <v>14404</v>
      </c>
      <c r="S51" s="20">
        <f t="shared" si="87"/>
        <v>14404</v>
      </c>
      <c r="T51" s="20">
        <v>14420</v>
      </c>
      <c r="U51" s="20">
        <f t="shared" si="87"/>
        <v>14420</v>
      </c>
      <c r="V51" s="20">
        <v>14446</v>
      </c>
      <c r="W51" s="20">
        <f t="shared" si="87"/>
        <v>14446</v>
      </c>
      <c r="X51" s="20">
        <f t="shared" si="87"/>
        <v>14446</v>
      </c>
      <c r="Y51" s="20">
        <f t="shared" si="87"/>
        <v>14446</v>
      </c>
      <c r="Z51" s="20">
        <v>14496</v>
      </c>
      <c r="AA51" s="20">
        <f t="shared" si="87"/>
        <v>14496</v>
      </c>
      <c r="AB51" s="20">
        <f t="shared" si="87"/>
        <v>14496</v>
      </c>
      <c r="AC51" s="20">
        <v>14521</v>
      </c>
      <c r="AD51" s="20" t="str">
        <f t="shared" si="87"/>
        <v/>
      </c>
      <c r="AE51" s="20" t="str">
        <f t="shared" si="87"/>
        <v/>
      </c>
      <c r="AF51" s="20" t="str">
        <f t="shared" si="87"/>
        <v/>
      </c>
      <c r="AG51" s="20" t="str">
        <f t="shared" si="87"/>
        <v/>
      </c>
      <c r="AH51" s="20" t="str">
        <f t="shared" si="87"/>
        <v/>
      </c>
      <c r="AI51" s="20" t="str">
        <f t="shared" si="87"/>
        <v/>
      </c>
      <c r="AJ51" s="20" t="str">
        <f t="shared" si="87"/>
        <v/>
      </c>
      <c r="AK51" s="20" t="str">
        <f t="shared" si="87"/>
        <v/>
      </c>
      <c r="AL51" s="20" t="str">
        <f t="shared" si="87"/>
        <v/>
      </c>
      <c r="AM51" s="20" t="str">
        <f t="shared" si="87"/>
        <v/>
      </c>
      <c r="AN51" s="20" t="str">
        <f t="shared" si="87"/>
        <v/>
      </c>
      <c r="AO51" s="20" t="str">
        <f t="shared" ref="AO51:AS51" si="88">IF(AO$3="","",AN51)</f>
        <v/>
      </c>
      <c r="AP51" s="20" t="str">
        <f t="shared" si="88"/>
        <v/>
      </c>
      <c r="AQ51" s="20" t="str">
        <f t="shared" si="88"/>
        <v/>
      </c>
      <c r="AR51" s="20" t="str">
        <f t="shared" si="88"/>
        <v/>
      </c>
      <c r="AS51" s="20" t="str">
        <f t="shared" si="88"/>
        <v/>
      </c>
    </row>
    <row r="52" spans="1:45" s="93" customFormat="1" ht="11">
      <c r="A52" s="16" t="s">
        <v>28</v>
      </c>
      <c r="B52" s="9" t="s">
        <v>4</v>
      </c>
      <c r="C52" s="74">
        <v>318</v>
      </c>
      <c r="D52" s="8">
        <f>IF(D$3="","",C52)</f>
        <v>318</v>
      </c>
      <c r="E52" s="8">
        <f>IF(E$3="","",D52)</f>
        <v>318</v>
      </c>
      <c r="F52" s="59">
        <f>IF(F$3="","",E52)</f>
        <v>318</v>
      </c>
      <c r="G52" s="8">
        <f>IF(G$3="","",F52)</f>
        <v>318</v>
      </c>
      <c r="H52" s="8">
        <v>319</v>
      </c>
      <c r="I52" s="59">
        <f t="shared" si="86"/>
        <v>319</v>
      </c>
      <c r="J52" s="8">
        <f t="shared" si="86"/>
        <v>319</v>
      </c>
      <c r="K52" s="8">
        <f t="shared" si="86"/>
        <v>319</v>
      </c>
      <c r="L52" s="8">
        <f>IF(L$3="","",K52)</f>
        <v>319</v>
      </c>
      <c r="M52" s="59">
        <f>IF(M$3="","",L52)</f>
        <v>319</v>
      </c>
      <c r="N52" s="8">
        <f>IF(N$3="","",M52)</f>
        <v>319</v>
      </c>
      <c r="O52" s="8">
        <v>320</v>
      </c>
      <c r="P52" s="8">
        <f t="shared" ref="P52:AN52" si="89">IF(P$3="","",O52)</f>
        <v>320</v>
      </c>
      <c r="Q52" s="8">
        <f t="shared" si="89"/>
        <v>320</v>
      </c>
      <c r="R52" s="8">
        <f t="shared" si="89"/>
        <v>320</v>
      </c>
      <c r="S52" s="8">
        <f t="shared" si="89"/>
        <v>320</v>
      </c>
      <c r="T52" s="8">
        <f t="shared" si="89"/>
        <v>320</v>
      </c>
      <c r="U52" s="8">
        <f t="shared" si="89"/>
        <v>320</v>
      </c>
      <c r="V52" s="8">
        <f t="shared" si="89"/>
        <v>320</v>
      </c>
      <c r="W52" s="8">
        <f t="shared" si="89"/>
        <v>320</v>
      </c>
      <c r="X52" s="8">
        <f t="shared" si="89"/>
        <v>320</v>
      </c>
      <c r="Y52" s="8">
        <f t="shared" si="89"/>
        <v>320</v>
      </c>
      <c r="Z52" s="8">
        <v>321</v>
      </c>
      <c r="AA52" s="8">
        <f t="shared" si="89"/>
        <v>321</v>
      </c>
      <c r="AB52" s="8">
        <f t="shared" si="89"/>
        <v>321</v>
      </c>
      <c r="AC52" s="8">
        <v>322</v>
      </c>
      <c r="AD52" s="8" t="str">
        <f t="shared" si="89"/>
        <v/>
      </c>
      <c r="AE52" s="8" t="str">
        <f t="shared" si="89"/>
        <v/>
      </c>
      <c r="AF52" s="8" t="str">
        <f t="shared" si="89"/>
        <v/>
      </c>
      <c r="AG52" s="8" t="str">
        <f t="shared" si="89"/>
        <v/>
      </c>
      <c r="AH52" s="8" t="str">
        <f t="shared" si="89"/>
        <v/>
      </c>
      <c r="AI52" s="8" t="str">
        <f t="shared" si="89"/>
        <v/>
      </c>
      <c r="AJ52" s="8" t="str">
        <f t="shared" si="89"/>
        <v/>
      </c>
      <c r="AK52" s="8" t="str">
        <f t="shared" si="89"/>
        <v/>
      </c>
      <c r="AL52" s="8" t="str">
        <f t="shared" si="89"/>
        <v/>
      </c>
      <c r="AM52" s="8" t="str">
        <f t="shared" si="89"/>
        <v/>
      </c>
      <c r="AN52" s="8" t="str">
        <f t="shared" si="89"/>
        <v/>
      </c>
      <c r="AO52" s="8" t="str">
        <f t="shared" ref="AO52:AS52" si="90">IF(AO$3="","",AN52)</f>
        <v/>
      </c>
      <c r="AP52" s="8" t="str">
        <f t="shared" si="90"/>
        <v/>
      </c>
      <c r="AQ52" s="8" t="str">
        <f t="shared" si="90"/>
        <v/>
      </c>
      <c r="AR52" s="8" t="str">
        <f t="shared" si="90"/>
        <v/>
      </c>
      <c r="AS52" s="8" t="str">
        <f t="shared" si="90"/>
        <v/>
      </c>
    </row>
    <row r="53" spans="1:45" s="93" customFormat="1" ht="11">
      <c r="A53" s="15">
        <v>1</v>
      </c>
      <c r="B53" s="9" t="s">
        <v>5</v>
      </c>
      <c r="C53" s="74">
        <v>4</v>
      </c>
      <c r="D53" s="8">
        <f>IF(D51="","",(C53+C54))</f>
        <v>4</v>
      </c>
      <c r="E53" s="8">
        <f>IF(E51="","",(D53+D54))</f>
        <v>4</v>
      </c>
      <c r="F53" s="59">
        <f>IF(F51="","",(E53+E54))</f>
        <v>4</v>
      </c>
      <c r="G53" s="8">
        <f>IF(G51="","",(F53+F54))</f>
        <v>4</v>
      </c>
      <c r="H53" s="8">
        <v>3</v>
      </c>
      <c r="I53" s="59">
        <f t="shared" ref="I53:N53" si="91">IF(I51="","",(H53+H54))</f>
        <v>4</v>
      </c>
      <c r="J53" s="8">
        <f t="shared" si="91"/>
        <v>4</v>
      </c>
      <c r="K53" s="8">
        <f t="shared" si="91"/>
        <v>4</v>
      </c>
      <c r="L53" s="8">
        <f t="shared" si="91"/>
        <v>4</v>
      </c>
      <c r="M53" s="59">
        <f t="shared" si="91"/>
        <v>4</v>
      </c>
      <c r="N53" s="8">
        <f t="shared" si="91"/>
        <v>4</v>
      </c>
      <c r="O53" s="8">
        <v>3</v>
      </c>
      <c r="P53" s="8">
        <f t="shared" ref="P53:AN53" si="92">IF(P51="","",(O53+O54))</f>
        <v>3</v>
      </c>
      <c r="Q53" s="8">
        <f t="shared" si="92"/>
        <v>3</v>
      </c>
      <c r="R53" s="8">
        <f t="shared" si="92"/>
        <v>3</v>
      </c>
      <c r="S53" s="8">
        <f t="shared" si="92"/>
        <v>3</v>
      </c>
      <c r="T53" s="8">
        <f t="shared" si="92"/>
        <v>3</v>
      </c>
      <c r="U53" s="8">
        <f t="shared" si="92"/>
        <v>3</v>
      </c>
      <c r="V53" s="8">
        <f t="shared" si="92"/>
        <v>3</v>
      </c>
      <c r="W53" s="8">
        <f t="shared" si="92"/>
        <v>3</v>
      </c>
      <c r="X53" s="8">
        <f t="shared" si="92"/>
        <v>3</v>
      </c>
      <c r="Y53" s="8">
        <f t="shared" si="92"/>
        <v>3</v>
      </c>
      <c r="Z53" s="8">
        <v>2</v>
      </c>
      <c r="AA53" s="8">
        <f t="shared" si="92"/>
        <v>7</v>
      </c>
      <c r="AB53" s="8">
        <f t="shared" si="92"/>
        <v>7</v>
      </c>
      <c r="AC53" s="8">
        <f t="shared" si="92"/>
        <v>7</v>
      </c>
      <c r="AD53" s="8" t="str">
        <f t="shared" si="92"/>
        <v/>
      </c>
      <c r="AE53" s="8" t="str">
        <f t="shared" si="92"/>
        <v/>
      </c>
      <c r="AF53" s="8" t="str">
        <f t="shared" si="92"/>
        <v/>
      </c>
      <c r="AG53" s="8" t="str">
        <f t="shared" si="92"/>
        <v/>
      </c>
      <c r="AH53" s="8" t="str">
        <f t="shared" si="92"/>
        <v/>
      </c>
      <c r="AI53" s="8" t="str">
        <f t="shared" si="92"/>
        <v/>
      </c>
      <c r="AJ53" s="8" t="str">
        <f t="shared" si="92"/>
        <v/>
      </c>
      <c r="AK53" s="8" t="str">
        <f t="shared" si="92"/>
        <v/>
      </c>
      <c r="AL53" s="8" t="str">
        <f t="shared" si="92"/>
        <v/>
      </c>
      <c r="AM53" s="8" t="str">
        <f t="shared" si="92"/>
        <v/>
      </c>
      <c r="AN53" s="8" t="str">
        <f t="shared" si="92"/>
        <v/>
      </c>
      <c r="AO53" s="8" t="str">
        <f t="shared" ref="AO53:AS53" si="93">IF(AO51="","",(AN53+AN54))</f>
        <v/>
      </c>
      <c r="AP53" s="8" t="str">
        <f t="shared" si="93"/>
        <v/>
      </c>
      <c r="AQ53" s="8" t="str">
        <f t="shared" si="93"/>
        <v/>
      </c>
      <c r="AR53" s="8" t="str">
        <f t="shared" si="93"/>
        <v/>
      </c>
      <c r="AS53" s="8" t="str">
        <f t="shared" si="93"/>
        <v/>
      </c>
    </row>
    <row r="54" spans="1:45" s="93" customFormat="1" ht="11">
      <c r="A54" s="101" t="s">
        <v>6</v>
      </c>
      <c r="B54" s="9" t="s">
        <v>7</v>
      </c>
      <c r="C54" s="74"/>
      <c r="D54" s="8"/>
      <c r="E54" s="8"/>
      <c r="F54" s="59"/>
      <c r="G54" s="8"/>
      <c r="H54" s="8">
        <v>1</v>
      </c>
      <c r="I54" s="59"/>
      <c r="J54" s="8"/>
      <c r="K54" s="8"/>
      <c r="L54" s="8"/>
      <c r="M54" s="5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>
        <v>5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s="93" customFormat="1" ht="11">
      <c r="A55" s="102">
        <f>+(A58+A70+A82+A94)*100</f>
        <v>109400</v>
      </c>
      <c r="B55" s="9" t="s">
        <v>8</v>
      </c>
      <c r="C55" s="74">
        <v>700</v>
      </c>
      <c r="D55" s="8">
        <f t="shared" ref="D55:AN55" si="94">IF(D51="","",C55)</f>
        <v>700</v>
      </c>
      <c r="E55" s="8">
        <f t="shared" si="94"/>
        <v>700</v>
      </c>
      <c r="F55" s="59">
        <f t="shared" si="94"/>
        <v>700</v>
      </c>
      <c r="G55" s="8">
        <f t="shared" si="94"/>
        <v>700</v>
      </c>
      <c r="H55" s="8">
        <f t="shared" si="94"/>
        <v>700</v>
      </c>
      <c r="I55" s="59">
        <f t="shared" si="94"/>
        <v>700</v>
      </c>
      <c r="J55" s="8">
        <f t="shared" si="94"/>
        <v>700</v>
      </c>
      <c r="K55" s="8">
        <f t="shared" si="94"/>
        <v>700</v>
      </c>
      <c r="L55" s="8">
        <f t="shared" si="94"/>
        <v>700</v>
      </c>
      <c r="M55" s="59">
        <f t="shared" si="94"/>
        <v>700</v>
      </c>
      <c r="N55" s="8">
        <f t="shared" si="94"/>
        <v>700</v>
      </c>
      <c r="O55" s="8">
        <f t="shared" si="94"/>
        <v>700</v>
      </c>
      <c r="P55" s="8">
        <f t="shared" si="94"/>
        <v>700</v>
      </c>
      <c r="Q55" s="8">
        <f t="shared" si="94"/>
        <v>700</v>
      </c>
      <c r="R55" s="8">
        <f t="shared" si="94"/>
        <v>700</v>
      </c>
      <c r="S55" s="8">
        <f t="shared" si="94"/>
        <v>700</v>
      </c>
      <c r="T55" s="8">
        <f t="shared" si="94"/>
        <v>700</v>
      </c>
      <c r="U55" s="8">
        <f t="shared" si="94"/>
        <v>700</v>
      </c>
      <c r="V55" s="8">
        <f t="shared" si="94"/>
        <v>700</v>
      </c>
      <c r="W55" s="8">
        <f t="shared" si="94"/>
        <v>700</v>
      </c>
      <c r="X55" s="8">
        <f t="shared" si="94"/>
        <v>700</v>
      </c>
      <c r="Y55" s="8">
        <f t="shared" si="94"/>
        <v>700</v>
      </c>
      <c r="Z55" s="8">
        <f t="shared" si="94"/>
        <v>700</v>
      </c>
      <c r="AA55" s="8">
        <f t="shared" si="94"/>
        <v>700</v>
      </c>
      <c r="AB55" s="8">
        <f t="shared" si="94"/>
        <v>700</v>
      </c>
      <c r="AC55" s="8">
        <f t="shared" si="94"/>
        <v>700</v>
      </c>
      <c r="AD55" s="8" t="str">
        <f t="shared" si="94"/>
        <v/>
      </c>
      <c r="AE55" s="8" t="str">
        <f t="shared" si="94"/>
        <v/>
      </c>
      <c r="AF55" s="8" t="str">
        <f t="shared" si="94"/>
        <v/>
      </c>
      <c r="AG55" s="8" t="str">
        <f t="shared" si="94"/>
        <v/>
      </c>
      <c r="AH55" s="8" t="str">
        <f t="shared" si="94"/>
        <v/>
      </c>
      <c r="AI55" s="8" t="str">
        <f t="shared" si="94"/>
        <v/>
      </c>
      <c r="AJ55" s="8" t="str">
        <f t="shared" si="94"/>
        <v/>
      </c>
      <c r="AK55" s="8" t="str">
        <f t="shared" si="94"/>
        <v/>
      </c>
      <c r="AL55" s="8" t="str">
        <f t="shared" si="94"/>
        <v/>
      </c>
      <c r="AM55" s="8" t="str">
        <f t="shared" si="94"/>
        <v/>
      </c>
      <c r="AN55" s="8" t="str">
        <f t="shared" si="94"/>
        <v/>
      </c>
      <c r="AO55" s="8" t="str">
        <f t="shared" ref="AO55:AS55" si="95">IF(AO51="","",AN55)</f>
        <v/>
      </c>
      <c r="AP55" s="8" t="str">
        <f t="shared" si="95"/>
        <v/>
      </c>
      <c r="AQ55" s="8" t="str">
        <f t="shared" si="95"/>
        <v/>
      </c>
      <c r="AR55" s="8" t="str">
        <f t="shared" si="95"/>
        <v/>
      </c>
      <c r="AS55" s="8" t="str">
        <f t="shared" si="95"/>
        <v/>
      </c>
    </row>
    <row r="56" spans="1:45" s="94" customFormat="1" ht="11">
      <c r="A56" s="14" t="s">
        <v>9</v>
      </c>
      <c r="B56" s="13" t="s">
        <v>10</v>
      </c>
      <c r="C56" s="75" t="s">
        <v>102</v>
      </c>
      <c r="D56" s="12" t="str">
        <f t="shared" ref="D56:AN56" si="96">IF(D51="","",C56)</f>
        <v>モンチッチMC</v>
      </c>
      <c r="E56" s="12" t="str">
        <f t="shared" si="96"/>
        <v>モンチッチMC</v>
      </c>
      <c r="F56" s="131" t="str">
        <f t="shared" si="96"/>
        <v>モンチッチMC</v>
      </c>
      <c r="G56" s="12" t="str">
        <f t="shared" si="96"/>
        <v>モンチッチMC</v>
      </c>
      <c r="H56" s="12" t="str">
        <f t="shared" si="96"/>
        <v>モンチッチMC</v>
      </c>
      <c r="I56" s="131" t="str">
        <f t="shared" si="96"/>
        <v>モンチッチMC</v>
      </c>
      <c r="J56" s="12" t="str">
        <f t="shared" si="96"/>
        <v>モンチッチMC</v>
      </c>
      <c r="K56" s="12" t="str">
        <f t="shared" si="96"/>
        <v>モンチッチMC</v>
      </c>
      <c r="L56" s="12" t="str">
        <f t="shared" si="96"/>
        <v>モンチッチMC</v>
      </c>
      <c r="M56" s="131" t="str">
        <f t="shared" si="96"/>
        <v>モンチッチMC</v>
      </c>
      <c r="N56" s="12" t="str">
        <f t="shared" si="96"/>
        <v>モンチッチMC</v>
      </c>
      <c r="O56" s="12" t="str">
        <f t="shared" si="96"/>
        <v>モンチッチMC</v>
      </c>
      <c r="P56" s="12" t="str">
        <f t="shared" si="96"/>
        <v>モンチッチMC</v>
      </c>
      <c r="Q56" s="12" t="str">
        <f t="shared" si="96"/>
        <v>モンチッチMC</v>
      </c>
      <c r="R56" s="12" t="str">
        <f t="shared" si="96"/>
        <v>モンチッチMC</v>
      </c>
      <c r="S56" s="12" t="str">
        <f t="shared" si="96"/>
        <v>モンチッチMC</v>
      </c>
      <c r="T56" s="12" t="str">
        <f t="shared" si="96"/>
        <v>モンチッチMC</v>
      </c>
      <c r="U56" s="12" t="str">
        <f t="shared" si="96"/>
        <v>モンチッチMC</v>
      </c>
      <c r="V56" s="12" t="str">
        <f t="shared" si="96"/>
        <v>モンチッチMC</v>
      </c>
      <c r="W56" s="12" t="str">
        <f t="shared" si="96"/>
        <v>モンチッチMC</v>
      </c>
      <c r="X56" s="12" t="str">
        <f t="shared" si="96"/>
        <v>モンチッチMC</v>
      </c>
      <c r="Y56" s="12" t="str">
        <f t="shared" si="96"/>
        <v>モンチッチMC</v>
      </c>
      <c r="Z56" s="12" t="s">
        <v>48</v>
      </c>
      <c r="AA56" s="12" t="str">
        <f t="shared" si="96"/>
        <v>アンパンマンマスコット</v>
      </c>
      <c r="AB56" s="12" t="str">
        <f t="shared" si="96"/>
        <v>アンパンマンマスコット</v>
      </c>
      <c r="AC56" s="12" t="str">
        <f t="shared" si="96"/>
        <v>アンパンマンマスコット</v>
      </c>
      <c r="AD56" s="12" t="str">
        <f t="shared" si="96"/>
        <v/>
      </c>
      <c r="AE56" s="12" t="str">
        <f t="shared" si="96"/>
        <v/>
      </c>
      <c r="AF56" s="12" t="str">
        <f t="shared" si="96"/>
        <v/>
      </c>
      <c r="AG56" s="12" t="str">
        <f t="shared" si="96"/>
        <v/>
      </c>
      <c r="AH56" s="12" t="str">
        <f t="shared" si="96"/>
        <v/>
      </c>
      <c r="AI56" s="12" t="str">
        <f t="shared" si="96"/>
        <v/>
      </c>
      <c r="AJ56" s="12" t="str">
        <f t="shared" si="96"/>
        <v/>
      </c>
      <c r="AK56" s="12" t="str">
        <f t="shared" si="96"/>
        <v/>
      </c>
      <c r="AL56" s="12" t="str">
        <f t="shared" si="96"/>
        <v/>
      </c>
      <c r="AM56" s="12" t="str">
        <f t="shared" si="96"/>
        <v/>
      </c>
      <c r="AN56" s="12" t="str">
        <f t="shared" si="96"/>
        <v/>
      </c>
      <c r="AO56" s="12" t="str">
        <f t="shared" ref="AO56:AS56" si="97">IF(AO51="","",AN56)</f>
        <v/>
      </c>
      <c r="AP56" s="12" t="str">
        <f t="shared" si="97"/>
        <v/>
      </c>
      <c r="AQ56" s="12" t="str">
        <f t="shared" si="97"/>
        <v/>
      </c>
      <c r="AR56" s="12" t="str">
        <f t="shared" si="97"/>
        <v/>
      </c>
      <c r="AS56" s="12" t="str">
        <f t="shared" si="97"/>
        <v/>
      </c>
    </row>
    <row r="57" spans="1:45" s="93" customFormat="1" ht="11">
      <c r="A57" s="7">
        <f>AVERAGE(C58:AS58)*30*100</f>
        <v>23666.666666666668</v>
      </c>
      <c r="B57" s="9" t="s">
        <v>14</v>
      </c>
      <c r="C57" s="74"/>
      <c r="D57" s="8"/>
      <c r="E57" s="8"/>
      <c r="F57" s="59"/>
      <c r="G57" s="8"/>
      <c r="H57" s="8"/>
      <c r="I57" s="59"/>
      <c r="J57" s="8"/>
      <c r="K57" s="8"/>
      <c r="L57" s="8"/>
      <c r="M57" s="59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s="93" customFormat="1" ht="11">
      <c r="A58" s="7">
        <f>SUM(C58:AS58)</f>
        <v>213</v>
      </c>
      <c r="B58" s="6" t="s">
        <v>15</v>
      </c>
      <c r="C58" s="74">
        <v>0</v>
      </c>
      <c r="D58" s="5">
        <f t="shared" ref="D58:AN58" si="98">IF(D51="","",D51-C51)</f>
        <v>0</v>
      </c>
      <c r="E58" s="5">
        <f t="shared" si="98"/>
        <v>19</v>
      </c>
      <c r="F58" s="59">
        <f t="shared" si="98"/>
        <v>0</v>
      </c>
      <c r="G58" s="5">
        <f t="shared" si="98"/>
        <v>0</v>
      </c>
      <c r="H58" s="5">
        <f t="shared" si="98"/>
        <v>34</v>
      </c>
      <c r="I58" s="59">
        <f t="shared" si="98"/>
        <v>0</v>
      </c>
      <c r="J58" s="5">
        <f t="shared" si="98"/>
        <v>0</v>
      </c>
      <c r="K58" s="5">
        <f t="shared" si="98"/>
        <v>0</v>
      </c>
      <c r="L58" s="5">
        <f t="shared" si="98"/>
        <v>19</v>
      </c>
      <c r="M58" s="59">
        <f t="shared" si="98"/>
        <v>0</v>
      </c>
      <c r="N58" s="5">
        <f t="shared" si="98"/>
        <v>0</v>
      </c>
      <c r="O58" s="5">
        <f t="shared" si="98"/>
        <v>24</v>
      </c>
      <c r="P58" s="5">
        <f t="shared" si="98"/>
        <v>0</v>
      </c>
      <c r="Q58" s="5">
        <f t="shared" si="98"/>
        <v>0</v>
      </c>
      <c r="R58" s="5">
        <f t="shared" si="98"/>
        <v>0</v>
      </c>
      <c r="S58" s="5">
        <f t="shared" si="98"/>
        <v>0</v>
      </c>
      <c r="T58" s="5">
        <f t="shared" si="98"/>
        <v>16</v>
      </c>
      <c r="U58" s="5">
        <f t="shared" si="98"/>
        <v>0</v>
      </c>
      <c r="V58" s="5">
        <f t="shared" si="98"/>
        <v>26</v>
      </c>
      <c r="W58" s="5">
        <f t="shared" si="98"/>
        <v>0</v>
      </c>
      <c r="X58" s="5">
        <f t="shared" si="98"/>
        <v>0</v>
      </c>
      <c r="Y58" s="5">
        <f t="shared" si="98"/>
        <v>0</v>
      </c>
      <c r="Z58" s="5">
        <f t="shared" si="98"/>
        <v>50</v>
      </c>
      <c r="AA58" s="5">
        <f t="shared" si="98"/>
        <v>0</v>
      </c>
      <c r="AB58" s="5">
        <f t="shared" si="98"/>
        <v>0</v>
      </c>
      <c r="AC58" s="5">
        <f t="shared" si="98"/>
        <v>25</v>
      </c>
      <c r="AD58" s="5" t="str">
        <f t="shared" si="98"/>
        <v/>
      </c>
      <c r="AE58" s="5" t="str">
        <f t="shared" si="98"/>
        <v/>
      </c>
      <c r="AF58" s="5" t="str">
        <f t="shared" si="98"/>
        <v/>
      </c>
      <c r="AG58" s="5" t="str">
        <f t="shared" si="98"/>
        <v/>
      </c>
      <c r="AH58" s="5" t="str">
        <f t="shared" si="98"/>
        <v/>
      </c>
      <c r="AI58" s="5" t="str">
        <f t="shared" si="98"/>
        <v/>
      </c>
      <c r="AJ58" s="5" t="str">
        <f t="shared" si="98"/>
        <v/>
      </c>
      <c r="AK58" s="5" t="str">
        <f t="shared" si="98"/>
        <v/>
      </c>
      <c r="AL58" s="5" t="str">
        <f t="shared" si="98"/>
        <v/>
      </c>
      <c r="AM58" s="5" t="str">
        <f t="shared" si="98"/>
        <v/>
      </c>
      <c r="AN58" s="5" t="str">
        <f t="shared" si="98"/>
        <v/>
      </c>
      <c r="AO58" s="5" t="str">
        <f t="shared" ref="AO58:AS58" si="99">IF(AO51="","",AO51-AN51)</f>
        <v/>
      </c>
      <c r="AP58" s="5" t="str">
        <f t="shared" si="99"/>
        <v/>
      </c>
      <c r="AQ58" s="5" t="str">
        <f t="shared" si="99"/>
        <v/>
      </c>
      <c r="AR58" s="5" t="str">
        <f t="shared" si="99"/>
        <v/>
      </c>
      <c r="AS58" s="5" t="str">
        <f t="shared" si="99"/>
        <v/>
      </c>
    </row>
    <row r="59" spans="1:45" s="93" customFormat="1" ht="11">
      <c r="A59" s="7">
        <f>SUM(C59:AS59)</f>
        <v>4</v>
      </c>
      <c r="B59" s="6" t="s">
        <v>16</v>
      </c>
      <c r="C59" s="74">
        <v>0</v>
      </c>
      <c r="D59" s="5">
        <f t="shared" ref="D59:AN59" si="100">IF(D52="","",D52-C52)</f>
        <v>0</v>
      </c>
      <c r="E59" s="5">
        <f t="shared" si="100"/>
        <v>0</v>
      </c>
      <c r="F59" s="59">
        <f t="shared" si="100"/>
        <v>0</v>
      </c>
      <c r="G59" s="5">
        <f t="shared" si="100"/>
        <v>0</v>
      </c>
      <c r="H59" s="5">
        <f t="shared" si="100"/>
        <v>1</v>
      </c>
      <c r="I59" s="59">
        <f t="shared" si="100"/>
        <v>0</v>
      </c>
      <c r="J59" s="5">
        <f t="shared" si="100"/>
        <v>0</v>
      </c>
      <c r="K59" s="5">
        <f t="shared" si="100"/>
        <v>0</v>
      </c>
      <c r="L59" s="5">
        <f t="shared" si="100"/>
        <v>0</v>
      </c>
      <c r="M59" s="59">
        <f t="shared" si="100"/>
        <v>0</v>
      </c>
      <c r="N59" s="5">
        <f t="shared" si="100"/>
        <v>0</v>
      </c>
      <c r="O59" s="5">
        <f t="shared" si="100"/>
        <v>1</v>
      </c>
      <c r="P59" s="5">
        <f t="shared" si="100"/>
        <v>0</v>
      </c>
      <c r="Q59" s="5">
        <f t="shared" si="100"/>
        <v>0</v>
      </c>
      <c r="R59" s="5">
        <f t="shared" si="100"/>
        <v>0</v>
      </c>
      <c r="S59" s="5">
        <f t="shared" si="100"/>
        <v>0</v>
      </c>
      <c r="T59" s="5">
        <f t="shared" si="100"/>
        <v>0</v>
      </c>
      <c r="U59" s="5">
        <f t="shared" si="100"/>
        <v>0</v>
      </c>
      <c r="V59" s="5">
        <f t="shared" si="100"/>
        <v>0</v>
      </c>
      <c r="W59" s="5">
        <f t="shared" si="100"/>
        <v>0</v>
      </c>
      <c r="X59" s="5">
        <f t="shared" si="100"/>
        <v>0</v>
      </c>
      <c r="Y59" s="5">
        <f t="shared" si="100"/>
        <v>0</v>
      </c>
      <c r="Z59" s="5">
        <f t="shared" si="100"/>
        <v>1</v>
      </c>
      <c r="AA59" s="5">
        <f t="shared" si="100"/>
        <v>0</v>
      </c>
      <c r="AB59" s="5">
        <f t="shared" si="100"/>
        <v>0</v>
      </c>
      <c r="AC59" s="5">
        <f t="shared" si="100"/>
        <v>1</v>
      </c>
      <c r="AD59" s="5" t="str">
        <f t="shared" si="100"/>
        <v/>
      </c>
      <c r="AE59" s="5" t="str">
        <f t="shared" si="100"/>
        <v/>
      </c>
      <c r="AF59" s="5" t="str">
        <f t="shared" si="100"/>
        <v/>
      </c>
      <c r="AG59" s="5" t="str">
        <f t="shared" si="100"/>
        <v/>
      </c>
      <c r="AH59" s="5" t="str">
        <f t="shared" si="100"/>
        <v/>
      </c>
      <c r="AI59" s="5" t="str">
        <f t="shared" si="100"/>
        <v/>
      </c>
      <c r="AJ59" s="5" t="str">
        <f t="shared" si="100"/>
        <v/>
      </c>
      <c r="AK59" s="5" t="str">
        <f t="shared" si="100"/>
        <v/>
      </c>
      <c r="AL59" s="5" t="str">
        <f t="shared" si="100"/>
        <v/>
      </c>
      <c r="AM59" s="5" t="str">
        <f t="shared" si="100"/>
        <v/>
      </c>
      <c r="AN59" s="5" t="str">
        <f t="shared" si="100"/>
        <v/>
      </c>
      <c r="AO59" s="5" t="str">
        <f t="shared" ref="AO59:AS59" si="101">IF(AO52="","",AO52-AN52)</f>
        <v/>
      </c>
      <c r="AP59" s="5" t="str">
        <f t="shared" si="101"/>
        <v/>
      </c>
      <c r="AQ59" s="5" t="str">
        <f t="shared" si="101"/>
        <v/>
      </c>
      <c r="AR59" s="5" t="str">
        <f t="shared" si="101"/>
        <v/>
      </c>
      <c r="AS59" s="5" t="str">
        <f t="shared" si="101"/>
        <v/>
      </c>
    </row>
    <row r="60" spans="1:45" s="93" customFormat="1" ht="11">
      <c r="A60" s="7">
        <f>SUM(C60:AS60)</f>
        <v>3</v>
      </c>
      <c r="B60" s="6" t="s">
        <v>17</v>
      </c>
      <c r="C60" s="74">
        <v>0</v>
      </c>
      <c r="D60" s="5">
        <f t="shared" ref="D60:AN60" si="102">IF(D53="","",C53+C54-D53)</f>
        <v>0</v>
      </c>
      <c r="E60" s="5">
        <f t="shared" si="102"/>
        <v>0</v>
      </c>
      <c r="F60" s="59">
        <f t="shared" si="102"/>
        <v>0</v>
      </c>
      <c r="G60" s="5">
        <f t="shared" si="102"/>
        <v>0</v>
      </c>
      <c r="H60" s="5">
        <f t="shared" si="102"/>
        <v>1</v>
      </c>
      <c r="I60" s="59">
        <f t="shared" si="102"/>
        <v>0</v>
      </c>
      <c r="J60" s="5">
        <f t="shared" si="102"/>
        <v>0</v>
      </c>
      <c r="K60" s="5">
        <f t="shared" si="102"/>
        <v>0</v>
      </c>
      <c r="L60" s="5">
        <f t="shared" si="102"/>
        <v>0</v>
      </c>
      <c r="M60" s="59">
        <f t="shared" si="102"/>
        <v>0</v>
      </c>
      <c r="N60" s="5">
        <f t="shared" si="102"/>
        <v>0</v>
      </c>
      <c r="O60" s="5">
        <f t="shared" si="102"/>
        <v>1</v>
      </c>
      <c r="P60" s="5">
        <f t="shared" si="102"/>
        <v>0</v>
      </c>
      <c r="Q60" s="5">
        <f t="shared" si="102"/>
        <v>0</v>
      </c>
      <c r="R60" s="5">
        <f t="shared" si="102"/>
        <v>0</v>
      </c>
      <c r="S60" s="5">
        <f t="shared" si="102"/>
        <v>0</v>
      </c>
      <c r="T60" s="5">
        <f t="shared" si="102"/>
        <v>0</v>
      </c>
      <c r="U60" s="5">
        <f t="shared" si="102"/>
        <v>0</v>
      </c>
      <c r="V60" s="5">
        <f t="shared" si="102"/>
        <v>0</v>
      </c>
      <c r="W60" s="5">
        <f t="shared" si="102"/>
        <v>0</v>
      </c>
      <c r="X60" s="5">
        <f t="shared" si="102"/>
        <v>0</v>
      </c>
      <c r="Y60" s="5">
        <f t="shared" si="102"/>
        <v>0</v>
      </c>
      <c r="Z60" s="5">
        <f t="shared" si="102"/>
        <v>1</v>
      </c>
      <c r="AA60" s="5">
        <f t="shared" si="102"/>
        <v>0</v>
      </c>
      <c r="AB60" s="5">
        <f t="shared" si="102"/>
        <v>0</v>
      </c>
      <c r="AC60" s="5">
        <f t="shared" si="102"/>
        <v>0</v>
      </c>
      <c r="AD60" s="5" t="str">
        <f t="shared" si="102"/>
        <v/>
      </c>
      <c r="AE60" s="5" t="str">
        <f t="shared" si="102"/>
        <v/>
      </c>
      <c r="AF60" s="5" t="str">
        <f t="shared" si="102"/>
        <v/>
      </c>
      <c r="AG60" s="5" t="str">
        <f t="shared" si="102"/>
        <v/>
      </c>
      <c r="AH60" s="5" t="str">
        <f t="shared" si="102"/>
        <v/>
      </c>
      <c r="AI60" s="5" t="str">
        <f t="shared" si="102"/>
        <v/>
      </c>
      <c r="AJ60" s="5" t="str">
        <f t="shared" si="102"/>
        <v/>
      </c>
      <c r="AK60" s="5" t="str">
        <f t="shared" si="102"/>
        <v/>
      </c>
      <c r="AL60" s="5" t="str">
        <f t="shared" si="102"/>
        <v/>
      </c>
      <c r="AM60" s="5" t="str">
        <f t="shared" si="102"/>
        <v/>
      </c>
      <c r="AN60" s="5" t="str">
        <f t="shared" si="102"/>
        <v/>
      </c>
      <c r="AO60" s="5" t="str">
        <f t="shared" ref="AO60:AS60" si="103">IF(AO53="","",AN53+AN54-AO53)</f>
        <v/>
      </c>
      <c r="AP60" s="5" t="str">
        <f t="shared" si="103"/>
        <v/>
      </c>
      <c r="AQ60" s="5" t="str">
        <f t="shared" si="103"/>
        <v/>
      </c>
      <c r="AR60" s="5" t="str">
        <f t="shared" si="103"/>
        <v/>
      </c>
      <c r="AS60" s="5" t="str">
        <f t="shared" si="103"/>
        <v/>
      </c>
    </row>
    <row r="61" spans="1:45" s="93" customFormat="1" ht="11">
      <c r="A61" s="7">
        <f>SUM(C61:AS61)</f>
        <v>2100</v>
      </c>
      <c r="B61" s="6" t="s">
        <v>18</v>
      </c>
      <c r="C61" s="74">
        <v>0</v>
      </c>
      <c r="D61" s="5">
        <f t="shared" ref="D61:AN61" si="104">IF(D51="","",D60*D55)</f>
        <v>0</v>
      </c>
      <c r="E61" s="5">
        <f t="shared" si="104"/>
        <v>0</v>
      </c>
      <c r="F61" s="59">
        <f t="shared" si="104"/>
        <v>0</v>
      </c>
      <c r="G61" s="5">
        <f t="shared" si="104"/>
        <v>0</v>
      </c>
      <c r="H61" s="5">
        <f t="shared" si="104"/>
        <v>700</v>
      </c>
      <c r="I61" s="59">
        <f t="shared" si="104"/>
        <v>0</v>
      </c>
      <c r="J61" s="5">
        <f t="shared" si="104"/>
        <v>0</v>
      </c>
      <c r="K61" s="5">
        <f t="shared" si="104"/>
        <v>0</v>
      </c>
      <c r="L61" s="5">
        <f t="shared" si="104"/>
        <v>0</v>
      </c>
      <c r="M61" s="59">
        <f t="shared" si="104"/>
        <v>0</v>
      </c>
      <c r="N61" s="5">
        <f t="shared" si="104"/>
        <v>0</v>
      </c>
      <c r="O61" s="5">
        <f t="shared" si="104"/>
        <v>700</v>
      </c>
      <c r="P61" s="5">
        <f t="shared" si="104"/>
        <v>0</v>
      </c>
      <c r="Q61" s="5">
        <f t="shared" si="104"/>
        <v>0</v>
      </c>
      <c r="R61" s="5">
        <f t="shared" si="104"/>
        <v>0</v>
      </c>
      <c r="S61" s="5">
        <f t="shared" si="104"/>
        <v>0</v>
      </c>
      <c r="T61" s="5">
        <f t="shared" si="104"/>
        <v>0</v>
      </c>
      <c r="U61" s="5">
        <f t="shared" si="104"/>
        <v>0</v>
      </c>
      <c r="V61" s="5">
        <f t="shared" si="104"/>
        <v>0</v>
      </c>
      <c r="W61" s="5">
        <f t="shared" si="104"/>
        <v>0</v>
      </c>
      <c r="X61" s="5">
        <f t="shared" si="104"/>
        <v>0</v>
      </c>
      <c r="Y61" s="5">
        <f t="shared" si="104"/>
        <v>0</v>
      </c>
      <c r="Z61" s="5">
        <f t="shared" si="104"/>
        <v>700</v>
      </c>
      <c r="AA61" s="5">
        <f t="shared" si="104"/>
        <v>0</v>
      </c>
      <c r="AB61" s="5">
        <f t="shared" si="104"/>
        <v>0</v>
      </c>
      <c r="AC61" s="5">
        <f t="shared" si="104"/>
        <v>0</v>
      </c>
      <c r="AD61" s="5" t="str">
        <f t="shared" si="104"/>
        <v/>
      </c>
      <c r="AE61" s="5" t="str">
        <f t="shared" si="104"/>
        <v/>
      </c>
      <c r="AF61" s="5" t="str">
        <f t="shared" si="104"/>
        <v/>
      </c>
      <c r="AG61" s="5" t="str">
        <f t="shared" si="104"/>
        <v/>
      </c>
      <c r="AH61" s="5" t="str">
        <f t="shared" si="104"/>
        <v/>
      </c>
      <c r="AI61" s="5" t="str">
        <f t="shared" si="104"/>
        <v/>
      </c>
      <c r="AJ61" s="5" t="str">
        <f t="shared" si="104"/>
        <v/>
      </c>
      <c r="AK61" s="5" t="str">
        <f t="shared" si="104"/>
        <v/>
      </c>
      <c r="AL61" s="5" t="str">
        <f t="shared" si="104"/>
        <v/>
      </c>
      <c r="AM61" s="5" t="str">
        <f t="shared" si="104"/>
        <v/>
      </c>
      <c r="AN61" s="5" t="str">
        <f t="shared" si="104"/>
        <v/>
      </c>
      <c r="AO61" s="5" t="str">
        <f t="shared" ref="AO61:AS61" si="105">IF(AO51="","",AO60*AO55)</f>
        <v/>
      </c>
      <c r="AP61" s="5" t="str">
        <f t="shared" si="105"/>
        <v/>
      </c>
      <c r="AQ61" s="5" t="str">
        <f t="shared" si="105"/>
        <v/>
      </c>
      <c r="AR61" s="5" t="str">
        <f t="shared" si="105"/>
        <v/>
      </c>
      <c r="AS61" s="5" t="str">
        <f t="shared" si="105"/>
        <v/>
      </c>
    </row>
    <row r="62" spans="1:45" s="93" customFormat="1" ht="12" thickBot="1">
      <c r="A62" s="4">
        <f>IF(A61="","",A61/(A58*100))</f>
        <v>9.8591549295774641E-2</v>
      </c>
      <c r="B62" s="6" t="s">
        <v>20</v>
      </c>
      <c r="C62" s="76" t="s">
        <v>21</v>
      </c>
      <c r="D62" s="18" t="str">
        <f t="shared" ref="D62:AN62" si="106">IF(D61="","",IF(D61=0,"",D61/(D58*100)))</f>
        <v/>
      </c>
      <c r="E62" s="18" t="str">
        <f t="shared" si="106"/>
        <v/>
      </c>
      <c r="F62" s="62" t="str">
        <f t="shared" si="106"/>
        <v/>
      </c>
      <c r="G62" s="18" t="str">
        <f t="shared" si="106"/>
        <v/>
      </c>
      <c r="H62" s="18">
        <f t="shared" si="106"/>
        <v>0.20588235294117646</v>
      </c>
      <c r="I62" s="62" t="str">
        <f t="shared" si="106"/>
        <v/>
      </c>
      <c r="J62" s="18" t="str">
        <f t="shared" si="106"/>
        <v/>
      </c>
      <c r="K62" s="18" t="str">
        <f t="shared" si="106"/>
        <v/>
      </c>
      <c r="L62" s="18" t="str">
        <f t="shared" si="106"/>
        <v/>
      </c>
      <c r="M62" s="62" t="str">
        <f t="shared" si="106"/>
        <v/>
      </c>
      <c r="N62" s="18" t="str">
        <f t="shared" si="106"/>
        <v/>
      </c>
      <c r="O62" s="18">
        <f t="shared" si="106"/>
        <v>0.29166666666666669</v>
      </c>
      <c r="P62" s="18" t="str">
        <f t="shared" si="106"/>
        <v/>
      </c>
      <c r="Q62" s="18" t="str">
        <f t="shared" si="106"/>
        <v/>
      </c>
      <c r="R62" s="18" t="str">
        <f t="shared" si="106"/>
        <v/>
      </c>
      <c r="S62" s="18" t="str">
        <f t="shared" si="106"/>
        <v/>
      </c>
      <c r="T62" s="18" t="str">
        <f t="shared" si="106"/>
        <v/>
      </c>
      <c r="U62" s="18" t="str">
        <f t="shared" si="106"/>
        <v/>
      </c>
      <c r="V62" s="18" t="str">
        <f t="shared" si="106"/>
        <v/>
      </c>
      <c r="W62" s="18" t="str">
        <f t="shared" si="106"/>
        <v/>
      </c>
      <c r="X62" s="18" t="str">
        <f t="shared" si="106"/>
        <v/>
      </c>
      <c r="Y62" s="18" t="str">
        <f t="shared" si="106"/>
        <v/>
      </c>
      <c r="Z62" s="18">
        <f t="shared" si="106"/>
        <v>0.14000000000000001</v>
      </c>
      <c r="AA62" s="18" t="str">
        <f t="shared" si="106"/>
        <v/>
      </c>
      <c r="AB62" s="18" t="str">
        <f t="shared" si="106"/>
        <v/>
      </c>
      <c r="AC62" s="18" t="str">
        <f t="shared" si="106"/>
        <v/>
      </c>
      <c r="AD62" s="18" t="str">
        <f t="shared" si="106"/>
        <v/>
      </c>
      <c r="AE62" s="18" t="str">
        <f t="shared" si="106"/>
        <v/>
      </c>
      <c r="AF62" s="18" t="str">
        <f t="shared" si="106"/>
        <v/>
      </c>
      <c r="AG62" s="18" t="str">
        <f t="shared" si="106"/>
        <v/>
      </c>
      <c r="AH62" s="18" t="str">
        <f t="shared" si="106"/>
        <v/>
      </c>
      <c r="AI62" s="18" t="str">
        <f t="shared" si="106"/>
        <v/>
      </c>
      <c r="AJ62" s="18" t="str">
        <f t="shared" si="106"/>
        <v/>
      </c>
      <c r="AK62" s="18" t="str">
        <f t="shared" si="106"/>
        <v/>
      </c>
      <c r="AL62" s="18" t="str">
        <f t="shared" si="106"/>
        <v/>
      </c>
      <c r="AM62" s="18" t="str">
        <f t="shared" si="106"/>
        <v/>
      </c>
      <c r="AN62" s="18" t="str">
        <f t="shared" si="106"/>
        <v/>
      </c>
      <c r="AO62" s="18" t="str">
        <f t="shared" ref="AO62:AS62" si="107">IF(AO61="","",IF(AO61=0,"",AO61/(AO58*100)))</f>
        <v/>
      </c>
      <c r="AP62" s="18" t="str">
        <f t="shared" si="107"/>
        <v/>
      </c>
      <c r="AQ62" s="18" t="str">
        <f t="shared" si="107"/>
        <v/>
      </c>
      <c r="AR62" s="18" t="str">
        <f t="shared" si="107"/>
        <v/>
      </c>
      <c r="AS62" s="18" t="str">
        <f t="shared" si="107"/>
        <v/>
      </c>
    </row>
    <row r="63" spans="1:45" s="93" customFormat="1" ht="11">
      <c r="A63" s="17" t="s">
        <v>101</v>
      </c>
      <c r="B63" s="9" t="s">
        <v>2</v>
      </c>
      <c r="C63" s="74">
        <v>16395</v>
      </c>
      <c r="D63" s="8">
        <f>IF(D$3="","",C63)</f>
        <v>16395</v>
      </c>
      <c r="E63" s="8">
        <v>16417</v>
      </c>
      <c r="F63" s="59">
        <f>IF(F$3="","",E63)</f>
        <v>16417</v>
      </c>
      <c r="G63" s="8">
        <f>IF(G$3="","",F63)</f>
        <v>16417</v>
      </c>
      <c r="H63" s="8">
        <v>16477</v>
      </c>
      <c r="I63" s="59">
        <f t="shared" ref="I63:K64" si="108">IF(I$3="","",H63)</f>
        <v>16477</v>
      </c>
      <c r="J63" s="8">
        <f t="shared" si="108"/>
        <v>16477</v>
      </c>
      <c r="K63" s="8">
        <f t="shared" si="108"/>
        <v>16477</v>
      </c>
      <c r="L63" s="8">
        <v>16505</v>
      </c>
      <c r="M63" s="59">
        <f>IF(M$3="","",L63)</f>
        <v>16505</v>
      </c>
      <c r="N63" s="8">
        <f>IF(N$3="","",M63)</f>
        <v>16505</v>
      </c>
      <c r="O63" s="8">
        <v>16539</v>
      </c>
      <c r="P63" s="8">
        <f t="shared" ref="P63:AN63" si="109">IF(P$3="","",O63)</f>
        <v>16539</v>
      </c>
      <c r="Q63" s="8">
        <f t="shared" si="109"/>
        <v>16539</v>
      </c>
      <c r="R63" s="8">
        <f t="shared" si="109"/>
        <v>16539</v>
      </c>
      <c r="S63" s="8">
        <f t="shared" si="109"/>
        <v>16539</v>
      </c>
      <c r="T63" s="8">
        <v>16568</v>
      </c>
      <c r="U63" s="8">
        <f t="shared" si="109"/>
        <v>16568</v>
      </c>
      <c r="V63" s="8">
        <v>16594</v>
      </c>
      <c r="W63" s="8">
        <f t="shared" si="109"/>
        <v>16594</v>
      </c>
      <c r="X63" s="8">
        <f t="shared" si="109"/>
        <v>16594</v>
      </c>
      <c r="Y63" s="8">
        <f t="shared" si="109"/>
        <v>16594</v>
      </c>
      <c r="Z63" s="8">
        <v>16596</v>
      </c>
      <c r="AA63" s="8">
        <f t="shared" si="109"/>
        <v>16596</v>
      </c>
      <c r="AB63" s="8">
        <f t="shared" si="109"/>
        <v>16596</v>
      </c>
      <c r="AC63" s="8">
        <v>16638</v>
      </c>
      <c r="AD63" s="8" t="str">
        <f t="shared" si="109"/>
        <v/>
      </c>
      <c r="AE63" s="8" t="str">
        <f t="shared" si="109"/>
        <v/>
      </c>
      <c r="AF63" s="8" t="str">
        <f t="shared" si="109"/>
        <v/>
      </c>
      <c r="AG63" s="8" t="str">
        <f t="shared" si="109"/>
        <v/>
      </c>
      <c r="AH63" s="8" t="str">
        <f t="shared" si="109"/>
        <v/>
      </c>
      <c r="AI63" s="8" t="str">
        <f t="shared" si="109"/>
        <v/>
      </c>
      <c r="AJ63" s="8" t="str">
        <f t="shared" si="109"/>
        <v/>
      </c>
      <c r="AK63" s="8" t="str">
        <f t="shared" si="109"/>
        <v/>
      </c>
      <c r="AL63" s="8" t="str">
        <f t="shared" si="109"/>
        <v/>
      </c>
      <c r="AM63" s="8" t="str">
        <f t="shared" si="109"/>
        <v/>
      </c>
      <c r="AN63" s="8" t="str">
        <f t="shared" si="109"/>
        <v/>
      </c>
      <c r="AO63" s="8" t="str">
        <f t="shared" ref="AO63:AS63" si="110">IF(AO$3="","",AN63)</f>
        <v/>
      </c>
      <c r="AP63" s="8" t="str">
        <f t="shared" si="110"/>
        <v/>
      </c>
      <c r="AQ63" s="8" t="str">
        <f t="shared" si="110"/>
        <v/>
      </c>
      <c r="AR63" s="8" t="str">
        <f t="shared" si="110"/>
        <v/>
      </c>
      <c r="AS63" s="8" t="str">
        <f t="shared" si="110"/>
        <v/>
      </c>
    </row>
    <row r="64" spans="1:45" s="93" customFormat="1" ht="11">
      <c r="A64" s="16" t="s">
        <v>30</v>
      </c>
      <c r="B64" s="9" t="s">
        <v>4</v>
      </c>
      <c r="C64" s="74">
        <v>377</v>
      </c>
      <c r="D64" s="8">
        <f>IF(D$3="","",C64)</f>
        <v>377</v>
      </c>
      <c r="E64" s="8">
        <f>IF(E$3="","",D64)</f>
        <v>377</v>
      </c>
      <c r="F64" s="59">
        <f>IF(F$3="","",E64)</f>
        <v>377</v>
      </c>
      <c r="G64" s="8">
        <f>IF(G$3="","",F64)</f>
        <v>377</v>
      </c>
      <c r="H64" s="8">
        <f>IF(H$3="","",G64)</f>
        <v>377</v>
      </c>
      <c r="I64" s="59">
        <f t="shared" si="108"/>
        <v>377</v>
      </c>
      <c r="J64" s="8">
        <f t="shared" si="108"/>
        <v>377</v>
      </c>
      <c r="K64" s="8">
        <f t="shared" si="108"/>
        <v>377</v>
      </c>
      <c r="L64" s="8">
        <f>IF(L$3="","",K64)</f>
        <v>377</v>
      </c>
      <c r="M64" s="59">
        <f>IF(M$3="","",L64)</f>
        <v>377</v>
      </c>
      <c r="N64" s="8">
        <f>IF(N$3="","",M64)</f>
        <v>377</v>
      </c>
      <c r="O64" s="8">
        <v>378</v>
      </c>
      <c r="P64" s="8">
        <f t="shared" ref="P64:AN64" si="111">IF(P$3="","",O64)</f>
        <v>378</v>
      </c>
      <c r="Q64" s="8">
        <f t="shared" si="111"/>
        <v>378</v>
      </c>
      <c r="R64" s="8">
        <f t="shared" si="111"/>
        <v>378</v>
      </c>
      <c r="S64" s="8">
        <f t="shared" si="111"/>
        <v>378</v>
      </c>
      <c r="T64" s="8">
        <f t="shared" si="111"/>
        <v>378</v>
      </c>
      <c r="U64" s="8">
        <f t="shared" si="111"/>
        <v>378</v>
      </c>
      <c r="V64" s="8">
        <f t="shared" si="111"/>
        <v>378</v>
      </c>
      <c r="W64" s="8">
        <f t="shared" si="111"/>
        <v>378</v>
      </c>
      <c r="X64" s="8">
        <f t="shared" si="111"/>
        <v>378</v>
      </c>
      <c r="Y64" s="8">
        <f t="shared" si="111"/>
        <v>378</v>
      </c>
      <c r="Z64" s="8">
        <f t="shared" si="111"/>
        <v>378</v>
      </c>
      <c r="AA64" s="8">
        <f t="shared" si="111"/>
        <v>378</v>
      </c>
      <c r="AB64" s="8">
        <f t="shared" si="111"/>
        <v>378</v>
      </c>
      <c r="AC64" s="8">
        <v>379</v>
      </c>
      <c r="AD64" s="8" t="str">
        <f t="shared" si="111"/>
        <v/>
      </c>
      <c r="AE64" s="8" t="str">
        <f t="shared" si="111"/>
        <v/>
      </c>
      <c r="AF64" s="8" t="str">
        <f t="shared" si="111"/>
        <v/>
      </c>
      <c r="AG64" s="8" t="str">
        <f t="shared" si="111"/>
        <v/>
      </c>
      <c r="AH64" s="8" t="str">
        <f t="shared" si="111"/>
        <v/>
      </c>
      <c r="AI64" s="8" t="str">
        <f t="shared" si="111"/>
        <v/>
      </c>
      <c r="AJ64" s="8" t="str">
        <f t="shared" si="111"/>
        <v/>
      </c>
      <c r="AK64" s="8" t="str">
        <f t="shared" si="111"/>
        <v/>
      </c>
      <c r="AL64" s="8" t="str">
        <f t="shared" si="111"/>
        <v/>
      </c>
      <c r="AM64" s="8" t="str">
        <f t="shared" si="111"/>
        <v/>
      </c>
      <c r="AN64" s="8" t="str">
        <f t="shared" si="111"/>
        <v/>
      </c>
      <c r="AO64" s="8" t="str">
        <f t="shared" ref="AO64:AS64" si="112">IF(AO$3="","",AN64)</f>
        <v/>
      </c>
      <c r="AP64" s="8" t="str">
        <f t="shared" si="112"/>
        <v/>
      </c>
      <c r="AQ64" s="8" t="str">
        <f t="shared" si="112"/>
        <v/>
      </c>
      <c r="AR64" s="8" t="str">
        <f t="shared" si="112"/>
        <v/>
      </c>
      <c r="AS64" s="8" t="str">
        <f t="shared" si="112"/>
        <v/>
      </c>
    </row>
    <row r="65" spans="1:45" s="93" customFormat="1" ht="11">
      <c r="A65" s="15">
        <v>2</v>
      </c>
      <c r="B65" s="9" t="s">
        <v>5</v>
      </c>
      <c r="C65" s="74">
        <v>8</v>
      </c>
      <c r="D65" s="8">
        <f t="shared" ref="D65:N65" si="113">IF(D63="","",(C65+C66))</f>
        <v>8</v>
      </c>
      <c r="E65" s="8">
        <f t="shared" si="113"/>
        <v>8</v>
      </c>
      <c r="F65" s="59">
        <f t="shared" si="113"/>
        <v>8</v>
      </c>
      <c r="G65" s="8">
        <f t="shared" si="113"/>
        <v>8</v>
      </c>
      <c r="H65" s="8">
        <f t="shared" si="113"/>
        <v>8</v>
      </c>
      <c r="I65" s="59">
        <f t="shared" si="113"/>
        <v>15</v>
      </c>
      <c r="J65" s="8">
        <f t="shared" si="113"/>
        <v>15</v>
      </c>
      <c r="K65" s="8">
        <f t="shared" si="113"/>
        <v>15</v>
      </c>
      <c r="L65" s="8">
        <f t="shared" si="113"/>
        <v>15</v>
      </c>
      <c r="M65" s="59">
        <f t="shared" si="113"/>
        <v>15</v>
      </c>
      <c r="N65" s="8">
        <f t="shared" si="113"/>
        <v>15</v>
      </c>
      <c r="O65" s="8">
        <v>14</v>
      </c>
      <c r="P65" s="8">
        <f t="shared" ref="P65:AN65" si="114">IF(P63="","",(O65+O66))</f>
        <v>14</v>
      </c>
      <c r="Q65" s="8">
        <f t="shared" si="114"/>
        <v>14</v>
      </c>
      <c r="R65" s="8">
        <f t="shared" si="114"/>
        <v>14</v>
      </c>
      <c r="S65" s="8">
        <f t="shared" si="114"/>
        <v>14</v>
      </c>
      <c r="T65" s="8">
        <f t="shared" si="114"/>
        <v>14</v>
      </c>
      <c r="U65" s="8">
        <f t="shared" si="114"/>
        <v>14</v>
      </c>
      <c r="V65" s="8">
        <f t="shared" si="114"/>
        <v>14</v>
      </c>
      <c r="W65" s="8">
        <f t="shared" si="114"/>
        <v>14</v>
      </c>
      <c r="X65" s="8">
        <f t="shared" si="114"/>
        <v>14</v>
      </c>
      <c r="Y65" s="8">
        <f t="shared" si="114"/>
        <v>14</v>
      </c>
      <c r="Z65" s="8">
        <f t="shared" si="114"/>
        <v>14</v>
      </c>
      <c r="AA65" s="8">
        <f t="shared" si="114"/>
        <v>14</v>
      </c>
      <c r="AB65" s="8">
        <f t="shared" si="114"/>
        <v>14</v>
      </c>
      <c r="AC65" s="8">
        <v>13</v>
      </c>
      <c r="AD65" s="8" t="str">
        <f t="shared" si="114"/>
        <v/>
      </c>
      <c r="AE65" s="8" t="str">
        <f t="shared" si="114"/>
        <v/>
      </c>
      <c r="AF65" s="8" t="str">
        <f t="shared" si="114"/>
        <v/>
      </c>
      <c r="AG65" s="8" t="str">
        <f t="shared" si="114"/>
        <v/>
      </c>
      <c r="AH65" s="8" t="str">
        <f t="shared" si="114"/>
        <v/>
      </c>
      <c r="AI65" s="8" t="str">
        <f t="shared" si="114"/>
        <v/>
      </c>
      <c r="AJ65" s="8" t="str">
        <f t="shared" si="114"/>
        <v/>
      </c>
      <c r="AK65" s="8" t="str">
        <f t="shared" si="114"/>
        <v/>
      </c>
      <c r="AL65" s="8" t="str">
        <f t="shared" si="114"/>
        <v/>
      </c>
      <c r="AM65" s="8" t="str">
        <f t="shared" si="114"/>
        <v/>
      </c>
      <c r="AN65" s="8" t="str">
        <f t="shared" si="114"/>
        <v/>
      </c>
      <c r="AO65" s="8" t="str">
        <f t="shared" ref="AO65:AS65" si="115">IF(AO63="","",(AN65+AN66))</f>
        <v/>
      </c>
      <c r="AP65" s="8" t="str">
        <f t="shared" si="115"/>
        <v/>
      </c>
      <c r="AQ65" s="8" t="str">
        <f t="shared" si="115"/>
        <v/>
      </c>
      <c r="AR65" s="8" t="str">
        <f t="shared" si="115"/>
        <v/>
      </c>
      <c r="AS65" s="8" t="str">
        <f t="shared" si="115"/>
        <v/>
      </c>
    </row>
    <row r="66" spans="1:45" s="93" customFormat="1" ht="11">
      <c r="A66" s="14"/>
      <c r="B66" s="9" t="s">
        <v>7</v>
      </c>
      <c r="C66" s="74"/>
      <c r="D66" s="8"/>
      <c r="E66" s="8"/>
      <c r="F66" s="59"/>
      <c r="G66" s="8"/>
      <c r="H66" s="8">
        <v>7</v>
      </c>
      <c r="I66" s="59"/>
      <c r="J66" s="8"/>
      <c r="K66" s="8"/>
      <c r="L66" s="8"/>
      <c r="M66" s="59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s="93" customFormat="1" ht="11">
      <c r="A67" s="7"/>
      <c r="B67" s="9" t="s">
        <v>8</v>
      </c>
      <c r="C67" s="74">
        <v>300</v>
      </c>
      <c r="D67" s="8">
        <f t="shared" ref="D67:AN67" si="116">IF(D63="","",C67)</f>
        <v>300</v>
      </c>
      <c r="E67" s="8">
        <f t="shared" si="116"/>
        <v>300</v>
      </c>
      <c r="F67" s="59">
        <f t="shared" si="116"/>
        <v>300</v>
      </c>
      <c r="G67" s="8">
        <f t="shared" si="116"/>
        <v>300</v>
      </c>
      <c r="H67" s="8">
        <f t="shared" si="116"/>
        <v>300</v>
      </c>
      <c r="I67" s="59">
        <f t="shared" si="116"/>
        <v>300</v>
      </c>
      <c r="J67" s="8">
        <f t="shared" si="116"/>
        <v>300</v>
      </c>
      <c r="K67" s="8">
        <f t="shared" si="116"/>
        <v>300</v>
      </c>
      <c r="L67" s="8">
        <f t="shared" si="116"/>
        <v>300</v>
      </c>
      <c r="M67" s="59">
        <f t="shared" si="116"/>
        <v>300</v>
      </c>
      <c r="N67" s="8">
        <f t="shared" si="116"/>
        <v>300</v>
      </c>
      <c r="O67" s="8">
        <f t="shared" si="116"/>
        <v>300</v>
      </c>
      <c r="P67" s="8">
        <f t="shared" si="116"/>
        <v>300</v>
      </c>
      <c r="Q67" s="8">
        <f t="shared" si="116"/>
        <v>300</v>
      </c>
      <c r="R67" s="8">
        <f t="shared" si="116"/>
        <v>300</v>
      </c>
      <c r="S67" s="8">
        <f t="shared" si="116"/>
        <v>300</v>
      </c>
      <c r="T67" s="8">
        <f t="shared" si="116"/>
        <v>300</v>
      </c>
      <c r="U67" s="8">
        <f t="shared" si="116"/>
        <v>300</v>
      </c>
      <c r="V67" s="8">
        <f t="shared" si="116"/>
        <v>300</v>
      </c>
      <c r="W67" s="8">
        <f t="shared" si="116"/>
        <v>300</v>
      </c>
      <c r="X67" s="8">
        <f t="shared" si="116"/>
        <v>300</v>
      </c>
      <c r="Y67" s="8">
        <f t="shared" si="116"/>
        <v>300</v>
      </c>
      <c r="Z67" s="8">
        <f t="shared" si="116"/>
        <v>300</v>
      </c>
      <c r="AA67" s="8">
        <f t="shared" si="116"/>
        <v>300</v>
      </c>
      <c r="AB67" s="8">
        <f t="shared" si="116"/>
        <v>300</v>
      </c>
      <c r="AC67" s="8">
        <f t="shared" si="116"/>
        <v>300</v>
      </c>
      <c r="AD67" s="8" t="str">
        <f t="shared" si="116"/>
        <v/>
      </c>
      <c r="AE67" s="8" t="str">
        <f t="shared" si="116"/>
        <v/>
      </c>
      <c r="AF67" s="8" t="str">
        <f t="shared" si="116"/>
        <v/>
      </c>
      <c r="AG67" s="8" t="str">
        <f t="shared" si="116"/>
        <v/>
      </c>
      <c r="AH67" s="8" t="str">
        <f t="shared" si="116"/>
        <v/>
      </c>
      <c r="AI67" s="8" t="str">
        <f t="shared" si="116"/>
        <v/>
      </c>
      <c r="AJ67" s="8" t="str">
        <f t="shared" si="116"/>
        <v/>
      </c>
      <c r="AK67" s="8" t="str">
        <f t="shared" si="116"/>
        <v/>
      </c>
      <c r="AL67" s="8" t="str">
        <f t="shared" si="116"/>
        <v/>
      </c>
      <c r="AM67" s="8" t="str">
        <f t="shared" si="116"/>
        <v/>
      </c>
      <c r="AN67" s="8" t="str">
        <f t="shared" si="116"/>
        <v/>
      </c>
      <c r="AO67" s="8" t="str">
        <f t="shared" ref="AO67:AS67" si="117">IF(AO63="","",AN67)</f>
        <v/>
      </c>
      <c r="AP67" s="8" t="str">
        <f t="shared" si="117"/>
        <v/>
      </c>
      <c r="AQ67" s="8" t="str">
        <f t="shared" si="117"/>
        <v/>
      </c>
      <c r="AR67" s="8" t="str">
        <f t="shared" si="117"/>
        <v/>
      </c>
      <c r="AS67" s="8" t="str">
        <f t="shared" si="117"/>
        <v/>
      </c>
    </row>
    <row r="68" spans="1:45" s="94" customFormat="1" ht="11">
      <c r="A68" s="14" t="s">
        <v>9</v>
      </c>
      <c r="B68" s="13" t="s">
        <v>10</v>
      </c>
      <c r="C68" s="75" t="s">
        <v>34</v>
      </c>
      <c r="D68" s="12" t="str">
        <f t="shared" ref="D68:AN68" si="118">IF(D63="","",C68)</f>
        <v>ラブブMC</v>
      </c>
      <c r="E68" s="12" t="str">
        <f t="shared" si="118"/>
        <v>ラブブMC</v>
      </c>
      <c r="F68" s="131" t="str">
        <f t="shared" si="118"/>
        <v>ラブブMC</v>
      </c>
      <c r="G68" s="12" t="str">
        <f t="shared" si="118"/>
        <v>ラブブMC</v>
      </c>
      <c r="H68" s="12" t="str">
        <f t="shared" si="118"/>
        <v>ラブブMC</v>
      </c>
      <c r="I68" s="131" t="str">
        <f t="shared" si="118"/>
        <v>ラブブMC</v>
      </c>
      <c r="J68" s="12" t="str">
        <f t="shared" si="118"/>
        <v>ラブブMC</v>
      </c>
      <c r="K68" s="12" t="str">
        <f t="shared" si="118"/>
        <v>ラブブMC</v>
      </c>
      <c r="L68" s="12" t="str">
        <f t="shared" si="118"/>
        <v>ラブブMC</v>
      </c>
      <c r="M68" s="131" t="str">
        <f t="shared" si="118"/>
        <v>ラブブMC</v>
      </c>
      <c r="N68" s="12" t="str">
        <f t="shared" si="118"/>
        <v>ラブブMC</v>
      </c>
      <c r="O68" s="12" t="str">
        <f t="shared" si="118"/>
        <v>ラブブMC</v>
      </c>
      <c r="P68" s="12" t="str">
        <f t="shared" si="118"/>
        <v>ラブブMC</v>
      </c>
      <c r="Q68" s="12" t="str">
        <f t="shared" si="118"/>
        <v>ラブブMC</v>
      </c>
      <c r="R68" s="12" t="str">
        <f t="shared" si="118"/>
        <v>ラブブMC</v>
      </c>
      <c r="S68" s="12" t="str">
        <f t="shared" si="118"/>
        <v>ラブブMC</v>
      </c>
      <c r="T68" s="12" t="str">
        <f t="shared" si="118"/>
        <v>ラブブMC</v>
      </c>
      <c r="U68" s="12" t="str">
        <f t="shared" si="118"/>
        <v>ラブブMC</v>
      </c>
      <c r="V68" s="12" t="str">
        <f t="shared" si="118"/>
        <v>ラブブMC</v>
      </c>
      <c r="W68" s="12" t="str">
        <f t="shared" si="118"/>
        <v>ラブブMC</v>
      </c>
      <c r="X68" s="12" t="str">
        <f t="shared" si="118"/>
        <v>ラブブMC</v>
      </c>
      <c r="Y68" s="12" t="str">
        <f t="shared" si="118"/>
        <v>ラブブMC</v>
      </c>
      <c r="Z68" s="12" t="str">
        <f t="shared" si="118"/>
        <v>ラブブMC</v>
      </c>
      <c r="AA68" s="12" t="str">
        <f t="shared" si="118"/>
        <v>ラブブMC</v>
      </c>
      <c r="AB68" s="12" t="str">
        <f t="shared" si="118"/>
        <v>ラブブMC</v>
      </c>
      <c r="AC68" s="12" t="str">
        <f t="shared" si="118"/>
        <v>ラブブMC</v>
      </c>
      <c r="AD68" s="12" t="str">
        <f t="shared" si="118"/>
        <v/>
      </c>
      <c r="AE68" s="12" t="str">
        <f t="shared" si="118"/>
        <v/>
      </c>
      <c r="AF68" s="12" t="str">
        <f t="shared" si="118"/>
        <v/>
      </c>
      <c r="AG68" s="12" t="str">
        <f t="shared" si="118"/>
        <v/>
      </c>
      <c r="AH68" s="12" t="str">
        <f t="shared" si="118"/>
        <v/>
      </c>
      <c r="AI68" s="12" t="str">
        <f t="shared" si="118"/>
        <v/>
      </c>
      <c r="AJ68" s="12" t="str">
        <f t="shared" si="118"/>
        <v/>
      </c>
      <c r="AK68" s="12" t="str">
        <f t="shared" si="118"/>
        <v/>
      </c>
      <c r="AL68" s="12" t="str">
        <f t="shared" si="118"/>
        <v/>
      </c>
      <c r="AM68" s="12" t="str">
        <f t="shared" si="118"/>
        <v/>
      </c>
      <c r="AN68" s="12" t="str">
        <f t="shared" si="118"/>
        <v/>
      </c>
      <c r="AO68" s="12" t="str">
        <f t="shared" ref="AO68:AS68" si="119">IF(AO63="","",AN68)</f>
        <v/>
      </c>
      <c r="AP68" s="12" t="str">
        <f t="shared" si="119"/>
        <v/>
      </c>
      <c r="AQ68" s="12" t="str">
        <f t="shared" si="119"/>
        <v/>
      </c>
      <c r="AR68" s="12" t="str">
        <f t="shared" si="119"/>
        <v/>
      </c>
      <c r="AS68" s="12" t="str">
        <f t="shared" si="119"/>
        <v/>
      </c>
    </row>
    <row r="69" spans="1:45" s="93" customFormat="1" ht="11">
      <c r="A69" s="7">
        <f>AVERAGE(C70:AS70)*30*100</f>
        <v>27000</v>
      </c>
      <c r="B69" s="9" t="s">
        <v>14</v>
      </c>
      <c r="C69" s="74"/>
      <c r="D69" s="8"/>
      <c r="E69" s="8"/>
      <c r="F69" s="59"/>
      <c r="G69" s="8"/>
      <c r="H69" s="8"/>
      <c r="I69" s="59"/>
      <c r="J69" s="8"/>
      <c r="K69" s="8"/>
      <c r="L69" s="8"/>
      <c r="M69" s="59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s="93" customFormat="1" ht="11">
      <c r="A70" s="7">
        <f>SUM(C70:AS70)</f>
        <v>243</v>
      </c>
      <c r="B70" s="6" t="s">
        <v>15</v>
      </c>
      <c r="C70" s="74">
        <v>0</v>
      </c>
      <c r="D70" s="5">
        <f t="shared" ref="D70:AN70" si="120">IF(D63="","",D63-C63)</f>
        <v>0</v>
      </c>
      <c r="E70" s="5">
        <f t="shared" si="120"/>
        <v>22</v>
      </c>
      <c r="F70" s="59">
        <f t="shared" si="120"/>
        <v>0</v>
      </c>
      <c r="G70" s="5">
        <f t="shared" si="120"/>
        <v>0</v>
      </c>
      <c r="H70" s="5">
        <f t="shared" si="120"/>
        <v>60</v>
      </c>
      <c r="I70" s="59">
        <f t="shared" si="120"/>
        <v>0</v>
      </c>
      <c r="J70" s="5">
        <f t="shared" si="120"/>
        <v>0</v>
      </c>
      <c r="K70" s="5">
        <f t="shared" si="120"/>
        <v>0</v>
      </c>
      <c r="L70" s="5">
        <f t="shared" si="120"/>
        <v>28</v>
      </c>
      <c r="M70" s="59">
        <f t="shared" si="120"/>
        <v>0</v>
      </c>
      <c r="N70" s="5">
        <f t="shared" si="120"/>
        <v>0</v>
      </c>
      <c r="O70" s="5">
        <f t="shared" si="120"/>
        <v>34</v>
      </c>
      <c r="P70" s="5">
        <f t="shared" si="120"/>
        <v>0</v>
      </c>
      <c r="Q70" s="5">
        <f t="shared" si="120"/>
        <v>0</v>
      </c>
      <c r="R70" s="5">
        <f t="shared" si="120"/>
        <v>0</v>
      </c>
      <c r="S70" s="5">
        <f t="shared" si="120"/>
        <v>0</v>
      </c>
      <c r="T70" s="5">
        <f t="shared" si="120"/>
        <v>29</v>
      </c>
      <c r="U70" s="5">
        <f t="shared" si="120"/>
        <v>0</v>
      </c>
      <c r="V70" s="5">
        <f t="shared" si="120"/>
        <v>26</v>
      </c>
      <c r="W70" s="5">
        <f t="shared" si="120"/>
        <v>0</v>
      </c>
      <c r="X70" s="5">
        <f t="shared" si="120"/>
        <v>0</v>
      </c>
      <c r="Y70" s="5">
        <f t="shared" si="120"/>
        <v>0</v>
      </c>
      <c r="Z70" s="5">
        <f t="shared" si="120"/>
        <v>2</v>
      </c>
      <c r="AA70" s="5">
        <f t="shared" si="120"/>
        <v>0</v>
      </c>
      <c r="AB70" s="5">
        <f t="shared" si="120"/>
        <v>0</v>
      </c>
      <c r="AC70" s="5">
        <f t="shared" si="120"/>
        <v>42</v>
      </c>
      <c r="AD70" s="5" t="str">
        <f t="shared" si="120"/>
        <v/>
      </c>
      <c r="AE70" s="5" t="str">
        <f t="shared" si="120"/>
        <v/>
      </c>
      <c r="AF70" s="5" t="str">
        <f t="shared" si="120"/>
        <v/>
      </c>
      <c r="AG70" s="5" t="str">
        <f t="shared" si="120"/>
        <v/>
      </c>
      <c r="AH70" s="5" t="str">
        <f t="shared" si="120"/>
        <v/>
      </c>
      <c r="AI70" s="5" t="str">
        <f t="shared" si="120"/>
        <v/>
      </c>
      <c r="AJ70" s="5" t="str">
        <f t="shared" si="120"/>
        <v/>
      </c>
      <c r="AK70" s="5" t="str">
        <f t="shared" si="120"/>
        <v/>
      </c>
      <c r="AL70" s="5" t="str">
        <f t="shared" si="120"/>
        <v/>
      </c>
      <c r="AM70" s="5" t="str">
        <f t="shared" si="120"/>
        <v/>
      </c>
      <c r="AN70" s="5" t="str">
        <f t="shared" si="120"/>
        <v/>
      </c>
      <c r="AO70" s="5" t="str">
        <f t="shared" ref="AO70:AS70" si="121">IF(AO63="","",AO63-AN63)</f>
        <v/>
      </c>
      <c r="AP70" s="5" t="str">
        <f t="shared" si="121"/>
        <v/>
      </c>
      <c r="AQ70" s="5" t="str">
        <f t="shared" si="121"/>
        <v/>
      </c>
      <c r="AR70" s="5" t="str">
        <f t="shared" si="121"/>
        <v/>
      </c>
      <c r="AS70" s="5" t="str">
        <f t="shared" si="121"/>
        <v/>
      </c>
    </row>
    <row r="71" spans="1:45" s="93" customFormat="1" ht="11">
      <c r="A71" s="7">
        <f>SUM(C71:AS71)</f>
        <v>2</v>
      </c>
      <c r="B71" s="6" t="s">
        <v>16</v>
      </c>
      <c r="C71" s="74">
        <v>0</v>
      </c>
      <c r="D71" s="5">
        <f t="shared" ref="D71:AN71" si="122">IF(D64="","",D64-C64)</f>
        <v>0</v>
      </c>
      <c r="E71" s="5">
        <f t="shared" si="122"/>
        <v>0</v>
      </c>
      <c r="F71" s="59">
        <f t="shared" si="122"/>
        <v>0</v>
      </c>
      <c r="G71" s="5">
        <f t="shared" si="122"/>
        <v>0</v>
      </c>
      <c r="H71" s="5">
        <f t="shared" si="122"/>
        <v>0</v>
      </c>
      <c r="I71" s="59">
        <f t="shared" si="122"/>
        <v>0</v>
      </c>
      <c r="J71" s="5">
        <f t="shared" si="122"/>
        <v>0</v>
      </c>
      <c r="K71" s="5">
        <f t="shared" si="122"/>
        <v>0</v>
      </c>
      <c r="L71" s="5">
        <f t="shared" si="122"/>
        <v>0</v>
      </c>
      <c r="M71" s="59">
        <f t="shared" si="122"/>
        <v>0</v>
      </c>
      <c r="N71" s="5">
        <f t="shared" si="122"/>
        <v>0</v>
      </c>
      <c r="O71" s="5">
        <f t="shared" si="122"/>
        <v>1</v>
      </c>
      <c r="P71" s="5">
        <f t="shared" si="122"/>
        <v>0</v>
      </c>
      <c r="Q71" s="5">
        <f t="shared" si="122"/>
        <v>0</v>
      </c>
      <c r="R71" s="5">
        <f t="shared" si="122"/>
        <v>0</v>
      </c>
      <c r="S71" s="5">
        <f t="shared" si="122"/>
        <v>0</v>
      </c>
      <c r="T71" s="5">
        <f t="shared" si="122"/>
        <v>0</v>
      </c>
      <c r="U71" s="5">
        <f t="shared" si="122"/>
        <v>0</v>
      </c>
      <c r="V71" s="5">
        <f t="shared" si="122"/>
        <v>0</v>
      </c>
      <c r="W71" s="5">
        <f t="shared" si="122"/>
        <v>0</v>
      </c>
      <c r="X71" s="5">
        <f t="shared" si="122"/>
        <v>0</v>
      </c>
      <c r="Y71" s="5">
        <f t="shared" si="122"/>
        <v>0</v>
      </c>
      <c r="Z71" s="5">
        <f t="shared" si="122"/>
        <v>0</v>
      </c>
      <c r="AA71" s="5">
        <f t="shared" si="122"/>
        <v>0</v>
      </c>
      <c r="AB71" s="5">
        <f t="shared" si="122"/>
        <v>0</v>
      </c>
      <c r="AC71" s="5">
        <f t="shared" si="122"/>
        <v>1</v>
      </c>
      <c r="AD71" s="5" t="str">
        <f t="shared" si="122"/>
        <v/>
      </c>
      <c r="AE71" s="5" t="str">
        <f t="shared" si="122"/>
        <v/>
      </c>
      <c r="AF71" s="5" t="str">
        <f t="shared" si="122"/>
        <v/>
      </c>
      <c r="AG71" s="5" t="str">
        <f t="shared" si="122"/>
        <v/>
      </c>
      <c r="AH71" s="5" t="str">
        <f t="shared" si="122"/>
        <v/>
      </c>
      <c r="AI71" s="5" t="str">
        <f t="shared" si="122"/>
        <v/>
      </c>
      <c r="AJ71" s="5" t="str">
        <f t="shared" si="122"/>
        <v/>
      </c>
      <c r="AK71" s="5" t="str">
        <f t="shared" si="122"/>
        <v/>
      </c>
      <c r="AL71" s="5" t="str">
        <f t="shared" si="122"/>
        <v/>
      </c>
      <c r="AM71" s="5" t="str">
        <f t="shared" si="122"/>
        <v/>
      </c>
      <c r="AN71" s="5" t="str">
        <f t="shared" si="122"/>
        <v/>
      </c>
      <c r="AO71" s="5" t="str">
        <f t="shared" ref="AO71:AS71" si="123">IF(AO64="","",AO64-AN64)</f>
        <v/>
      </c>
      <c r="AP71" s="5" t="str">
        <f t="shared" si="123"/>
        <v/>
      </c>
      <c r="AQ71" s="5" t="str">
        <f t="shared" si="123"/>
        <v/>
      </c>
      <c r="AR71" s="5" t="str">
        <f t="shared" si="123"/>
        <v/>
      </c>
      <c r="AS71" s="5" t="str">
        <f t="shared" si="123"/>
        <v/>
      </c>
    </row>
    <row r="72" spans="1:45" s="93" customFormat="1" ht="11">
      <c r="A72" s="7">
        <f>SUM(C72:AS72)</f>
        <v>2</v>
      </c>
      <c r="B72" s="6" t="s">
        <v>17</v>
      </c>
      <c r="C72" s="74">
        <v>0</v>
      </c>
      <c r="D72" s="5">
        <f t="shared" ref="D72:AN72" si="124">IF(D65="","",C65+C66-D65)</f>
        <v>0</v>
      </c>
      <c r="E72" s="5">
        <f t="shared" si="124"/>
        <v>0</v>
      </c>
      <c r="F72" s="59">
        <f t="shared" si="124"/>
        <v>0</v>
      </c>
      <c r="G72" s="5">
        <f t="shared" si="124"/>
        <v>0</v>
      </c>
      <c r="H72" s="5">
        <f t="shared" si="124"/>
        <v>0</v>
      </c>
      <c r="I72" s="59">
        <f t="shared" si="124"/>
        <v>0</v>
      </c>
      <c r="J72" s="5">
        <f t="shared" si="124"/>
        <v>0</v>
      </c>
      <c r="K72" s="5">
        <f t="shared" si="124"/>
        <v>0</v>
      </c>
      <c r="L72" s="5">
        <f t="shared" si="124"/>
        <v>0</v>
      </c>
      <c r="M72" s="59">
        <f t="shared" si="124"/>
        <v>0</v>
      </c>
      <c r="N72" s="5">
        <f t="shared" si="124"/>
        <v>0</v>
      </c>
      <c r="O72" s="5">
        <f t="shared" si="124"/>
        <v>1</v>
      </c>
      <c r="P72" s="5">
        <f t="shared" si="124"/>
        <v>0</v>
      </c>
      <c r="Q72" s="5">
        <f t="shared" si="124"/>
        <v>0</v>
      </c>
      <c r="R72" s="5">
        <f t="shared" si="124"/>
        <v>0</v>
      </c>
      <c r="S72" s="5">
        <f t="shared" si="124"/>
        <v>0</v>
      </c>
      <c r="T72" s="5">
        <f t="shared" si="124"/>
        <v>0</v>
      </c>
      <c r="U72" s="5">
        <f t="shared" si="124"/>
        <v>0</v>
      </c>
      <c r="V72" s="5">
        <f t="shared" si="124"/>
        <v>0</v>
      </c>
      <c r="W72" s="5">
        <f t="shared" si="124"/>
        <v>0</v>
      </c>
      <c r="X72" s="5">
        <f t="shared" si="124"/>
        <v>0</v>
      </c>
      <c r="Y72" s="5">
        <f t="shared" si="124"/>
        <v>0</v>
      </c>
      <c r="Z72" s="5">
        <f t="shared" si="124"/>
        <v>0</v>
      </c>
      <c r="AA72" s="5">
        <f t="shared" si="124"/>
        <v>0</v>
      </c>
      <c r="AB72" s="5">
        <f t="shared" si="124"/>
        <v>0</v>
      </c>
      <c r="AC72" s="5">
        <f t="shared" si="124"/>
        <v>1</v>
      </c>
      <c r="AD72" s="5" t="str">
        <f t="shared" si="124"/>
        <v/>
      </c>
      <c r="AE72" s="5" t="str">
        <f t="shared" si="124"/>
        <v/>
      </c>
      <c r="AF72" s="5" t="str">
        <f t="shared" si="124"/>
        <v/>
      </c>
      <c r="AG72" s="5" t="str">
        <f t="shared" si="124"/>
        <v/>
      </c>
      <c r="AH72" s="5" t="str">
        <f t="shared" si="124"/>
        <v/>
      </c>
      <c r="AI72" s="5" t="str">
        <f t="shared" si="124"/>
        <v/>
      </c>
      <c r="AJ72" s="5" t="str">
        <f t="shared" si="124"/>
        <v/>
      </c>
      <c r="AK72" s="5" t="str">
        <f t="shared" si="124"/>
        <v/>
      </c>
      <c r="AL72" s="5" t="str">
        <f t="shared" si="124"/>
        <v/>
      </c>
      <c r="AM72" s="5" t="str">
        <f t="shared" si="124"/>
        <v/>
      </c>
      <c r="AN72" s="5" t="str">
        <f t="shared" si="124"/>
        <v/>
      </c>
      <c r="AO72" s="5" t="str">
        <f t="shared" ref="AO72:AS72" si="125">IF(AO65="","",AN65+AN66-AO65)</f>
        <v/>
      </c>
      <c r="AP72" s="5" t="str">
        <f t="shared" si="125"/>
        <v/>
      </c>
      <c r="AQ72" s="5" t="str">
        <f t="shared" si="125"/>
        <v/>
      </c>
      <c r="AR72" s="5" t="str">
        <f t="shared" si="125"/>
        <v/>
      </c>
      <c r="AS72" s="5" t="str">
        <f t="shared" si="125"/>
        <v/>
      </c>
    </row>
    <row r="73" spans="1:45" s="93" customFormat="1" ht="11">
      <c r="A73" s="7">
        <f>SUM(C73:AS73)</f>
        <v>600</v>
      </c>
      <c r="B73" s="6" t="s">
        <v>18</v>
      </c>
      <c r="C73" s="74">
        <v>0</v>
      </c>
      <c r="D73" s="5">
        <f t="shared" ref="D73:AN73" si="126">IF(D63="","",D72*D67)</f>
        <v>0</v>
      </c>
      <c r="E73" s="5">
        <f t="shared" si="126"/>
        <v>0</v>
      </c>
      <c r="F73" s="59">
        <f t="shared" si="126"/>
        <v>0</v>
      </c>
      <c r="G73" s="5">
        <f t="shared" si="126"/>
        <v>0</v>
      </c>
      <c r="H73" s="5">
        <f t="shared" si="126"/>
        <v>0</v>
      </c>
      <c r="I73" s="59">
        <f t="shared" si="126"/>
        <v>0</v>
      </c>
      <c r="J73" s="5">
        <f t="shared" si="126"/>
        <v>0</v>
      </c>
      <c r="K73" s="5">
        <f t="shared" si="126"/>
        <v>0</v>
      </c>
      <c r="L73" s="5">
        <f t="shared" si="126"/>
        <v>0</v>
      </c>
      <c r="M73" s="59">
        <f t="shared" si="126"/>
        <v>0</v>
      </c>
      <c r="N73" s="5">
        <f t="shared" si="126"/>
        <v>0</v>
      </c>
      <c r="O73" s="5">
        <f t="shared" si="126"/>
        <v>300</v>
      </c>
      <c r="P73" s="5">
        <f t="shared" si="126"/>
        <v>0</v>
      </c>
      <c r="Q73" s="5">
        <f t="shared" si="126"/>
        <v>0</v>
      </c>
      <c r="R73" s="5">
        <f t="shared" si="126"/>
        <v>0</v>
      </c>
      <c r="S73" s="5">
        <f t="shared" si="126"/>
        <v>0</v>
      </c>
      <c r="T73" s="5">
        <f t="shared" si="126"/>
        <v>0</v>
      </c>
      <c r="U73" s="5">
        <f t="shared" si="126"/>
        <v>0</v>
      </c>
      <c r="V73" s="5">
        <f t="shared" si="126"/>
        <v>0</v>
      </c>
      <c r="W73" s="5">
        <f t="shared" si="126"/>
        <v>0</v>
      </c>
      <c r="X73" s="5">
        <f t="shared" si="126"/>
        <v>0</v>
      </c>
      <c r="Y73" s="5">
        <f t="shared" si="126"/>
        <v>0</v>
      </c>
      <c r="Z73" s="5">
        <f t="shared" si="126"/>
        <v>0</v>
      </c>
      <c r="AA73" s="5">
        <f t="shared" si="126"/>
        <v>0</v>
      </c>
      <c r="AB73" s="5">
        <f t="shared" si="126"/>
        <v>0</v>
      </c>
      <c r="AC73" s="5">
        <f t="shared" si="126"/>
        <v>300</v>
      </c>
      <c r="AD73" s="5" t="str">
        <f t="shared" si="126"/>
        <v/>
      </c>
      <c r="AE73" s="5" t="str">
        <f t="shared" si="126"/>
        <v/>
      </c>
      <c r="AF73" s="5" t="str">
        <f t="shared" si="126"/>
        <v/>
      </c>
      <c r="AG73" s="5" t="str">
        <f t="shared" si="126"/>
        <v/>
      </c>
      <c r="AH73" s="5" t="str">
        <f t="shared" si="126"/>
        <v/>
      </c>
      <c r="AI73" s="5" t="str">
        <f t="shared" si="126"/>
        <v/>
      </c>
      <c r="AJ73" s="5" t="str">
        <f t="shared" si="126"/>
        <v/>
      </c>
      <c r="AK73" s="5" t="str">
        <f t="shared" si="126"/>
        <v/>
      </c>
      <c r="AL73" s="5" t="str">
        <f t="shared" si="126"/>
        <v/>
      </c>
      <c r="AM73" s="5" t="str">
        <f t="shared" si="126"/>
        <v/>
      </c>
      <c r="AN73" s="5" t="str">
        <f t="shared" si="126"/>
        <v/>
      </c>
      <c r="AO73" s="5" t="str">
        <f t="shared" ref="AO73:AS73" si="127">IF(AO63="","",AO72*AO67)</f>
        <v/>
      </c>
      <c r="AP73" s="5" t="str">
        <f t="shared" si="127"/>
        <v/>
      </c>
      <c r="AQ73" s="5" t="str">
        <f t="shared" si="127"/>
        <v/>
      </c>
      <c r="AR73" s="5" t="str">
        <f t="shared" si="127"/>
        <v/>
      </c>
      <c r="AS73" s="5" t="str">
        <f t="shared" si="127"/>
        <v/>
      </c>
    </row>
    <row r="74" spans="1:45" s="93" customFormat="1" ht="12" thickBot="1">
      <c r="A74" s="4">
        <f>IF(A73="","",A73/(A70*100))</f>
        <v>2.4691358024691357E-2</v>
      </c>
      <c r="B74" s="6" t="s">
        <v>20</v>
      </c>
      <c r="C74" s="76" t="s">
        <v>21</v>
      </c>
      <c r="D74" s="18" t="str">
        <f t="shared" ref="D74:AN74" si="128">IF(D73="","",IF(D73=0,"",D73/(D70*100)))</f>
        <v/>
      </c>
      <c r="E74" s="18" t="str">
        <f t="shared" si="128"/>
        <v/>
      </c>
      <c r="F74" s="62" t="str">
        <f t="shared" si="128"/>
        <v/>
      </c>
      <c r="G74" s="18" t="str">
        <f t="shared" si="128"/>
        <v/>
      </c>
      <c r="H74" s="18" t="str">
        <f t="shared" si="128"/>
        <v/>
      </c>
      <c r="I74" s="62" t="str">
        <f t="shared" si="128"/>
        <v/>
      </c>
      <c r="J74" s="18" t="str">
        <f t="shared" si="128"/>
        <v/>
      </c>
      <c r="K74" s="18" t="str">
        <f t="shared" si="128"/>
        <v/>
      </c>
      <c r="L74" s="18" t="str">
        <f t="shared" si="128"/>
        <v/>
      </c>
      <c r="M74" s="62" t="str">
        <f t="shared" si="128"/>
        <v/>
      </c>
      <c r="N74" s="18" t="str">
        <f t="shared" si="128"/>
        <v/>
      </c>
      <c r="O74" s="18">
        <f t="shared" si="128"/>
        <v>8.8235294117647065E-2</v>
      </c>
      <c r="P74" s="18" t="str">
        <f t="shared" si="128"/>
        <v/>
      </c>
      <c r="Q74" s="18" t="str">
        <f t="shared" si="128"/>
        <v/>
      </c>
      <c r="R74" s="18" t="str">
        <f t="shared" si="128"/>
        <v/>
      </c>
      <c r="S74" s="18" t="str">
        <f t="shared" si="128"/>
        <v/>
      </c>
      <c r="T74" s="18" t="str">
        <f t="shared" si="128"/>
        <v/>
      </c>
      <c r="U74" s="18" t="str">
        <f t="shared" si="128"/>
        <v/>
      </c>
      <c r="V74" s="18" t="str">
        <f t="shared" si="128"/>
        <v/>
      </c>
      <c r="W74" s="18" t="str">
        <f t="shared" si="128"/>
        <v/>
      </c>
      <c r="X74" s="18" t="str">
        <f t="shared" si="128"/>
        <v/>
      </c>
      <c r="Y74" s="18" t="str">
        <f t="shared" si="128"/>
        <v/>
      </c>
      <c r="Z74" s="18" t="str">
        <f t="shared" si="128"/>
        <v/>
      </c>
      <c r="AA74" s="18" t="str">
        <f t="shared" si="128"/>
        <v/>
      </c>
      <c r="AB74" s="18" t="str">
        <f t="shared" si="128"/>
        <v/>
      </c>
      <c r="AC74" s="18">
        <f t="shared" si="128"/>
        <v>7.1428571428571425E-2</v>
      </c>
      <c r="AD74" s="18" t="str">
        <f t="shared" si="128"/>
        <v/>
      </c>
      <c r="AE74" s="18" t="str">
        <f t="shared" si="128"/>
        <v/>
      </c>
      <c r="AF74" s="18" t="str">
        <f t="shared" si="128"/>
        <v/>
      </c>
      <c r="AG74" s="18" t="str">
        <f t="shared" si="128"/>
        <v/>
      </c>
      <c r="AH74" s="18" t="str">
        <f t="shared" si="128"/>
        <v/>
      </c>
      <c r="AI74" s="18" t="str">
        <f t="shared" si="128"/>
        <v/>
      </c>
      <c r="AJ74" s="18" t="str">
        <f t="shared" si="128"/>
        <v/>
      </c>
      <c r="AK74" s="18" t="str">
        <f t="shared" si="128"/>
        <v/>
      </c>
      <c r="AL74" s="18" t="str">
        <f t="shared" si="128"/>
        <v/>
      </c>
      <c r="AM74" s="18" t="str">
        <f t="shared" si="128"/>
        <v/>
      </c>
      <c r="AN74" s="18" t="str">
        <f t="shared" si="128"/>
        <v/>
      </c>
      <c r="AO74" s="18" t="str">
        <f t="shared" ref="AO74:AS74" si="129">IF(AO73="","",IF(AO73=0,"",AO73/(AO70*100)))</f>
        <v/>
      </c>
      <c r="AP74" s="18" t="str">
        <f t="shared" si="129"/>
        <v/>
      </c>
      <c r="AQ74" s="18" t="str">
        <f t="shared" si="129"/>
        <v/>
      </c>
      <c r="AR74" s="18" t="str">
        <f t="shared" si="129"/>
        <v/>
      </c>
      <c r="AS74" s="18" t="str">
        <f t="shared" si="129"/>
        <v/>
      </c>
    </row>
    <row r="75" spans="1:45" s="93" customFormat="1" ht="11">
      <c r="A75" s="17" t="s">
        <v>101</v>
      </c>
      <c r="B75" s="9" t="s">
        <v>2</v>
      </c>
      <c r="C75" s="74">
        <v>18649</v>
      </c>
      <c r="D75" s="8">
        <f>IF(D$3="","",C75)</f>
        <v>18649</v>
      </c>
      <c r="E75" s="8">
        <v>18652</v>
      </c>
      <c r="F75" s="59">
        <f>IF(F$3="","",E75)</f>
        <v>18652</v>
      </c>
      <c r="G75" s="8">
        <f>IF(G$3="","",F75)</f>
        <v>18652</v>
      </c>
      <c r="H75" s="8">
        <v>18728</v>
      </c>
      <c r="I75" s="59">
        <f t="shared" ref="I75:K76" si="130">IF(I$3="","",H75)</f>
        <v>18728</v>
      </c>
      <c r="J75" s="8">
        <f t="shared" si="130"/>
        <v>18728</v>
      </c>
      <c r="K75" s="8">
        <f t="shared" si="130"/>
        <v>18728</v>
      </c>
      <c r="L75" s="8">
        <v>18736</v>
      </c>
      <c r="M75" s="59">
        <f>IF(M$3="","",L75)</f>
        <v>18736</v>
      </c>
      <c r="N75" s="8">
        <f>IF(N$3="","",M75)</f>
        <v>18736</v>
      </c>
      <c r="O75" s="8">
        <v>18764</v>
      </c>
      <c r="P75" s="8">
        <f t="shared" ref="P75:AN75" si="131">IF(P$3="","",O75)</f>
        <v>18764</v>
      </c>
      <c r="Q75" s="8">
        <f t="shared" si="131"/>
        <v>18764</v>
      </c>
      <c r="R75" s="8">
        <f t="shared" si="131"/>
        <v>18764</v>
      </c>
      <c r="S75" s="8">
        <f t="shared" si="131"/>
        <v>18764</v>
      </c>
      <c r="T75" s="8">
        <v>18806</v>
      </c>
      <c r="U75" s="8">
        <f t="shared" si="131"/>
        <v>18806</v>
      </c>
      <c r="V75" s="8">
        <v>18851</v>
      </c>
      <c r="W75" s="8">
        <f t="shared" si="131"/>
        <v>18851</v>
      </c>
      <c r="X75" s="8">
        <f t="shared" si="131"/>
        <v>18851</v>
      </c>
      <c r="Y75" s="8">
        <f t="shared" si="131"/>
        <v>18851</v>
      </c>
      <c r="Z75" s="8">
        <v>18865</v>
      </c>
      <c r="AA75" s="8">
        <f t="shared" si="131"/>
        <v>18865</v>
      </c>
      <c r="AB75" s="8">
        <f t="shared" si="131"/>
        <v>18865</v>
      </c>
      <c r="AC75" s="8">
        <v>18897</v>
      </c>
      <c r="AD75" s="8" t="str">
        <f t="shared" si="131"/>
        <v/>
      </c>
      <c r="AE75" s="8" t="str">
        <f t="shared" si="131"/>
        <v/>
      </c>
      <c r="AF75" s="8" t="str">
        <f t="shared" si="131"/>
        <v/>
      </c>
      <c r="AG75" s="8" t="str">
        <f t="shared" si="131"/>
        <v/>
      </c>
      <c r="AH75" s="8" t="str">
        <f t="shared" si="131"/>
        <v/>
      </c>
      <c r="AI75" s="8" t="str">
        <f t="shared" si="131"/>
        <v/>
      </c>
      <c r="AJ75" s="8" t="str">
        <f t="shared" si="131"/>
        <v/>
      </c>
      <c r="AK75" s="8" t="str">
        <f t="shared" si="131"/>
        <v/>
      </c>
      <c r="AL75" s="8" t="str">
        <f t="shared" si="131"/>
        <v/>
      </c>
      <c r="AM75" s="8" t="str">
        <f t="shared" si="131"/>
        <v/>
      </c>
      <c r="AN75" s="8" t="str">
        <f t="shared" si="131"/>
        <v/>
      </c>
      <c r="AO75" s="8" t="str">
        <f t="shared" ref="AO75:AS75" si="132">IF(AO$3="","",AN75)</f>
        <v/>
      </c>
      <c r="AP75" s="8" t="str">
        <f t="shared" si="132"/>
        <v/>
      </c>
      <c r="AQ75" s="8" t="str">
        <f t="shared" si="132"/>
        <v/>
      </c>
      <c r="AR75" s="8" t="str">
        <f t="shared" si="132"/>
        <v/>
      </c>
      <c r="AS75" s="8" t="str">
        <f t="shared" si="132"/>
        <v/>
      </c>
    </row>
    <row r="76" spans="1:45" s="93" customFormat="1" ht="11">
      <c r="A76" s="16" t="s">
        <v>30</v>
      </c>
      <c r="B76" s="9" t="s">
        <v>4</v>
      </c>
      <c r="C76" s="74">
        <v>531</v>
      </c>
      <c r="D76" s="8">
        <f>IF(D$3="","",C76)</f>
        <v>531</v>
      </c>
      <c r="E76" s="8">
        <f>IF(E$3="","",D76)</f>
        <v>531</v>
      </c>
      <c r="F76" s="59">
        <f>IF(F$3="","",E76)</f>
        <v>531</v>
      </c>
      <c r="G76" s="8">
        <f>IF(G$3="","",F76)</f>
        <v>531</v>
      </c>
      <c r="H76" s="8">
        <v>533</v>
      </c>
      <c r="I76" s="59">
        <f t="shared" si="130"/>
        <v>533</v>
      </c>
      <c r="J76" s="8">
        <f t="shared" si="130"/>
        <v>533</v>
      </c>
      <c r="K76" s="8">
        <f t="shared" si="130"/>
        <v>533</v>
      </c>
      <c r="L76" s="8">
        <f>IF(L$3="","",K76)</f>
        <v>533</v>
      </c>
      <c r="M76" s="59">
        <f>IF(M$3="","",L76)</f>
        <v>533</v>
      </c>
      <c r="N76" s="8">
        <f>IF(N$3="","",M76)</f>
        <v>533</v>
      </c>
      <c r="O76" s="8">
        <v>534</v>
      </c>
      <c r="P76" s="8">
        <f t="shared" ref="P76:AN76" si="133">IF(P$3="","",O76)</f>
        <v>534</v>
      </c>
      <c r="Q76" s="8">
        <f t="shared" si="133"/>
        <v>534</v>
      </c>
      <c r="R76" s="8">
        <f t="shared" si="133"/>
        <v>534</v>
      </c>
      <c r="S76" s="8">
        <f t="shared" si="133"/>
        <v>534</v>
      </c>
      <c r="T76" s="8">
        <v>535</v>
      </c>
      <c r="U76" s="8">
        <f t="shared" si="133"/>
        <v>535</v>
      </c>
      <c r="V76" s="8">
        <v>537</v>
      </c>
      <c r="W76" s="8">
        <f t="shared" si="133"/>
        <v>537</v>
      </c>
      <c r="X76" s="8">
        <f t="shared" si="133"/>
        <v>537</v>
      </c>
      <c r="Y76" s="8">
        <f t="shared" si="133"/>
        <v>537</v>
      </c>
      <c r="Z76" s="8">
        <f t="shared" si="133"/>
        <v>537</v>
      </c>
      <c r="AA76" s="8">
        <f t="shared" si="133"/>
        <v>537</v>
      </c>
      <c r="AB76" s="8">
        <f t="shared" si="133"/>
        <v>537</v>
      </c>
      <c r="AC76" s="8">
        <v>539</v>
      </c>
      <c r="AD76" s="8" t="str">
        <f t="shared" si="133"/>
        <v/>
      </c>
      <c r="AE76" s="8" t="str">
        <f t="shared" si="133"/>
        <v/>
      </c>
      <c r="AF76" s="8" t="str">
        <f t="shared" si="133"/>
        <v/>
      </c>
      <c r="AG76" s="8" t="str">
        <f t="shared" si="133"/>
        <v/>
      </c>
      <c r="AH76" s="8" t="str">
        <f t="shared" si="133"/>
        <v/>
      </c>
      <c r="AI76" s="8" t="str">
        <f t="shared" si="133"/>
        <v/>
      </c>
      <c r="AJ76" s="8" t="str">
        <f t="shared" si="133"/>
        <v/>
      </c>
      <c r="AK76" s="8" t="str">
        <f t="shared" si="133"/>
        <v/>
      </c>
      <c r="AL76" s="8" t="str">
        <f t="shared" si="133"/>
        <v/>
      </c>
      <c r="AM76" s="8" t="str">
        <f t="shared" si="133"/>
        <v/>
      </c>
      <c r="AN76" s="8" t="str">
        <f t="shared" si="133"/>
        <v/>
      </c>
      <c r="AO76" s="8" t="str">
        <f t="shared" ref="AO76:AS76" si="134">IF(AO$3="","",AN76)</f>
        <v/>
      </c>
      <c r="AP76" s="8" t="str">
        <f t="shared" si="134"/>
        <v/>
      </c>
      <c r="AQ76" s="8" t="str">
        <f t="shared" si="134"/>
        <v/>
      </c>
      <c r="AR76" s="8" t="str">
        <f t="shared" si="134"/>
        <v/>
      </c>
      <c r="AS76" s="8" t="str">
        <f t="shared" si="134"/>
        <v/>
      </c>
    </row>
    <row r="77" spans="1:45" s="93" customFormat="1" ht="11">
      <c r="A77" s="15">
        <v>3</v>
      </c>
      <c r="B77" s="9" t="s">
        <v>5</v>
      </c>
      <c r="C77" s="74">
        <v>72</v>
      </c>
      <c r="D77" s="8">
        <f>IF(D75="","",(C77+C78))</f>
        <v>72</v>
      </c>
      <c r="E77" s="8">
        <f>IF(E75="","",(D77+D78))</f>
        <v>72</v>
      </c>
      <c r="F77" s="59">
        <f>IF(F75="","",(E77+E78))</f>
        <v>72</v>
      </c>
      <c r="G77" s="8">
        <f>IF(G75="","",(F77+F78))</f>
        <v>72</v>
      </c>
      <c r="H77" s="8">
        <v>70</v>
      </c>
      <c r="I77" s="59">
        <f t="shared" ref="I77:N77" si="135">IF(I75="","",(H77+H78))</f>
        <v>70</v>
      </c>
      <c r="J77" s="8">
        <f t="shared" si="135"/>
        <v>70</v>
      </c>
      <c r="K77" s="8">
        <f t="shared" si="135"/>
        <v>70</v>
      </c>
      <c r="L77" s="8">
        <f t="shared" si="135"/>
        <v>70</v>
      </c>
      <c r="M77" s="59">
        <f t="shared" si="135"/>
        <v>70</v>
      </c>
      <c r="N77" s="8">
        <f t="shared" si="135"/>
        <v>70</v>
      </c>
      <c r="O77" s="8">
        <v>69</v>
      </c>
      <c r="P77" s="8">
        <f t="shared" ref="P77:AN77" si="136">IF(P75="","",(O77+O78))</f>
        <v>69</v>
      </c>
      <c r="Q77" s="8">
        <f t="shared" si="136"/>
        <v>69</v>
      </c>
      <c r="R77" s="8">
        <f t="shared" si="136"/>
        <v>69</v>
      </c>
      <c r="S77" s="8">
        <f t="shared" si="136"/>
        <v>69</v>
      </c>
      <c r="T77" s="8">
        <v>68</v>
      </c>
      <c r="U77" s="8">
        <f t="shared" si="136"/>
        <v>116</v>
      </c>
      <c r="V77" s="8">
        <v>114</v>
      </c>
      <c r="W77" s="8">
        <f t="shared" si="136"/>
        <v>114</v>
      </c>
      <c r="X77" s="8">
        <f t="shared" si="136"/>
        <v>114</v>
      </c>
      <c r="Y77" s="8">
        <f t="shared" si="136"/>
        <v>114</v>
      </c>
      <c r="Z77" s="8">
        <f t="shared" si="136"/>
        <v>114</v>
      </c>
      <c r="AA77" s="8">
        <f t="shared" si="136"/>
        <v>114</v>
      </c>
      <c r="AB77" s="8">
        <f t="shared" si="136"/>
        <v>114</v>
      </c>
      <c r="AC77" s="8">
        <v>112</v>
      </c>
      <c r="AD77" s="8" t="str">
        <f t="shared" si="136"/>
        <v/>
      </c>
      <c r="AE77" s="8" t="str">
        <f t="shared" si="136"/>
        <v/>
      </c>
      <c r="AF77" s="8" t="str">
        <f t="shared" si="136"/>
        <v/>
      </c>
      <c r="AG77" s="8" t="str">
        <f t="shared" si="136"/>
        <v/>
      </c>
      <c r="AH77" s="8" t="str">
        <f t="shared" si="136"/>
        <v/>
      </c>
      <c r="AI77" s="8" t="str">
        <f t="shared" si="136"/>
        <v/>
      </c>
      <c r="AJ77" s="8" t="str">
        <f t="shared" si="136"/>
        <v/>
      </c>
      <c r="AK77" s="8" t="str">
        <f t="shared" si="136"/>
        <v/>
      </c>
      <c r="AL77" s="8" t="str">
        <f t="shared" si="136"/>
        <v/>
      </c>
      <c r="AM77" s="8" t="str">
        <f t="shared" si="136"/>
        <v/>
      </c>
      <c r="AN77" s="8" t="str">
        <f t="shared" si="136"/>
        <v/>
      </c>
      <c r="AO77" s="8" t="str">
        <f t="shared" ref="AO77:AS77" si="137">IF(AO75="","",(AN77+AN78))</f>
        <v/>
      </c>
      <c r="AP77" s="8" t="str">
        <f t="shared" si="137"/>
        <v/>
      </c>
      <c r="AQ77" s="8" t="str">
        <f t="shared" si="137"/>
        <v/>
      </c>
      <c r="AR77" s="8" t="str">
        <f t="shared" si="137"/>
        <v/>
      </c>
      <c r="AS77" s="8" t="str">
        <f t="shared" si="137"/>
        <v/>
      </c>
    </row>
    <row r="78" spans="1:45" s="93" customFormat="1" ht="11">
      <c r="A78" s="14"/>
      <c r="B78" s="9" t="s">
        <v>7</v>
      </c>
      <c r="C78" s="74"/>
      <c r="D78" s="8"/>
      <c r="E78" s="8"/>
      <c r="F78" s="59"/>
      <c r="G78" s="8"/>
      <c r="H78" s="8"/>
      <c r="I78" s="59"/>
      <c r="J78" s="8"/>
      <c r="K78" s="8"/>
      <c r="L78" s="8"/>
      <c r="M78" s="59"/>
      <c r="N78" s="8"/>
      <c r="O78" s="8"/>
      <c r="P78" s="8"/>
      <c r="Q78" s="8"/>
      <c r="R78" s="8"/>
      <c r="S78" s="8"/>
      <c r="T78" s="8">
        <v>48</v>
      </c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s="93" customFormat="1" ht="11">
      <c r="A79" s="7"/>
      <c r="B79" s="9" t="s">
        <v>8</v>
      </c>
      <c r="C79" s="74">
        <v>150</v>
      </c>
      <c r="D79" s="8">
        <f t="shared" ref="D79:AN79" si="138">IF(D75="","",C79)</f>
        <v>150</v>
      </c>
      <c r="E79" s="8">
        <f t="shared" si="138"/>
        <v>150</v>
      </c>
      <c r="F79" s="59">
        <f t="shared" si="138"/>
        <v>150</v>
      </c>
      <c r="G79" s="8">
        <f t="shared" si="138"/>
        <v>150</v>
      </c>
      <c r="H79" s="8">
        <f t="shared" si="138"/>
        <v>150</v>
      </c>
      <c r="I79" s="59">
        <f t="shared" si="138"/>
        <v>150</v>
      </c>
      <c r="J79" s="8">
        <f t="shared" si="138"/>
        <v>150</v>
      </c>
      <c r="K79" s="8">
        <f t="shared" si="138"/>
        <v>150</v>
      </c>
      <c r="L79" s="8">
        <f t="shared" si="138"/>
        <v>150</v>
      </c>
      <c r="M79" s="59">
        <f t="shared" si="138"/>
        <v>150</v>
      </c>
      <c r="N79" s="8">
        <f t="shared" si="138"/>
        <v>150</v>
      </c>
      <c r="O79" s="8">
        <f t="shared" si="138"/>
        <v>150</v>
      </c>
      <c r="P79" s="8">
        <f t="shared" si="138"/>
        <v>150</v>
      </c>
      <c r="Q79" s="8">
        <f t="shared" si="138"/>
        <v>150</v>
      </c>
      <c r="R79" s="8">
        <f t="shared" si="138"/>
        <v>150</v>
      </c>
      <c r="S79" s="8">
        <f t="shared" si="138"/>
        <v>150</v>
      </c>
      <c r="T79" s="8">
        <f t="shared" si="138"/>
        <v>150</v>
      </c>
      <c r="U79" s="8">
        <f t="shared" si="138"/>
        <v>150</v>
      </c>
      <c r="V79" s="8">
        <f t="shared" si="138"/>
        <v>150</v>
      </c>
      <c r="W79" s="8">
        <f t="shared" si="138"/>
        <v>150</v>
      </c>
      <c r="X79" s="8">
        <f t="shared" si="138"/>
        <v>150</v>
      </c>
      <c r="Y79" s="8">
        <f t="shared" si="138"/>
        <v>150</v>
      </c>
      <c r="Z79" s="8">
        <f t="shared" si="138"/>
        <v>150</v>
      </c>
      <c r="AA79" s="8">
        <f t="shared" si="138"/>
        <v>150</v>
      </c>
      <c r="AB79" s="8">
        <f t="shared" si="138"/>
        <v>150</v>
      </c>
      <c r="AC79" s="8">
        <f t="shared" si="138"/>
        <v>150</v>
      </c>
      <c r="AD79" s="8" t="str">
        <f t="shared" si="138"/>
        <v/>
      </c>
      <c r="AE79" s="8" t="str">
        <f t="shared" si="138"/>
        <v/>
      </c>
      <c r="AF79" s="8" t="str">
        <f t="shared" si="138"/>
        <v/>
      </c>
      <c r="AG79" s="8" t="str">
        <f t="shared" si="138"/>
        <v/>
      </c>
      <c r="AH79" s="8" t="str">
        <f t="shared" si="138"/>
        <v/>
      </c>
      <c r="AI79" s="8" t="str">
        <f t="shared" si="138"/>
        <v/>
      </c>
      <c r="AJ79" s="8" t="str">
        <f t="shared" si="138"/>
        <v/>
      </c>
      <c r="AK79" s="8" t="str">
        <f t="shared" si="138"/>
        <v/>
      </c>
      <c r="AL79" s="8" t="str">
        <f t="shared" si="138"/>
        <v/>
      </c>
      <c r="AM79" s="8" t="str">
        <f t="shared" si="138"/>
        <v/>
      </c>
      <c r="AN79" s="8" t="str">
        <f t="shared" si="138"/>
        <v/>
      </c>
      <c r="AO79" s="8" t="str">
        <f t="shared" ref="AO79:AS79" si="139">IF(AO75="","",AN79)</f>
        <v/>
      </c>
      <c r="AP79" s="8" t="str">
        <f t="shared" si="139"/>
        <v/>
      </c>
      <c r="AQ79" s="8" t="str">
        <f t="shared" si="139"/>
        <v/>
      </c>
      <c r="AR79" s="8" t="str">
        <f t="shared" si="139"/>
        <v/>
      </c>
      <c r="AS79" s="8" t="str">
        <f t="shared" si="139"/>
        <v/>
      </c>
    </row>
    <row r="80" spans="1:45" s="94" customFormat="1" ht="11">
      <c r="A80" s="14" t="s">
        <v>9</v>
      </c>
      <c r="B80" s="13" t="s">
        <v>10</v>
      </c>
      <c r="C80" s="75" t="s">
        <v>27</v>
      </c>
      <c r="D80" s="12" t="str">
        <f t="shared" ref="D80:AN80" si="140">IF(D75="","",C80)</f>
        <v>AIモンスター</v>
      </c>
      <c r="E80" s="12" t="str">
        <f t="shared" si="140"/>
        <v>AIモンスター</v>
      </c>
      <c r="F80" s="131" t="str">
        <f t="shared" si="140"/>
        <v>AIモンスター</v>
      </c>
      <c r="G80" s="12" t="str">
        <f t="shared" si="140"/>
        <v>AIモンスター</v>
      </c>
      <c r="H80" s="12" t="str">
        <f t="shared" si="140"/>
        <v>AIモンスター</v>
      </c>
      <c r="I80" s="131" t="str">
        <f t="shared" si="140"/>
        <v>AIモンスター</v>
      </c>
      <c r="J80" s="12" t="str">
        <f t="shared" si="140"/>
        <v>AIモンスター</v>
      </c>
      <c r="K80" s="12" t="str">
        <f t="shared" si="140"/>
        <v>AIモンスター</v>
      </c>
      <c r="L80" s="12" t="str">
        <f t="shared" si="140"/>
        <v>AIモンスター</v>
      </c>
      <c r="M80" s="131" t="str">
        <f t="shared" si="140"/>
        <v>AIモンスター</v>
      </c>
      <c r="N80" s="12" t="str">
        <f t="shared" si="140"/>
        <v>AIモンスター</v>
      </c>
      <c r="O80" s="12" t="str">
        <f t="shared" si="140"/>
        <v>AIモンスター</v>
      </c>
      <c r="P80" s="12" t="str">
        <f t="shared" si="140"/>
        <v>AIモンスター</v>
      </c>
      <c r="Q80" s="12" t="str">
        <f t="shared" si="140"/>
        <v>AIモンスター</v>
      </c>
      <c r="R80" s="12" t="str">
        <f t="shared" si="140"/>
        <v>AIモンスター</v>
      </c>
      <c r="S80" s="12" t="str">
        <f t="shared" si="140"/>
        <v>AIモンスター</v>
      </c>
      <c r="T80" s="12" t="str">
        <f t="shared" si="140"/>
        <v>AIモンスター</v>
      </c>
      <c r="U80" s="12" t="str">
        <f t="shared" si="140"/>
        <v>AIモンスター</v>
      </c>
      <c r="V80" s="12" t="str">
        <f t="shared" si="140"/>
        <v>AIモンスター</v>
      </c>
      <c r="W80" s="12" t="str">
        <f t="shared" si="140"/>
        <v>AIモンスター</v>
      </c>
      <c r="X80" s="12" t="str">
        <f t="shared" si="140"/>
        <v>AIモンスター</v>
      </c>
      <c r="Y80" s="12" t="str">
        <f t="shared" si="140"/>
        <v>AIモンスター</v>
      </c>
      <c r="Z80" s="12" t="str">
        <f t="shared" si="140"/>
        <v>AIモンスター</v>
      </c>
      <c r="AA80" s="12" t="str">
        <f t="shared" si="140"/>
        <v>AIモンスター</v>
      </c>
      <c r="AB80" s="12" t="str">
        <f t="shared" si="140"/>
        <v>AIモンスター</v>
      </c>
      <c r="AC80" s="12" t="str">
        <f t="shared" si="140"/>
        <v>AIモンスター</v>
      </c>
      <c r="AD80" s="12" t="str">
        <f t="shared" si="140"/>
        <v/>
      </c>
      <c r="AE80" s="12" t="str">
        <f t="shared" si="140"/>
        <v/>
      </c>
      <c r="AF80" s="12" t="str">
        <f t="shared" si="140"/>
        <v/>
      </c>
      <c r="AG80" s="12" t="str">
        <f t="shared" si="140"/>
        <v/>
      </c>
      <c r="AH80" s="12" t="str">
        <f t="shared" si="140"/>
        <v/>
      </c>
      <c r="AI80" s="12" t="str">
        <f t="shared" si="140"/>
        <v/>
      </c>
      <c r="AJ80" s="12" t="str">
        <f t="shared" si="140"/>
        <v/>
      </c>
      <c r="AK80" s="12" t="str">
        <f t="shared" si="140"/>
        <v/>
      </c>
      <c r="AL80" s="12" t="str">
        <f t="shared" si="140"/>
        <v/>
      </c>
      <c r="AM80" s="12" t="str">
        <f t="shared" si="140"/>
        <v/>
      </c>
      <c r="AN80" s="12" t="str">
        <f t="shared" si="140"/>
        <v/>
      </c>
      <c r="AO80" s="12" t="str">
        <f t="shared" ref="AO80:AS80" si="141">IF(AO75="","",AN80)</f>
        <v/>
      </c>
      <c r="AP80" s="12" t="str">
        <f t="shared" si="141"/>
        <v/>
      </c>
      <c r="AQ80" s="12" t="str">
        <f t="shared" si="141"/>
        <v/>
      </c>
      <c r="AR80" s="12" t="str">
        <f t="shared" si="141"/>
        <v/>
      </c>
      <c r="AS80" s="12" t="str">
        <f t="shared" si="141"/>
        <v/>
      </c>
    </row>
    <row r="81" spans="1:45" s="93" customFormat="1" ht="11">
      <c r="A81" s="7">
        <f>AVERAGE(C82:AS82)*30*100</f>
        <v>27555.555555555555</v>
      </c>
      <c r="B81" s="9" t="s">
        <v>14</v>
      </c>
      <c r="C81" s="74"/>
      <c r="D81" s="8"/>
      <c r="E81" s="8"/>
      <c r="F81" s="59"/>
      <c r="G81" s="8"/>
      <c r="H81" s="8"/>
      <c r="I81" s="59"/>
      <c r="J81" s="8"/>
      <c r="K81" s="8"/>
      <c r="L81" s="8"/>
      <c r="M81" s="59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s="93" customFormat="1" ht="11">
      <c r="A82" s="7">
        <f>SUM(C82:AS82)</f>
        <v>248</v>
      </c>
      <c r="B82" s="6" t="s">
        <v>15</v>
      </c>
      <c r="C82" s="74">
        <v>0</v>
      </c>
      <c r="D82" s="5">
        <f t="shared" ref="D82:AN82" si="142">IF(D75="","",D75-C75)</f>
        <v>0</v>
      </c>
      <c r="E82" s="5">
        <f t="shared" si="142"/>
        <v>3</v>
      </c>
      <c r="F82" s="59">
        <f t="shared" si="142"/>
        <v>0</v>
      </c>
      <c r="G82" s="5">
        <f t="shared" si="142"/>
        <v>0</v>
      </c>
      <c r="H82" s="5">
        <f t="shared" si="142"/>
        <v>76</v>
      </c>
      <c r="I82" s="59">
        <f t="shared" si="142"/>
        <v>0</v>
      </c>
      <c r="J82" s="5">
        <f t="shared" si="142"/>
        <v>0</v>
      </c>
      <c r="K82" s="5">
        <f t="shared" si="142"/>
        <v>0</v>
      </c>
      <c r="L82" s="5">
        <f t="shared" si="142"/>
        <v>8</v>
      </c>
      <c r="M82" s="59">
        <f t="shared" si="142"/>
        <v>0</v>
      </c>
      <c r="N82" s="5">
        <f t="shared" si="142"/>
        <v>0</v>
      </c>
      <c r="O82" s="5">
        <f t="shared" si="142"/>
        <v>28</v>
      </c>
      <c r="P82" s="5">
        <f t="shared" si="142"/>
        <v>0</v>
      </c>
      <c r="Q82" s="5">
        <f t="shared" si="142"/>
        <v>0</v>
      </c>
      <c r="R82" s="5">
        <f t="shared" si="142"/>
        <v>0</v>
      </c>
      <c r="S82" s="5">
        <f t="shared" si="142"/>
        <v>0</v>
      </c>
      <c r="T82" s="5">
        <f t="shared" si="142"/>
        <v>42</v>
      </c>
      <c r="U82" s="5">
        <f t="shared" si="142"/>
        <v>0</v>
      </c>
      <c r="V82" s="5">
        <f t="shared" si="142"/>
        <v>45</v>
      </c>
      <c r="W82" s="5">
        <f t="shared" si="142"/>
        <v>0</v>
      </c>
      <c r="X82" s="5">
        <f t="shared" si="142"/>
        <v>0</v>
      </c>
      <c r="Y82" s="5">
        <f t="shared" si="142"/>
        <v>0</v>
      </c>
      <c r="Z82" s="5">
        <f t="shared" si="142"/>
        <v>14</v>
      </c>
      <c r="AA82" s="5">
        <f t="shared" si="142"/>
        <v>0</v>
      </c>
      <c r="AB82" s="5">
        <f t="shared" si="142"/>
        <v>0</v>
      </c>
      <c r="AC82" s="5">
        <f t="shared" si="142"/>
        <v>32</v>
      </c>
      <c r="AD82" s="5" t="str">
        <f t="shared" si="142"/>
        <v/>
      </c>
      <c r="AE82" s="5" t="str">
        <f t="shared" si="142"/>
        <v/>
      </c>
      <c r="AF82" s="5" t="str">
        <f t="shared" si="142"/>
        <v/>
      </c>
      <c r="AG82" s="5" t="str">
        <f t="shared" si="142"/>
        <v/>
      </c>
      <c r="AH82" s="5" t="str">
        <f t="shared" si="142"/>
        <v/>
      </c>
      <c r="AI82" s="5" t="str">
        <f t="shared" si="142"/>
        <v/>
      </c>
      <c r="AJ82" s="5" t="str">
        <f t="shared" si="142"/>
        <v/>
      </c>
      <c r="AK82" s="5" t="str">
        <f t="shared" si="142"/>
        <v/>
      </c>
      <c r="AL82" s="5" t="str">
        <f t="shared" si="142"/>
        <v/>
      </c>
      <c r="AM82" s="5" t="str">
        <f t="shared" si="142"/>
        <v/>
      </c>
      <c r="AN82" s="5" t="str">
        <f t="shared" si="142"/>
        <v/>
      </c>
      <c r="AO82" s="5" t="str">
        <f t="shared" ref="AO82:AS82" si="143">IF(AO75="","",AO75-AN75)</f>
        <v/>
      </c>
      <c r="AP82" s="5" t="str">
        <f t="shared" si="143"/>
        <v/>
      </c>
      <c r="AQ82" s="5" t="str">
        <f t="shared" si="143"/>
        <v/>
      </c>
      <c r="AR82" s="5" t="str">
        <f t="shared" si="143"/>
        <v/>
      </c>
      <c r="AS82" s="5" t="str">
        <f t="shared" si="143"/>
        <v/>
      </c>
    </row>
    <row r="83" spans="1:45" s="93" customFormat="1" ht="11">
      <c r="A83" s="7">
        <f>SUM(C83:AS83)</f>
        <v>8</v>
      </c>
      <c r="B83" s="6" t="s">
        <v>16</v>
      </c>
      <c r="C83" s="74">
        <v>0</v>
      </c>
      <c r="D83" s="5">
        <f t="shared" ref="D83:AN83" si="144">IF(D76="","",D76-C76)</f>
        <v>0</v>
      </c>
      <c r="E83" s="5">
        <f t="shared" si="144"/>
        <v>0</v>
      </c>
      <c r="F83" s="59">
        <f t="shared" si="144"/>
        <v>0</v>
      </c>
      <c r="G83" s="5">
        <f t="shared" si="144"/>
        <v>0</v>
      </c>
      <c r="H83" s="5">
        <f t="shared" si="144"/>
        <v>2</v>
      </c>
      <c r="I83" s="59">
        <f t="shared" si="144"/>
        <v>0</v>
      </c>
      <c r="J83" s="5">
        <f t="shared" si="144"/>
        <v>0</v>
      </c>
      <c r="K83" s="5">
        <f t="shared" si="144"/>
        <v>0</v>
      </c>
      <c r="L83" s="5">
        <f t="shared" si="144"/>
        <v>0</v>
      </c>
      <c r="M83" s="59">
        <f t="shared" si="144"/>
        <v>0</v>
      </c>
      <c r="N83" s="5">
        <f t="shared" si="144"/>
        <v>0</v>
      </c>
      <c r="O83" s="5">
        <f t="shared" si="144"/>
        <v>1</v>
      </c>
      <c r="P83" s="5">
        <f t="shared" si="144"/>
        <v>0</v>
      </c>
      <c r="Q83" s="5">
        <f t="shared" si="144"/>
        <v>0</v>
      </c>
      <c r="R83" s="5">
        <f t="shared" si="144"/>
        <v>0</v>
      </c>
      <c r="S83" s="5">
        <f t="shared" si="144"/>
        <v>0</v>
      </c>
      <c r="T83" s="5">
        <f t="shared" si="144"/>
        <v>1</v>
      </c>
      <c r="U83" s="5">
        <f t="shared" si="144"/>
        <v>0</v>
      </c>
      <c r="V83" s="5">
        <f t="shared" si="144"/>
        <v>2</v>
      </c>
      <c r="W83" s="5">
        <f t="shared" si="144"/>
        <v>0</v>
      </c>
      <c r="X83" s="5">
        <f t="shared" si="144"/>
        <v>0</v>
      </c>
      <c r="Y83" s="5">
        <f t="shared" si="144"/>
        <v>0</v>
      </c>
      <c r="Z83" s="5">
        <f t="shared" si="144"/>
        <v>0</v>
      </c>
      <c r="AA83" s="5">
        <f t="shared" si="144"/>
        <v>0</v>
      </c>
      <c r="AB83" s="5">
        <f t="shared" si="144"/>
        <v>0</v>
      </c>
      <c r="AC83" s="5">
        <f t="shared" si="144"/>
        <v>2</v>
      </c>
      <c r="AD83" s="5" t="str">
        <f t="shared" si="144"/>
        <v/>
      </c>
      <c r="AE83" s="5" t="str">
        <f t="shared" si="144"/>
        <v/>
      </c>
      <c r="AF83" s="5" t="str">
        <f t="shared" si="144"/>
        <v/>
      </c>
      <c r="AG83" s="5" t="str">
        <f t="shared" si="144"/>
        <v/>
      </c>
      <c r="AH83" s="5" t="str">
        <f t="shared" si="144"/>
        <v/>
      </c>
      <c r="AI83" s="5" t="str">
        <f t="shared" si="144"/>
        <v/>
      </c>
      <c r="AJ83" s="5" t="str">
        <f t="shared" si="144"/>
        <v/>
      </c>
      <c r="AK83" s="5" t="str">
        <f t="shared" si="144"/>
        <v/>
      </c>
      <c r="AL83" s="5" t="str">
        <f t="shared" si="144"/>
        <v/>
      </c>
      <c r="AM83" s="5" t="str">
        <f t="shared" si="144"/>
        <v/>
      </c>
      <c r="AN83" s="5" t="str">
        <f t="shared" si="144"/>
        <v/>
      </c>
      <c r="AO83" s="5" t="str">
        <f t="shared" ref="AO83:AS83" si="145">IF(AO76="","",AO76-AN76)</f>
        <v/>
      </c>
      <c r="AP83" s="5" t="str">
        <f t="shared" si="145"/>
        <v/>
      </c>
      <c r="AQ83" s="5" t="str">
        <f t="shared" si="145"/>
        <v/>
      </c>
      <c r="AR83" s="5" t="str">
        <f t="shared" si="145"/>
        <v/>
      </c>
      <c r="AS83" s="5" t="str">
        <f t="shared" si="145"/>
        <v/>
      </c>
    </row>
    <row r="84" spans="1:45" s="93" customFormat="1" ht="11">
      <c r="A84" s="7">
        <f>SUM(C84:AS84)</f>
        <v>8</v>
      </c>
      <c r="B84" s="6" t="s">
        <v>17</v>
      </c>
      <c r="C84" s="74">
        <v>0</v>
      </c>
      <c r="D84" s="5">
        <f t="shared" ref="D84:AN84" si="146">IF(D77="","",C77+C78-D77)</f>
        <v>0</v>
      </c>
      <c r="E84" s="5">
        <f t="shared" si="146"/>
        <v>0</v>
      </c>
      <c r="F84" s="59">
        <f t="shared" si="146"/>
        <v>0</v>
      </c>
      <c r="G84" s="5">
        <f t="shared" si="146"/>
        <v>0</v>
      </c>
      <c r="H84" s="5">
        <f t="shared" si="146"/>
        <v>2</v>
      </c>
      <c r="I84" s="59">
        <f t="shared" si="146"/>
        <v>0</v>
      </c>
      <c r="J84" s="5">
        <f t="shared" si="146"/>
        <v>0</v>
      </c>
      <c r="K84" s="5">
        <f t="shared" si="146"/>
        <v>0</v>
      </c>
      <c r="L84" s="5">
        <f t="shared" si="146"/>
        <v>0</v>
      </c>
      <c r="M84" s="59">
        <f t="shared" si="146"/>
        <v>0</v>
      </c>
      <c r="N84" s="5">
        <f t="shared" si="146"/>
        <v>0</v>
      </c>
      <c r="O84" s="5">
        <f t="shared" si="146"/>
        <v>1</v>
      </c>
      <c r="P84" s="5">
        <f t="shared" si="146"/>
        <v>0</v>
      </c>
      <c r="Q84" s="5">
        <f t="shared" si="146"/>
        <v>0</v>
      </c>
      <c r="R84" s="5">
        <f t="shared" si="146"/>
        <v>0</v>
      </c>
      <c r="S84" s="5">
        <f t="shared" si="146"/>
        <v>0</v>
      </c>
      <c r="T84" s="5">
        <f t="shared" si="146"/>
        <v>1</v>
      </c>
      <c r="U84" s="5">
        <f t="shared" si="146"/>
        <v>0</v>
      </c>
      <c r="V84" s="5">
        <f t="shared" si="146"/>
        <v>2</v>
      </c>
      <c r="W84" s="5">
        <f t="shared" si="146"/>
        <v>0</v>
      </c>
      <c r="X84" s="5">
        <f t="shared" si="146"/>
        <v>0</v>
      </c>
      <c r="Y84" s="5">
        <f t="shared" si="146"/>
        <v>0</v>
      </c>
      <c r="Z84" s="5">
        <f t="shared" si="146"/>
        <v>0</v>
      </c>
      <c r="AA84" s="5">
        <f t="shared" si="146"/>
        <v>0</v>
      </c>
      <c r="AB84" s="5">
        <f t="shared" si="146"/>
        <v>0</v>
      </c>
      <c r="AC84" s="5">
        <f t="shared" si="146"/>
        <v>2</v>
      </c>
      <c r="AD84" s="5" t="str">
        <f t="shared" si="146"/>
        <v/>
      </c>
      <c r="AE84" s="5" t="str">
        <f t="shared" si="146"/>
        <v/>
      </c>
      <c r="AF84" s="5" t="str">
        <f t="shared" si="146"/>
        <v/>
      </c>
      <c r="AG84" s="5" t="str">
        <f t="shared" si="146"/>
        <v/>
      </c>
      <c r="AH84" s="5" t="str">
        <f t="shared" si="146"/>
        <v/>
      </c>
      <c r="AI84" s="5" t="str">
        <f t="shared" si="146"/>
        <v/>
      </c>
      <c r="AJ84" s="5" t="str">
        <f t="shared" si="146"/>
        <v/>
      </c>
      <c r="AK84" s="5" t="str">
        <f t="shared" si="146"/>
        <v/>
      </c>
      <c r="AL84" s="5" t="str">
        <f t="shared" si="146"/>
        <v/>
      </c>
      <c r="AM84" s="5" t="str">
        <f t="shared" si="146"/>
        <v/>
      </c>
      <c r="AN84" s="5" t="str">
        <f t="shared" si="146"/>
        <v/>
      </c>
      <c r="AO84" s="5" t="str">
        <f t="shared" ref="AO84:AS84" si="147">IF(AO77="","",AN77+AN78-AO77)</f>
        <v/>
      </c>
      <c r="AP84" s="5" t="str">
        <f t="shared" si="147"/>
        <v/>
      </c>
      <c r="AQ84" s="5" t="str">
        <f t="shared" si="147"/>
        <v/>
      </c>
      <c r="AR84" s="5" t="str">
        <f t="shared" si="147"/>
        <v/>
      </c>
      <c r="AS84" s="5" t="str">
        <f t="shared" si="147"/>
        <v/>
      </c>
    </row>
    <row r="85" spans="1:45" s="93" customFormat="1" ht="11">
      <c r="A85" s="7">
        <f>SUM(C85:AS85)</f>
        <v>1200</v>
      </c>
      <c r="B85" s="6" t="s">
        <v>18</v>
      </c>
      <c r="C85" s="74">
        <v>0</v>
      </c>
      <c r="D85" s="5">
        <f t="shared" ref="D85:AN85" si="148">IF(D75="","",D84*D79)</f>
        <v>0</v>
      </c>
      <c r="E85" s="5">
        <f t="shared" si="148"/>
        <v>0</v>
      </c>
      <c r="F85" s="59">
        <f t="shared" si="148"/>
        <v>0</v>
      </c>
      <c r="G85" s="5">
        <f t="shared" si="148"/>
        <v>0</v>
      </c>
      <c r="H85" s="5">
        <f t="shared" si="148"/>
        <v>300</v>
      </c>
      <c r="I85" s="59">
        <f t="shared" si="148"/>
        <v>0</v>
      </c>
      <c r="J85" s="5">
        <f t="shared" si="148"/>
        <v>0</v>
      </c>
      <c r="K85" s="5">
        <f t="shared" si="148"/>
        <v>0</v>
      </c>
      <c r="L85" s="5">
        <f t="shared" si="148"/>
        <v>0</v>
      </c>
      <c r="M85" s="59">
        <f t="shared" si="148"/>
        <v>0</v>
      </c>
      <c r="N85" s="5">
        <f t="shared" si="148"/>
        <v>0</v>
      </c>
      <c r="O85" s="5">
        <f t="shared" si="148"/>
        <v>150</v>
      </c>
      <c r="P85" s="5">
        <f t="shared" si="148"/>
        <v>0</v>
      </c>
      <c r="Q85" s="5">
        <f t="shared" si="148"/>
        <v>0</v>
      </c>
      <c r="R85" s="5">
        <f t="shared" si="148"/>
        <v>0</v>
      </c>
      <c r="S85" s="5">
        <f t="shared" si="148"/>
        <v>0</v>
      </c>
      <c r="T85" s="5">
        <f t="shared" si="148"/>
        <v>150</v>
      </c>
      <c r="U85" s="5">
        <f t="shared" si="148"/>
        <v>0</v>
      </c>
      <c r="V85" s="5">
        <f t="shared" si="148"/>
        <v>300</v>
      </c>
      <c r="W85" s="5">
        <f t="shared" si="148"/>
        <v>0</v>
      </c>
      <c r="X85" s="5">
        <f t="shared" si="148"/>
        <v>0</v>
      </c>
      <c r="Y85" s="5">
        <f t="shared" si="148"/>
        <v>0</v>
      </c>
      <c r="Z85" s="5">
        <f t="shared" si="148"/>
        <v>0</v>
      </c>
      <c r="AA85" s="5">
        <f t="shared" si="148"/>
        <v>0</v>
      </c>
      <c r="AB85" s="5">
        <f t="shared" si="148"/>
        <v>0</v>
      </c>
      <c r="AC85" s="5">
        <f t="shared" si="148"/>
        <v>300</v>
      </c>
      <c r="AD85" s="5" t="str">
        <f t="shared" si="148"/>
        <v/>
      </c>
      <c r="AE85" s="5" t="str">
        <f t="shared" si="148"/>
        <v/>
      </c>
      <c r="AF85" s="5" t="str">
        <f t="shared" si="148"/>
        <v/>
      </c>
      <c r="AG85" s="5" t="str">
        <f t="shared" si="148"/>
        <v/>
      </c>
      <c r="AH85" s="5" t="str">
        <f t="shared" si="148"/>
        <v/>
      </c>
      <c r="AI85" s="5" t="str">
        <f t="shared" si="148"/>
        <v/>
      </c>
      <c r="AJ85" s="5" t="str">
        <f t="shared" si="148"/>
        <v/>
      </c>
      <c r="AK85" s="5" t="str">
        <f t="shared" si="148"/>
        <v/>
      </c>
      <c r="AL85" s="5" t="str">
        <f t="shared" si="148"/>
        <v/>
      </c>
      <c r="AM85" s="5" t="str">
        <f t="shared" si="148"/>
        <v/>
      </c>
      <c r="AN85" s="5" t="str">
        <f t="shared" si="148"/>
        <v/>
      </c>
      <c r="AO85" s="5" t="str">
        <f t="shared" ref="AO85:AS85" si="149">IF(AO75="","",AO84*AO79)</f>
        <v/>
      </c>
      <c r="AP85" s="5" t="str">
        <f t="shared" si="149"/>
        <v/>
      </c>
      <c r="AQ85" s="5" t="str">
        <f t="shared" si="149"/>
        <v/>
      </c>
      <c r="AR85" s="5" t="str">
        <f t="shared" si="149"/>
        <v/>
      </c>
      <c r="AS85" s="5" t="str">
        <f t="shared" si="149"/>
        <v/>
      </c>
    </row>
    <row r="86" spans="1:45" s="93" customFormat="1" ht="12" thickBot="1">
      <c r="A86" s="4">
        <f>IF(A85="","",A85/(A82*100))</f>
        <v>4.8387096774193547E-2</v>
      </c>
      <c r="B86" s="6" t="s">
        <v>20</v>
      </c>
      <c r="C86" s="76" t="s">
        <v>21</v>
      </c>
      <c r="D86" s="18" t="str">
        <f t="shared" ref="D86:AN86" si="150">IF(D85="","",IF(D85=0,"",D85/(D82*100)))</f>
        <v/>
      </c>
      <c r="E86" s="18" t="str">
        <f t="shared" si="150"/>
        <v/>
      </c>
      <c r="F86" s="62" t="str">
        <f t="shared" si="150"/>
        <v/>
      </c>
      <c r="G86" s="18" t="str">
        <f t="shared" si="150"/>
        <v/>
      </c>
      <c r="H86" s="18">
        <f t="shared" si="150"/>
        <v>3.9473684210526314E-2</v>
      </c>
      <c r="I86" s="62" t="str">
        <f t="shared" si="150"/>
        <v/>
      </c>
      <c r="J86" s="18" t="str">
        <f t="shared" si="150"/>
        <v/>
      </c>
      <c r="K86" s="18" t="str">
        <f t="shared" si="150"/>
        <v/>
      </c>
      <c r="L86" s="18" t="str">
        <f t="shared" si="150"/>
        <v/>
      </c>
      <c r="M86" s="62" t="str">
        <f t="shared" si="150"/>
        <v/>
      </c>
      <c r="N86" s="18" t="str">
        <f t="shared" si="150"/>
        <v/>
      </c>
      <c r="O86" s="18">
        <f t="shared" si="150"/>
        <v>5.3571428571428568E-2</v>
      </c>
      <c r="P86" s="18" t="str">
        <f t="shared" si="150"/>
        <v/>
      </c>
      <c r="Q86" s="18" t="str">
        <f t="shared" si="150"/>
        <v/>
      </c>
      <c r="R86" s="18" t="str">
        <f t="shared" si="150"/>
        <v/>
      </c>
      <c r="S86" s="18" t="str">
        <f t="shared" si="150"/>
        <v/>
      </c>
      <c r="T86" s="18">
        <f t="shared" si="150"/>
        <v>3.5714285714285712E-2</v>
      </c>
      <c r="U86" s="18" t="str">
        <f t="shared" si="150"/>
        <v/>
      </c>
      <c r="V86" s="18">
        <f t="shared" si="150"/>
        <v>6.6666666666666666E-2</v>
      </c>
      <c r="W86" s="18" t="str">
        <f t="shared" si="150"/>
        <v/>
      </c>
      <c r="X86" s="18" t="str">
        <f t="shared" si="150"/>
        <v/>
      </c>
      <c r="Y86" s="18" t="str">
        <f t="shared" si="150"/>
        <v/>
      </c>
      <c r="Z86" s="18" t="str">
        <f t="shared" si="150"/>
        <v/>
      </c>
      <c r="AA86" s="18" t="str">
        <f t="shared" si="150"/>
        <v/>
      </c>
      <c r="AB86" s="18" t="str">
        <f t="shared" si="150"/>
        <v/>
      </c>
      <c r="AC86" s="18">
        <f t="shared" si="150"/>
        <v>9.375E-2</v>
      </c>
      <c r="AD86" s="18" t="str">
        <f t="shared" si="150"/>
        <v/>
      </c>
      <c r="AE86" s="18" t="str">
        <f t="shared" si="150"/>
        <v/>
      </c>
      <c r="AF86" s="18" t="str">
        <f t="shared" si="150"/>
        <v/>
      </c>
      <c r="AG86" s="18" t="str">
        <f t="shared" si="150"/>
        <v/>
      </c>
      <c r="AH86" s="18" t="str">
        <f t="shared" si="150"/>
        <v/>
      </c>
      <c r="AI86" s="18" t="str">
        <f t="shared" si="150"/>
        <v/>
      </c>
      <c r="AJ86" s="18" t="str">
        <f t="shared" si="150"/>
        <v/>
      </c>
      <c r="AK86" s="18" t="str">
        <f t="shared" si="150"/>
        <v/>
      </c>
      <c r="AL86" s="18" t="str">
        <f t="shared" si="150"/>
        <v/>
      </c>
      <c r="AM86" s="18" t="str">
        <f t="shared" si="150"/>
        <v/>
      </c>
      <c r="AN86" s="18" t="str">
        <f t="shared" si="150"/>
        <v/>
      </c>
      <c r="AO86" s="18" t="str">
        <f t="shared" ref="AO86:AS86" si="151">IF(AO85="","",IF(AO85=0,"",AO85/(AO82*100)))</f>
        <v/>
      </c>
      <c r="AP86" s="18" t="str">
        <f t="shared" si="151"/>
        <v/>
      </c>
      <c r="AQ86" s="18" t="str">
        <f t="shared" si="151"/>
        <v/>
      </c>
      <c r="AR86" s="18" t="str">
        <f t="shared" si="151"/>
        <v/>
      </c>
      <c r="AS86" s="18" t="str">
        <f t="shared" si="151"/>
        <v/>
      </c>
    </row>
    <row r="87" spans="1:45" s="93" customFormat="1" ht="11">
      <c r="A87" s="17" t="s">
        <v>101</v>
      </c>
      <c r="B87" s="9" t="s">
        <v>2</v>
      </c>
      <c r="C87" s="74">
        <v>14880</v>
      </c>
      <c r="D87" s="8">
        <f>IF(D$3="","",C87)</f>
        <v>14880</v>
      </c>
      <c r="E87" s="8">
        <v>14909</v>
      </c>
      <c r="F87" s="59">
        <f>IF(F$3="","",E87)</f>
        <v>14909</v>
      </c>
      <c r="G87" s="8">
        <f>IF(G$3="","",F87)</f>
        <v>14909</v>
      </c>
      <c r="H87" s="8">
        <v>14962</v>
      </c>
      <c r="I87" s="59">
        <f t="shared" ref="I87:K88" si="152">IF(I$3="","",H87)</f>
        <v>14962</v>
      </c>
      <c r="J87" s="8">
        <f t="shared" si="152"/>
        <v>14962</v>
      </c>
      <c r="K87" s="8">
        <f t="shared" si="152"/>
        <v>14962</v>
      </c>
      <c r="L87" s="8">
        <v>14994</v>
      </c>
      <c r="M87" s="59">
        <f>IF(M$3="","",L87)</f>
        <v>14994</v>
      </c>
      <c r="N87" s="8">
        <f>IF(N$3="","",M87)</f>
        <v>14994</v>
      </c>
      <c r="O87" s="8">
        <v>15051</v>
      </c>
      <c r="P87" s="8">
        <f t="shared" ref="P87:AN87" si="153">IF(P$3="","",O87)</f>
        <v>15051</v>
      </c>
      <c r="Q87" s="8">
        <f t="shared" si="153"/>
        <v>15051</v>
      </c>
      <c r="R87" s="8">
        <f t="shared" si="153"/>
        <v>15051</v>
      </c>
      <c r="S87" s="8">
        <f t="shared" si="153"/>
        <v>15051</v>
      </c>
      <c r="T87" s="8">
        <v>15086</v>
      </c>
      <c r="U87" s="8">
        <f t="shared" si="153"/>
        <v>15086</v>
      </c>
      <c r="V87" s="8">
        <v>15152</v>
      </c>
      <c r="W87" s="8">
        <f t="shared" si="153"/>
        <v>15152</v>
      </c>
      <c r="X87" s="8">
        <f t="shared" si="153"/>
        <v>15152</v>
      </c>
      <c r="Y87" s="8">
        <f t="shared" si="153"/>
        <v>15152</v>
      </c>
      <c r="Z87" s="8">
        <v>15207</v>
      </c>
      <c r="AA87" s="8">
        <f t="shared" si="153"/>
        <v>15207</v>
      </c>
      <c r="AB87" s="8">
        <f t="shared" si="153"/>
        <v>15207</v>
      </c>
      <c r="AC87" s="8">
        <v>15270</v>
      </c>
      <c r="AD87" s="8" t="str">
        <f t="shared" si="153"/>
        <v/>
      </c>
      <c r="AE87" s="8" t="str">
        <f t="shared" si="153"/>
        <v/>
      </c>
      <c r="AF87" s="8" t="str">
        <f t="shared" si="153"/>
        <v/>
      </c>
      <c r="AG87" s="8" t="str">
        <f t="shared" si="153"/>
        <v/>
      </c>
      <c r="AH87" s="8" t="str">
        <f t="shared" si="153"/>
        <v/>
      </c>
      <c r="AI87" s="8" t="str">
        <f t="shared" si="153"/>
        <v/>
      </c>
      <c r="AJ87" s="8" t="str">
        <f t="shared" si="153"/>
        <v/>
      </c>
      <c r="AK87" s="8" t="str">
        <f t="shared" si="153"/>
        <v/>
      </c>
      <c r="AL87" s="8" t="str">
        <f t="shared" si="153"/>
        <v/>
      </c>
      <c r="AM87" s="8" t="str">
        <f t="shared" si="153"/>
        <v/>
      </c>
      <c r="AN87" s="8" t="str">
        <f t="shared" si="153"/>
        <v/>
      </c>
      <c r="AO87" s="8" t="str">
        <f t="shared" ref="AO87:AS87" si="154">IF(AO$3="","",AN87)</f>
        <v/>
      </c>
      <c r="AP87" s="8" t="str">
        <f t="shared" si="154"/>
        <v/>
      </c>
      <c r="AQ87" s="8" t="str">
        <f t="shared" si="154"/>
        <v/>
      </c>
      <c r="AR87" s="8" t="str">
        <f t="shared" si="154"/>
        <v/>
      </c>
      <c r="AS87" s="8" t="str">
        <f t="shared" si="154"/>
        <v/>
      </c>
    </row>
    <row r="88" spans="1:45" s="93" customFormat="1" ht="11">
      <c r="A88" s="16" t="s">
        <v>30</v>
      </c>
      <c r="B88" s="9" t="s">
        <v>4</v>
      </c>
      <c r="C88" s="74">
        <v>454</v>
      </c>
      <c r="D88" s="8">
        <f>IF(D$3="","",C88)</f>
        <v>454</v>
      </c>
      <c r="E88" s="8">
        <f>IF(E$3="","",D88)</f>
        <v>454</v>
      </c>
      <c r="F88" s="59">
        <f>IF(F$3="","",E88)</f>
        <v>454</v>
      </c>
      <c r="G88" s="8">
        <f>IF(G$3="","",F88)</f>
        <v>454</v>
      </c>
      <c r="H88" s="8">
        <f>IF(H$3="","",G88)</f>
        <v>454</v>
      </c>
      <c r="I88" s="59">
        <f t="shared" si="152"/>
        <v>454</v>
      </c>
      <c r="J88" s="8">
        <f t="shared" si="152"/>
        <v>454</v>
      </c>
      <c r="K88" s="8">
        <f t="shared" si="152"/>
        <v>454</v>
      </c>
      <c r="L88" s="8">
        <v>455</v>
      </c>
      <c r="M88" s="59">
        <f>IF(M$3="","",L88)</f>
        <v>455</v>
      </c>
      <c r="N88" s="8">
        <f>IF(N$3="","",M88)</f>
        <v>455</v>
      </c>
      <c r="O88" s="8">
        <f>IF(O$3="","",N88)</f>
        <v>455</v>
      </c>
      <c r="P88" s="8">
        <f t="shared" ref="P88:AN88" si="155">IF(P$3="","",O88)</f>
        <v>455</v>
      </c>
      <c r="Q88" s="8">
        <f t="shared" si="155"/>
        <v>455</v>
      </c>
      <c r="R88" s="8">
        <f t="shared" si="155"/>
        <v>455</v>
      </c>
      <c r="S88" s="8">
        <f t="shared" si="155"/>
        <v>455</v>
      </c>
      <c r="T88" s="8">
        <v>456</v>
      </c>
      <c r="U88" s="8">
        <f t="shared" si="155"/>
        <v>456</v>
      </c>
      <c r="V88" s="8">
        <f t="shared" si="155"/>
        <v>456</v>
      </c>
      <c r="W88" s="8">
        <f t="shared" si="155"/>
        <v>456</v>
      </c>
      <c r="X88" s="8">
        <f t="shared" si="155"/>
        <v>456</v>
      </c>
      <c r="Y88" s="8">
        <f t="shared" si="155"/>
        <v>456</v>
      </c>
      <c r="Z88" s="8">
        <v>457</v>
      </c>
      <c r="AA88" s="8">
        <f t="shared" si="155"/>
        <v>457</v>
      </c>
      <c r="AB88" s="8">
        <f t="shared" si="155"/>
        <v>457</v>
      </c>
      <c r="AC88" s="8">
        <f t="shared" si="155"/>
        <v>457</v>
      </c>
      <c r="AD88" s="8" t="str">
        <f t="shared" si="155"/>
        <v/>
      </c>
      <c r="AE88" s="8" t="str">
        <f t="shared" si="155"/>
        <v/>
      </c>
      <c r="AF88" s="8" t="str">
        <f t="shared" si="155"/>
        <v/>
      </c>
      <c r="AG88" s="8" t="str">
        <f t="shared" si="155"/>
        <v/>
      </c>
      <c r="AH88" s="8" t="str">
        <f t="shared" si="155"/>
        <v/>
      </c>
      <c r="AI88" s="8" t="str">
        <f t="shared" si="155"/>
        <v/>
      </c>
      <c r="AJ88" s="8" t="str">
        <f t="shared" si="155"/>
        <v/>
      </c>
      <c r="AK88" s="8" t="str">
        <f t="shared" si="155"/>
        <v/>
      </c>
      <c r="AL88" s="8" t="str">
        <f t="shared" si="155"/>
        <v/>
      </c>
      <c r="AM88" s="8" t="str">
        <f t="shared" si="155"/>
        <v/>
      </c>
      <c r="AN88" s="8" t="str">
        <f t="shared" si="155"/>
        <v/>
      </c>
      <c r="AO88" s="8" t="str">
        <f t="shared" ref="AO88:AS88" si="156">IF(AO$3="","",AN88)</f>
        <v/>
      </c>
      <c r="AP88" s="8" t="str">
        <f t="shared" si="156"/>
        <v/>
      </c>
      <c r="AQ88" s="8" t="str">
        <f t="shared" si="156"/>
        <v/>
      </c>
      <c r="AR88" s="8" t="str">
        <f t="shared" si="156"/>
        <v/>
      </c>
      <c r="AS88" s="8" t="str">
        <f t="shared" si="156"/>
        <v/>
      </c>
    </row>
    <row r="89" spans="1:45" s="93" customFormat="1" ht="11">
      <c r="A89" s="15">
        <v>4</v>
      </c>
      <c r="B89" s="9" t="s">
        <v>5</v>
      </c>
      <c r="C89" s="74">
        <v>3</v>
      </c>
      <c r="D89" s="8">
        <f t="shared" ref="D89:K89" si="157">IF(D87="","",(C89+C90))</f>
        <v>3</v>
      </c>
      <c r="E89" s="8">
        <f t="shared" si="157"/>
        <v>3</v>
      </c>
      <c r="F89" s="59">
        <f t="shared" si="157"/>
        <v>3</v>
      </c>
      <c r="G89" s="8">
        <f t="shared" si="157"/>
        <v>3</v>
      </c>
      <c r="H89" s="8">
        <f t="shared" si="157"/>
        <v>3</v>
      </c>
      <c r="I89" s="59">
        <f t="shared" si="157"/>
        <v>3</v>
      </c>
      <c r="J89" s="8">
        <f t="shared" si="157"/>
        <v>3</v>
      </c>
      <c r="K89" s="8">
        <f t="shared" si="157"/>
        <v>3</v>
      </c>
      <c r="L89" s="8">
        <v>2</v>
      </c>
      <c r="M89" s="59">
        <f t="shared" ref="M89:AN89" si="158">IF(M87="","",(L89+L90))</f>
        <v>5</v>
      </c>
      <c r="N89" s="8">
        <f t="shared" si="158"/>
        <v>5</v>
      </c>
      <c r="O89" s="8">
        <f t="shared" si="158"/>
        <v>5</v>
      </c>
      <c r="P89" s="8">
        <f t="shared" si="158"/>
        <v>5</v>
      </c>
      <c r="Q89" s="8">
        <f t="shared" si="158"/>
        <v>5</v>
      </c>
      <c r="R89" s="8">
        <f t="shared" si="158"/>
        <v>5</v>
      </c>
      <c r="S89" s="8">
        <f t="shared" si="158"/>
        <v>5</v>
      </c>
      <c r="T89" s="8">
        <v>4</v>
      </c>
      <c r="U89" s="8">
        <f t="shared" si="158"/>
        <v>4</v>
      </c>
      <c r="V89" s="8">
        <f t="shared" si="158"/>
        <v>4</v>
      </c>
      <c r="W89" s="8">
        <f t="shared" si="158"/>
        <v>4</v>
      </c>
      <c r="X89" s="8">
        <f t="shared" si="158"/>
        <v>4</v>
      </c>
      <c r="Y89" s="8">
        <f t="shared" si="158"/>
        <v>4</v>
      </c>
      <c r="Z89" s="8">
        <v>3</v>
      </c>
      <c r="AA89" s="8">
        <f t="shared" si="158"/>
        <v>3</v>
      </c>
      <c r="AB89" s="8">
        <f t="shared" si="158"/>
        <v>3</v>
      </c>
      <c r="AC89" s="8">
        <f t="shared" si="158"/>
        <v>3</v>
      </c>
      <c r="AD89" s="8" t="str">
        <f t="shared" si="158"/>
        <v/>
      </c>
      <c r="AE89" s="8" t="str">
        <f t="shared" si="158"/>
        <v/>
      </c>
      <c r="AF89" s="8" t="str">
        <f t="shared" si="158"/>
        <v/>
      </c>
      <c r="AG89" s="8" t="str">
        <f t="shared" si="158"/>
        <v/>
      </c>
      <c r="AH89" s="8" t="str">
        <f t="shared" si="158"/>
        <v/>
      </c>
      <c r="AI89" s="8" t="str">
        <f t="shared" si="158"/>
        <v/>
      </c>
      <c r="AJ89" s="8" t="str">
        <f t="shared" si="158"/>
        <v/>
      </c>
      <c r="AK89" s="8" t="str">
        <f t="shared" si="158"/>
        <v/>
      </c>
      <c r="AL89" s="8" t="str">
        <f t="shared" si="158"/>
        <v/>
      </c>
      <c r="AM89" s="8" t="str">
        <f t="shared" si="158"/>
        <v/>
      </c>
      <c r="AN89" s="8" t="str">
        <f t="shared" si="158"/>
        <v/>
      </c>
      <c r="AO89" s="8" t="str">
        <f t="shared" ref="AO89:AS89" si="159">IF(AO87="","",(AN89+AN90))</f>
        <v/>
      </c>
      <c r="AP89" s="8" t="str">
        <f t="shared" si="159"/>
        <v/>
      </c>
      <c r="AQ89" s="8" t="str">
        <f t="shared" si="159"/>
        <v/>
      </c>
      <c r="AR89" s="8" t="str">
        <f t="shared" si="159"/>
        <v/>
      </c>
      <c r="AS89" s="8" t="str">
        <f t="shared" si="159"/>
        <v/>
      </c>
    </row>
    <row r="90" spans="1:45" s="93" customFormat="1" ht="11">
      <c r="A90" s="14"/>
      <c r="B90" s="9" t="s">
        <v>7</v>
      </c>
      <c r="C90" s="74"/>
      <c r="D90" s="8"/>
      <c r="E90" s="8"/>
      <c r="F90" s="59"/>
      <c r="G90" s="8"/>
      <c r="H90" s="8"/>
      <c r="I90" s="59"/>
      <c r="J90" s="8"/>
      <c r="K90" s="8"/>
      <c r="L90" s="8">
        <v>3</v>
      </c>
      <c r="M90" s="59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s="93" customFormat="1" ht="11">
      <c r="A91" s="7"/>
      <c r="B91" s="9" t="s">
        <v>8</v>
      </c>
      <c r="C91" s="74">
        <v>500</v>
      </c>
      <c r="D91" s="8">
        <f t="shared" ref="D91:AN91" si="160">IF(D87="","",C91)</f>
        <v>500</v>
      </c>
      <c r="E91" s="8">
        <f t="shared" si="160"/>
        <v>500</v>
      </c>
      <c r="F91" s="59">
        <f t="shared" si="160"/>
        <v>500</v>
      </c>
      <c r="G91" s="8">
        <f t="shared" si="160"/>
        <v>500</v>
      </c>
      <c r="H91" s="8">
        <f t="shared" si="160"/>
        <v>500</v>
      </c>
      <c r="I91" s="59">
        <f t="shared" si="160"/>
        <v>500</v>
      </c>
      <c r="J91" s="8">
        <f t="shared" si="160"/>
        <v>500</v>
      </c>
      <c r="K91" s="8">
        <f t="shared" si="160"/>
        <v>500</v>
      </c>
      <c r="L91" s="8">
        <f t="shared" si="160"/>
        <v>500</v>
      </c>
      <c r="M91" s="59">
        <f t="shared" si="160"/>
        <v>500</v>
      </c>
      <c r="N91" s="8">
        <f t="shared" si="160"/>
        <v>500</v>
      </c>
      <c r="O91" s="8">
        <f t="shared" si="160"/>
        <v>500</v>
      </c>
      <c r="P91" s="8">
        <f t="shared" si="160"/>
        <v>500</v>
      </c>
      <c r="Q91" s="8">
        <f t="shared" si="160"/>
        <v>500</v>
      </c>
      <c r="R91" s="8">
        <f t="shared" si="160"/>
        <v>500</v>
      </c>
      <c r="S91" s="8">
        <f t="shared" si="160"/>
        <v>500</v>
      </c>
      <c r="T91" s="8">
        <f t="shared" si="160"/>
        <v>500</v>
      </c>
      <c r="U91" s="8">
        <f t="shared" si="160"/>
        <v>500</v>
      </c>
      <c r="V91" s="8">
        <f t="shared" si="160"/>
        <v>500</v>
      </c>
      <c r="W91" s="8">
        <f t="shared" si="160"/>
        <v>500</v>
      </c>
      <c r="X91" s="8">
        <f t="shared" si="160"/>
        <v>500</v>
      </c>
      <c r="Y91" s="8">
        <f t="shared" si="160"/>
        <v>500</v>
      </c>
      <c r="Z91" s="8">
        <f t="shared" si="160"/>
        <v>500</v>
      </c>
      <c r="AA91" s="8">
        <f t="shared" si="160"/>
        <v>500</v>
      </c>
      <c r="AB91" s="8">
        <f t="shared" si="160"/>
        <v>500</v>
      </c>
      <c r="AC91" s="8">
        <f t="shared" si="160"/>
        <v>500</v>
      </c>
      <c r="AD91" s="8" t="str">
        <f t="shared" si="160"/>
        <v/>
      </c>
      <c r="AE91" s="8" t="str">
        <f t="shared" si="160"/>
        <v/>
      </c>
      <c r="AF91" s="8" t="str">
        <f t="shared" si="160"/>
        <v/>
      </c>
      <c r="AG91" s="8" t="str">
        <f t="shared" si="160"/>
        <v/>
      </c>
      <c r="AH91" s="8" t="str">
        <f t="shared" si="160"/>
        <v/>
      </c>
      <c r="AI91" s="8" t="str">
        <f t="shared" si="160"/>
        <v/>
      </c>
      <c r="AJ91" s="8" t="str">
        <f t="shared" si="160"/>
        <v/>
      </c>
      <c r="AK91" s="8" t="str">
        <f t="shared" si="160"/>
        <v/>
      </c>
      <c r="AL91" s="8" t="str">
        <f t="shared" si="160"/>
        <v/>
      </c>
      <c r="AM91" s="8" t="str">
        <f t="shared" si="160"/>
        <v/>
      </c>
      <c r="AN91" s="8" t="str">
        <f t="shared" si="160"/>
        <v/>
      </c>
      <c r="AO91" s="8" t="str">
        <f t="shared" ref="AO91:AS91" si="161">IF(AO87="","",AN91)</f>
        <v/>
      </c>
      <c r="AP91" s="8" t="str">
        <f t="shared" si="161"/>
        <v/>
      </c>
      <c r="AQ91" s="8" t="str">
        <f t="shared" si="161"/>
        <v/>
      </c>
      <c r="AR91" s="8" t="str">
        <f t="shared" si="161"/>
        <v/>
      </c>
      <c r="AS91" s="8" t="str">
        <f t="shared" si="161"/>
        <v/>
      </c>
    </row>
    <row r="92" spans="1:45" s="94" customFormat="1" ht="11">
      <c r="A92" s="14" t="s">
        <v>9</v>
      </c>
      <c r="B92" s="13" t="s">
        <v>10</v>
      </c>
      <c r="C92" s="75" t="s">
        <v>71</v>
      </c>
      <c r="D92" s="12" t="str">
        <f t="shared" ref="D92:AN92" si="162">IF(D87="","",C92)</f>
        <v>ギャルキティフェイスポーチ</v>
      </c>
      <c r="E92" s="12" t="str">
        <f t="shared" si="162"/>
        <v>ギャルキティフェイスポーチ</v>
      </c>
      <c r="F92" s="131" t="str">
        <f t="shared" si="162"/>
        <v>ギャルキティフェイスポーチ</v>
      </c>
      <c r="G92" s="12" t="str">
        <f t="shared" si="162"/>
        <v>ギャルキティフェイスポーチ</v>
      </c>
      <c r="H92" s="12" t="str">
        <f t="shared" si="162"/>
        <v>ギャルキティフェイスポーチ</v>
      </c>
      <c r="I92" s="131" t="str">
        <f t="shared" si="162"/>
        <v>ギャルキティフェイスポーチ</v>
      </c>
      <c r="J92" s="12" t="str">
        <f t="shared" si="162"/>
        <v>ギャルキティフェイスポーチ</v>
      </c>
      <c r="K92" s="12" t="str">
        <f t="shared" si="162"/>
        <v>ギャルキティフェイスポーチ</v>
      </c>
      <c r="L92" s="12" t="str">
        <f t="shared" si="162"/>
        <v>ギャルキティフェイスポーチ</v>
      </c>
      <c r="M92" s="131" t="str">
        <f t="shared" si="162"/>
        <v>ギャルキティフェイスポーチ</v>
      </c>
      <c r="N92" s="12" t="str">
        <f t="shared" si="162"/>
        <v>ギャルキティフェイスポーチ</v>
      </c>
      <c r="O92" s="12" t="str">
        <f t="shared" si="162"/>
        <v>ギャルキティフェイスポーチ</v>
      </c>
      <c r="P92" s="12" t="str">
        <f t="shared" si="162"/>
        <v>ギャルキティフェイスポーチ</v>
      </c>
      <c r="Q92" s="12" t="str">
        <f t="shared" si="162"/>
        <v>ギャルキティフェイスポーチ</v>
      </c>
      <c r="R92" s="12" t="str">
        <f t="shared" si="162"/>
        <v>ギャルキティフェイスポーチ</v>
      </c>
      <c r="S92" s="12" t="str">
        <f t="shared" si="162"/>
        <v>ギャルキティフェイスポーチ</v>
      </c>
      <c r="T92" s="12" t="str">
        <f t="shared" si="162"/>
        <v>ギャルキティフェイスポーチ</v>
      </c>
      <c r="U92" s="12" t="str">
        <f t="shared" si="162"/>
        <v>ギャルキティフェイスポーチ</v>
      </c>
      <c r="V92" s="12" t="str">
        <f t="shared" si="162"/>
        <v>ギャルキティフェイスポーチ</v>
      </c>
      <c r="W92" s="12" t="str">
        <f t="shared" si="162"/>
        <v>ギャルキティフェイスポーチ</v>
      </c>
      <c r="X92" s="12" t="str">
        <f t="shared" si="162"/>
        <v>ギャルキティフェイスポーチ</v>
      </c>
      <c r="Y92" s="12" t="str">
        <f t="shared" si="162"/>
        <v>ギャルキティフェイスポーチ</v>
      </c>
      <c r="Z92" s="12" t="str">
        <f t="shared" si="162"/>
        <v>ギャルキティフェイスポーチ</v>
      </c>
      <c r="AA92" s="12" t="str">
        <f t="shared" si="162"/>
        <v>ギャルキティフェイスポーチ</v>
      </c>
      <c r="AB92" s="12" t="str">
        <f t="shared" si="162"/>
        <v>ギャルキティフェイスポーチ</v>
      </c>
      <c r="AC92" s="12" t="str">
        <f t="shared" si="162"/>
        <v>ギャルキティフェイスポーチ</v>
      </c>
      <c r="AD92" s="12" t="str">
        <f t="shared" si="162"/>
        <v/>
      </c>
      <c r="AE92" s="12" t="str">
        <f t="shared" si="162"/>
        <v/>
      </c>
      <c r="AF92" s="12" t="str">
        <f t="shared" si="162"/>
        <v/>
      </c>
      <c r="AG92" s="12" t="str">
        <f t="shared" si="162"/>
        <v/>
      </c>
      <c r="AH92" s="12" t="str">
        <f t="shared" si="162"/>
        <v/>
      </c>
      <c r="AI92" s="12" t="str">
        <f t="shared" si="162"/>
        <v/>
      </c>
      <c r="AJ92" s="12" t="str">
        <f t="shared" si="162"/>
        <v/>
      </c>
      <c r="AK92" s="12" t="str">
        <f t="shared" si="162"/>
        <v/>
      </c>
      <c r="AL92" s="12" t="str">
        <f t="shared" si="162"/>
        <v/>
      </c>
      <c r="AM92" s="12" t="str">
        <f t="shared" si="162"/>
        <v/>
      </c>
      <c r="AN92" s="12" t="str">
        <f t="shared" si="162"/>
        <v/>
      </c>
      <c r="AO92" s="12" t="str">
        <f t="shared" ref="AO92:AS92" si="163">IF(AO87="","",AN92)</f>
        <v/>
      </c>
      <c r="AP92" s="12" t="str">
        <f t="shared" si="163"/>
        <v/>
      </c>
      <c r="AQ92" s="12" t="str">
        <f t="shared" si="163"/>
        <v/>
      </c>
      <c r="AR92" s="12" t="str">
        <f t="shared" si="163"/>
        <v/>
      </c>
      <c r="AS92" s="12" t="str">
        <f t="shared" si="163"/>
        <v/>
      </c>
    </row>
    <row r="93" spans="1:45" s="93" customFormat="1" ht="11">
      <c r="A93" s="7">
        <f>AVERAGE(C94:AS94)*30*100</f>
        <v>43333.333333333328</v>
      </c>
      <c r="B93" s="9" t="s">
        <v>14</v>
      </c>
      <c r="C93" s="74"/>
      <c r="D93" s="8"/>
      <c r="E93" s="8"/>
      <c r="F93" s="59"/>
      <c r="G93" s="8"/>
      <c r="H93" s="8"/>
      <c r="I93" s="59"/>
      <c r="J93" s="8"/>
      <c r="K93" s="8"/>
      <c r="L93" s="8"/>
      <c r="M93" s="59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s="93" customFormat="1" ht="11">
      <c r="A94" s="7">
        <f>SUM(C94:AS94)</f>
        <v>390</v>
      </c>
      <c r="B94" s="6" t="s">
        <v>15</v>
      </c>
      <c r="C94" s="74">
        <v>0</v>
      </c>
      <c r="D94" s="5">
        <f t="shared" ref="D94:AN94" si="164">IF(D87="","",D87-C87)</f>
        <v>0</v>
      </c>
      <c r="E94" s="5">
        <f t="shared" si="164"/>
        <v>29</v>
      </c>
      <c r="F94" s="59">
        <f t="shared" si="164"/>
        <v>0</v>
      </c>
      <c r="G94" s="5">
        <f t="shared" si="164"/>
        <v>0</v>
      </c>
      <c r="H94" s="5">
        <f t="shared" si="164"/>
        <v>53</v>
      </c>
      <c r="I94" s="59">
        <f t="shared" si="164"/>
        <v>0</v>
      </c>
      <c r="J94" s="5">
        <f t="shared" si="164"/>
        <v>0</v>
      </c>
      <c r="K94" s="5">
        <f t="shared" si="164"/>
        <v>0</v>
      </c>
      <c r="L94" s="5">
        <f t="shared" si="164"/>
        <v>32</v>
      </c>
      <c r="M94" s="59">
        <f t="shared" si="164"/>
        <v>0</v>
      </c>
      <c r="N94" s="5">
        <f t="shared" si="164"/>
        <v>0</v>
      </c>
      <c r="O94" s="5">
        <f t="shared" si="164"/>
        <v>57</v>
      </c>
      <c r="P94" s="5">
        <f t="shared" si="164"/>
        <v>0</v>
      </c>
      <c r="Q94" s="5">
        <f t="shared" si="164"/>
        <v>0</v>
      </c>
      <c r="R94" s="5">
        <f t="shared" si="164"/>
        <v>0</v>
      </c>
      <c r="S94" s="5">
        <f t="shared" si="164"/>
        <v>0</v>
      </c>
      <c r="T94" s="5">
        <f t="shared" si="164"/>
        <v>35</v>
      </c>
      <c r="U94" s="5">
        <f t="shared" si="164"/>
        <v>0</v>
      </c>
      <c r="V94" s="5">
        <f t="shared" si="164"/>
        <v>66</v>
      </c>
      <c r="W94" s="5">
        <f t="shared" si="164"/>
        <v>0</v>
      </c>
      <c r="X94" s="5">
        <f t="shared" si="164"/>
        <v>0</v>
      </c>
      <c r="Y94" s="5">
        <f t="shared" si="164"/>
        <v>0</v>
      </c>
      <c r="Z94" s="5">
        <f t="shared" si="164"/>
        <v>55</v>
      </c>
      <c r="AA94" s="5">
        <f t="shared" si="164"/>
        <v>0</v>
      </c>
      <c r="AB94" s="5">
        <f t="shared" si="164"/>
        <v>0</v>
      </c>
      <c r="AC94" s="5">
        <f t="shared" si="164"/>
        <v>63</v>
      </c>
      <c r="AD94" s="5" t="str">
        <f t="shared" si="164"/>
        <v/>
      </c>
      <c r="AE94" s="5" t="str">
        <f t="shared" si="164"/>
        <v/>
      </c>
      <c r="AF94" s="5" t="str">
        <f t="shared" si="164"/>
        <v/>
      </c>
      <c r="AG94" s="5" t="str">
        <f t="shared" si="164"/>
        <v/>
      </c>
      <c r="AH94" s="5" t="str">
        <f t="shared" si="164"/>
        <v/>
      </c>
      <c r="AI94" s="5" t="str">
        <f t="shared" si="164"/>
        <v/>
      </c>
      <c r="AJ94" s="5" t="str">
        <f t="shared" si="164"/>
        <v/>
      </c>
      <c r="AK94" s="5" t="str">
        <f t="shared" si="164"/>
        <v/>
      </c>
      <c r="AL94" s="5" t="str">
        <f t="shared" si="164"/>
        <v/>
      </c>
      <c r="AM94" s="5" t="str">
        <f t="shared" si="164"/>
        <v/>
      </c>
      <c r="AN94" s="5" t="str">
        <f t="shared" si="164"/>
        <v/>
      </c>
      <c r="AO94" s="5" t="str">
        <f t="shared" ref="AO94:AS94" si="165">IF(AO87="","",AO87-AN87)</f>
        <v/>
      </c>
      <c r="AP94" s="5" t="str">
        <f t="shared" si="165"/>
        <v/>
      </c>
      <c r="AQ94" s="5" t="str">
        <f t="shared" si="165"/>
        <v/>
      </c>
      <c r="AR94" s="5" t="str">
        <f t="shared" si="165"/>
        <v/>
      </c>
      <c r="AS94" s="5" t="str">
        <f t="shared" si="165"/>
        <v/>
      </c>
    </row>
    <row r="95" spans="1:45" s="93" customFormat="1" ht="11">
      <c r="A95" s="7">
        <f>SUM(C95:AS95)</f>
        <v>3</v>
      </c>
      <c r="B95" s="6" t="s">
        <v>16</v>
      </c>
      <c r="C95" s="74">
        <v>0</v>
      </c>
      <c r="D95" s="5">
        <f t="shared" ref="D95:AN95" si="166">IF(D88="","",D88-C88)</f>
        <v>0</v>
      </c>
      <c r="E95" s="5">
        <f t="shared" si="166"/>
        <v>0</v>
      </c>
      <c r="F95" s="59">
        <f t="shared" si="166"/>
        <v>0</v>
      </c>
      <c r="G95" s="5">
        <f t="shared" si="166"/>
        <v>0</v>
      </c>
      <c r="H95" s="5">
        <f t="shared" si="166"/>
        <v>0</v>
      </c>
      <c r="I95" s="59">
        <f t="shared" si="166"/>
        <v>0</v>
      </c>
      <c r="J95" s="5">
        <f t="shared" si="166"/>
        <v>0</v>
      </c>
      <c r="K95" s="5">
        <f t="shared" si="166"/>
        <v>0</v>
      </c>
      <c r="L95" s="5">
        <f t="shared" si="166"/>
        <v>1</v>
      </c>
      <c r="M95" s="59">
        <f t="shared" si="166"/>
        <v>0</v>
      </c>
      <c r="N95" s="5">
        <f t="shared" si="166"/>
        <v>0</v>
      </c>
      <c r="O95" s="5">
        <f t="shared" si="166"/>
        <v>0</v>
      </c>
      <c r="P95" s="5">
        <f t="shared" si="166"/>
        <v>0</v>
      </c>
      <c r="Q95" s="5">
        <f t="shared" si="166"/>
        <v>0</v>
      </c>
      <c r="R95" s="5">
        <f t="shared" si="166"/>
        <v>0</v>
      </c>
      <c r="S95" s="5">
        <f t="shared" si="166"/>
        <v>0</v>
      </c>
      <c r="T95" s="5">
        <f t="shared" si="166"/>
        <v>1</v>
      </c>
      <c r="U95" s="5">
        <f t="shared" si="166"/>
        <v>0</v>
      </c>
      <c r="V95" s="5">
        <f t="shared" si="166"/>
        <v>0</v>
      </c>
      <c r="W95" s="5">
        <f t="shared" si="166"/>
        <v>0</v>
      </c>
      <c r="X95" s="5">
        <f t="shared" si="166"/>
        <v>0</v>
      </c>
      <c r="Y95" s="5">
        <f t="shared" si="166"/>
        <v>0</v>
      </c>
      <c r="Z95" s="5">
        <f t="shared" si="166"/>
        <v>1</v>
      </c>
      <c r="AA95" s="5">
        <f t="shared" si="166"/>
        <v>0</v>
      </c>
      <c r="AB95" s="5">
        <f t="shared" si="166"/>
        <v>0</v>
      </c>
      <c r="AC95" s="5">
        <f t="shared" si="166"/>
        <v>0</v>
      </c>
      <c r="AD95" s="5" t="str">
        <f t="shared" si="166"/>
        <v/>
      </c>
      <c r="AE95" s="5" t="str">
        <f t="shared" si="166"/>
        <v/>
      </c>
      <c r="AF95" s="5" t="str">
        <f t="shared" si="166"/>
        <v/>
      </c>
      <c r="AG95" s="5" t="str">
        <f t="shared" si="166"/>
        <v/>
      </c>
      <c r="AH95" s="5" t="str">
        <f t="shared" si="166"/>
        <v/>
      </c>
      <c r="AI95" s="5" t="str">
        <f t="shared" si="166"/>
        <v/>
      </c>
      <c r="AJ95" s="5" t="str">
        <f t="shared" si="166"/>
        <v/>
      </c>
      <c r="AK95" s="5" t="str">
        <f t="shared" si="166"/>
        <v/>
      </c>
      <c r="AL95" s="5" t="str">
        <f t="shared" si="166"/>
        <v/>
      </c>
      <c r="AM95" s="5" t="str">
        <f t="shared" si="166"/>
        <v/>
      </c>
      <c r="AN95" s="5" t="str">
        <f t="shared" si="166"/>
        <v/>
      </c>
      <c r="AO95" s="5" t="str">
        <f t="shared" ref="AO95:AS95" si="167">IF(AO88="","",AO88-AN88)</f>
        <v/>
      </c>
      <c r="AP95" s="5" t="str">
        <f t="shared" si="167"/>
        <v/>
      </c>
      <c r="AQ95" s="5" t="str">
        <f t="shared" si="167"/>
        <v/>
      </c>
      <c r="AR95" s="5" t="str">
        <f t="shared" si="167"/>
        <v/>
      </c>
      <c r="AS95" s="5" t="str">
        <f t="shared" si="167"/>
        <v/>
      </c>
    </row>
    <row r="96" spans="1:45" s="93" customFormat="1" ht="11">
      <c r="A96" s="7">
        <f>SUM(C96:AS96)</f>
        <v>3</v>
      </c>
      <c r="B96" s="6" t="s">
        <v>17</v>
      </c>
      <c r="C96" s="74">
        <v>0</v>
      </c>
      <c r="D96" s="5">
        <f t="shared" ref="D96:AN96" si="168">IF(D89="","",C89+C90-D89)</f>
        <v>0</v>
      </c>
      <c r="E96" s="5">
        <f t="shared" si="168"/>
        <v>0</v>
      </c>
      <c r="F96" s="59">
        <f t="shared" si="168"/>
        <v>0</v>
      </c>
      <c r="G96" s="5">
        <f t="shared" si="168"/>
        <v>0</v>
      </c>
      <c r="H96" s="5">
        <f t="shared" si="168"/>
        <v>0</v>
      </c>
      <c r="I96" s="59">
        <f t="shared" si="168"/>
        <v>0</v>
      </c>
      <c r="J96" s="5">
        <f t="shared" si="168"/>
        <v>0</v>
      </c>
      <c r="K96" s="5">
        <f t="shared" si="168"/>
        <v>0</v>
      </c>
      <c r="L96" s="5">
        <f t="shared" si="168"/>
        <v>1</v>
      </c>
      <c r="M96" s="59">
        <f t="shared" si="168"/>
        <v>0</v>
      </c>
      <c r="N96" s="5">
        <f t="shared" si="168"/>
        <v>0</v>
      </c>
      <c r="O96" s="5">
        <f t="shared" si="168"/>
        <v>0</v>
      </c>
      <c r="P96" s="5">
        <f t="shared" si="168"/>
        <v>0</v>
      </c>
      <c r="Q96" s="5">
        <f t="shared" si="168"/>
        <v>0</v>
      </c>
      <c r="R96" s="5">
        <f t="shared" si="168"/>
        <v>0</v>
      </c>
      <c r="S96" s="5">
        <f t="shared" si="168"/>
        <v>0</v>
      </c>
      <c r="T96" s="5">
        <f t="shared" si="168"/>
        <v>1</v>
      </c>
      <c r="U96" s="5">
        <f t="shared" si="168"/>
        <v>0</v>
      </c>
      <c r="V96" s="5">
        <f t="shared" si="168"/>
        <v>0</v>
      </c>
      <c r="W96" s="5">
        <f t="shared" si="168"/>
        <v>0</v>
      </c>
      <c r="X96" s="5">
        <f t="shared" si="168"/>
        <v>0</v>
      </c>
      <c r="Y96" s="5">
        <f t="shared" si="168"/>
        <v>0</v>
      </c>
      <c r="Z96" s="5">
        <f t="shared" si="168"/>
        <v>1</v>
      </c>
      <c r="AA96" s="5">
        <f t="shared" si="168"/>
        <v>0</v>
      </c>
      <c r="AB96" s="5">
        <f t="shared" si="168"/>
        <v>0</v>
      </c>
      <c r="AC96" s="5">
        <f t="shared" si="168"/>
        <v>0</v>
      </c>
      <c r="AD96" s="5" t="str">
        <f t="shared" si="168"/>
        <v/>
      </c>
      <c r="AE96" s="5" t="str">
        <f t="shared" si="168"/>
        <v/>
      </c>
      <c r="AF96" s="5" t="str">
        <f t="shared" si="168"/>
        <v/>
      </c>
      <c r="AG96" s="5" t="str">
        <f t="shared" si="168"/>
        <v/>
      </c>
      <c r="AH96" s="5" t="str">
        <f t="shared" si="168"/>
        <v/>
      </c>
      <c r="AI96" s="5" t="str">
        <f t="shared" si="168"/>
        <v/>
      </c>
      <c r="AJ96" s="5" t="str">
        <f t="shared" si="168"/>
        <v/>
      </c>
      <c r="AK96" s="5" t="str">
        <f t="shared" si="168"/>
        <v/>
      </c>
      <c r="AL96" s="5" t="str">
        <f t="shared" si="168"/>
        <v/>
      </c>
      <c r="AM96" s="5" t="str">
        <f t="shared" si="168"/>
        <v/>
      </c>
      <c r="AN96" s="5" t="str">
        <f t="shared" si="168"/>
        <v/>
      </c>
      <c r="AO96" s="5" t="str">
        <f t="shared" ref="AO96:AS96" si="169">IF(AO89="","",AN89+AN90-AO89)</f>
        <v/>
      </c>
      <c r="AP96" s="5" t="str">
        <f t="shared" si="169"/>
        <v/>
      </c>
      <c r="AQ96" s="5" t="str">
        <f t="shared" si="169"/>
        <v/>
      </c>
      <c r="AR96" s="5" t="str">
        <f t="shared" si="169"/>
        <v/>
      </c>
      <c r="AS96" s="5" t="str">
        <f t="shared" si="169"/>
        <v/>
      </c>
    </row>
    <row r="97" spans="1:45" s="93" customFormat="1" ht="11">
      <c r="A97" s="7">
        <f>SUM(C97:AS97)</f>
        <v>1500</v>
      </c>
      <c r="B97" s="6" t="s">
        <v>18</v>
      </c>
      <c r="C97" s="74">
        <v>0</v>
      </c>
      <c r="D97" s="5">
        <f t="shared" ref="D97:AN97" si="170">IF(D87="","",D96*D91)</f>
        <v>0</v>
      </c>
      <c r="E97" s="5">
        <f t="shared" si="170"/>
        <v>0</v>
      </c>
      <c r="F97" s="59">
        <f t="shared" si="170"/>
        <v>0</v>
      </c>
      <c r="G97" s="5">
        <f t="shared" si="170"/>
        <v>0</v>
      </c>
      <c r="H97" s="5">
        <f t="shared" si="170"/>
        <v>0</v>
      </c>
      <c r="I97" s="59">
        <f t="shared" si="170"/>
        <v>0</v>
      </c>
      <c r="J97" s="5">
        <f t="shared" si="170"/>
        <v>0</v>
      </c>
      <c r="K97" s="5">
        <f t="shared" si="170"/>
        <v>0</v>
      </c>
      <c r="L97" s="5">
        <f t="shared" si="170"/>
        <v>500</v>
      </c>
      <c r="M97" s="59">
        <f t="shared" si="170"/>
        <v>0</v>
      </c>
      <c r="N97" s="5">
        <f t="shared" si="170"/>
        <v>0</v>
      </c>
      <c r="O97" s="5">
        <f t="shared" si="170"/>
        <v>0</v>
      </c>
      <c r="P97" s="5">
        <f t="shared" si="170"/>
        <v>0</v>
      </c>
      <c r="Q97" s="5">
        <f t="shared" si="170"/>
        <v>0</v>
      </c>
      <c r="R97" s="5">
        <f t="shared" si="170"/>
        <v>0</v>
      </c>
      <c r="S97" s="5">
        <f t="shared" si="170"/>
        <v>0</v>
      </c>
      <c r="T97" s="5">
        <f t="shared" si="170"/>
        <v>500</v>
      </c>
      <c r="U97" s="5">
        <f t="shared" si="170"/>
        <v>0</v>
      </c>
      <c r="V97" s="5">
        <f t="shared" si="170"/>
        <v>0</v>
      </c>
      <c r="W97" s="5">
        <f t="shared" si="170"/>
        <v>0</v>
      </c>
      <c r="X97" s="5">
        <f t="shared" si="170"/>
        <v>0</v>
      </c>
      <c r="Y97" s="5">
        <f t="shared" si="170"/>
        <v>0</v>
      </c>
      <c r="Z97" s="5">
        <f t="shared" si="170"/>
        <v>500</v>
      </c>
      <c r="AA97" s="5">
        <f t="shared" si="170"/>
        <v>0</v>
      </c>
      <c r="AB97" s="5">
        <f t="shared" si="170"/>
        <v>0</v>
      </c>
      <c r="AC97" s="5">
        <f t="shared" si="170"/>
        <v>0</v>
      </c>
      <c r="AD97" s="5" t="str">
        <f t="shared" si="170"/>
        <v/>
      </c>
      <c r="AE97" s="5" t="str">
        <f t="shared" si="170"/>
        <v/>
      </c>
      <c r="AF97" s="5" t="str">
        <f t="shared" si="170"/>
        <v/>
      </c>
      <c r="AG97" s="5" t="str">
        <f t="shared" si="170"/>
        <v/>
      </c>
      <c r="AH97" s="5" t="str">
        <f t="shared" si="170"/>
        <v/>
      </c>
      <c r="AI97" s="5" t="str">
        <f t="shared" si="170"/>
        <v/>
      </c>
      <c r="AJ97" s="5" t="str">
        <f t="shared" si="170"/>
        <v/>
      </c>
      <c r="AK97" s="5" t="str">
        <f t="shared" si="170"/>
        <v/>
      </c>
      <c r="AL97" s="5" t="str">
        <f t="shared" si="170"/>
        <v/>
      </c>
      <c r="AM97" s="5" t="str">
        <f t="shared" si="170"/>
        <v/>
      </c>
      <c r="AN97" s="5" t="str">
        <f t="shared" si="170"/>
        <v/>
      </c>
      <c r="AO97" s="5" t="str">
        <f t="shared" ref="AO97:AS97" si="171">IF(AO87="","",AO96*AO91)</f>
        <v/>
      </c>
      <c r="AP97" s="5" t="str">
        <f t="shared" si="171"/>
        <v/>
      </c>
      <c r="AQ97" s="5" t="str">
        <f t="shared" si="171"/>
        <v/>
      </c>
      <c r="AR97" s="5" t="str">
        <f t="shared" si="171"/>
        <v/>
      </c>
      <c r="AS97" s="5" t="str">
        <f t="shared" si="171"/>
        <v/>
      </c>
    </row>
    <row r="98" spans="1:45" s="93" customFormat="1" ht="12" thickBot="1">
      <c r="A98" s="4">
        <f>IF(A97="","",A97/(A94*100))</f>
        <v>3.8461538461538464E-2</v>
      </c>
      <c r="B98" s="3" t="s">
        <v>20</v>
      </c>
      <c r="C98" s="77" t="s">
        <v>21</v>
      </c>
      <c r="D98" s="2" t="str">
        <f t="shared" ref="D98:AN98" si="172">IF(D97="","",IF(D97=0,"",D97/(D94*100)))</f>
        <v/>
      </c>
      <c r="E98" s="2" t="str">
        <f t="shared" si="172"/>
        <v/>
      </c>
      <c r="F98" s="57" t="str">
        <f t="shared" si="172"/>
        <v/>
      </c>
      <c r="G98" s="2" t="str">
        <f t="shared" si="172"/>
        <v/>
      </c>
      <c r="H98" s="2" t="str">
        <f t="shared" si="172"/>
        <v/>
      </c>
      <c r="I98" s="57" t="str">
        <f t="shared" si="172"/>
        <v/>
      </c>
      <c r="J98" s="2" t="str">
        <f t="shared" si="172"/>
        <v/>
      </c>
      <c r="K98" s="2" t="str">
        <f t="shared" si="172"/>
        <v/>
      </c>
      <c r="L98" s="2">
        <f t="shared" si="172"/>
        <v>0.15625</v>
      </c>
      <c r="M98" s="57" t="str">
        <f t="shared" si="172"/>
        <v/>
      </c>
      <c r="N98" s="2" t="str">
        <f t="shared" si="172"/>
        <v/>
      </c>
      <c r="O98" s="2" t="str">
        <f t="shared" si="172"/>
        <v/>
      </c>
      <c r="P98" s="2" t="str">
        <f t="shared" si="172"/>
        <v/>
      </c>
      <c r="Q98" s="2" t="str">
        <f t="shared" si="172"/>
        <v/>
      </c>
      <c r="R98" s="2" t="str">
        <f t="shared" si="172"/>
        <v/>
      </c>
      <c r="S98" s="2" t="str">
        <f t="shared" si="172"/>
        <v/>
      </c>
      <c r="T98" s="2">
        <f t="shared" si="172"/>
        <v>0.14285714285714285</v>
      </c>
      <c r="U98" s="2" t="str">
        <f t="shared" si="172"/>
        <v/>
      </c>
      <c r="V98" s="2" t="str">
        <f t="shared" si="172"/>
        <v/>
      </c>
      <c r="W98" s="2" t="str">
        <f t="shared" si="172"/>
        <v/>
      </c>
      <c r="X98" s="2" t="str">
        <f t="shared" si="172"/>
        <v/>
      </c>
      <c r="Y98" s="2" t="str">
        <f t="shared" si="172"/>
        <v/>
      </c>
      <c r="Z98" s="2">
        <f>IF(Z97="","",IF(Z97=0,"",Z97/(Z94*100)))</f>
        <v>9.0909090909090912E-2</v>
      </c>
      <c r="AA98" s="2" t="str">
        <f t="shared" si="172"/>
        <v/>
      </c>
      <c r="AB98" s="2" t="str">
        <f t="shared" si="172"/>
        <v/>
      </c>
      <c r="AC98" s="2" t="str">
        <f t="shared" si="172"/>
        <v/>
      </c>
      <c r="AD98" s="2" t="str">
        <f t="shared" si="172"/>
        <v/>
      </c>
      <c r="AE98" s="2" t="str">
        <f t="shared" si="172"/>
        <v/>
      </c>
      <c r="AF98" s="2" t="str">
        <f t="shared" si="172"/>
        <v/>
      </c>
      <c r="AG98" s="2" t="str">
        <f t="shared" si="172"/>
        <v/>
      </c>
      <c r="AH98" s="2" t="str">
        <f t="shared" si="172"/>
        <v/>
      </c>
      <c r="AI98" s="2" t="str">
        <f t="shared" si="172"/>
        <v/>
      </c>
      <c r="AJ98" s="2" t="str">
        <f t="shared" si="172"/>
        <v/>
      </c>
      <c r="AK98" s="2" t="str">
        <f t="shared" si="172"/>
        <v/>
      </c>
      <c r="AL98" s="2" t="str">
        <f t="shared" si="172"/>
        <v/>
      </c>
      <c r="AM98" s="2" t="str">
        <f t="shared" si="172"/>
        <v/>
      </c>
      <c r="AN98" s="2" t="str">
        <f t="shared" si="172"/>
        <v/>
      </c>
      <c r="AO98" s="2" t="str">
        <f t="shared" ref="AO98:AS98" si="173">IF(AO97="","",IF(AO97=0,"",AO97/(AO94*100)))</f>
        <v/>
      </c>
      <c r="AP98" s="2" t="str">
        <f t="shared" si="173"/>
        <v/>
      </c>
      <c r="AQ98" s="2" t="str">
        <f t="shared" si="173"/>
        <v/>
      </c>
      <c r="AR98" s="2" t="str">
        <f t="shared" si="173"/>
        <v/>
      </c>
      <c r="AS98" s="2" t="str">
        <f t="shared" si="173"/>
        <v/>
      </c>
    </row>
    <row r="99" spans="1:45" s="93" customFormat="1" ht="11">
      <c r="A99" s="22" t="s">
        <v>101</v>
      </c>
      <c r="B99" s="21" t="s">
        <v>2</v>
      </c>
      <c r="C99" s="73">
        <v>4464</v>
      </c>
      <c r="D99" s="20">
        <f>IF(D$3="","",C99)</f>
        <v>4464</v>
      </c>
      <c r="E99" s="20">
        <v>4474</v>
      </c>
      <c r="F99" s="130">
        <f>IF(F$3="","",E99)</f>
        <v>4474</v>
      </c>
      <c r="G99" s="20">
        <f>IF(G$3="","",F99)</f>
        <v>4474</v>
      </c>
      <c r="H99" s="20">
        <v>4498</v>
      </c>
      <c r="I99" s="130">
        <f t="shared" ref="I99:K100" si="174">IF(I$3="","",H99)</f>
        <v>4498</v>
      </c>
      <c r="J99" s="20">
        <f t="shared" si="174"/>
        <v>4498</v>
      </c>
      <c r="K99" s="20">
        <f t="shared" si="174"/>
        <v>4498</v>
      </c>
      <c r="L99" s="20">
        <v>4528</v>
      </c>
      <c r="M99" s="130">
        <f>IF(M$3="","",L99)</f>
        <v>4528</v>
      </c>
      <c r="N99" s="20">
        <f>IF(N$3="","",M99)</f>
        <v>4528</v>
      </c>
      <c r="O99" s="20">
        <v>4566</v>
      </c>
      <c r="P99" s="20">
        <f t="shared" ref="P99:AN99" si="175">IF(P$3="","",O99)</f>
        <v>4566</v>
      </c>
      <c r="Q99" s="20">
        <f t="shared" si="175"/>
        <v>4566</v>
      </c>
      <c r="R99" s="20">
        <f t="shared" si="175"/>
        <v>4566</v>
      </c>
      <c r="S99" s="20">
        <f t="shared" si="175"/>
        <v>4566</v>
      </c>
      <c r="T99" s="20">
        <v>4611</v>
      </c>
      <c r="U99" s="20">
        <f t="shared" si="175"/>
        <v>4611</v>
      </c>
      <c r="V99" s="20">
        <v>4687</v>
      </c>
      <c r="W99" s="20">
        <f t="shared" si="175"/>
        <v>4687</v>
      </c>
      <c r="X99" s="20">
        <f t="shared" si="175"/>
        <v>4687</v>
      </c>
      <c r="Y99" s="20">
        <f t="shared" si="175"/>
        <v>4687</v>
      </c>
      <c r="Z99" s="20">
        <v>4725</v>
      </c>
      <c r="AA99" s="20">
        <f t="shared" si="175"/>
        <v>4725</v>
      </c>
      <c r="AB99" s="20">
        <f t="shared" si="175"/>
        <v>4725</v>
      </c>
      <c r="AC99" s="20">
        <v>4761</v>
      </c>
      <c r="AD99" s="20" t="str">
        <f t="shared" si="175"/>
        <v/>
      </c>
      <c r="AE99" s="20" t="str">
        <f t="shared" si="175"/>
        <v/>
      </c>
      <c r="AF99" s="20" t="str">
        <f t="shared" si="175"/>
        <v/>
      </c>
      <c r="AG99" s="20" t="str">
        <f t="shared" si="175"/>
        <v/>
      </c>
      <c r="AH99" s="20" t="str">
        <f t="shared" si="175"/>
        <v/>
      </c>
      <c r="AI99" s="20" t="str">
        <f t="shared" si="175"/>
        <v/>
      </c>
      <c r="AJ99" s="20" t="str">
        <f t="shared" si="175"/>
        <v/>
      </c>
      <c r="AK99" s="20" t="str">
        <f t="shared" si="175"/>
        <v/>
      </c>
      <c r="AL99" s="20" t="str">
        <f t="shared" si="175"/>
        <v/>
      </c>
      <c r="AM99" s="20" t="str">
        <f t="shared" si="175"/>
        <v/>
      </c>
      <c r="AN99" s="20" t="str">
        <f t="shared" si="175"/>
        <v/>
      </c>
      <c r="AO99" s="20" t="str">
        <f t="shared" ref="AO99:AS99" si="176">IF(AO$3="","",AN99)</f>
        <v/>
      </c>
      <c r="AP99" s="20" t="str">
        <f t="shared" si="176"/>
        <v/>
      </c>
      <c r="AQ99" s="20" t="str">
        <f t="shared" si="176"/>
        <v/>
      </c>
      <c r="AR99" s="20" t="str">
        <f t="shared" si="176"/>
        <v/>
      </c>
      <c r="AS99" s="20" t="str">
        <f t="shared" si="176"/>
        <v/>
      </c>
    </row>
    <row r="100" spans="1:45" s="93" customFormat="1" ht="11">
      <c r="A100" s="16" t="s">
        <v>35</v>
      </c>
      <c r="B100" s="9" t="s">
        <v>4</v>
      </c>
      <c r="C100" s="74">
        <v>107</v>
      </c>
      <c r="D100" s="8">
        <f>IF(D$3="","",C100)</f>
        <v>107</v>
      </c>
      <c r="E100" s="8">
        <v>108</v>
      </c>
      <c r="F100" s="59">
        <f>IF(F$3="","",E100)</f>
        <v>108</v>
      </c>
      <c r="G100" s="8">
        <f>IF(G$3="","",F100)</f>
        <v>108</v>
      </c>
      <c r="H100" s="8">
        <f>IF(H$3="","",G100)</f>
        <v>108</v>
      </c>
      <c r="I100" s="59">
        <f t="shared" si="174"/>
        <v>108</v>
      </c>
      <c r="J100" s="8">
        <f t="shared" si="174"/>
        <v>108</v>
      </c>
      <c r="K100" s="8">
        <f t="shared" si="174"/>
        <v>108</v>
      </c>
      <c r="L100" s="8">
        <f>IF(L$3="","",K100)</f>
        <v>108</v>
      </c>
      <c r="M100" s="59">
        <f>IF(M$3="","",L100)</f>
        <v>108</v>
      </c>
      <c r="N100" s="8">
        <f>IF(N$3="","",M100)</f>
        <v>108</v>
      </c>
      <c r="O100" s="8">
        <v>109</v>
      </c>
      <c r="P100" s="8">
        <f t="shared" ref="P100:AN100" si="177">IF(P$3="","",O100)</f>
        <v>109</v>
      </c>
      <c r="Q100" s="8">
        <f t="shared" si="177"/>
        <v>109</v>
      </c>
      <c r="R100" s="8">
        <f t="shared" si="177"/>
        <v>109</v>
      </c>
      <c r="S100" s="8">
        <f t="shared" si="177"/>
        <v>109</v>
      </c>
      <c r="T100" s="8">
        <f t="shared" si="177"/>
        <v>109</v>
      </c>
      <c r="U100" s="8">
        <f t="shared" si="177"/>
        <v>109</v>
      </c>
      <c r="V100" s="8">
        <f t="shared" si="177"/>
        <v>109</v>
      </c>
      <c r="W100" s="8">
        <f t="shared" si="177"/>
        <v>109</v>
      </c>
      <c r="X100" s="8">
        <f t="shared" si="177"/>
        <v>109</v>
      </c>
      <c r="Y100" s="8">
        <f t="shared" si="177"/>
        <v>109</v>
      </c>
      <c r="Z100" s="8">
        <v>110</v>
      </c>
      <c r="AA100" s="8">
        <f t="shared" si="177"/>
        <v>110</v>
      </c>
      <c r="AB100" s="8">
        <f t="shared" si="177"/>
        <v>110</v>
      </c>
      <c r="AC100" s="8">
        <f t="shared" si="177"/>
        <v>110</v>
      </c>
      <c r="AD100" s="8" t="str">
        <f t="shared" si="177"/>
        <v/>
      </c>
      <c r="AE100" s="8" t="str">
        <f t="shared" si="177"/>
        <v/>
      </c>
      <c r="AF100" s="8" t="str">
        <f t="shared" si="177"/>
        <v/>
      </c>
      <c r="AG100" s="8" t="str">
        <f t="shared" si="177"/>
        <v/>
      </c>
      <c r="AH100" s="8" t="str">
        <f t="shared" si="177"/>
        <v/>
      </c>
      <c r="AI100" s="8" t="str">
        <f t="shared" si="177"/>
        <v/>
      </c>
      <c r="AJ100" s="8" t="str">
        <f t="shared" si="177"/>
        <v/>
      </c>
      <c r="AK100" s="8" t="str">
        <f t="shared" si="177"/>
        <v/>
      </c>
      <c r="AL100" s="8" t="str">
        <f t="shared" si="177"/>
        <v/>
      </c>
      <c r="AM100" s="8" t="str">
        <f t="shared" si="177"/>
        <v/>
      </c>
      <c r="AN100" s="8" t="str">
        <f t="shared" si="177"/>
        <v/>
      </c>
      <c r="AO100" s="8" t="str">
        <f t="shared" ref="AO100:AS100" si="178">IF(AO$3="","",AN100)</f>
        <v/>
      </c>
      <c r="AP100" s="8" t="str">
        <f t="shared" si="178"/>
        <v/>
      </c>
      <c r="AQ100" s="8" t="str">
        <f t="shared" si="178"/>
        <v/>
      </c>
      <c r="AR100" s="8" t="str">
        <f t="shared" si="178"/>
        <v/>
      </c>
      <c r="AS100" s="8" t="str">
        <f t="shared" si="178"/>
        <v/>
      </c>
    </row>
    <row r="101" spans="1:45" s="93" customFormat="1" ht="11">
      <c r="A101" s="15">
        <v>1</v>
      </c>
      <c r="B101" s="9" t="s">
        <v>5</v>
      </c>
      <c r="C101" s="74">
        <v>5</v>
      </c>
      <c r="D101" s="8">
        <f t="shared" ref="D101:N101" si="179">IF(D99="","",(C101+C102))</f>
        <v>5</v>
      </c>
      <c r="E101" s="8">
        <f t="shared" si="179"/>
        <v>5</v>
      </c>
      <c r="F101" s="59">
        <f t="shared" si="179"/>
        <v>4</v>
      </c>
      <c r="G101" s="8">
        <f t="shared" si="179"/>
        <v>4</v>
      </c>
      <c r="H101" s="8">
        <f t="shared" si="179"/>
        <v>4</v>
      </c>
      <c r="I101" s="59">
        <f t="shared" si="179"/>
        <v>4</v>
      </c>
      <c r="J101" s="8">
        <f t="shared" si="179"/>
        <v>4</v>
      </c>
      <c r="K101" s="8">
        <f t="shared" si="179"/>
        <v>4</v>
      </c>
      <c r="L101" s="8">
        <f t="shared" si="179"/>
        <v>4</v>
      </c>
      <c r="M101" s="59">
        <f t="shared" si="179"/>
        <v>4</v>
      </c>
      <c r="N101" s="8">
        <f t="shared" si="179"/>
        <v>4</v>
      </c>
      <c r="O101" s="8">
        <v>2</v>
      </c>
      <c r="P101" s="8">
        <f t="shared" ref="P101:AN101" si="180">IF(P99="","",(O101+O102))</f>
        <v>4</v>
      </c>
      <c r="Q101" s="8">
        <f t="shared" si="180"/>
        <v>4</v>
      </c>
      <c r="R101" s="8">
        <f t="shared" si="180"/>
        <v>4</v>
      </c>
      <c r="S101" s="8">
        <f t="shared" si="180"/>
        <v>4</v>
      </c>
      <c r="T101" s="8">
        <f t="shared" si="180"/>
        <v>4</v>
      </c>
      <c r="U101" s="8">
        <f t="shared" si="180"/>
        <v>5</v>
      </c>
      <c r="V101" s="8">
        <v>4</v>
      </c>
      <c r="W101" s="8">
        <f t="shared" si="180"/>
        <v>4</v>
      </c>
      <c r="X101" s="8">
        <f t="shared" si="180"/>
        <v>4</v>
      </c>
      <c r="Y101" s="8">
        <f t="shared" si="180"/>
        <v>4</v>
      </c>
      <c r="Z101" s="8">
        <v>2</v>
      </c>
      <c r="AA101" s="8">
        <f t="shared" si="180"/>
        <v>2</v>
      </c>
      <c r="AB101" s="8">
        <f t="shared" si="180"/>
        <v>2</v>
      </c>
      <c r="AC101" s="8">
        <f t="shared" si="180"/>
        <v>2</v>
      </c>
      <c r="AD101" s="8" t="str">
        <f t="shared" si="180"/>
        <v/>
      </c>
      <c r="AE101" s="8" t="str">
        <f t="shared" si="180"/>
        <v/>
      </c>
      <c r="AF101" s="8" t="str">
        <f t="shared" si="180"/>
        <v/>
      </c>
      <c r="AG101" s="8" t="str">
        <f t="shared" si="180"/>
        <v/>
      </c>
      <c r="AH101" s="8" t="str">
        <f t="shared" si="180"/>
        <v/>
      </c>
      <c r="AI101" s="8" t="str">
        <f t="shared" si="180"/>
        <v/>
      </c>
      <c r="AJ101" s="8" t="str">
        <f t="shared" si="180"/>
        <v/>
      </c>
      <c r="AK101" s="8" t="str">
        <f t="shared" si="180"/>
        <v/>
      </c>
      <c r="AL101" s="8" t="str">
        <f t="shared" si="180"/>
        <v/>
      </c>
      <c r="AM101" s="8" t="str">
        <f t="shared" si="180"/>
        <v/>
      </c>
      <c r="AN101" s="8" t="str">
        <f t="shared" si="180"/>
        <v/>
      </c>
      <c r="AO101" s="8" t="str">
        <f t="shared" ref="AO101:AS101" si="181">IF(AO99="","",(AN101+AN102))</f>
        <v/>
      </c>
      <c r="AP101" s="8" t="str">
        <f t="shared" si="181"/>
        <v/>
      </c>
      <c r="AQ101" s="8" t="str">
        <f t="shared" si="181"/>
        <v/>
      </c>
      <c r="AR101" s="8" t="str">
        <f t="shared" si="181"/>
        <v/>
      </c>
      <c r="AS101" s="8" t="str">
        <f t="shared" si="181"/>
        <v/>
      </c>
    </row>
    <row r="102" spans="1:45" s="93" customFormat="1" ht="11">
      <c r="A102" s="101" t="s">
        <v>6</v>
      </c>
      <c r="B102" s="9" t="s">
        <v>7</v>
      </c>
      <c r="C102" s="74"/>
      <c r="D102" s="8"/>
      <c r="E102" s="8">
        <v>-1</v>
      </c>
      <c r="F102" s="59"/>
      <c r="G102" s="8"/>
      <c r="H102" s="8"/>
      <c r="I102" s="59"/>
      <c r="J102" s="8"/>
      <c r="K102" s="8"/>
      <c r="L102" s="8"/>
      <c r="M102" s="59"/>
      <c r="N102" s="8"/>
      <c r="O102" s="8">
        <v>2</v>
      </c>
      <c r="P102" s="8"/>
      <c r="Q102" s="8"/>
      <c r="R102" s="8"/>
      <c r="S102" s="8"/>
      <c r="T102" s="8">
        <v>1</v>
      </c>
      <c r="U102" s="8"/>
      <c r="V102" s="8"/>
      <c r="W102" s="8"/>
      <c r="X102" s="8"/>
      <c r="Y102" s="8"/>
      <c r="Z102" s="8"/>
      <c r="AA102" s="8"/>
      <c r="AB102" s="8"/>
      <c r="AC102" s="8">
        <v>4</v>
      </c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</row>
    <row r="103" spans="1:45" s="93" customFormat="1" ht="11">
      <c r="A103" s="102">
        <f>+(A106+A118+A130+A142)*100</f>
        <v>113300</v>
      </c>
      <c r="B103" s="9" t="s">
        <v>8</v>
      </c>
      <c r="C103" s="74">
        <v>750</v>
      </c>
      <c r="D103" s="8">
        <f t="shared" ref="D103:AN103" si="182">IF(D99="","",C103)</f>
        <v>750</v>
      </c>
      <c r="E103" s="8">
        <f t="shared" si="182"/>
        <v>750</v>
      </c>
      <c r="F103" s="59">
        <f t="shared" si="182"/>
        <v>750</v>
      </c>
      <c r="G103" s="8">
        <f t="shared" si="182"/>
        <v>750</v>
      </c>
      <c r="H103" s="8">
        <f t="shared" si="182"/>
        <v>750</v>
      </c>
      <c r="I103" s="59">
        <f t="shared" si="182"/>
        <v>750</v>
      </c>
      <c r="J103" s="8">
        <f t="shared" si="182"/>
        <v>750</v>
      </c>
      <c r="K103" s="8">
        <f t="shared" si="182"/>
        <v>750</v>
      </c>
      <c r="L103" s="8">
        <f t="shared" si="182"/>
        <v>750</v>
      </c>
      <c r="M103" s="59">
        <f t="shared" si="182"/>
        <v>750</v>
      </c>
      <c r="N103" s="8">
        <f t="shared" si="182"/>
        <v>750</v>
      </c>
      <c r="O103" s="8">
        <f t="shared" si="182"/>
        <v>750</v>
      </c>
      <c r="P103" s="8">
        <f t="shared" si="182"/>
        <v>750</v>
      </c>
      <c r="Q103" s="8">
        <f t="shared" si="182"/>
        <v>750</v>
      </c>
      <c r="R103" s="8">
        <f t="shared" si="182"/>
        <v>750</v>
      </c>
      <c r="S103" s="8">
        <f t="shared" si="182"/>
        <v>750</v>
      </c>
      <c r="T103" s="8">
        <f t="shared" si="182"/>
        <v>750</v>
      </c>
      <c r="U103" s="8">
        <f t="shared" si="182"/>
        <v>750</v>
      </c>
      <c r="V103" s="8">
        <f t="shared" si="182"/>
        <v>750</v>
      </c>
      <c r="W103" s="8">
        <f t="shared" si="182"/>
        <v>750</v>
      </c>
      <c r="X103" s="8">
        <f t="shared" si="182"/>
        <v>750</v>
      </c>
      <c r="Y103" s="8">
        <f t="shared" si="182"/>
        <v>750</v>
      </c>
      <c r="Z103" s="8">
        <f t="shared" si="182"/>
        <v>750</v>
      </c>
      <c r="AA103" s="8">
        <f t="shared" si="182"/>
        <v>750</v>
      </c>
      <c r="AB103" s="8">
        <f t="shared" si="182"/>
        <v>750</v>
      </c>
      <c r="AC103" s="8">
        <f t="shared" si="182"/>
        <v>750</v>
      </c>
      <c r="AD103" s="8" t="str">
        <f t="shared" si="182"/>
        <v/>
      </c>
      <c r="AE103" s="8" t="str">
        <f t="shared" si="182"/>
        <v/>
      </c>
      <c r="AF103" s="8" t="str">
        <f t="shared" si="182"/>
        <v/>
      </c>
      <c r="AG103" s="8" t="str">
        <f t="shared" si="182"/>
        <v/>
      </c>
      <c r="AH103" s="8" t="str">
        <f t="shared" si="182"/>
        <v/>
      </c>
      <c r="AI103" s="8" t="str">
        <f t="shared" si="182"/>
        <v/>
      </c>
      <c r="AJ103" s="8" t="str">
        <f t="shared" si="182"/>
        <v/>
      </c>
      <c r="AK103" s="8" t="str">
        <f t="shared" si="182"/>
        <v/>
      </c>
      <c r="AL103" s="8" t="str">
        <f t="shared" si="182"/>
        <v/>
      </c>
      <c r="AM103" s="8" t="str">
        <f t="shared" si="182"/>
        <v/>
      </c>
      <c r="AN103" s="8" t="str">
        <f t="shared" si="182"/>
        <v/>
      </c>
      <c r="AO103" s="8" t="str">
        <f t="shared" ref="AO103:AS103" si="183">IF(AO99="","",AN103)</f>
        <v/>
      </c>
      <c r="AP103" s="8" t="str">
        <f t="shared" si="183"/>
        <v/>
      </c>
      <c r="AQ103" s="8" t="str">
        <f t="shared" si="183"/>
        <v/>
      </c>
      <c r="AR103" s="8" t="str">
        <f t="shared" si="183"/>
        <v/>
      </c>
      <c r="AS103" s="8" t="str">
        <f t="shared" si="183"/>
        <v/>
      </c>
    </row>
    <row r="104" spans="1:45" s="94" customFormat="1" ht="11">
      <c r="A104" s="14" t="s">
        <v>9</v>
      </c>
      <c r="B104" s="13" t="s">
        <v>10</v>
      </c>
      <c r="C104" s="75" t="s">
        <v>22</v>
      </c>
      <c r="D104" s="12" t="str">
        <f>IF(D99="","",C104)</f>
        <v>ジャグラーボタン</v>
      </c>
      <c r="E104" s="12" t="s">
        <v>67</v>
      </c>
      <c r="F104" s="131" t="str">
        <f t="shared" ref="F104:AN104" si="184">IF(F99="","",E104)</f>
        <v>キティバンスクリップ</v>
      </c>
      <c r="G104" s="12" t="str">
        <f t="shared" si="184"/>
        <v>キティバンスクリップ</v>
      </c>
      <c r="H104" s="12" t="str">
        <f t="shared" si="184"/>
        <v>キティバンスクリップ</v>
      </c>
      <c r="I104" s="131" t="str">
        <f t="shared" si="184"/>
        <v>キティバンスクリップ</v>
      </c>
      <c r="J104" s="12" t="str">
        <f t="shared" si="184"/>
        <v>キティバンスクリップ</v>
      </c>
      <c r="K104" s="12" t="str">
        <f t="shared" si="184"/>
        <v>キティバンスクリップ</v>
      </c>
      <c r="L104" s="12" t="str">
        <f t="shared" si="184"/>
        <v>キティバンスクリップ</v>
      </c>
      <c r="M104" s="131" t="str">
        <f t="shared" si="184"/>
        <v>キティバンスクリップ</v>
      </c>
      <c r="N104" s="12" t="str">
        <f t="shared" si="184"/>
        <v>キティバンスクリップ</v>
      </c>
      <c r="O104" s="12" t="str">
        <f t="shared" si="184"/>
        <v>キティバンスクリップ</v>
      </c>
      <c r="P104" s="12" t="str">
        <f t="shared" si="184"/>
        <v>キティバンスクリップ</v>
      </c>
      <c r="Q104" s="12" t="str">
        <f t="shared" si="184"/>
        <v>キティバンスクリップ</v>
      </c>
      <c r="R104" s="12" t="str">
        <f t="shared" si="184"/>
        <v>キティバンスクリップ</v>
      </c>
      <c r="S104" s="12" t="str">
        <f t="shared" si="184"/>
        <v>キティバンスクリップ</v>
      </c>
      <c r="T104" s="12" t="str">
        <f t="shared" si="184"/>
        <v>キティバンスクリップ</v>
      </c>
      <c r="U104" s="12" t="str">
        <f t="shared" si="184"/>
        <v>キティバンスクリップ</v>
      </c>
      <c r="V104" s="12" t="str">
        <f t="shared" si="184"/>
        <v>キティバンスクリップ</v>
      </c>
      <c r="W104" s="12" t="str">
        <f t="shared" si="184"/>
        <v>キティバンスクリップ</v>
      </c>
      <c r="X104" s="12" t="str">
        <f t="shared" si="184"/>
        <v>キティバンスクリップ</v>
      </c>
      <c r="Y104" s="12" t="str">
        <f t="shared" si="184"/>
        <v>キティバンスクリップ</v>
      </c>
      <c r="Z104" s="12" t="str">
        <f t="shared" si="184"/>
        <v>キティバンスクリップ</v>
      </c>
      <c r="AA104" s="12" t="str">
        <f t="shared" si="184"/>
        <v>キティバンスクリップ</v>
      </c>
      <c r="AB104" s="12" t="str">
        <f t="shared" si="184"/>
        <v>キティバンスクリップ</v>
      </c>
      <c r="AC104" s="12" t="str">
        <f t="shared" si="184"/>
        <v>キティバンスクリップ</v>
      </c>
      <c r="AD104" s="12" t="str">
        <f t="shared" si="184"/>
        <v/>
      </c>
      <c r="AE104" s="12" t="str">
        <f t="shared" si="184"/>
        <v/>
      </c>
      <c r="AF104" s="12" t="str">
        <f t="shared" si="184"/>
        <v/>
      </c>
      <c r="AG104" s="12" t="str">
        <f t="shared" si="184"/>
        <v/>
      </c>
      <c r="AH104" s="12" t="str">
        <f t="shared" si="184"/>
        <v/>
      </c>
      <c r="AI104" s="12" t="str">
        <f t="shared" si="184"/>
        <v/>
      </c>
      <c r="AJ104" s="12" t="str">
        <f t="shared" si="184"/>
        <v/>
      </c>
      <c r="AK104" s="12" t="str">
        <f t="shared" si="184"/>
        <v/>
      </c>
      <c r="AL104" s="12" t="str">
        <f t="shared" si="184"/>
        <v/>
      </c>
      <c r="AM104" s="12" t="str">
        <f t="shared" si="184"/>
        <v/>
      </c>
      <c r="AN104" s="12" t="str">
        <f t="shared" si="184"/>
        <v/>
      </c>
      <c r="AO104" s="12" t="str">
        <f t="shared" ref="AO104:AS104" si="185">IF(AO99="","",AN104)</f>
        <v/>
      </c>
      <c r="AP104" s="12" t="str">
        <f t="shared" si="185"/>
        <v/>
      </c>
      <c r="AQ104" s="12" t="str">
        <f t="shared" si="185"/>
        <v/>
      </c>
      <c r="AR104" s="12" t="str">
        <f t="shared" si="185"/>
        <v/>
      </c>
      <c r="AS104" s="12" t="str">
        <f t="shared" si="185"/>
        <v/>
      </c>
    </row>
    <row r="105" spans="1:45" s="93" customFormat="1" ht="11">
      <c r="A105" s="7">
        <f>AVERAGE(C106:AS106)*30*100</f>
        <v>33000</v>
      </c>
      <c r="B105" s="9" t="s">
        <v>14</v>
      </c>
      <c r="C105" s="74"/>
      <c r="D105" s="8"/>
      <c r="E105" s="8"/>
      <c r="F105" s="59"/>
      <c r="G105" s="8"/>
      <c r="H105" s="8"/>
      <c r="I105" s="59"/>
      <c r="J105" s="8"/>
      <c r="K105" s="8"/>
      <c r="L105" s="8"/>
      <c r="M105" s="59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</row>
    <row r="106" spans="1:45" s="93" customFormat="1" ht="11">
      <c r="A106" s="7">
        <f>SUM(C106:AS106)</f>
        <v>297</v>
      </c>
      <c r="B106" s="6" t="s">
        <v>15</v>
      </c>
      <c r="C106" s="74">
        <v>0</v>
      </c>
      <c r="D106" s="5">
        <f t="shared" ref="D106:AN106" si="186">IF(D99="","",D99-C99)</f>
        <v>0</v>
      </c>
      <c r="E106" s="5">
        <f t="shared" si="186"/>
        <v>10</v>
      </c>
      <c r="F106" s="59">
        <f t="shared" si="186"/>
        <v>0</v>
      </c>
      <c r="G106" s="5">
        <f t="shared" si="186"/>
        <v>0</v>
      </c>
      <c r="H106" s="5">
        <f t="shared" si="186"/>
        <v>24</v>
      </c>
      <c r="I106" s="59">
        <f t="shared" si="186"/>
        <v>0</v>
      </c>
      <c r="J106" s="5">
        <f t="shared" si="186"/>
        <v>0</v>
      </c>
      <c r="K106" s="5">
        <f t="shared" si="186"/>
        <v>0</v>
      </c>
      <c r="L106" s="5">
        <f t="shared" si="186"/>
        <v>30</v>
      </c>
      <c r="M106" s="59">
        <f t="shared" si="186"/>
        <v>0</v>
      </c>
      <c r="N106" s="5">
        <f t="shared" si="186"/>
        <v>0</v>
      </c>
      <c r="O106" s="5">
        <f t="shared" si="186"/>
        <v>38</v>
      </c>
      <c r="P106" s="5">
        <f t="shared" si="186"/>
        <v>0</v>
      </c>
      <c r="Q106" s="5">
        <f t="shared" si="186"/>
        <v>0</v>
      </c>
      <c r="R106" s="5">
        <f t="shared" si="186"/>
        <v>0</v>
      </c>
      <c r="S106" s="5">
        <f t="shared" si="186"/>
        <v>0</v>
      </c>
      <c r="T106" s="5">
        <f t="shared" si="186"/>
        <v>45</v>
      </c>
      <c r="U106" s="5">
        <f t="shared" si="186"/>
        <v>0</v>
      </c>
      <c r="V106" s="5">
        <f t="shared" si="186"/>
        <v>76</v>
      </c>
      <c r="W106" s="5">
        <f t="shared" si="186"/>
        <v>0</v>
      </c>
      <c r="X106" s="5">
        <f t="shared" si="186"/>
        <v>0</v>
      </c>
      <c r="Y106" s="5">
        <f t="shared" si="186"/>
        <v>0</v>
      </c>
      <c r="Z106" s="5">
        <f t="shared" si="186"/>
        <v>38</v>
      </c>
      <c r="AA106" s="5">
        <f t="shared" si="186"/>
        <v>0</v>
      </c>
      <c r="AB106" s="5">
        <f t="shared" si="186"/>
        <v>0</v>
      </c>
      <c r="AC106" s="5">
        <f t="shared" si="186"/>
        <v>36</v>
      </c>
      <c r="AD106" s="5" t="str">
        <f t="shared" si="186"/>
        <v/>
      </c>
      <c r="AE106" s="5" t="str">
        <f t="shared" si="186"/>
        <v/>
      </c>
      <c r="AF106" s="5" t="str">
        <f t="shared" si="186"/>
        <v/>
      </c>
      <c r="AG106" s="5" t="str">
        <f t="shared" si="186"/>
        <v/>
      </c>
      <c r="AH106" s="5" t="str">
        <f t="shared" si="186"/>
        <v/>
      </c>
      <c r="AI106" s="5" t="str">
        <f t="shared" si="186"/>
        <v/>
      </c>
      <c r="AJ106" s="5" t="str">
        <f t="shared" si="186"/>
        <v/>
      </c>
      <c r="AK106" s="5" t="str">
        <f t="shared" si="186"/>
        <v/>
      </c>
      <c r="AL106" s="5" t="str">
        <f t="shared" si="186"/>
        <v/>
      </c>
      <c r="AM106" s="5" t="str">
        <f t="shared" si="186"/>
        <v/>
      </c>
      <c r="AN106" s="5" t="str">
        <f t="shared" si="186"/>
        <v/>
      </c>
      <c r="AO106" s="5" t="str">
        <f t="shared" ref="AO106:AS106" si="187">IF(AO99="","",AO99-AN99)</f>
        <v/>
      </c>
      <c r="AP106" s="5" t="str">
        <f t="shared" si="187"/>
        <v/>
      </c>
      <c r="AQ106" s="5" t="str">
        <f t="shared" si="187"/>
        <v/>
      </c>
      <c r="AR106" s="5" t="str">
        <f t="shared" si="187"/>
        <v/>
      </c>
      <c r="AS106" s="5" t="str">
        <f t="shared" si="187"/>
        <v/>
      </c>
    </row>
    <row r="107" spans="1:45" s="93" customFormat="1" ht="11">
      <c r="A107" s="7">
        <f>SUM(C107:AS107)</f>
        <v>3</v>
      </c>
      <c r="B107" s="6" t="s">
        <v>16</v>
      </c>
      <c r="C107" s="74">
        <v>0</v>
      </c>
      <c r="D107" s="5">
        <f t="shared" ref="D107:AN107" si="188">IF(D100="","",D100-C100)</f>
        <v>0</v>
      </c>
      <c r="E107" s="5">
        <f t="shared" si="188"/>
        <v>1</v>
      </c>
      <c r="F107" s="59">
        <f t="shared" si="188"/>
        <v>0</v>
      </c>
      <c r="G107" s="5">
        <f t="shared" si="188"/>
        <v>0</v>
      </c>
      <c r="H107" s="5">
        <f t="shared" si="188"/>
        <v>0</v>
      </c>
      <c r="I107" s="59">
        <f t="shared" si="188"/>
        <v>0</v>
      </c>
      <c r="J107" s="5">
        <f t="shared" si="188"/>
        <v>0</v>
      </c>
      <c r="K107" s="5">
        <f t="shared" si="188"/>
        <v>0</v>
      </c>
      <c r="L107" s="5">
        <f t="shared" si="188"/>
        <v>0</v>
      </c>
      <c r="M107" s="59">
        <f t="shared" si="188"/>
        <v>0</v>
      </c>
      <c r="N107" s="5">
        <f t="shared" si="188"/>
        <v>0</v>
      </c>
      <c r="O107" s="5">
        <f t="shared" si="188"/>
        <v>1</v>
      </c>
      <c r="P107" s="5">
        <f t="shared" si="188"/>
        <v>0</v>
      </c>
      <c r="Q107" s="5">
        <f t="shared" si="188"/>
        <v>0</v>
      </c>
      <c r="R107" s="5">
        <f t="shared" si="188"/>
        <v>0</v>
      </c>
      <c r="S107" s="5">
        <f t="shared" si="188"/>
        <v>0</v>
      </c>
      <c r="T107" s="5">
        <f t="shared" si="188"/>
        <v>0</v>
      </c>
      <c r="U107" s="5">
        <f t="shared" si="188"/>
        <v>0</v>
      </c>
      <c r="V107" s="5">
        <f t="shared" si="188"/>
        <v>0</v>
      </c>
      <c r="W107" s="5">
        <f t="shared" si="188"/>
        <v>0</v>
      </c>
      <c r="X107" s="5">
        <f t="shared" si="188"/>
        <v>0</v>
      </c>
      <c r="Y107" s="5">
        <f t="shared" si="188"/>
        <v>0</v>
      </c>
      <c r="Z107" s="5">
        <f t="shared" si="188"/>
        <v>1</v>
      </c>
      <c r="AA107" s="5">
        <f t="shared" si="188"/>
        <v>0</v>
      </c>
      <c r="AB107" s="5">
        <f t="shared" si="188"/>
        <v>0</v>
      </c>
      <c r="AC107" s="5">
        <f t="shared" si="188"/>
        <v>0</v>
      </c>
      <c r="AD107" s="5" t="str">
        <f t="shared" si="188"/>
        <v/>
      </c>
      <c r="AE107" s="5" t="str">
        <f t="shared" si="188"/>
        <v/>
      </c>
      <c r="AF107" s="5" t="str">
        <f t="shared" si="188"/>
        <v/>
      </c>
      <c r="AG107" s="5" t="str">
        <f t="shared" si="188"/>
        <v/>
      </c>
      <c r="AH107" s="5" t="str">
        <f t="shared" si="188"/>
        <v/>
      </c>
      <c r="AI107" s="5" t="str">
        <f t="shared" si="188"/>
        <v/>
      </c>
      <c r="AJ107" s="5" t="str">
        <f t="shared" si="188"/>
        <v/>
      </c>
      <c r="AK107" s="5" t="str">
        <f t="shared" si="188"/>
        <v/>
      </c>
      <c r="AL107" s="5" t="str">
        <f t="shared" si="188"/>
        <v/>
      </c>
      <c r="AM107" s="5" t="str">
        <f t="shared" si="188"/>
        <v/>
      </c>
      <c r="AN107" s="5" t="str">
        <f t="shared" si="188"/>
        <v/>
      </c>
      <c r="AO107" s="5" t="str">
        <f t="shared" ref="AO107:AS107" si="189">IF(AO100="","",AO100-AN100)</f>
        <v/>
      </c>
      <c r="AP107" s="5" t="str">
        <f t="shared" si="189"/>
        <v/>
      </c>
      <c r="AQ107" s="5" t="str">
        <f t="shared" si="189"/>
        <v/>
      </c>
      <c r="AR107" s="5" t="str">
        <f t="shared" si="189"/>
        <v/>
      </c>
      <c r="AS107" s="5" t="str">
        <f t="shared" si="189"/>
        <v/>
      </c>
    </row>
    <row r="108" spans="1:45" s="93" customFormat="1" ht="11">
      <c r="A108" s="7">
        <f>SUM(C108:AS108)</f>
        <v>5</v>
      </c>
      <c r="B108" s="6" t="s">
        <v>17</v>
      </c>
      <c r="C108" s="74">
        <v>0</v>
      </c>
      <c r="D108" s="5">
        <f t="shared" ref="D108:AN108" si="190">IF(D101="","",C101+C102-D101)</f>
        <v>0</v>
      </c>
      <c r="E108" s="5">
        <f t="shared" si="190"/>
        <v>0</v>
      </c>
      <c r="F108" s="59">
        <f t="shared" si="190"/>
        <v>0</v>
      </c>
      <c r="G108" s="5">
        <f t="shared" si="190"/>
        <v>0</v>
      </c>
      <c r="H108" s="5">
        <f t="shared" si="190"/>
        <v>0</v>
      </c>
      <c r="I108" s="59">
        <f t="shared" si="190"/>
        <v>0</v>
      </c>
      <c r="J108" s="5">
        <f t="shared" si="190"/>
        <v>0</v>
      </c>
      <c r="K108" s="5">
        <f t="shared" si="190"/>
        <v>0</v>
      </c>
      <c r="L108" s="5">
        <f t="shared" si="190"/>
        <v>0</v>
      </c>
      <c r="M108" s="59">
        <f t="shared" si="190"/>
        <v>0</v>
      </c>
      <c r="N108" s="5">
        <f t="shared" si="190"/>
        <v>0</v>
      </c>
      <c r="O108" s="5">
        <f t="shared" si="190"/>
        <v>2</v>
      </c>
      <c r="P108" s="5">
        <f t="shared" si="190"/>
        <v>0</v>
      </c>
      <c r="Q108" s="5">
        <f t="shared" si="190"/>
        <v>0</v>
      </c>
      <c r="R108" s="5">
        <f t="shared" si="190"/>
        <v>0</v>
      </c>
      <c r="S108" s="5">
        <f t="shared" si="190"/>
        <v>0</v>
      </c>
      <c r="T108" s="5">
        <f t="shared" si="190"/>
        <v>0</v>
      </c>
      <c r="U108" s="5">
        <f t="shared" si="190"/>
        <v>0</v>
      </c>
      <c r="V108" s="5">
        <f t="shared" si="190"/>
        <v>1</v>
      </c>
      <c r="W108" s="5">
        <f t="shared" si="190"/>
        <v>0</v>
      </c>
      <c r="X108" s="5">
        <f t="shared" si="190"/>
        <v>0</v>
      </c>
      <c r="Y108" s="5">
        <f t="shared" si="190"/>
        <v>0</v>
      </c>
      <c r="Z108" s="5">
        <f t="shared" si="190"/>
        <v>2</v>
      </c>
      <c r="AA108" s="5">
        <f t="shared" si="190"/>
        <v>0</v>
      </c>
      <c r="AB108" s="5">
        <f t="shared" si="190"/>
        <v>0</v>
      </c>
      <c r="AC108" s="5">
        <f t="shared" si="190"/>
        <v>0</v>
      </c>
      <c r="AD108" s="5" t="str">
        <f t="shared" si="190"/>
        <v/>
      </c>
      <c r="AE108" s="5" t="str">
        <f t="shared" si="190"/>
        <v/>
      </c>
      <c r="AF108" s="5" t="str">
        <f t="shared" si="190"/>
        <v/>
      </c>
      <c r="AG108" s="5" t="str">
        <f t="shared" si="190"/>
        <v/>
      </c>
      <c r="AH108" s="5" t="str">
        <f t="shared" si="190"/>
        <v/>
      </c>
      <c r="AI108" s="5" t="str">
        <f t="shared" si="190"/>
        <v/>
      </c>
      <c r="AJ108" s="5" t="str">
        <f t="shared" si="190"/>
        <v/>
      </c>
      <c r="AK108" s="5" t="str">
        <f t="shared" si="190"/>
        <v/>
      </c>
      <c r="AL108" s="5" t="str">
        <f t="shared" si="190"/>
        <v/>
      </c>
      <c r="AM108" s="5" t="str">
        <f t="shared" si="190"/>
        <v/>
      </c>
      <c r="AN108" s="5" t="str">
        <f t="shared" si="190"/>
        <v/>
      </c>
      <c r="AO108" s="5" t="str">
        <f t="shared" ref="AO108:AS108" si="191">IF(AO101="","",AN101+AN102-AO101)</f>
        <v/>
      </c>
      <c r="AP108" s="5" t="str">
        <f t="shared" si="191"/>
        <v/>
      </c>
      <c r="AQ108" s="5" t="str">
        <f t="shared" si="191"/>
        <v/>
      </c>
      <c r="AR108" s="5" t="str">
        <f t="shared" si="191"/>
        <v/>
      </c>
      <c r="AS108" s="5" t="str">
        <f t="shared" si="191"/>
        <v/>
      </c>
    </row>
    <row r="109" spans="1:45" s="93" customFormat="1" ht="11">
      <c r="A109" s="7">
        <f>SUM(C109:AS109)</f>
        <v>3750</v>
      </c>
      <c r="B109" s="6" t="s">
        <v>18</v>
      </c>
      <c r="C109" s="74">
        <v>0</v>
      </c>
      <c r="D109" s="5">
        <f t="shared" ref="D109:AN109" si="192">IF(D99="","",D108*D103)</f>
        <v>0</v>
      </c>
      <c r="E109" s="5">
        <f t="shared" si="192"/>
        <v>0</v>
      </c>
      <c r="F109" s="59">
        <f t="shared" si="192"/>
        <v>0</v>
      </c>
      <c r="G109" s="5">
        <f t="shared" si="192"/>
        <v>0</v>
      </c>
      <c r="H109" s="5">
        <f t="shared" si="192"/>
        <v>0</v>
      </c>
      <c r="I109" s="59">
        <f t="shared" si="192"/>
        <v>0</v>
      </c>
      <c r="J109" s="5">
        <f t="shared" si="192"/>
        <v>0</v>
      </c>
      <c r="K109" s="5">
        <f t="shared" si="192"/>
        <v>0</v>
      </c>
      <c r="L109" s="5">
        <f t="shared" si="192"/>
        <v>0</v>
      </c>
      <c r="M109" s="59">
        <f t="shared" si="192"/>
        <v>0</v>
      </c>
      <c r="N109" s="5">
        <f t="shared" si="192"/>
        <v>0</v>
      </c>
      <c r="O109" s="5">
        <f t="shared" si="192"/>
        <v>1500</v>
      </c>
      <c r="P109" s="5">
        <f t="shared" si="192"/>
        <v>0</v>
      </c>
      <c r="Q109" s="5">
        <f t="shared" si="192"/>
        <v>0</v>
      </c>
      <c r="R109" s="5">
        <f t="shared" si="192"/>
        <v>0</v>
      </c>
      <c r="S109" s="5">
        <f t="shared" si="192"/>
        <v>0</v>
      </c>
      <c r="T109" s="5">
        <f t="shared" si="192"/>
        <v>0</v>
      </c>
      <c r="U109" s="5">
        <f t="shared" si="192"/>
        <v>0</v>
      </c>
      <c r="V109" s="5">
        <f t="shared" si="192"/>
        <v>750</v>
      </c>
      <c r="W109" s="5">
        <f t="shared" si="192"/>
        <v>0</v>
      </c>
      <c r="X109" s="5">
        <f t="shared" si="192"/>
        <v>0</v>
      </c>
      <c r="Y109" s="5">
        <f t="shared" si="192"/>
        <v>0</v>
      </c>
      <c r="Z109" s="5">
        <f t="shared" si="192"/>
        <v>1500</v>
      </c>
      <c r="AA109" s="5">
        <f t="shared" si="192"/>
        <v>0</v>
      </c>
      <c r="AB109" s="5">
        <f t="shared" si="192"/>
        <v>0</v>
      </c>
      <c r="AC109" s="5">
        <f t="shared" si="192"/>
        <v>0</v>
      </c>
      <c r="AD109" s="5" t="str">
        <f t="shared" si="192"/>
        <v/>
      </c>
      <c r="AE109" s="5" t="str">
        <f t="shared" si="192"/>
        <v/>
      </c>
      <c r="AF109" s="5" t="str">
        <f t="shared" si="192"/>
        <v/>
      </c>
      <c r="AG109" s="5" t="str">
        <f t="shared" si="192"/>
        <v/>
      </c>
      <c r="AH109" s="5" t="str">
        <f t="shared" si="192"/>
        <v/>
      </c>
      <c r="AI109" s="5" t="str">
        <f t="shared" si="192"/>
        <v/>
      </c>
      <c r="AJ109" s="5" t="str">
        <f t="shared" si="192"/>
        <v/>
      </c>
      <c r="AK109" s="5" t="str">
        <f t="shared" si="192"/>
        <v/>
      </c>
      <c r="AL109" s="5" t="str">
        <f t="shared" si="192"/>
        <v/>
      </c>
      <c r="AM109" s="5" t="str">
        <f t="shared" si="192"/>
        <v/>
      </c>
      <c r="AN109" s="5" t="str">
        <f t="shared" si="192"/>
        <v/>
      </c>
      <c r="AO109" s="5" t="str">
        <f t="shared" ref="AO109:AS109" si="193">IF(AO99="","",AO108*AO103)</f>
        <v/>
      </c>
      <c r="AP109" s="5" t="str">
        <f t="shared" si="193"/>
        <v/>
      </c>
      <c r="AQ109" s="5" t="str">
        <f t="shared" si="193"/>
        <v/>
      </c>
      <c r="AR109" s="5" t="str">
        <f t="shared" si="193"/>
        <v/>
      </c>
      <c r="AS109" s="5" t="str">
        <f t="shared" si="193"/>
        <v/>
      </c>
    </row>
    <row r="110" spans="1:45" s="93" customFormat="1" ht="12" thickBot="1">
      <c r="A110" s="4">
        <f>IF(A109="","",A109/(A106*100))</f>
        <v>0.12626262626262627</v>
      </c>
      <c r="B110" s="6" t="s">
        <v>20</v>
      </c>
      <c r="C110" s="76" t="s">
        <v>21</v>
      </c>
      <c r="D110" s="18" t="str">
        <f t="shared" ref="D110:AN110" si="194">IF(D109="","",IF(D109=0,"",D109/(D106*100)))</f>
        <v/>
      </c>
      <c r="E110" s="18" t="str">
        <f t="shared" si="194"/>
        <v/>
      </c>
      <c r="F110" s="62" t="str">
        <f t="shared" si="194"/>
        <v/>
      </c>
      <c r="G110" s="18" t="str">
        <f t="shared" si="194"/>
        <v/>
      </c>
      <c r="H110" s="18" t="str">
        <f t="shared" si="194"/>
        <v/>
      </c>
      <c r="I110" s="62" t="str">
        <f t="shared" si="194"/>
        <v/>
      </c>
      <c r="J110" s="18" t="str">
        <f t="shared" si="194"/>
        <v/>
      </c>
      <c r="K110" s="18" t="str">
        <f t="shared" si="194"/>
        <v/>
      </c>
      <c r="L110" s="18" t="str">
        <f t="shared" si="194"/>
        <v/>
      </c>
      <c r="M110" s="62" t="str">
        <f t="shared" si="194"/>
        <v/>
      </c>
      <c r="N110" s="18" t="str">
        <f t="shared" si="194"/>
        <v/>
      </c>
      <c r="O110" s="18">
        <f t="shared" si="194"/>
        <v>0.39473684210526316</v>
      </c>
      <c r="P110" s="18" t="str">
        <f t="shared" si="194"/>
        <v/>
      </c>
      <c r="Q110" s="18" t="str">
        <f t="shared" si="194"/>
        <v/>
      </c>
      <c r="R110" s="18" t="str">
        <f t="shared" si="194"/>
        <v/>
      </c>
      <c r="S110" s="18" t="str">
        <f t="shared" si="194"/>
        <v/>
      </c>
      <c r="T110" s="18" t="str">
        <f t="shared" si="194"/>
        <v/>
      </c>
      <c r="U110" s="18" t="str">
        <f t="shared" si="194"/>
        <v/>
      </c>
      <c r="V110" s="18">
        <f t="shared" si="194"/>
        <v>9.8684210526315791E-2</v>
      </c>
      <c r="W110" s="18" t="str">
        <f t="shared" si="194"/>
        <v/>
      </c>
      <c r="X110" s="18" t="str">
        <f t="shared" si="194"/>
        <v/>
      </c>
      <c r="Y110" s="18" t="str">
        <f t="shared" si="194"/>
        <v/>
      </c>
      <c r="Z110" s="18">
        <f t="shared" si="194"/>
        <v>0.39473684210526316</v>
      </c>
      <c r="AA110" s="18" t="str">
        <f t="shared" si="194"/>
        <v/>
      </c>
      <c r="AB110" s="18" t="str">
        <f t="shared" si="194"/>
        <v/>
      </c>
      <c r="AC110" s="18" t="str">
        <f t="shared" si="194"/>
        <v/>
      </c>
      <c r="AD110" s="18" t="str">
        <f t="shared" si="194"/>
        <v/>
      </c>
      <c r="AE110" s="18" t="str">
        <f t="shared" si="194"/>
        <v/>
      </c>
      <c r="AF110" s="18" t="str">
        <f t="shared" si="194"/>
        <v/>
      </c>
      <c r="AG110" s="18" t="str">
        <f t="shared" si="194"/>
        <v/>
      </c>
      <c r="AH110" s="18" t="str">
        <f t="shared" si="194"/>
        <v/>
      </c>
      <c r="AI110" s="18" t="str">
        <f t="shared" si="194"/>
        <v/>
      </c>
      <c r="AJ110" s="18" t="str">
        <f t="shared" si="194"/>
        <v/>
      </c>
      <c r="AK110" s="18" t="str">
        <f t="shared" si="194"/>
        <v/>
      </c>
      <c r="AL110" s="18" t="str">
        <f t="shared" si="194"/>
        <v/>
      </c>
      <c r="AM110" s="18" t="str">
        <f t="shared" si="194"/>
        <v/>
      </c>
      <c r="AN110" s="18" t="str">
        <f t="shared" si="194"/>
        <v/>
      </c>
      <c r="AO110" s="18" t="str">
        <f t="shared" ref="AO110:AS110" si="195">IF(AO109="","",IF(AO109=0,"",AO109/(AO106*100)))</f>
        <v/>
      </c>
      <c r="AP110" s="18" t="str">
        <f t="shared" si="195"/>
        <v/>
      </c>
      <c r="AQ110" s="18" t="str">
        <f t="shared" si="195"/>
        <v/>
      </c>
      <c r="AR110" s="18" t="str">
        <f t="shared" si="195"/>
        <v/>
      </c>
      <c r="AS110" s="18" t="str">
        <f t="shared" si="195"/>
        <v/>
      </c>
    </row>
    <row r="111" spans="1:45" s="93" customFormat="1" ht="11">
      <c r="A111" s="17" t="s">
        <v>101</v>
      </c>
      <c r="B111" s="9" t="s">
        <v>2</v>
      </c>
      <c r="C111" s="74">
        <v>606</v>
      </c>
      <c r="D111" s="8">
        <f>IF(D$3="","",C111)</f>
        <v>606</v>
      </c>
      <c r="E111" s="8">
        <v>623</v>
      </c>
      <c r="F111" s="59">
        <f>IF(F$3="","",E111)</f>
        <v>623</v>
      </c>
      <c r="G111" s="8">
        <f>IF(G$3="","",F111)</f>
        <v>623</v>
      </c>
      <c r="H111" s="8">
        <v>657</v>
      </c>
      <c r="I111" s="59">
        <f t="shared" ref="I111:K112" si="196">IF(I$3="","",H111)</f>
        <v>657</v>
      </c>
      <c r="J111" s="8">
        <f t="shared" si="196"/>
        <v>657</v>
      </c>
      <c r="K111" s="8">
        <f t="shared" si="196"/>
        <v>657</v>
      </c>
      <c r="L111" s="8">
        <v>669</v>
      </c>
      <c r="M111" s="59">
        <f>IF(M$3="","",L111)</f>
        <v>669</v>
      </c>
      <c r="N111" s="8">
        <f>IF(N$3="","",M111)</f>
        <v>669</v>
      </c>
      <c r="O111" s="8">
        <v>694</v>
      </c>
      <c r="P111" s="8">
        <f t="shared" ref="P111:AN111" si="197">IF(P$3="","",O111)</f>
        <v>694</v>
      </c>
      <c r="Q111" s="8">
        <f t="shared" si="197"/>
        <v>694</v>
      </c>
      <c r="R111" s="8">
        <f t="shared" si="197"/>
        <v>694</v>
      </c>
      <c r="S111" s="8">
        <f t="shared" si="197"/>
        <v>694</v>
      </c>
      <c r="T111" s="8">
        <v>710</v>
      </c>
      <c r="U111" s="8">
        <f t="shared" si="197"/>
        <v>710</v>
      </c>
      <c r="V111" s="8">
        <v>731</v>
      </c>
      <c r="W111" s="8">
        <f t="shared" si="197"/>
        <v>731</v>
      </c>
      <c r="X111" s="8">
        <f t="shared" si="197"/>
        <v>731</v>
      </c>
      <c r="Y111" s="8">
        <f t="shared" si="197"/>
        <v>731</v>
      </c>
      <c r="Z111" s="8">
        <v>763</v>
      </c>
      <c r="AA111" s="8">
        <f t="shared" si="197"/>
        <v>763</v>
      </c>
      <c r="AB111" s="8">
        <f t="shared" si="197"/>
        <v>763</v>
      </c>
      <c r="AC111" s="8">
        <v>804</v>
      </c>
      <c r="AD111" s="8" t="str">
        <f t="shared" si="197"/>
        <v/>
      </c>
      <c r="AE111" s="8" t="str">
        <f t="shared" si="197"/>
        <v/>
      </c>
      <c r="AF111" s="8" t="str">
        <f t="shared" si="197"/>
        <v/>
      </c>
      <c r="AG111" s="8" t="str">
        <f t="shared" si="197"/>
        <v/>
      </c>
      <c r="AH111" s="8" t="str">
        <f t="shared" si="197"/>
        <v/>
      </c>
      <c r="AI111" s="8" t="str">
        <f t="shared" si="197"/>
        <v/>
      </c>
      <c r="AJ111" s="8" t="str">
        <f t="shared" si="197"/>
        <v/>
      </c>
      <c r="AK111" s="8" t="str">
        <f t="shared" si="197"/>
        <v/>
      </c>
      <c r="AL111" s="8" t="str">
        <f t="shared" si="197"/>
        <v/>
      </c>
      <c r="AM111" s="8" t="str">
        <f t="shared" si="197"/>
        <v/>
      </c>
      <c r="AN111" s="8" t="str">
        <f t="shared" si="197"/>
        <v/>
      </c>
      <c r="AO111" s="8" t="str">
        <f t="shared" ref="AO111:AS111" si="198">IF(AO$3="","",AN111)</f>
        <v/>
      </c>
      <c r="AP111" s="8" t="str">
        <f t="shared" si="198"/>
        <v/>
      </c>
      <c r="AQ111" s="8" t="str">
        <f t="shared" si="198"/>
        <v/>
      </c>
      <c r="AR111" s="8" t="str">
        <f t="shared" si="198"/>
        <v/>
      </c>
      <c r="AS111" s="8" t="str">
        <f t="shared" si="198"/>
        <v/>
      </c>
    </row>
    <row r="112" spans="1:45" s="93" customFormat="1" ht="11">
      <c r="A112" s="16" t="s">
        <v>37</v>
      </c>
      <c r="B112" s="9" t="s">
        <v>4</v>
      </c>
      <c r="C112" s="74">
        <v>142</v>
      </c>
      <c r="D112" s="8">
        <f>IF(D$3="","",C112)</f>
        <v>142</v>
      </c>
      <c r="E112" s="8">
        <f>IF(E$3="","",D112)</f>
        <v>142</v>
      </c>
      <c r="F112" s="59">
        <f>IF(F$3="","",E112)</f>
        <v>142</v>
      </c>
      <c r="G112" s="8">
        <f>IF(G$3="","",F112)</f>
        <v>142</v>
      </c>
      <c r="H112" s="8">
        <f>IF(H$3="","",G112)</f>
        <v>142</v>
      </c>
      <c r="I112" s="59">
        <f t="shared" si="196"/>
        <v>142</v>
      </c>
      <c r="J112" s="8">
        <f t="shared" si="196"/>
        <v>142</v>
      </c>
      <c r="K112" s="8">
        <f t="shared" si="196"/>
        <v>142</v>
      </c>
      <c r="L112" s="8">
        <f>IF(L$3="","",K112)</f>
        <v>142</v>
      </c>
      <c r="M112" s="59">
        <f>IF(M$3="","",L112)</f>
        <v>142</v>
      </c>
      <c r="N112" s="8">
        <f>IF(N$3="","",M112)</f>
        <v>142</v>
      </c>
      <c r="O112" s="8">
        <f>IF(O$3="","",N112)</f>
        <v>142</v>
      </c>
      <c r="P112" s="8">
        <f t="shared" ref="P112:AN112" si="199">IF(P$3="","",O112)</f>
        <v>142</v>
      </c>
      <c r="Q112" s="8">
        <f t="shared" si="199"/>
        <v>142</v>
      </c>
      <c r="R112" s="8">
        <f t="shared" si="199"/>
        <v>142</v>
      </c>
      <c r="S112" s="8">
        <f t="shared" si="199"/>
        <v>142</v>
      </c>
      <c r="T112" s="8">
        <f t="shared" si="199"/>
        <v>142</v>
      </c>
      <c r="U112" s="8">
        <f t="shared" si="199"/>
        <v>142</v>
      </c>
      <c r="V112" s="8">
        <f t="shared" si="199"/>
        <v>142</v>
      </c>
      <c r="W112" s="8">
        <f t="shared" si="199"/>
        <v>142</v>
      </c>
      <c r="X112" s="8">
        <f t="shared" si="199"/>
        <v>142</v>
      </c>
      <c r="Y112" s="8">
        <f t="shared" si="199"/>
        <v>142</v>
      </c>
      <c r="Z112" s="8">
        <v>146</v>
      </c>
      <c r="AA112" s="8">
        <f t="shared" si="199"/>
        <v>146</v>
      </c>
      <c r="AB112" s="8">
        <f t="shared" si="199"/>
        <v>146</v>
      </c>
      <c r="AC112" s="8">
        <f t="shared" si="199"/>
        <v>146</v>
      </c>
      <c r="AD112" s="8" t="str">
        <f t="shared" si="199"/>
        <v/>
      </c>
      <c r="AE112" s="8" t="str">
        <f t="shared" si="199"/>
        <v/>
      </c>
      <c r="AF112" s="8" t="str">
        <f t="shared" si="199"/>
        <v/>
      </c>
      <c r="AG112" s="8" t="str">
        <f t="shared" si="199"/>
        <v/>
      </c>
      <c r="AH112" s="8" t="str">
        <f t="shared" si="199"/>
        <v/>
      </c>
      <c r="AI112" s="8" t="str">
        <f t="shared" si="199"/>
        <v/>
      </c>
      <c r="AJ112" s="8" t="str">
        <f t="shared" si="199"/>
        <v/>
      </c>
      <c r="AK112" s="8" t="str">
        <f t="shared" si="199"/>
        <v/>
      </c>
      <c r="AL112" s="8" t="str">
        <f t="shared" si="199"/>
        <v/>
      </c>
      <c r="AM112" s="8" t="str">
        <f t="shared" si="199"/>
        <v/>
      </c>
      <c r="AN112" s="8" t="str">
        <f t="shared" si="199"/>
        <v/>
      </c>
      <c r="AO112" s="8" t="str">
        <f t="shared" ref="AO112:AS112" si="200">IF(AO$3="","",AN112)</f>
        <v/>
      </c>
      <c r="AP112" s="8" t="str">
        <f t="shared" si="200"/>
        <v/>
      </c>
      <c r="AQ112" s="8" t="str">
        <f t="shared" si="200"/>
        <v/>
      </c>
      <c r="AR112" s="8" t="str">
        <f t="shared" si="200"/>
        <v/>
      </c>
      <c r="AS112" s="8" t="str">
        <f t="shared" si="200"/>
        <v/>
      </c>
    </row>
    <row r="113" spans="1:45" s="93" customFormat="1" ht="11">
      <c r="A113" s="15">
        <v>2</v>
      </c>
      <c r="B113" s="9" t="s">
        <v>5</v>
      </c>
      <c r="C113" s="74">
        <v>6</v>
      </c>
      <c r="D113" s="8">
        <f t="shared" ref="D113:AN113" si="201">IF(D111="","",(C113+C114))</f>
        <v>6</v>
      </c>
      <c r="E113" s="8">
        <f t="shared" si="201"/>
        <v>6</v>
      </c>
      <c r="F113" s="59">
        <f t="shared" si="201"/>
        <v>6</v>
      </c>
      <c r="G113" s="8">
        <f t="shared" si="201"/>
        <v>6</v>
      </c>
      <c r="H113" s="8">
        <f t="shared" si="201"/>
        <v>6</v>
      </c>
      <c r="I113" s="59">
        <f t="shared" si="201"/>
        <v>6</v>
      </c>
      <c r="J113" s="8">
        <f t="shared" si="201"/>
        <v>6</v>
      </c>
      <c r="K113" s="8">
        <f t="shared" si="201"/>
        <v>6</v>
      </c>
      <c r="L113" s="8">
        <f t="shared" si="201"/>
        <v>6</v>
      </c>
      <c r="M113" s="59">
        <f t="shared" si="201"/>
        <v>6</v>
      </c>
      <c r="N113" s="8">
        <f t="shared" si="201"/>
        <v>6</v>
      </c>
      <c r="O113" s="8">
        <f t="shared" si="201"/>
        <v>6</v>
      </c>
      <c r="P113" s="8">
        <f t="shared" si="201"/>
        <v>6</v>
      </c>
      <c r="Q113" s="8">
        <f t="shared" si="201"/>
        <v>6</v>
      </c>
      <c r="R113" s="8">
        <f t="shared" si="201"/>
        <v>6</v>
      </c>
      <c r="S113" s="8">
        <f t="shared" si="201"/>
        <v>6</v>
      </c>
      <c r="T113" s="8">
        <f t="shared" si="201"/>
        <v>6</v>
      </c>
      <c r="U113" s="8">
        <f t="shared" si="201"/>
        <v>6</v>
      </c>
      <c r="V113" s="8">
        <f t="shared" si="201"/>
        <v>6</v>
      </c>
      <c r="W113" s="8">
        <f t="shared" si="201"/>
        <v>14</v>
      </c>
      <c r="X113" s="8">
        <f t="shared" si="201"/>
        <v>14</v>
      </c>
      <c r="Y113" s="8">
        <f t="shared" si="201"/>
        <v>14</v>
      </c>
      <c r="Z113" s="8">
        <v>9</v>
      </c>
      <c r="AA113" s="8">
        <f t="shared" si="201"/>
        <v>9</v>
      </c>
      <c r="AB113" s="8">
        <f t="shared" si="201"/>
        <v>9</v>
      </c>
      <c r="AC113" s="8">
        <f t="shared" si="201"/>
        <v>9</v>
      </c>
      <c r="AD113" s="8" t="str">
        <f t="shared" si="201"/>
        <v/>
      </c>
      <c r="AE113" s="8" t="str">
        <f t="shared" si="201"/>
        <v/>
      </c>
      <c r="AF113" s="8" t="str">
        <f t="shared" si="201"/>
        <v/>
      </c>
      <c r="AG113" s="8" t="str">
        <f t="shared" si="201"/>
        <v/>
      </c>
      <c r="AH113" s="8" t="str">
        <f t="shared" si="201"/>
        <v/>
      </c>
      <c r="AI113" s="8" t="str">
        <f t="shared" si="201"/>
        <v/>
      </c>
      <c r="AJ113" s="8" t="str">
        <f t="shared" si="201"/>
        <v/>
      </c>
      <c r="AK113" s="8" t="str">
        <f t="shared" si="201"/>
        <v/>
      </c>
      <c r="AL113" s="8" t="str">
        <f t="shared" si="201"/>
        <v/>
      </c>
      <c r="AM113" s="8" t="str">
        <f t="shared" si="201"/>
        <v/>
      </c>
      <c r="AN113" s="8" t="str">
        <f t="shared" si="201"/>
        <v/>
      </c>
      <c r="AO113" s="8" t="str">
        <f t="shared" ref="AO113:AS113" si="202">IF(AO111="","",(AN113+AN114))</f>
        <v/>
      </c>
      <c r="AP113" s="8" t="str">
        <f t="shared" si="202"/>
        <v/>
      </c>
      <c r="AQ113" s="8" t="str">
        <f t="shared" si="202"/>
        <v/>
      </c>
      <c r="AR113" s="8" t="str">
        <f t="shared" si="202"/>
        <v/>
      </c>
      <c r="AS113" s="8" t="str">
        <f t="shared" si="202"/>
        <v/>
      </c>
    </row>
    <row r="114" spans="1:45" s="93" customFormat="1" ht="11">
      <c r="A114" s="14"/>
      <c r="B114" s="9" t="s">
        <v>7</v>
      </c>
      <c r="C114" s="74"/>
      <c r="D114" s="8"/>
      <c r="E114" s="8"/>
      <c r="F114" s="59"/>
      <c r="G114" s="8"/>
      <c r="H114" s="8"/>
      <c r="I114" s="59"/>
      <c r="J114" s="8"/>
      <c r="K114" s="8"/>
      <c r="L114" s="8"/>
      <c r="M114" s="59"/>
      <c r="N114" s="8"/>
      <c r="O114" s="8"/>
      <c r="P114" s="8"/>
      <c r="Q114" s="8"/>
      <c r="R114" s="8"/>
      <c r="S114" s="8"/>
      <c r="T114" s="8"/>
      <c r="U114" s="8"/>
      <c r="V114" s="8">
        <v>8</v>
      </c>
      <c r="W114" s="8"/>
      <c r="X114" s="8"/>
      <c r="Y114" s="8"/>
      <c r="Z114" s="8"/>
      <c r="AA114" s="8"/>
      <c r="AB114" s="8"/>
      <c r="AC114" s="8">
        <v>4</v>
      </c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</row>
    <row r="115" spans="1:45" s="93" customFormat="1" ht="11">
      <c r="A115" s="7"/>
      <c r="B115" s="9" t="s">
        <v>8</v>
      </c>
      <c r="C115" s="74">
        <v>250</v>
      </c>
      <c r="D115" s="8">
        <f t="shared" ref="D115:AN115" si="203">IF(D111="","",C115)</f>
        <v>250</v>
      </c>
      <c r="E115" s="8">
        <f t="shared" si="203"/>
        <v>250</v>
      </c>
      <c r="F115" s="59">
        <f t="shared" si="203"/>
        <v>250</v>
      </c>
      <c r="G115" s="8">
        <f t="shared" si="203"/>
        <v>250</v>
      </c>
      <c r="H115" s="8">
        <f t="shared" si="203"/>
        <v>250</v>
      </c>
      <c r="I115" s="59">
        <f t="shared" si="203"/>
        <v>250</v>
      </c>
      <c r="J115" s="8">
        <f t="shared" si="203"/>
        <v>250</v>
      </c>
      <c r="K115" s="8">
        <f t="shared" si="203"/>
        <v>250</v>
      </c>
      <c r="L115" s="8">
        <f t="shared" si="203"/>
        <v>250</v>
      </c>
      <c r="M115" s="59">
        <f t="shared" si="203"/>
        <v>250</v>
      </c>
      <c r="N115" s="8">
        <f t="shared" si="203"/>
        <v>250</v>
      </c>
      <c r="O115" s="8">
        <f t="shared" si="203"/>
        <v>250</v>
      </c>
      <c r="P115" s="8">
        <f t="shared" si="203"/>
        <v>250</v>
      </c>
      <c r="Q115" s="8">
        <f t="shared" si="203"/>
        <v>250</v>
      </c>
      <c r="R115" s="8">
        <f t="shared" si="203"/>
        <v>250</v>
      </c>
      <c r="S115" s="8">
        <f t="shared" si="203"/>
        <v>250</v>
      </c>
      <c r="T115" s="8">
        <f t="shared" si="203"/>
        <v>250</v>
      </c>
      <c r="U115" s="8">
        <f t="shared" si="203"/>
        <v>250</v>
      </c>
      <c r="V115" s="8">
        <f t="shared" si="203"/>
        <v>250</v>
      </c>
      <c r="W115" s="8">
        <f t="shared" si="203"/>
        <v>250</v>
      </c>
      <c r="X115" s="8">
        <f t="shared" si="203"/>
        <v>250</v>
      </c>
      <c r="Y115" s="8">
        <f t="shared" si="203"/>
        <v>250</v>
      </c>
      <c r="Z115" s="8">
        <f t="shared" si="203"/>
        <v>250</v>
      </c>
      <c r="AA115" s="8">
        <f t="shared" si="203"/>
        <v>250</v>
      </c>
      <c r="AB115" s="8">
        <f t="shared" si="203"/>
        <v>250</v>
      </c>
      <c r="AC115" s="8">
        <f t="shared" si="203"/>
        <v>250</v>
      </c>
      <c r="AD115" s="8" t="str">
        <f t="shared" si="203"/>
        <v/>
      </c>
      <c r="AE115" s="8" t="str">
        <f t="shared" si="203"/>
        <v/>
      </c>
      <c r="AF115" s="8" t="str">
        <f t="shared" si="203"/>
        <v/>
      </c>
      <c r="AG115" s="8" t="str">
        <f t="shared" si="203"/>
        <v/>
      </c>
      <c r="AH115" s="8" t="str">
        <f t="shared" si="203"/>
        <v/>
      </c>
      <c r="AI115" s="8" t="str">
        <f t="shared" si="203"/>
        <v/>
      </c>
      <c r="AJ115" s="8" t="str">
        <f t="shared" si="203"/>
        <v/>
      </c>
      <c r="AK115" s="8" t="str">
        <f t="shared" si="203"/>
        <v/>
      </c>
      <c r="AL115" s="8" t="str">
        <f t="shared" si="203"/>
        <v/>
      </c>
      <c r="AM115" s="8" t="str">
        <f t="shared" si="203"/>
        <v/>
      </c>
      <c r="AN115" s="8" t="str">
        <f t="shared" si="203"/>
        <v/>
      </c>
      <c r="AO115" s="8" t="str">
        <f t="shared" ref="AO115:AS115" si="204">IF(AO111="","",AN115)</f>
        <v/>
      </c>
      <c r="AP115" s="8" t="str">
        <f t="shared" si="204"/>
        <v/>
      </c>
      <c r="AQ115" s="8" t="str">
        <f t="shared" si="204"/>
        <v/>
      </c>
      <c r="AR115" s="8" t="str">
        <f t="shared" si="204"/>
        <v/>
      </c>
      <c r="AS115" s="8" t="str">
        <f t="shared" si="204"/>
        <v/>
      </c>
    </row>
    <row r="116" spans="1:45" s="94" customFormat="1" ht="11">
      <c r="A116" s="14" t="s">
        <v>9</v>
      </c>
      <c r="B116" s="13" t="s">
        <v>10</v>
      </c>
      <c r="C116" s="75" t="s">
        <v>64</v>
      </c>
      <c r="D116" s="12" t="str">
        <f t="shared" ref="D116:AN116" si="205">IF(D111="","",C116)</f>
        <v>スライム</v>
      </c>
      <c r="E116" s="12" t="str">
        <f t="shared" si="205"/>
        <v>スライム</v>
      </c>
      <c r="F116" s="131" t="str">
        <f t="shared" si="205"/>
        <v>スライム</v>
      </c>
      <c r="G116" s="12" t="str">
        <f t="shared" si="205"/>
        <v>スライム</v>
      </c>
      <c r="H116" s="12" t="str">
        <f t="shared" si="205"/>
        <v>スライム</v>
      </c>
      <c r="I116" s="131" t="str">
        <f t="shared" si="205"/>
        <v>スライム</v>
      </c>
      <c r="J116" s="12" t="str">
        <f t="shared" si="205"/>
        <v>スライム</v>
      </c>
      <c r="K116" s="12" t="str">
        <f t="shared" si="205"/>
        <v>スライム</v>
      </c>
      <c r="L116" s="12" t="str">
        <f t="shared" si="205"/>
        <v>スライム</v>
      </c>
      <c r="M116" s="131" t="str">
        <f t="shared" si="205"/>
        <v>スライム</v>
      </c>
      <c r="N116" s="12" t="str">
        <f t="shared" si="205"/>
        <v>スライム</v>
      </c>
      <c r="O116" s="12" t="str">
        <f t="shared" si="205"/>
        <v>スライム</v>
      </c>
      <c r="P116" s="12" t="str">
        <f t="shared" si="205"/>
        <v>スライム</v>
      </c>
      <c r="Q116" s="12" t="str">
        <f t="shared" si="205"/>
        <v>スライム</v>
      </c>
      <c r="R116" s="12" t="str">
        <f t="shared" si="205"/>
        <v>スライム</v>
      </c>
      <c r="S116" s="12" t="str">
        <f t="shared" si="205"/>
        <v>スライム</v>
      </c>
      <c r="T116" s="12" t="str">
        <f t="shared" si="205"/>
        <v>スライム</v>
      </c>
      <c r="U116" s="12" t="str">
        <f t="shared" si="205"/>
        <v>スライム</v>
      </c>
      <c r="V116" s="12" t="s">
        <v>13</v>
      </c>
      <c r="W116" s="12" t="str">
        <f t="shared" si="205"/>
        <v>電ブル</v>
      </c>
      <c r="X116" s="12" t="str">
        <f t="shared" si="205"/>
        <v>電ブル</v>
      </c>
      <c r="Y116" s="12" t="str">
        <f t="shared" si="205"/>
        <v>電ブル</v>
      </c>
      <c r="Z116" s="12" t="str">
        <f t="shared" si="205"/>
        <v>電ブル</v>
      </c>
      <c r="AA116" s="12" t="str">
        <f t="shared" si="205"/>
        <v>電ブル</v>
      </c>
      <c r="AB116" s="12" t="str">
        <f t="shared" si="205"/>
        <v>電ブル</v>
      </c>
      <c r="AC116" s="12" t="str">
        <f t="shared" si="205"/>
        <v>電ブル</v>
      </c>
      <c r="AD116" s="12" t="str">
        <f t="shared" si="205"/>
        <v/>
      </c>
      <c r="AE116" s="12" t="str">
        <f t="shared" si="205"/>
        <v/>
      </c>
      <c r="AF116" s="12" t="str">
        <f t="shared" si="205"/>
        <v/>
      </c>
      <c r="AG116" s="12" t="str">
        <f t="shared" si="205"/>
        <v/>
      </c>
      <c r="AH116" s="12" t="str">
        <f t="shared" si="205"/>
        <v/>
      </c>
      <c r="AI116" s="12" t="str">
        <f t="shared" si="205"/>
        <v/>
      </c>
      <c r="AJ116" s="12" t="str">
        <f t="shared" si="205"/>
        <v/>
      </c>
      <c r="AK116" s="12" t="str">
        <f t="shared" si="205"/>
        <v/>
      </c>
      <c r="AL116" s="12" t="str">
        <f t="shared" si="205"/>
        <v/>
      </c>
      <c r="AM116" s="12" t="str">
        <f t="shared" si="205"/>
        <v/>
      </c>
      <c r="AN116" s="12" t="str">
        <f t="shared" si="205"/>
        <v/>
      </c>
      <c r="AO116" s="12" t="str">
        <f t="shared" ref="AO116:AS116" si="206">IF(AO111="","",AN116)</f>
        <v/>
      </c>
      <c r="AP116" s="12" t="str">
        <f t="shared" si="206"/>
        <v/>
      </c>
      <c r="AQ116" s="12" t="str">
        <f t="shared" si="206"/>
        <v/>
      </c>
      <c r="AR116" s="12" t="str">
        <f t="shared" si="206"/>
        <v/>
      </c>
      <c r="AS116" s="12" t="str">
        <f t="shared" si="206"/>
        <v/>
      </c>
    </row>
    <row r="117" spans="1:45" s="93" customFormat="1" ht="11">
      <c r="A117" s="7">
        <f>AVERAGE(C118:AS118)*30*100</f>
        <v>22000</v>
      </c>
      <c r="B117" s="9" t="s">
        <v>14</v>
      </c>
      <c r="C117" s="74"/>
      <c r="D117" s="8"/>
      <c r="E117" s="8"/>
      <c r="F117" s="59"/>
      <c r="G117" s="8"/>
      <c r="H117" s="8"/>
      <c r="I117" s="59"/>
      <c r="J117" s="8"/>
      <c r="K117" s="8"/>
      <c r="L117" s="8"/>
      <c r="M117" s="59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</row>
    <row r="118" spans="1:45" s="93" customFormat="1" ht="11">
      <c r="A118" s="7">
        <f>SUM(C118:AS118)</f>
        <v>198</v>
      </c>
      <c r="B118" s="6" t="s">
        <v>15</v>
      </c>
      <c r="C118" s="74">
        <v>0</v>
      </c>
      <c r="D118" s="5">
        <f t="shared" ref="D118:AN118" si="207">IF(D111="","",D111-C111)</f>
        <v>0</v>
      </c>
      <c r="E118" s="5">
        <f t="shared" si="207"/>
        <v>17</v>
      </c>
      <c r="F118" s="59">
        <f t="shared" si="207"/>
        <v>0</v>
      </c>
      <c r="G118" s="5">
        <f t="shared" si="207"/>
        <v>0</v>
      </c>
      <c r="H118" s="5">
        <f t="shared" si="207"/>
        <v>34</v>
      </c>
      <c r="I118" s="59">
        <f t="shared" si="207"/>
        <v>0</v>
      </c>
      <c r="J118" s="5">
        <f t="shared" si="207"/>
        <v>0</v>
      </c>
      <c r="K118" s="5">
        <f t="shared" si="207"/>
        <v>0</v>
      </c>
      <c r="L118" s="5">
        <f t="shared" si="207"/>
        <v>12</v>
      </c>
      <c r="M118" s="59">
        <f t="shared" si="207"/>
        <v>0</v>
      </c>
      <c r="N118" s="5">
        <f t="shared" si="207"/>
        <v>0</v>
      </c>
      <c r="O118" s="5">
        <f t="shared" si="207"/>
        <v>25</v>
      </c>
      <c r="P118" s="5">
        <f t="shared" si="207"/>
        <v>0</v>
      </c>
      <c r="Q118" s="5">
        <f t="shared" si="207"/>
        <v>0</v>
      </c>
      <c r="R118" s="5">
        <f t="shared" si="207"/>
        <v>0</v>
      </c>
      <c r="S118" s="5">
        <f t="shared" si="207"/>
        <v>0</v>
      </c>
      <c r="T118" s="5">
        <f t="shared" si="207"/>
        <v>16</v>
      </c>
      <c r="U118" s="5">
        <f t="shared" si="207"/>
        <v>0</v>
      </c>
      <c r="V118" s="5">
        <f t="shared" si="207"/>
        <v>21</v>
      </c>
      <c r="W118" s="5">
        <f t="shared" si="207"/>
        <v>0</v>
      </c>
      <c r="X118" s="5">
        <f t="shared" si="207"/>
        <v>0</v>
      </c>
      <c r="Y118" s="5">
        <f t="shared" si="207"/>
        <v>0</v>
      </c>
      <c r="Z118" s="5">
        <f t="shared" si="207"/>
        <v>32</v>
      </c>
      <c r="AA118" s="5">
        <f t="shared" si="207"/>
        <v>0</v>
      </c>
      <c r="AB118" s="5">
        <f t="shared" si="207"/>
        <v>0</v>
      </c>
      <c r="AC118" s="5">
        <f t="shared" si="207"/>
        <v>41</v>
      </c>
      <c r="AD118" s="5" t="str">
        <f t="shared" si="207"/>
        <v/>
      </c>
      <c r="AE118" s="5" t="str">
        <f t="shared" si="207"/>
        <v/>
      </c>
      <c r="AF118" s="5" t="str">
        <f t="shared" si="207"/>
        <v/>
      </c>
      <c r="AG118" s="5" t="str">
        <f t="shared" si="207"/>
        <v/>
      </c>
      <c r="AH118" s="5" t="str">
        <f t="shared" si="207"/>
        <v/>
      </c>
      <c r="AI118" s="5" t="str">
        <f t="shared" si="207"/>
        <v/>
      </c>
      <c r="AJ118" s="5" t="str">
        <f t="shared" si="207"/>
        <v/>
      </c>
      <c r="AK118" s="5" t="str">
        <f t="shared" si="207"/>
        <v/>
      </c>
      <c r="AL118" s="5" t="str">
        <f t="shared" si="207"/>
        <v/>
      </c>
      <c r="AM118" s="5" t="str">
        <f t="shared" si="207"/>
        <v/>
      </c>
      <c r="AN118" s="5" t="str">
        <f t="shared" si="207"/>
        <v/>
      </c>
      <c r="AO118" s="5" t="str">
        <f t="shared" ref="AO118:AS118" si="208">IF(AO111="","",AO111-AN111)</f>
        <v/>
      </c>
      <c r="AP118" s="5" t="str">
        <f t="shared" si="208"/>
        <v/>
      </c>
      <c r="AQ118" s="5" t="str">
        <f t="shared" si="208"/>
        <v/>
      </c>
      <c r="AR118" s="5" t="str">
        <f t="shared" si="208"/>
        <v/>
      </c>
      <c r="AS118" s="5" t="str">
        <f t="shared" si="208"/>
        <v/>
      </c>
    </row>
    <row r="119" spans="1:45" s="93" customFormat="1" ht="11">
      <c r="A119" s="7">
        <f>SUM(C119:AS119)</f>
        <v>4</v>
      </c>
      <c r="B119" s="6" t="s">
        <v>16</v>
      </c>
      <c r="C119" s="74">
        <v>0</v>
      </c>
      <c r="D119" s="5">
        <f t="shared" ref="D119:AN119" si="209">IF(D112="","",D112-C112)</f>
        <v>0</v>
      </c>
      <c r="E119" s="5">
        <f t="shared" si="209"/>
        <v>0</v>
      </c>
      <c r="F119" s="59">
        <f t="shared" si="209"/>
        <v>0</v>
      </c>
      <c r="G119" s="5">
        <f t="shared" si="209"/>
        <v>0</v>
      </c>
      <c r="H119" s="5">
        <f t="shared" si="209"/>
        <v>0</v>
      </c>
      <c r="I119" s="59">
        <f t="shared" si="209"/>
        <v>0</v>
      </c>
      <c r="J119" s="5">
        <f t="shared" si="209"/>
        <v>0</v>
      </c>
      <c r="K119" s="5">
        <f t="shared" si="209"/>
        <v>0</v>
      </c>
      <c r="L119" s="5">
        <f t="shared" si="209"/>
        <v>0</v>
      </c>
      <c r="M119" s="59">
        <f t="shared" si="209"/>
        <v>0</v>
      </c>
      <c r="N119" s="5">
        <f t="shared" si="209"/>
        <v>0</v>
      </c>
      <c r="O119" s="5">
        <f t="shared" si="209"/>
        <v>0</v>
      </c>
      <c r="P119" s="5">
        <f t="shared" si="209"/>
        <v>0</v>
      </c>
      <c r="Q119" s="5">
        <f t="shared" si="209"/>
        <v>0</v>
      </c>
      <c r="R119" s="5">
        <f t="shared" si="209"/>
        <v>0</v>
      </c>
      <c r="S119" s="5">
        <f t="shared" si="209"/>
        <v>0</v>
      </c>
      <c r="T119" s="5">
        <f t="shared" si="209"/>
        <v>0</v>
      </c>
      <c r="U119" s="5">
        <f t="shared" si="209"/>
        <v>0</v>
      </c>
      <c r="V119" s="5">
        <f t="shared" si="209"/>
        <v>0</v>
      </c>
      <c r="W119" s="5">
        <f t="shared" si="209"/>
        <v>0</v>
      </c>
      <c r="X119" s="5">
        <f t="shared" si="209"/>
        <v>0</v>
      </c>
      <c r="Y119" s="5">
        <f t="shared" si="209"/>
        <v>0</v>
      </c>
      <c r="Z119" s="5">
        <f t="shared" si="209"/>
        <v>4</v>
      </c>
      <c r="AA119" s="5">
        <f t="shared" si="209"/>
        <v>0</v>
      </c>
      <c r="AB119" s="5">
        <f t="shared" si="209"/>
        <v>0</v>
      </c>
      <c r="AC119" s="5">
        <f t="shared" si="209"/>
        <v>0</v>
      </c>
      <c r="AD119" s="5" t="str">
        <f t="shared" si="209"/>
        <v/>
      </c>
      <c r="AE119" s="5" t="str">
        <f t="shared" si="209"/>
        <v/>
      </c>
      <c r="AF119" s="5" t="str">
        <f t="shared" si="209"/>
        <v/>
      </c>
      <c r="AG119" s="5" t="str">
        <f t="shared" si="209"/>
        <v/>
      </c>
      <c r="AH119" s="5" t="str">
        <f t="shared" si="209"/>
        <v/>
      </c>
      <c r="AI119" s="5" t="str">
        <f t="shared" si="209"/>
        <v/>
      </c>
      <c r="AJ119" s="5" t="str">
        <f t="shared" si="209"/>
        <v/>
      </c>
      <c r="AK119" s="5" t="str">
        <f t="shared" si="209"/>
        <v/>
      </c>
      <c r="AL119" s="5" t="str">
        <f t="shared" si="209"/>
        <v/>
      </c>
      <c r="AM119" s="5" t="str">
        <f t="shared" si="209"/>
        <v/>
      </c>
      <c r="AN119" s="5" t="str">
        <f t="shared" si="209"/>
        <v/>
      </c>
      <c r="AO119" s="5" t="str">
        <f t="shared" ref="AO119:AS119" si="210">IF(AO112="","",AO112-AN112)</f>
        <v/>
      </c>
      <c r="AP119" s="5" t="str">
        <f t="shared" si="210"/>
        <v/>
      </c>
      <c r="AQ119" s="5" t="str">
        <f t="shared" si="210"/>
        <v/>
      </c>
      <c r="AR119" s="5" t="str">
        <f t="shared" si="210"/>
        <v/>
      </c>
      <c r="AS119" s="5" t="str">
        <f t="shared" si="210"/>
        <v/>
      </c>
    </row>
    <row r="120" spans="1:45" s="93" customFormat="1" ht="11">
      <c r="A120" s="7">
        <f>SUM(C120:AS120)</f>
        <v>5</v>
      </c>
      <c r="B120" s="6" t="s">
        <v>17</v>
      </c>
      <c r="C120" s="74">
        <v>0</v>
      </c>
      <c r="D120" s="5">
        <f t="shared" ref="D120:AN120" si="211">IF(D113="","",C113+C114-D113)</f>
        <v>0</v>
      </c>
      <c r="E120" s="5">
        <f t="shared" si="211"/>
        <v>0</v>
      </c>
      <c r="F120" s="59">
        <f t="shared" si="211"/>
        <v>0</v>
      </c>
      <c r="G120" s="5">
        <f t="shared" si="211"/>
        <v>0</v>
      </c>
      <c r="H120" s="5">
        <f t="shared" si="211"/>
        <v>0</v>
      </c>
      <c r="I120" s="59">
        <f t="shared" si="211"/>
        <v>0</v>
      </c>
      <c r="J120" s="5">
        <f t="shared" si="211"/>
        <v>0</v>
      </c>
      <c r="K120" s="5">
        <f t="shared" si="211"/>
        <v>0</v>
      </c>
      <c r="L120" s="5">
        <f t="shared" si="211"/>
        <v>0</v>
      </c>
      <c r="M120" s="59">
        <f t="shared" si="211"/>
        <v>0</v>
      </c>
      <c r="N120" s="5">
        <f t="shared" si="211"/>
        <v>0</v>
      </c>
      <c r="O120" s="5">
        <f t="shared" si="211"/>
        <v>0</v>
      </c>
      <c r="P120" s="5">
        <f t="shared" si="211"/>
        <v>0</v>
      </c>
      <c r="Q120" s="5">
        <f t="shared" si="211"/>
        <v>0</v>
      </c>
      <c r="R120" s="5">
        <f t="shared" si="211"/>
        <v>0</v>
      </c>
      <c r="S120" s="5">
        <f t="shared" si="211"/>
        <v>0</v>
      </c>
      <c r="T120" s="5">
        <f t="shared" si="211"/>
        <v>0</v>
      </c>
      <c r="U120" s="5">
        <f t="shared" si="211"/>
        <v>0</v>
      </c>
      <c r="V120" s="5">
        <f t="shared" si="211"/>
        <v>0</v>
      </c>
      <c r="W120" s="5">
        <f t="shared" si="211"/>
        <v>0</v>
      </c>
      <c r="X120" s="5">
        <f t="shared" si="211"/>
        <v>0</v>
      </c>
      <c r="Y120" s="5">
        <f t="shared" si="211"/>
        <v>0</v>
      </c>
      <c r="Z120" s="5">
        <f t="shared" si="211"/>
        <v>5</v>
      </c>
      <c r="AA120" s="5">
        <f t="shared" si="211"/>
        <v>0</v>
      </c>
      <c r="AB120" s="5">
        <f t="shared" si="211"/>
        <v>0</v>
      </c>
      <c r="AC120" s="5">
        <f t="shared" si="211"/>
        <v>0</v>
      </c>
      <c r="AD120" s="5" t="str">
        <f t="shared" si="211"/>
        <v/>
      </c>
      <c r="AE120" s="5" t="str">
        <f t="shared" si="211"/>
        <v/>
      </c>
      <c r="AF120" s="5" t="str">
        <f t="shared" si="211"/>
        <v/>
      </c>
      <c r="AG120" s="5" t="str">
        <f t="shared" si="211"/>
        <v/>
      </c>
      <c r="AH120" s="5" t="str">
        <f t="shared" si="211"/>
        <v/>
      </c>
      <c r="AI120" s="5" t="str">
        <f t="shared" si="211"/>
        <v/>
      </c>
      <c r="AJ120" s="5" t="str">
        <f t="shared" si="211"/>
        <v/>
      </c>
      <c r="AK120" s="5" t="str">
        <f t="shared" si="211"/>
        <v/>
      </c>
      <c r="AL120" s="5" t="str">
        <f t="shared" si="211"/>
        <v/>
      </c>
      <c r="AM120" s="5" t="str">
        <f t="shared" si="211"/>
        <v/>
      </c>
      <c r="AN120" s="5" t="str">
        <f t="shared" si="211"/>
        <v/>
      </c>
      <c r="AO120" s="5" t="str">
        <f t="shared" ref="AO120:AS120" si="212">IF(AO113="","",AN113+AN114-AO113)</f>
        <v/>
      </c>
      <c r="AP120" s="5" t="str">
        <f t="shared" si="212"/>
        <v/>
      </c>
      <c r="AQ120" s="5" t="str">
        <f t="shared" si="212"/>
        <v/>
      </c>
      <c r="AR120" s="5" t="str">
        <f t="shared" si="212"/>
        <v/>
      </c>
      <c r="AS120" s="5" t="str">
        <f t="shared" si="212"/>
        <v/>
      </c>
    </row>
    <row r="121" spans="1:45" s="93" customFormat="1" ht="11">
      <c r="A121" s="7">
        <f>SUM(C121:AS121)</f>
        <v>1250</v>
      </c>
      <c r="B121" s="6" t="s">
        <v>18</v>
      </c>
      <c r="C121" s="74">
        <v>0</v>
      </c>
      <c r="D121" s="5">
        <f t="shared" ref="D121:AN121" si="213">IF(D111="","",D120*D115)</f>
        <v>0</v>
      </c>
      <c r="E121" s="5">
        <f t="shared" si="213"/>
        <v>0</v>
      </c>
      <c r="F121" s="59">
        <f t="shared" si="213"/>
        <v>0</v>
      </c>
      <c r="G121" s="5">
        <f t="shared" si="213"/>
        <v>0</v>
      </c>
      <c r="H121" s="5">
        <f t="shared" si="213"/>
        <v>0</v>
      </c>
      <c r="I121" s="59">
        <f t="shared" si="213"/>
        <v>0</v>
      </c>
      <c r="J121" s="5">
        <f t="shared" si="213"/>
        <v>0</v>
      </c>
      <c r="K121" s="5">
        <f t="shared" si="213"/>
        <v>0</v>
      </c>
      <c r="L121" s="5">
        <f t="shared" si="213"/>
        <v>0</v>
      </c>
      <c r="M121" s="59">
        <f t="shared" si="213"/>
        <v>0</v>
      </c>
      <c r="N121" s="5">
        <f t="shared" si="213"/>
        <v>0</v>
      </c>
      <c r="O121" s="5">
        <f t="shared" si="213"/>
        <v>0</v>
      </c>
      <c r="P121" s="5">
        <f t="shared" si="213"/>
        <v>0</v>
      </c>
      <c r="Q121" s="5">
        <f t="shared" si="213"/>
        <v>0</v>
      </c>
      <c r="R121" s="5">
        <f t="shared" si="213"/>
        <v>0</v>
      </c>
      <c r="S121" s="5">
        <f t="shared" si="213"/>
        <v>0</v>
      </c>
      <c r="T121" s="5">
        <f t="shared" si="213"/>
        <v>0</v>
      </c>
      <c r="U121" s="5">
        <f t="shared" si="213"/>
        <v>0</v>
      </c>
      <c r="V121" s="5">
        <f t="shared" si="213"/>
        <v>0</v>
      </c>
      <c r="W121" s="5">
        <f t="shared" si="213"/>
        <v>0</v>
      </c>
      <c r="X121" s="5">
        <f t="shared" si="213"/>
        <v>0</v>
      </c>
      <c r="Y121" s="5">
        <f t="shared" si="213"/>
        <v>0</v>
      </c>
      <c r="Z121" s="5">
        <f t="shared" si="213"/>
        <v>1250</v>
      </c>
      <c r="AA121" s="5">
        <f t="shared" si="213"/>
        <v>0</v>
      </c>
      <c r="AB121" s="5">
        <f t="shared" si="213"/>
        <v>0</v>
      </c>
      <c r="AC121" s="5">
        <f t="shared" si="213"/>
        <v>0</v>
      </c>
      <c r="AD121" s="5" t="str">
        <f t="shared" si="213"/>
        <v/>
      </c>
      <c r="AE121" s="5" t="str">
        <f t="shared" si="213"/>
        <v/>
      </c>
      <c r="AF121" s="5" t="str">
        <f t="shared" si="213"/>
        <v/>
      </c>
      <c r="AG121" s="5" t="str">
        <f t="shared" si="213"/>
        <v/>
      </c>
      <c r="AH121" s="5" t="str">
        <f t="shared" si="213"/>
        <v/>
      </c>
      <c r="AI121" s="5" t="str">
        <f t="shared" si="213"/>
        <v/>
      </c>
      <c r="AJ121" s="5" t="str">
        <f t="shared" si="213"/>
        <v/>
      </c>
      <c r="AK121" s="5" t="str">
        <f t="shared" si="213"/>
        <v/>
      </c>
      <c r="AL121" s="5" t="str">
        <f t="shared" si="213"/>
        <v/>
      </c>
      <c r="AM121" s="5" t="str">
        <f t="shared" si="213"/>
        <v/>
      </c>
      <c r="AN121" s="5" t="str">
        <f t="shared" si="213"/>
        <v/>
      </c>
      <c r="AO121" s="5" t="str">
        <f t="shared" ref="AO121:AS121" si="214">IF(AO111="","",AO120*AO115)</f>
        <v/>
      </c>
      <c r="AP121" s="5" t="str">
        <f t="shared" si="214"/>
        <v/>
      </c>
      <c r="AQ121" s="5" t="str">
        <f t="shared" si="214"/>
        <v/>
      </c>
      <c r="AR121" s="5" t="str">
        <f t="shared" si="214"/>
        <v/>
      </c>
      <c r="AS121" s="5" t="str">
        <f t="shared" si="214"/>
        <v/>
      </c>
    </row>
    <row r="122" spans="1:45" s="93" customFormat="1" ht="12" thickBot="1">
      <c r="A122" s="4">
        <f>IF(A121="","",A121/(A118*100))</f>
        <v>6.3131313131313135E-2</v>
      </c>
      <c r="B122" s="6" t="s">
        <v>20</v>
      </c>
      <c r="C122" s="76" t="s">
        <v>21</v>
      </c>
      <c r="D122" s="18" t="str">
        <f t="shared" ref="D122:AN122" si="215">IF(D121="","",IF(D121=0,"",D121/(D118*100)))</f>
        <v/>
      </c>
      <c r="E122" s="18" t="str">
        <f t="shared" si="215"/>
        <v/>
      </c>
      <c r="F122" s="62" t="str">
        <f t="shared" si="215"/>
        <v/>
      </c>
      <c r="G122" s="18" t="str">
        <f t="shared" si="215"/>
        <v/>
      </c>
      <c r="H122" s="18" t="str">
        <f t="shared" si="215"/>
        <v/>
      </c>
      <c r="I122" s="62" t="str">
        <f t="shared" si="215"/>
        <v/>
      </c>
      <c r="J122" s="18" t="str">
        <f t="shared" si="215"/>
        <v/>
      </c>
      <c r="K122" s="18" t="str">
        <f t="shared" si="215"/>
        <v/>
      </c>
      <c r="L122" s="18" t="str">
        <f t="shared" si="215"/>
        <v/>
      </c>
      <c r="M122" s="62" t="str">
        <f t="shared" si="215"/>
        <v/>
      </c>
      <c r="N122" s="18" t="str">
        <f t="shared" si="215"/>
        <v/>
      </c>
      <c r="O122" s="18" t="str">
        <f t="shared" si="215"/>
        <v/>
      </c>
      <c r="P122" s="18" t="str">
        <f t="shared" si="215"/>
        <v/>
      </c>
      <c r="Q122" s="18" t="str">
        <f t="shared" si="215"/>
        <v/>
      </c>
      <c r="R122" s="18" t="str">
        <f t="shared" si="215"/>
        <v/>
      </c>
      <c r="S122" s="18" t="str">
        <f t="shared" si="215"/>
        <v/>
      </c>
      <c r="T122" s="18" t="str">
        <f t="shared" si="215"/>
        <v/>
      </c>
      <c r="U122" s="18" t="str">
        <f t="shared" si="215"/>
        <v/>
      </c>
      <c r="V122" s="18" t="str">
        <f t="shared" si="215"/>
        <v/>
      </c>
      <c r="W122" s="18" t="str">
        <f t="shared" si="215"/>
        <v/>
      </c>
      <c r="X122" s="18" t="str">
        <f t="shared" si="215"/>
        <v/>
      </c>
      <c r="Y122" s="18" t="str">
        <f t="shared" si="215"/>
        <v/>
      </c>
      <c r="Z122" s="18">
        <f t="shared" si="215"/>
        <v>0.390625</v>
      </c>
      <c r="AA122" s="18" t="str">
        <f t="shared" si="215"/>
        <v/>
      </c>
      <c r="AB122" s="18" t="str">
        <f t="shared" si="215"/>
        <v/>
      </c>
      <c r="AC122" s="18" t="str">
        <f t="shared" si="215"/>
        <v/>
      </c>
      <c r="AD122" s="18" t="str">
        <f t="shared" si="215"/>
        <v/>
      </c>
      <c r="AE122" s="18" t="str">
        <f t="shared" si="215"/>
        <v/>
      </c>
      <c r="AF122" s="18" t="str">
        <f t="shared" si="215"/>
        <v/>
      </c>
      <c r="AG122" s="18" t="str">
        <f t="shared" si="215"/>
        <v/>
      </c>
      <c r="AH122" s="18" t="str">
        <f t="shared" si="215"/>
        <v/>
      </c>
      <c r="AI122" s="18" t="str">
        <f t="shared" si="215"/>
        <v/>
      </c>
      <c r="AJ122" s="18" t="str">
        <f t="shared" si="215"/>
        <v/>
      </c>
      <c r="AK122" s="18" t="str">
        <f t="shared" si="215"/>
        <v/>
      </c>
      <c r="AL122" s="18" t="str">
        <f t="shared" si="215"/>
        <v/>
      </c>
      <c r="AM122" s="18" t="str">
        <f t="shared" si="215"/>
        <v/>
      </c>
      <c r="AN122" s="18" t="str">
        <f t="shared" si="215"/>
        <v/>
      </c>
      <c r="AO122" s="18" t="str">
        <f t="shared" ref="AO122:AS122" si="216">IF(AO121="","",IF(AO121=0,"",AO121/(AO118*100)))</f>
        <v/>
      </c>
      <c r="AP122" s="18" t="str">
        <f t="shared" si="216"/>
        <v/>
      </c>
      <c r="AQ122" s="18" t="str">
        <f t="shared" si="216"/>
        <v/>
      </c>
      <c r="AR122" s="18" t="str">
        <f t="shared" si="216"/>
        <v/>
      </c>
      <c r="AS122" s="18" t="str">
        <f t="shared" si="216"/>
        <v/>
      </c>
    </row>
    <row r="123" spans="1:45" s="93" customFormat="1" ht="11">
      <c r="A123" s="17" t="s">
        <v>101</v>
      </c>
      <c r="B123" s="9" t="s">
        <v>2</v>
      </c>
      <c r="C123" s="74">
        <v>10075</v>
      </c>
      <c r="D123" s="8">
        <f>IF(D$3="","",C123)</f>
        <v>10075</v>
      </c>
      <c r="E123" s="8">
        <v>10079</v>
      </c>
      <c r="F123" s="59">
        <f>IF(F$3="","",E123)</f>
        <v>10079</v>
      </c>
      <c r="G123" s="8">
        <f>IF(G$3="","",F123)</f>
        <v>10079</v>
      </c>
      <c r="H123" s="8">
        <v>10138</v>
      </c>
      <c r="I123" s="59">
        <f t="shared" ref="I123:K124" si="217">IF(I$3="","",H123)</f>
        <v>10138</v>
      </c>
      <c r="J123" s="8">
        <f t="shared" si="217"/>
        <v>10138</v>
      </c>
      <c r="K123" s="8">
        <f t="shared" si="217"/>
        <v>10138</v>
      </c>
      <c r="L123" s="8">
        <v>10164</v>
      </c>
      <c r="M123" s="59">
        <f>IF(M$3="","",L123)</f>
        <v>10164</v>
      </c>
      <c r="N123" s="8">
        <f>IF(N$3="","",M123)</f>
        <v>10164</v>
      </c>
      <c r="O123" s="8">
        <v>10208</v>
      </c>
      <c r="P123" s="8">
        <f t="shared" ref="P123:AN123" si="218">IF(P$3="","",O123)</f>
        <v>10208</v>
      </c>
      <c r="Q123" s="8">
        <f t="shared" si="218"/>
        <v>10208</v>
      </c>
      <c r="R123" s="8">
        <f t="shared" si="218"/>
        <v>10208</v>
      </c>
      <c r="S123" s="8">
        <f t="shared" si="218"/>
        <v>10208</v>
      </c>
      <c r="T123" s="8">
        <v>10274</v>
      </c>
      <c r="U123" s="8">
        <f t="shared" si="218"/>
        <v>10274</v>
      </c>
      <c r="V123" s="8">
        <v>10338</v>
      </c>
      <c r="W123" s="8">
        <f t="shared" si="218"/>
        <v>10338</v>
      </c>
      <c r="X123" s="8">
        <f t="shared" si="218"/>
        <v>10338</v>
      </c>
      <c r="Y123" s="8">
        <f t="shared" si="218"/>
        <v>10338</v>
      </c>
      <c r="Z123" s="8">
        <v>10367</v>
      </c>
      <c r="AA123" s="8">
        <f t="shared" si="218"/>
        <v>10367</v>
      </c>
      <c r="AB123" s="8">
        <f t="shared" si="218"/>
        <v>10367</v>
      </c>
      <c r="AC123" s="8">
        <v>10417</v>
      </c>
      <c r="AD123" s="8" t="str">
        <f t="shared" si="218"/>
        <v/>
      </c>
      <c r="AE123" s="8" t="str">
        <f t="shared" si="218"/>
        <v/>
      </c>
      <c r="AF123" s="8" t="str">
        <f t="shared" si="218"/>
        <v/>
      </c>
      <c r="AG123" s="8" t="str">
        <f t="shared" si="218"/>
        <v/>
      </c>
      <c r="AH123" s="8" t="str">
        <f t="shared" si="218"/>
        <v/>
      </c>
      <c r="AI123" s="8" t="str">
        <f t="shared" si="218"/>
        <v/>
      </c>
      <c r="AJ123" s="8" t="str">
        <f t="shared" si="218"/>
        <v/>
      </c>
      <c r="AK123" s="8" t="str">
        <f t="shared" si="218"/>
        <v/>
      </c>
      <c r="AL123" s="8" t="str">
        <f t="shared" si="218"/>
        <v/>
      </c>
      <c r="AM123" s="8" t="str">
        <f t="shared" si="218"/>
        <v/>
      </c>
      <c r="AN123" s="8" t="str">
        <f t="shared" si="218"/>
        <v/>
      </c>
      <c r="AO123" s="8" t="str">
        <f t="shared" ref="AO123:AS123" si="219">IF(AO$3="","",AN123)</f>
        <v/>
      </c>
      <c r="AP123" s="8" t="str">
        <f t="shared" si="219"/>
        <v/>
      </c>
      <c r="AQ123" s="8" t="str">
        <f t="shared" si="219"/>
        <v/>
      </c>
      <c r="AR123" s="8" t="str">
        <f t="shared" si="219"/>
        <v/>
      </c>
      <c r="AS123" s="8" t="str">
        <f t="shared" si="219"/>
        <v/>
      </c>
    </row>
    <row r="124" spans="1:45" s="93" customFormat="1" ht="11">
      <c r="A124" s="16" t="s">
        <v>37</v>
      </c>
      <c r="B124" s="9" t="s">
        <v>4</v>
      </c>
      <c r="C124" s="74">
        <v>138</v>
      </c>
      <c r="D124" s="8">
        <f>IF(D$3="","",C124)</f>
        <v>138</v>
      </c>
      <c r="E124" s="8">
        <f>IF(E$3="","",D124)</f>
        <v>138</v>
      </c>
      <c r="F124" s="59">
        <f>IF(F$3="","",E124)</f>
        <v>138</v>
      </c>
      <c r="G124" s="8">
        <f>IF(G$3="","",F124)</f>
        <v>138</v>
      </c>
      <c r="H124" s="8">
        <v>139</v>
      </c>
      <c r="I124" s="59">
        <f t="shared" si="217"/>
        <v>139</v>
      </c>
      <c r="J124" s="8">
        <f t="shared" si="217"/>
        <v>139</v>
      </c>
      <c r="K124" s="8">
        <f t="shared" si="217"/>
        <v>139</v>
      </c>
      <c r="L124" s="8">
        <f>IF(L$3="","",K124)</f>
        <v>139</v>
      </c>
      <c r="M124" s="59">
        <f>IF(M$3="","",L124)</f>
        <v>139</v>
      </c>
      <c r="N124" s="8">
        <f>IF(N$3="","",M124)</f>
        <v>139</v>
      </c>
      <c r="O124" s="8">
        <v>141</v>
      </c>
      <c r="P124" s="8">
        <f t="shared" ref="P124:AN124" si="220">IF(P$3="","",O124)</f>
        <v>141</v>
      </c>
      <c r="Q124" s="8">
        <f t="shared" si="220"/>
        <v>141</v>
      </c>
      <c r="R124" s="8">
        <f t="shared" si="220"/>
        <v>141</v>
      </c>
      <c r="S124" s="8">
        <f t="shared" si="220"/>
        <v>141</v>
      </c>
      <c r="T124" s="8">
        <f t="shared" si="220"/>
        <v>141</v>
      </c>
      <c r="U124" s="8">
        <f t="shared" si="220"/>
        <v>141</v>
      </c>
      <c r="V124" s="8">
        <v>144</v>
      </c>
      <c r="W124" s="8">
        <f t="shared" si="220"/>
        <v>144</v>
      </c>
      <c r="X124" s="8">
        <f t="shared" si="220"/>
        <v>144</v>
      </c>
      <c r="Y124" s="8">
        <f t="shared" si="220"/>
        <v>144</v>
      </c>
      <c r="Z124" s="8">
        <f t="shared" si="220"/>
        <v>144</v>
      </c>
      <c r="AA124" s="8">
        <f t="shared" si="220"/>
        <v>144</v>
      </c>
      <c r="AB124" s="8">
        <f t="shared" si="220"/>
        <v>144</v>
      </c>
      <c r="AC124" s="8">
        <v>146</v>
      </c>
      <c r="AD124" s="8" t="str">
        <f t="shared" si="220"/>
        <v/>
      </c>
      <c r="AE124" s="8" t="str">
        <f t="shared" si="220"/>
        <v/>
      </c>
      <c r="AF124" s="8" t="str">
        <f t="shared" si="220"/>
        <v/>
      </c>
      <c r="AG124" s="8" t="str">
        <f t="shared" si="220"/>
        <v/>
      </c>
      <c r="AH124" s="8" t="str">
        <f t="shared" si="220"/>
        <v/>
      </c>
      <c r="AI124" s="8" t="str">
        <f t="shared" si="220"/>
        <v/>
      </c>
      <c r="AJ124" s="8" t="str">
        <f t="shared" si="220"/>
        <v/>
      </c>
      <c r="AK124" s="8" t="str">
        <f t="shared" si="220"/>
        <v/>
      </c>
      <c r="AL124" s="8" t="str">
        <f t="shared" si="220"/>
        <v/>
      </c>
      <c r="AM124" s="8" t="str">
        <f t="shared" si="220"/>
        <v/>
      </c>
      <c r="AN124" s="8" t="str">
        <f t="shared" si="220"/>
        <v/>
      </c>
      <c r="AO124" s="8" t="str">
        <f t="shared" ref="AO124:AS124" si="221">IF(AO$3="","",AN124)</f>
        <v/>
      </c>
      <c r="AP124" s="8" t="str">
        <f t="shared" si="221"/>
        <v/>
      </c>
      <c r="AQ124" s="8" t="str">
        <f t="shared" si="221"/>
        <v/>
      </c>
      <c r="AR124" s="8" t="str">
        <f t="shared" si="221"/>
        <v/>
      </c>
      <c r="AS124" s="8" t="str">
        <f t="shared" si="221"/>
        <v/>
      </c>
    </row>
    <row r="125" spans="1:45" s="93" customFormat="1" ht="11">
      <c r="A125" s="15">
        <v>3</v>
      </c>
      <c r="B125" s="9" t="s">
        <v>5</v>
      </c>
      <c r="C125" s="74">
        <v>4</v>
      </c>
      <c r="D125" s="8">
        <f>IF(D123="","",(C125+C126))</f>
        <v>4</v>
      </c>
      <c r="E125" s="8">
        <f>IF(E123="","",(D125+D126))</f>
        <v>4</v>
      </c>
      <c r="F125" s="59">
        <f>IF(F123="","",(E125+E126))</f>
        <v>10</v>
      </c>
      <c r="G125" s="8">
        <f>IF(G123="","",(F125+F126))</f>
        <v>10</v>
      </c>
      <c r="H125" s="8">
        <v>9</v>
      </c>
      <c r="I125" s="59">
        <f>IF(I123="","",(H125+H126))</f>
        <v>9</v>
      </c>
      <c r="J125" s="8">
        <f>IF(J123="","",(I125+I126))</f>
        <v>9</v>
      </c>
      <c r="K125" s="8">
        <f>IF(K123="","",(J125+J126))</f>
        <v>9</v>
      </c>
      <c r="L125" s="8">
        <v>8</v>
      </c>
      <c r="M125" s="59">
        <f>IF(M123="","",(L125+L126))</f>
        <v>8</v>
      </c>
      <c r="N125" s="8">
        <f>IF(N123="","",(M125+M126))</f>
        <v>8</v>
      </c>
      <c r="O125" s="8">
        <v>6</v>
      </c>
      <c r="P125" s="8">
        <f t="shared" ref="P125:AN125" si="222">IF(P123="","",(O125+O126))</f>
        <v>6</v>
      </c>
      <c r="Q125" s="8">
        <f t="shared" si="222"/>
        <v>6</v>
      </c>
      <c r="R125" s="8">
        <f t="shared" si="222"/>
        <v>6</v>
      </c>
      <c r="S125" s="8">
        <f t="shared" si="222"/>
        <v>6</v>
      </c>
      <c r="T125" s="8">
        <f t="shared" si="222"/>
        <v>6</v>
      </c>
      <c r="U125" s="8">
        <f t="shared" si="222"/>
        <v>6</v>
      </c>
      <c r="V125" s="8">
        <v>3</v>
      </c>
      <c r="W125" s="8">
        <f t="shared" si="222"/>
        <v>8</v>
      </c>
      <c r="X125" s="8">
        <f t="shared" si="222"/>
        <v>8</v>
      </c>
      <c r="Y125" s="8">
        <f t="shared" si="222"/>
        <v>8</v>
      </c>
      <c r="Z125" s="8">
        <f t="shared" si="222"/>
        <v>8</v>
      </c>
      <c r="AA125" s="8">
        <f t="shared" si="222"/>
        <v>8</v>
      </c>
      <c r="AB125" s="8">
        <f t="shared" si="222"/>
        <v>8</v>
      </c>
      <c r="AC125" s="8">
        <v>6</v>
      </c>
      <c r="AD125" s="8" t="str">
        <f t="shared" si="222"/>
        <v/>
      </c>
      <c r="AE125" s="8" t="str">
        <f t="shared" si="222"/>
        <v/>
      </c>
      <c r="AF125" s="8" t="str">
        <f t="shared" si="222"/>
        <v/>
      </c>
      <c r="AG125" s="8" t="str">
        <f t="shared" si="222"/>
        <v/>
      </c>
      <c r="AH125" s="8" t="str">
        <f t="shared" si="222"/>
        <v/>
      </c>
      <c r="AI125" s="8" t="str">
        <f t="shared" si="222"/>
        <v/>
      </c>
      <c r="AJ125" s="8" t="str">
        <f t="shared" si="222"/>
        <v/>
      </c>
      <c r="AK125" s="8" t="str">
        <f t="shared" si="222"/>
        <v/>
      </c>
      <c r="AL125" s="8" t="str">
        <f t="shared" si="222"/>
        <v/>
      </c>
      <c r="AM125" s="8" t="str">
        <f t="shared" si="222"/>
        <v/>
      </c>
      <c r="AN125" s="8" t="str">
        <f t="shared" si="222"/>
        <v/>
      </c>
      <c r="AO125" s="8" t="str">
        <f t="shared" ref="AO125:AS125" si="223">IF(AO123="","",(AN125+AN126))</f>
        <v/>
      </c>
      <c r="AP125" s="8" t="str">
        <f t="shared" si="223"/>
        <v/>
      </c>
      <c r="AQ125" s="8" t="str">
        <f t="shared" si="223"/>
        <v/>
      </c>
      <c r="AR125" s="8" t="str">
        <f t="shared" si="223"/>
        <v/>
      </c>
      <c r="AS125" s="8" t="str">
        <f t="shared" si="223"/>
        <v/>
      </c>
    </row>
    <row r="126" spans="1:45" s="93" customFormat="1" ht="11">
      <c r="A126" s="14"/>
      <c r="B126" s="9" t="s">
        <v>7</v>
      </c>
      <c r="C126" s="74"/>
      <c r="D126" s="8"/>
      <c r="E126" s="8">
        <v>6</v>
      </c>
      <c r="F126" s="59"/>
      <c r="G126" s="8"/>
      <c r="H126" s="8"/>
      <c r="I126" s="59"/>
      <c r="J126" s="8"/>
      <c r="K126" s="8"/>
      <c r="L126" s="8"/>
      <c r="M126" s="59"/>
      <c r="N126" s="8"/>
      <c r="O126" s="8"/>
      <c r="P126" s="8"/>
      <c r="Q126" s="8"/>
      <c r="R126" s="8"/>
      <c r="S126" s="8"/>
      <c r="T126" s="8"/>
      <c r="U126" s="8"/>
      <c r="V126" s="8">
        <v>5</v>
      </c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</row>
    <row r="127" spans="1:45" s="93" customFormat="1" ht="11">
      <c r="A127" s="7"/>
      <c r="B127" s="9" t="s">
        <v>8</v>
      </c>
      <c r="C127" s="74">
        <v>280</v>
      </c>
      <c r="D127" s="8">
        <f t="shared" ref="D127:AN127" si="224">IF(D123="","",C127)</f>
        <v>280</v>
      </c>
      <c r="E127" s="8">
        <f t="shared" si="224"/>
        <v>280</v>
      </c>
      <c r="F127" s="59">
        <f t="shared" si="224"/>
        <v>280</v>
      </c>
      <c r="G127" s="8">
        <f t="shared" si="224"/>
        <v>280</v>
      </c>
      <c r="H127" s="8">
        <f t="shared" si="224"/>
        <v>280</v>
      </c>
      <c r="I127" s="59">
        <f t="shared" si="224"/>
        <v>280</v>
      </c>
      <c r="J127" s="8">
        <f t="shared" si="224"/>
        <v>280</v>
      </c>
      <c r="K127" s="8">
        <f t="shared" si="224"/>
        <v>280</v>
      </c>
      <c r="L127" s="8">
        <f t="shared" si="224"/>
        <v>280</v>
      </c>
      <c r="M127" s="59">
        <f t="shared" si="224"/>
        <v>280</v>
      </c>
      <c r="N127" s="8">
        <f t="shared" si="224"/>
        <v>280</v>
      </c>
      <c r="O127" s="8">
        <f t="shared" si="224"/>
        <v>280</v>
      </c>
      <c r="P127" s="8">
        <f t="shared" si="224"/>
        <v>280</v>
      </c>
      <c r="Q127" s="8">
        <f t="shared" si="224"/>
        <v>280</v>
      </c>
      <c r="R127" s="8">
        <f t="shared" si="224"/>
        <v>280</v>
      </c>
      <c r="S127" s="8">
        <f t="shared" si="224"/>
        <v>280</v>
      </c>
      <c r="T127" s="8">
        <f t="shared" si="224"/>
        <v>280</v>
      </c>
      <c r="U127" s="8">
        <f t="shared" si="224"/>
        <v>280</v>
      </c>
      <c r="V127" s="8">
        <f t="shared" si="224"/>
        <v>280</v>
      </c>
      <c r="W127" s="8">
        <f t="shared" si="224"/>
        <v>280</v>
      </c>
      <c r="X127" s="8">
        <f t="shared" si="224"/>
        <v>280</v>
      </c>
      <c r="Y127" s="8">
        <f t="shared" si="224"/>
        <v>280</v>
      </c>
      <c r="Z127" s="8">
        <f t="shared" si="224"/>
        <v>280</v>
      </c>
      <c r="AA127" s="8">
        <f t="shared" si="224"/>
        <v>280</v>
      </c>
      <c r="AB127" s="8">
        <f t="shared" si="224"/>
        <v>280</v>
      </c>
      <c r="AC127" s="8">
        <f t="shared" si="224"/>
        <v>280</v>
      </c>
      <c r="AD127" s="8" t="str">
        <f t="shared" si="224"/>
        <v/>
      </c>
      <c r="AE127" s="8" t="str">
        <f t="shared" si="224"/>
        <v/>
      </c>
      <c r="AF127" s="8" t="str">
        <f t="shared" si="224"/>
        <v/>
      </c>
      <c r="AG127" s="8" t="str">
        <f t="shared" si="224"/>
        <v/>
      </c>
      <c r="AH127" s="8" t="str">
        <f t="shared" si="224"/>
        <v/>
      </c>
      <c r="AI127" s="8" t="str">
        <f t="shared" si="224"/>
        <v/>
      </c>
      <c r="AJ127" s="8" t="str">
        <f t="shared" si="224"/>
        <v/>
      </c>
      <c r="AK127" s="8" t="str">
        <f t="shared" si="224"/>
        <v/>
      </c>
      <c r="AL127" s="8" t="str">
        <f t="shared" si="224"/>
        <v/>
      </c>
      <c r="AM127" s="8" t="str">
        <f t="shared" si="224"/>
        <v/>
      </c>
      <c r="AN127" s="8" t="str">
        <f t="shared" si="224"/>
        <v/>
      </c>
      <c r="AO127" s="8" t="str">
        <f t="shared" ref="AO127:AS127" si="225">IF(AO123="","",AN127)</f>
        <v/>
      </c>
      <c r="AP127" s="8" t="str">
        <f t="shared" si="225"/>
        <v/>
      </c>
      <c r="AQ127" s="8" t="str">
        <f t="shared" si="225"/>
        <v/>
      </c>
      <c r="AR127" s="8" t="str">
        <f t="shared" si="225"/>
        <v/>
      </c>
      <c r="AS127" s="8" t="str">
        <f t="shared" si="225"/>
        <v/>
      </c>
    </row>
    <row r="128" spans="1:45" s="94" customFormat="1" ht="11">
      <c r="A128" s="14" t="s">
        <v>9</v>
      </c>
      <c r="B128" s="13" t="s">
        <v>10</v>
      </c>
      <c r="C128" s="75" t="s">
        <v>31</v>
      </c>
      <c r="D128" s="12" t="str">
        <f t="shared" ref="D128:AN128" si="226">IF(D123="","",C128)</f>
        <v>柴犬たまご</v>
      </c>
      <c r="E128" s="12" t="str">
        <f t="shared" si="226"/>
        <v>柴犬たまご</v>
      </c>
      <c r="F128" s="131" t="str">
        <f t="shared" si="226"/>
        <v>柴犬たまご</v>
      </c>
      <c r="G128" s="12" t="str">
        <f t="shared" si="226"/>
        <v>柴犬たまご</v>
      </c>
      <c r="H128" s="12" t="str">
        <f t="shared" si="226"/>
        <v>柴犬たまご</v>
      </c>
      <c r="I128" s="131" t="str">
        <f t="shared" si="226"/>
        <v>柴犬たまご</v>
      </c>
      <c r="J128" s="12" t="str">
        <f t="shared" si="226"/>
        <v>柴犬たまご</v>
      </c>
      <c r="K128" s="12" t="str">
        <f t="shared" si="226"/>
        <v>柴犬たまご</v>
      </c>
      <c r="L128" s="12" t="str">
        <f t="shared" si="226"/>
        <v>柴犬たまご</v>
      </c>
      <c r="M128" s="131" t="str">
        <f t="shared" si="226"/>
        <v>柴犬たまご</v>
      </c>
      <c r="N128" s="12" t="str">
        <f t="shared" si="226"/>
        <v>柴犬たまご</v>
      </c>
      <c r="O128" s="12" t="str">
        <f t="shared" si="226"/>
        <v>柴犬たまご</v>
      </c>
      <c r="P128" s="12" t="str">
        <f t="shared" si="226"/>
        <v>柴犬たまご</v>
      </c>
      <c r="Q128" s="12" t="str">
        <f t="shared" si="226"/>
        <v>柴犬たまご</v>
      </c>
      <c r="R128" s="12" t="str">
        <f t="shared" si="226"/>
        <v>柴犬たまご</v>
      </c>
      <c r="S128" s="12" t="str">
        <f t="shared" si="226"/>
        <v>柴犬たまご</v>
      </c>
      <c r="T128" s="12" t="str">
        <f t="shared" si="226"/>
        <v>柴犬たまご</v>
      </c>
      <c r="U128" s="12" t="str">
        <f t="shared" si="226"/>
        <v>柴犬たまご</v>
      </c>
      <c r="V128" s="12" t="str">
        <f t="shared" si="226"/>
        <v>柴犬たまご</v>
      </c>
      <c r="W128" s="12" t="str">
        <f t="shared" si="226"/>
        <v>柴犬たまご</v>
      </c>
      <c r="X128" s="12" t="str">
        <f t="shared" si="226"/>
        <v>柴犬たまご</v>
      </c>
      <c r="Y128" s="12" t="str">
        <f t="shared" si="226"/>
        <v>柴犬たまご</v>
      </c>
      <c r="Z128" s="12" t="str">
        <f t="shared" si="226"/>
        <v>柴犬たまご</v>
      </c>
      <c r="AA128" s="12" t="str">
        <f t="shared" si="226"/>
        <v>柴犬たまご</v>
      </c>
      <c r="AB128" s="12" t="str">
        <f t="shared" si="226"/>
        <v>柴犬たまご</v>
      </c>
      <c r="AC128" s="12" t="str">
        <f t="shared" si="226"/>
        <v>柴犬たまご</v>
      </c>
      <c r="AD128" s="12" t="str">
        <f t="shared" si="226"/>
        <v/>
      </c>
      <c r="AE128" s="12" t="str">
        <f t="shared" si="226"/>
        <v/>
      </c>
      <c r="AF128" s="12" t="str">
        <f t="shared" si="226"/>
        <v/>
      </c>
      <c r="AG128" s="12" t="str">
        <f t="shared" si="226"/>
        <v/>
      </c>
      <c r="AH128" s="12" t="str">
        <f t="shared" si="226"/>
        <v/>
      </c>
      <c r="AI128" s="12" t="str">
        <f t="shared" si="226"/>
        <v/>
      </c>
      <c r="AJ128" s="12" t="str">
        <f t="shared" si="226"/>
        <v/>
      </c>
      <c r="AK128" s="12" t="str">
        <f t="shared" si="226"/>
        <v/>
      </c>
      <c r="AL128" s="12" t="str">
        <f t="shared" si="226"/>
        <v/>
      </c>
      <c r="AM128" s="12" t="str">
        <f t="shared" si="226"/>
        <v/>
      </c>
      <c r="AN128" s="12" t="str">
        <f t="shared" si="226"/>
        <v/>
      </c>
      <c r="AO128" s="12" t="str">
        <f t="shared" ref="AO128:AS128" si="227">IF(AO123="","",AN128)</f>
        <v/>
      </c>
      <c r="AP128" s="12" t="str">
        <f t="shared" si="227"/>
        <v/>
      </c>
      <c r="AQ128" s="12" t="str">
        <f t="shared" si="227"/>
        <v/>
      </c>
      <c r="AR128" s="12" t="str">
        <f t="shared" si="227"/>
        <v/>
      </c>
      <c r="AS128" s="12" t="str">
        <f t="shared" si="227"/>
        <v/>
      </c>
    </row>
    <row r="129" spans="1:45" s="93" customFormat="1" ht="11">
      <c r="A129" s="7">
        <f>AVERAGE(C130:AS130)*30*100</f>
        <v>38000</v>
      </c>
      <c r="B129" s="9" t="s">
        <v>14</v>
      </c>
      <c r="C129" s="74"/>
      <c r="D129" s="8"/>
      <c r="E129" s="8"/>
      <c r="F129" s="59"/>
      <c r="G129" s="8"/>
      <c r="H129" s="8"/>
      <c r="I129" s="59"/>
      <c r="J129" s="8"/>
      <c r="K129" s="8"/>
      <c r="L129" s="8"/>
      <c r="M129" s="59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</row>
    <row r="130" spans="1:45" s="93" customFormat="1" ht="11">
      <c r="A130" s="7">
        <f>SUM(C130:AS130)</f>
        <v>342</v>
      </c>
      <c r="B130" s="6" t="s">
        <v>15</v>
      </c>
      <c r="C130" s="74">
        <v>0</v>
      </c>
      <c r="D130" s="5">
        <f t="shared" ref="D130:AN130" si="228">IF(D123="","",D123-C123)</f>
        <v>0</v>
      </c>
      <c r="E130" s="5">
        <f t="shared" si="228"/>
        <v>4</v>
      </c>
      <c r="F130" s="59">
        <f t="shared" si="228"/>
        <v>0</v>
      </c>
      <c r="G130" s="5">
        <f t="shared" si="228"/>
        <v>0</v>
      </c>
      <c r="H130" s="5">
        <f t="shared" si="228"/>
        <v>59</v>
      </c>
      <c r="I130" s="59">
        <f t="shared" si="228"/>
        <v>0</v>
      </c>
      <c r="J130" s="5">
        <f t="shared" si="228"/>
        <v>0</v>
      </c>
      <c r="K130" s="5">
        <f t="shared" si="228"/>
        <v>0</v>
      </c>
      <c r="L130" s="5">
        <f t="shared" si="228"/>
        <v>26</v>
      </c>
      <c r="M130" s="59">
        <f t="shared" si="228"/>
        <v>0</v>
      </c>
      <c r="N130" s="5">
        <f t="shared" si="228"/>
        <v>0</v>
      </c>
      <c r="O130" s="5">
        <f t="shared" si="228"/>
        <v>44</v>
      </c>
      <c r="P130" s="5">
        <f t="shared" si="228"/>
        <v>0</v>
      </c>
      <c r="Q130" s="5">
        <f t="shared" si="228"/>
        <v>0</v>
      </c>
      <c r="R130" s="5">
        <f t="shared" si="228"/>
        <v>0</v>
      </c>
      <c r="S130" s="5">
        <f t="shared" si="228"/>
        <v>0</v>
      </c>
      <c r="T130" s="5">
        <f t="shared" si="228"/>
        <v>66</v>
      </c>
      <c r="U130" s="5">
        <f t="shared" si="228"/>
        <v>0</v>
      </c>
      <c r="V130" s="5">
        <f t="shared" si="228"/>
        <v>64</v>
      </c>
      <c r="W130" s="5">
        <f t="shared" si="228"/>
        <v>0</v>
      </c>
      <c r="X130" s="5">
        <f t="shared" si="228"/>
        <v>0</v>
      </c>
      <c r="Y130" s="5">
        <f t="shared" si="228"/>
        <v>0</v>
      </c>
      <c r="Z130" s="5">
        <f t="shared" si="228"/>
        <v>29</v>
      </c>
      <c r="AA130" s="5">
        <f t="shared" si="228"/>
        <v>0</v>
      </c>
      <c r="AB130" s="5">
        <f t="shared" si="228"/>
        <v>0</v>
      </c>
      <c r="AC130" s="5">
        <f t="shared" si="228"/>
        <v>50</v>
      </c>
      <c r="AD130" s="5" t="str">
        <f t="shared" si="228"/>
        <v/>
      </c>
      <c r="AE130" s="5" t="str">
        <f t="shared" si="228"/>
        <v/>
      </c>
      <c r="AF130" s="5" t="str">
        <f t="shared" si="228"/>
        <v/>
      </c>
      <c r="AG130" s="5" t="str">
        <f t="shared" si="228"/>
        <v/>
      </c>
      <c r="AH130" s="5" t="str">
        <f t="shared" si="228"/>
        <v/>
      </c>
      <c r="AI130" s="5" t="str">
        <f t="shared" si="228"/>
        <v/>
      </c>
      <c r="AJ130" s="5" t="str">
        <f t="shared" si="228"/>
        <v/>
      </c>
      <c r="AK130" s="5" t="str">
        <f t="shared" si="228"/>
        <v/>
      </c>
      <c r="AL130" s="5" t="str">
        <f t="shared" si="228"/>
        <v/>
      </c>
      <c r="AM130" s="5" t="str">
        <f t="shared" si="228"/>
        <v/>
      </c>
      <c r="AN130" s="5" t="str">
        <f t="shared" si="228"/>
        <v/>
      </c>
      <c r="AO130" s="5" t="str">
        <f t="shared" ref="AO130:AS130" si="229">IF(AO123="","",AO123-AN123)</f>
        <v/>
      </c>
      <c r="AP130" s="5" t="str">
        <f t="shared" si="229"/>
        <v/>
      </c>
      <c r="AQ130" s="5" t="str">
        <f t="shared" si="229"/>
        <v/>
      </c>
      <c r="AR130" s="5" t="str">
        <f t="shared" si="229"/>
        <v/>
      </c>
      <c r="AS130" s="5" t="str">
        <f t="shared" si="229"/>
        <v/>
      </c>
    </row>
    <row r="131" spans="1:45" s="93" customFormat="1" ht="11">
      <c r="A131" s="7">
        <f>SUM(C131:AS131)</f>
        <v>8</v>
      </c>
      <c r="B131" s="6" t="s">
        <v>16</v>
      </c>
      <c r="C131" s="74">
        <v>0</v>
      </c>
      <c r="D131" s="5">
        <f t="shared" ref="D131:AN131" si="230">IF(D124="","",D124-C124)</f>
        <v>0</v>
      </c>
      <c r="E131" s="5">
        <f t="shared" si="230"/>
        <v>0</v>
      </c>
      <c r="F131" s="59">
        <f t="shared" si="230"/>
        <v>0</v>
      </c>
      <c r="G131" s="5">
        <f t="shared" si="230"/>
        <v>0</v>
      </c>
      <c r="H131" s="5">
        <f t="shared" si="230"/>
        <v>1</v>
      </c>
      <c r="I131" s="59">
        <f t="shared" si="230"/>
        <v>0</v>
      </c>
      <c r="J131" s="5">
        <f t="shared" si="230"/>
        <v>0</v>
      </c>
      <c r="K131" s="5">
        <f t="shared" si="230"/>
        <v>0</v>
      </c>
      <c r="L131" s="5">
        <f t="shared" si="230"/>
        <v>0</v>
      </c>
      <c r="M131" s="59">
        <f t="shared" si="230"/>
        <v>0</v>
      </c>
      <c r="N131" s="5">
        <f t="shared" si="230"/>
        <v>0</v>
      </c>
      <c r="O131" s="5">
        <f t="shared" si="230"/>
        <v>2</v>
      </c>
      <c r="P131" s="5">
        <f t="shared" si="230"/>
        <v>0</v>
      </c>
      <c r="Q131" s="5">
        <f t="shared" si="230"/>
        <v>0</v>
      </c>
      <c r="R131" s="5">
        <f t="shared" si="230"/>
        <v>0</v>
      </c>
      <c r="S131" s="5">
        <f t="shared" si="230"/>
        <v>0</v>
      </c>
      <c r="T131" s="5">
        <f t="shared" si="230"/>
        <v>0</v>
      </c>
      <c r="U131" s="5">
        <f t="shared" si="230"/>
        <v>0</v>
      </c>
      <c r="V131" s="5">
        <f t="shared" si="230"/>
        <v>3</v>
      </c>
      <c r="W131" s="5">
        <f t="shared" si="230"/>
        <v>0</v>
      </c>
      <c r="X131" s="5">
        <f t="shared" si="230"/>
        <v>0</v>
      </c>
      <c r="Y131" s="5">
        <f t="shared" si="230"/>
        <v>0</v>
      </c>
      <c r="Z131" s="5">
        <f t="shared" si="230"/>
        <v>0</v>
      </c>
      <c r="AA131" s="5">
        <f t="shared" si="230"/>
        <v>0</v>
      </c>
      <c r="AB131" s="5">
        <f t="shared" si="230"/>
        <v>0</v>
      </c>
      <c r="AC131" s="5">
        <f t="shared" si="230"/>
        <v>2</v>
      </c>
      <c r="AD131" s="5" t="str">
        <f t="shared" si="230"/>
        <v/>
      </c>
      <c r="AE131" s="5" t="str">
        <f t="shared" si="230"/>
        <v/>
      </c>
      <c r="AF131" s="5" t="str">
        <f t="shared" si="230"/>
        <v/>
      </c>
      <c r="AG131" s="5" t="str">
        <f t="shared" si="230"/>
        <v/>
      </c>
      <c r="AH131" s="5" t="str">
        <f t="shared" si="230"/>
        <v/>
      </c>
      <c r="AI131" s="5" t="str">
        <f t="shared" si="230"/>
        <v/>
      </c>
      <c r="AJ131" s="5" t="str">
        <f t="shared" si="230"/>
        <v/>
      </c>
      <c r="AK131" s="5" t="str">
        <f t="shared" si="230"/>
        <v/>
      </c>
      <c r="AL131" s="5" t="str">
        <f t="shared" si="230"/>
        <v/>
      </c>
      <c r="AM131" s="5" t="str">
        <f t="shared" si="230"/>
        <v/>
      </c>
      <c r="AN131" s="5" t="str">
        <f t="shared" si="230"/>
        <v/>
      </c>
      <c r="AO131" s="5" t="str">
        <f t="shared" ref="AO131:AS131" si="231">IF(AO124="","",AO124-AN124)</f>
        <v/>
      </c>
      <c r="AP131" s="5" t="str">
        <f t="shared" si="231"/>
        <v/>
      </c>
      <c r="AQ131" s="5" t="str">
        <f t="shared" si="231"/>
        <v/>
      </c>
      <c r="AR131" s="5" t="str">
        <f t="shared" si="231"/>
        <v/>
      </c>
      <c r="AS131" s="5" t="str">
        <f t="shared" si="231"/>
        <v/>
      </c>
    </row>
    <row r="132" spans="1:45" s="93" customFormat="1" ht="11">
      <c r="A132" s="7">
        <f>SUM(C132:AS132)</f>
        <v>9</v>
      </c>
      <c r="B132" s="6" t="s">
        <v>17</v>
      </c>
      <c r="C132" s="74">
        <v>0</v>
      </c>
      <c r="D132" s="5">
        <f t="shared" ref="D132:AN132" si="232">IF(D125="","",C125+C126-D125)</f>
        <v>0</v>
      </c>
      <c r="E132" s="5">
        <f t="shared" si="232"/>
        <v>0</v>
      </c>
      <c r="F132" s="59">
        <f t="shared" si="232"/>
        <v>0</v>
      </c>
      <c r="G132" s="5">
        <f t="shared" si="232"/>
        <v>0</v>
      </c>
      <c r="H132" s="5">
        <f t="shared" si="232"/>
        <v>1</v>
      </c>
      <c r="I132" s="59">
        <f t="shared" si="232"/>
        <v>0</v>
      </c>
      <c r="J132" s="5">
        <f t="shared" si="232"/>
        <v>0</v>
      </c>
      <c r="K132" s="5">
        <f t="shared" si="232"/>
        <v>0</v>
      </c>
      <c r="L132" s="5">
        <f t="shared" si="232"/>
        <v>1</v>
      </c>
      <c r="M132" s="59">
        <f t="shared" si="232"/>
        <v>0</v>
      </c>
      <c r="N132" s="5">
        <f t="shared" si="232"/>
        <v>0</v>
      </c>
      <c r="O132" s="5">
        <f t="shared" si="232"/>
        <v>2</v>
      </c>
      <c r="P132" s="5">
        <f t="shared" si="232"/>
        <v>0</v>
      </c>
      <c r="Q132" s="5">
        <f t="shared" si="232"/>
        <v>0</v>
      </c>
      <c r="R132" s="5">
        <f t="shared" si="232"/>
        <v>0</v>
      </c>
      <c r="S132" s="5">
        <f t="shared" si="232"/>
        <v>0</v>
      </c>
      <c r="T132" s="5">
        <f t="shared" si="232"/>
        <v>0</v>
      </c>
      <c r="U132" s="5">
        <f t="shared" si="232"/>
        <v>0</v>
      </c>
      <c r="V132" s="5">
        <f t="shared" si="232"/>
        <v>3</v>
      </c>
      <c r="W132" s="5">
        <f t="shared" si="232"/>
        <v>0</v>
      </c>
      <c r="X132" s="5">
        <f t="shared" si="232"/>
        <v>0</v>
      </c>
      <c r="Y132" s="5">
        <f t="shared" si="232"/>
        <v>0</v>
      </c>
      <c r="Z132" s="5">
        <f t="shared" si="232"/>
        <v>0</v>
      </c>
      <c r="AA132" s="5">
        <f t="shared" si="232"/>
        <v>0</v>
      </c>
      <c r="AB132" s="5">
        <f t="shared" si="232"/>
        <v>0</v>
      </c>
      <c r="AC132" s="5">
        <f t="shared" si="232"/>
        <v>2</v>
      </c>
      <c r="AD132" s="5" t="str">
        <f t="shared" si="232"/>
        <v/>
      </c>
      <c r="AE132" s="5" t="str">
        <f t="shared" si="232"/>
        <v/>
      </c>
      <c r="AF132" s="5" t="str">
        <f t="shared" si="232"/>
        <v/>
      </c>
      <c r="AG132" s="5" t="str">
        <f t="shared" si="232"/>
        <v/>
      </c>
      <c r="AH132" s="5" t="str">
        <f t="shared" si="232"/>
        <v/>
      </c>
      <c r="AI132" s="5" t="str">
        <f t="shared" si="232"/>
        <v/>
      </c>
      <c r="AJ132" s="5" t="str">
        <f t="shared" si="232"/>
        <v/>
      </c>
      <c r="AK132" s="5" t="str">
        <f t="shared" si="232"/>
        <v/>
      </c>
      <c r="AL132" s="5" t="str">
        <f t="shared" si="232"/>
        <v/>
      </c>
      <c r="AM132" s="5" t="str">
        <f t="shared" si="232"/>
        <v/>
      </c>
      <c r="AN132" s="5" t="str">
        <f t="shared" si="232"/>
        <v/>
      </c>
      <c r="AO132" s="5" t="str">
        <f t="shared" ref="AO132:AS132" si="233">IF(AO125="","",AN125+AN126-AO125)</f>
        <v/>
      </c>
      <c r="AP132" s="5" t="str">
        <f t="shared" si="233"/>
        <v/>
      </c>
      <c r="AQ132" s="5" t="str">
        <f t="shared" si="233"/>
        <v/>
      </c>
      <c r="AR132" s="5" t="str">
        <f t="shared" si="233"/>
        <v/>
      </c>
      <c r="AS132" s="5" t="str">
        <f t="shared" si="233"/>
        <v/>
      </c>
    </row>
    <row r="133" spans="1:45" s="93" customFormat="1" ht="11">
      <c r="A133" s="7">
        <f>SUM(C133:AS133)</f>
        <v>2520</v>
      </c>
      <c r="B133" s="6" t="s">
        <v>18</v>
      </c>
      <c r="C133" s="74">
        <v>0</v>
      </c>
      <c r="D133" s="5">
        <f t="shared" ref="D133:AN133" si="234">IF(D123="","",D132*D127)</f>
        <v>0</v>
      </c>
      <c r="E133" s="5">
        <f t="shared" si="234"/>
        <v>0</v>
      </c>
      <c r="F133" s="59">
        <f t="shared" si="234"/>
        <v>0</v>
      </c>
      <c r="G133" s="5">
        <f t="shared" si="234"/>
        <v>0</v>
      </c>
      <c r="H133" s="5">
        <f t="shared" si="234"/>
        <v>280</v>
      </c>
      <c r="I133" s="59">
        <f t="shared" si="234"/>
        <v>0</v>
      </c>
      <c r="J133" s="5">
        <f t="shared" si="234"/>
        <v>0</v>
      </c>
      <c r="K133" s="5">
        <f t="shared" si="234"/>
        <v>0</v>
      </c>
      <c r="L133" s="5">
        <f t="shared" si="234"/>
        <v>280</v>
      </c>
      <c r="M133" s="59">
        <f t="shared" si="234"/>
        <v>0</v>
      </c>
      <c r="N133" s="5">
        <f t="shared" si="234"/>
        <v>0</v>
      </c>
      <c r="O133" s="5">
        <f t="shared" si="234"/>
        <v>560</v>
      </c>
      <c r="P133" s="5">
        <f t="shared" si="234"/>
        <v>0</v>
      </c>
      <c r="Q133" s="5">
        <f t="shared" si="234"/>
        <v>0</v>
      </c>
      <c r="R133" s="5">
        <f t="shared" si="234"/>
        <v>0</v>
      </c>
      <c r="S133" s="5">
        <f t="shared" si="234"/>
        <v>0</v>
      </c>
      <c r="T133" s="5">
        <f t="shared" si="234"/>
        <v>0</v>
      </c>
      <c r="U133" s="5">
        <f t="shared" si="234"/>
        <v>0</v>
      </c>
      <c r="V133" s="5">
        <f t="shared" si="234"/>
        <v>840</v>
      </c>
      <c r="W133" s="5">
        <f t="shared" si="234"/>
        <v>0</v>
      </c>
      <c r="X133" s="5">
        <f t="shared" si="234"/>
        <v>0</v>
      </c>
      <c r="Y133" s="5">
        <f t="shared" si="234"/>
        <v>0</v>
      </c>
      <c r="Z133" s="5">
        <f t="shared" si="234"/>
        <v>0</v>
      </c>
      <c r="AA133" s="5">
        <f t="shared" si="234"/>
        <v>0</v>
      </c>
      <c r="AB133" s="5">
        <f t="shared" si="234"/>
        <v>0</v>
      </c>
      <c r="AC133" s="5">
        <f t="shared" si="234"/>
        <v>560</v>
      </c>
      <c r="AD133" s="5" t="str">
        <f t="shared" si="234"/>
        <v/>
      </c>
      <c r="AE133" s="5" t="str">
        <f t="shared" si="234"/>
        <v/>
      </c>
      <c r="AF133" s="5" t="str">
        <f t="shared" si="234"/>
        <v/>
      </c>
      <c r="AG133" s="5" t="str">
        <f t="shared" si="234"/>
        <v/>
      </c>
      <c r="AH133" s="5" t="str">
        <f t="shared" si="234"/>
        <v/>
      </c>
      <c r="AI133" s="5" t="str">
        <f t="shared" si="234"/>
        <v/>
      </c>
      <c r="AJ133" s="5" t="str">
        <f t="shared" si="234"/>
        <v/>
      </c>
      <c r="AK133" s="5" t="str">
        <f t="shared" si="234"/>
        <v/>
      </c>
      <c r="AL133" s="5" t="str">
        <f t="shared" si="234"/>
        <v/>
      </c>
      <c r="AM133" s="5" t="str">
        <f t="shared" si="234"/>
        <v/>
      </c>
      <c r="AN133" s="5" t="str">
        <f t="shared" si="234"/>
        <v/>
      </c>
      <c r="AO133" s="5" t="str">
        <f t="shared" ref="AO133:AS133" si="235">IF(AO123="","",AO132*AO127)</f>
        <v/>
      </c>
      <c r="AP133" s="5" t="str">
        <f t="shared" si="235"/>
        <v/>
      </c>
      <c r="AQ133" s="5" t="str">
        <f t="shared" si="235"/>
        <v/>
      </c>
      <c r="AR133" s="5" t="str">
        <f t="shared" si="235"/>
        <v/>
      </c>
      <c r="AS133" s="5" t="str">
        <f t="shared" si="235"/>
        <v/>
      </c>
    </row>
    <row r="134" spans="1:45" s="93" customFormat="1" ht="12" thickBot="1">
      <c r="A134" s="4">
        <f>IF(A133="","",A133/(A130*100))</f>
        <v>7.3684210526315783E-2</v>
      </c>
      <c r="B134" s="6" t="s">
        <v>20</v>
      </c>
      <c r="C134" s="76" t="s">
        <v>21</v>
      </c>
      <c r="D134" s="18" t="str">
        <f t="shared" ref="D134:AN134" si="236">IF(D133="","",IF(D133=0,"",D133/(D130*100)))</f>
        <v/>
      </c>
      <c r="E134" s="18" t="str">
        <f t="shared" si="236"/>
        <v/>
      </c>
      <c r="F134" s="62" t="str">
        <f t="shared" si="236"/>
        <v/>
      </c>
      <c r="G134" s="18" t="str">
        <f t="shared" si="236"/>
        <v/>
      </c>
      <c r="H134" s="18">
        <f t="shared" si="236"/>
        <v>4.7457627118644069E-2</v>
      </c>
      <c r="I134" s="62" t="str">
        <f t="shared" si="236"/>
        <v/>
      </c>
      <c r="J134" s="18" t="str">
        <f t="shared" si="236"/>
        <v/>
      </c>
      <c r="K134" s="18" t="str">
        <f t="shared" si="236"/>
        <v/>
      </c>
      <c r="L134" s="18">
        <f t="shared" si="236"/>
        <v>0.1076923076923077</v>
      </c>
      <c r="M134" s="62" t="str">
        <f t="shared" si="236"/>
        <v/>
      </c>
      <c r="N134" s="18" t="str">
        <f t="shared" si="236"/>
        <v/>
      </c>
      <c r="O134" s="18">
        <f t="shared" si="236"/>
        <v>0.12727272727272726</v>
      </c>
      <c r="P134" s="18" t="str">
        <f t="shared" si="236"/>
        <v/>
      </c>
      <c r="Q134" s="18" t="str">
        <f t="shared" si="236"/>
        <v/>
      </c>
      <c r="R134" s="18" t="str">
        <f t="shared" si="236"/>
        <v/>
      </c>
      <c r="S134" s="18" t="str">
        <f t="shared" si="236"/>
        <v/>
      </c>
      <c r="T134" s="18" t="str">
        <f t="shared" si="236"/>
        <v/>
      </c>
      <c r="U134" s="18" t="str">
        <f t="shared" si="236"/>
        <v/>
      </c>
      <c r="V134" s="18">
        <f t="shared" si="236"/>
        <v>0.13125000000000001</v>
      </c>
      <c r="W134" s="18" t="str">
        <f t="shared" si="236"/>
        <v/>
      </c>
      <c r="X134" s="18" t="str">
        <f t="shared" si="236"/>
        <v/>
      </c>
      <c r="Y134" s="18" t="str">
        <f t="shared" si="236"/>
        <v/>
      </c>
      <c r="Z134" s="18" t="str">
        <f t="shared" si="236"/>
        <v/>
      </c>
      <c r="AA134" s="18" t="str">
        <f t="shared" si="236"/>
        <v/>
      </c>
      <c r="AB134" s="18" t="str">
        <f t="shared" si="236"/>
        <v/>
      </c>
      <c r="AC134" s="18">
        <f t="shared" si="236"/>
        <v>0.112</v>
      </c>
      <c r="AD134" s="18" t="str">
        <f t="shared" si="236"/>
        <v/>
      </c>
      <c r="AE134" s="18" t="str">
        <f t="shared" si="236"/>
        <v/>
      </c>
      <c r="AF134" s="18" t="str">
        <f t="shared" si="236"/>
        <v/>
      </c>
      <c r="AG134" s="18" t="str">
        <f t="shared" si="236"/>
        <v/>
      </c>
      <c r="AH134" s="18" t="str">
        <f t="shared" si="236"/>
        <v/>
      </c>
      <c r="AI134" s="18" t="str">
        <f t="shared" si="236"/>
        <v/>
      </c>
      <c r="AJ134" s="18" t="str">
        <f t="shared" si="236"/>
        <v/>
      </c>
      <c r="AK134" s="18" t="str">
        <f t="shared" si="236"/>
        <v/>
      </c>
      <c r="AL134" s="18" t="str">
        <f t="shared" si="236"/>
        <v/>
      </c>
      <c r="AM134" s="18" t="str">
        <f t="shared" si="236"/>
        <v/>
      </c>
      <c r="AN134" s="18" t="str">
        <f t="shared" si="236"/>
        <v/>
      </c>
      <c r="AO134" s="18" t="str">
        <f t="shared" ref="AO134:AS134" si="237">IF(AO133="","",IF(AO133=0,"",AO133/(AO130*100)))</f>
        <v/>
      </c>
      <c r="AP134" s="18" t="str">
        <f t="shared" si="237"/>
        <v/>
      </c>
      <c r="AQ134" s="18" t="str">
        <f t="shared" si="237"/>
        <v/>
      </c>
      <c r="AR134" s="18" t="str">
        <f t="shared" si="237"/>
        <v/>
      </c>
      <c r="AS134" s="18" t="str">
        <f t="shared" si="237"/>
        <v/>
      </c>
    </row>
    <row r="135" spans="1:45" s="93" customFormat="1" ht="11">
      <c r="A135" s="17" t="s">
        <v>101</v>
      </c>
      <c r="B135" s="9" t="s">
        <v>2</v>
      </c>
      <c r="C135" s="74">
        <v>6697</v>
      </c>
      <c r="D135" s="8">
        <f>IF(D$3="","",C135)</f>
        <v>6697</v>
      </c>
      <c r="E135" s="8">
        <v>6743</v>
      </c>
      <c r="F135" s="59">
        <f>IF(F$3="","",E135)</f>
        <v>6743</v>
      </c>
      <c r="G135" s="8">
        <f>IF(G$3="","",F135)</f>
        <v>6743</v>
      </c>
      <c r="H135" s="8">
        <v>6793</v>
      </c>
      <c r="I135" s="59">
        <f t="shared" ref="I135:K136" si="238">IF(I$3="","",H135)</f>
        <v>6793</v>
      </c>
      <c r="J135" s="8">
        <f t="shared" si="238"/>
        <v>6793</v>
      </c>
      <c r="K135" s="8">
        <f t="shared" si="238"/>
        <v>6793</v>
      </c>
      <c r="L135" s="8">
        <v>6817</v>
      </c>
      <c r="M135" s="59">
        <f>IF(M$3="","",L135)</f>
        <v>6817</v>
      </c>
      <c r="N135" s="8">
        <f>IF(N$3="","",M135)</f>
        <v>6817</v>
      </c>
      <c r="O135" s="8">
        <v>6873</v>
      </c>
      <c r="P135" s="8">
        <f t="shared" ref="P135:AN135" si="239">IF(P$3="","",O135)</f>
        <v>6873</v>
      </c>
      <c r="Q135" s="8">
        <f t="shared" si="239"/>
        <v>6873</v>
      </c>
      <c r="R135" s="8">
        <f t="shared" si="239"/>
        <v>6873</v>
      </c>
      <c r="S135" s="8">
        <f t="shared" si="239"/>
        <v>6873</v>
      </c>
      <c r="T135" s="8">
        <v>6901</v>
      </c>
      <c r="U135" s="8">
        <f t="shared" si="239"/>
        <v>6901</v>
      </c>
      <c r="V135" s="8">
        <v>6910</v>
      </c>
      <c r="W135" s="8">
        <f t="shared" si="239"/>
        <v>6910</v>
      </c>
      <c r="X135" s="8">
        <f t="shared" si="239"/>
        <v>6910</v>
      </c>
      <c r="Y135" s="8">
        <f t="shared" si="239"/>
        <v>6910</v>
      </c>
      <c r="Z135" s="8">
        <v>6931</v>
      </c>
      <c r="AA135" s="8">
        <f t="shared" si="239"/>
        <v>6931</v>
      </c>
      <c r="AB135" s="8">
        <f t="shared" si="239"/>
        <v>6931</v>
      </c>
      <c r="AC135" s="8">
        <v>6993</v>
      </c>
      <c r="AD135" s="8" t="str">
        <f t="shared" si="239"/>
        <v/>
      </c>
      <c r="AE135" s="8" t="str">
        <f t="shared" si="239"/>
        <v/>
      </c>
      <c r="AF135" s="8" t="str">
        <f t="shared" si="239"/>
        <v/>
      </c>
      <c r="AG135" s="8" t="str">
        <f t="shared" si="239"/>
        <v/>
      </c>
      <c r="AH135" s="8" t="str">
        <f t="shared" si="239"/>
        <v/>
      </c>
      <c r="AI135" s="8" t="str">
        <f t="shared" si="239"/>
        <v/>
      </c>
      <c r="AJ135" s="8" t="str">
        <f t="shared" si="239"/>
        <v/>
      </c>
      <c r="AK135" s="8" t="str">
        <f t="shared" si="239"/>
        <v/>
      </c>
      <c r="AL135" s="8" t="str">
        <f t="shared" si="239"/>
        <v/>
      </c>
      <c r="AM135" s="8" t="str">
        <f t="shared" si="239"/>
        <v/>
      </c>
      <c r="AN135" s="8" t="str">
        <f t="shared" si="239"/>
        <v/>
      </c>
      <c r="AO135" s="8" t="str">
        <f t="shared" ref="AO135:AS135" si="240">IF(AO$3="","",AN135)</f>
        <v/>
      </c>
      <c r="AP135" s="8" t="str">
        <f t="shared" si="240"/>
        <v/>
      </c>
      <c r="AQ135" s="8" t="str">
        <f t="shared" si="240"/>
        <v/>
      </c>
      <c r="AR135" s="8" t="str">
        <f t="shared" si="240"/>
        <v/>
      </c>
      <c r="AS135" s="8" t="str">
        <f t="shared" si="240"/>
        <v/>
      </c>
    </row>
    <row r="136" spans="1:45" s="93" customFormat="1" ht="11">
      <c r="A136" s="16" t="s">
        <v>37</v>
      </c>
      <c r="B136" s="9" t="s">
        <v>4</v>
      </c>
      <c r="C136" s="74">
        <v>192</v>
      </c>
      <c r="D136" s="8">
        <f>IF(D$3="","",C136)</f>
        <v>192</v>
      </c>
      <c r="E136" s="8">
        <f>IF(E$3="","",D136)</f>
        <v>192</v>
      </c>
      <c r="F136" s="59">
        <f>IF(F$3="","",E136)</f>
        <v>192</v>
      </c>
      <c r="G136" s="8">
        <f>IF(G$3="","",F136)</f>
        <v>192</v>
      </c>
      <c r="H136" s="8">
        <v>193</v>
      </c>
      <c r="I136" s="59">
        <f t="shared" si="238"/>
        <v>193</v>
      </c>
      <c r="J136" s="8">
        <f t="shared" si="238"/>
        <v>193</v>
      </c>
      <c r="K136" s="8">
        <f t="shared" si="238"/>
        <v>193</v>
      </c>
      <c r="L136" s="8">
        <f>IF(L$3="","",K136)</f>
        <v>193</v>
      </c>
      <c r="M136" s="59">
        <f>IF(M$3="","",L136)</f>
        <v>193</v>
      </c>
      <c r="N136" s="8">
        <f>IF(N$3="","",M136)</f>
        <v>193</v>
      </c>
      <c r="O136" s="8">
        <v>194</v>
      </c>
      <c r="P136" s="8">
        <f t="shared" ref="P136:AN136" si="241">IF(P$3="","",O136)</f>
        <v>194</v>
      </c>
      <c r="Q136" s="8">
        <f t="shared" si="241"/>
        <v>194</v>
      </c>
      <c r="R136" s="8">
        <f t="shared" si="241"/>
        <v>194</v>
      </c>
      <c r="S136" s="8">
        <f t="shared" si="241"/>
        <v>194</v>
      </c>
      <c r="T136" s="8">
        <f t="shared" si="241"/>
        <v>194</v>
      </c>
      <c r="U136" s="8">
        <f t="shared" si="241"/>
        <v>194</v>
      </c>
      <c r="V136" s="8">
        <f t="shared" si="241"/>
        <v>194</v>
      </c>
      <c r="W136" s="8">
        <f t="shared" si="241"/>
        <v>194</v>
      </c>
      <c r="X136" s="8">
        <f t="shared" si="241"/>
        <v>194</v>
      </c>
      <c r="Y136" s="8">
        <f t="shared" si="241"/>
        <v>194</v>
      </c>
      <c r="Z136" s="8">
        <f t="shared" si="241"/>
        <v>194</v>
      </c>
      <c r="AA136" s="8">
        <f t="shared" si="241"/>
        <v>194</v>
      </c>
      <c r="AB136" s="8">
        <f t="shared" si="241"/>
        <v>194</v>
      </c>
      <c r="AC136" s="8">
        <v>196</v>
      </c>
      <c r="AD136" s="8" t="str">
        <f t="shared" si="241"/>
        <v/>
      </c>
      <c r="AE136" s="8" t="str">
        <f t="shared" si="241"/>
        <v/>
      </c>
      <c r="AF136" s="8" t="str">
        <f t="shared" si="241"/>
        <v/>
      </c>
      <c r="AG136" s="8" t="str">
        <f t="shared" si="241"/>
        <v/>
      </c>
      <c r="AH136" s="8" t="str">
        <f t="shared" si="241"/>
        <v/>
      </c>
      <c r="AI136" s="8" t="str">
        <f t="shared" si="241"/>
        <v/>
      </c>
      <c r="AJ136" s="8" t="str">
        <f t="shared" si="241"/>
        <v/>
      </c>
      <c r="AK136" s="8" t="str">
        <f t="shared" si="241"/>
        <v/>
      </c>
      <c r="AL136" s="8" t="str">
        <f t="shared" si="241"/>
        <v/>
      </c>
      <c r="AM136" s="8" t="str">
        <f t="shared" si="241"/>
        <v/>
      </c>
      <c r="AN136" s="8" t="str">
        <f t="shared" si="241"/>
        <v/>
      </c>
      <c r="AO136" s="8" t="str">
        <f t="shared" ref="AO136:AS136" si="242">IF(AO$3="","",AN136)</f>
        <v/>
      </c>
      <c r="AP136" s="8" t="str">
        <f t="shared" si="242"/>
        <v/>
      </c>
      <c r="AQ136" s="8" t="str">
        <f t="shared" si="242"/>
        <v/>
      </c>
      <c r="AR136" s="8" t="str">
        <f t="shared" si="242"/>
        <v/>
      </c>
      <c r="AS136" s="8" t="str">
        <f t="shared" si="242"/>
        <v/>
      </c>
    </row>
    <row r="137" spans="1:45" s="93" customFormat="1" ht="11">
      <c r="A137" s="15">
        <v>4</v>
      </c>
      <c r="B137" s="9" t="s">
        <v>5</v>
      </c>
      <c r="C137" s="74">
        <v>91</v>
      </c>
      <c r="D137" s="8">
        <f>IF(D135="","",(C137+C138))</f>
        <v>91</v>
      </c>
      <c r="E137" s="8">
        <f>IF(E135="","",(D137+D138))</f>
        <v>91</v>
      </c>
      <c r="F137" s="59">
        <f>IF(F135="","",(E137+E138))</f>
        <v>91</v>
      </c>
      <c r="G137" s="8">
        <f>IF(G135="","",(F137+F138))</f>
        <v>91</v>
      </c>
      <c r="H137" s="8">
        <v>90</v>
      </c>
      <c r="I137" s="59">
        <f t="shared" ref="I137:N137" si="243">IF(I135="","",(H137+H138))</f>
        <v>90</v>
      </c>
      <c r="J137" s="8">
        <f t="shared" si="243"/>
        <v>90</v>
      </c>
      <c r="K137" s="8">
        <f t="shared" si="243"/>
        <v>90</v>
      </c>
      <c r="L137" s="8">
        <f t="shared" si="243"/>
        <v>90</v>
      </c>
      <c r="M137" s="59">
        <f t="shared" si="243"/>
        <v>90</v>
      </c>
      <c r="N137" s="8">
        <f t="shared" si="243"/>
        <v>90</v>
      </c>
      <c r="O137" s="8">
        <v>89</v>
      </c>
      <c r="P137" s="8">
        <f t="shared" ref="P137:AN137" si="244">IF(P135="","",(O137+O138))</f>
        <v>89</v>
      </c>
      <c r="Q137" s="8">
        <f t="shared" si="244"/>
        <v>89</v>
      </c>
      <c r="R137" s="8">
        <f t="shared" si="244"/>
        <v>89</v>
      </c>
      <c r="S137" s="8">
        <f t="shared" si="244"/>
        <v>89</v>
      </c>
      <c r="T137" s="8">
        <f t="shared" si="244"/>
        <v>89</v>
      </c>
      <c r="U137" s="8">
        <f t="shared" si="244"/>
        <v>89</v>
      </c>
      <c r="V137" s="8">
        <f t="shared" si="244"/>
        <v>89</v>
      </c>
      <c r="W137" s="8">
        <f t="shared" si="244"/>
        <v>40</v>
      </c>
      <c r="X137" s="8">
        <f t="shared" si="244"/>
        <v>40</v>
      </c>
      <c r="Y137" s="8">
        <f t="shared" si="244"/>
        <v>40</v>
      </c>
      <c r="Z137" s="8">
        <f t="shared" si="244"/>
        <v>40</v>
      </c>
      <c r="AA137" s="8">
        <f t="shared" si="244"/>
        <v>40</v>
      </c>
      <c r="AB137" s="8">
        <f t="shared" si="244"/>
        <v>40</v>
      </c>
      <c r="AC137" s="8">
        <v>38</v>
      </c>
      <c r="AD137" s="8" t="str">
        <f t="shared" si="244"/>
        <v/>
      </c>
      <c r="AE137" s="8" t="str">
        <f t="shared" si="244"/>
        <v/>
      </c>
      <c r="AF137" s="8" t="str">
        <f t="shared" si="244"/>
        <v/>
      </c>
      <c r="AG137" s="8" t="str">
        <f t="shared" si="244"/>
        <v/>
      </c>
      <c r="AH137" s="8" t="str">
        <f t="shared" si="244"/>
        <v/>
      </c>
      <c r="AI137" s="8" t="str">
        <f t="shared" si="244"/>
        <v/>
      </c>
      <c r="AJ137" s="8" t="str">
        <f t="shared" si="244"/>
        <v/>
      </c>
      <c r="AK137" s="8" t="str">
        <f t="shared" si="244"/>
        <v/>
      </c>
      <c r="AL137" s="8" t="str">
        <f t="shared" si="244"/>
        <v/>
      </c>
      <c r="AM137" s="8" t="str">
        <f t="shared" si="244"/>
        <v/>
      </c>
      <c r="AN137" s="8" t="str">
        <f t="shared" si="244"/>
        <v/>
      </c>
      <c r="AO137" s="8" t="str">
        <f t="shared" ref="AO137:AS137" si="245">IF(AO135="","",(AN137+AN138))</f>
        <v/>
      </c>
      <c r="AP137" s="8" t="str">
        <f t="shared" si="245"/>
        <v/>
      </c>
      <c r="AQ137" s="8" t="str">
        <f t="shared" si="245"/>
        <v/>
      </c>
      <c r="AR137" s="8" t="str">
        <f t="shared" si="245"/>
        <v/>
      </c>
      <c r="AS137" s="8" t="str">
        <f t="shared" si="245"/>
        <v/>
      </c>
    </row>
    <row r="138" spans="1:45" s="93" customFormat="1" ht="11">
      <c r="A138" s="14"/>
      <c r="B138" s="9" t="s">
        <v>7</v>
      </c>
      <c r="C138" s="74"/>
      <c r="D138" s="8"/>
      <c r="E138" s="8"/>
      <c r="F138" s="59"/>
      <c r="G138" s="8"/>
      <c r="H138" s="8"/>
      <c r="I138" s="59"/>
      <c r="J138" s="8"/>
      <c r="K138" s="8"/>
      <c r="L138" s="8"/>
      <c r="M138" s="59"/>
      <c r="N138" s="8"/>
      <c r="O138" s="8"/>
      <c r="P138" s="8"/>
      <c r="Q138" s="8"/>
      <c r="R138" s="8"/>
      <c r="S138" s="8"/>
      <c r="T138" s="8"/>
      <c r="U138" s="8"/>
      <c r="V138" s="8">
        <v>-49</v>
      </c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</row>
    <row r="139" spans="1:45" s="93" customFormat="1" ht="11">
      <c r="A139" s="7"/>
      <c r="B139" s="9" t="s">
        <v>8</v>
      </c>
      <c r="C139" s="74">
        <v>300</v>
      </c>
      <c r="D139" s="8">
        <f t="shared" ref="D139:AN139" si="246">IF(D135="","",C139)</f>
        <v>300</v>
      </c>
      <c r="E139" s="8">
        <f t="shared" si="246"/>
        <v>300</v>
      </c>
      <c r="F139" s="59">
        <f t="shared" si="246"/>
        <v>300</v>
      </c>
      <c r="G139" s="8">
        <f t="shared" si="246"/>
        <v>300</v>
      </c>
      <c r="H139" s="8">
        <f t="shared" si="246"/>
        <v>300</v>
      </c>
      <c r="I139" s="59">
        <f t="shared" si="246"/>
        <v>300</v>
      </c>
      <c r="J139" s="8">
        <f t="shared" si="246"/>
        <v>300</v>
      </c>
      <c r="K139" s="8">
        <f t="shared" si="246"/>
        <v>300</v>
      </c>
      <c r="L139" s="8">
        <f t="shared" si="246"/>
        <v>300</v>
      </c>
      <c r="M139" s="59">
        <f t="shared" si="246"/>
        <v>300</v>
      </c>
      <c r="N139" s="8">
        <f t="shared" si="246"/>
        <v>300</v>
      </c>
      <c r="O139" s="8">
        <f t="shared" si="246"/>
        <v>300</v>
      </c>
      <c r="P139" s="8">
        <f t="shared" si="246"/>
        <v>300</v>
      </c>
      <c r="Q139" s="8">
        <f t="shared" si="246"/>
        <v>300</v>
      </c>
      <c r="R139" s="8">
        <f t="shared" si="246"/>
        <v>300</v>
      </c>
      <c r="S139" s="8">
        <f t="shared" si="246"/>
        <v>300</v>
      </c>
      <c r="T139" s="8">
        <f t="shared" si="246"/>
        <v>300</v>
      </c>
      <c r="U139" s="8">
        <f t="shared" si="246"/>
        <v>300</v>
      </c>
      <c r="V139" s="8">
        <f t="shared" si="246"/>
        <v>300</v>
      </c>
      <c r="W139" s="8">
        <f t="shared" si="246"/>
        <v>300</v>
      </c>
      <c r="X139" s="8">
        <f t="shared" si="246"/>
        <v>300</v>
      </c>
      <c r="Y139" s="8">
        <f t="shared" si="246"/>
        <v>300</v>
      </c>
      <c r="Z139" s="8">
        <f t="shared" si="246"/>
        <v>300</v>
      </c>
      <c r="AA139" s="8">
        <f t="shared" si="246"/>
        <v>300</v>
      </c>
      <c r="AB139" s="8">
        <f t="shared" si="246"/>
        <v>300</v>
      </c>
      <c r="AC139" s="8">
        <f t="shared" si="246"/>
        <v>300</v>
      </c>
      <c r="AD139" s="8" t="str">
        <f t="shared" si="246"/>
        <v/>
      </c>
      <c r="AE139" s="8" t="str">
        <f t="shared" si="246"/>
        <v/>
      </c>
      <c r="AF139" s="8" t="str">
        <f t="shared" si="246"/>
        <v/>
      </c>
      <c r="AG139" s="8" t="str">
        <f t="shared" si="246"/>
        <v/>
      </c>
      <c r="AH139" s="8" t="str">
        <f t="shared" si="246"/>
        <v/>
      </c>
      <c r="AI139" s="8" t="str">
        <f t="shared" si="246"/>
        <v/>
      </c>
      <c r="AJ139" s="8" t="str">
        <f t="shared" si="246"/>
        <v/>
      </c>
      <c r="AK139" s="8" t="str">
        <f t="shared" si="246"/>
        <v/>
      </c>
      <c r="AL139" s="8" t="str">
        <f t="shared" si="246"/>
        <v/>
      </c>
      <c r="AM139" s="8" t="str">
        <f t="shared" si="246"/>
        <v/>
      </c>
      <c r="AN139" s="8" t="str">
        <f t="shared" si="246"/>
        <v/>
      </c>
      <c r="AO139" s="8" t="str">
        <f t="shared" ref="AO139:AS139" si="247">IF(AO135="","",AN139)</f>
        <v/>
      </c>
      <c r="AP139" s="8" t="str">
        <f t="shared" si="247"/>
        <v/>
      </c>
      <c r="AQ139" s="8" t="str">
        <f t="shared" si="247"/>
        <v/>
      </c>
      <c r="AR139" s="8" t="str">
        <f t="shared" si="247"/>
        <v/>
      </c>
      <c r="AS139" s="8" t="str">
        <f t="shared" si="247"/>
        <v/>
      </c>
    </row>
    <row r="140" spans="1:45" s="94" customFormat="1" ht="11">
      <c r="A140" s="14" t="s">
        <v>9</v>
      </c>
      <c r="B140" s="13" t="s">
        <v>10</v>
      </c>
      <c r="C140" s="75" t="s">
        <v>103</v>
      </c>
      <c r="D140" s="12" t="str">
        <f t="shared" ref="D140:AN140" si="248">IF(D135="","",C140)</f>
        <v>アングリーベア</v>
      </c>
      <c r="E140" s="12" t="str">
        <f t="shared" si="248"/>
        <v>アングリーベア</v>
      </c>
      <c r="F140" s="131" t="str">
        <f t="shared" si="248"/>
        <v>アングリーベア</v>
      </c>
      <c r="G140" s="12" t="str">
        <f t="shared" si="248"/>
        <v>アングリーベア</v>
      </c>
      <c r="H140" s="12" t="str">
        <f t="shared" si="248"/>
        <v>アングリーベア</v>
      </c>
      <c r="I140" s="131" t="str">
        <f t="shared" si="248"/>
        <v>アングリーベア</v>
      </c>
      <c r="J140" s="12" t="str">
        <f t="shared" si="248"/>
        <v>アングリーベア</v>
      </c>
      <c r="K140" s="12" t="str">
        <f t="shared" si="248"/>
        <v>アングリーベア</v>
      </c>
      <c r="L140" s="12" t="str">
        <f t="shared" si="248"/>
        <v>アングリーベア</v>
      </c>
      <c r="M140" s="131" t="str">
        <f t="shared" si="248"/>
        <v>アングリーベア</v>
      </c>
      <c r="N140" s="12" t="str">
        <f t="shared" si="248"/>
        <v>アングリーベア</v>
      </c>
      <c r="O140" s="12" t="str">
        <f t="shared" si="248"/>
        <v>アングリーベア</v>
      </c>
      <c r="P140" s="12" t="str">
        <f t="shared" si="248"/>
        <v>アングリーベア</v>
      </c>
      <c r="Q140" s="12" t="str">
        <f t="shared" si="248"/>
        <v>アングリーベア</v>
      </c>
      <c r="R140" s="12" t="str">
        <f t="shared" si="248"/>
        <v>アングリーベア</v>
      </c>
      <c r="S140" s="12" t="str">
        <f t="shared" si="248"/>
        <v>アングリーベア</v>
      </c>
      <c r="T140" s="12" t="str">
        <f t="shared" si="248"/>
        <v>アングリーベア</v>
      </c>
      <c r="U140" s="12" t="str">
        <f t="shared" si="248"/>
        <v>アングリーベア</v>
      </c>
      <c r="V140" s="12" t="s">
        <v>104</v>
      </c>
      <c r="W140" s="12" t="str">
        <f t="shared" si="248"/>
        <v>サンリオチャーム付ブレス</v>
      </c>
      <c r="X140" s="12" t="str">
        <f t="shared" si="248"/>
        <v>サンリオチャーム付ブレス</v>
      </c>
      <c r="Y140" s="12" t="str">
        <f t="shared" si="248"/>
        <v>サンリオチャーム付ブレス</v>
      </c>
      <c r="Z140" s="12" t="str">
        <f t="shared" si="248"/>
        <v>サンリオチャーム付ブレス</v>
      </c>
      <c r="AA140" s="12" t="str">
        <f t="shared" si="248"/>
        <v>サンリオチャーム付ブレス</v>
      </c>
      <c r="AB140" s="12" t="str">
        <f t="shared" si="248"/>
        <v>サンリオチャーム付ブレス</v>
      </c>
      <c r="AC140" s="12" t="str">
        <f t="shared" si="248"/>
        <v>サンリオチャーム付ブレス</v>
      </c>
      <c r="AD140" s="12" t="str">
        <f t="shared" si="248"/>
        <v/>
      </c>
      <c r="AE140" s="12" t="str">
        <f t="shared" si="248"/>
        <v/>
      </c>
      <c r="AF140" s="12" t="str">
        <f t="shared" si="248"/>
        <v/>
      </c>
      <c r="AG140" s="12" t="str">
        <f t="shared" si="248"/>
        <v/>
      </c>
      <c r="AH140" s="12" t="str">
        <f t="shared" si="248"/>
        <v/>
      </c>
      <c r="AI140" s="12" t="str">
        <f t="shared" si="248"/>
        <v/>
      </c>
      <c r="AJ140" s="12" t="str">
        <f t="shared" si="248"/>
        <v/>
      </c>
      <c r="AK140" s="12" t="str">
        <f t="shared" si="248"/>
        <v/>
      </c>
      <c r="AL140" s="12" t="str">
        <f t="shared" si="248"/>
        <v/>
      </c>
      <c r="AM140" s="12" t="str">
        <f t="shared" si="248"/>
        <v/>
      </c>
      <c r="AN140" s="12" t="str">
        <f t="shared" si="248"/>
        <v/>
      </c>
      <c r="AO140" s="12" t="str">
        <f t="shared" ref="AO140:AS140" si="249">IF(AO135="","",AN140)</f>
        <v/>
      </c>
      <c r="AP140" s="12" t="str">
        <f t="shared" si="249"/>
        <v/>
      </c>
      <c r="AQ140" s="12" t="str">
        <f t="shared" si="249"/>
        <v/>
      </c>
      <c r="AR140" s="12" t="str">
        <f t="shared" si="249"/>
        <v/>
      </c>
      <c r="AS140" s="12" t="str">
        <f t="shared" si="249"/>
        <v/>
      </c>
    </row>
    <row r="141" spans="1:45" s="93" customFormat="1" ht="11">
      <c r="A141" s="7">
        <f>AVERAGE(C142:AS142)*30*100</f>
        <v>32888.888888888891</v>
      </c>
      <c r="B141" s="9" t="s">
        <v>14</v>
      </c>
      <c r="C141" s="74"/>
      <c r="D141" s="8"/>
      <c r="E141" s="8"/>
      <c r="F141" s="59"/>
      <c r="G141" s="8"/>
      <c r="H141" s="8"/>
      <c r="I141" s="59"/>
      <c r="J141" s="8"/>
      <c r="K141" s="8"/>
      <c r="L141" s="8"/>
      <c r="M141" s="59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</row>
    <row r="142" spans="1:45" s="93" customFormat="1" ht="11">
      <c r="A142" s="7">
        <f>SUM(C142:AS142)</f>
        <v>296</v>
      </c>
      <c r="B142" s="6" t="s">
        <v>15</v>
      </c>
      <c r="C142" s="74">
        <v>0</v>
      </c>
      <c r="D142" s="5">
        <f t="shared" ref="D142:AN142" si="250">IF(D135="","",D135-C135)</f>
        <v>0</v>
      </c>
      <c r="E142" s="5">
        <f t="shared" si="250"/>
        <v>46</v>
      </c>
      <c r="F142" s="59">
        <f t="shared" si="250"/>
        <v>0</v>
      </c>
      <c r="G142" s="5">
        <f t="shared" si="250"/>
        <v>0</v>
      </c>
      <c r="H142" s="5">
        <f t="shared" si="250"/>
        <v>50</v>
      </c>
      <c r="I142" s="59">
        <f t="shared" si="250"/>
        <v>0</v>
      </c>
      <c r="J142" s="5">
        <f t="shared" si="250"/>
        <v>0</v>
      </c>
      <c r="K142" s="5">
        <f t="shared" si="250"/>
        <v>0</v>
      </c>
      <c r="L142" s="5">
        <f t="shared" si="250"/>
        <v>24</v>
      </c>
      <c r="M142" s="59">
        <f t="shared" si="250"/>
        <v>0</v>
      </c>
      <c r="N142" s="5">
        <f t="shared" si="250"/>
        <v>0</v>
      </c>
      <c r="O142" s="5">
        <f t="shared" si="250"/>
        <v>56</v>
      </c>
      <c r="P142" s="5">
        <f t="shared" si="250"/>
        <v>0</v>
      </c>
      <c r="Q142" s="5">
        <f t="shared" si="250"/>
        <v>0</v>
      </c>
      <c r="R142" s="5">
        <f t="shared" si="250"/>
        <v>0</v>
      </c>
      <c r="S142" s="5">
        <f t="shared" si="250"/>
        <v>0</v>
      </c>
      <c r="T142" s="5">
        <f t="shared" si="250"/>
        <v>28</v>
      </c>
      <c r="U142" s="5">
        <f t="shared" si="250"/>
        <v>0</v>
      </c>
      <c r="V142" s="5">
        <f t="shared" si="250"/>
        <v>9</v>
      </c>
      <c r="W142" s="5">
        <f t="shared" si="250"/>
        <v>0</v>
      </c>
      <c r="X142" s="5">
        <f t="shared" si="250"/>
        <v>0</v>
      </c>
      <c r="Y142" s="5">
        <f t="shared" si="250"/>
        <v>0</v>
      </c>
      <c r="Z142" s="5">
        <f t="shared" si="250"/>
        <v>21</v>
      </c>
      <c r="AA142" s="5">
        <f t="shared" si="250"/>
        <v>0</v>
      </c>
      <c r="AB142" s="5">
        <f t="shared" si="250"/>
        <v>0</v>
      </c>
      <c r="AC142" s="5">
        <f t="shared" si="250"/>
        <v>62</v>
      </c>
      <c r="AD142" s="5" t="str">
        <f t="shared" si="250"/>
        <v/>
      </c>
      <c r="AE142" s="5" t="str">
        <f t="shared" si="250"/>
        <v/>
      </c>
      <c r="AF142" s="5" t="str">
        <f t="shared" si="250"/>
        <v/>
      </c>
      <c r="AG142" s="5" t="str">
        <f t="shared" si="250"/>
        <v/>
      </c>
      <c r="AH142" s="5" t="str">
        <f t="shared" si="250"/>
        <v/>
      </c>
      <c r="AI142" s="5" t="str">
        <f t="shared" si="250"/>
        <v/>
      </c>
      <c r="AJ142" s="5" t="str">
        <f t="shared" si="250"/>
        <v/>
      </c>
      <c r="AK142" s="5" t="str">
        <f t="shared" si="250"/>
        <v/>
      </c>
      <c r="AL142" s="5" t="str">
        <f t="shared" si="250"/>
        <v/>
      </c>
      <c r="AM142" s="5" t="str">
        <f t="shared" si="250"/>
        <v/>
      </c>
      <c r="AN142" s="5" t="str">
        <f t="shared" si="250"/>
        <v/>
      </c>
      <c r="AO142" s="5" t="str">
        <f t="shared" ref="AO142:AS142" si="251">IF(AO135="","",AO135-AN135)</f>
        <v/>
      </c>
      <c r="AP142" s="5" t="str">
        <f t="shared" si="251"/>
        <v/>
      </c>
      <c r="AQ142" s="5" t="str">
        <f t="shared" si="251"/>
        <v/>
      </c>
      <c r="AR142" s="5" t="str">
        <f t="shared" si="251"/>
        <v/>
      </c>
      <c r="AS142" s="5" t="str">
        <f t="shared" si="251"/>
        <v/>
      </c>
    </row>
    <row r="143" spans="1:45" s="93" customFormat="1" ht="11">
      <c r="A143" s="7">
        <f>SUM(C143:AS143)</f>
        <v>4</v>
      </c>
      <c r="B143" s="6" t="s">
        <v>16</v>
      </c>
      <c r="C143" s="74">
        <v>0</v>
      </c>
      <c r="D143" s="5">
        <f t="shared" ref="D143:AN143" si="252">IF(D136="","",D136-C136)</f>
        <v>0</v>
      </c>
      <c r="E143" s="5">
        <f t="shared" si="252"/>
        <v>0</v>
      </c>
      <c r="F143" s="59">
        <f t="shared" si="252"/>
        <v>0</v>
      </c>
      <c r="G143" s="5">
        <f t="shared" si="252"/>
        <v>0</v>
      </c>
      <c r="H143" s="5">
        <f t="shared" si="252"/>
        <v>1</v>
      </c>
      <c r="I143" s="59">
        <f t="shared" si="252"/>
        <v>0</v>
      </c>
      <c r="J143" s="5">
        <f t="shared" si="252"/>
        <v>0</v>
      </c>
      <c r="K143" s="5">
        <f t="shared" si="252"/>
        <v>0</v>
      </c>
      <c r="L143" s="5">
        <f t="shared" si="252"/>
        <v>0</v>
      </c>
      <c r="M143" s="59">
        <f t="shared" si="252"/>
        <v>0</v>
      </c>
      <c r="N143" s="5">
        <f t="shared" si="252"/>
        <v>0</v>
      </c>
      <c r="O143" s="5">
        <f t="shared" si="252"/>
        <v>1</v>
      </c>
      <c r="P143" s="5">
        <f t="shared" si="252"/>
        <v>0</v>
      </c>
      <c r="Q143" s="5">
        <f t="shared" si="252"/>
        <v>0</v>
      </c>
      <c r="R143" s="5">
        <f t="shared" si="252"/>
        <v>0</v>
      </c>
      <c r="S143" s="5">
        <f t="shared" si="252"/>
        <v>0</v>
      </c>
      <c r="T143" s="5">
        <f t="shared" si="252"/>
        <v>0</v>
      </c>
      <c r="U143" s="5">
        <f t="shared" si="252"/>
        <v>0</v>
      </c>
      <c r="V143" s="5">
        <f t="shared" si="252"/>
        <v>0</v>
      </c>
      <c r="W143" s="5">
        <f t="shared" si="252"/>
        <v>0</v>
      </c>
      <c r="X143" s="5">
        <f t="shared" si="252"/>
        <v>0</v>
      </c>
      <c r="Y143" s="5">
        <f t="shared" si="252"/>
        <v>0</v>
      </c>
      <c r="Z143" s="5">
        <f t="shared" si="252"/>
        <v>0</v>
      </c>
      <c r="AA143" s="5">
        <f t="shared" si="252"/>
        <v>0</v>
      </c>
      <c r="AB143" s="5">
        <f t="shared" si="252"/>
        <v>0</v>
      </c>
      <c r="AC143" s="5">
        <f t="shared" si="252"/>
        <v>2</v>
      </c>
      <c r="AD143" s="5" t="str">
        <f t="shared" si="252"/>
        <v/>
      </c>
      <c r="AE143" s="5" t="str">
        <f t="shared" si="252"/>
        <v/>
      </c>
      <c r="AF143" s="5" t="str">
        <f t="shared" si="252"/>
        <v/>
      </c>
      <c r="AG143" s="5" t="str">
        <f t="shared" si="252"/>
        <v/>
      </c>
      <c r="AH143" s="5" t="str">
        <f t="shared" si="252"/>
        <v/>
      </c>
      <c r="AI143" s="5" t="str">
        <f t="shared" si="252"/>
        <v/>
      </c>
      <c r="AJ143" s="5" t="str">
        <f t="shared" si="252"/>
        <v/>
      </c>
      <c r="AK143" s="5" t="str">
        <f t="shared" si="252"/>
        <v/>
      </c>
      <c r="AL143" s="5" t="str">
        <f t="shared" si="252"/>
        <v/>
      </c>
      <c r="AM143" s="5" t="str">
        <f t="shared" si="252"/>
        <v/>
      </c>
      <c r="AN143" s="5" t="str">
        <f t="shared" si="252"/>
        <v/>
      </c>
      <c r="AO143" s="5" t="str">
        <f t="shared" ref="AO143:AS143" si="253">IF(AO136="","",AO136-AN136)</f>
        <v/>
      </c>
      <c r="AP143" s="5" t="str">
        <f t="shared" si="253"/>
        <v/>
      </c>
      <c r="AQ143" s="5" t="str">
        <f t="shared" si="253"/>
        <v/>
      </c>
      <c r="AR143" s="5" t="str">
        <f t="shared" si="253"/>
        <v/>
      </c>
      <c r="AS143" s="5" t="str">
        <f t="shared" si="253"/>
        <v/>
      </c>
    </row>
    <row r="144" spans="1:45" s="93" customFormat="1" ht="11">
      <c r="A144" s="7">
        <f>SUM(C144:AS144)</f>
        <v>4</v>
      </c>
      <c r="B144" s="6" t="s">
        <v>17</v>
      </c>
      <c r="C144" s="74">
        <v>0</v>
      </c>
      <c r="D144" s="5">
        <f t="shared" ref="D144:AN144" si="254">IF(D137="","",C137+C138-D137)</f>
        <v>0</v>
      </c>
      <c r="E144" s="5">
        <f t="shared" si="254"/>
        <v>0</v>
      </c>
      <c r="F144" s="59">
        <f t="shared" si="254"/>
        <v>0</v>
      </c>
      <c r="G144" s="5">
        <f t="shared" si="254"/>
        <v>0</v>
      </c>
      <c r="H144" s="5">
        <f t="shared" si="254"/>
        <v>1</v>
      </c>
      <c r="I144" s="59">
        <f t="shared" si="254"/>
        <v>0</v>
      </c>
      <c r="J144" s="5">
        <f t="shared" si="254"/>
        <v>0</v>
      </c>
      <c r="K144" s="5">
        <f t="shared" si="254"/>
        <v>0</v>
      </c>
      <c r="L144" s="5">
        <f t="shared" si="254"/>
        <v>0</v>
      </c>
      <c r="M144" s="59">
        <f t="shared" si="254"/>
        <v>0</v>
      </c>
      <c r="N144" s="5">
        <f t="shared" si="254"/>
        <v>0</v>
      </c>
      <c r="O144" s="5">
        <f t="shared" si="254"/>
        <v>1</v>
      </c>
      <c r="P144" s="5">
        <f t="shared" si="254"/>
        <v>0</v>
      </c>
      <c r="Q144" s="5">
        <f t="shared" si="254"/>
        <v>0</v>
      </c>
      <c r="R144" s="5">
        <f t="shared" si="254"/>
        <v>0</v>
      </c>
      <c r="S144" s="5">
        <f t="shared" si="254"/>
        <v>0</v>
      </c>
      <c r="T144" s="5">
        <f t="shared" si="254"/>
        <v>0</v>
      </c>
      <c r="U144" s="5">
        <f t="shared" si="254"/>
        <v>0</v>
      </c>
      <c r="V144" s="5">
        <f t="shared" si="254"/>
        <v>0</v>
      </c>
      <c r="W144" s="5">
        <f t="shared" si="254"/>
        <v>0</v>
      </c>
      <c r="X144" s="5">
        <f t="shared" si="254"/>
        <v>0</v>
      </c>
      <c r="Y144" s="5">
        <f t="shared" si="254"/>
        <v>0</v>
      </c>
      <c r="Z144" s="5">
        <f t="shared" si="254"/>
        <v>0</v>
      </c>
      <c r="AA144" s="5">
        <f t="shared" si="254"/>
        <v>0</v>
      </c>
      <c r="AB144" s="5">
        <f t="shared" si="254"/>
        <v>0</v>
      </c>
      <c r="AC144" s="5">
        <f t="shared" si="254"/>
        <v>2</v>
      </c>
      <c r="AD144" s="5" t="str">
        <f t="shared" si="254"/>
        <v/>
      </c>
      <c r="AE144" s="5" t="str">
        <f t="shared" si="254"/>
        <v/>
      </c>
      <c r="AF144" s="5" t="str">
        <f t="shared" si="254"/>
        <v/>
      </c>
      <c r="AG144" s="5" t="str">
        <f t="shared" si="254"/>
        <v/>
      </c>
      <c r="AH144" s="5" t="str">
        <f t="shared" si="254"/>
        <v/>
      </c>
      <c r="AI144" s="5" t="str">
        <f t="shared" si="254"/>
        <v/>
      </c>
      <c r="AJ144" s="5" t="str">
        <f t="shared" si="254"/>
        <v/>
      </c>
      <c r="AK144" s="5" t="str">
        <f t="shared" si="254"/>
        <v/>
      </c>
      <c r="AL144" s="5" t="str">
        <f t="shared" si="254"/>
        <v/>
      </c>
      <c r="AM144" s="5" t="str">
        <f t="shared" si="254"/>
        <v/>
      </c>
      <c r="AN144" s="5" t="str">
        <f t="shared" si="254"/>
        <v/>
      </c>
      <c r="AO144" s="5" t="str">
        <f t="shared" ref="AO144:AS144" si="255">IF(AO137="","",AN137+AN138-AO137)</f>
        <v/>
      </c>
      <c r="AP144" s="5" t="str">
        <f t="shared" si="255"/>
        <v/>
      </c>
      <c r="AQ144" s="5" t="str">
        <f t="shared" si="255"/>
        <v/>
      </c>
      <c r="AR144" s="5" t="str">
        <f t="shared" si="255"/>
        <v/>
      </c>
      <c r="AS144" s="5" t="str">
        <f t="shared" si="255"/>
        <v/>
      </c>
    </row>
    <row r="145" spans="1:45" s="93" customFormat="1" ht="11">
      <c r="A145" s="7">
        <f>SUM(C145:AS145)</f>
        <v>1200</v>
      </c>
      <c r="B145" s="6" t="s">
        <v>18</v>
      </c>
      <c r="C145" s="74">
        <v>0</v>
      </c>
      <c r="D145" s="5">
        <f t="shared" ref="D145:AN145" si="256">IF(D135="","",D144*D139)</f>
        <v>0</v>
      </c>
      <c r="E145" s="5">
        <f t="shared" si="256"/>
        <v>0</v>
      </c>
      <c r="F145" s="59">
        <f t="shared" si="256"/>
        <v>0</v>
      </c>
      <c r="G145" s="5">
        <f t="shared" si="256"/>
        <v>0</v>
      </c>
      <c r="H145" s="5">
        <f t="shared" si="256"/>
        <v>300</v>
      </c>
      <c r="I145" s="59">
        <f t="shared" si="256"/>
        <v>0</v>
      </c>
      <c r="J145" s="5">
        <f t="shared" si="256"/>
        <v>0</v>
      </c>
      <c r="K145" s="5">
        <f t="shared" si="256"/>
        <v>0</v>
      </c>
      <c r="L145" s="5">
        <f t="shared" si="256"/>
        <v>0</v>
      </c>
      <c r="M145" s="59">
        <f t="shared" si="256"/>
        <v>0</v>
      </c>
      <c r="N145" s="5">
        <f t="shared" si="256"/>
        <v>0</v>
      </c>
      <c r="O145" s="5">
        <f t="shared" si="256"/>
        <v>300</v>
      </c>
      <c r="P145" s="5">
        <f t="shared" si="256"/>
        <v>0</v>
      </c>
      <c r="Q145" s="5">
        <f t="shared" si="256"/>
        <v>0</v>
      </c>
      <c r="R145" s="5">
        <f t="shared" si="256"/>
        <v>0</v>
      </c>
      <c r="S145" s="5">
        <f t="shared" si="256"/>
        <v>0</v>
      </c>
      <c r="T145" s="5">
        <f t="shared" si="256"/>
        <v>0</v>
      </c>
      <c r="U145" s="5">
        <f t="shared" si="256"/>
        <v>0</v>
      </c>
      <c r="V145" s="5">
        <f t="shared" si="256"/>
        <v>0</v>
      </c>
      <c r="W145" s="5">
        <f t="shared" si="256"/>
        <v>0</v>
      </c>
      <c r="X145" s="5">
        <f t="shared" si="256"/>
        <v>0</v>
      </c>
      <c r="Y145" s="5">
        <f t="shared" si="256"/>
        <v>0</v>
      </c>
      <c r="Z145" s="5">
        <f t="shared" si="256"/>
        <v>0</v>
      </c>
      <c r="AA145" s="5">
        <f t="shared" si="256"/>
        <v>0</v>
      </c>
      <c r="AB145" s="5">
        <f t="shared" si="256"/>
        <v>0</v>
      </c>
      <c r="AC145" s="5">
        <f t="shared" si="256"/>
        <v>600</v>
      </c>
      <c r="AD145" s="5" t="str">
        <f t="shared" si="256"/>
        <v/>
      </c>
      <c r="AE145" s="5" t="str">
        <f t="shared" si="256"/>
        <v/>
      </c>
      <c r="AF145" s="5" t="str">
        <f t="shared" si="256"/>
        <v/>
      </c>
      <c r="AG145" s="5" t="str">
        <f t="shared" si="256"/>
        <v/>
      </c>
      <c r="AH145" s="5" t="str">
        <f t="shared" si="256"/>
        <v/>
      </c>
      <c r="AI145" s="5" t="str">
        <f t="shared" si="256"/>
        <v/>
      </c>
      <c r="AJ145" s="5" t="str">
        <f t="shared" si="256"/>
        <v/>
      </c>
      <c r="AK145" s="5" t="str">
        <f t="shared" si="256"/>
        <v/>
      </c>
      <c r="AL145" s="5" t="str">
        <f t="shared" si="256"/>
        <v/>
      </c>
      <c r="AM145" s="5" t="str">
        <f t="shared" si="256"/>
        <v/>
      </c>
      <c r="AN145" s="5" t="str">
        <f t="shared" si="256"/>
        <v/>
      </c>
      <c r="AO145" s="5" t="str">
        <f t="shared" ref="AO145:AS145" si="257">IF(AO135="","",AO144*AO139)</f>
        <v/>
      </c>
      <c r="AP145" s="5" t="str">
        <f t="shared" si="257"/>
        <v/>
      </c>
      <c r="AQ145" s="5" t="str">
        <f t="shared" si="257"/>
        <v/>
      </c>
      <c r="AR145" s="5" t="str">
        <f t="shared" si="257"/>
        <v/>
      </c>
      <c r="AS145" s="5" t="str">
        <f t="shared" si="257"/>
        <v/>
      </c>
    </row>
    <row r="146" spans="1:45" s="93" customFormat="1" ht="12" thickBot="1">
      <c r="A146" s="4">
        <f>IF(A145="","",A145/(A142*100))</f>
        <v>4.0540540540540543E-2</v>
      </c>
      <c r="B146" s="3" t="s">
        <v>20</v>
      </c>
      <c r="C146" s="77" t="s">
        <v>21</v>
      </c>
      <c r="D146" s="2" t="str">
        <f t="shared" ref="D146:AN146" si="258">IF(D145="","",IF(D145=0,"",D145/(D142*100)))</f>
        <v/>
      </c>
      <c r="E146" s="2" t="str">
        <f t="shared" si="258"/>
        <v/>
      </c>
      <c r="F146" s="57" t="str">
        <f t="shared" si="258"/>
        <v/>
      </c>
      <c r="G146" s="2" t="str">
        <f t="shared" si="258"/>
        <v/>
      </c>
      <c r="H146" s="2">
        <f t="shared" si="258"/>
        <v>0.06</v>
      </c>
      <c r="I146" s="57" t="str">
        <f t="shared" si="258"/>
        <v/>
      </c>
      <c r="J146" s="2" t="str">
        <f t="shared" si="258"/>
        <v/>
      </c>
      <c r="K146" s="2" t="str">
        <f t="shared" si="258"/>
        <v/>
      </c>
      <c r="L146" s="2" t="str">
        <f t="shared" si="258"/>
        <v/>
      </c>
      <c r="M146" s="57" t="str">
        <f t="shared" si="258"/>
        <v/>
      </c>
      <c r="N146" s="2" t="str">
        <f t="shared" si="258"/>
        <v/>
      </c>
      <c r="O146" s="2">
        <f t="shared" si="258"/>
        <v>5.3571428571428568E-2</v>
      </c>
      <c r="P146" s="2" t="str">
        <f t="shared" si="258"/>
        <v/>
      </c>
      <c r="Q146" s="2" t="str">
        <f t="shared" si="258"/>
        <v/>
      </c>
      <c r="R146" s="2" t="str">
        <f t="shared" si="258"/>
        <v/>
      </c>
      <c r="S146" s="2" t="str">
        <f t="shared" si="258"/>
        <v/>
      </c>
      <c r="T146" s="2" t="str">
        <f t="shared" si="258"/>
        <v/>
      </c>
      <c r="U146" s="2" t="str">
        <f t="shared" si="258"/>
        <v/>
      </c>
      <c r="V146" s="2" t="str">
        <f t="shared" si="258"/>
        <v/>
      </c>
      <c r="W146" s="2" t="str">
        <f t="shared" si="258"/>
        <v/>
      </c>
      <c r="X146" s="2" t="str">
        <f t="shared" si="258"/>
        <v/>
      </c>
      <c r="Y146" s="2" t="str">
        <f t="shared" si="258"/>
        <v/>
      </c>
      <c r="Z146" s="2" t="str">
        <f t="shared" si="258"/>
        <v/>
      </c>
      <c r="AA146" s="2" t="str">
        <f t="shared" si="258"/>
        <v/>
      </c>
      <c r="AB146" s="2" t="str">
        <f t="shared" si="258"/>
        <v/>
      </c>
      <c r="AC146" s="2">
        <f t="shared" si="258"/>
        <v>9.6774193548387094E-2</v>
      </c>
      <c r="AD146" s="2" t="str">
        <f t="shared" si="258"/>
        <v/>
      </c>
      <c r="AE146" s="2" t="str">
        <f t="shared" si="258"/>
        <v/>
      </c>
      <c r="AF146" s="2" t="str">
        <f t="shared" si="258"/>
        <v/>
      </c>
      <c r="AG146" s="2" t="str">
        <f t="shared" si="258"/>
        <v/>
      </c>
      <c r="AH146" s="2" t="str">
        <f t="shared" si="258"/>
        <v/>
      </c>
      <c r="AI146" s="2" t="str">
        <f t="shared" si="258"/>
        <v/>
      </c>
      <c r="AJ146" s="2" t="str">
        <f t="shared" si="258"/>
        <v/>
      </c>
      <c r="AK146" s="2" t="str">
        <f t="shared" si="258"/>
        <v/>
      </c>
      <c r="AL146" s="2" t="str">
        <f t="shared" si="258"/>
        <v/>
      </c>
      <c r="AM146" s="2" t="str">
        <f t="shared" si="258"/>
        <v/>
      </c>
      <c r="AN146" s="2" t="str">
        <f t="shared" si="258"/>
        <v/>
      </c>
      <c r="AO146" s="2" t="str">
        <f t="shared" ref="AO146:AS146" si="259">IF(AO145="","",IF(AO145=0,"",AO145/(AO142*100)))</f>
        <v/>
      </c>
      <c r="AP146" s="2" t="str">
        <f t="shared" si="259"/>
        <v/>
      </c>
      <c r="AQ146" s="2" t="str">
        <f t="shared" si="259"/>
        <v/>
      </c>
      <c r="AR146" s="2" t="str">
        <f t="shared" si="259"/>
        <v/>
      </c>
      <c r="AS146" s="2" t="str">
        <f t="shared" si="259"/>
        <v/>
      </c>
    </row>
    <row r="147" spans="1:45" s="93" customFormat="1" ht="11">
      <c r="A147" s="40" t="s">
        <v>101</v>
      </c>
      <c r="B147" s="39" t="s">
        <v>2</v>
      </c>
      <c r="C147" s="66">
        <v>13279</v>
      </c>
      <c r="D147" s="38">
        <f>IF(E$3="","",C147)</f>
        <v>13279</v>
      </c>
      <c r="E147" s="38">
        <v>13378</v>
      </c>
      <c r="F147" s="127">
        <f>IF(G$3="","",E147)</f>
        <v>13378</v>
      </c>
      <c r="G147" s="38">
        <f>IF(H$3="","",F147)</f>
        <v>13378</v>
      </c>
      <c r="H147" s="38">
        <v>13455</v>
      </c>
      <c r="I147" s="127">
        <f>IF(J$3="","",H147)</f>
        <v>13455</v>
      </c>
      <c r="J147" s="38">
        <f>IF(K$3="","",I147)</f>
        <v>13455</v>
      </c>
      <c r="K147" s="38">
        <f>IF(K$3="","",J147)</f>
        <v>13455</v>
      </c>
      <c r="L147" s="38">
        <v>13545</v>
      </c>
      <c r="M147" s="127">
        <f>IF(M$3="","",L147)</f>
        <v>13545</v>
      </c>
      <c r="N147" s="38">
        <f>IF(N$3="","",M147)</f>
        <v>13545</v>
      </c>
      <c r="O147" s="38">
        <v>13632</v>
      </c>
      <c r="P147" s="38">
        <f t="shared" ref="P147:AS147" si="260">IF(P$3="","",O147)</f>
        <v>13632</v>
      </c>
      <c r="Q147" s="38">
        <f t="shared" si="260"/>
        <v>13632</v>
      </c>
      <c r="R147" s="38">
        <f t="shared" si="260"/>
        <v>13632</v>
      </c>
      <c r="S147" s="38">
        <f t="shared" si="260"/>
        <v>13632</v>
      </c>
      <c r="T147" s="38">
        <v>13657</v>
      </c>
      <c r="U147" s="38">
        <f t="shared" si="260"/>
        <v>13657</v>
      </c>
      <c r="V147" s="38">
        <v>13695</v>
      </c>
      <c r="W147" s="38">
        <f t="shared" si="260"/>
        <v>13695</v>
      </c>
      <c r="X147" s="38">
        <f t="shared" si="260"/>
        <v>13695</v>
      </c>
      <c r="Y147" s="38">
        <f t="shared" si="260"/>
        <v>13695</v>
      </c>
      <c r="Z147" s="38">
        <v>13751</v>
      </c>
      <c r="AA147" s="38">
        <f t="shared" si="260"/>
        <v>13751</v>
      </c>
      <c r="AB147" s="38">
        <f t="shared" si="260"/>
        <v>13751</v>
      </c>
      <c r="AC147" s="38">
        <v>13788</v>
      </c>
      <c r="AD147" s="38" t="str">
        <f t="shared" si="260"/>
        <v/>
      </c>
      <c r="AE147" s="38" t="str">
        <f t="shared" si="260"/>
        <v/>
      </c>
      <c r="AF147" s="38" t="str">
        <f t="shared" si="260"/>
        <v/>
      </c>
      <c r="AG147" s="38" t="str">
        <f t="shared" si="260"/>
        <v/>
      </c>
      <c r="AH147" s="38" t="str">
        <f t="shared" si="260"/>
        <v/>
      </c>
      <c r="AI147" s="38" t="str">
        <f t="shared" si="260"/>
        <v/>
      </c>
      <c r="AJ147" s="38" t="str">
        <f t="shared" si="260"/>
        <v/>
      </c>
      <c r="AK147" s="38" t="str">
        <f t="shared" si="260"/>
        <v/>
      </c>
      <c r="AL147" s="38" t="str">
        <f t="shared" si="260"/>
        <v/>
      </c>
      <c r="AM147" s="38" t="str">
        <f t="shared" si="260"/>
        <v/>
      </c>
      <c r="AN147" s="38" t="str">
        <f t="shared" si="260"/>
        <v/>
      </c>
      <c r="AO147" s="38" t="str">
        <f t="shared" si="260"/>
        <v/>
      </c>
      <c r="AP147" s="38" t="str">
        <f t="shared" si="260"/>
        <v/>
      </c>
      <c r="AQ147" s="38" t="str">
        <f t="shared" si="260"/>
        <v/>
      </c>
      <c r="AR147" s="38" t="str">
        <f t="shared" si="260"/>
        <v/>
      </c>
      <c r="AS147" s="38" t="str">
        <f t="shared" si="260"/>
        <v/>
      </c>
    </row>
    <row r="148" spans="1:45" s="93" customFormat="1" ht="11">
      <c r="A148" s="37" t="s">
        <v>83</v>
      </c>
      <c r="B148" s="30" t="s">
        <v>4</v>
      </c>
      <c r="C148" s="65">
        <v>372</v>
      </c>
      <c r="D148" s="29">
        <f>IF(E$3="","",C148)</f>
        <v>372</v>
      </c>
      <c r="E148" s="29">
        <v>378</v>
      </c>
      <c r="F148" s="54">
        <f>IF(G$3="","",E148)</f>
        <v>378</v>
      </c>
      <c r="G148" s="29">
        <f>IF(H$3="","",F148)</f>
        <v>378</v>
      </c>
      <c r="H148" s="29">
        <v>383</v>
      </c>
      <c r="I148" s="54">
        <f>IF(J$3="","",H148)</f>
        <v>383</v>
      </c>
      <c r="J148" s="29">
        <f>IF(K$3="","",I148)</f>
        <v>383</v>
      </c>
      <c r="K148" s="29">
        <f>IF(K$3="","",J148)</f>
        <v>383</v>
      </c>
      <c r="L148" s="29">
        <v>387</v>
      </c>
      <c r="M148" s="54">
        <f>IF(M$3="","",L148)</f>
        <v>387</v>
      </c>
      <c r="N148" s="29">
        <f>IF(N$3="","",M148)</f>
        <v>387</v>
      </c>
      <c r="O148" s="29">
        <v>391</v>
      </c>
      <c r="P148" s="29">
        <f t="shared" ref="P148:AS148" si="261">IF(P$3="","",O148)</f>
        <v>391</v>
      </c>
      <c r="Q148" s="29">
        <f t="shared" si="261"/>
        <v>391</v>
      </c>
      <c r="R148" s="29">
        <f t="shared" si="261"/>
        <v>391</v>
      </c>
      <c r="S148" s="29">
        <f t="shared" si="261"/>
        <v>391</v>
      </c>
      <c r="T148" s="29">
        <f t="shared" si="261"/>
        <v>391</v>
      </c>
      <c r="U148" s="29">
        <f t="shared" si="261"/>
        <v>391</v>
      </c>
      <c r="V148" s="29">
        <v>395</v>
      </c>
      <c r="W148" s="29">
        <f t="shared" si="261"/>
        <v>395</v>
      </c>
      <c r="X148" s="29">
        <f t="shared" si="261"/>
        <v>395</v>
      </c>
      <c r="Y148" s="29">
        <f t="shared" si="261"/>
        <v>395</v>
      </c>
      <c r="Z148" s="29">
        <v>396</v>
      </c>
      <c r="AA148" s="29">
        <f t="shared" si="261"/>
        <v>396</v>
      </c>
      <c r="AB148" s="29">
        <f t="shared" si="261"/>
        <v>396</v>
      </c>
      <c r="AC148" s="29">
        <v>401</v>
      </c>
      <c r="AD148" s="29" t="str">
        <f t="shared" si="261"/>
        <v/>
      </c>
      <c r="AE148" s="29" t="str">
        <f t="shared" si="261"/>
        <v/>
      </c>
      <c r="AF148" s="29" t="str">
        <f t="shared" si="261"/>
        <v/>
      </c>
      <c r="AG148" s="29" t="str">
        <f t="shared" si="261"/>
        <v/>
      </c>
      <c r="AH148" s="29" t="str">
        <f t="shared" si="261"/>
        <v/>
      </c>
      <c r="AI148" s="29" t="str">
        <f t="shared" si="261"/>
        <v/>
      </c>
      <c r="AJ148" s="29" t="str">
        <f t="shared" si="261"/>
        <v/>
      </c>
      <c r="AK148" s="29" t="str">
        <f t="shared" si="261"/>
        <v/>
      </c>
      <c r="AL148" s="29" t="str">
        <f t="shared" si="261"/>
        <v/>
      </c>
      <c r="AM148" s="29" t="str">
        <f t="shared" si="261"/>
        <v/>
      </c>
      <c r="AN148" s="29" t="str">
        <f t="shared" si="261"/>
        <v/>
      </c>
      <c r="AO148" s="29" t="str">
        <f t="shared" si="261"/>
        <v/>
      </c>
      <c r="AP148" s="29" t="str">
        <f t="shared" si="261"/>
        <v/>
      </c>
      <c r="AQ148" s="29" t="str">
        <f t="shared" si="261"/>
        <v/>
      </c>
      <c r="AR148" s="29" t="str">
        <f t="shared" si="261"/>
        <v/>
      </c>
      <c r="AS148" s="29" t="str">
        <f t="shared" si="261"/>
        <v/>
      </c>
    </row>
    <row r="149" spans="1:45" s="93" customFormat="1" ht="11">
      <c r="A149" s="34"/>
      <c r="B149" s="30" t="s">
        <v>5</v>
      </c>
      <c r="C149" s="65">
        <v>33</v>
      </c>
      <c r="D149" s="29">
        <f>IF(D147="","",(C149+C150))</f>
        <v>33</v>
      </c>
      <c r="E149" s="29">
        <v>27</v>
      </c>
      <c r="F149" s="54">
        <f>IF(F147="","",(E149+E150))</f>
        <v>32</v>
      </c>
      <c r="G149" s="29">
        <f>IF(G147="","",(F149+F150))</f>
        <v>32</v>
      </c>
      <c r="H149" s="29">
        <v>27</v>
      </c>
      <c r="I149" s="54">
        <f>IF(I147="","",(H149+H150))</f>
        <v>27</v>
      </c>
      <c r="J149" s="29">
        <f>IF(J147="","",(I149+I150))</f>
        <v>27</v>
      </c>
      <c r="K149" s="29">
        <f>IF(K147="","",(J149+J150))</f>
        <v>27</v>
      </c>
      <c r="L149" s="29">
        <v>23</v>
      </c>
      <c r="M149" s="54">
        <f>IF(M147="","",(L149+L150))</f>
        <v>23</v>
      </c>
      <c r="N149" s="29">
        <f>IF(N147="","",(M149+M150))</f>
        <v>23</v>
      </c>
      <c r="O149" s="29">
        <v>20</v>
      </c>
      <c r="P149" s="29">
        <f t="shared" ref="P149:AS149" si="262">IF(P147="","",(O149+O150))</f>
        <v>23</v>
      </c>
      <c r="Q149" s="29">
        <f t="shared" si="262"/>
        <v>23</v>
      </c>
      <c r="R149" s="29">
        <f t="shared" si="262"/>
        <v>23</v>
      </c>
      <c r="S149" s="29">
        <f t="shared" si="262"/>
        <v>23</v>
      </c>
      <c r="T149" s="29">
        <f t="shared" si="262"/>
        <v>23</v>
      </c>
      <c r="U149" s="29">
        <f t="shared" si="262"/>
        <v>23</v>
      </c>
      <c r="V149" s="29">
        <v>22</v>
      </c>
      <c r="W149" s="29">
        <f t="shared" si="262"/>
        <v>22</v>
      </c>
      <c r="X149" s="29">
        <f t="shared" si="262"/>
        <v>22</v>
      </c>
      <c r="Y149" s="29">
        <f t="shared" si="262"/>
        <v>22</v>
      </c>
      <c r="Z149" s="29">
        <v>21</v>
      </c>
      <c r="AA149" s="29">
        <f t="shared" si="262"/>
        <v>21</v>
      </c>
      <c r="AB149" s="29">
        <f t="shared" si="262"/>
        <v>21</v>
      </c>
      <c r="AC149" s="29">
        <v>18</v>
      </c>
      <c r="AD149" s="29" t="str">
        <f t="shared" si="262"/>
        <v/>
      </c>
      <c r="AE149" s="29" t="str">
        <f t="shared" si="262"/>
        <v/>
      </c>
      <c r="AF149" s="29" t="str">
        <f t="shared" si="262"/>
        <v/>
      </c>
      <c r="AG149" s="29" t="str">
        <f t="shared" si="262"/>
        <v/>
      </c>
      <c r="AH149" s="29" t="str">
        <f t="shared" si="262"/>
        <v/>
      </c>
      <c r="AI149" s="29" t="str">
        <f t="shared" si="262"/>
        <v/>
      </c>
      <c r="AJ149" s="29" t="str">
        <f t="shared" si="262"/>
        <v/>
      </c>
      <c r="AK149" s="29" t="str">
        <f t="shared" si="262"/>
        <v/>
      </c>
      <c r="AL149" s="29" t="str">
        <f t="shared" si="262"/>
        <v/>
      </c>
      <c r="AM149" s="29" t="str">
        <f t="shared" si="262"/>
        <v/>
      </c>
      <c r="AN149" s="29" t="str">
        <f t="shared" si="262"/>
        <v/>
      </c>
      <c r="AO149" s="29" t="str">
        <f t="shared" si="262"/>
        <v/>
      </c>
      <c r="AP149" s="29" t="str">
        <f t="shared" si="262"/>
        <v/>
      </c>
      <c r="AQ149" s="29" t="str">
        <f t="shared" si="262"/>
        <v/>
      </c>
      <c r="AR149" s="29" t="str">
        <f t="shared" si="262"/>
        <v/>
      </c>
      <c r="AS149" s="29" t="str">
        <f t="shared" si="262"/>
        <v/>
      </c>
    </row>
    <row r="150" spans="1:45" s="93" customFormat="1" ht="11">
      <c r="A150" s="14"/>
      <c r="B150" s="30" t="s">
        <v>7</v>
      </c>
      <c r="C150" s="65"/>
      <c r="D150" s="29"/>
      <c r="E150" s="29">
        <v>5</v>
      </c>
      <c r="F150" s="54"/>
      <c r="G150" s="29"/>
      <c r="H150" s="29"/>
      <c r="I150" s="54"/>
      <c r="J150" s="29"/>
      <c r="K150" s="29"/>
      <c r="L150" s="29"/>
      <c r="M150" s="54"/>
      <c r="N150" s="29"/>
      <c r="O150" s="29">
        <v>3</v>
      </c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>
        <v>6</v>
      </c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 spans="1:45" s="93" customFormat="1" ht="11">
      <c r="A151" s="7"/>
      <c r="B151" s="30" t="s">
        <v>8</v>
      </c>
      <c r="C151" s="64">
        <v>350</v>
      </c>
      <c r="D151" s="35">
        <f t="shared" ref="D151:AS151" si="263">IF(D147="","",C151)</f>
        <v>350</v>
      </c>
      <c r="E151" s="35">
        <f t="shared" si="263"/>
        <v>350</v>
      </c>
      <c r="F151" s="128">
        <f t="shared" si="263"/>
        <v>350</v>
      </c>
      <c r="G151" s="35">
        <f t="shared" si="263"/>
        <v>350</v>
      </c>
      <c r="H151" s="35">
        <f t="shared" si="263"/>
        <v>350</v>
      </c>
      <c r="I151" s="128">
        <f t="shared" si="263"/>
        <v>350</v>
      </c>
      <c r="J151" s="35">
        <f t="shared" si="263"/>
        <v>350</v>
      </c>
      <c r="K151" s="35">
        <f t="shared" si="263"/>
        <v>350</v>
      </c>
      <c r="L151" s="35">
        <f t="shared" si="263"/>
        <v>350</v>
      </c>
      <c r="M151" s="128">
        <f t="shared" si="263"/>
        <v>350</v>
      </c>
      <c r="N151" s="35">
        <f t="shared" si="263"/>
        <v>350</v>
      </c>
      <c r="O151" s="35">
        <f t="shared" si="263"/>
        <v>350</v>
      </c>
      <c r="P151" s="35">
        <f t="shared" si="263"/>
        <v>350</v>
      </c>
      <c r="Q151" s="35">
        <f t="shared" si="263"/>
        <v>350</v>
      </c>
      <c r="R151" s="35">
        <f t="shared" si="263"/>
        <v>350</v>
      </c>
      <c r="S151" s="35">
        <f t="shared" si="263"/>
        <v>350</v>
      </c>
      <c r="T151" s="35">
        <f t="shared" si="263"/>
        <v>350</v>
      </c>
      <c r="U151" s="35">
        <f t="shared" si="263"/>
        <v>350</v>
      </c>
      <c r="V151" s="35">
        <f t="shared" si="263"/>
        <v>350</v>
      </c>
      <c r="W151" s="35">
        <f t="shared" si="263"/>
        <v>350</v>
      </c>
      <c r="X151" s="35">
        <f t="shared" si="263"/>
        <v>350</v>
      </c>
      <c r="Y151" s="35">
        <f t="shared" si="263"/>
        <v>350</v>
      </c>
      <c r="Z151" s="35">
        <f t="shared" si="263"/>
        <v>350</v>
      </c>
      <c r="AA151" s="35">
        <f t="shared" si="263"/>
        <v>350</v>
      </c>
      <c r="AB151" s="35">
        <f t="shared" si="263"/>
        <v>350</v>
      </c>
      <c r="AC151" s="35">
        <f t="shared" si="263"/>
        <v>350</v>
      </c>
      <c r="AD151" s="35" t="str">
        <f t="shared" si="263"/>
        <v/>
      </c>
      <c r="AE151" s="35" t="str">
        <f t="shared" si="263"/>
        <v/>
      </c>
      <c r="AF151" s="35" t="str">
        <f t="shared" si="263"/>
        <v/>
      </c>
      <c r="AG151" s="35" t="str">
        <f t="shared" si="263"/>
        <v/>
      </c>
      <c r="AH151" s="35" t="str">
        <f t="shared" si="263"/>
        <v/>
      </c>
      <c r="AI151" s="35" t="str">
        <f t="shared" si="263"/>
        <v/>
      </c>
      <c r="AJ151" s="35" t="str">
        <f t="shared" si="263"/>
        <v/>
      </c>
      <c r="AK151" s="35" t="str">
        <f t="shared" si="263"/>
        <v/>
      </c>
      <c r="AL151" s="35" t="str">
        <f t="shared" si="263"/>
        <v/>
      </c>
      <c r="AM151" s="35" t="str">
        <f t="shared" si="263"/>
        <v/>
      </c>
      <c r="AN151" s="35" t="str">
        <f t="shared" si="263"/>
        <v/>
      </c>
      <c r="AO151" s="35" t="str">
        <f t="shared" si="263"/>
        <v/>
      </c>
      <c r="AP151" s="35" t="str">
        <f t="shared" si="263"/>
        <v/>
      </c>
      <c r="AQ151" s="35" t="str">
        <f t="shared" si="263"/>
        <v/>
      </c>
      <c r="AR151" s="35" t="str">
        <f t="shared" si="263"/>
        <v/>
      </c>
      <c r="AS151" s="35" t="str">
        <f t="shared" si="263"/>
        <v/>
      </c>
    </row>
    <row r="152" spans="1:45" s="94" customFormat="1" ht="11">
      <c r="A152" s="14" t="s">
        <v>9</v>
      </c>
      <c r="B152" s="33" t="s">
        <v>10</v>
      </c>
      <c r="C152" s="63" t="s">
        <v>82</v>
      </c>
      <c r="D152" s="32" t="str">
        <f t="shared" ref="D152:AS152" si="264">IF(D147="","",C152)</f>
        <v>サンリオマスコット</v>
      </c>
      <c r="E152" s="32" t="str">
        <f t="shared" si="264"/>
        <v>サンリオマスコット</v>
      </c>
      <c r="F152" s="129" t="str">
        <f t="shared" si="264"/>
        <v>サンリオマスコット</v>
      </c>
      <c r="G152" s="32" t="str">
        <f t="shared" si="264"/>
        <v>サンリオマスコット</v>
      </c>
      <c r="H152" s="32" t="str">
        <f t="shared" si="264"/>
        <v>サンリオマスコット</v>
      </c>
      <c r="I152" s="129" t="str">
        <f t="shared" si="264"/>
        <v>サンリオマスコット</v>
      </c>
      <c r="J152" s="32" t="str">
        <f t="shared" si="264"/>
        <v>サンリオマスコット</v>
      </c>
      <c r="K152" s="32" t="str">
        <f t="shared" si="264"/>
        <v>サンリオマスコット</v>
      </c>
      <c r="L152" s="32" t="str">
        <f t="shared" si="264"/>
        <v>サンリオマスコット</v>
      </c>
      <c r="M152" s="129" t="str">
        <f t="shared" si="264"/>
        <v>サンリオマスコット</v>
      </c>
      <c r="N152" s="32" t="str">
        <f t="shared" si="264"/>
        <v>サンリオマスコット</v>
      </c>
      <c r="O152" s="32" t="str">
        <f t="shared" si="264"/>
        <v>サンリオマスコット</v>
      </c>
      <c r="P152" s="32" t="str">
        <f t="shared" si="264"/>
        <v>サンリオマスコット</v>
      </c>
      <c r="Q152" s="32" t="str">
        <f t="shared" si="264"/>
        <v>サンリオマスコット</v>
      </c>
      <c r="R152" s="32" t="str">
        <f t="shared" si="264"/>
        <v>サンリオマスコット</v>
      </c>
      <c r="S152" s="32" t="str">
        <f t="shared" si="264"/>
        <v>サンリオマスコット</v>
      </c>
      <c r="T152" s="32" t="str">
        <f t="shared" si="264"/>
        <v>サンリオマスコット</v>
      </c>
      <c r="U152" s="32" t="str">
        <f t="shared" si="264"/>
        <v>サンリオマスコット</v>
      </c>
      <c r="V152" s="32" t="str">
        <f t="shared" si="264"/>
        <v>サンリオマスコット</v>
      </c>
      <c r="W152" s="32" t="str">
        <f t="shared" si="264"/>
        <v>サンリオマスコット</v>
      </c>
      <c r="X152" s="32" t="str">
        <f t="shared" si="264"/>
        <v>サンリオマスコット</v>
      </c>
      <c r="Y152" s="32" t="str">
        <f t="shared" si="264"/>
        <v>サンリオマスコット</v>
      </c>
      <c r="Z152" s="32" t="str">
        <f t="shared" si="264"/>
        <v>サンリオマスコット</v>
      </c>
      <c r="AA152" s="32" t="str">
        <f t="shared" si="264"/>
        <v>サンリオマスコット</v>
      </c>
      <c r="AB152" s="32" t="str">
        <f t="shared" si="264"/>
        <v>サンリオマスコット</v>
      </c>
      <c r="AC152" s="32" t="str">
        <f t="shared" si="264"/>
        <v>サンリオマスコット</v>
      </c>
      <c r="AD152" s="32" t="str">
        <f t="shared" si="264"/>
        <v/>
      </c>
      <c r="AE152" s="32" t="str">
        <f t="shared" si="264"/>
        <v/>
      </c>
      <c r="AF152" s="32" t="str">
        <f t="shared" si="264"/>
        <v/>
      </c>
      <c r="AG152" s="32" t="str">
        <f t="shared" si="264"/>
        <v/>
      </c>
      <c r="AH152" s="32" t="str">
        <f t="shared" si="264"/>
        <v/>
      </c>
      <c r="AI152" s="32" t="str">
        <f t="shared" si="264"/>
        <v/>
      </c>
      <c r="AJ152" s="32" t="str">
        <f t="shared" si="264"/>
        <v/>
      </c>
      <c r="AK152" s="32" t="str">
        <f t="shared" si="264"/>
        <v/>
      </c>
      <c r="AL152" s="32" t="str">
        <f t="shared" si="264"/>
        <v/>
      </c>
      <c r="AM152" s="32" t="str">
        <f t="shared" si="264"/>
        <v/>
      </c>
      <c r="AN152" s="32" t="str">
        <f t="shared" si="264"/>
        <v/>
      </c>
      <c r="AO152" s="32" t="str">
        <f t="shared" si="264"/>
        <v/>
      </c>
      <c r="AP152" s="32" t="str">
        <f t="shared" si="264"/>
        <v/>
      </c>
      <c r="AQ152" s="32" t="str">
        <f t="shared" si="264"/>
        <v/>
      </c>
      <c r="AR152" s="32" t="str">
        <f t="shared" si="264"/>
        <v/>
      </c>
      <c r="AS152" s="32" t="str">
        <f t="shared" si="264"/>
        <v/>
      </c>
    </row>
    <row r="153" spans="1:45" s="93" customFormat="1" ht="11">
      <c r="A153" s="7">
        <f>AVERAGE(C154:AS154)*30*100</f>
        <v>56555.555555555555</v>
      </c>
      <c r="B153" s="30" t="s">
        <v>14</v>
      </c>
      <c r="C153" s="65"/>
      <c r="D153" s="29"/>
      <c r="E153" s="29"/>
      <c r="F153" s="54"/>
      <c r="G153" s="29"/>
      <c r="H153" s="29"/>
      <c r="I153" s="54"/>
      <c r="J153" s="29"/>
      <c r="K153" s="29"/>
      <c r="L153" s="29"/>
      <c r="M153" s="54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 spans="1:45" s="93" customFormat="1" ht="11">
      <c r="A154" s="7">
        <f>SUM(C154:AS154)</f>
        <v>509</v>
      </c>
      <c r="B154" s="27" t="s">
        <v>15</v>
      </c>
      <c r="C154" s="65">
        <v>0</v>
      </c>
      <c r="D154" s="26">
        <f t="shared" ref="D154:AS154" si="265">IF(D147="","",D147-C147)</f>
        <v>0</v>
      </c>
      <c r="E154" s="26">
        <f t="shared" si="265"/>
        <v>99</v>
      </c>
      <c r="F154" s="54">
        <f t="shared" si="265"/>
        <v>0</v>
      </c>
      <c r="G154" s="26">
        <f t="shared" si="265"/>
        <v>0</v>
      </c>
      <c r="H154" s="26">
        <f t="shared" si="265"/>
        <v>77</v>
      </c>
      <c r="I154" s="54">
        <f t="shared" si="265"/>
        <v>0</v>
      </c>
      <c r="J154" s="26">
        <f t="shared" si="265"/>
        <v>0</v>
      </c>
      <c r="K154" s="26">
        <f t="shared" si="265"/>
        <v>0</v>
      </c>
      <c r="L154" s="26">
        <f t="shared" si="265"/>
        <v>90</v>
      </c>
      <c r="M154" s="54">
        <f t="shared" si="265"/>
        <v>0</v>
      </c>
      <c r="N154" s="26">
        <f t="shared" si="265"/>
        <v>0</v>
      </c>
      <c r="O154" s="26">
        <f t="shared" si="265"/>
        <v>87</v>
      </c>
      <c r="P154" s="26">
        <f t="shared" si="265"/>
        <v>0</v>
      </c>
      <c r="Q154" s="26">
        <f t="shared" si="265"/>
        <v>0</v>
      </c>
      <c r="R154" s="26">
        <f t="shared" si="265"/>
        <v>0</v>
      </c>
      <c r="S154" s="26">
        <f t="shared" si="265"/>
        <v>0</v>
      </c>
      <c r="T154" s="26">
        <f t="shared" si="265"/>
        <v>25</v>
      </c>
      <c r="U154" s="26">
        <f t="shared" si="265"/>
        <v>0</v>
      </c>
      <c r="V154" s="26">
        <f t="shared" si="265"/>
        <v>38</v>
      </c>
      <c r="W154" s="26">
        <f t="shared" si="265"/>
        <v>0</v>
      </c>
      <c r="X154" s="26">
        <f t="shared" si="265"/>
        <v>0</v>
      </c>
      <c r="Y154" s="26">
        <f t="shared" si="265"/>
        <v>0</v>
      </c>
      <c r="Z154" s="26">
        <f t="shared" si="265"/>
        <v>56</v>
      </c>
      <c r="AA154" s="26">
        <f t="shared" si="265"/>
        <v>0</v>
      </c>
      <c r="AB154" s="26">
        <f t="shared" si="265"/>
        <v>0</v>
      </c>
      <c r="AC154" s="26">
        <f t="shared" si="265"/>
        <v>37</v>
      </c>
      <c r="AD154" s="26" t="str">
        <f t="shared" si="265"/>
        <v/>
      </c>
      <c r="AE154" s="26" t="str">
        <f t="shared" si="265"/>
        <v/>
      </c>
      <c r="AF154" s="26" t="str">
        <f t="shared" si="265"/>
        <v/>
      </c>
      <c r="AG154" s="26" t="str">
        <f t="shared" si="265"/>
        <v/>
      </c>
      <c r="AH154" s="26" t="str">
        <f t="shared" si="265"/>
        <v/>
      </c>
      <c r="AI154" s="26" t="str">
        <f t="shared" si="265"/>
        <v/>
      </c>
      <c r="AJ154" s="26" t="str">
        <f t="shared" si="265"/>
        <v/>
      </c>
      <c r="AK154" s="26" t="str">
        <f t="shared" si="265"/>
        <v/>
      </c>
      <c r="AL154" s="26" t="str">
        <f t="shared" si="265"/>
        <v/>
      </c>
      <c r="AM154" s="26" t="str">
        <f t="shared" si="265"/>
        <v/>
      </c>
      <c r="AN154" s="26" t="str">
        <f t="shared" si="265"/>
        <v/>
      </c>
      <c r="AO154" s="26" t="str">
        <f t="shared" si="265"/>
        <v/>
      </c>
      <c r="AP154" s="26" t="str">
        <f t="shared" si="265"/>
        <v/>
      </c>
      <c r="AQ154" s="26" t="str">
        <f t="shared" si="265"/>
        <v/>
      </c>
      <c r="AR154" s="26" t="str">
        <f t="shared" si="265"/>
        <v/>
      </c>
      <c r="AS154" s="26" t="str">
        <f t="shared" si="265"/>
        <v/>
      </c>
    </row>
    <row r="155" spans="1:45" s="93" customFormat="1" ht="11">
      <c r="A155" s="7">
        <f>SUM(C155:AS155)</f>
        <v>29</v>
      </c>
      <c r="B155" s="27" t="s">
        <v>16</v>
      </c>
      <c r="C155" s="65">
        <v>0</v>
      </c>
      <c r="D155" s="26">
        <f t="shared" ref="D155:AS155" si="266">IF(D148="","",D148-C148)</f>
        <v>0</v>
      </c>
      <c r="E155" s="26">
        <f t="shared" si="266"/>
        <v>6</v>
      </c>
      <c r="F155" s="54">
        <f t="shared" si="266"/>
        <v>0</v>
      </c>
      <c r="G155" s="26">
        <f t="shared" si="266"/>
        <v>0</v>
      </c>
      <c r="H155" s="26">
        <f t="shared" si="266"/>
        <v>5</v>
      </c>
      <c r="I155" s="54">
        <f t="shared" si="266"/>
        <v>0</v>
      </c>
      <c r="J155" s="26">
        <f t="shared" si="266"/>
        <v>0</v>
      </c>
      <c r="K155" s="26">
        <f t="shared" si="266"/>
        <v>0</v>
      </c>
      <c r="L155" s="26">
        <f t="shared" si="266"/>
        <v>4</v>
      </c>
      <c r="M155" s="54">
        <f t="shared" si="266"/>
        <v>0</v>
      </c>
      <c r="N155" s="26">
        <f t="shared" si="266"/>
        <v>0</v>
      </c>
      <c r="O155" s="26">
        <f t="shared" si="266"/>
        <v>4</v>
      </c>
      <c r="P155" s="26">
        <f t="shared" si="266"/>
        <v>0</v>
      </c>
      <c r="Q155" s="26">
        <f t="shared" si="266"/>
        <v>0</v>
      </c>
      <c r="R155" s="26">
        <f t="shared" si="266"/>
        <v>0</v>
      </c>
      <c r="S155" s="26">
        <f t="shared" si="266"/>
        <v>0</v>
      </c>
      <c r="T155" s="26">
        <f t="shared" si="266"/>
        <v>0</v>
      </c>
      <c r="U155" s="26">
        <f t="shared" si="266"/>
        <v>0</v>
      </c>
      <c r="V155" s="26">
        <f t="shared" si="266"/>
        <v>4</v>
      </c>
      <c r="W155" s="26">
        <f t="shared" si="266"/>
        <v>0</v>
      </c>
      <c r="X155" s="26">
        <f t="shared" si="266"/>
        <v>0</v>
      </c>
      <c r="Y155" s="26">
        <f t="shared" si="266"/>
        <v>0</v>
      </c>
      <c r="Z155" s="26">
        <f t="shared" si="266"/>
        <v>1</v>
      </c>
      <c r="AA155" s="26">
        <f t="shared" si="266"/>
        <v>0</v>
      </c>
      <c r="AB155" s="26">
        <f t="shared" si="266"/>
        <v>0</v>
      </c>
      <c r="AC155" s="26">
        <f t="shared" si="266"/>
        <v>5</v>
      </c>
      <c r="AD155" s="26" t="str">
        <f t="shared" si="266"/>
        <v/>
      </c>
      <c r="AE155" s="26" t="str">
        <f t="shared" si="266"/>
        <v/>
      </c>
      <c r="AF155" s="26" t="str">
        <f t="shared" si="266"/>
        <v/>
      </c>
      <c r="AG155" s="26" t="str">
        <f t="shared" si="266"/>
        <v/>
      </c>
      <c r="AH155" s="26" t="str">
        <f t="shared" si="266"/>
        <v/>
      </c>
      <c r="AI155" s="26" t="str">
        <f t="shared" si="266"/>
        <v/>
      </c>
      <c r="AJ155" s="26" t="str">
        <f t="shared" si="266"/>
        <v/>
      </c>
      <c r="AK155" s="26" t="str">
        <f t="shared" si="266"/>
        <v/>
      </c>
      <c r="AL155" s="26" t="str">
        <f t="shared" si="266"/>
        <v/>
      </c>
      <c r="AM155" s="26" t="str">
        <f t="shared" si="266"/>
        <v/>
      </c>
      <c r="AN155" s="26" t="str">
        <f t="shared" si="266"/>
        <v/>
      </c>
      <c r="AO155" s="26" t="str">
        <f t="shared" si="266"/>
        <v/>
      </c>
      <c r="AP155" s="26" t="str">
        <f t="shared" si="266"/>
        <v/>
      </c>
      <c r="AQ155" s="26" t="str">
        <f t="shared" si="266"/>
        <v/>
      </c>
      <c r="AR155" s="26" t="str">
        <f t="shared" si="266"/>
        <v/>
      </c>
      <c r="AS155" s="26" t="str">
        <f t="shared" si="266"/>
        <v/>
      </c>
    </row>
    <row r="156" spans="1:45" s="93" customFormat="1" ht="11">
      <c r="A156" s="7">
        <f>SUM(C156:AS156)</f>
        <v>23</v>
      </c>
      <c r="B156" s="27" t="s">
        <v>17</v>
      </c>
      <c r="C156" s="65">
        <v>0</v>
      </c>
      <c r="D156" s="26">
        <f t="shared" ref="D156:AS156" si="267">IF(D149="","",C149+C150-D149)</f>
        <v>0</v>
      </c>
      <c r="E156" s="26">
        <f t="shared" si="267"/>
        <v>6</v>
      </c>
      <c r="F156" s="54">
        <f t="shared" si="267"/>
        <v>0</v>
      </c>
      <c r="G156" s="26">
        <f t="shared" si="267"/>
        <v>0</v>
      </c>
      <c r="H156" s="26">
        <f t="shared" si="267"/>
        <v>5</v>
      </c>
      <c r="I156" s="54">
        <f t="shared" si="267"/>
        <v>0</v>
      </c>
      <c r="J156" s="26">
        <f t="shared" si="267"/>
        <v>0</v>
      </c>
      <c r="K156" s="26">
        <f t="shared" si="267"/>
        <v>0</v>
      </c>
      <c r="L156" s="26">
        <f t="shared" si="267"/>
        <v>4</v>
      </c>
      <c r="M156" s="54">
        <f t="shared" si="267"/>
        <v>0</v>
      </c>
      <c r="N156" s="26">
        <f t="shared" si="267"/>
        <v>0</v>
      </c>
      <c r="O156" s="26">
        <f t="shared" si="267"/>
        <v>3</v>
      </c>
      <c r="P156" s="26">
        <f t="shared" si="267"/>
        <v>0</v>
      </c>
      <c r="Q156" s="26">
        <f t="shared" si="267"/>
        <v>0</v>
      </c>
      <c r="R156" s="26">
        <f t="shared" si="267"/>
        <v>0</v>
      </c>
      <c r="S156" s="26">
        <f t="shared" si="267"/>
        <v>0</v>
      </c>
      <c r="T156" s="26">
        <f t="shared" si="267"/>
        <v>0</v>
      </c>
      <c r="U156" s="26">
        <f t="shared" si="267"/>
        <v>0</v>
      </c>
      <c r="V156" s="26">
        <f t="shared" si="267"/>
        <v>1</v>
      </c>
      <c r="W156" s="26">
        <f t="shared" si="267"/>
        <v>0</v>
      </c>
      <c r="X156" s="26">
        <f t="shared" si="267"/>
        <v>0</v>
      </c>
      <c r="Y156" s="26">
        <f t="shared" si="267"/>
        <v>0</v>
      </c>
      <c r="Z156" s="26">
        <f t="shared" si="267"/>
        <v>1</v>
      </c>
      <c r="AA156" s="26">
        <f t="shared" si="267"/>
        <v>0</v>
      </c>
      <c r="AB156" s="26">
        <f t="shared" si="267"/>
        <v>0</v>
      </c>
      <c r="AC156" s="26">
        <f t="shared" si="267"/>
        <v>3</v>
      </c>
      <c r="AD156" s="26" t="str">
        <f t="shared" si="267"/>
        <v/>
      </c>
      <c r="AE156" s="26" t="str">
        <f t="shared" si="267"/>
        <v/>
      </c>
      <c r="AF156" s="26" t="str">
        <f t="shared" si="267"/>
        <v/>
      </c>
      <c r="AG156" s="26" t="str">
        <f t="shared" si="267"/>
        <v/>
      </c>
      <c r="AH156" s="26" t="str">
        <f t="shared" si="267"/>
        <v/>
      </c>
      <c r="AI156" s="26" t="str">
        <f t="shared" si="267"/>
        <v/>
      </c>
      <c r="AJ156" s="26" t="str">
        <f t="shared" si="267"/>
        <v/>
      </c>
      <c r="AK156" s="26" t="str">
        <f t="shared" si="267"/>
        <v/>
      </c>
      <c r="AL156" s="26" t="str">
        <f t="shared" si="267"/>
        <v/>
      </c>
      <c r="AM156" s="26" t="str">
        <f t="shared" si="267"/>
        <v/>
      </c>
      <c r="AN156" s="26" t="str">
        <f t="shared" si="267"/>
        <v/>
      </c>
      <c r="AO156" s="26" t="str">
        <f t="shared" si="267"/>
        <v/>
      </c>
      <c r="AP156" s="26" t="str">
        <f t="shared" si="267"/>
        <v/>
      </c>
      <c r="AQ156" s="26" t="str">
        <f t="shared" si="267"/>
        <v/>
      </c>
      <c r="AR156" s="26" t="str">
        <f t="shared" si="267"/>
        <v/>
      </c>
      <c r="AS156" s="26" t="str">
        <f t="shared" si="267"/>
        <v/>
      </c>
    </row>
    <row r="157" spans="1:45" s="93" customFormat="1" ht="11">
      <c r="A157" s="7">
        <f>SUM(C157:AS157)</f>
        <v>8050</v>
      </c>
      <c r="B157" s="27" t="s">
        <v>18</v>
      </c>
      <c r="C157" s="65">
        <v>0</v>
      </c>
      <c r="D157" s="26">
        <f t="shared" ref="D157:AS157" si="268">IF(D147="","",D156*D151)</f>
        <v>0</v>
      </c>
      <c r="E157" s="26">
        <f t="shared" si="268"/>
        <v>2100</v>
      </c>
      <c r="F157" s="54">
        <f t="shared" si="268"/>
        <v>0</v>
      </c>
      <c r="G157" s="26">
        <f t="shared" si="268"/>
        <v>0</v>
      </c>
      <c r="H157" s="26">
        <f t="shared" si="268"/>
        <v>1750</v>
      </c>
      <c r="I157" s="54">
        <f t="shared" si="268"/>
        <v>0</v>
      </c>
      <c r="J157" s="26">
        <f t="shared" si="268"/>
        <v>0</v>
      </c>
      <c r="K157" s="26">
        <f t="shared" si="268"/>
        <v>0</v>
      </c>
      <c r="L157" s="26">
        <f t="shared" si="268"/>
        <v>1400</v>
      </c>
      <c r="M157" s="54">
        <f t="shared" si="268"/>
        <v>0</v>
      </c>
      <c r="N157" s="26">
        <f t="shared" si="268"/>
        <v>0</v>
      </c>
      <c r="O157" s="26">
        <f t="shared" si="268"/>
        <v>1050</v>
      </c>
      <c r="P157" s="26">
        <f t="shared" si="268"/>
        <v>0</v>
      </c>
      <c r="Q157" s="26">
        <f t="shared" si="268"/>
        <v>0</v>
      </c>
      <c r="R157" s="26">
        <f t="shared" si="268"/>
        <v>0</v>
      </c>
      <c r="S157" s="26">
        <f t="shared" si="268"/>
        <v>0</v>
      </c>
      <c r="T157" s="26">
        <f t="shared" si="268"/>
        <v>0</v>
      </c>
      <c r="U157" s="26">
        <f t="shared" si="268"/>
        <v>0</v>
      </c>
      <c r="V157" s="26">
        <f t="shared" si="268"/>
        <v>350</v>
      </c>
      <c r="W157" s="26">
        <f t="shared" si="268"/>
        <v>0</v>
      </c>
      <c r="X157" s="26">
        <f t="shared" si="268"/>
        <v>0</v>
      </c>
      <c r="Y157" s="26">
        <f t="shared" si="268"/>
        <v>0</v>
      </c>
      <c r="Z157" s="26">
        <f t="shared" si="268"/>
        <v>350</v>
      </c>
      <c r="AA157" s="26">
        <f t="shared" si="268"/>
        <v>0</v>
      </c>
      <c r="AB157" s="26">
        <f t="shared" si="268"/>
        <v>0</v>
      </c>
      <c r="AC157" s="26">
        <f t="shared" si="268"/>
        <v>1050</v>
      </c>
      <c r="AD157" s="26" t="str">
        <f t="shared" si="268"/>
        <v/>
      </c>
      <c r="AE157" s="26" t="str">
        <f t="shared" si="268"/>
        <v/>
      </c>
      <c r="AF157" s="26" t="str">
        <f t="shared" si="268"/>
        <v/>
      </c>
      <c r="AG157" s="26" t="str">
        <f t="shared" si="268"/>
        <v/>
      </c>
      <c r="AH157" s="26" t="str">
        <f t="shared" si="268"/>
        <v/>
      </c>
      <c r="AI157" s="26" t="str">
        <f t="shared" si="268"/>
        <v/>
      </c>
      <c r="AJ157" s="26" t="str">
        <f t="shared" si="268"/>
        <v/>
      </c>
      <c r="AK157" s="26" t="str">
        <f t="shared" si="268"/>
        <v/>
      </c>
      <c r="AL157" s="26" t="str">
        <f t="shared" si="268"/>
        <v/>
      </c>
      <c r="AM157" s="26" t="str">
        <f t="shared" si="268"/>
        <v/>
      </c>
      <c r="AN157" s="26" t="str">
        <f t="shared" si="268"/>
        <v/>
      </c>
      <c r="AO157" s="26" t="str">
        <f t="shared" si="268"/>
        <v/>
      </c>
      <c r="AP157" s="26" t="str">
        <f t="shared" si="268"/>
        <v/>
      </c>
      <c r="AQ157" s="26" t="str">
        <f t="shared" si="268"/>
        <v/>
      </c>
      <c r="AR157" s="26" t="str">
        <f t="shared" si="268"/>
        <v/>
      </c>
      <c r="AS157" s="26" t="str">
        <f t="shared" si="268"/>
        <v/>
      </c>
    </row>
    <row r="158" spans="1:45" s="93" customFormat="1" ht="12" thickBot="1">
      <c r="A158" s="4">
        <f>IF(A157="","",A157/(A154*100))</f>
        <v>0.15815324165029471</v>
      </c>
      <c r="B158" s="24" t="s">
        <v>20</v>
      </c>
      <c r="C158" s="67" t="s">
        <v>21</v>
      </c>
      <c r="D158" s="23" t="str">
        <f t="shared" ref="D158:AS158" si="269">IF(D157="","",IF(D157=0,"",D157/(D154*100)))</f>
        <v/>
      </c>
      <c r="E158" s="23">
        <f t="shared" si="269"/>
        <v>0.21212121212121213</v>
      </c>
      <c r="F158" s="52" t="str">
        <f t="shared" si="269"/>
        <v/>
      </c>
      <c r="G158" s="23" t="str">
        <f t="shared" si="269"/>
        <v/>
      </c>
      <c r="H158" s="23">
        <f t="shared" si="269"/>
        <v>0.22727272727272727</v>
      </c>
      <c r="I158" s="52" t="str">
        <f t="shared" si="269"/>
        <v/>
      </c>
      <c r="J158" s="23" t="str">
        <f t="shared" si="269"/>
        <v/>
      </c>
      <c r="K158" s="23" t="str">
        <f t="shared" si="269"/>
        <v/>
      </c>
      <c r="L158" s="23">
        <f t="shared" si="269"/>
        <v>0.15555555555555556</v>
      </c>
      <c r="M158" s="52" t="str">
        <f t="shared" si="269"/>
        <v/>
      </c>
      <c r="N158" s="23" t="str">
        <f t="shared" si="269"/>
        <v/>
      </c>
      <c r="O158" s="23">
        <f t="shared" si="269"/>
        <v>0.1206896551724138</v>
      </c>
      <c r="P158" s="23" t="str">
        <f t="shared" si="269"/>
        <v/>
      </c>
      <c r="Q158" s="23" t="str">
        <f t="shared" si="269"/>
        <v/>
      </c>
      <c r="R158" s="23" t="str">
        <f t="shared" si="269"/>
        <v/>
      </c>
      <c r="S158" s="23" t="str">
        <f t="shared" si="269"/>
        <v/>
      </c>
      <c r="T158" s="23" t="str">
        <f t="shared" si="269"/>
        <v/>
      </c>
      <c r="U158" s="23" t="str">
        <f t="shared" si="269"/>
        <v/>
      </c>
      <c r="V158" s="23">
        <f t="shared" si="269"/>
        <v>9.2105263157894732E-2</v>
      </c>
      <c r="W158" s="23" t="str">
        <f t="shared" si="269"/>
        <v/>
      </c>
      <c r="X158" s="23" t="str">
        <f t="shared" si="269"/>
        <v/>
      </c>
      <c r="Y158" s="23" t="str">
        <f t="shared" si="269"/>
        <v/>
      </c>
      <c r="Z158" s="23">
        <f t="shared" si="269"/>
        <v>6.25E-2</v>
      </c>
      <c r="AA158" s="23" t="str">
        <f t="shared" si="269"/>
        <v/>
      </c>
      <c r="AB158" s="23" t="str">
        <f t="shared" si="269"/>
        <v/>
      </c>
      <c r="AC158" s="23">
        <f t="shared" si="269"/>
        <v>0.28378378378378377</v>
      </c>
      <c r="AD158" s="23" t="str">
        <f t="shared" si="269"/>
        <v/>
      </c>
      <c r="AE158" s="23" t="str">
        <f t="shared" si="269"/>
        <v/>
      </c>
      <c r="AF158" s="23" t="str">
        <f t="shared" si="269"/>
        <v/>
      </c>
      <c r="AG158" s="23" t="str">
        <f t="shared" si="269"/>
        <v/>
      </c>
      <c r="AH158" s="23" t="str">
        <f t="shared" si="269"/>
        <v/>
      </c>
      <c r="AI158" s="23" t="str">
        <f t="shared" si="269"/>
        <v/>
      </c>
      <c r="AJ158" s="23" t="str">
        <f t="shared" si="269"/>
        <v/>
      </c>
      <c r="AK158" s="23" t="str">
        <f t="shared" si="269"/>
        <v/>
      </c>
      <c r="AL158" s="23" t="str">
        <f t="shared" si="269"/>
        <v/>
      </c>
      <c r="AM158" s="23" t="str">
        <f t="shared" si="269"/>
        <v/>
      </c>
      <c r="AN158" s="23" t="str">
        <f t="shared" si="269"/>
        <v/>
      </c>
      <c r="AO158" s="23" t="str">
        <f t="shared" si="269"/>
        <v/>
      </c>
      <c r="AP158" s="23" t="str">
        <f t="shared" si="269"/>
        <v/>
      </c>
      <c r="AQ158" s="23" t="str">
        <f t="shared" si="269"/>
        <v/>
      </c>
      <c r="AR158" s="23" t="str">
        <f t="shared" si="269"/>
        <v/>
      </c>
      <c r="AS158" s="23" t="str">
        <f t="shared" si="269"/>
        <v/>
      </c>
    </row>
    <row r="159" spans="1:45" s="93" customFormat="1" ht="11">
      <c r="A159" s="40" t="s">
        <v>101</v>
      </c>
      <c r="B159" s="39" t="s">
        <v>2</v>
      </c>
      <c r="C159" s="66">
        <v>14325</v>
      </c>
      <c r="D159" s="38">
        <f>IF(D$3="","",C159)</f>
        <v>14325</v>
      </c>
      <c r="E159" s="38">
        <v>14748</v>
      </c>
      <c r="F159" s="127">
        <f>IF(F$3="","",E159)</f>
        <v>14748</v>
      </c>
      <c r="G159" s="38">
        <f>IF(G$3="","",F159)</f>
        <v>14748</v>
      </c>
      <c r="H159" s="38">
        <v>15033</v>
      </c>
      <c r="I159" s="127">
        <f t="shared" ref="I159:K160" si="270">IF(I$3="","",H159)</f>
        <v>15033</v>
      </c>
      <c r="J159" s="38">
        <f t="shared" si="270"/>
        <v>15033</v>
      </c>
      <c r="K159" s="38">
        <f t="shared" si="270"/>
        <v>15033</v>
      </c>
      <c r="L159" s="38">
        <v>15482</v>
      </c>
      <c r="M159" s="127">
        <f>IF(M$3="","",L159)</f>
        <v>15482</v>
      </c>
      <c r="N159" s="38">
        <f>IF(N$3="","",M159)</f>
        <v>15482</v>
      </c>
      <c r="O159" s="38">
        <v>16178</v>
      </c>
      <c r="P159" s="38">
        <f t="shared" ref="P159:AN159" si="271">IF(P$3="","",O159)</f>
        <v>16178</v>
      </c>
      <c r="Q159" s="38">
        <f t="shared" si="271"/>
        <v>16178</v>
      </c>
      <c r="R159" s="38">
        <f t="shared" si="271"/>
        <v>16178</v>
      </c>
      <c r="S159" s="38">
        <f t="shared" si="271"/>
        <v>16178</v>
      </c>
      <c r="T159" s="38">
        <v>16755</v>
      </c>
      <c r="U159" s="38">
        <f t="shared" si="271"/>
        <v>16755</v>
      </c>
      <c r="V159" s="38">
        <v>17505</v>
      </c>
      <c r="W159" s="38">
        <f t="shared" si="271"/>
        <v>17505</v>
      </c>
      <c r="X159" s="38">
        <f t="shared" si="271"/>
        <v>17505</v>
      </c>
      <c r="Y159" s="38">
        <f t="shared" si="271"/>
        <v>17505</v>
      </c>
      <c r="Z159" s="38">
        <v>17790</v>
      </c>
      <c r="AA159" s="38">
        <f t="shared" si="271"/>
        <v>17790</v>
      </c>
      <c r="AB159" s="38">
        <f t="shared" si="271"/>
        <v>17790</v>
      </c>
      <c r="AC159" s="38">
        <v>18451</v>
      </c>
      <c r="AD159" s="38" t="str">
        <f t="shared" si="271"/>
        <v/>
      </c>
      <c r="AE159" s="38" t="str">
        <f t="shared" si="271"/>
        <v/>
      </c>
      <c r="AF159" s="38" t="str">
        <f t="shared" si="271"/>
        <v/>
      </c>
      <c r="AG159" s="38" t="str">
        <f t="shared" si="271"/>
        <v/>
      </c>
      <c r="AH159" s="38" t="str">
        <f t="shared" si="271"/>
        <v/>
      </c>
      <c r="AI159" s="38" t="str">
        <f t="shared" si="271"/>
        <v/>
      </c>
      <c r="AJ159" s="38" t="str">
        <f t="shared" si="271"/>
        <v/>
      </c>
      <c r="AK159" s="38" t="str">
        <f t="shared" si="271"/>
        <v/>
      </c>
      <c r="AL159" s="38" t="str">
        <f t="shared" si="271"/>
        <v/>
      </c>
      <c r="AM159" s="38" t="str">
        <f t="shared" si="271"/>
        <v/>
      </c>
      <c r="AN159" s="38" t="str">
        <f t="shared" si="271"/>
        <v/>
      </c>
      <c r="AO159" s="38" t="str">
        <f t="shared" ref="AO159:AS159" si="272">IF(AO$3="","",AN159)</f>
        <v/>
      </c>
      <c r="AP159" s="38" t="str">
        <f t="shared" si="272"/>
        <v/>
      </c>
      <c r="AQ159" s="38" t="str">
        <f t="shared" si="272"/>
        <v/>
      </c>
      <c r="AR159" s="38" t="str">
        <f t="shared" si="272"/>
        <v/>
      </c>
      <c r="AS159" s="38" t="str">
        <f t="shared" si="272"/>
        <v/>
      </c>
    </row>
    <row r="160" spans="1:45" s="93" customFormat="1" ht="11">
      <c r="A160" s="37" t="s">
        <v>105</v>
      </c>
      <c r="B160" s="30" t="s">
        <v>4</v>
      </c>
      <c r="C160" s="65">
        <v>254</v>
      </c>
      <c r="D160" s="29">
        <f>IF(D$3="","",C160)</f>
        <v>254</v>
      </c>
      <c r="E160" s="29">
        <f>IF(E$3="","",D160)</f>
        <v>254</v>
      </c>
      <c r="F160" s="54">
        <f>IF(F$3="","",E160)</f>
        <v>254</v>
      </c>
      <c r="G160" s="29">
        <f>IF(G$3="","",F160)</f>
        <v>254</v>
      </c>
      <c r="H160" s="29">
        <v>263</v>
      </c>
      <c r="I160" s="54">
        <f t="shared" si="270"/>
        <v>263</v>
      </c>
      <c r="J160" s="29">
        <f t="shared" si="270"/>
        <v>263</v>
      </c>
      <c r="K160" s="29">
        <f t="shared" si="270"/>
        <v>263</v>
      </c>
      <c r="L160" s="29">
        <v>266</v>
      </c>
      <c r="M160" s="54">
        <f>IF(M$3="","",L160)</f>
        <v>266</v>
      </c>
      <c r="N160" s="29">
        <f>IF(N$3="","",M160)</f>
        <v>266</v>
      </c>
      <c r="O160" s="29">
        <v>270</v>
      </c>
      <c r="P160" s="29">
        <f t="shared" ref="P160:AN160" si="273">IF(P$3="","",O160)</f>
        <v>270</v>
      </c>
      <c r="Q160" s="29">
        <f t="shared" si="273"/>
        <v>270</v>
      </c>
      <c r="R160" s="29">
        <f t="shared" si="273"/>
        <v>270</v>
      </c>
      <c r="S160" s="29">
        <f t="shared" si="273"/>
        <v>270</v>
      </c>
      <c r="T160" s="29">
        <v>278</v>
      </c>
      <c r="U160" s="29">
        <f t="shared" si="273"/>
        <v>278</v>
      </c>
      <c r="V160" s="29">
        <v>283</v>
      </c>
      <c r="W160" s="29">
        <f t="shared" si="273"/>
        <v>283</v>
      </c>
      <c r="X160" s="29">
        <f t="shared" si="273"/>
        <v>283</v>
      </c>
      <c r="Y160" s="29">
        <f t="shared" si="273"/>
        <v>283</v>
      </c>
      <c r="Z160" s="29">
        <v>287</v>
      </c>
      <c r="AA160" s="29">
        <f t="shared" si="273"/>
        <v>287</v>
      </c>
      <c r="AB160" s="29">
        <f t="shared" si="273"/>
        <v>287</v>
      </c>
      <c r="AC160" s="29">
        <v>290</v>
      </c>
      <c r="AD160" s="29" t="str">
        <f t="shared" si="273"/>
        <v/>
      </c>
      <c r="AE160" s="29" t="str">
        <f t="shared" si="273"/>
        <v/>
      </c>
      <c r="AF160" s="29" t="str">
        <f t="shared" si="273"/>
        <v/>
      </c>
      <c r="AG160" s="29" t="str">
        <f t="shared" si="273"/>
        <v/>
      </c>
      <c r="AH160" s="29" t="str">
        <f t="shared" si="273"/>
        <v/>
      </c>
      <c r="AI160" s="29" t="str">
        <f t="shared" si="273"/>
        <v/>
      </c>
      <c r="AJ160" s="29" t="str">
        <f t="shared" si="273"/>
        <v/>
      </c>
      <c r="AK160" s="29" t="str">
        <f t="shared" si="273"/>
        <v/>
      </c>
      <c r="AL160" s="29" t="str">
        <f t="shared" si="273"/>
        <v/>
      </c>
      <c r="AM160" s="29" t="str">
        <f t="shared" si="273"/>
        <v/>
      </c>
      <c r="AN160" s="29" t="str">
        <f t="shared" si="273"/>
        <v/>
      </c>
      <c r="AO160" s="29" t="str">
        <f t="shared" ref="AO160:AS160" si="274">IF(AO$3="","",AN160)</f>
        <v/>
      </c>
      <c r="AP160" s="29" t="str">
        <f t="shared" si="274"/>
        <v/>
      </c>
      <c r="AQ160" s="29" t="str">
        <f t="shared" si="274"/>
        <v/>
      </c>
      <c r="AR160" s="29" t="str">
        <f t="shared" si="274"/>
        <v/>
      </c>
      <c r="AS160" s="29" t="str">
        <f t="shared" si="274"/>
        <v/>
      </c>
    </row>
    <row r="161" spans="1:45" s="93" customFormat="1" ht="11">
      <c r="A161" s="34"/>
      <c r="B161" s="30" t="s">
        <v>5</v>
      </c>
      <c r="C161" s="65">
        <v>5</v>
      </c>
      <c r="D161" s="29">
        <f>IF(D159="","",(C161+C162))</f>
        <v>5</v>
      </c>
      <c r="E161" s="29">
        <v>1</v>
      </c>
      <c r="F161" s="54">
        <f>IF(F159="","",(E161+E162))</f>
        <v>5</v>
      </c>
      <c r="G161" s="29">
        <f>IF(G159="","",(F161+F162))</f>
        <v>5</v>
      </c>
      <c r="H161" s="29">
        <v>0</v>
      </c>
      <c r="I161" s="54">
        <f>IF(I159="","",(H161+H162))</f>
        <v>4</v>
      </c>
      <c r="J161" s="29">
        <f>IF(J159="","",(I161+I162))</f>
        <v>4</v>
      </c>
      <c r="K161" s="29">
        <f>IF(K159="","",(J161+J162))</f>
        <v>4</v>
      </c>
      <c r="L161" s="29">
        <v>1</v>
      </c>
      <c r="M161" s="54">
        <f>IF(M159="","",(L161+L162))</f>
        <v>10</v>
      </c>
      <c r="N161" s="29">
        <f>IF(N159="","",(M161+M162))</f>
        <v>10</v>
      </c>
      <c r="O161" s="29">
        <v>5</v>
      </c>
      <c r="P161" s="29">
        <f t="shared" ref="P161:AN161" si="275">IF(P159="","",(O161+O162))</f>
        <v>8</v>
      </c>
      <c r="Q161" s="29">
        <f t="shared" si="275"/>
        <v>8</v>
      </c>
      <c r="R161" s="29">
        <f t="shared" si="275"/>
        <v>8</v>
      </c>
      <c r="S161" s="29">
        <f t="shared" si="275"/>
        <v>8</v>
      </c>
      <c r="T161" s="29">
        <v>1</v>
      </c>
      <c r="U161" s="29">
        <f t="shared" si="275"/>
        <v>9</v>
      </c>
      <c r="V161" s="29">
        <v>3</v>
      </c>
      <c r="W161" s="29">
        <f t="shared" si="275"/>
        <v>6</v>
      </c>
      <c r="X161" s="29">
        <f t="shared" si="275"/>
        <v>6</v>
      </c>
      <c r="Y161" s="29">
        <f t="shared" si="275"/>
        <v>6</v>
      </c>
      <c r="Z161" s="29">
        <v>2</v>
      </c>
      <c r="AA161" s="29">
        <f t="shared" si="275"/>
        <v>8</v>
      </c>
      <c r="AB161" s="29">
        <f t="shared" si="275"/>
        <v>8</v>
      </c>
      <c r="AC161" s="29">
        <v>6</v>
      </c>
      <c r="AD161" s="29" t="str">
        <f t="shared" si="275"/>
        <v/>
      </c>
      <c r="AE161" s="29" t="str">
        <f t="shared" si="275"/>
        <v/>
      </c>
      <c r="AF161" s="29" t="str">
        <f t="shared" si="275"/>
        <v/>
      </c>
      <c r="AG161" s="29" t="str">
        <f t="shared" si="275"/>
        <v/>
      </c>
      <c r="AH161" s="29" t="str">
        <f t="shared" si="275"/>
        <v/>
      </c>
      <c r="AI161" s="29" t="str">
        <f t="shared" si="275"/>
        <v/>
      </c>
      <c r="AJ161" s="29" t="str">
        <f t="shared" si="275"/>
        <v/>
      </c>
      <c r="AK161" s="29" t="str">
        <f t="shared" si="275"/>
        <v/>
      </c>
      <c r="AL161" s="29" t="str">
        <f t="shared" si="275"/>
        <v/>
      </c>
      <c r="AM161" s="29" t="str">
        <f t="shared" si="275"/>
        <v/>
      </c>
      <c r="AN161" s="29" t="str">
        <f t="shared" si="275"/>
        <v/>
      </c>
      <c r="AO161" s="29" t="str">
        <f t="shared" ref="AO161:AS161" si="276">IF(AO159="","",(AN161+AN162))</f>
        <v/>
      </c>
      <c r="AP161" s="29" t="str">
        <f t="shared" si="276"/>
        <v/>
      </c>
      <c r="AQ161" s="29" t="str">
        <f t="shared" si="276"/>
        <v/>
      </c>
      <c r="AR161" s="29" t="str">
        <f t="shared" si="276"/>
        <v/>
      </c>
      <c r="AS161" s="29" t="str">
        <f t="shared" si="276"/>
        <v/>
      </c>
    </row>
    <row r="162" spans="1:45" s="93" customFormat="1" ht="11">
      <c r="A162" s="14"/>
      <c r="B162" s="30" t="s">
        <v>7</v>
      </c>
      <c r="C162" s="65"/>
      <c r="D162" s="29"/>
      <c r="E162" s="29">
        <v>4</v>
      </c>
      <c r="F162" s="54"/>
      <c r="G162" s="29"/>
      <c r="H162" s="29">
        <v>4</v>
      </c>
      <c r="I162" s="54"/>
      <c r="J162" s="29"/>
      <c r="K162" s="29"/>
      <c r="L162" s="29">
        <v>9</v>
      </c>
      <c r="M162" s="54"/>
      <c r="N162" s="29"/>
      <c r="O162" s="29">
        <v>3</v>
      </c>
      <c r="P162" s="29"/>
      <c r="Q162" s="29"/>
      <c r="R162" s="29"/>
      <c r="S162" s="29"/>
      <c r="T162" s="29">
        <v>8</v>
      </c>
      <c r="U162" s="29"/>
      <c r="V162" s="29">
        <v>3</v>
      </c>
      <c r="W162" s="29"/>
      <c r="X162" s="29"/>
      <c r="Y162" s="29"/>
      <c r="Z162" s="29">
        <v>6</v>
      </c>
      <c r="AA162" s="29"/>
      <c r="AB162" s="29"/>
      <c r="AC162" s="29">
        <v>3</v>
      </c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 spans="1:45" s="93" customFormat="1" ht="11">
      <c r="A163" s="7"/>
      <c r="B163" s="30" t="s">
        <v>8</v>
      </c>
      <c r="C163" s="64">
        <v>715</v>
      </c>
      <c r="D163" s="35">
        <f t="shared" ref="D163:AN163" si="277">IF(D159="","",C163)</f>
        <v>715</v>
      </c>
      <c r="E163" s="35">
        <f t="shared" si="277"/>
        <v>715</v>
      </c>
      <c r="F163" s="128">
        <f t="shared" si="277"/>
        <v>715</v>
      </c>
      <c r="G163" s="35">
        <f t="shared" si="277"/>
        <v>715</v>
      </c>
      <c r="H163" s="35">
        <f t="shared" si="277"/>
        <v>715</v>
      </c>
      <c r="I163" s="128">
        <f t="shared" si="277"/>
        <v>715</v>
      </c>
      <c r="J163" s="35">
        <f t="shared" si="277"/>
        <v>715</v>
      </c>
      <c r="K163" s="35">
        <f t="shared" si="277"/>
        <v>715</v>
      </c>
      <c r="L163" s="35">
        <f t="shared" si="277"/>
        <v>715</v>
      </c>
      <c r="M163" s="128">
        <f t="shared" si="277"/>
        <v>715</v>
      </c>
      <c r="N163" s="35">
        <f t="shared" si="277"/>
        <v>715</v>
      </c>
      <c r="O163" s="35">
        <f t="shared" si="277"/>
        <v>715</v>
      </c>
      <c r="P163" s="35">
        <f t="shared" si="277"/>
        <v>715</v>
      </c>
      <c r="Q163" s="35">
        <f t="shared" si="277"/>
        <v>715</v>
      </c>
      <c r="R163" s="35">
        <f t="shared" si="277"/>
        <v>715</v>
      </c>
      <c r="S163" s="35">
        <f t="shared" si="277"/>
        <v>715</v>
      </c>
      <c r="T163" s="35">
        <f t="shared" si="277"/>
        <v>715</v>
      </c>
      <c r="U163" s="35">
        <f t="shared" si="277"/>
        <v>715</v>
      </c>
      <c r="V163" s="35">
        <f t="shared" si="277"/>
        <v>715</v>
      </c>
      <c r="W163" s="35">
        <f t="shared" si="277"/>
        <v>715</v>
      </c>
      <c r="X163" s="35">
        <f t="shared" si="277"/>
        <v>715</v>
      </c>
      <c r="Y163" s="35">
        <f t="shared" si="277"/>
        <v>715</v>
      </c>
      <c r="Z163" s="35">
        <f t="shared" si="277"/>
        <v>715</v>
      </c>
      <c r="AA163" s="35">
        <f t="shared" si="277"/>
        <v>715</v>
      </c>
      <c r="AB163" s="35">
        <f t="shared" si="277"/>
        <v>715</v>
      </c>
      <c r="AC163" s="35">
        <f t="shared" si="277"/>
        <v>715</v>
      </c>
      <c r="AD163" s="35" t="str">
        <f t="shared" si="277"/>
        <v/>
      </c>
      <c r="AE163" s="35" t="str">
        <f t="shared" si="277"/>
        <v/>
      </c>
      <c r="AF163" s="35" t="str">
        <f t="shared" si="277"/>
        <v/>
      </c>
      <c r="AG163" s="35" t="str">
        <f t="shared" si="277"/>
        <v/>
      </c>
      <c r="AH163" s="35" t="str">
        <f t="shared" si="277"/>
        <v/>
      </c>
      <c r="AI163" s="35" t="str">
        <f t="shared" si="277"/>
        <v/>
      </c>
      <c r="AJ163" s="35" t="str">
        <f t="shared" si="277"/>
        <v/>
      </c>
      <c r="AK163" s="35" t="str">
        <f t="shared" si="277"/>
        <v/>
      </c>
      <c r="AL163" s="35" t="str">
        <f t="shared" si="277"/>
        <v/>
      </c>
      <c r="AM163" s="35" t="str">
        <f t="shared" si="277"/>
        <v/>
      </c>
      <c r="AN163" s="35" t="str">
        <f t="shared" si="277"/>
        <v/>
      </c>
      <c r="AO163" s="35" t="str">
        <f t="shared" ref="AO163:AS163" si="278">IF(AO159="","",AN163)</f>
        <v/>
      </c>
      <c r="AP163" s="35" t="str">
        <f t="shared" si="278"/>
        <v/>
      </c>
      <c r="AQ163" s="35" t="str">
        <f t="shared" si="278"/>
        <v/>
      </c>
      <c r="AR163" s="35" t="str">
        <f t="shared" si="278"/>
        <v/>
      </c>
      <c r="AS163" s="35" t="str">
        <f t="shared" si="278"/>
        <v/>
      </c>
    </row>
    <row r="164" spans="1:45" s="94" customFormat="1" ht="11">
      <c r="A164" s="14" t="s">
        <v>9</v>
      </c>
      <c r="B164" s="33" t="s">
        <v>10</v>
      </c>
      <c r="C164" s="63" t="s">
        <v>99</v>
      </c>
      <c r="D164" s="32" t="str">
        <f t="shared" ref="D164:AN164" si="279">IF(D159="","",C164)</f>
        <v>ボンボンドロップシール</v>
      </c>
      <c r="E164" s="32" t="str">
        <f t="shared" si="279"/>
        <v>ボンボンドロップシール</v>
      </c>
      <c r="F164" s="129" t="str">
        <f t="shared" si="279"/>
        <v>ボンボンドロップシール</v>
      </c>
      <c r="G164" s="32" t="str">
        <f t="shared" si="279"/>
        <v>ボンボンドロップシール</v>
      </c>
      <c r="H164" s="32" t="str">
        <f t="shared" si="279"/>
        <v>ボンボンドロップシール</v>
      </c>
      <c r="I164" s="129" t="str">
        <f t="shared" si="279"/>
        <v>ボンボンドロップシール</v>
      </c>
      <c r="J164" s="32" t="str">
        <f t="shared" si="279"/>
        <v>ボンボンドロップシール</v>
      </c>
      <c r="K164" s="32" t="str">
        <f t="shared" si="279"/>
        <v>ボンボンドロップシール</v>
      </c>
      <c r="L164" s="32" t="str">
        <f t="shared" si="279"/>
        <v>ボンボンドロップシール</v>
      </c>
      <c r="M164" s="129" t="str">
        <f t="shared" si="279"/>
        <v>ボンボンドロップシール</v>
      </c>
      <c r="N164" s="32" t="str">
        <f t="shared" si="279"/>
        <v>ボンボンドロップシール</v>
      </c>
      <c r="O164" s="32" t="str">
        <f t="shared" si="279"/>
        <v>ボンボンドロップシール</v>
      </c>
      <c r="P164" s="32" t="str">
        <f t="shared" si="279"/>
        <v>ボンボンドロップシール</v>
      </c>
      <c r="Q164" s="32" t="str">
        <f t="shared" si="279"/>
        <v>ボンボンドロップシール</v>
      </c>
      <c r="R164" s="32" t="str">
        <f t="shared" si="279"/>
        <v>ボンボンドロップシール</v>
      </c>
      <c r="S164" s="32" t="str">
        <f t="shared" si="279"/>
        <v>ボンボンドロップシール</v>
      </c>
      <c r="T164" s="32" t="str">
        <f t="shared" si="279"/>
        <v>ボンボンドロップシール</v>
      </c>
      <c r="U164" s="32" t="str">
        <f t="shared" si="279"/>
        <v>ボンボンドロップシール</v>
      </c>
      <c r="V164" s="32" t="str">
        <f t="shared" si="279"/>
        <v>ボンボンドロップシール</v>
      </c>
      <c r="W164" s="32" t="str">
        <f t="shared" si="279"/>
        <v>ボンボンドロップシール</v>
      </c>
      <c r="X164" s="32" t="str">
        <f t="shared" si="279"/>
        <v>ボンボンドロップシール</v>
      </c>
      <c r="Y164" s="32" t="str">
        <f t="shared" si="279"/>
        <v>ボンボンドロップシール</v>
      </c>
      <c r="Z164" s="32" t="str">
        <f t="shared" si="279"/>
        <v>ボンボンドロップシール</v>
      </c>
      <c r="AA164" s="32" t="str">
        <f t="shared" si="279"/>
        <v>ボンボンドロップシール</v>
      </c>
      <c r="AB164" s="32" t="str">
        <f t="shared" si="279"/>
        <v>ボンボンドロップシール</v>
      </c>
      <c r="AC164" s="32" t="str">
        <f t="shared" si="279"/>
        <v>ボンボンドロップシール</v>
      </c>
      <c r="AD164" s="32" t="str">
        <f t="shared" si="279"/>
        <v/>
      </c>
      <c r="AE164" s="32" t="str">
        <f t="shared" si="279"/>
        <v/>
      </c>
      <c r="AF164" s="32" t="str">
        <f t="shared" si="279"/>
        <v/>
      </c>
      <c r="AG164" s="32" t="str">
        <f t="shared" si="279"/>
        <v/>
      </c>
      <c r="AH164" s="32" t="str">
        <f t="shared" si="279"/>
        <v/>
      </c>
      <c r="AI164" s="32" t="str">
        <f t="shared" si="279"/>
        <v/>
      </c>
      <c r="AJ164" s="32" t="str">
        <f t="shared" si="279"/>
        <v/>
      </c>
      <c r="AK164" s="32" t="str">
        <f t="shared" si="279"/>
        <v/>
      </c>
      <c r="AL164" s="32" t="str">
        <f t="shared" si="279"/>
        <v/>
      </c>
      <c r="AM164" s="32" t="str">
        <f t="shared" si="279"/>
        <v/>
      </c>
      <c r="AN164" s="32" t="str">
        <f t="shared" si="279"/>
        <v/>
      </c>
      <c r="AO164" s="32" t="str">
        <f t="shared" ref="AO164:AS164" si="280">IF(AO159="","",AN164)</f>
        <v/>
      </c>
      <c r="AP164" s="32" t="str">
        <f t="shared" si="280"/>
        <v/>
      </c>
      <c r="AQ164" s="32" t="str">
        <f t="shared" si="280"/>
        <v/>
      </c>
      <c r="AR164" s="32" t="str">
        <f t="shared" si="280"/>
        <v/>
      </c>
      <c r="AS164" s="32" t="str">
        <f t="shared" si="280"/>
        <v/>
      </c>
    </row>
    <row r="165" spans="1:45" s="93" customFormat="1" ht="11">
      <c r="A165" s="7">
        <f>AVERAGE(C166:AS166)*30*100</f>
        <v>458444.44444444444</v>
      </c>
      <c r="B165" s="30" t="s">
        <v>14</v>
      </c>
      <c r="C165" s="65"/>
      <c r="D165" s="29"/>
      <c r="E165" s="29"/>
      <c r="F165" s="54"/>
      <c r="G165" s="29"/>
      <c r="H165" s="29"/>
      <c r="I165" s="54"/>
      <c r="J165" s="29"/>
      <c r="K165" s="29"/>
      <c r="L165" s="29"/>
      <c r="M165" s="54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spans="1:45" s="93" customFormat="1" ht="11">
      <c r="A166" s="7">
        <f>SUM(C166:AS166)</f>
        <v>4126</v>
      </c>
      <c r="B166" s="27" t="s">
        <v>15</v>
      </c>
      <c r="C166" s="65">
        <v>0</v>
      </c>
      <c r="D166" s="26">
        <f t="shared" ref="D166:AN166" si="281">IF(D159="","",D159-C159)</f>
        <v>0</v>
      </c>
      <c r="E166" s="26">
        <f t="shared" si="281"/>
        <v>423</v>
      </c>
      <c r="F166" s="54">
        <f t="shared" si="281"/>
        <v>0</v>
      </c>
      <c r="G166" s="26">
        <f t="shared" si="281"/>
        <v>0</v>
      </c>
      <c r="H166" s="26">
        <f t="shared" si="281"/>
        <v>285</v>
      </c>
      <c r="I166" s="54">
        <f t="shared" si="281"/>
        <v>0</v>
      </c>
      <c r="J166" s="26">
        <f t="shared" si="281"/>
        <v>0</v>
      </c>
      <c r="K166" s="26">
        <f t="shared" si="281"/>
        <v>0</v>
      </c>
      <c r="L166" s="26">
        <f t="shared" si="281"/>
        <v>449</v>
      </c>
      <c r="M166" s="54">
        <f t="shared" si="281"/>
        <v>0</v>
      </c>
      <c r="N166" s="26">
        <f t="shared" si="281"/>
        <v>0</v>
      </c>
      <c r="O166" s="26">
        <f t="shared" si="281"/>
        <v>696</v>
      </c>
      <c r="P166" s="26">
        <f t="shared" si="281"/>
        <v>0</v>
      </c>
      <c r="Q166" s="26">
        <f t="shared" si="281"/>
        <v>0</v>
      </c>
      <c r="R166" s="26">
        <f t="shared" si="281"/>
        <v>0</v>
      </c>
      <c r="S166" s="26">
        <f t="shared" si="281"/>
        <v>0</v>
      </c>
      <c r="T166" s="26">
        <f t="shared" si="281"/>
        <v>577</v>
      </c>
      <c r="U166" s="26">
        <f t="shared" si="281"/>
        <v>0</v>
      </c>
      <c r="V166" s="26">
        <f t="shared" si="281"/>
        <v>750</v>
      </c>
      <c r="W166" s="26">
        <f t="shared" si="281"/>
        <v>0</v>
      </c>
      <c r="X166" s="26">
        <f t="shared" si="281"/>
        <v>0</v>
      </c>
      <c r="Y166" s="26">
        <f t="shared" si="281"/>
        <v>0</v>
      </c>
      <c r="Z166" s="26">
        <f t="shared" si="281"/>
        <v>285</v>
      </c>
      <c r="AA166" s="26">
        <f t="shared" si="281"/>
        <v>0</v>
      </c>
      <c r="AB166" s="26">
        <f t="shared" si="281"/>
        <v>0</v>
      </c>
      <c r="AC166" s="26">
        <f t="shared" si="281"/>
        <v>661</v>
      </c>
      <c r="AD166" s="26" t="str">
        <f t="shared" si="281"/>
        <v/>
      </c>
      <c r="AE166" s="26" t="str">
        <f t="shared" si="281"/>
        <v/>
      </c>
      <c r="AF166" s="26" t="str">
        <f t="shared" si="281"/>
        <v/>
      </c>
      <c r="AG166" s="26" t="str">
        <f t="shared" si="281"/>
        <v/>
      </c>
      <c r="AH166" s="26" t="str">
        <f t="shared" si="281"/>
        <v/>
      </c>
      <c r="AI166" s="26" t="str">
        <f t="shared" si="281"/>
        <v/>
      </c>
      <c r="AJ166" s="26" t="str">
        <f t="shared" si="281"/>
        <v/>
      </c>
      <c r="AK166" s="26" t="str">
        <f t="shared" si="281"/>
        <v/>
      </c>
      <c r="AL166" s="26" t="str">
        <f t="shared" si="281"/>
        <v/>
      </c>
      <c r="AM166" s="26" t="str">
        <f t="shared" si="281"/>
        <v/>
      </c>
      <c r="AN166" s="26" t="str">
        <f t="shared" si="281"/>
        <v/>
      </c>
      <c r="AO166" s="26" t="str">
        <f t="shared" ref="AO166:AS166" si="282">IF(AO159="","",AO159-AN159)</f>
        <v/>
      </c>
      <c r="AP166" s="26" t="str">
        <f t="shared" si="282"/>
        <v/>
      </c>
      <c r="AQ166" s="26" t="str">
        <f t="shared" si="282"/>
        <v/>
      </c>
      <c r="AR166" s="26" t="str">
        <f t="shared" si="282"/>
        <v/>
      </c>
      <c r="AS166" s="26" t="str">
        <f t="shared" si="282"/>
        <v/>
      </c>
    </row>
    <row r="167" spans="1:45" s="93" customFormat="1" ht="11">
      <c r="A167" s="7">
        <f>SUM(C167:AS167)</f>
        <v>36</v>
      </c>
      <c r="B167" s="27" t="s">
        <v>16</v>
      </c>
      <c r="C167" s="65">
        <v>0</v>
      </c>
      <c r="D167" s="26">
        <f t="shared" ref="D167:AN167" si="283">IF(D160="","",D160-C160)</f>
        <v>0</v>
      </c>
      <c r="E167" s="26">
        <f t="shared" si="283"/>
        <v>0</v>
      </c>
      <c r="F167" s="54">
        <f t="shared" si="283"/>
        <v>0</v>
      </c>
      <c r="G167" s="26">
        <f t="shared" si="283"/>
        <v>0</v>
      </c>
      <c r="H167" s="26">
        <f t="shared" si="283"/>
        <v>9</v>
      </c>
      <c r="I167" s="54">
        <f t="shared" si="283"/>
        <v>0</v>
      </c>
      <c r="J167" s="26">
        <f t="shared" si="283"/>
        <v>0</v>
      </c>
      <c r="K167" s="26">
        <f t="shared" si="283"/>
        <v>0</v>
      </c>
      <c r="L167" s="26">
        <f t="shared" si="283"/>
        <v>3</v>
      </c>
      <c r="M167" s="54">
        <f t="shared" si="283"/>
        <v>0</v>
      </c>
      <c r="N167" s="26">
        <f t="shared" si="283"/>
        <v>0</v>
      </c>
      <c r="O167" s="26">
        <f t="shared" si="283"/>
        <v>4</v>
      </c>
      <c r="P167" s="26">
        <f t="shared" si="283"/>
        <v>0</v>
      </c>
      <c r="Q167" s="26">
        <f t="shared" si="283"/>
        <v>0</v>
      </c>
      <c r="R167" s="26">
        <f t="shared" si="283"/>
        <v>0</v>
      </c>
      <c r="S167" s="26">
        <f t="shared" si="283"/>
        <v>0</v>
      </c>
      <c r="T167" s="26">
        <f t="shared" si="283"/>
        <v>8</v>
      </c>
      <c r="U167" s="26">
        <f t="shared" si="283"/>
        <v>0</v>
      </c>
      <c r="V167" s="26">
        <f t="shared" si="283"/>
        <v>5</v>
      </c>
      <c r="W167" s="26">
        <f t="shared" si="283"/>
        <v>0</v>
      </c>
      <c r="X167" s="26">
        <f t="shared" si="283"/>
        <v>0</v>
      </c>
      <c r="Y167" s="26">
        <f t="shared" si="283"/>
        <v>0</v>
      </c>
      <c r="Z167" s="26">
        <f>IF(Z160="","",Z160-Y160)</f>
        <v>4</v>
      </c>
      <c r="AA167" s="26">
        <f t="shared" si="283"/>
        <v>0</v>
      </c>
      <c r="AB167" s="26">
        <f t="shared" si="283"/>
        <v>0</v>
      </c>
      <c r="AC167" s="26">
        <f t="shared" si="283"/>
        <v>3</v>
      </c>
      <c r="AD167" s="26" t="str">
        <f t="shared" si="283"/>
        <v/>
      </c>
      <c r="AE167" s="26" t="str">
        <f t="shared" si="283"/>
        <v/>
      </c>
      <c r="AF167" s="26" t="str">
        <f t="shared" si="283"/>
        <v/>
      </c>
      <c r="AG167" s="26" t="str">
        <f t="shared" si="283"/>
        <v/>
      </c>
      <c r="AH167" s="26" t="str">
        <f t="shared" si="283"/>
        <v/>
      </c>
      <c r="AI167" s="26" t="str">
        <f t="shared" si="283"/>
        <v/>
      </c>
      <c r="AJ167" s="26" t="str">
        <f t="shared" si="283"/>
        <v/>
      </c>
      <c r="AK167" s="26" t="str">
        <f t="shared" si="283"/>
        <v/>
      </c>
      <c r="AL167" s="26" t="str">
        <f t="shared" si="283"/>
        <v/>
      </c>
      <c r="AM167" s="26" t="str">
        <f t="shared" si="283"/>
        <v/>
      </c>
      <c r="AN167" s="26" t="str">
        <f t="shared" si="283"/>
        <v/>
      </c>
      <c r="AO167" s="26" t="str">
        <f t="shared" ref="AO167:AS167" si="284">IF(AO160="","",AO160-AN160)</f>
        <v/>
      </c>
      <c r="AP167" s="26" t="str">
        <f t="shared" si="284"/>
        <v/>
      </c>
      <c r="AQ167" s="26" t="str">
        <f t="shared" si="284"/>
        <v/>
      </c>
      <c r="AR167" s="26" t="str">
        <f t="shared" si="284"/>
        <v/>
      </c>
      <c r="AS167" s="26" t="str">
        <f t="shared" si="284"/>
        <v/>
      </c>
    </row>
    <row r="168" spans="1:45" s="93" customFormat="1" ht="11">
      <c r="A168" s="7">
        <f>SUM(C168:AS168)</f>
        <v>36</v>
      </c>
      <c r="B168" s="27" t="s">
        <v>17</v>
      </c>
      <c r="C168" s="65">
        <v>0</v>
      </c>
      <c r="D168" s="26">
        <f t="shared" ref="D168:AN168" si="285">IF(D161="","",C161+C162-D161)</f>
        <v>0</v>
      </c>
      <c r="E168" s="26">
        <f t="shared" si="285"/>
        <v>4</v>
      </c>
      <c r="F168" s="54">
        <f t="shared" si="285"/>
        <v>0</v>
      </c>
      <c r="G168" s="26">
        <f t="shared" si="285"/>
        <v>0</v>
      </c>
      <c r="H168" s="26">
        <f t="shared" si="285"/>
        <v>5</v>
      </c>
      <c r="I168" s="54">
        <f t="shared" si="285"/>
        <v>0</v>
      </c>
      <c r="J168" s="26">
        <f t="shared" si="285"/>
        <v>0</v>
      </c>
      <c r="K168" s="26">
        <f t="shared" si="285"/>
        <v>0</v>
      </c>
      <c r="L168" s="26">
        <f t="shared" si="285"/>
        <v>3</v>
      </c>
      <c r="M168" s="54">
        <f t="shared" si="285"/>
        <v>0</v>
      </c>
      <c r="N168" s="26">
        <f t="shared" si="285"/>
        <v>0</v>
      </c>
      <c r="O168" s="26">
        <f t="shared" si="285"/>
        <v>5</v>
      </c>
      <c r="P168" s="26">
        <f t="shared" si="285"/>
        <v>0</v>
      </c>
      <c r="Q168" s="26">
        <f t="shared" si="285"/>
        <v>0</v>
      </c>
      <c r="R168" s="26">
        <f t="shared" si="285"/>
        <v>0</v>
      </c>
      <c r="S168" s="26">
        <f t="shared" si="285"/>
        <v>0</v>
      </c>
      <c r="T168" s="26">
        <f t="shared" si="285"/>
        <v>7</v>
      </c>
      <c r="U168" s="26">
        <f t="shared" si="285"/>
        <v>0</v>
      </c>
      <c r="V168" s="26">
        <f t="shared" si="285"/>
        <v>6</v>
      </c>
      <c r="W168" s="26">
        <f t="shared" si="285"/>
        <v>0</v>
      </c>
      <c r="X168" s="26">
        <f t="shared" si="285"/>
        <v>0</v>
      </c>
      <c r="Y168" s="26">
        <f t="shared" si="285"/>
        <v>0</v>
      </c>
      <c r="Z168" s="26">
        <f t="shared" si="285"/>
        <v>4</v>
      </c>
      <c r="AA168" s="26">
        <f t="shared" si="285"/>
        <v>0</v>
      </c>
      <c r="AB168" s="26">
        <f t="shared" si="285"/>
        <v>0</v>
      </c>
      <c r="AC168" s="26">
        <f t="shared" si="285"/>
        <v>2</v>
      </c>
      <c r="AD168" s="26" t="str">
        <f t="shared" si="285"/>
        <v/>
      </c>
      <c r="AE168" s="26" t="str">
        <f t="shared" si="285"/>
        <v/>
      </c>
      <c r="AF168" s="26" t="str">
        <f t="shared" si="285"/>
        <v/>
      </c>
      <c r="AG168" s="26" t="str">
        <f t="shared" si="285"/>
        <v/>
      </c>
      <c r="AH168" s="26" t="str">
        <f t="shared" si="285"/>
        <v/>
      </c>
      <c r="AI168" s="26" t="str">
        <f t="shared" si="285"/>
        <v/>
      </c>
      <c r="AJ168" s="26" t="str">
        <f t="shared" si="285"/>
        <v/>
      </c>
      <c r="AK168" s="26" t="str">
        <f t="shared" si="285"/>
        <v/>
      </c>
      <c r="AL168" s="26" t="str">
        <f t="shared" si="285"/>
        <v/>
      </c>
      <c r="AM168" s="26" t="str">
        <f t="shared" si="285"/>
        <v/>
      </c>
      <c r="AN168" s="26" t="str">
        <f t="shared" si="285"/>
        <v/>
      </c>
      <c r="AO168" s="26" t="str">
        <f t="shared" ref="AO168:AS168" si="286">IF(AO161="","",AN161+AN162-AO161)</f>
        <v/>
      </c>
      <c r="AP168" s="26" t="str">
        <f t="shared" si="286"/>
        <v/>
      </c>
      <c r="AQ168" s="26" t="str">
        <f t="shared" si="286"/>
        <v/>
      </c>
      <c r="AR168" s="26" t="str">
        <f t="shared" si="286"/>
        <v/>
      </c>
      <c r="AS168" s="26" t="str">
        <f t="shared" si="286"/>
        <v/>
      </c>
    </row>
    <row r="169" spans="1:45" s="93" customFormat="1" ht="11">
      <c r="A169" s="7">
        <f>SUM(C169:AS169)</f>
        <v>25740</v>
      </c>
      <c r="B169" s="27" t="s">
        <v>18</v>
      </c>
      <c r="C169" s="65">
        <v>0</v>
      </c>
      <c r="D169" s="26">
        <f t="shared" ref="D169:AN169" si="287">IF(D159="","",D168*D163)</f>
        <v>0</v>
      </c>
      <c r="E169" s="26">
        <f t="shared" si="287"/>
        <v>2860</v>
      </c>
      <c r="F169" s="54">
        <f t="shared" si="287"/>
        <v>0</v>
      </c>
      <c r="G169" s="26">
        <f t="shared" si="287"/>
        <v>0</v>
      </c>
      <c r="H169" s="26">
        <f t="shared" si="287"/>
        <v>3575</v>
      </c>
      <c r="I169" s="54">
        <f t="shared" si="287"/>
        <v>0</v>
      </c>
      <c r="J169" s="26">
        <f t="shared" si="287"/>
        <v>0</v>
      </c>
      <c r="K169" s="26">
        <f t="shared" si="287"/>
        <v>0</v>
      </c>
      <c r="L169" s="26">
        <f t="shared" si="287"/>
        <v>2145</v>
      </c>
      <c r="M169" s="54">
        <f t="shared" si="287"/>
        <v>0</v>
      </c>
      <c r="N169" s="26">
        <f t="shared" si="287"/>
        <v>0</v>
      </c>
      <c r="O169" s="26">
        <f t="shared" si="287"/>
        <v>3575</v>
      </c>
      <c r="P169" s="26">
        <f t="shared" si="287"/>
        <v>0</v>
      </c>
      <c r="Q169" s="26">
        <f t="shared" si="287"/>
        <v>0</v>
      </c>
      <c r="R169" s="26">
        <f t="shared" si="287"/>
        <v>0</v>
      </c>
      <c r="S169" s="26">
        <f t="shared" si="287"/>
        <v>0</v>
      </c>
      <c r="T169" s="26">
        <f t="shared" si="287"/>
        <v>5005</v>
      </c>
      <c r="U169" s="26">
        <f t="shared" si="287"/>
        <v>0</v>
      </c>
      <c r="V169" s="26">
        <f t="shared" si="287"/>
        <v>4290</v>
      </c>
      <c r="W169" s="26">
        <f t="shared" si="287"/>
        <v>0</v>
      </c>
      <c r="X169" s="26">
        <f t="shared" si="287"/>
        <v>0</v>
      </c>
      <c r="Y169" s="26">
        <f t="shared" si="287"/>
        <v>0</v>
      </c>
      <c r="Z169" s="26">
        <f t="shared" si="287"/>
        <v>2860</v>
      </c>
      <c r="AA169" s="26">
        <f t="shared" si="287"/>
        <v>0</v>
      </c>
      <c r="AB169" s="26">
        <f t="shared" si="287"/>
        <v>0</v>
      </c>
      <c r="AC169" s="26">
        <f t="shared" si="287"/>
        <v>1430</v>
      </c>
      <c r="AD169" s="26" t="str">
        <f t="shared" si="287"/>
        <v/>
      </c>
      <c r="AE169" s="26" t="str">
        <f t="shared" si="287"/>
        <v/>
      </c>
      <c r="AF169" s="26" t="str">
        <f t="shared" si="287"/>
        <v/>
      </c>
      <c r="AG169" s="26" t="str">
        <f t="shared" si="287"/>
        <v/>
      </c>
      <c r="AH169" s="26" t="str">
        <f t="shared" si="287"/>
        <v/>
      </c>
      <c r="AI169" s="26" t="str">
        <f t="shared" si="287"/>
        <v/>
      </c>
      <c r="AJ169" s="26" t="str">
        <f t="shared" si="287"/>
        <v/>
      </c>
      <c r="AK169" s="26" t="str">
        <f t="shared" si="287"/>
        <v/>
      </c>
      <c r="AL169" s="26" t="str">
        <f t="shared" si="287"/>
        <v/>
      </c>
      <c r="AM169" s="26" t="str">
        <f t="shared" si="287"/>
        <v/>
      </c>
      <c r="AN169" s="26" t="str">
        <f t="shared" si="287"/>
        <v/>
      </c>
      <c r="AO169" s="26" t="str">
        <f t="shared" ref="AO169:AS169" si="288">IF(AO159="","",AO168*AO163)</f>
        <v/>
      </c>
      <c r="AP169" s="26" t="str">
        <f t="shared" si="288"/>
        <v/>
      </c>
      <c r="AQ169" s="26" t="str">
        <f t="shared" si="288"/>
        <v/>
      </c>
      <c r="AR169" s="26" t="str">
        <f t="shared" si="288"/>
        <v/>
      </c>
      <c r="AS169" s="26" t="str">
        <f t="shared" si="288"/>
        <v/>
      </c>
    </row>
    <row r="170" spans="1:45" s="93" customFormat="1" ht="12" thickBot="1">
      <c r="A170" s="4">
        <f>IF(A169="","",A169/(A166*100))</f>
        <v>6.2384876393601553E-2</v>
      </c>
      <c r="B170" s="24" t="s">
        <v>20</v>
      </c>
      <c r="C170" s="67" t="s">
        <v>21</v>
      </c>
      <c r="D170" s="23" t="str">
        <f t="shared" ref="D170:AN170" si="289">IF(D169="","",IF(D169=0,"",D169/(D166*100)))</f>
        <v/>
      </c>
      <c r="E170" s="23">
        <f t="shared" si="289"/>
        <v>6.7612293144208038E-2</v>
      </c>
      <c r="F170" s="52" t="str">
        <f t="shared" si="289"/>
        <v/>
      </c>
      <c r="G170" s="23" t="str">
        <f t="shared" si="289"/>
        <v/>
      </c>
      <c r="H170" s="23">
        <f t="shared" si="289"/>
        <v>0.12543859649122807</v>
      </c>
      <c r="I170" s="52" t="str">
        <f t="shared" si="289"/>
        <v/>
      </c>
      <c r="J170" s="23" t="str">
        <f t="shared" si="289"/>
        <v/>
      </c>
      <c r="K170" s="23" t="str">
        <f t="shared" si="289"/>
        <v/>
      </c>
      <c r="L170" s="23">
        <f t="shared" si="289"/>
        <v>4.7772828507795101E-2</v>
      </c>
      <c r="M170" s="52" t="str">
        <f t="shared" si="289"/>
        <v/>
      </c>
      <c r="N170" s="23" t="str">
        <f t="shared" si="289"/>
        <v/>
      </c>
      <c r="O170" s="23">
        <f t="shared" si="289"/>
        <v>5.1364942528735635E-2</v>
      </c>
      <c r="P170" s="23" t="str">
        <f t="shared" si="289"/>
        <v/>
      </c>
      <c r="Q170" s="23" t="str">
        <f t="shared" si="289"/>
        <v/>
      </c>
      <c r="R170" s="23" t="str">
        <f t="shared" si="289"/>
        <v/>
      </c>
      <c r="S170" s="23" t="str">
        <f t="shared" si="289"/>
        <v/>
      </c>
      <c r="T170" s="23">
        <f t="shared" si="289"/>
        <v>8.6741767764298094E-2</v>
      </c>
      <c r="U170" s="23" t="str">
        <f t="shared" si="289"/>
        <v/>
      </c>
      <c r="V170" s="23">
        <f t="shared" si="289"/>
        <v>5.7200000000000001E-2</v>
      </c>
      <c r="W170" s="23" t="str">
        <f t="shared" si="289"/>
        <v/>
      </c>
      <c r="X170" s="23" t="str">
        <f t="shared" si="289"/>
        <v/>
      </c>
      <c r="Y170" s="23" t="str">
        <f t="shared" si="289"/>
        <v/>
      </c>
      <c r="Z170" s="23">
        <f t="shared" si="289"/>
        <v>0.10035087719298245</v>
      </c>
      <c r="AA170" s="23" t="str">
        <f t="shared" si="289"/>
        <v/>
      </c>
      <c r="AB170" s="23" t="str">
        <f t="shared" si="289"/>
        <v/>
      </c>
      <c r="AC170" s="23">
        <f t="shared" si="289"/>
        <v>2.1633888048411497E-2</v>
      </c>
      <c r="AD170" s="23" t="str">
        <f t="shared" si="289"/>
        <v/>
      </c>
      <c r="AE170" s="23" t="str">
        <f t="shared" si="289"/>
        <v/>
      </c>
      <c r="AF170" s="23" t="str">
        <f t="shared" si="289"/>
        <v/>
      </c>
      <c r="AG170" s="23" t="str">
        <f t="shared" si="289"/>
        <v/>
      </c>
      <c r="AH170" s="23" t="str">
        <f t="shared" si="289"/>
        <v/>
      </c>
      <c r="AI170" s="23" t="str">
        <f t="shared" si="289"/>
        <v/>
      </c>
      <c r="AJ170" s="23" t="str">
        <f t="shared" si="289"/>
        <v/>
      </c>
      <c r="AK170" s="23" t="str">
        <f t="shared" si="289"/>
        <v/>
      </c>
      <c r="AL170" s="23" t="str">
        <f t="shared" si="289"/>
        <v/>
      </c>
      <c r="AM170" s="23" t="str">
        <f t="shared" si="289"/>
        <v/>
      </c>
      <c r="AN170" s="23" t="str">
        <f t="shared" si="289"/>
        <v/>
      </c>
      <c r="AO170" s="23" t="str">
        <f t="shared" ref="AO170:AS170" si="290">IF(AO169="","",IF(AO169=0,"",AO169/(AO166*100)))</f>
        <v/>
      </c>
      <c r="AP170" s="23" t="str">
        <f t="shared" si="290"/>
        <v/>
      </c>
      <c r="AQ170" s="23" t="str">
        <f t="shared" si="290"/>
        <v/>
      </c>
      <c r="AR170" s="23" t="str">
        <f t="shared" si="290"/>
        <v/>
      </c>
      <c r="AS170" s="23" t="str">
        <f t="shared" si="290"/>
        <v/>
      </c>
    </row>
    <row r="171" spans="1:45" s="93" customFormat="1" ht="11">
      <c r="A171" s="22" t="s">
        <v>101</v>
      </c>
      <c r="B171" s="21" t="s">
        <v>2</v>
      </c>
      <c r="C171" s="73">
        <v>9546</v>
      </c>
      <c r="D171" s="20">
        <f>IF(D$3="","",C171)</f>
        <v>9546</v>
      </c>
      <c r="E171" s="20">
        <v>9582</v>
      </c>
      <c r="F171" s="130">
        <f>IF(F$3="","",E171)</f>
        <v>9582</v>
      </c>
      <c r="G171" s="20">
        <f>IF(G$3="","",F171)</f>
        <v>9582</v>
      </c>
      <c r="H171" s="20">
        <v>9619</v>
      </c>
      <c r="I171" s="130">
        <f t="shared" ref="I171:K172" si="291">IF(I$3="","",H171)</f>
        <v>9619</v>
      </c>
      <c r="J171" s="20">
        <f t="shared" si="291"/>
        <v>9619</v>
      </c>
      <c r="K171" s="20">
        <f t="shared" si="291"/>
        <v>9619</v>
      </c>
      <c r="L171" s="20">
        <v>9640</v>
      </c>
      <c r="M171" s="130">
        <f>IF(M$3="","",L171)</f>
        <v>9640</v>
      </c>
      <c r="N171" s="20">
        <f>IF(N$3="","",M171)</f>
        <v>9640</v>
      </c>
      <c r="O171" s="20">
        <v>9699</v>
      </c>
      <c r="P171" s="20">
        <f t="shared" ref="P171:AN171" si="292">IF(P$3="","",O171)</f>
        <v>9699</v>
      </c>
      <c r="Q171" s="20">
        <f t="shared" si="292"/>
        <v>9699</v>
      </c>
      <c r="R171" s="20">
        <f t="shared" si="292"/>
        <v>9699</v>
      </c>
      <c r="S171" s="20">
        <f t="shared" si="292"/>
        <v>9699</v>
      </c>
      <c r="T171" s="20">
        <v>9721</v>
      </c>
      <c r="U171" s="20">
        <f t="shared" si="292"/>
        <v>9721</v>
      </c>
      <c r="V171" s="20">
        <v>9759</v>
      </c>
      <c r="W171" s="20">
        <f t="shared" si="292"/>
        <v>9759</v>
      </c>
      <c r="X171" s="20">
        <f t="shared" si="292"/>
        <v>9759</v>
      </c>
      <c r="Y171" s="20">
        <f t="shared" si="292"/>
        <v>9759</v>
      </c>
      <c r="Z171" s="20">
        <v>9784</v>
      </c>
      <c r="AA171" s="20">
        <f t="shared" si="292"/>
        <v>9784</v>
      </c>
      <c r="AB171" s="20">
        <f t="shared" si="292"/>
        <v>9784</v>
      </c>
      <c r="AC171" s="20">
        <v>9818</v>
      </c>
      <c r="AD171" s="20" t="str">
        <f t="shared" si="292"/>
        <v/>
      </c>
      <c r="AE171" s="20" t="str">
        <f t="shared" si="292"/>
        <v/>
      </c>
      <c r="AF171" s="20" t="str">
        <f t="shared" si="292"/>
        <v/>
      </c>
      <c r="AG171" s="20" t="str">
        <f t="shared" si="292"/>
        <v/>
      </c>
      <c r="AH171" s="20" t="str">
        <f t="shared" si="292"/>
        <v/>
      </c>
      <c r="AI171" s="20" t="str">
        <f t="shared" si="292"/>
        <v/>
      </c>
      <c r="AJ171" s="20" t="str">
        <f t="shared" si="292"/>
        <v/>
      </c>
      <c r="AK171" s="20" t="str">
        <f t="shared" si="292"/>
        <v/>
      </c>
      <c r="AL171" s="20" t="str">
        <f t="shared" si="292"/>
        <v/>
      </c>
      <c r="AM171" s="20" t="str">
        <f t="shared" si="292"/>
        <v/>
      </c>
      <c r="AN171" s="20" t="str">
        <f t="shared" si="292"/>
        <v/>
      </c>
      <c r="AO171" s="20" t="str">
        <f t="shared" ref="AO171:AS171" si="293">IF(AO$3="","",AN171)</f>
        <v/>
      </c>
      <c r="AP171" s="20" t="str">
        <f t="shared" si="293"/>
        <v/>
      </c>
      <c r="AQ171" s="20" t="str">
        <f t="shared" si="293"/>
        <v/>
      </c>
      <c r="AR171" s="20" t="str">
        <f t="shared" si="293"/>
        <v/>
      </c>
      <c r="AS171" s="20" t="str">
        <f t="shared" si="293"/>
        <v/>
      </c>
    </row>
    <row r="172" spans="1:45" s="93" customFormat="1" ht="11">
      <c r="A172" s="16" t="s">
        <v>46</v>
      </c>
      <c r="B172" s="9" t="s">
        <v>4</v>
      </c>
      <c r="C172" s="74">
        <v>486</v>
      </c>
      <c r="D172" s="8">
        <f>IF(D$3="","",C172)</f>
        <v>486</v>
      </c>
      <c r="E172" s="8">
        <v>487</v>
      </c>
      <c r="F172" s="59">
        <f>IF(F$3="","",E172)</f>
        <v>487</v>
      </c>
      <c r="G172" s="8">
        <f>IF(G$3="","",F172)</f>
        <v>487</v>
      </c>
      <c r="H172" s="8">
        <f>IF(H$3="","",G172)</f>
        <v>487</v>
      </c>
      <c r="I172" s="59">
        <f t="shared" si="291"/>
        <v>487</v>
      </c>
      <c r="J172" s="8">
        <f t="shared" si="291"/>
        <v>487</v>
      </c>
      <c r="K172" s="8">
        <f t="shared" si="291"/>
        <v>487</v>
      </c>
      <c r="L172" s="8">
        <v>488</v>
      </c>
      <c r="M172" s="59">
        <f>IF(M$3="","",L172)</f>
        <v>488</v>
      </c>
      <c r="N172" s="8">
        <f>IF(N$3="","",M172)</f>
        <v>488</v>
      </c>
      <c r="O172" s="8">
        <f>IF(O$3="","",N172)</f>
        <v>488</v>
      </c>
      <c r="P172" s="8">
        <f t="shared" ref="P172:AN172" si="294">IF(P$3="","",O172)</f>
        <v>488</v>
      </c>
      <c r="Q172" s="8">
        <f t="shared" si="294"/>
        <v>488</v>
      </c>
      <c r="R172" s="8">
        <f t="shared" si="294"/>
        <v>488</v>
      </c>
      <c r="S172" s="8">
        <f t="shared" si="294"/>
        <v>488</v>
      </c>
      <c r="T172" s="8">
        <f t="shared" si="294"/>
        <v>488</v>
      </c>
      <c r="U172" s="8">
        <f t="shared" si="294"/>
        <v>488</v>
      </c>
      <c r="V172" s="8">
        <v>489</v>
      </c>
      <c r="W172" s="8">
        <f t="shared" si="294"/>
        <v>489</v>
      </c>
      <c r="X172" s="8">
        <f t="shared" si="294"/>
        <v>489</v>
      </c>
      <c r="Y172" s="8">
        <f t="shared" si="294"/>
        <v>489</v>
      </c>
      <c r="Z172" s="8">
        <f t="shared" si="294"/>
        <v>489</v>
      </c>
      <c r="AA172" s="8">
        <f t="shared" si="294"/>
        <v>489</v>
      </c>
      <c r="AB172" s="8">
        <f t="shared" si="294"/>
        <v>489</v>
      </c>
      <c r="AC172" s="8">
        <f t="shared" si="294"/>
        <v>489</v>
      </c>
      <c r="AD172" s="8" t="str">
        <f t="shared" si="294"/>
        <v/>
      </c>
      <c r="AE172" s="8" t="str">
        <f t="shared" si="294"/>
        <v/>
      </c>
      <c r="AF172" s="8" t="str">
        <f t="shared" si="294"/>
        <v/>
      </c>
      <c r="AG172" s="8" t="str">
        <f t="shared" si="294"/>
        <v/>
      </c>
      <c r="AH172" s="8" t="str">
        <f t="shared" si="294"/>
        <v/>
      </c>
      <c r="AI172" s="8" t="str">
        <f t="shared" si="294"/>
        <v/>
      </c>
      <c r="AJ172" s="8" t="str">
        <f t="shared" si="294"/>
        <v/>
      </c>
      <c r="AK172" s="8" t="str">
        <f t="shared" si="294"/>
        <v/>
      </c>
      <c r="AL172" s="8" t="str">
        <f t="shared" si="294"/>
        <v/>
      </c>
      <c r="AM172" s="8" t="str">
        <f t="shared" si="294"/>
        <v/>
      </c>
      <c r="AN172" s="8" t="str">
        <f t="shared" si="294"/>
        <v/>
      </c>
      <c r="AO172" s="8" t="str">
        <f t="shared" ref="AO172:AS172" si="295">IF(AO$3="","",AN172)</f>
        <v/>
      </c>
      <c r="AP172" s="8" t="str">
        <f t="shared" si="295"/>
        <v/>
      </c>
      <c r="AQ172" s="8" t="str">
        <f t="shared" si="295"/>
        <v/>
      </c>
      <c r="AR172" s="8" t="str">
        <f t="shared" si="295"/>
        <v/>
      </c>
      <c r="AS172" s="8" t="str">
        <f t="shared" si="295"/>
        <v/>
      </c>
    </row>
    <row r="173" spans="1:45" s="93" customFormat="1" ht="11">
      <c r="A173" s="15">
        <v>1</v>
      </c>
      <c r="B173" s="9" t="s">
        <v>5</v>
      </c>
      <c r="C173" s="74">
        <v>5</v>
      </c>
      <c r="D173" s="8">
        <f>IF(D171="","",(C173+C174))</f>
        <v>5</v>
      </c>
      <c r="E173" s="8">
        <v>4</v>
      </c>
      <c r="F173" s="59">
        <f t="shared" ref="F173:K173" si="296">IF(F171="","",(E173+E174))</f>
        <v>6</v>
      </c>
      <c r="G173" s="8">
        <f t="shared" si="296"/>
        <v>6</v>
      </c>
      <c r="H173" s="8">
        <f t="shared" si="296"/>
        <v>6</v>
      </c>
      <c r="I173" s="59">
        <f t="shared" si="296"/>
        <v>6</v>
      </c>
      <c r="J173" s="8">
        <f t="shared" si="296"/>
        <v>6</v>
      </c>
      <c r="K173" s="8">
        <f t="shared" si="296"/>
        <v>6</v>
      </c>
      <c r="L173" s="8">
        <v>5</v>
      </c>
      <c r="M173" s="59">
        <f t="shared" ref="M173:AN173" si="297">IF(M171="","",(L173+L174))</f>
        <v>5</v>
      </c>
      <c r="N173" s="8">
        <f t="shared" si="297"/>
        <v>5</v>
      </c>
      <c r="O173" s="8">
        <f t="shared" si="297"/>
        <v>5</v>
      </c>
      <c r="P173" s="8">
        <f t="shared" si="297"/>
        <v>5</v>
      </c>
      <c r="Q173" s="8">
        <f t="shared" si="297"/>
        <v>5</v>
      </c>
      <c r="R173" s="8">
        <f t="shared" si="297"/>
        <v>5</v>
      </c>
      <c r="S173" s="8">
        <f t="shared" si="297"/>
        <v>5</v>
      </c>
      <c r="T173" s="8">
        <f t="shared" si="297"/>
        <v>5</v>
      </c>
      <c r="U173" s="8">
        <f t="shared" si="297"/>
        <v>5</v>
      </c>
      <c r="V173" s="8">
        <v>4</v>
      </c>
      <c r="W173" s="8">
        <f t="shared" si="297"/>
        <v>4</v>
      </c>
      <c r="X173" s="8">
        <f t="shared" si="297"/>
        <v>4</v>
      </c>
      <c r="Y173" s="8">
        <f t="shared" si="297"/>
        <v>4</v>
      </c>
      <c r="Z173" s="8">
        <f t="shared" si="297"/>
        <v>4</v>
      </c>
      <c r="AA173" s="8">
        <f t="shared" si="297"/>
        <v>6</v>
      </c>
      <c r="AB173" s="8">
        <f t="shared" si="297"/>
        <v>6</v>
      </c>
      <c r="AC173" s="8">
        <f t="shared" si="297"/>
        <v>6</v>
      </c>
      <c r="AD173" s="8" t="str">
        <f t="shared" si="297"/>
        <v/>
      </c>
      <c r="AE173" s="8" t="str">
        <f t="shared" si="297"/>
        <v/>
      </c>
      <c r="AF173" s="8" t="str">
        <f t="shared" si="297"/>
        <v/>
      </c>
      <c r="AG173" s="8" t="str">
        <f t="shared" si="297"/>
        <v/>
      </c>
      <c r="AH173" s="8" t="str">
        <f t="shared" si="297"/>
        <v/>
      </c>
      <c r="AI173" s="8" t="str">
        <f t="shared" si="297"/>
        <v/>
      </c>
      <c r="AJ173" s="8" t="str">
        <f t="shared" si="297"/>
        <v/>
      </c>
      <c r="AK173" s="8" t="str">
        <f t="shared" si="297"/>
        <v/>
      </c>
      <c r="AL173" s="8" t="str">
        <f t="shared" si="297"/>
        <v/>
      </c>
      <c r="AM173" s="8" t="str">
        <f t="shared" si="297"/>
        <v/>
      </c>
      <c r="AN173" s="8" t="str">
        <f t="shared" si="297"/>
        <v/>
      </c>
      <c r="AO173" s="8" t="str">
        <f t="shared" ref="AO173:AS173" si="298">IF(AO171="","",(AN173+AN174))</f>
        <v/>
      </c>
      <c r="AP173" s="8" t="str">
        <f t="shared" si="298"/>
        <v/>
      </c>
      <c r="AQ173" s="8" t="str">
        <f t="shared" si="298"/>
        <v/>
      </c>
      <c r="AR173" s="8" t="str">
        <f t="shared" si="298"/>
        <v/>
      </c>
      <c r="AS173" s="8" t="str">
        <f t="shared" si="298"/>
        <v/>
      </c>
    </row>
    <row r="174" spans="1:45" s="93" customFormat="1" ht="11">
      <c r="A174" s="101" t="s">
        <v>6</v>
      </c>
      <c r="B174" s="9" t="s">
        <v>7</v>
      </c>
      <c r="C174" s="74"/>
      <c r="D174" s="8"/>
      <c r="E174" s="8">
        <v>2</v>
      </c>
      <c r="F174" s="59"/>
      <c r="G174" s="8"/>
      <c r="H174" s="8"/>
      <c r="I174" s="59"/>
      <c r="J174" s="8"/>
      <c r="K174" s="8"/>
      <c r="L174" s="8"/>
      <c r="M174" s="59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>
        <v>2</v>
      </c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</row>
    <row r="175" spans="1:45" s="93" customFormat="1" ht="11">
      <c r="A175" s="102">
        <f>+(A178+A190+A202+A214)*100</f>
        <v>127600</v>
      </c>
      <c r="B175" s="9" t="s">
        <v>8</v>
      </c>
      <c r="C175" s="74">
        <v>750</v>
      </c>
      <c r="D175" s="8">
        <f t="shared" ref="D175:AN175" si="299">IF(D171="","",C175)</f>
        <v>750</v>
      </c>
      <c r="E175" s="8">
        <f t="shared" si="299"/>
        <v>750</v>
      </c>
      <c r="F175" s="59">
        <f t="shared" si="299"/>
        <v>750</v>
      </c>
      <c r="G175" s="8">
        <f t="shared" si="299"/>
        <v>750</v>
      </c>
      <c r="H175" s="8">
        <f t="shared" si="299"/>
        <v>750</v>
      </c>
      <c r="I175" s="59">
        <f t="shared" si="299"/>
        <v>750</v>
      </c>
      <c r="J175" s="8">
        <f t="shared" si="299"/>
        <v>750</v>
      </c>
      <c r="K175" s="8">
        <f t="shared" si="299"/>
        <v>750</v>
      </c>
      <c r="L175" s="8">
        <f t="shared" si="299"/>
        <v>750</v>
      </c>
      <c r="M175" s="59">
        <f t="shared" si="299"/>
        <v>750</v>
      </c>
      <c r="N175" s="8">
        <f t="shared" si="299"/>
        <v>750</v>
      </c>
      <c r="O175" s="8">
        <f t="shared" si="299"/>
        <v>750</v>
      </c>
      <c r="P175" s="8">
        <f t="shared" si="299"/>
        <v>750</v>
      </c>
      <c r="Q175" s="8">
        <f t="shared" si="299"/>
        <v>750</v>
      </c>
      <c r="R175" s="8">
        <f t="shared" si="299"/>
        <v>750</v>
      </c>
      <c r="S175" s="8">
        <f t="shared" si="299"/>
        <v>750</v>
      </c>
      <c r="T175" s="8">
        <f t="shared" si="299"/>
        <v>750</v>
      </c>
      <c r="U175" s="8">
        <f t="shared" si="299"/>
        <v>750</v>
      </c>
      <c r="V175" s="8">
        <f t="shared" si="299"/>
        <v>750</v>
      </c>
      <c r="W175" s="8">
        <f t="shared" si="299"/>
        <v>750</v>
      </c>
      <c r="X175" s="8">
        <f t="shared" si="299"/>
        <v>750</v>
      </c>
      <c r="Y175" s="8">
        <f t="shared" si="299"/>
        <v>750</v>
      </c>
      <c r="Z175" s="8">
        <f t="shared" si="299"/>
        <v>750</v>
      </c>
      <c r="AA175" s="8">
        <f t="shared" si="299"/>
        <v>750</v>
      </c>
      <c r="AB175" s="8">
        <f t="shared" si="299"/>
        <v>750</v>
      </c>
      <c r="AC175" s="8">
        <f t="shared" si="299"/>
        <v>750</v>
      </c>
      <c r="AD175" s="8" t="str">
        <f t="shared" si="299"/>
        <v/>
      </c>
      <c r="AE175" s="8" t="str">
        <f t="shared" si="299"/>
        <v/>
      </c>
      <c r="AF175" s="8" t="str">
        <f t="shared" si="299"/>
        <v/>
      </c>
      <c r="AG175" s="8" t="str">
        <f t="shared" si="299"/>
        <v/>
      </c>
      <c r="AH175" s="8" t="str">
        <f t="shared" si="299"/>
        <v/>
      </c>
      <c r="AI175" s="8" t="str">
        <f t="shared" si="299"/>
        <v/>
      </c>
      <c r="AJ175" s="8" t="str">
        <f t="shared" si="299"/>
        <v/>
      </c>
      <c r="AK175" s="8" t="str">
        <f t="shared" si="299"/>
        <v/>
      </c>
      <c r="AL175" s="8" t="str">
        <f t="shared" si="299"/>
        <v/>
      </c>
      <c r="AM175" s="8" t="str">
        <f t="shared" si="299"/>
        <v/>
      </c>
      <c r="AN175" s="8" t="str">
        <f t="shared" si="299"/>
        <v/>
      </c>
      <c r="AO175" s="8" t="str">
        <f t="shared" ref="AO175:AS175" si="300">IF(AO171="","",AN175)</f>
        <v/>
      </c>
      <c r="AP175" s="8" t="str">
        <f t="shared" si="300"/>
        <v/>
      </c>
      <c r="AQ175" s="8" t="str">
        <f t="shared" si="300"/>
        <v/>
      </c>
      <c r="AR175" s="8" t="str">
        <f t="shared" si="300"/>
        <v/>
      </c>
      <c r="AS175" s="8" t="str">
        <f t="shared" si="300"/>
        <v/>
      </c>
    </row>
    <row r="176" spans="1:45" s="94" customFormat="1" ht="11">
      <c r="A176" s="14" t="s">
        <v>9</v>
      </c>
      <c r="B176" s="13" t="s">
        <v>10</v>
      </c>
      <c r="C176" s="75" t="s">
        <v>88</v>
      </c>
      <c r="D176" s="12" t="str">
        <f t="shared" ref="D176:AN176" si="301">IF(D171="","",C176)</f>
        <v>ギャルキティMC</v>
      </c>
      <c r="E176" s="12" t="str">
        <f t="shared" si="301"/>
        <v>ギャルキティMC</v>
      </c>
      <c r="F176" s="131" t="str">
        <f t="shared" si="301"/>
        <v>ギャルキティMC</v>
      </c>
      <c r="G176" s="12" t="str">
        <f t="shared" si="301"/>
        <v>ギャルキティMC</v>
      </c>
      <c r="H176" s="12" t="str">
        <f t="shared" si="301"/>
        <v>ギャルキティMC</v>
      </c>
      <c r="I176" s="131" t="str">
        <f t="shared" si="301"/>
        <v>ギャルキティMC</v>
      </c>
      <c r="J176" s="12" t="str">
        <f t="shared" si="301"/>
        <v>ギャルキティMC</v>
      </c>
      <c r="K176" s="12" t="str">
        <f t="shared" si="301"/>
        <v>ギャルキティMC</v>
      </c>
      <c r="L176" s="12" t="str">
        <f t="shared" si="301"/>
        <v>ギャルキティMC</v>
      </c>
      <c r="M176" s="131" t="str">
        <f t="shared" si="301"/>
        <v>ギャルキティMC</v>
      </c>
      <c r="N176" s="12" t="str">
        <f t="shared" si="301"/>
        <v>ギャルキティMC</v>
      </c>
      <c r="O176" s="12" t="str">
        <f t="shared" si="301"/>
        <v>ギャルキティMC</v>
      </c>
      <c r="P176" s="12" t="str">
        <f t="shared" si="301"/>
        <v>ギャルキティMC</v>
      </c>
      <c r="Q176" s="12" t="str">
        <f t="shared" si="301"/>
        <v>ギャルキティMC</v>
      </c>
      <c r="R176" s="12" t="str">
        <f t="shared" si="301"/>
        <v>ギャルキティMC</v>
      </c>
      <c r="S176" s="12" t="str">
        <f t="shared" si="301"/>
        <v>ギャルキティMC</v>
      </c>
      <c r="T176" s="12" t="str">
        <f t="shared" si="301"/>
        <v>ギャルキティMC</v>
      </c>
      <c r="U176" s="12" t="str">
        <f t="shared" si="301"/>
        <v>ギャルキティMC</v>
      </c>
      <c r="V176" s="12" t="str">
        <f t="shared" si="301"/>
        <v>ギャルキティMC</v>
      </c>
      <c r="W176" s="12" t="str">
        <f t="shared" si="301"/>
        <v>ギャルキティMC</v>
      </c>
      <c r="X176" s="12" t="str">
        <f t="shared" si="301"/>
        <v>ギャルキティMC</v>
      </c>
      <c r="Y176" s="12" t="str">
        <f t="shared" si="301"/>
        <v>ギャルキティMC</v>
      </c>
      <c r="Z176" s="12" t="str">
        <f t="shared" si="301"/>
        <v>ギャルキティMC</v>
      </c>
      <c r="AA176" s="12" t="str">
        <f t="shared" si="301"/>
        <v>ギャルキティMC</v>
      </c>
      <c r="AB176" s="12" t="str">
        <f t="shared" si="301"/>
        <v>ギャルキティMC</v>
      </c>
      <c r="AC176" s="12" t="str">
        <f t="shared" si="301"/>
        <v>ギャルキティMC</v>
      </c>
      <c r="AD176" s="12" t="str">
        <f t="shared" si="301"/>
        <v/>
      </c>
      <c r="AE176" s="12" t="str">
        <f t="shared" si="301"/>
        <v/>
      </c>
      <c r="AF176" s="12" t="str">
        <f t="shared" si="301"/>
        <v/>
      </c>
      <c r="AG176" s="12" t="str">
        <f t="shared" si="301"/>
        <v/>
      </c>
      <c r="AH176" s="12" t="str">
        <f t="shared" si="301"/>
        <v/>
      </c>
      <c r="AI176" s="12" t="str">
        <f t="shared" si="301"/>
        <v/>
      </c>
      <c r="AJ176" s="12" t="str">
        <f t="shared" si="301"/>
        <v/>
      </c>
      <c r="AK176" s="12" t="str">
        <f t="shared" si="301"/>
        <v/>
      </c>
      <c r="AL176" s="12" t="str">
        <f t="shared" si="301"/>
        <v/>
      </c>
      <c r="AM176" s="12" t="str">
        <f t="shared" si="301"/>
        <v/>
      </c>
      <c r="AN176" s="12" t="str">
        <f t="shared" si="301"/>
        <v/>
      </c>
      <c r="AO176" s="12" t="str">
        <f t="shared" ref="AO176:AS176" si="302">IF(AO171="","",AN176)</f>
        <v/>
      </c>
      <c r="AP176" s="12" t="str">
        <f t="shared" si="302"/>
        <v/>
      </c>
      <c r="AQ176" s="12" t="str">
        <f t="shared" si="302"/>
        <v/>
      </c>
      <c r="AR176" s="12" t="str">
        <f t="shared" si="302"/>
        <v/>
      </c>
      <c r="AS176" s="12" t="str">
        <f t="shared" si="302"/>
        <v/>
      </c>
    </row>
    <row r="177" spans="1:45" s="93" customFormat="1" ht="11">
      <c r="A177" s="7">
        <f>AVERAGE(C178:AS178)*30*100</f>
        <v>30222.222222222223</v>
      </c>
      <c r="B177" s="9" t="s">
        <v>14</v>
      </c>
      <c r="C177" s="74"/>
      <c r="D177" s="8"/>
      <c r="E177" s="8"/>
      <c r="F177" s="59"/>
      <c r="G177" s="8"/>
      <c r="H177" s="8"/>
      <c r="I177" s="59"/>
      <c r="J177" s="8"/>
      <c r="K177" s="8"/>
      <c r="L177" s="8"/>
      <c r="M177" s="59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</row>
    <row r="178" spans="1:45" s="93" customFormat="1" ht="11">
      <c r="A178" s="7">
        <f>SUM(C178:AS178)</f>
        <v>272</v>
      </c>
      <c r="B178" s="6" t="s">
        <v>15</v>
      </c>
      <c r="C178" s="74">
        <v>0</v>
      </c>
      <c r="D178" s="5">
        <f t="shared" ref="D178:AN178" si="303">IF(D171="","",D171-C171)</f>
        <v>0</v>
      </c>
      <c r="E178" s="5">
        <f t="shared" si="303"/>
        <v>36</v>
      </c>
      <c r="F178" s="59">
        <f t="shared" si="303"/>
        <v>0</v>
      </c>
      <c r="G178" s="5">
        <f t="shared" si="303"/>
        <v>0</v>
      </c>
      <c r="H178" s="5">
        <f t="shared" si="303"/>
        <v>37</v>
      </c>
      <c r="I178" s="59">
        <f t="shared" si="303"/>
        <v>0</v>
      </c>
      <c r="J178" s="5">
        <f t="shared" si="303"/>
        <v>0</v>
      </c>
      <c r="K178" s="5">
        <f t="shared" si="303"/>
        <v>0</v>
      </c>
      <c r="L178" s="5">
        <f t="shared" si="303"/>
        <v>21</v>
      </c>
      <c r="M178" s="59">
        <f t="shared" si="303"/>
        <v>0</v>
      </c>
      <c r="N178" s="5">
        <f t="shared" si="303"/>
        <v>0</v>
      </c>
      <c r="O178" s="5">
        <f t="shared" si="303"/>
        <v>59</v>
      </c>
      <c r="P178" s="5">
        <f t="shared" si="303"/>
        <v>0</v>
      </c>
      <c r="Q178" s="5">
        <f t="shared" si="303"/>
        <v>0</v>
      </c>
      <c r="R178" s="5">
        <f t="shared" si="303"/>
        <v>0</v>
      </c>
      <c r="S178" s="5">
        <f t="shared" si="303"/>
        <v>0</v>
      </c>
      <c r="T178" s="5">
        <f t="shared" si="303"/>
        <v>22</v>
      </c>
      <c r="U178" s="5">
        <f t="shared" si="303"/>
        <v>0</v>
      </c>
      <c r="V178" s="5">
        <f t="shared" si="303"/>
        <v>38</v>
      </c>
      <c r="W178" s="5">
        <f t="shared" si="303"/>
        <v>0</v>
      </c>
      <c r="X178" s="5">
        <f t="shared" si="303"/>
        <v>0</v>
      </c>
      <c r="Y178" s="5">
        <f t="shared" si="303"/>
        <v>0</v>
      </c>
      <c r="Z178" s="5">
        <f t="shared" si="303"/>
        <v>25</v>
      </c>
      <c r="AA178" s="5">
        <f t="shared" si="303"/>
        <v>0</v>
      </c>
      <c r="AB178" s="5">
        <f t="shared" si="303"/>
        <v>0</v>
      </c>
      <c r="AC178" s="5">
        <f t="shared" si="303"/>
        <v>34</v>
      </c>
      <c r="AD178" s="5" t="str">
        <f t="shared" si="303"/>
        <v/>
      </c>
      <c r="AE178" s="5" t="str">
        <f t="shared" si="303"/>
        <v/>
      </c>
      <c r="AF178" s="5" t="str">
        <f t="shared" si="303"/>
        <v/>
      </c>
      <c r="AG178" s="5" t="str">
        <f t="shared" si="303"/>
        <v/>
      </c>
      <c r="AH178" s="5" t="str">
        <f t="shared" si="303"/>
        <v/>
      </c>
      <c r="AI178" s="5" t="str">
        <f t="shared" si="303"/>
        <v/>
      </c>
      <c r="AJ178" s="5" t="str">
        <f t="shared" si="303"/>
        <v/>
      </c>
      <c r="AK178" s="5" t="str">
        <f t="shared" si="303"/>
        <v/>
      </c>
      <c r="AL178" s="5" t="str">
        <f t="shared" si="303"/>
        <v/>
      </c>
      <c r="AM178" s="5" t="str">
        <f t="shared" si="303"/>
        <v/>
      </c>
      <c r="AN178" s="5" t="str">
        <f t="shared" si="303"/>
        <v/>
      </c>
      <c r="AO178" s="5" t="str">
        <f t="shared" ref="AO178:AS178" si="304">IF(AO171="","",AO171-AN171)</f>
        <v/>
      </c>
      <c r="AP178" s="5" t="str">
        <f t="shared" si="304"/>
        <v/>
      </c>
      <c r="AQ178" s="5" t="str">
        <f t="shared" si="304"/>
        <v/>
      </c>
      <c r="AR178" s="5" t="str">
        <f t="shared" si="304"/>
        <v/>
      </c>
      <c r="AS178" s="5" t="str">
        <f t="shared" si="304"/>
        <v/>
      </c>
    </row>
    <row r="179" spans="1:45" s="93" customFormat="1" ht="11">
      <c r="A179" s="7">
        <f>SUM(C179:AS179)</f>
        <v>3</v>
      </c>
      <c r="B179" s="6" t="s">
        <v>16</v>
      </c>
      <c r="C179" s="74">
        <v>0</v>
      </c>
      <c r="D179" s="5">
        <f t="shared" ref="D179:AN179" si="305">IF(D172="","",D172-C172)</f>
        <v>0</v>
      </c>
      <c r="E179" s="5">
        <f t="shared" si="305"/>
        <v>1</v>
      </c>
      <c r="F179" s="59">
        <f t="shared" si="305"/>
        <v>0</v>
      </c>
      <c r="G179" s="5">
        <f t="shared" si="305"/>
        <v>0</v>
      </c>
      <c r="H179" s="5">
        <f t="shared" si="305"/>
        <v>0</v>
      </c>
      <c r="I179" s="59">
        <f t="shared" si="305"/>
        <v>0</v>
      </c>
      <c r="J179" s="5">
        <f t="shared" si="305"/>
        <v>0</v>
      </c>
      <c r="K179" s="5">
        <f t="shared" si="305"/>
        <v>0</v>
      </c>
      <c r="L179" s="5">
        <f t="shared" si="305"/>
        <v>1</v>
      </c>
      <c r="M179" s="59">
        <f t="shared" si="305"/>
        <v>0</v>
      </c>
      <c r="N179" s="5">
        <f t="shared" si="305"/>
        <v>0</v>
      </c>
      <c r="O179" s="5">
        <f t="shared" si="305"/>
        <v>0</v>
      </c>
      <c r="P179" s="5">
        <f t="shared" si="305"/>
        <v>0</v>
      </c>
      <c r="Q179" s="5">
        <f t="shared" si="305"/>
        <v>0</v>
      </c>
      <c r="R179" s="5">
        <f t="shared" si="305"/>
        <v>0</v>
      </c>
      <c r="S179" s="5">
        <f t="shared" si="305"/>
        <v>0</v>
      </c>
      <c r="T179" s="5">
        <f t="shared" si="305"/>
        <v>0</v>
      </c>
      <c r="U179" s="5">
        <f t="shared" si="305"/>
        <v>0</v>
      </c>
      <c r="V179" s="5">
        <f t="shared" si="305"/>
        <v>1</v>
      </c>
      <c r="W179" s="5">
        <f t="shared" si="305"/>
        <v>0</v>
      </c>
      <c r="X179" s="5">
        <f t="shared" si="305"/>
        <v>0</v>
      </c>
      <c r="Y179" s="5">
        <f t="shared" si="305"/>
        <v>0</v>
      </c>
      <c r="Z179" s="5">
        <f t="shared" si="305"/>
        <v>0</v>
      </c>
      <c r="AA179" s="5">
        <f t="shared" si="305"/>
        <v>0</v>
      </c>
      <c r="AB179" s="5">
        <f t="shared" si="305"/>
        <v>0</v>
      </c>
      <c r="AC179" s="5">
        <f t="shared" si="305"/>
        <v>0</v>
      </c>
      <c r="AD179" s="5" t="str">
        <f t="shared" si="305"/>
        <v/>
      </c>
      <c r="AE179" s="5" t="str">
        <f t="shared" si="305"/>
        <v/>
      </c>
      <c r="AF179" s="5" t="str">
        <f t="shared" si="305"/>
        <v/>
      </c>
      <c r="AG179" s="5" t="str">
        <f t="shared" si="305"/>
        <v/>
      </c>
      <c r="AH179" s="5" t="str">
        <f t="shared" si="305"/>
        <v/>
      </c>
      <c r="AI179" s="5" t="str">
        <f t="shared" si="305"/>
        <v/>
      </c>
      <c r="AJ179" s="5" t="str">
        <f t="shared" si="305"/>
        <v/>
      </c>
      <c r="AK179" s="5" t="str">
        <f t="shared" si="305"/>
        <v/>
      </c>
      <c r="AL179" s="5" t="str">
        <f t="shared" si="305"/>
        <v/>
      </c>
      <c r="AM179" s="5" t="str">
        <f t="shared" si="305"/>
        <v/>
      </c>
      <c r="AN179" s="5" t="str">
        <f t="shared" si="305"/>
        <v/>
      </c>
      <c r="AO179" s="5" t="str">
        <f t="shared" ref="AO179:AS179" si="306">IF(AO172="","",AO172-AN172)</f>
        <v/>
      </c>
      <c r="AP179" s="5" t="str">
        <f t="shared" si="306"/>
        <v/>
      </c>
      <c r="AQ179" s="5" t="str">
        <f t="shared" si="306"/>
        <v/>
      </c>
      <c r="AR179" s="5" t="str">
        <f t="shared" si="306"/>
        <v/>
      </c>
      <c r="AS179" s="5" t="str">
        <f t="shared" si="306"/>
        <v/>
      </c>
    </row>
    <row r="180" spans="1:45" s="93" customFormat="1" ht="11">
      <c r="A180" s="7">
        <f>SUM(C180:AS180)</f>
        <v>3</v>
      </c>
      <c r="B180" s="6" t="s">
        <v>17</v>
      </c>
      <c r="C180" s="74">
        <v>0</v>
      </c>
      <c r="D180" s="5">
        <f t="shared" ref="D180:AN180" si="307">IF(D173="","",C173+C174-D173)</f>
        <v>0</v>
      </c>
      <c r="E180" s="5">
        <f t="shared" si="307"/>
        <v>1</v>
      </c>
      <c r="F180" s="59">
        <f t="shared" si="307"/>
        <v>0</v>
      </c>
      <c r="G180" s="5">
        <f t="shared" si="307"/>
        <v>0</v>
      </c>
      <c r="H180" s="5">
        <f t="shared" si="307"/>
        <v>0</v>
      </c>
      <c r="I180" s="59">
        <f t="shared" si="307"/>
        <v>0</v>
      </c>
      <c r="J180" s="5">
        <f t="shared" si="307"/>
        <v>0</v>
      </c>
      <c r="K180" s="5">
        <f t="shared" si="307"/>
        <v>0</v>
      </c>
      <c r="L180" s="5">
        <f t="shared" si="307"/>
        <v>1</v>
      </c>
      <c r="M180" s="59">
        <f t="shared" si="307"/>
        <v>0</v>
      </c>
      <c r="N180" s="5">
        <f t="shared" si="307"/>
        <v>0</v>
      </c>
      <c r="O180" s="5">
        <f t="shared" si="307"/>
        <v>0</v>
      </c>
      <c r="P180" s="5">
        <f t="shared" si="307"/>
        <v>0</v>
      </c>
      <c r="Q180" s="5">
        <f t="shared" si="307"/>
        <v>0</v>
      </c>
      <c r="R180" s="5">
        <f t="shared" si="307"/>
        <v>0</v>
      </c>
      <c r="S180" s="5">
        <f t="shared" si="307"/>
        <v>0</v>
      </c>
      <c r="T180" s="5">
        <f t="shared" si="307"/>
        <v>0</v>
      </c>
      <c r="U180" s="5">
        <f t="shared" si="307"/>
        <v>0</v>
      </c>
      <c r="V180" s="5">
        <f t="shared" si="307"/>
        <v>1</v>
      </c>
      <c r="W180" s="5">
        <f t="shared" si="307"/>
        <v>0</v>
      </c>
      <c r="X180" s="5">
        <f t="shared" si="307"/>
        <v>0</v>
      </c>
      <c r="Y180" s="5">
        <f t="shared" si="307"/>
        <v>0</v>
      </c>
      <c r="Z180" s="5">
        <f t="shared" si="307"/>
        <v>0</v>
      </c>
      <c r="AA180" s="5">
        <f t="shared" si="307"/>
        <v>0</v>
      </c>
      <c r="AB180" s="5">
        <f t="shared" si="307"/>
        <v>0</v>
      </c>
      <c r="AC180" s="5">
        <f t="shared" si="307"/>
        <v>0</v>
      </c>
      <c r="AD180" s="5" t="str">
        <f t="shared" si="307"/>
        <v/>
      </c>
      <c r="AE180" s="5" t="str">
        <f t="shared" si="307"/>
        <v/>
      </c>
      <c r="AF180" s="5" t="str">
        <f t="shared" si="307"/>
        <v/>
      </c>
      <c r="AG180" s="5" t="str">
        <f t="shared" si="307"/>
        <v/>
      </c>
      <c r="AH180" s="5" t="str">
        <f t="shared" si="307"/>
        <v/>
      </c>
      <c r="AI180" s="5" t="str">
        <f t="shared" si="307"/>
        <v/>
      </c>
      <c r="AJ180" s="5" t="str">
        <f t="shared" si="307"/>
        <v/>
      </c>
      <c r="AK180" s="5" t="str">
        <f t="shared" si="307"/>
        <v/>
      </c>
      <c r="AL180" s="5" t="str">
        <f t="shared" si="307"/>
        <v/>
      </c>
      <c r="AM180" s="5" t="str">
        <f t="shared" si="307"/>
        <v/>
      </c>
      <c r="AN180" s="5" t="str">
        <f t="shared" si="307"/>
        <v/>
      </c>
      <c r="AO180" s="5" t="str">
        <f t="shared" ref="AO180:AS180" si="308">IF(AO173="","",AN173+AN174-AO173)</f>
        <v/>
      </c>
      <c r="AP180" s="5" t="str">
        <f t="shared" si="308"/>
        <v/>
      </c>
      <c r="AQ180" s="5" t="str">
        <f t="shared" si="308"/>
        <v/>
      </c>
      <c r="AR180" s="5" t="str">
        <f t="shared" si="308"/>
        <v/>
      </c>
      <c r="AS180" s="5" t="str">
        <f t="shared" si="308"/>
        <v/>
      </c>
    </row>
    <row r="181" spans="1:45" s="93" customFormat="1" ht="11">
      <c r="A181" s="7">
        <f>SUM(C181:AS181)</f>
        <v>2250</v>
      </c>
      <c r="B181" s="6" t="s">
        <v>18</v>
      </c>
      <c r="C181" s="74">
        <v>0</v>
      </c>
      <c r="D181" s="5">
        <f t="shared" ref="D181:AN181" si="309">IF(D171="","",D180*D175)</f>
        <v>0</v>
      </c>
      <c r="E181" s="5">
        <f t="shared" si="309"/>
        <v>750</v>
      </c>
      <c r="F181" s="59">
        <f t="shared" si="309"/>
        <v>0</v>
      </c>
      <c r="G181" s="5">
        <f t="shared" si="309"/>
        <v>0</v>
      </c>
      <c r="H181" s="5">
        <f t="shared" si="309"/>
        <v>0</v>
      </c>
      <c r="I181" s="59">
        <f t="shared" si="309"/>
        <v>0</v>
      </c>
      <c r="J181" s="5">
        <f t="shared" si="309"/>
        <v>0</v>
      </c>
      <c r="K181" s="5">
        <f t="shared" si="309"/>
        <v>0</v>
      </c>
      <c r="L181" s="5">
        <f t="shared" si="309"/>
        <v>750</v>
      </c>
      <c r="M181" s="59">
        <f t="shared" si="309"/>
        <v>0</v>
      </c>
      <c r="N181" s="5">
        <f t="shared" si="309"/>
        <v>0</v>
      </c>
      <c r="O181" s="5">
        <f t="shared" si="309"/>
        <v>0</v>
      </c>
      <c r="P181" s="5">
        <f t="shared" si="309"/>
        <v>0</v>
      </c>
      <c r="Q181" s="5">
        <f t="shared" si="309"/>
        <v>0</v>
      </c>
      <c r="R181" s="5">
        <f t="shared" si="309"/>
        <v>0</v>
      </c>
      <c r="S181" s="5">
        <f t="shared" si="309"/>
        <v>0</v>
      </c>
      <c r="T181" s="5">
        <f t="shared" si="309"/>
        <v>0</v>
      </c>
      <c r="U181" s="5">
        <f t="shared" si="309"/>
        <v>0</v>
      </c>
      <c r="V181" s="5">
        <f t="shared" si="309"/>
        <v>750</v>
      </c>
      <c r="W181" s="5">
        <f t="shared" si="309"/>
        <v>0</v>
      </c>
      <c r="X181" s="5">
        <f t="shared" si="309"/>
        <v>0</v>
      </c>
      <c r="Y181" s="5">
        <f t="shared" si="309"/>
        <v>0</v>
      </c>
      <c r="Z181" s="5">
        <f t="shared" si="309"/>
        <v>0</v>
      </c>
      <c r="AA181" s="5">
        <f t="shared" si="309"/>
        <v>0</v>
      </c>
      <c r="AB181" s="5">
        <f t="shared" si="309"/>
        <v>0</v>
      </c>
      <c r="AC181" s="5">
        <f t="shared" si="309"/>
        <v>0</v>
      </c>
      <c r="AD181" s="5" t="str">
        <f t="shared" si="309"/>
        <v/>
      </c>
      <c r="AE181" s="5" t="str">
        <f t="shared" si="309"/>
        <v/>
      </c>
      <c r="AF181" s="5" t="str">
        <f t="shared" si="309"/>
        <v/>
      </c>
      <c r="AG181" s="5" t="str">
        <f t="shared" si="309"/>
        <v/>
      </c>
      <c r="AH181" s="5" t="str">
        <f t="shared" si="309"/>
        <v/>
      </c>
      <c r="AI181" s="5" t="str">
        <f t="shared" si="309"/>
        <v/>
      </c>
      <c r="AJ181" s="5" t="str">
        <f t="shared" si="309"/>
        <v/>
      </c>
      <c r="AK181" s="5" t="str">
        <f t="shared" si="309"/>
        <v/>
      </c>
      <c r="AL181" s="5" t="str">
        <f t="shared" si="309"/>
        <v/>
      </c>
      <c r="AM181" s="5" t="str">
        <f t="shared" si="309"/>
        <v/>
      </c>
      <c r="AN181" s="5" t="str">
        <f t="shared" si="309"/>
        <v/>
      </c>
      <c r="AO181" s="5" t="str">
        <f t="shared" ref="AO181:AS181" si="310">IF(AO171="","",AO180*AO175)</f>
        <v/>
      </c>
      <c r="AP181" s="5" t="str">
        <f t="shared" si="310"/>
        <v/>
      </c>
      <c r="AQ181" s="5" t="str">
        <f t="shared" si="310"/>
        <v/>
      </c>
      <c r="AR181" s="5" t="str">
        <f t="shared" si="310"/>
        <v/>
      </c>
      <c r="AS181" s="5" t="str">
        <f t="shared" si="310"/>
        <v/>
      </c>
    </row>
    <row r="182" spans="1:45" s="93" customFormat="1" ht="12" thickBot="1">
      <c r="A182" s="4">
        <f>IF(A181="","",A181/(A178*100))</f>
        <v>8.2720588235294115E-2</v>
      </c>
      <c r="B182" s="6" t="s">
        <v>20</v>
      </c>
      <c r="C182" s="76" t="s">
        <v>21</v>
      </c>
      <c r="D182" s="18" t="str">
        <f t="shared" ref="D182:AN182" si="311">IF(D181="","",IF(D181=0,"",D181/(D178*100)))</f>
        <v/>
      </c>
      <c r="E182" s="18">
        <f t="shared" si="311"/>
        <v>0.20833333333333334</v>
      </c>
      <c r="F182" s="62" t="str">
        <f t="shared" si="311"/>
        <v/>
      </c>
      <c r="G182" s="18" t="str">
        <f t="shared" si="311"/>
        <v/>
      </c>
      <c r="H182" s="18" t="str">
        <f t="shared" si="311"/>
        <v/>
      </c>
      <c r="I182" s="62" t="str">
        <f t="shared" si="311"/>
        <v/>
      </c>
      <c r="J182" s="18" t="str">
        <f t="shared" si="311"/>
        <v/>
      </c>
      <c r="K182" s="18" t="str">
        <f t="shared" si="311"/>
        <v/>
      </c>
      <c r="L182" s="18">
        <f t="shared" si="311"/>
        <v>0.35714285714285715</v>
      </c>
      <c r="M182" s="62" t="str">
        <f t="shared" si="311"/>
        <v/>
      </c>
      <c r="N182" s="18" t="str">
        <f t="shared" si="311"/>
        <v/>
      </c>
      <c r="O182" s="18" t="str">
        <f t="shared" si="311"/>
        <v/>
      </c>
      <c r="P182" s="18" t="str">
        <f t="shared" si="311"/>
        <v/>
      </c>
      <c r="Q182" s="18" t="str">
        <f t="shared" si="311"/>
        <v/>
      </c>
      <c r="R182" s="18" t="str">
        <f t="shared" si="311"/>
        <v/>
      </c>
      <c r="S182" s="18" t="str">
        <f t="shared" si="311"/>
        <v/>
      </c>
      <c r="T182" s="18" t="str">
        <f t="shared" si="311"/>
        <v/>
      </c>
      <c r="U182" s="18" t="str">
        <f t="shared" si="311"/>
        <v/>
      </c>
      <c r="V182" s="18">
        <f t="shared" si="311"/>
        <v>0.19736842105263158</v>
      </c>
      <c r="W182" s="18" t="str">
        <f t="shared" si="311"/>
        <v/>
      </c>
      <c r="X182" s="18" t="str">
        <f t="shared" si="311"/>
        <v/>
      </c>
      <c r="Y182" s="18" t="str">
        <f t="shared" si="311"/>
        <v/>
      </c>
      <c r="Z182" s="18" t="str">
        <f t="shared" si="311"/>
        <v/>
      </c>
      <c r="AA182" s="18" t="str">
        <f t="shared" si="311"/>
        <v/>
      </c>
      <c r="AB182" s="18" t="str">
        <f t="shared" si="311"/>
        <v/>
      </c>
      <c r="AC182" s="18" t="str">
        <f t="shared" si="311"/>
        <v/>
      </c>
      <c r="AD182" s="18" t="str">
        <f t="shared" si="311"/>
        <v/>
      </c>
      <c r="AE182" s="18" t="str">
        <f t="shared" si="311"/>
        <v/>
      </c>
      <c r="AF182" s="18" t="str">
        <f t="shared" si="311"/>
        <v/>
      </c>
      <c r="AG182" s="18" t="str">
        <f t="shared" si="311"/>
        <v/>
      </c>
      <c r="AH182" s="18" t="str">
        <f t="shared" si="311"/>
        <v/>
      </c>
      <c r="AI182" s="18" t="str">
        <f t="shared" si="311"/>
        <v/>
      </c>
      <c r="AJ182" s="18" t="str">
        <f t="shared" si="311"/>
        <v/>
      </c>
      <c r="AK182" s="18" t="str">
        <f t="shared" si="311"/>
        <v/>
      </c>
      <c r="AL182" s="18" t="str">
        <f t="shared" si="311"/>
        <v/>
      </c>
      <c r="AM182" s="18" t="str">
        <f t="shared" si="311"/>
        <v/>
      </c>
      <c r="AN182" s="18" t="str">
        <f t="shared" si="311"/>
        <v/>
      </c>
      <c r="AO182" s="18" t="str">
        <f t="shared" ref="AO182:AS182" si="312">IF(AO181="","",IF(AO181=0,"",AO181/(AO178*100)))</f>
        <v/>
      </c>
      <c r="AP182" s="18" t="str">
        <f t="shared" si="312"/>
        <v/>
      </c>
      <c r="AQ182" s="18" t="str">
        <f t="shared" si="312"/>
        <v/>
      </c>
      <c r="AR182" s="18" t="str">
        <f t="shared" si="312"/>
        <v/>
      </c>
      <c r="AS182" s="18" t="str">
        <f t="shared" si="312"/>
        <v/>
      </c>
    </row>
    <row r="183" spans="1:45" s="93" customFormat="1" ht="11">
      <c r="A183" s="17" t="s">
        <v>101</v>
      </c>
      <c r="B183" s="9" t="s">
        <v>2</v>
      </c>
      <c r="C183" s="74">
        <v>10506</v>
      </c>
      <c r="D183" s="8">
        <f>IF(D$3="","",C183)</f>
        <v>10506</v>
      </c>
      <c r="E183" s="8">
        <v>10517</v>
      </c>
      <c r="F183" s="59">
        <f>IF(F$3="","",E183)</f>
        <v>10517</v>
      </c>
      <c r="G183" s="8">
        <f>IF(G$3="","",F183)</f>
        <v>10517</v>
      </c>
      <c r="H183" s="8">
        <v>10538</v>
      </c>
      <c r="I183" s="59">
        <f t="shared" ref="I183:K184" si="313">IF(I$3="","",H183)</f>
        <v>10538</v>
      </c>
      <c r="J183" s="8">
        <f t="shared" si="313"/>
        <v>10538</v>
      </c>
      <c r="K183" s="8">
        <f t="shared" si="313"/>
        <v>10538</v>
      </c>
      <c r="L183" s="8">
        <v>10557</v>
      </c>
      <c r="M183" s="59">
        <f>IF(M$3="","",L183)</f>
        <v>10557</v>
      </c>
      <c r="N183" s="8">
        <f>IF(N$3="","",M183)</f>
        <v>10557</v>
      </c>
      <c r="O183" s="8">
        <v>10580</v>
      </c>
      <c r="P183" s="8">
        <f t="shared" ref="P183:AN183" si="314">IF(P$3="","",O183)</f>
        <v>10580</v>
      </c>
      <c r="Q183" s="8">
        <f t="shared" si="314"/>
        <v>10580</v>
      </c>
      <c r="R183" s="8">
        <f t="shared" si="314"/>
        <v>10580</v>
      </c>
      <c r="S183" s="8">
        <f t="shared" si="314"/>
        <v>10580</v>
      </c>
      <c r="T183" s="8">
        <v>10597</v>
      </c>
      <c r="U183" s="8">
        <f t="shared" si="314"/>
        <v>10597</v>
      </c>
      <c r="V183" s="8">
        <v>10628</v>
      </c>
      <c r="W183" s="8">
        <f t="shared" si="314"/>
        <v>10628</v>
      </c>
      <c r="X183" s="8">
        <f t="shared" si="314"/>
        <v>10628</v>
      </c>
      <c r="Y183" s="8">
        <f t="shared" si="314"/>
        <v>10628</v>
      </c>
      <c r="Z183" s="8">
        <v>10643</v>
      </c>
      <c r="AA183" s="8">
        <f t="shared" si="314"/>
        <v>10643</v>
      </c>
      <c r="AB183" s="8">
        <f t="shared" si="314"/>
        <v>10643</v>
      </c>
      <c r="AC183" s="8">
        <v>10771</v>
      </c>
      <c r="AD183" s="8" t="str">
        <f t="shared" si="314"/>
        <v/>
      </c>
      <c r="AE183" s="8" t="str">
        <f t="shared" si="314"/>
        <v/>
      </c>
      <c r="AF183" s="8" t="str">
        <f t="shared" si="314"/>
        <v/>
      </c>
      <c r="AG183" s="8" t="str">
        <f t="shared" si="314"/>
        <v/>
      </c>
      <c r="AH183" s="8" t="str">
        <f t="shared" si="314"/>
        <v/>
      </c>
      <c r="AI183" s="8" t="str">
        <f t="shared" si="314"/>
        <v/>
      </c>
      <c r="AJ183" s="8" t="str">
        <f t="shared" si="314"/>
        <v/>
      </c>
      <c r="AK183" s="8" t="str">
        <f t="shared" si="314"/>
        <v/>
      </c>
      <c r="AL183" s="8" t="str">
        <f t="shared" si="314"/>
        <v/>
      </c>
      <c r="AM183" s="8" t="str">
        <f t="shared" si="314"/>
        <v/>
      </c>
      <c r="AN183" s="8" t="str">
        <f t="shared" si="314"/>
        <v/>
      </c>
      <c r="AO183" s="8" t="str">
        <f t="shared" ref="AO183:AS183" si="315">IF(AO$3="","",AN183)</f>
        <v/>
      </c>
      <c r="AP183" s="8" t="str">
        <f t="shared" si="315"/>
        <v/>
      </c>
      <c r="AQ183" s="8" t="str">
        <f t="shared" si="315"/>
        <v/>
      </c>
      <c r="AR183" s="8" t="str">
        <f t="shared" si="315"/>
        <v/>
      </c>
      <c r="AS183" s="8" t="str">
        <f t="shared" si="315"/>
        <v/>
      </c>
    </row>
    <row r="184" spans="1:45" s="93" customFormat="1" ht="11">
      <c r="A184" s="16" t="str">
        <f>A172</f>
        <v>BUZZ＃4</v>
      </c>
      <c r="B184" s="9" t="s">
        <v>4</v>
      </c>
      <c r="C184" s="74">
        <v>364</v>
      </c>
      <c r="D184" s="8">
        <f>IF(D$3="","",C184)</f>
        <v>364</v>
      </c>
      <c r="E184" s="8">
        <f>IF(E$3="","",D184)</f>
        <v>364</v>
      </c>
      <c r="F184" s="59">
        <f>IF(F$3="","",E184)</f>
        <v>364</v>
      </c>
      <c r="G184" s="8">
        <f>IF(G$3="","",F184)</f>
        <v>364</v>
      </c>
      <c r="H184" s="8">
        <f>IF(H$3="","",G184)</f>
        <v>364</v>
      </c>
      <c r="I184" s="59">
        <f t="shared" si="313"/>
        <v>364</v>
      </c>
      <c r="J184" s="8">
        <f t="shared" si="313"/>
        <v>364</v>
      </c>
      <c r="K184" s="8">
        <f t="shared" si="313"/>
        <v>364</v>
      </c>
      <c r="L184" s="8">
        <f>IF(L$3="","",K184)</f>
        <v>364</v>
      </c>
      <c r="M184" s="59">
        <f>IF(M$3="","",L184)</f>
        <v>364</v>
      </c>
      <c r="N184" s="8">
        <f>IF(N$3="","",M184)</f>
        <v>364</v>
      </c>
      <c r="O184" s="8">
        <f>IF(O$3="","",N184)</f>
        <v>364</v>
      </c>
      <c r="P184" s="8">
        <f t="shared" ref="P184:AN184" si="316">IF(P$3="","",O184)</f>
        <v>364</v>
      </c>
      <c r="Q184" s="8">
        <f t="shared" si="316"/>
        <v>364</v>
      </c>
      <c r="R184" s="8">
        <f t="shared" si="316"/>
        <v>364</v>
      </c>
      <c r="S184" s="8">
        <f t="shared" si="316"/>
        <v>364</v>
      </c>
      <c r="T184" s="8">
        <f t="shared" si="316"/>
        <v>364</v>
      </c>
      <c r="U184" s="8">
        <f t="shared" si="316"/>
        <v>364</v>
      </c>
      <c r="V184" s="8">
        <f t="shared" si="316"/>
        <v>364</v>
      </c>
      <c r="W184" s="8">
        <f t="shared" si="316"/>
        <v>364</v>
      </c>
      <c r="X184" s="8">
        <f t="shared" si="316"/>
        <v>364</v>
      </c>
      <c r="Y184" s="8">
        <f t="shared" si="316"/>
        <v>364</v>
      </c>
      <c r="Z184" s="8">
        <f t="shared" si="316"/>
        <v>364</v>
      </c>
      <c r="AA184" s="8">
        <f t="shared" si="316"/>
        <v>364</v>
      </c>
      <c r="AB184" s="8">
        <f t="shared" si="316"/>
        <v>364</v>
      </c>
      <c r="AC184" s="8">
        <v>366</v>
      </c>
      <c r="AD184" s="8" t="str">
        <f t="shared" si="316"/>
        <v/>
      </c>
      <c r="AE184" s="8" t="str">
        <f t="shared" si="316"/>
        <v/>
      </c>
      <c r="AF184" s="8" t="str">
        <f t="shared" si="316"/>
        <v/>
      </c>
      <c r="AG184" s="8" t="str">
        <f t="shared" si="316"/>
        <v/>
      </c>
      <c r="AH184" s="8" t="str">
        <f t="shared" si="316"/>
        <v/>
      </c>
      <c r="AI184" s="8" t="str">
        <f t="shared" si="316"/>
        <v/>
      </c>
      <c r="AJ184" s="8" t="str">
        <f t="shared" si="316"/>
        <v/>
      </c>
      <c r="AK184" s="8" t="str">
        <f t="shared" si="316"/>
        <v/>
      </c>
      <c r="AL184" s="8" t="str">
        <f t="shared" si="316"/>
        <v/>
      </c>
      <c r="AM184" s="8" t="str">
        <f t="shared" si="316"/>
        <v/>
      </c>
      <c r="AN184" s="8" t="str">
        <f t="shared" si="316"/>
        <v/>
      </c>
      <c r="AO184" s="8" t="str">
        <f t="shared" ref="AO184:AS184" si="317">IF(AO$3="","",AN184)</f>
        <v/>
      </c>
      <c r="AP184" s="8" t="str">
        <f t="shared" si="317"/>
        <v/>
      </c>
      <c r="AQ184" s="8" t="str">
        <f t="shared" si="317"/>
        <v/>
      </c>
      <c r="AR184" s="8" t="str">
        <f t="shared" si="317"/>
        <v/>
      </c>
      <c r="AS184" s="8" t="str">
        <f t="shared" si="317"/>
        <v/>
      </c>
    </row>
    <row r="185" spans="1:45" s="93" customFormat="1" ht="11">
      <c r="A185" s="15">
        <v>2</v>
      </c>
      <c r="B185" s="9" t="s">
        <v>5</v>
      </c>
      <c r="C185" s="74">
        <v>6</v>
      </c>
      <c r="D185" s="8">
        <f t="shared" ref="D185:AN185" si="318">IF(D183="","",(C185+C186))</f>
        <v>6</v>
      </c>
      <c r="E185" s="8">
        <f t="shared" si="318"/>
        <v>6</v>
      </c>
      <c r="F185" s="59">
        <f t="shared" si="318"/>
        <v>6</v>
      </c>
      <c r="G185" s="8">
        <f t="shared" si="318"/>
        <v>6</v>
      </c>
      <c r="H185" s="8">
        <f t="shared" si="318"/>
        <v>6</v>
      </c>
      <c r="I185" s="59">
        <f t="shared" si="318"/>
        <v>6</v>
      </c>
      <c r="J185" s="8">
        <f t="shared" si="318"/>
        <v>6</v>
      </c>
      <c r="K185" s="8">
        <f t="shared" si="318"/>
        <v>6</v>
      </c>
      <c r="L185" s="8">
        <f t="shared" si="318"/>
        <v>6</v>
      </c>
      <c r="M185" s="59">
        <f t="shared" si="318"/>
        <v>6</v>
      </c>
      <c r="N185" s="8">
        <f t="shared" si="318"/>
        <v>6</v>
      </c>
      <c r="O185" s="8">
        <f t="shared" si="318"/>
        <v>6</v>
      </c>
      <c r="P185" s="8">
        <f t="shared" si="318"/>
        <v>6</v>
      </c>
      <c r="Q185" s="8">
        <f t="shared" si="318"/>
        <v>6</v>
      </c>
      <c r="R185" s="8">
        <f t="shared" si="318"/>
        <v>6</v>
      </c>
      <c r="S185" s="8">
        <f t="shared" si="318"/>
        <v>6</v>
      </c>
      <c r="T185" s="8">
        <f t="shared" si="318"/>
        <v>6</v>
      </c>
      <c r="U185" s="8">
        <f t="shared" si="318"/>
        <v>6</v>
      </c>
      <c r="V185" s="8">
        <f t="shared" si="318"/>
        <v>6</v>
      </c>
      <c r="W185" s="8">
        <f t="shared" si="318"/>
        <v>6</v>
      </c>
      <c r="X185" s="8">
        <f t="shared" si="318"/>
        <v>6</v>
      </c>
      <c r="Y185" s="8">
        <f t="shared" si="318"/>
        <v>6</v>
      </c>
      <c r="Z185" s="8">
        <f t="shared" si="318"/>
        <v>6</v>
      </c>
      <c r="AA185" s="8">
        <f t="shared" si="318"/>
        <v>5</v>
      </c>
      <c r="AB185" s="8">
        <f t="shared" si="318"/>
        <v>5</v>
      </c>
      <c r="AC185" s="8">
        <v>3</v>
      </c>
      <c r="AD185" s="8" t="str">
        <f t="shared" si="318"/>
        <v/>
      </c>
      <c r="AE185" s="8" t="str">
        <f t="shared" si="318"/>
        <v/>
      </c>
      <c r="AF185" s="8" t="str">
        <f t="shared" si="318"/>
        <v/>
      </c>
      <c r="AG185" s="8" t="str">
        <f t="shared" si="318"/>
        <v/>
      </c>
      <c r="AH185" s="8" t="str">
        <f t="shared" si="318"/>
        <v/>
      </c>
      <c r="AI185" s="8" t="str">
        <f t="shared" si="318"/>
        <v/>
      </c>
      <c r="AJ185" s="8" t="str">
        <f t="shared" si="318"/>
        <v/>
      </c>
      <c r="AK185" s="8" t="str">
        <f t="shared" si="318"/>
        <v/>
      </c>
      <c r="AL185" s="8" t="str">
        <f t="shared" si="318"/>
        <v/>
      </c>
      <c r="AM185" s="8" t="str">
        <f t="shared" si="318"/>
        <v/>
      </c>
      <c r="AN185" s="8" t="str">
        <f t="shared" si="318"/>
        <v/>
      </c>
      <c r="AO185" s="8" t="str">
        <f t="shared" ref="AO185:AS185" si="319">IF(AO183="","",(AN185+AN186))</f>
        <v/>
      </c>
      <c r="AP185" s="8" t="str">
        <f t="shared" si="319"/>
        <v/>
      </c>
      <c r="AQ185" s="8" t="str">
        <f t="shared" si="319"/>
        <v/>
      </c>
      <c r="AR185" s="8" t="str">
        <f t="shared" si="319"/>
        <v/>
      </c>
      <c r="AS185" s="8" t="str">
        <f t="shared" si="319"/>
        <v/>
      </c>
    </row>
    <row r="186" spans="1:45" s="93" customFormat="1" ht="11">
      <c r="A186" s="14"/>
      <c r="B186" s="9" t="s">
        <v>7</v>
      </c>
      <c r="C186" s="74"/>
      <c r="D186" s="8"/>
      <c r="E186" s="8"/>
      <c r="F186" s="59"/>
      <c r="G186" s="8"/>
      <c r="H186" s="8"/>
      <c r="I186" s="59"/>
      <c r="J186" s="8"/>
      <c r="K186" s="8"/>
      <c r="L186" s="8"/>
      <c r="M186" s="59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>
        <v>-1</v>
      </c>
      <c r="AA186" s="8"/>
      <c r="AB186" s="8"/>
      <c r="AC186" s="8">
        <v>2</v>
      </c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</row>
    <row r="187" spans="1:45" s="93" customFormat="1" ht="11">
      <c r="A187" s="7"/>
      <c r="B187" s="9" t="s">
        <v>8</v>
      </c>
      <c r="C187" s="74">
        <v>400</v>
      </c>
      <c r="D187" s="8">
        <f t="shared" ref="D187:AN187" si="320">IF(D183="","",C187)</f>
        <v>400</v>
      </c>
      <c r="E187" s="8">
        <f t="shared" si="320"/>
        <v>400</v>
      </c>
      <c r="F187" s="59">
        <f t="shared" si="320"/>
        <v>400</v>
      </c>
      <c r="G187" s="8">
        <f t="shared" si="320"/>
        <v>400</v>
      </c>
      <c r="H187" s="8">
        <f t="shared" si="320"/>
        <v>400</v>
      </c>
      <c r="I187" s="59">
        <f t="shared" si="320"/>
        <v>400</v>
      </c>
      <c r="J187" s="8">
        <f t="shared" si="320"/>
        <v>400</v>
      </c>
      <c r="K187" s="8">
        <f t="shared" si="320"/>
        <v>400</v>
      </c>
      <c r="L187" s="8">
        <f t="shared" si="320"/>
        <v>400</v>
      </c>
      <c r="M187" s="59">
        <f t="shared" si="320"/>
        <v>400</v>
      </c>
      <c r="N187" s="8">
        <f t="shared" si="320"/>
        <v>400</v>
      </c>
      <c r="O187" s="8">
        <f t="shared" si="320"/>
        <v>400</v>
      </c>
      <c r="P187" s="8">
        <f t="shared" si="320"/>
        <v>400</v>
      </c>
      <c r="Q187" s="8">
        <f t="shared" si="320"/>
        <v>400</v>
      </c>
      <c r="R187" s="8">
        <f t="shared" si="320"/>
        <v>400</v>
      </c>
      <c r="S187" s="8">
        <f t="shared" si="320"/>
        <v>400</v>
      </c>
      <c r="T187" s="8">
        <f t="shared" si="320"/>
        <v>400</v>
      </c>
      <c r="U187" s="8">
        <f t="shared" si="320"/>
        <v>400</v>
      </c>
      <c r="V187" s="8">
        <f t="shared" si="320"/>
        <v>400</v>
      </c>
      <c r="W187" s="8">
        <f t="shared" si="320"/>
        <v>400</v>
      </c>
      <c r="X187" s="8">
        <f t="shared" si="320"/>
        <v>400</v>
      </c>
      <c r="Y187" s="8">
        <f t="shared" si="320"/>
        <v>400</v>
      </c>
      <c r="Z187" s="8">
        <f t="shared" si="320"/>
        <v>400</v>
      </c>
      <c r="AA187" s="8">
        <f t="shared" si="320"/>
        <v>400</v>
      </c>
      <c r="AB187" s="8">
        <f t="shared" si="320"/>
        <v>400</v>
      </c>
      <c r="AC187" s="8">
        <f t="shared" si="320"/>
        <v>400</v>
      </c>
      <c r="AD187" s="8" t="str">
        <f t="shared" si="320"/>
        <v/>
      </c>
      <c r="AE187" s="8" t="str">
        <f t="shared" si="320"/>
        <v/>
      </c>
      <c r="AF187" s="8" t="str">
        <f t="shared" si="320"/>
        <v/>
      </c>
      <c r="AG187" s="8" t="str">
        <f t="shared" si="320"/>
        <v/>
      </c>
      <c r="AH187" s="8" t="str">
        <f t="shared" si="320"/>
        <v/>
      </c>
      <c r="AI187" s="8" t="str">
        <f t="shared" si="320"/>
        <v/>
      </c>
      <c r="AJ187" s="8" t="str">
        <f t="shared" si="320"/>
        <v/>
      </c>
      <c r="AK187" s="8" t="str">
        <f t="shared" si="320"/>
        <v/>
      </c>
      <c r="AL187" s="8" t="str">
        <f t="shared" si="320"/>
        <v/>
      </c>
      <c r="AM187" s="8" t="str">
        <f t="shared" si="320"/>
        <v/>
      </c>
      <c r="AN187" s="8" t="str">
        <f t="shared" si="320"/>
        <v/>
      </c>
      <c r="AO187" s="8" t="str">
        <f t="shared" ref="AO187:AS187" si="321">IF(AO183="","",AN187)</f>
        <v/>
      </c>
      <c r="AP187" s="8" t="str">
        <f t="shared" si="321"/>
        <v/>
      </c>
      <c r="AQ187" s="8" t="str">
        <f t="shared" si="321"/>
        <v/>
      </c>
      <c r="AR187" s="8" t="str">
        <f t="shared" si="321"/>
        <v/>
      </c>
      <c r="AS187" s="8" t="str">
        <f t="shared" si="321"/>
        <v/>
      </c>
    </row>
    <row r="188" spans="1:45" s="94" customFormat="1" ht="11">
      <c r="A188" s="14" t="s">
        <v>9</v>
      </c>
      <c r="B188" s="13" t="s">
        <v>10</v>
      </c>
      <c r="C188" s="75" t="s">
        <v>65</v>
      </c>
      <c r="D188" s="12" t="str">
        <f t="shared" ref="D188:AN188" si="322">IF(D183="","",C188)</f>
        <v>PRO4イヤホン</v>
      </c>
      <c r="E188" s="12" t="str">
        <f t="shared" si="322"/>
        <v>PRO4イヤホン</v>
      </c>
      <c r="F188" s="131" t="str">
        <f t="shared" si="322"/>
        <v>PRO4イヤホン</v>
      </c>
      <c r="G188" s="12" t="str">
        <f t="shared" si="322"/>
        <v>PRO4イヤホン</v>
      </c>
      <c r="H188" s="12" t="str">
        <f t="shared" si="322"/>
        <v>PRO4イヤホン</v>
      </c>
      <c r="I188" s="131" t="str">
        <f t="shared" si="322"/>
        <v>PRO4イヤホン</v>
      </c>
      <c r="J188" s="12" t="str">
        <f t="shared" si="322"/>
        <v>PRO4イヤホン</v>
      </c>
      <c r="K188" s="12" t="str">
        <f t="shared" si="322"/>
        <v>PRO4イヤホン</v>
      </c>
      <c r="L188" s="12" t="str">
        <f t="shared" si="322"/>
        <v>PRO4イヤホン</v>
      </c>
      <c r="M188" s="131" t="str">
        <f t="shared" si="322"/>
        <v>PRO4イヤホン</v>
      </c>
      <c r="N188" s="12" t="str">
        <f t="shared" si="322"/>
        <v>PRO4イヤホン</v>
      </c>
      <c r="O188" s="12" t="str">
        <f t="shared" si="322"/>
        <v>PRO4イヤホン</v>
      </c>
      <c r="P188" s="12" t="str">
        <f t="shared" si="322"/>
        <v>PRO4イヤホン</v>
      </c>
      <c r="Q188" s="12" t="str">
        <f t="shared" si="322"/>
        <v>PRO4イヤホン</v>
      </c>
      <c r="R188" s="12" t="str">
        <f t="shared" si="322"/>
        <v>PRO4イヤホン</v>
      </c>
      <c r="S188" s="12" t="str">
        <f t="shared" si="322"/>
        <v>PRO4イヤホン</v>
      </c>
      <c r="T188" s="12" t="str">
        <f t="shared" si="322"/>
        <v>PRO4イヤホン</v>
      </c>
      <c r="U188" s="12" t="str">
        <f t="shared" si="322"/>
        <v>PRO4イヤホン</v>
      </c>
      <c r="V188" s="12" t="str">
        <f t="shared" si="322"/>
        <v>PRO4イヤホン</v>
      </c>
      <c r="W188" s="12" t="str">
        <f t="shared" si="322"/>
        <v>PRO4イヤホン</v>
      </c>
      <c r="X188" s="12" t="str">
        <f t="shared" si="322"/>
        <v>PRO4イヤホン</v>
      </c>
      <c r="Y188" s="12" t="str">
        <f t="shared" si="322"/>
        <v>PRO4イヤホン</v>
      </c>
      <c r="Z188" s="12" t="s">
        <v>410</v>
      </c>
      <c r="AA188" s="12" t="str">
        <f t="shared" si="322"/>
        <v>バタースクイーズ</v>
      </c>
      <c r="AB188" s="12" t="str">
        <f t="shared" si="322"/>
        <v>バタースクイーズ</v>
      </c>
      <c r="AC188" s="12" t="str">
        <f t="shared" si="322"/>
        <v>バタースクイーズ</v>
      </c>
      <c r="AD188" s="12" t="str">
        <f t="shared" si="322"/>
        <v/>
      </c>
      <c r="AE188" s="12" t="str">
        <f t="shared" si="322"/>
        <v/>
      </c>
      <c r="AF188" s="12" t="str">
        <f t="shared" si="322"/>
        <v/>
      </c>
      <c r="AG188" s="12" t="str">
        <f t="shared" si="322"/>
        <v/>
      </c>
      <c r="AH188" s="12" t="str">
        <f t="shared" si="322"/>
        <v/>
      </c>
      <c r="AI188" s="12" t="str">
        <f t="shared" si="322"/>
        <v/>
      </c>
      <c r="AJ188" s="12" t="str">
        <f t="shared" si="322"/>
        <v/>
      </c>
      <c r="AK188" s="12" t="str">
        <f t="shared" si="322"/>
        <v/>
      </c>
      <c r="AL188" s="12" t="str">
        <f t="shared" si="322"/>
        <v/>
      </c>
      <c r="AM188" s="12" t="str">
        <f t="shared" si="322"/>
        <v/>
      </c>
      <c r="AN188" s="12" t="str">
        <f t="shared" si="322"/>
        <v/>
      </c>
      <c r="AO188" s="12" t="str">
        <f t="shared" ref="AO188:AS188" si="323">IF(AO183="","",AN188)</f>
        <v/>
      </c>
      <c r="AP188" s="12" t="str">
        <f t="shared" si="323"/>
        <v/>
      </c>
      <c r="AQ188" s="12" t="str">
        <f t="shared" si="323"/>
        <v/>
      </c>
      <c r="AR188" s="12" t="str">
        <f t="shared" si="323"/>
        <v/>
      </c>
      <c r="AS188" s="12" t="str">
        <f t="shared" si="323"/>
        <v/>
      </c>
    </row>
    <row r="189" spans="1:45" s="93" customFormat="1" ht="11">
      <c r="A189" s="7">
        <f>AVERAGE(C190:AS190)*30*100</f>
        <v>29444.444444444445</v>
      </c>
      <c r="B189" s="9" t="s">
        <v>14</v>
      </c>
      <c r="C189" s="74"/>
      <c r="D189" s="8"/>
      <c r="E189" s="8"/>
      <c r="F189" s="59"/>
      <c r="G189" s="8"/>
      <c r="H189" s="8"/>
      <c r="I189" s="59"/>
      <c r="J189" s="8"/>
      <c r="K189" s="8"/>
      <c r="L189" s="8"/>
      <c r="M189" s="59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</row>
    <row r="190" spans="1:45" s="93" customFormat="1" ht="11">
      <c r="A190" s="7">
        <f>SUM(C190:AS190)</f>
        <v>265</v>
      </c>
      <c r="B190" s="6" t="s">
        <v>15</v>
      </c>
      <c r="C190" s="74">
        <v>0</v>
      </c>
      <c r="D190" s="5">
        <f t="shared" ref="D190:AN190" si="324">IF(D183="","",D183-C183)</f>
        <v>0</v>
      </c>
      <c r="E190" s="5">
        <f t="shared" si="324"/>
        <v>11</v>
      </c>
      <c r="F190" s="59">
        <f t="shared" si="324"/>
        <v>0</v>
      </c>
      <c r="G190" s="5">
        <f t="shared" si="324"/>
        <v>0</v>
      </c>
      <c r="H190" s="5">
        <f t="shared" si="324"/>
        <v>21</v>
      </c>
      <c r="I190" s="59">
        <f t="shared" si="324"/>
        <v>0</v>
      </c>
      <c r="J190" s="5">
        <f t="shared" si="324"/>
        <v>0</v>
      </c>
      <c r="K190" s="5">
        <f t="shared" si="324"/>
        <v>0</v>
      </c>
      <c r="L190" s="5">
        <f t="shared" si="324"/>
        <v>19</v>
      </c>
      <c r="M190" s="59">
        <f t="shared" si="324"/>
        <v>0</v>
      </c>
      <c r="N190" s="5">
        <f t="shared" si="324"/>
        <v>0</v>
      </c>
      <c r="O190" s="5">
        <f t="shared" si="324"/>
        <v>23</v>
      </c>
      <c r="P190" s="5">
        <f t="shared" si="324"/>
        <v>0</v>
      </c>
      <c r="Q190" s="5">
        <f t="shared" si="324"/>
        <v>0</v>
      </c>
      <c r="R190" s="5">
        <f t="shared" si="324"/>
        <v>0</v>
      </c>
      <c r="S190" s="5">
        <f t="shared" si="324"/>
        <v>0</v>
      </c>
      <c r="T190" s="5">
        <f t="shared" si="324"/>
        <v>17</v>
      </c>
      <c r="U190" s="5">
        <f t="shared" si="324"/>
        <v>0</v>
      </c>
      <c r="V190" s="5">
        <f t="shared" si="324"/>
        <v>31</v>
      </c>
      <c r="W190" s="5">
        <f t="shared" si="324"/>
        <v>0</v>
      </c>
      <c r="X190" s="5">
        <f t="shared" si="324"/>
        <v>0</v>
      </c>
      <c r="Y190" s="5">
        <f t="shared" si="324"/>
        <v>0</v>
      </c>
      <c r="Z190" s="5">
        <f t="shared" si="324"/>
        <v>15</v>
      </c>
      <c r="AA190" s="5">
        <f t="shared" si="324"/>
        <v>0</v>
      </c>
      <c r="AB190" s="5">
        <f t="shared" si="324"/>
        <v>0</v>
      </c>
      <c r="AC190" s="5">
        <f t="shared" si="324"/>
        <v>128</v>
      </c>
      <c r="AD190" s="5" t="str">
        <f t="shared" si="324"/>
        <v/>
      </c>
      <c r="AE190" s="5" t="str">
        <f t="shared" si="324"/>
        <v/>
      </c>
      <c r="AF190" s="5" t="str">
        <f t="shared" si="324"/>
        <v/>
      </c>
      <c r="AG190" s="5" t="str">
        <f t="shared" si="324"/>
        <v/>
      </c>
      <c r="AH190" s="5" t="str">
        <f t="shared" si="324"/>
        <v/>
      </c>
      <c r="AI190" s="5" t="str">
        <f t="shared" si="324"/>
        <v/>
      </c>
      <c r="AJ190" s="5" t="str">
        <f t="shared" si="324"/>
        <v/>
      </c>
      <c r="AK190" s="5" t="str">
        <f t="shared" si="324"/>
        <v/>
      </c>
      <c r="AL190" s="5" t="str">
        <f t="shared" si="324"/>
        <v/>
      </c>
      <c r="AM190" s="5" t="str">
        <f t="shared" si="324"/>
        <v/>
      </c>
      <c r="AN190" s="5" t="str">
        <f t="shared" si="324"/>
        <v/>
      </c>
      <c r="AO190" s="5" t="str">
        <f t="shared" ref="AO190:AS190" si="325">IF(AO183="","",AO183-AN183)</f>
        <v/>
      </c>
      <c r="AP190" s="5" t="str">
        <f t="shared" si="325"/>
        <v/>
      </c>
      <c r="AQ190" s="5" t="str">
        <f t="shared" si="325"/>
        <v/>
      </c>
      <c r="AR190" s="5" t="str">
        <f t="shared" si="325"/>
        <v/>
      </c>
      <c r="AS190" s="5" t="str">
        <f t="shared" si="325"/>
        <v/>
      </c>
    </row>
    <row r="191" spans="1:45" s="93" customFormat="1" ht="11">
      <c r="A191" s="7">
        <f>SUM(C191:AS191)</f>
        <v>2</v>
      </c>
      <c r="B191" s="6" t="s">
        <v>16</v>
      </c>
      <c r="C191" s="74">
        <v>0</v>
      </c>
      <c r="D191" s="5">
        <f t="shared" ref="D191:AN191" si="326">IF(D184="","",D184-C184)</f>
        <v>0</v>
      </c>
      <c r="E191" s="5">
        <f t="shared" si="326"/>
        <v>0</v>
      </c>
      <c r="F191" s="59">
        <f t="shared" si="326"/>
        <v>0</v>
      </c>
      <c r="G191" s="5">
        <f t="shared" si="326"/>
        <v>0</v>
      </c>
      <c r="H191" s="5">
        <f t="shared" si="326"/>
        <v>0</v>
      </c>
      <c r="I191" s="59">
        <f t="shared" si="326"/>
        <v>0</v>
      </c>
      <c r="J191" s="5">
        <f t="shared" si="326"/>
        <v>0</v>
      </c>
      <c r="K191" s="5">
        <f t="shared" si="326"/>
        <v>0</v>
      </c>
      <c r="L191" s="5">
        <f t="shared" si="326"/>
        <v>0</v>
      </c>
      <c r="M191" s="59">
        <f t="shared" si="326"/>
        <v>0</v>
      </c>
      <c r="N191" s="5">
        <f t="shared" si="326"/>
        <v>0</v>
      </c>
      <c r="O191" s="5">
        <f t="shared" si="326"/>
        <v>0</v>
      </c>
      <c r="P191" s="5">
        <f t="shared" si="326"/>
        <v>0</v>
      </c>
      <c r="Q191" s="5">
        <f t="shared" si="326"/>
        <v>0</v>
      </c>
      <c r="R191" s="5">
        <f t="shared" si="326"/>
        <v>0</v>
      </c>
      <c r="S191" s="5">
        <f t="shared" si="326"/>
        <v>0</v>
      </c>
      <c r="T191" s="5">
        <f t="shared" si="326"/>
        <v>0</v>
      </c>
      <c r="U191" s="5">
        <f t="shared" si="326"/>
        <v>0</v>
      </c>
      <c r="V191" s="5">
        <f t="shared" si="326"/>
        <v>0</v>
      </c>
      <c r="W191" s="5">
        <f t="shared" si="326"/>
        <v>0</v>
      </c>
      <c r="X191" s="5">
        <f t="shared" si="326"/>
        <v>0</v>
      </c>
      <c r="Y191" s="5">
        <f t="shared" si="326"/>
        <v>0</v>
      </c>
      <c r="Z191" s="5">
        <f t="shared" si="326"/>
        <v>0</v>
      </c>
      <c r="AA191" s="5">
        <f t="shared" si="326"/>
        <v>0</v>
      </c>
      <c r="AB191" s="5">
        <f t="shared" si="326"/>
        <v>0</v>
      </c>
      <c r="AC191" s="5">
        <f t="shared" si="326"/>
        <v>2</v>
      </c>
      <c r="AD191" s="5" t="str">
        <f t="shared" si="326"/>
        <v/>
      </c>
      <c r="AE191" s="5" t="str">
        <f t="shared" si="326"/>
        <v/>
      </c>
      <c r="AF191" s="5" t="str">
        <f t="shared" si="326"/>
        <v/>
      </c>
      <c r="AG191" s="5" t="str">
        <f t="shared" si="326"/>
        <v/>
      </c>
      <c r="AH191" s="5" t="str">
        <f t="shared" si="326"/>
        <v/>
      </c>
      <c r="AI191" s="5" t="str">
        <f t="shared" si="326"/>
        <v/>
      </c>
      <c r="AJ191" s="5" t="str">
        <f t="shared" si="326"/>
        <v/>
      </c>
      <c r="AK191" s="5" t="str">
        <f t="shared" si="326"/>
        <v/>
      </c>
      <c r="AL191" s="5" t="str">
        <f t="shared" si="326"/>
        <v/>
      </c>
      <c r="AM191" s="5" t="str">
        <f t="shared" si="326"/>
        <v/>
      </c>
      <c r="AN191" s="5" t="str">
        <f t="shared" si="326"/>
        <v/>
      </c>
      <c r="AO191" s="5" t="str">
        <f t="shared" ref="AO191:AS191" si="327">IF(AO184="","",AO184-AN184)</f>
        <v/>
      </c>
      <c r="AP191" s="5" t="str">
        <f t="shared" si="327"/>
        <v/>
      </c>
      <c r="AQ191" s="5" t="str">
        <f t="shared" si="327"/>
        <v/>
      </c>
      <c r="AR191" s="5" t="str">
        <f t="shared" si="327"/>
        <v/>
      </c>
      <c r="AS191" s="5" t="str">
        <f t="shared" si="327"/>
        <v/>
      </c>
    </row>
    <row r="192" spans="1:45" s="93" customFormat="1" ht="11">
      <c r="A192" s="7">
        <f>SUM(C192:AS192)</f>
        <v>2</v>
      </c>
      <c r="B192" s="6" t="s">
        <v>17</v>
      </c>
      <c r="C192" s="74">
        <v>0</v>
      </c>
      <c r="D192" s="5">
        <f t="shared" ref="D192:AN192" si="328">IF(D185="","",C185+C186-D185)</f>
        <v>0</v>
      </c>
      <c r="E192" s="5">
        <f t="shared" si="328"/>
        <v>0</v>
      </c>
      <c r="F192" s="59">
        <f t="shared" si="328"/>
        <v>0</v>
      </c>
      <c r="G192" s="5">
        <f t="shared" si="328"/>
        <v>0</v>
      </c>
      <c r="H192" s="5">
        <f t="shared" si="328"/>
        <v>0</v>
      </c>
      <c r="I192" s="59">
        <f t="shared" si="328"/>
        <v>0</v>
      </c>
      <c r="J192" s="5">
        <f t="shared" si="328"/>
        <v>0</v>
      </c>
      <c r="K192" s="5">
        <f t="shared" si="328"/>
        <v>0</v>
      </c>
      <c r="L192" s="5">
        <f t="shared" si="328"/>
        <v>0</v>
      </c>
      <c r="M192" s="59">
        <f t="shared" si="328"/>
        <v>0</v>
      </c>
      <c r="N192" s="5">
        <f t="shared" si="328"/>
        <v>0</v>
      </c>
      <c r="O192" s="5">
        <f t="shared" si="328"/>
        <v>0</v>
      </c>
      <c r="P192" s="5">
        <f t="shared" si="328"/>
        <v>0</v>
      </c>
      <c r="Q192" s="5">
        <f t="shared" si="328"/>
        <v>0</v>
      </c>
      <c r="R192" s="5">
        <f t="shared" si="328"/>
        <v>0</v>
      </c>
      <c r="S192" s="5">
        <f t="shared" si="328"/>
        <v>0</v>
      </c>
      <c r="T192" s="5">
        <f t="shared" si="328"/>
        <v>0</v>
      </c>
      <c r="U192" s="5">
        <f t="shared" si="328"/>
        <v>0</v>
      </c>
      <c r="V192" s="5">
        <f t="shared" si="328"/>
        <v>0</v>
      </c>
      <c r="W192" s="5">
        <f t="shared" si="328"/>
        <v>0</v>
      </c>
      <c r="X192" s="5">
        <f t="shared" si="328"/>
        <v>0</v>
      </c>
      <c r="Y192" s="5">
        <f t="shared" si="328"/>
        <v>0</v>
      </c>
      <c r="Z192" s="5">
        <f t="shared" si="328"/>
        <v>0</v>
      </c>
      <c r="AA192" s="5">
        <f t="shared" si="328"/>
        <v>0</v>
      </c>
      <c r="AB192" s="5">
        <f t="shared" si="328"/>
        <v>0</v>
      </c>
      <c r="AC192" s="5">
        <f t="shared" si="328"/>
        <v>2</v>
      </c>
      <c r="AD192" s="5" t="str">
        <f t="shared" si="328"/>
        <v/>
      </c>
      <c r="AE192" s="5" t="str">
        <f t="shared" si="328"/>
        <v/>
      </c>
      <c r="AF192" s="5" t="str">
        <f t="shared" si="328"/>
        <v/>
      </c>
      <c r="AG192" s="5" t="str">
        <f t="shared" si="328"/>
        <v/>
      </c>
      <c r="AH192" s="5" t="str">
        <f t="shared" si="328"/>
        <v/>
      </c>
      <c r="AI192" s="5" t="str">
        <f t="shared" si="328"/>
        <v/>
      </c>
      <c r="AJ192" s="5" t="str">
        <f t="shared" si="328"/>
        <v/>
      </c>
      <c r="AK192" s="5" t="str">
        <f t="shared" si="328"/>
        <v/>
      </c>
      <c r="AL192" s="5" t="str">
        <f t="shared" si="328"/>
        <v/>
      </c>
      <c r="AM192" s="5" t="str">
        <f t="shared" si="328"/>
        <v/>
      </c>
      <c r="AN192" s="5" t="str">
        <f t="shared" si="328"/>
        <v/>
      </c>
      <c r="AO192" s="5" t="str">
        <f t="shared" ref="AO192:AS192" si="329">IF(AO185="","",AN185+AN186-AO185)</f>
        <v/>
      </c>
      <c r="AP192" s="5" t="str">
        <f t="shared" si="329"/>
        <v/>
      </c>
      <c r="AQ192" s="5" t="str">
        <f t="shared" si="329"/>
        <v/>
      </c>
      <c r="AR192" s="5" t="str">
        <f t="shared" si="329"/>
        <v/>
      </c>
      <c r="AS192" s="5" t="str">
        <f t="shared" si="329"/>
        <v/>
      </c>
    </row>
    <row r="193" spans="1:45" s="93" customFormat="1" ht="11">
      <c r="A193" s="7">
        <f>SUM(C193:AS193)</f>
        <v>800</v>
      </c>
      <c r="B193" s="6" t="s">
        <v>18</v>
      </c>
      <c r="C193" s="74">
        <v>0</v>
      </c>
      <c r="D193" s="5">
        <f t="shared" ref="D193:AN193" si="330">IF(D183="","",D192*D187)</f>
        <v>0</v>
      </c>
      <c r="E193" s="5">
        <f t="shared" si="330"/>
        <v>0</v>
      </c>
      <c r="F193" s="59">
        <f t="shared" si="330"/>
        <v>0</v>
      </c>
      <c r="G193" s="5">
        <f t="shared" si="330"/>
        <v>0</v>
      </c>
      <c r="H193" s="5">
        <f t="shared" si="330"/>
        <v>0</v>
      </c>
      <c r="I193" s="59">
        <f t="shared" si="330"/>
        <v>0</v>
      </c>
      <c r="J193" s="5">
        <f t="shared" si="330"/>
        <v>0</v>
      </c>
      <c r="K193" s="5">
        <f t="shared" si="330"/>
        <v>0</v>
      </c>
      <c r="L193" s="5">
        <f t="shared" si="330"/>
        <v>0</v>
      </c>
      <c r="M193" s="59">
        <f t="shared" si="330"/>
        <v>0</v>
      </c>
      <c r="N193" s="5">
        <f t="shared" si="330"/>
        <v>0</v>
      </c>
      <c r="O193" s="5">
        <f t="shared" si="330"/>
        <v>0</v>
      </c>
      <c r="P193" s="5">
        <f t="shared" si="330"/>
        <v>0</v>
      </c>
      <c r="Q193" s="5">
        <f t="shared" si="330"/>
        <v>0</v>
      </c>
      <c r="R193" s="5">
        <f t="shared" si="330"/>
        <v>0</v>
      </c>
      <c r="S193" s="5">
        <f t="shared" si="330"/>
        <v>0</v>
      </c>
      <c r="T193" s="5">
        <f t="shared" si="330"/>
        <v>0</v>
      </c>
      <c r="U193" s="5">
        <f t="shared" si="330"/>
        <v>0</v>
      </c>
      <c r="V193" s="5">
        <f t="shared" si="330"/>
        <v>0</v>
      </c>
      <c r="W193" s="5">
        <f t="shared" si="330"/>
        <v>0</v>
      </c>
      <c r="X193" s="5">
        <f t="shared" si="330"/>
        <v>0</v>
      </c>
      <c r="Y193" s="5">
        <f t="shared" si="330"/>
        <v>0</v>
      </c>
      <c r="Z193" s="5">
        <f t="shared" si="330"/>
        <v>0</v>
      </c>
      <c r="AA193" s="5">
        <f t="shared" si="330"/>
        <v>0</v>
      </c>
      <c r="AB193" s="5">
        <f t="shared" si="330"/>
        <v>0</v>
      </c>
      <c r="AC193" s="5">
        <f t="shared" si="330"/>
        <v>800</v>
      </c>
      <c r="AD193" s="5" t="str">
        <f t="shared" si="330"/>
        <v/>
      </c>
      <c r="AE193" s="5" t="str">
        <f t="shared" si="330"/>
        <v/>
      </c>
      <c r="AF193" s="5" t="str">
        <f t="shared" si="330"/>
        <v/>
      </c>
      <c r="AG193" s="5" t="str">
        <f t="shared" si="330"/>
        <v/>
      </c>
      <c r="AH193" s="5" t="str">
        <f t="shared" si="330"/>
        <v/>
      </c>
      <c r="AI193" s="5" t="str">
        <f t="shared" si="330"/>
        <v/>
      </c>
      <c r="AJ193" s="5" t="str">
        <f t="shared" si="330"/>
        <v/>
      </c>
      <c r="AK193" s="5" t="str">
        <f t="shared" si="330"/>
        <v/>
      </c>
      <c r="AL193" s="5" t="str">
        <f t="shared" si="330"/>
        <v/>
      </c>
      <c r="AM193" s="5" t="str">
        <f t="shared" si="330"/>
        <v/>
      </c>
      <c r="AN193" s="5" t="str">
        <f t="shared" si="330"/>
        <v/>
      </c>
      <c r="AO193" s="5" t="str">
        <f t="shared" ref="AO193:AS193" si="331">IF(AO183="","",AO192*AO187)</f>
        <v/>
      </c>
      <c r="AP193" s="5" t="str">
        <f t="shared" si="331"/>
        <v/>
      </c>
      <c r="AQ193" s="5" t="str">
        <f t="shared" si="331"/>
        <v/>
      </c>
      <c r="AR193" s="5" t="str">
        <f t="shared" si="331"/>
        <v/>
      </c>
      <c r="AS193" s="5" t="str">
        <f t="shared" si="331"/>
        <v/>
      </c>
    </row>
    <row r="194" spans="1:45" s="93" customFormat="1" ht="12" thickBot="1">
      <c r="A194" s="4">
        <f>IF(A193="","",A193/(A190*100))</f>
        <v>3.0188679245283019E-2</v>
      </c>
      <c r="B194" s="6" t="s">
        <v>20</v>
      </c>
      <c r="C194" s="76" t="s">
        <v>21</v>
      </c>
      <c r="D194" s="18" t="str">
        <f t="shared" ref="D194:AN194" si="332">IF(D193="","",IF(D193=0,"",D193/(D190*100)))</f>
        <v/>
      </c>
      <c r="E194" s="18" t="str">
        <f t="shared" si="332"/>
        <v/>
      </c>
      <c r="F194" s="62" t="str">
        <f t="shared" si="332"/>
        <v/>
      </c>
      <c r="G194" s="18" t="str">
        <f t="shared" si="332"/>
        <v/>
      </c>
      <c r="H194" s="18" t="str">
        <f t="shared" si="332"/>
        <v/>
      </c>
      <c r="I194" s="62" t="str">
        <f t="shared" si="332"/>
        <v/>
      </c>
      <c r="J194" s="18" t="str">
        <f t="shared" si="332"/>
        <v/>
      </c>
      <c r="K194" s="18" t="str">
        <f t="shared" si="332"/>
        <v/>
      </c>
      <c r="L194" s="18" t="str">
        <f t="shared" si="332"/>
        <v/>
      </c>
      <c r="M194" s="62" t="str">
        <f t="shared" si="332"/>
        <v/>
      </c>
      <c r="N194" s="18" t="str">
        <f t="shared" si="332"/>
        <v/>
      </c>
      <c r="O194" s="18" t="str">
        <f t="shared" si="332"/>
        <v/>
      </c>
      <c r="P194" s="18" t="str">
        <f t="shared" si="332"/>
        <v/>
      </c>
      <c r="Q194" s="18" t="str">
        <f t="shared" si="332"/>
        <v/>
      </c>
      <c r="R194" s="18" t="str">
        <f t="shared" si="332"/>
        <v/>
      </c>
      <c r="S194" s="18" t="str">
        <f t="shared" si="332"/>
        <v/>
      </c>
      <c r="T194" s="18" t="str">
        <f t="shared" si="332"/>
        <v/>
      </c>
      <c r="U194" s="18" t="str">
        <f t="shared" si="332"/>
        <v/>
      </c>
      <c r="V194" s="18" t="str">
        <f t="shared" si="332"/>
        <v/>
      </c>
      <c r="W194" s="18" t="str">
        <f t="shared" si="332"/>
        <v/>
      </c>
      <c r="X194" s="18" t="str">
        <f t="shared" si="332"/>
        <v/>
      </c>
      <c r="Y194" s="18" t="str">
        <f t="shared" si="332"/>
        <v/>
      </c>
      <c r="Z194" s="18" t="str">
        <f t="shared" si="332"/>
        <v/>
      </c>
      <c r="AA194" s="18" t="str">
        <f t="shared" si="332"/>
        <v/>
      </c>
      <c r="AB194" s="18" t="str">
        <f t="shared" si="332"/>
        <v/>
      </c>
      <c r="AC194" s="18">
        <f t="shared" si="332"/>
        <v>6.25E-2</v>
      </c>
      <c r="AD194" s="18" t="str">
        <f t="shared" si="332"/>
        <v/>
      </c>
      <c r="AE194" s="18" t="str">
        <f t="shared" si="332"/>
        <v/>
      </c>
      <c r="AF194" s="18" t="str">
        <f t="shared" si="332"/>
        <v/>
      </c>
      <c r="AG194" s="18" t="str">
        <f t="shared" si="332"/>
        <v/>
      </c>
      <c r="AH194" s="18" t="str">
        <f t="shared" si="332"/>
        <v/>
      </c>
      <c r="AI194" s="18" t="str">
        <f t="shared" si="332"/>
        <v/>
      </c>
      <c r="AJ194" s="18" t="str">
        <f t="shared" si="332"/>
        <v/>
      </c>
      <c r="AK194" s="18" t="str">
        <f t="shared" si="332"/>
        <v/>
      </c>
      <c r="AL194" s="18" t="str">
        <f t="shared" si="332"/>
        <v/>
      </c>
      <c r="AM194" s="18" t="str">
        <f t="shared" si="332"/>
        <v/>
      </c>
      <c r="AN194" s="18" t="str">
        <f t="shared" si="332"/>
        <v/>
      </c>
      <c r="AO194" s="18" t="str">
        <f t="shared" ref="AO194:AS194" si="333">IF(AO193="","",IF(AO193=0,"",AO193/(AO190*100)))</f>
        <v/>
      </c>
      <c r="AP194" s="18" t="str">
        <f t="shared" si="333"/>
        <v/>
      </c>
      <c r="AQ194" s="18" t="str">
        <f t="shared" si="333"/>
        <v/>
      </c>
      <c r="AR194" s="18" t="str">
        <f t="shared" si="333"/>
        <v/>
      </c>
      <c r="AS194" s="18" t="str">
        <f t="shared" si="333"/>
        <v/>
      </c>
    </row>
    <row r="195" spans="1:45" s="93" customFormat="1" ht="11">
      <c r="A195" s="17" t="s">
        <v>101</v>
      </c>
      <c r="B195" s="9" t="s">
        <v>2</v>
      </c>
      <c r="C195" s="74">
        <v>11051</v>
      </c>
      <c r="D195" s="8">
        <f>IF(D$3="","",C195)</f>
        <v>11051</v>
      </c>
      <c r="E195" s="8">
        <v>11082</v>
      </c>
      <c r="F195" s="59">
        <f>IF(F$3="","",E195)</f>
        <v>11082</v>
      </c>
      <c r="G195" s="8">
        <f>IF(G$3="","",F195)</f>
        <v>11082</v>
      </c>
      <c r="H195" s="8">
        <v>11106</v>
      </c>
      <c r="I195" s="59">
        <f t="shared" ref="I195:K196" si="334">IF(I$3="","",H195)</f>
        <v>11106</v>
      </c>
      <c r="J195" s="8">
        <f t="shared" si="334"/>
        <v>11106</v>
      </c>
      <c r="K195" s="8">
        <f t="shared" si="334"/>
        <v>11106</v>
      </c>
      <c r="L195" s="8">
        <v>11160</v>
      </c>
      <c r="M195" s="59">
        <f>IF(M$3="","",L195)</f>
        <v>11160</v>
      </c>
      <c r="N195" s="8">
        <f>IF(N$3="","",M195)</f>
        <v>11160</v>
      </c>
      <c r="O195" s="8">
        <v>11214</v>
      </c>
      <c r="P195" s="8">
        <f t="shared" ref="P195:AN195" si="335">IF(P$3="","",O195)</f>
        <v>11214</v>
      </c>
      <c r="Q195" s="8">
        <f t="shared" si="335"/>
        <v>11214</v>
      </c>
      <c r="R195" s="8">
        <f t="shared" si="335"/>
        <v>11214</v>
      </c>
      <c r="S195" s="8">
        <f t="shared" si="335"/>
        <v>11214</v>
      </c>
      <c r="T195" s="8">
        <v>11237</v>
      </c>
      <c r="U195" s="8">
        <f t="shared" si="335"/>
        <v>11237</v>
      </c>
      <c r="V195" s="8">
        <v>11259</v>
      </c>
      <c r="W195" s="8">
        <f t="shared" si="335"/>
        <v>11259</v>
      </c>
      <c r="X195" s="8">
        <f t="shared" si="335"/>
        <v>11259</v>
      </c>
      <c r="Y195" s="8">
        <f t="shared" si="335"/>
        <v>11259</v>
      </c>
      <c r="Z195" s="8">
        <v>11313</v>
      </c>
      <c r="AA195" s="8">
        <f t="shared" si="335"/>
        <v>11313</v>
      </c>
      <c r="AB195" s="8">
        <f t="shared" si="335"/>
        <v>11313</v>
      </c>
      <c r="AC195" s="8">
        <v>11370</v>
      </c>
      <c r="AD195" s="8" t="str">
        <f t="shared" si="335"/>
        <v/>
      </c>
      <c r="AE195" s="8" t="str">
        <f t="shared" si="335"/>
        <v/>
      </c>
      <c r="AF195" s="8" t="str">
        <f t="shared" si="335"/>
        <v/>
      </c>
      <c r="AG195" s="8" t="str">
        <f t="shared" si="335"/>
        <v/>
      </c>
      <c r="AH195" s="8" t="str">
        <f t="shared" si="335"/>
        <v/>
      </c>
      <c r="AI195" s="8" t="str">
        <f t="shared" si="335"/>
        <v/>
      </c>
      <c r="AJ195" s="8" t="str">
        <f t="shared" si="335"/>
        <v/>
      </c>
      <c r="AK195" s="8" t="str">
        <f t="shared" si="335"/>
        <v/>
      </c>
      <c r="AL195" s="8" t="str">
        <f t="shared" si="335"/>
        <v/>
      </c>
      <c r="AM195" s="8" t="str">
        <f t="shared" si="335"/>
        <v/>
      </c>
      <c r="AN195" s="8" t="str">
        <f t="shared" si="335"/>
        <v/>
      </c>
      <c r="AO195" s="8" t="str">
        <f t="shared" ref="AO195:AS195" si="336">IF(AO$3="","",AN195)</f>
        <v/>
      </c>
      <c r="AP195" s="8" t="str">
        <f t="shared" si="336"/>
        <v/>
      </c>
      <c r="AQ195" s="8" t="str">
        <f t="shared" si="336"/>
        <v/>
      </c>
      <c r="AR195" s="8" t="str">
        <f t="shared" si="336"/>
        <v/>
      </c>
      <c r="AS195" s="8" t="str">
        <f t="shared" si="336"/>
        <v/>
      </c>
    </row>
    <row r="196" spans="1:45" s="93" customFormat="1" ht="11">
      <c r="A196" s="16" t="str">
        <f>A184</f>
        <v>BUZZ＃4</v>
      </c>
      <c r="B196" s="9" t="s">
        <v>4</v>
      </c>
      <c r="C196" s="74">
        <v>483</v>
      </c>
      <c r="D196" s="8">
        <f>IF(D$3="","",C196)</f>
        <v>483</v>
      </c>
      <c r="E196" s="8">
        <f>IF(E$3="","",D196)</f>
        <v>483</v>
      </c>
      <c r="F196" s="59">
        <f>IF(F$3="","",E196)</f>
        <v>483</v>
      </c>
      <c r="G196" s="8">
        <f>IF(G$3="","",F196)</f>
        <v>483</v>
      </c>
      <c r="H196" s="8">
        <f>IF(H$3="","",G196)</f>
        <v>483</v>
      </c>
      <c r="I196" s="59">
        <f t="shared" si="334"/>
        <v>483</v>
      </c>
      <c r="J196" s="8">
        <f t="shared" si="334"/>
        <v>483</v>
      </c>
      <c r="K196" s="8">
        <f t="shared" si="334"/>
        <v>483</v>
      </c>
      <c r="L196" s="8">
        <v>484</v>
      </c>
      <c r="M196" s="59">
        <f>IF(M$3="","",L196)</f>
        <v>484</v>
      </c>
      <c r="N196" s="8">
        <f>IF(N$3="","",M196)</f>
        <v>484</v>
      </c>
      <c r="O196" s="8">
        <v>486</v>
      </c>
      <c r="P196" s="8">
        <f t="shared" ref="P196:AN196" si="337">IF(P$3="","",O196)</f>
        <v>486</v>
      </c>
      <c r="Q196" s="8">
        <f t="shared" si="337"/>
        <v>486</v>
      </c>
      <c r="R196" s="8">
        <f t="shared" si="337"/>
        <v>486</v>
      </c>
      <c r="S196" s="8">
        <f t="shared" si="337"/>
        <v>486</v>
      </c>
      <c r="T196" s="8">
        <v>487</v>
      </c>
      <c r="U196" s="8">
        <f t="shared" si="337"/>
        <v>487</v>
      </c>
      <c r="V196" s="8">
        <v>488</v>
      </c>
      <c r="W196" s="8">
        <f t="shared" si="337"/>
        <v>488</v>
      </c>
      <c r="X196" s="8">
        <f t="shared" si="337"/>
        <v>488</v>
      </c>
      <c r="Y196" s="8">
        <f t="shared" si="337"/>
        <v>488</v>
      </c>
      <c r="Z196" s="8">
        <f t="shared" si="337"/>
        <v>488</v>
      </c>
      <c r="AA196" s="8">
        <f t="shared" si="337"/>
        <v>488</v>
      </c>
      <c r="AB196" s="8">
        <f t="shared" si="337"/>
        <v>488</v>
      </c>
      <c r="AC196" s="8">
        <v>490</v>
      </c>
      <c r="AD196" s="8" t="str">
        <f t="shared" si="337"/>
        <v/>
      </c>
      <c r="AE196" s="8" t="str">
        <f t="shared" si="337"/>
        <v/>
      </c>
      <c r="AF196" s="8" t="str">
        <f t="shared" si="337"/>
        <v/>
      </c>
      <c r="AG196" s="8" t="str">
        <f t="shared" si="337"/>
        <v/>
      </c>
      <c r="AH196" s="8" t="str">
        <f t="shared" si="337"/>
        <v/>
      </c>
      <c r="AI196" s="8" t="str">
        <f t="shared" si="337"/>
        <v/>
      </c>
      <c r="AJ196" s="8" t="str">
        <f t="shared" si="337"/>
        <v/>
      </c>
      <c r="AK196" s="8" t="str">
        <f t="shared" si="337"/>
        <v/>
      </c>
      <c r="AL196" s="8" t="str">
        <f t="shared" si="337"/>
        <v/>
      </c>
      <c r="AM196" s="8" t="str">
        <f t="shared" si="337"/>
        <v/>
      </c>
      <c r="AN196" s="8" t="str">
        <f t="shared" si="337"/>
        <v/>
      </c>
      <c r="AO196" s="8" t="str">
        <f t="shared" ref="AO196:AS196" si="338">IF(AO$3="","",AN196)</f>
        <v/>
      </c>
      <c r="AP196" s="8" t="str">
        <f t="shared" si="338"/>
        <v/>
      </c>
      <c r="AQ196" s="8" t="str">
        <f t="shared" si="338"/>
        <v/>
      </c>
      <c r="AR196" s="8" t="str">
        <f t="shared" si="338"/>
        <v/>
      </c>
      <c r="AS196" s="8" t="str">
        <f t="shared" si="338"/>
        <v/>
      </c>
    </row>
    <row r="197" spans="1:45" s="93" customFormat="1" ht="11">
      <c r="A197" s="15">
        <v>3</v>
      </c>
      <c r="B197" s="9" t="s">
        <v>5</v>
      </c>
      <c r="C197" s="74">
        <v>5</v>
      </c>
      <c r="D197" s="8">
        <f t="shared" ref="D197:K197" si="339">IF(D195="","",(C197+C198))</f>
        <v>5</v>
      </c>
      <c r="E197" s="8">
        <f t="shared" si="339"/>
        <v>5</v>
      </c>
      <c r="F197" s="59">
        <f t="shared" si="339"/>
        <v>5</v>
      </c>
      <c r="G197" s="8">
        <f t="shared" si="339"/>
        <v>5</v>
      </c>
      <c r="H197" s="8">
        <f t="shared" si="339"/>
        <v>5</v>
      </c>
      <c r="I197" s="59">
        <f t="shared" si="339"/>
        <v>5</v>
      </c>
      <c r="J197" s="8">
        <f t="shared" si="339"/>
        <v>5</v>
      </c>
      <c r="K197" s="8">
        <f t="shared" si="339"/>
        <v>5</v>
      </c>
      <c r="L197" s="8">
        <v>4</v>
      </c>
      <c r="M197" s="59">
        <f t="shared" ref="M197:AN197" si="340">IF(M195="","",(L197+L198))</f>
        <v>5</v>
      </c>
      <c r="N197" s="8">
        <f t="shared" si="340"/>
        <v>5</v>
      </c>
      <c r="O197" s="8">
        <f t="shared" si="340"/>
        <v>5</v>
      </c>
      <c r="P197" s="8">
        <f t="shared" si="340"/>
        <v>5</v>
      </c>
      <c r="Q197" s="8">
        <f t="shared" si="340"/>
        <v>5</v>
      </c>
      <c r="R197" s="8">
        <f t="shared" si="340"/>
        <v>5</v>
      </c>
      <c r="S197" s="8">
        <f t="shared" si="340"/>
        <v>5</v>
      </c>
      <c r="T197" s="8">
        <v>4</v>
      </c>
      <c r="U197" s="8">
        <f t="shared" si="340"/>
        <v>4</v>
      </c>
      <c r="V197" s="8">
        <v>3</v>
      </c>
      <c r="W197" s="8">
        <f t="shared" si="340"/>
        <v>5</v>
      </c>
      <c r="X197" s="8">
        <f t="shared" si="340"/>
        <v>5</v>
      </c>
      <c r="Y197" s="8">
        <f t="shared" si="340"/>
        <v>5</v>
      </c>
      <c r="Z197" s="8">
        <f t="shared" si="340"/>
        <v>5</v>
      </c>
      <c r="AA197" s="8">
        <f t="shared" si="340"/>
        <v>5</v>
      </c>
      <c r="AB197" s="8">
        <f t="shared" si="340"/>
        <v>5</v>
      </c>
      <c r="AC197" s="8">
        <v>4</v>
      </c>
      <c r="AD197" s="8" t="str">
        <f t="shared" si="340"/>
        <v/>
      </c>
      <c r="AE197" s="8" t="str">
        <f t="shared" si="340"/>
        <v/>
      </c>
      <c r="AF197" s="8" t="str">
        <f t="shared" si="340"/>
        <v/>
      </c>
      <c r="AG197" s="8" t="str">
        <f t="shared" si="340"/>
        <v/>
      </c>
      <c r="AH197" s="8" t="str">
        <f t="shared" si="340"/>
        <v/>
      </c>
      <c r="AI197" s="8" t="str">
        <f t="shared" si="340"/>
        <v/>
      </c>
      <c r="AJ197" s="8" t="str">
        <f t="shared" si="340"/>
        <v/>
      </c>
      <c r="AK197" s="8" t="str">
        <f t="shared" si="340"/>
        <v/>
      </c>
      <c r="AL197" s="8" t="str">
        <f t="shared" si="340"/>
        <v/>
      </c>
      <c r="AM197" s="8" t="str">
        <f t="shared" si="340"/>
        <v/>
      </c>
      <c r="AN197" s="8" t="str">
        <f t="shared" si="340"/>
        <v/>
      </c>
      <c r="AO197" s="8" t="str">
        <f t="shared" ref="AO197:AS197" si="341">IF(AO195="","",(AN197+AN198))</f>
        <v/>
      </c>
      <c r="AP197" s="8" t="str">
        <f t="shared" si="341"/>
        <v/>
      </c>
      <c r="AQ197" s="8" t="str">
        <f t="shared" si="341"/>
        <v/>
      </c>
      <c r="AR197" s="8" t="str">
        <f t="shared" si="341"/>
        <v/>
      </c>
      <c r="AS197" s="8" t="str">
        <f t="shared" si="341"/>
        <v/>
      </c>
    </row>
    <row r="198" spans="1:45" s="93" customFormat="1" ht="11">
      <c r="A198" s="14"/>
      <c r="B198" s="9" t="s">
        <v>7</v>
      </c>
      <c r="C198" s="74"/>
      <c r="D198" s="8"/>
      <c r="E198" s="8"/>
      <c r="F198" s="59"/>
      <c r="G198" s="8"/>
      <c r="H198" s="8"/>
      <c r="I198" s="59"/>
      <c r="J198" s="8"/>
      <c r="K198" s="8"/>
      <c r="L198" s="8">
        <v>1</v>
      </c>
      <c r="M198" s="59"/>
      <c r="N198" s="8"/>
      <c r="O198" s="8"/>
      <c r="P198" s="8"/>
      <c r="Q198" s="8"/>
      <c r="R198" s="8"/>
      <c r="S198" s="8"/>
      <c r="T198" s="8"/>
      <c r="U198" s="8"/>
      <c r="V198" s="8">
        <v>2</v>
      </c>
      <c r="W198" s="8"/>
      <c r="X198" s="8"/>
      <c r="Y198" s="8"/>
      <c r="Z198" s="8"/>
      <c r="AA198" s="8"/>
      <c r="AB198" s="8"/>
      <c r="AC198" s="8">
        <v>1</v>
      </c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</row>
    <row r="199" spans="1:45" s="93" customFormat="1" ht="11">
      <c r="A199" s="7"/>
      <c r="B199" s="9" t="s">
        <v>8</v>
      </c>
      <c r="C199" s="74">
        <v>750</v>
      </c>
      <c r="D199" s="8">
        <f t="shared" ref="D199:AN199" si="342">IF(D195="","",C199)</f>
        <v>750</v>
      </c>
      <c r="E199" s="8">
        <f t="shared" si="342"/>
        <v>750</v>
      </c>
      <c r="F199" s="59">
        <f t="shared" si="342"/>
        <v>750</v>
      </c>
      <c r="G199" s="8">
        <f t="shared" si="342"/>
        <v>750</v>
      </c>
      <c r="H199" s="8">
        <f t="shared" si="342"/>
        <v>750</v>
      </c>
      <c r="I199" s="59">
        <f t="shared" si="342"/>
        <v>750</v>
      </c>
      <c r="J199" s="8">
        <f t="shared" si="342"/>
        <v>750</v>
      </c>
      <c r="K199" s="8">
        <f t="shared" si="342"/>
        <v>750</v>
      </c>
      <c r="L199" s="8">
        <f t="shared" si="342"/>
        <v>750</v>
      </c>
      <c r="M199" s="59">
        <f t="shared" si="342"/>
        <v>750</v>
      </c>
      <c r="N199" s="8">
        <f t="shared" si="342"/>
        <v>750</v>
      </c>
      <c r="O199" s="8">
        <f t="shared" si="342"/>
        <v>750</v>
      </c>
      <c r="P199" s="8">
        <f t="shared" si="342"/>
        <v>750</v>
      </c>
      <c r="Q199" s="8">
        <f t="shared" si="342"/>
        <v>750</v>
      </c>
      <c r="R199" s="8">
        <f t="shared" si="342"/>
        <v>750</v>
      </c>
      <c r="S199" s="8">
        <f t="shared" si="342"/>
        <v>750</v>
      </c>
      <c r="T199" s="8">
        <f t="shared" si="342"/>
        <v>750</v>
      </c>
      <c r="U199" s="8">
        <f t="shared" si="342"/>
        <v>750</v>
      </c>
      <c r="V199" s="8">
        <f t="shared" si="342"/>
        <v>750</v>
      </c>
      <c r="W199" s="8">
        <f t="shared" si="342"/>
        <v>750</v>
      </c>
      <c r="X199" s="8">
        <f t="shared" si="342"/>
        <v>750</v>
      </c>
      <c r="Y199" s="8">
        <f t="shared" si="342"/>
        <v>750</v>
      </c>
      <c r="Z199" s="8">
        <f t="shared" si="342"/>
        <v>750</v>
      </c>
      <c r="AA199" s="8">
        <f t="shared" si="342"/>
        <v>750</v>
      </c>
      <c r="AB199" s="8">
        <f t="shared" si="342"/>
        <v>750</v>
      </c>
      <c r="AC199" s="8">
        <f t="shared" si="342"/>
        <v>750</v>
      </c>
      <c r="AD199" s="8" t="str">
        <f t="shared" si="342"/>
        <v/>
      </c>
      <c r="AE199" s="8" t="str">
        <f t="shared" si="342"/>
        <v/>
      </c>
      <c r="AF199" s="8" t="str">
        <f t="shared" si="342"/>
        <v/>
      </c>
      <c r="AG199" s="8" t="str">
        <f t="shared" si="342"/>
        <v/>
      </c>
      <c r="AH199" s="8" t="str">
        <f t="shared" si="342"/>
        <v/>
      </c>
      <c r="AI199" s="8" t="str">
        <f t="shared" si="342"/>
        <v/>
      </c>
      <c r="AJ199" s="8" t="str">
        <f t="shared" si="342"/>
        <v/>
      </c>
      <c r="AK199" s="8" t="str">
        <f t="shared" si="342"/>
        <v/>
      </c>
      <c r="AL199" s="8" t="str">
        <f t="shared" si="342"/>
        <v/>
      </c>
      <c r="AM199" s="8" t="str">
        <f t="shared" si="342"/>
        <v/>
      </c>
      <c r="AN199" s="8" t="str">
        <f t="shared" si="342"/>
        <v/>
      </c>
      <c r="AO199" s="8" t="str">
        <f t="shared" ref="AO199:AS199" si="343">IF(AO195="","",AN199)</f>
        <v/>
      </c>
      <c r="AP199" s="8" t="str">
        <f t="shared" si="343"/>
        <v/>
      </c>
      <c r="AQ199" s="8" t="str">
        <f t="shared" si="343"/>
        <v/>
      </c>
      <c r="AR199" s="8" t="str">
        <f t="shared" si="343"/>
        <v/>
      </c>
      <c r="AS199" s="8" t="str">
        <f t="shared" si="343"/>
        <v/>
      </c>
    </row>
    <row r="200" spans="1:45" s="94" customFormat="1" ht="11">
      <c r="A200" s="14" t="s">
        <v>9</v>
      </c>
      <c r="B200" s="13" t="s">
        <v>10</v>
      </c>
      <c r="C200" s="75" t="s">
        <v>106</v>
      </c>
      <c r="D200" s="12" t="str">
        <f t="shared" ref="D200:AN200" si="344">IF(D195="","",C200)</f>
        <v>サンリオキーケース</v>
      </c>
      <c r="E200" s="12" t="str">
        <f t="shared" si="344"/>
        <v>サンリオキーケース</v>
      </c>
      <c r="F200" s="131" t="str">
        <f t="shared" si="344"/>
        <v>サンリオキーケース</v>
      </c>
      <c r="G200" s="12" t="str">
        <f t="shared" si="344"/>
        <v>サンリオキーケース</v>
      </c>
      <c r="H200" s="12" t="str">
        <f t="shared" si="344"/>
        <v>サンリオキーケース</v>
      </c>
      <c r="I200" s="131" t="str">
        <f t="shared" si="344"/>
        <v>サンリオキーケース</v>
      </c>
      <c r="J200" s="12" t="str">
        <f t="shared" si="344"/>
        <v>サンリオキーケース</v>
      </c>
      <c r="K200" s="12" t="str">
        <f t="shared" si="344"/>
        <v>サンリオキーケース</v>
      </c>
      <c r="L200" s="12" t="str">
        <f t="shared" si="344"/>
        <v>サンリオキーケース</v>
      </c>
      <c r="M200" s="131" t="str">
        <f t="shared" si="344"/>
        <v>サンリオキーケース</v>
      </c>
      <c r="N200" s="12" t="str">
        <f t="shared" si="344"/>
        <v>サンリオキーケース</v>
      </c>
      <c r="O200" s="12" t="str">
        <f t="shared" si="344"/>
        <v>サンリオキーケース</v>
      </c>
      <c r="P200" s="12" t="str">
        <f t="shared" si="344"/>
        <v>サンリオキーケース</v>
      </c>
      <c r="Q200" s="12" t="str">
        <f t="shared" si="344"/>
        <v>サンリオキーケース</v>
      </c>
      <c r="R200" s="12" t="str">
        <f t="shared" si="344"/>
        <v>サンリオキーケース</v>
      </c>
      <c r="S200" s="12" t="str">
        <f t="shared" si="344"/>
        <v>サンリオキーケース</v>
      </c>
      <c r="T200" s="12" t="str">
        <f t="shared" si="344"/>
        <v>サンリオキーケース</v>
      </c>
      <c r="U200" s="12" t="str">
        <f t="shared" si="344"/>
        <v>サンリオキーケース</v>
      </c>
      <c r="V200" s="12" t="str">
        <f t="shared" si="344"/>
        <v>サンリオキーケース</v>
      </c>
      <c r="W200" s="12" t="str">
        <f t="shared" si="344"/>
        <v>サンリオキーケース</v>
      </c>
      <c r="X200" s="12" t="str">
        <f t="shared" si="344"/>
        <v>サンリオキーケース</v>
      </c>
      <c r="Y200" s="12" t="str">
        <f t="shared" si="344"/>
        <v>サンリオキーケース</v>
      </c>
      <c r="Z200" s="12" t="str">
        <f t="shared" si="344"/>
        <v>サンリオキーケース</v>
      </c>
      <c r="AA200" s="12" t="str">
        <f t="shared" si="344"/>
        <v>サンリオキーケース</v>
      </c>
      <c r="AB200" s="12" t="str">
        <f t="shared" si="344"/>
        <v>サンリオキーケース</v>
      </c>
      <c r="AC200" s="12" t="str">
        <f t="shared" si="344"/>
        <v>サンリオキーケース</v>
      </c>
      <c r="AD200" s="12" t="str">
        <f t="shared" si="344"/>
        <v/>
      </c>
      <c r="AE200" s="12" t="str">
        <f t="shared" si="344"/>
        <v/>
      </c>
      <c r="AF200" s="12" t="str">
        <f t="shared" si="344"/>
        <v/>
      </c>
      <c r="AG200" s="12" t="str">
        <f t="shared" si="344"/>
        <v/>
      </c>
      <c r="AH200" s="12" t="str">
        <f t="shared" si="344"/>
        <v/>
      </c>
      <c r="AI200" s="12" t="str">
        <f t="shared" si="344"/>
        <v/>
      </c>
      <c r="AJ200" s="12" t="str">
        <f t="shared" si="344"/>
        <v/>
      </c>
      <c r="AK200" s="12" t="str">
        <f t="shared" si="344"/>
        <v/>
      </c>
      <c r="AL200" s="12" t="str">
        <f t="shared" si="344"/>
        <v/>
      </c>
      <c r="AM200" s="12" t="str">
        <f t="shared" si="344"/>
        <v/>
      </c>
      <c r="AN200" s="12" t="str">
        <f t="shared" si="344"/>
        <v/>
      </c>
      <c r="AO200" s="12" t="str">
        <f t="shared" ref="AO200:AS200" si="345">IF(AO195="","",AN200)</f>
        <v/>
      </c>
      <c r="AP200" s="12" t="str">
        <f t="shared" si="345"/>
        <v/>
      </c>
      <c r="AQ200" s="12" t="str">
        <f t="shared" si="345"/>
        <v/>
      </c>
      <c r="AR200" s="12" t="str">
        <f t="shared" si="345"/>
        <v/>
      </c>
      <c r="AS200" s="12" t="str">
        <f t="shared" si="345"/>
        <v/>
      </c>
    </row>
    <row r="201" spans="1:45" s="93" customFormat="1" ht="11">
      <c r="A201" s="7">
        <f>AVERAGE(C202:AS202)*30*100</f>
        <v>35444.444444444445</v>
      </c>
      <c r="B201" s="9" t="s">
        <v>14</v>
      </c>
      <c r="C201" s="74"/>
      <c r="D201" s="8"/>
      <c r="E201" s="8"/>
      <c r="F201" s="59"/>
      <c r="G201" s="8"/>
      <c r="H201" s="8"/>
      <c r="I201" s="59"/>
      <c r="J201" s="8"/>
      <c r="K201" s="8"/>
      <c r="L201" s="8"/>
      <c r="M201" s="59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</row>
    <row r="202" spans="1:45" s="93" customFormat="1" ht="11">
      <c r="A202" s="7">
        <f>SUM(C202:AS202)</f>
        <v>319</v>
      </c>
      <c r="B202" s="6" t="s">
        <v>15</v>
      </c>
      <c r="C202" s="74">
        <v>0</v>
      </c>
      <c r="D202" s="5">
        <f t="shared" ref="D202:AN202" si="346">IF(D195="","",D195-C195)</f>
        <v>0</v>
      </c>
      <c r="E202" s="5">
        <f t="shared" si="346"/>
        <v>31</v>
      </c>
      <c r="F202" s="59">
        <f t="shared" si="346"/>
        <v>0</v>
      </c>
      <c r="G202" s="5">
        <f t="shared" si="346"/>
        <v>0</v>
      </c>
      <c r="H202" s="5">
        <f t="shared" si="346"/>
        <v>24</v>
      </c>
      <c r="I202" s="59">
        <f t="shared" si="346"/>
        <v>0</v>
      </c>
      <c r="J202" s="5">
        <f t="shared" si="346"/>
        <v>0</v>
      </c>
      <c r="K202" s="5">
        <f t="shared" si="346"/>
        <v>0</v>
      </c>
      <c r="L202" s="5">
        <f t="shared" si="346"/>
        <v>54</v>
      </c>
      <c r="M202" s="59">
        <f t="shared" si="346"/>
        <v>0</v>
      </c>
      <c r="N202" s="5">
        <f t="shared" si="346"/>
        <v>0</v>
      </c>
      <c r="O202" s="5">
        <f t="shared" si="346"/>
        <v>54</v>
      </c>
      <c r="P202" s="5">
        <f t="shared" si="346"/>
        <v>0</v>
      </c>
      <c r="Q202" s="5">
        <f t="shared" si="346"/>
        <v>0</v>
      </c>
      <c r="R202" s="5">
        <f t="shared" si="346"/>
        <v>0</v>
      </c>
      <c r="S202" s="5">
        <f t="shared" si="346"/>
        <v>0</v>
      </c>
      <c r="T202" s="5">
        <f t="shared" si="346"/>
        <v>23</v>
      </c>
      <c r="U202" s="5">
        <f t="shared" si="346"/>
        <v>0</v>
      </c>
      <c r="V202" s="5">
        <f t="shared" si="346"/>
        <v>22</v>
      </c>
      <c r="W202" s="5">
        <f t="shared" si="346"/>
        <v>0</v>
      </c>
      <c r="X202" s="5">
        <f t="shared" si="346"/>
        <v>0</v>
      </c>
      <c r="Y202" s="5">
        <f t="shared" si="346"/>
        <v>0</v>
      </c>
      <c r="Z202" s="5">
        <f t="shared" si="346"/>
        <v>54</v>
      </c>
      <c r="AA202" s="5">
        <f t="shared" si="346"/>
        <v>0</v>
      </c>
      <c r="AB202" s="5">
        <f t="shared" si="346"/>
        <v>0</v>
      </c>
      <c r="AC202" s="5">
        <f t="shared" si="346"/>
        <v>57</v>
      </c>
      <c r="AD202" s="5" t="str">
        <f t="shared" si="346"/>
        <v/>
      </c>
      <c r="AE202" s="5" t="str">
        <f t="shared" si="346"/>
        <v/>
      </c>
      <c r="AF202" s="5" t="str">
        <f t="shared" si="346"/>
        <v/>
      </c>
      <c r="AG202" s="5" t="str">
        <f t="shared" si="346"/>
        <v/>
      </c>
      <c r="AH202" s="5" t="str">
        <f t="shared" si="346"/>
        <v/>
      </c>
      <c r="AI202" s="5" t="str">
        <f t="shared" si="346"/>
        <v/>
      </c>
      <c r="AJ202" s="5" t="str">
        <f t="shared" si="346"/>
        <v/>
      </c>
      <c r="AK202" s="5" t="str">
        <f t="shared" si="346"/>
        <v/>
      </c>
      <c r="AL202" s="5" t="str">
        <f t="shared" si="346"/>
        <v/>
      </c>
      <c r="AM202" s="5" t="str">
        <f t="shared" si="346"/>
        <v/>
      </c>
      <c r="AN202" s="5" t="str">
        <f t="shared" si="346"/>
        <v/>
      </c>
      <c r="AO202" s="5" t="str">
        <f t="shared" ref="AO202:AS202" si="347">IF(AO195="","",AO195-AN195)</f>
        <v/>
      </c>
      <c r="AP202" s="5" t="str">
        <f t="shared" si="347"/>
        <v/>
      </c>
      <c r="AQ202" s="5" t="str">
        <f t="shared" si="347"/>
        <v/>
      </c>
      <c r="AR202" s="5" t="str">
        <f t="shared" si="347"/>
        <v/>
      </c>
      <c r="AS202" s="5" t="str">
        <f t="shared" si="347"/>
        <v/>
      </c>
    </row>
    <row r="203" spans="1:45" s="93" customFormat="1" ht="11">
      <c r="A203" s="7">
        <f>SUM(C203:AS203)</f>
        <v>7</v>
      </c>
      <c r="B203" s="6" t="s">
        <v>16</v>
      </c>
      <c r="C203" s="74">
        <v>0</v>
      </c>
      <c r="D203" s="5">
        <f t="shared" ref="D203:AN203" si="348">IF(D196="","",D196-C196)</f>
        <v>0</v>
      </c>
      <c r="E203" s="5">
        <f t="shared" si="348"/>
        <v>0</v>
      </c>
      <c r="F203" s="59">
        <f t="shared" si="348"/>
        <v>0</v>
      </c>
      <c r="G203" s="5">
        <f t="shared" si="348"/>
        <v>0</v>
      </c>
      <c r="H203" s="5">
        <f t="shared" si="348"/>
        <v>0</v>
      </c>
      <c r="I203" s="59">
        <f t="shared" si="348"/>
        <v>0</v>
      </c>
      <c r="J203" s="5">
        <f t="shared" si="348"/>
        <v>0</v>
      </c>
      <c r="K203" s="5">
        <f t="shared" si="348"/>
        <v>0</v>
      </c>
      <c r="L203" s="5">
        <f t="shared" si="348"/>
        <v>1</v>
      </c>
      <c r="M203" s="59">
        <f t="shared" si="348"/>
        <v>0</v>
      </c>
      <c r="N203" s="5">
        <f t="shared" si="348"/>
        <v>0</v>
      </c>
      <c r="O203" s="5">
        <f t="shared" si="348"/>
        <v>2</v>
      </c>
      <c r="P203" s="5">
        <f t="shared" si="348"/>
        <v>0</v>
      </c>
      <c r="Q203" s="5">
        <f t="shared" si="348"/>
        <v>0</v>
      </c>
      <c r="R203" s="5">
        <f t="shared" si="348"/>
        <v>0</v>
      </c>
      <c r="S203" s="5">
        <f t="shared" si="348"/>
        <v>0</v>
      </c>
      <c r="T203" s="5">
        <f t="shared" si="348"/>
        <v>1</v>
      </c>
      <c r="U203" s="5">
        <f t="shared" si="348"/>
        <v>0</v>
      </c>
      <c r="V203" s="5">
        <f t="shared" si="348"/>
        <v>1</v>
      </c>
      <c r="W203" s="5">
        <f t="shared" si="348"/>
        <v>0</v>
      </c>
      <c r="X203" s="5">
        <f t="shared" si="348"/>
        <v>0</v>
      </c>
      <c r="Y203" s="5">
        <f t="shared" si="348"/>
        <v>0</v>
      </c>
      <c r="Z203" s="5">
        <f t="shared" si="348"/>
        <v>0</v>
      </c>
      <c r="AA203" s="5">
        <f t="shared" si="348"/>
        <v>0</v>
      </c>
      <c r="AB203" s="5">
        <f t="shared" si="348"/>
        <v>0</v>
      </c>
      <c r="AC203" s="5">
        <f t="shared" si="348"/>
        <v>2</v>
      </c>
      <c r="AD203" s="5" t="str">
        <f t="shared" si="348"/>
        <v/>
      </c>
      <c r="AE203" s="5" t="str">
        <f t="shared" si="348"/>
        <v/>
      </c>
      <c r="AF203" s="5" t="str">
        <f t="shared" si="348"/>
        <v/>
      </c>
      <c r="AG203" s="5" t="str">
        <f t="shared" si="348"/>
        <v/>
      </c>
      <c r="AH203" s="5" t="str">
        <f t="shared" si="348"/>
        <v/>
      </c>
      <c r="AI203" s="5" t="str">
        <f t="shared" si="348"/>
        <v/>
      </c>
      <c r="AJ203" s="5" t="str">
        <f t="shared" si="348"/>
        <v/>
      </c>
      <c r="AK203" s="5" t="str">
        <f t="shared" si="348"/>
        <v/>
      </c>
      <c r="AL203" s="5" t="str">
        <f t="shared" si="348"/>
        <v/>
      </c>
      <c r="AM203" s="5" t="str">
        <f t="shared" si="348"/>
        <v/>
      </c>
      <c r="AN203" s="5" t="str">
        <f t="shared" si="348"/>
        <v/>
      </c>
      <c r="AO203" s="5" t="str">
        <f t="shared" ref="AO203:AS203" si="349">IF(AO196="","",AO196-AN196)</f>
        <v/>
      </c>
      <c r="AP203" s="5" t="str">
        <f t="shared" si="349"/>
        <v/>
      </c>
      <c r="AQ203" s="5" t="str">
        <f t="shared" si="349"/>
        <v/>
      </c>
      <c r="AR203" s="5" t="str">
        <f t="shared" si="349"/>
        <v/>
      </c>
      <c r="AS203" s="5" t="str">
        <f t="shared" si="349"/>
        <v/>
      </c>
    </row>
    <row r="204" spans="1:45" s="93" customFormat="1" ht="11">
      <c r="A204" s="7">
        <f>SUM(C204:AS204)</f>
        <v>4</v>
      </c>
      <c r="B204" s="6" t="s">
        <v>17</v>
      </c>
      <c r="C204" s="74">
        <v>0</v>
      </c>
      <c r="D204" s="5">
        <f t="shared" ref="D204:AN204" si="350">IF(D197="","",C197+C198-D197)</f>
        <v>0</v>
      </c>
      <c r="E204" s="5">
        <f t="shared" si="350"/>
        <v>0</v>
      </c>
      <c r="F204" s="59">
        <f t="shared" si="350"/>
        <v>0</v>
      </c>
      <c r="G204" s="5">
        <f t="shared" si="350"/>
        <v>0</v>
      </c>
      <c r="H204" s="5">
        <f t="shared" si="350"/>
        <v>0</v>
      </c>
      <c r="I204" s="59">
        <f t="shared" si="350"/>
        <v>0</v>
      </c>
      <c r="J204" s="5">
        <f t="shared" si="350"/>
        <v>0</v>
      </c>
      <c r="K204" s="5">
        <f t="shared" si="350"/>
        <v>0</v>
      </c>
      <c r="L204" s="5">
        <f t="shared" si="350"/>
        <v>1</v>
      </c>
      <c r="M204" s="59">
        <f t="shared" si="350"/>
        <v>0</v>
      </c>
      <c r="N204" s="5">
        <f t="shared" si="350"/>
        <v>0</v>
      </c>
      <c r="O204" s="5">
        <f t="shared" si="350"/>
        <v>0</v>
      </c>
      <c r="P204" s="5">
        <f t="shared" si="350"/>
        <v>0</v>
      </c>
      <c r="Q204" s="5">
        <f t="shared" si="350"/>
        <v>0</v>
      </c>
      <c r="R204" s="5">
        <f t="shared" si="350"/>
        <v>0</v>
      </c>
      <c r="S204" s="5">
        <f t="shared" si="350"/>
        <v>0</v>
      </c>
      <c r="T204" s="5">
        <f t="shared" si="350"/>
        <v>1</v>
      </c>
      <c r="U204" s="5">
        <f t="shared" si="350"/>
        <v>0</v>
      </c>
      <c r="V204" s="5">
        <f t="shared" si="350"/>
        <v>1</v>
      </c>
      <c r="W204" s="5">
        <f t="shared" si="350"/>
        <v>0</v>
      </c>
      <c r="X204" s="5">
        <f t="shared" si="350"/>
        <v>0</v>
      </c>
      <c r="Y204" s="5">
        <f t="shared" si="350"/>
        <v>0</v>
      </c>
      <c r="Z204" s="5">
        <f t="shared" si="350"/>
        <v>0</v>
      </c>
      <c r="AA204" s="5">
        <f t="shared" si="350"/>
        <v>0</v>
      </c>
      <c r="AB204" s="5">
        <f t="shared" si="350"/>
        <v>0</v>
      </c>
      <c r="AC204" s="5">
        <f t="shared" si="350"/>
        <v>1</v>
      </c>
      <c r="AD204" s="5" t="str">
        <f t="shared" si="350"/>
        <v/>
      </c>
      <c r="AE204" s="5" t="str">
        <f t="shared" si="350"/>
        <v/>
      </c>
      <c r="AF204" s="5" t="str">
        <f t="shared" si="350"/>
        <v/>
      </c>
      <c r="AG204" s="5" t="str">
        <f t="shared" si="350"/>
        <v/>
      </c>
      <c r="AH204" s="5" t="str">
        <f t="shared" si="350"/>
        <v/>
      </c>
      <c r="AI204" s="5" t="str">
        <f t="shared" si="350"/>
        <v/>
      </c>
      <c r="AJ204" s="5" t="str">
        <f t="shared" si="350"/>
        <v/>
      </c>
      <c r="AK204" s="5" t="str">
        <f t="shared" si="350"/>
        <v/>
      </c>
      <c r="AL204" s="5" t="str">
        <f t="shared" si="350"/>
        <v/>
      </c>
      <c r="AM204" s="5" t="str">
        <f t="shared" si="350"/>
        <v/>
      </c>
      <c r="AN204" s="5" t="str">
        <f t="shared" si="350"/>
        <v/>
      </c>
      <c r="AO204" s="5" t="str">
        <f t="shared" ref="AO204:AS204" si="351">IF(AO197="","",AN197+AN198-AO197)</f>
        <v/>
      </c>
      <c r="AP204" s="5" t="str">
        <f t="shared" si="351"/>
        <v/>
      </c>
      <c r="AQ204" s="5" t="str">
        <f t="shared" si="351"/>
        <v/>
      </c>
      <c r="AR204" s="5" t="str">
        <f t="shared" si="351"/>
        <v/>
      </c>
      <c r="AS204" s="5" t="str">
        <f t="shared" si="351"/>
        <v/>
      </c>
    </row>
    <row r="205" spans="1:45" s="93" customFormat="1" ht="11">
      <c r="A205" s="7">
        <f>SUM(C205:AS205)</f>
        <v>3000</v>
      </c>
      <c r="B205" s="6" t="s">
        <v>18</v>
      </c>
      <c r="C205" s="74">
        <v>0</v>
      </c>
      <c r="D205" s="5">
        <f t="shared" ref="D205:AN205" si="352">IF(D195="","",D204*D199)</f>
        <v>0</v>
      </c>
      <c r="E205" s="5">
        <f t="shared" si="352"/>
        <v>0</v>
      </c>
      <c r="F205" s="59">
        <f t="shared" si="352"/>
        <v>0</v>
      </c>
      <c r="G205" s="5">
        <f t="shared" si="352"/>
        <v>0</v>
      </c>
      <c r="H205" s="5">
        <f t="shared" si="352"/>
        <v>0</v>
      </c>
      <c r="I205" s="59">
        <f t="shared" si="352"/>
        <v>0</v>
      </c>
      <c r="J205" s="5">
        <f t="shared" si="352"/>
        <v>0</v>
      </c>
      <c r="K205" s="5">
        <f t="shared" si="352"/>
        <v>0</v>
      </c>
      <c r="L205" s="5">
        <f t="shared" si="352"/>
        <v>750</v>
      </c>
      <c r="M205" s="59">
        <f t="shared" si="352"/>
        <v>0</v>
      </c>
      <c r="N205" s="5">
        <f t="shared" si="352"/>
        <v>0</v>
      </c>
      <c r="O205" s="5">
        <f t="shared" si="352"/>
        <v>0</v>
      </c>
      <c r="P205" s="5">
        <f t="shared" si="352"/>
        <v>0</v>
      </c>
      <c r="Q205" s="5">
        <f t="shared" si="352"/>
        <v>0</v>
      </c>
      <c r="R205" s="5">
        <f t="shared" si="352"/>
        <v>0</v>
      </c>
      <c r="S205" s="5">
        <f t="shared" si="352"/>
        <v>0</v>
      </c>
      <c r="T205" s="5">
        <f t="shared" si="352"/>
        <v>750</v>
      </c>
      <c r="U205" s="5">
        <f t="shared" si="352"/>
        <v>0</v>
      </c>
      <c r="V205" s="5">
        <f t="shared" si="352"/>
        <v>750</v>
      </c>
      <c r="W205" s="5">
        <f t="shared" si="352"/>
        <v>0</v>
      </c>
      <c r="X205" s="5">
        <f t="shared" si="352"/>
        <v>0</v>
      </c>
      <c r="Y205" s="5">
        <f t="shared" si="352"/>
        <v>0</v>
      </c>
      <c r="Z205" s="5">
        <f t="shared" si="352"/>
        <v>0</v>
      </c>
      <c r="AA205" s="5">
        <f t="shared" si="352"/>
        <v>0</v>
      </c>
      <c r="AB205" s="5">
        <f t="shared" si="352"/>
        <v>0</v>
      </c>
      <c r="AC205" s="5">
        <f t="shared" si="352"/>
        <v>750</v>
      </c>
      <c r="AD205" s="5" t="str">
        <f t="shared" si="352"/>
        <v/>
      </c>
      <c r="AE205" s="5" t="str">
        <f t="shared" si="352"/>
        <v/>
      </c>
      <c r="AF205" s="5" t="str">
        <f t="shared" si="352"/>
        <v/>
      </c>
      <c r="AG205" s="5" t="str">
        <f t="shared" si="352"/>
        <v/>
      </c>
      <c r="AH205" s="5" t="str">
        <f t="shared" si="352"/>
        <v/>
      </c>
      <c r="AI205" s="5" t="str">
        <f t="shared" si="352"/>
        <v/>
      </c>
      <c r="AJ205" s="5" t="str">
        <f t="shared" si="352"/>
        <v/>
      </c>
      <c r="AK205" s="5" t="str">
        <f t="shared" si="352"/>
        <v/>
      </c>
      <c r="AL205" s="5" t="str">
        <f t="shared" si="352"/>
        <v/>
      </c>
      <c r="AM205" s="5" t="str">
        <f t="shared" si="352"/>
        <v/>
      </c>
      <c r="AN205" s="5" t="str">
        <f t="shared" si="352"/>
        <v/>
      </c>
      <c r="AO205" s="5" t="str">
        <f t="shared" ref="AO205:AS205" si="353">IF(AO195="","",AO204*AO199)</f>
        <v/>
      </c>
      <c r="AP205" s="5" t="str">
        <f t="shared" si="353"/>
        <v/>
      </c>
      <c r="AQ205" s="5" t="str">
        <f t="shared" si="353"/>
        <v/>
      </c>
      <c r="AR205" s="5" t="str">
        <f t="shared" si="353"/>
        <v/>
      </c>
      <c r="AS205" s="5" t="str">
        <f t="shared" si="353"/>
        <v/>
      </c>
    </row>
    <row r="206" spans="1:45" s="93" customFormat="1" ht="12" thickBot="1">
      <c r="A206" s="4">
        <f>IF(A205="","",A205/(A202*100))</f>
        <v>9.4043887147335428E-2</v>
      </c>
      <c r="B206" s="6" t="s">
        <v>20</v>
      </c>
      <c r="C206" s="76" t="s">
        <v>21</v>
      </c>
      <c r="D206" s="18" t="str">
        <f t="shared" ref="D206:AN206" si="354">IF(D205="","",IF(D205=0,"",D205/(D202*100)))</f>
        <v/>
      </c>
      <c r="E206" s="18" t="str">
        <f t="shared" si="354"/>
        <v/>
      </c>
      <c r="F206" s="62" t="str">
        <f t="shared" si="354"/>
        <v/>
      </c>
      <c r="G206" s="18" t="str">
        <f t="shared" si="354"/>
        <v/>
      </c>
      <c r="H206" s="18" t="str">
        <f t="shared" si="354"/>
        <v/>
      </c>
      <c r="I206" s="62" t="str">
        <f t="shared" si="354"/>
        <v/>
      </c>
      <c r="J206" s="18" t="str">
        <f t="shared" si="354"/>
        <v/>
      </c>
      <c r="K206" s="18" t="str">
        <f t="shared" si="354"/>
        <v/>
      </c>
      <c r="L206" s="18">
        <f t="shared" si="354"/>
        <v>0.1388888888888889</v>
      </c>
      <c r="M206" s="62" t="str">
        <f t="shared" si="354"/>
        <v/>
      </c>
      <c r="N206" s="18" t="str">
        <f t="shared" si="354"/>
        <v/>
      </c>
      <c r="O206" s="18" t="str">
        <f t="shared" si="354"/>
        <v/>
      </c>
      <c r="P206" s="18" t="str">
        <f t="shared" si="354"/>
        <v/>
      </c>
      <c r="Q206" s="18" t="str">
        <f t="shared" si="354"/>
        <v/>
      </c>
      <c r="R206" s="18" t="str">
        <f t="shared" si="354"/>
        <v/>
      </c>
      <c r="S206" s="18" t="str">
        <f t="shared" si="354"/>
        <v/>
      </c>
      <c r="T206" s="18">
        <f t="shared" si="354"/>
        <v>0.32608695652173914</v>
      </c>
      <c r="U206" s="18" t="str">
        <f t="shared" si="354"/>
        <v/>
      </c>
      <c r="V206" s="18">
        <f t="shared" si="354"/>
        <v>0.34090909090909088</v>
      </c>
      <c r="W206" s="18" t="str">
        <f t="shared" si="354"/>
        <v/>
      </c>
      <c r="X206" s="18" t="str">
        <f t="shared" si="354"/>
        <v/>
      </c>
      <c r="Y206" s="18" t="str">
        <f t="shared" si="354"/>
        <v/>
      </c>
      <c r="Z206" s="18" t="str">
        <f t="shared" si="354"/>
        <v/>
      </c>
      <c r="AA206" s="18" t="str">
        <f t="shared" si="354"/>
        <v/>
      </c>
      <c r="AB206" s="18" t="str">
        <f t="shared" si="354"/>
        <v/>
      </c>
      <c r="AC206" s="18">
        <f t="shared" si="354"/>
        <v>0.13157894736842105</v>
      </c>
      <c r="AD206" s="18" t="str">
        <f t="shared" si="354"/>
        <v/>
      </c>
      <c r="AE206" s="18" t="str">
        <f t="shared" si="354"/>
        <v/>
      </c>
      <c r="AF206" s="18" t="str">
        <f t="shared" si="354"/>
        <v/>
      </c>
      <c r="AG206" s="18" t="str">
        <f t="shared" si="354"/>
        <v/>
      </c>
      <c r="AH206" s="18" t="str">
        <f t="shared" si="354"/>
        <v/>
      </c>
      <c r="AI206" s="18" t="str">
        <f t="shared" si="354"/>
        <v/>
      </c>
      <c r="AJ206" s="18" t="str">
        <f t="shared" si="354"/>
        <v/>
      </c>
      <c r="AK206" s="18" t="str">
        <f t="shared" si="354"/>
        <v/>
      </c>
      <c r="AL206" s="18" t="str">
        <f t="shared" si="354"/>
        <v/>
      </c>
      <c r="AM206" s="18" t="str">
        <f t="shared" si="354"/>
        <v/>
      </c>
      <c r="AN206" s="18" t="str">
        <f t="shared" si="354"/>
        <v/>
      </c>
      <c r="AO206" s="18" t="str">
        <f t="shared" ref="AO206:AS206" si="355">IF(AO205="","",IF(AO205=0,"",AO205/(AO202*100)))</f>
        <v/>
      </c>
      <c r="AP206" s="18" t="str">
        <f t="shared" si="355"/>
        <v/>
      </c>
      <c r="AQ206" s="18" t="str">
        <f t="shared" si="355"/>
        <v/>
      </c>
      <c r="AR206" s="18" t="str">
        <f t="shared" si="355"/>
        <v/>
      </c>
      <c r="AS206" s="18" t="str">
        <f t="shared" si="355"/>
        <v/>
      </c>
    </row>
    <row r="207" spans="1:45" s="93" customFormat="1" ht="11">
      <c r="A207" s="17" t="s">
        <v>101</v>
      </c>
      <c r="B207" s="9" t="s">
        <v>2</v>
      </c>
      <c r="C207" s="74">
        <v>9508</v>
      </c>
      <c r="D207" s="8">
        <f>IF(D$3="","",C207)</f>
        <v>9508</v>
      </c>
      <c r="E207" s="8">
        <v>9570</v>
      </c>
      <c r="F207" s="59">
        <f>IF(F$3="","",E207)</f>
        <v>9570</v>
      </c>
      <c r="G207" s="8">
        <f>IF(G$3="","",F207)</f>
        <v>9570</v>
      </c>
      <c r="H207" s="8">
        <v>9608</v>
      </c>
      <c r="I207" s="59">
        <f t="shared" ref="I207:K208" si="356">IF(I$3="","",H207)</f>
        <v>9608</v>
      </c>
      <c r="J207" s="8">
        <f t="shared" si="356"/>
        <v>9608</v>
      </c>
      <c r="K207" s="8">
        <f t="shared" si="356"/>
        <v>9608</v>
      </c>
      <c r="L207" s="8">
        <v>9663</v>
      </c>
      <c r="M207" s="59">
        <f>IF(M$3="","",L207)</f>
        <v>9663</v>
      </c>
      <c r="N207" s="8">
        <f>IF(N$3="","",M207)</f>
        <v>9663</v>
      </c>
      <c r="O207" s="8">
        <v>9720</v>
      </c>
      <c r="P207" s="8">
        <f t="shared" ref="P207:AN207" si="357">IF(P$3="","",O207)</f>
        <v>9720</v>
      </c>
      <c r="Q207" s="8">
        <f t="shared" si="357"/>
        <v>9720</v>
      </c>
      <c r="R207" s="8">
        <f t="shared" si="357"/>
        <v>9720</v>
      </c>
      <c r="S207" s="8">
        <f t="shared" si="357"/>
        <v>9720</v>
      </c>
      <c r="T207" s="8">
        <v>9762</v>
      </c>
      <c r="U207" s="8">
        <f t="shared" si="357"/>
        <v>9762</v>
      </c>
      <c r="V207" s="8">
        <v>9824</v>
      </c>
      <c r="W207" s="8">
        <f t="shared" si="357"/>
        <v>9824</v>
      </c>
      <c r="X207" s="8">
        <f t="shared" si="357"/>
        <v>9824</v>
      </c>
      <c r="Y207" s="8">
        <f t="shared" si="357"/>
        <v>9824</v>
      </c>
      <c r="Z207" s="8">
        <v>9877</v>
      </c>
      <c r="AA207" s="8">
        <f t="shared" si="357"/>
        <v>9877</v>
      </c>
      <c r="AB207" s="8">
        <f t="shared" si="357"/>
        <v>9877</v>
      </c>
      <c r="AC207" s="8">
        <v>9928</v>
      </c>
      <c r="AD207" s="8" t="str">
        <f t="shared" si="357"/>
        <v/>
      </c>
      <c r="AE207" s="8" t="str">
        <f t="shared" si="357"/>
        <v/>
      </c>
      <c r="AF207" s="8" t="str">
        <f t="shared" si="357"/>
        <v/>
      </c>
      <c r="AG207" s="8" t="str">
        <f t="shared" si="357"/>
        <v/>
      </c>
      <c r="AH207" s="8" t="str">
        <f t="shared" si="357"/>
        <v/>
      </c>
      <c r="AI207" s="8" t="str">
        <f t="shared" si="357"/>
        <v/>
      </c>
      <c r="AJ207" s="8" t="str">
        <f t="shared" si="357"/>
        <v/>
      </c>
      <c r="AK207" s="8" t="str">
        <f t="shared" si="357"/>
        <v/>
      </c>
      <c r="AL207" s="8" t="str">
        <f t="shared" si="357"/>
        <v/>
      </c>
      <c r="AM207" s="8" t="str">
        <f t="shared" si="357"/>
        <v/>
      </c>
      <c r="AN207" s="8" t="str">
        <f t="shared" si="357"/>
        <v/>
      </c>
      <c r="AO207" s="8" t="str">
        <f t="shared" ref="AO207:AS207" si="358">IF(AO$3="","",AN207)</f>
        <v/>
      </c>
      <c r="AP207" s="8" t="str">
        <f t="shared" si="358"/>
        <v/>
      </c>
      <c r="AQ207" s="8" t="str">
        <f t="shared" si="358"/>
        <v/>
      </c>
      <c r="AR207" s="8" t="str">
        <f t="shared" si="358"/>
        <v/>
      </c>
      <c r="AS207" s="8" t="str">
        <f t="shared" si="358"/>
        <v/>
      </c>
    </row>
    <row r="208" spans="1:45" s="93" customFormat="1" ht="11">
      <c r="A208" s="16" t="str">
        <f>A196</f>
        <v>BUZZ＃4</v>
      </c>
      <c r="B208" s="9" t="s">
        <v>4</v>
      </c>
      <c r="C208" s="74">
        <v>427</v>
      </c>
      <c r="D208" s="8">
        <f>IF(D$3="","",C208)</f>
        <v>427</v>
      </c>
      <c r="E208" s="8">
        <v>428</v>
      </c>
      <c r="F208" s="59">
        <f>IF(F$3="","",E208)</f>
        <v>428</v>
      </c>
      <c r="G208" s="8">
        <f>IF(G$3="","",F208)</f>
        <v>428</v>
      </c>
      <c r="H208" s="8">
        <f>IF(H$3="","",G208)</f>
        <v>428</v>
      </c>
      <c r="I208" s="59">
        <f t="shared" si="356"/>
        <v>428</v>
      </c>
      <c r="J208" s="8">
        <f t="shared" si="356"/>
        <v>428</v>
      </c>
      <c r="K208" s="8">
        <f t="shared" si="356"/>
        <v>428</v>
      </c>
      <c r="L208" s="8">
        <f>IF(L$3="","",K208)</f>
        <v>428</v>
      </c>
      <c r="M208" s="59">
        <f>IF(M$3="","",L208)</f>
        <v>428</v>
      </c>
      <c r="N208" s="8">
        <f>IF(N$3="","",M208)</f>
        <v>428</v>
      </c>
      <c r="O208" s="8">
        <f>IF(O$3="","",N208)</f>
        <v>428</v>
      </c>
      <c r="P208" s="8">
        <f t="shared" ref="P208:AN208" si="359">IF(P$3="","",O208)</f>
        <v>428</v>
      </c>
      <c r="Q208" s="8">
        <f t="shared" si="359"/>
        <v>428</v>
      </c>
      <c r="R208" s="8">
        <f t="shared" si="359"/>
        <v>428</v>
      </c>
      <c r="S208" s="8">
        <f t="shared" si="359"/>
        <v>428</v>
      </c>
      <c r="T208" s="8">
        <f t="shared" si="359"/>
        <v>428</v>
      </c>
      <c r="U208" s="8">
        <f t="shared" si="359"/>
        <v>428</v>
      </c>
      <c r="V208" s="8">
        <f t="shared" si="359"/>
        <v>428</v>
      </c>
      <c r="W208" s="8">
        <f t="shared" si="359"/>
        <v>428</v>
      </c>
      <c r="X208" s="8">
        <f t="shared" si="359"/>
        <v>428</v>
      </c>
      <c r="Y208" s="8">
        <f t="shared" si="359"/>
        <v>428</v>
      </c>
      <c r="Z208" s="8">
        <v>429</v>
      </c>
      <c r="AA208" s="8">
        <f t="shared" si="359"/>
        <v>429</v>
      </c>
      <c r="AB208" s="8">
        <f t="shared" si="359"/>
        <v>429</v>
      </c>
      <c r="AC208" s="8">
        <f t="shared" si="359"/>
        <v>429</v>
      </c>
      <c r="AD208" s="8" t="str">
        <f t="shared" si="359"/>
        <v/>
      </c>
      <c r="AE208" s="8" t="str">
        <f t="shared" si="359"/>
        <v/>
      </c>
      <c r="AF208" s="8" t="str">
        <f t="shared" si="359"/>
        <v/>
      </c>
      <c r="AG208" s="8" t="str">
        <f t="shared" si="359"/>
        <v/>
      </c>
      <c r="AH208" s="8" t="str">
        <f t="shared" si="359"/>
        <v/>
      </c>
      <c r="AI208" s="8" t="str">
        <f t="shared" si="359"/>
        <v/>
      </c>
      <c r="AJ208" s="8" t="str">
        <f t="shared" si="359"/>
        <v/>
      </c>
      <c r="AK208" s="8" t="str">
        <f t="shared" si="359"/>
        <v/>
      </c>
      <c r="AL208" s="8" t="str">
        <f t="shared" si="359"/>
        <v/>
      </c>
      <c r="AM208" s="8" t="str">
        <f t="shared" si="359"/>
        <v/>
      </c>
      <c r="AN208" s="8" t="str">
        <f t="shared" si="359"/>
        <v/>
      </c>
      <c r="AO208" s="8" t="str">
        <f t="shared" ref="AO208:AS208" si="360">IF(AO$3="","",AN208)</f>
        <v/>
      </c>
      <c r="AP208" s="8" t="str">
        <f t="shared" si="360"/>
        <v/>
      </c>
      <c r="AQ208" s="8" t="str">
        <f t="shared" si="360"/>
        <v/>
      </c>
      <c r="AR208" s="8" t="str">
        <f t="shared" si="360"/>
        <v/>
      </c>
      <c r="AS208" s="8" t="str">
        <f t="shared" si="360"/>
        <v/>
      </c>
    </row>
    <row r="209" spans="1:45" s="93" customFormat="1" ht="11">
      <c r="A209" s="15">
        <v>4</v>
      </c>
      <c r="B209" s="9" t="s">
        <v>5</v>
      </c>
      <c r="C209" s="74">
        <v>4</v>
      </c>
      <c r="D209" s="8">
        <f>IF(D207="","",(C209+C210))</f>
        <v>4</v>
      </c>
      <c r="E209" s="8">
        <v>3</v>
      </c>
      <c r="F209" s="59">
        <f t="shared" ref="F209:AN209" si="361">IF(F207="","",(E209+E210))</f>
        <v>3</v>
      </c>
      <c r="G209" s="8">
        <f t="shared" si="361"/>
        <v>3</v>
      </c>
      <c r="H209" s="8">
        <f t="shared" si="361"/>
        <v>3</v>
      </c>
      <c r="I209" s="59">
        <f t="shared" si="361"/>
        <v>3</v>
      </c>
      <c r="J209" s="8">
        <f t="shared" si="361"/>
        <v>3</v>
      </c>
      <c r="K209" s="8">
        <f t="shared" si="361"/>
        <v>3</v>
      </c>
      <c r="L209" s="8">
        <f t="shared" si="361"/>
        <v>3</v>
      </c>
      <c r="M209" s="59">
        <f t="shared" si="361"/>
        <v>3</v>
      </c>
      <c r="N209" s="8">
        <f t="shared" si="361"/>
        <v>3</v>
      </c>
      <c r="O209" s="8">
        <f t="shared" si="361"/>
        <v>3</v>
      </c>
      <c r="P209" s="8">
        <f t="shared" si="361"/>
        <v>3</v>
      </c>
      <c r="Q209" s="8">
        <f t="shared" si="361"/>
        <v>3</v>
      </c>
      <c r="R209" s="8">
        <f t="shared" si="361"/>
        <v>3</v>
      </c>
      <c r="S209" s="8">
        <f t="shared" si="361"/>
        <v>3</v>
      </c>
      <c r="T209" s="8">
        <f t="shared" si="361"/>
        <v>3</v>
      </c>
      <c r="U209" s="8">
        <f t="shared" si="361"/>
        <v>3</v>
      </c>
      <c r="V209" s="8">
        <f t="shared" si="361"/>
        <v>3</v>
      </c>
      <c r="W209" s="8">
        <f t="shared" si="361"/>
        <v>3</v>
      </c>
      <c r="X209" s="8">
        <f t="shared" si="361"/>
        <v>3</v>
      </c>
      <c r="Y209" s="8">
        <f t="shared" si="361"/>
        <v>3</v>
      </c>
      <c r="Z209" s="8">
        <v>2</v>
      </c>
      <c r="AA209" s="8">
        <f t="shared" si="361"/>
        <v>3</v>
      </c>
      <c r="AB209" s="8">
        <f t="shared" si="361"/>
        <v>3</v>
      </c>
      <c r="AC209" s="8">
        <f t="shared" si="361"/>
        <v>3</v>
      </c>
      <c r="AD209" s="8" t="str">
        <f t="shared" si="361"/>
        <v/>
      </c>
      <c r="AE209" s="8" t="str">
        <f t="shared" si="361"/>
        <v/>
      </c>
      <c r="AF209" s="8" t="str">
        <f t="shared" si="361"/>
        <v/>
      </c>
      <c r="AG209" s="8" t="str">
        <f t="shared" si="361"/>
        <v/>
      </c>
      <c r="AH209" s="8" t="str">
        <f t="shared" si="361"/>
        <v/>
      </c>
      <c r="AI209" s="8" t="str">
        <f t="shared" si="361"/>
        <v/>
      </c>
      <c r="AJ209" s="8" t="str">
        <f t="shared" si="361"/>
        <v/>
      </c>
      <c r="AK209" s="8" t="str">
        <f t="shared" si="361"/>
        <v/>
      </c>
      <c r="AL209" s="8" t="str">
        <f t="shared" si="361"/>
        <v/>
      </c>
      <c r="AM209" s="8" t="str">
        <f t="shared" si="361"/>
        <v/>
      </c>
      <c r="AN209" s="8" t="str">
        <f t="shared" si="361"/>
        <v/>
      </c>
      <c r="AO209" s="8" t="str">
        <f t="shared" ref="AO209:AS209" si="362">IF(AO207="","",(AN209+AN210))</f>
        <v/>
      </c>
      <c r="AP209" s="8" t="str">
        <f t="shared" si="362"/>
        <v/>
      </c>
      <c r="AQ209" s="8" t="str">
        <f t="shared" si="362"/>
        <v/>
      </c>
      <c r="AR209" s="8" t="str">
        <f t="shared" si="362"/>
        <v/>
      </c>
      <c r="AS209" s="8" t="str">
        <f t="shared" si="362"/>
        <v/>
      </c>
    </row>
    <row r="210" spans="1:45" s="93" customFormat="1" ht="11">
      <c r="A210" s="14"/>
      <c r="B210" s="9" t="s">
        <v>7</v>
      </c>
      <c r="C210" s="74"/>
      <c r="D210" s="8"/>
      <c r="E210" s="8"/>
      <c r="F210" s="59"/>
      <c r="G210" s="8"/>
      <c r="H210" s="8"/>
      <c r="I210" s="59"/>
      <c r="J210" s="8"/>
      <c r="K210" s="8"/>
      <c r="L210" s="8"/>
      <c r="M210" s="59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>
        <v>1</v>
      </c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</row>
    <row r="211" spans="1:45" s="93" customFormat="1" ht="11">
      <c r="A211" s="7"/>
      <c r="B211" s="9" t="s">
        <v>8</v>
      </c>
      <c r="C211" s="74">
        <v>500</v>
      </c>
      <c r="D211" s="8">
        <f t="shared" ref="D211:AN211" si="363">IF(D207="","",C211)</f>
        <v>500</v>
      </c>
      <c r="E211" s="8">
        <f t="shared" si="363"/>
        <v>500</v>
      </c>
      <c r="F211" s="59">
        <f t="shared" si="363"/>
        <v>500</v>
      </c>
      <c r="G211" s="8">
        <f t="shared" si="363"/>
        <v>500</v>
      </c>
      <c r="H211" s="8">
        <f t="shared" si="363"/>
        <v>500</v>
      </c>
      <c r="I211" s="59">
        <f t="shared" si="363"/>
        <v>500</v>
      </c>
      <c r="J211" s="8">
        <f t="shared" si="363"/>
        <v>500</v>
      </c>
      <c r="K211" s="8">
        <f t="shared" si="363"/>
        <v>500</v>
      </c>
      <c r="L211" s="8">
        <f t="shared" si="363"/>
        <v>500</v>
      </c>
      <c r="M211" s="59">
        <f t="shared" si="363"/>
        <v>500</v>
      </c>
      <c r="N211" s="8">
        <f t="shared" si="363"/>
        <v>500</v>
      </c>
      <c r="O211" s="8">
        <f t="shared" si="363"/>
        <v>500</v>
      </c>
      <c r="P211" s="8">
        <f t="shared" si="363"/>
        <v>500</v>
      </c>
      <c r="Q211" s="8">
        <f t="shared" si="363"/>
        <v>500</v>
      </c>
      <c r="R211" s="8">
        <f t="shared" si="363"/>
        <v>500</v>
      </c>
      <c r="S211" s="8">
        <f t="shared" si="363"/>
        <v>500</v>
      </c>
      <c r="T211" s="8">
        <f t="shared" si="363"/>
        <v>500</v>
      </c>
      <c r="U211" s="8">
        <f t="shared" si="363"/>
        <v>500</v>
      </c>
      <c r="V211" s="8">
        <f t="shared" si="363"/>
        <v>500</v>
      </c>
      <c r="W211" s="8">
        <f t="shared" si="363"/>
        <v>500</v>
      </c>
      <c r="X211" s="8">
        <f t="shared" si="363"/>
        <v>500</v>
      </c>
      <c r="Y211" s="8">
        <f t="shared" si="363"/>
        <v>500</v>
      </c>
      <c r="Z211" s="8">
        <f t="shared" si="363"/>
        <v>500</v>
      </c>
      <c r="AA211" s="8">
        <f t="shared" si="363"/>
        <v>500</v>
      </c>
      <c r="AB211" s="8">
        <f t="shared" si="363"/>
        <v>500</v>
      </c>
      <c r="AC211" s="8">
        <f t="shared" si="363"/>
        <v>500</v>
      </c>
      <c r="AD211" s="8" t="str">
        <f t="shared" si="363"/>
        <v/>
      </c>
      <c r="AE211" s="8" t="str">
        <f t="shared" si="363"/>
        <v/>
      </c>
      <c r="AF211" s="8" t="str">
        <f t="shared" si="363"/>
        <v/>
      </c>
      <c r="AG211" s="8" t="str">
        <f t="shared" si="363"/>
        <v/>
      </c>
      <c r="AH211" s="8" t="str">
        <f t="shared" si="363"/>
        <v/>
      </c>
      <c r="AI211" s="8" t="str">
        <f t="shared" si="363"/>
        <v/>
      </c>
      <c r="AJ211" s="8" t="str">
        <f t="shared" si="363"/>
        <v/>
      </c>
      <c r="AK211" s="8" t="str">
        <f t="shared" si="363"/>
        <v/>
      </c>
      <c r="AL211" s="8" t="str">
        <f t="shared" si="363"/>
        <v/>
      </c>
      <c r="AM211" s="8" t="str">
        <f t="shared" si="363"/>
        <v/>
      </c>
      <c r="AN211" s="8" t="str">
        <f t="shared" si="363"/>
        <v/>
      </c>
      <c r="AO211" s="8" t="str">
        <f t="shared" ref="AO211:AS211" si="364">IF(AO207="","",AN211)</f>
        <v/>
      </c>
      <c r="AP211" s="8" t="str">
        <f t="shared" si="364"/>
        <v/>
      </c>
      <c r="AQ211" s="8" t="str">
        <f t="shared" si="364"/>
        <v/>
      </c>
      <c r="AR211" s="8" t="str">
        <f t="shared" si="364"/>
        <v/>
      </c>
      <c r="AS211" s="8" t="str">
        <f t="shared" si="364"/>
        <v/>
      </c>
    </row>
    <row r="212" spans="1:45" s="94" customFormat="1" ht="11">
      <c r="A212" s="14" t="s">
        <v>9</v>
      </c>
      <c r="B212" s="13" t="s">
        <v>10</v>
      </c>
      <c r="C212" s="75" t="s">
        <v>107</v>
      </c>
      <c r="D212" s="12" t="str">
        <f t="shared" ref="D212:AN212" si="365">IF(D207="","",C212)</f>
        <v>スンスンポーチ</v>
      </c>
      <c r="E212" s="12" t="str">
        <f t="shared" si="365"/>
        <v>スンスンポーチ</v>
      </c>
      <c r="F212" s="131" t="str">
        <f t="shared" si="365"/>
        <v>スンスンポーチ</v>
      </c>
      <c r="G212" s="12" t="str">
        <f t="shared" si="365"/>
        <v>スンスンポーチ</v>
      </c>
      <c r="H212" s="12" t="str">
        <f t="shared" si="365"/>
        <v>スンスンポーチ</v>
      </c>
      <c r="I212" s="131" t="str">
        <f t="shared" si="365"/>
        <v>スンスンポーチ</v>
      </c>
      <c r="J212" s="12" t="str">
        <f t="shared" si="365"/>
        <v>スンスンポーチ</v>
      </c>
      <c r="K212" s="12" t="str">
        <f t="shared" si="365"/>
        <v>スンスンポーチ</v>
      </c>
      <c r="L212" s="12" t="str">
        <f t="shared" si="365"/>
        <v>スンスンポーチ</v>
      </c>
      <c r="M212" s="131" t="str">
        <f t="shared" si="365"/>
        <v>スンスンポーチ</v>
      </c>
      <c r="N212" s="12" t="str">
        <f t="shared" si="365"/>
        <v>スンスンポーチ</v>
      </c>
      <c r="O212" s="12" t="str">
        <f t="shared" si="365"/>
        <v>スンスンポーチ</v>
      </c>
      <c r="P212" s="12" t="str">
        <f t="shared" si="365"/>
        <v>スンスンポーチ</v>
      </c>
      <c r="Q212" s="12" t="str">
        <f t="shared" si="365"/>
        <v>スンスンポーチ</v>
      </c>
      <c r="R212" s="12" t="str">
        <f t="shared" si="365"/>
        <v>スンスンポーチ</v>
      </c>
      <c r="S212" s="12" t="str">
        <f t="shared" si="365"/>
        <v>スンスンポーチ</v>
      </c>
      <c r="T212" s="12" t="str">
        <f t="shared" si="365"/>
        <v>スンスンポーチ</v>
      </c>
      <c r="U212" s="12" t="str">
        <f t="shared" si="365"/>
        <v>スンスンポーチ</v>
      </c>
      <c r="V212" s="12" t="str">
        <f t="shared" si="365"/>
        <v>スンスンポーチ</v>
      </c>
      <c r="W212" s="12" t="str">
        <f t="shared" si="365"/>
        <v>スンスンポーチ</v>
      </c>
      <c r="X212" s="12" t="str">
        <f t="shared" si="365"/>
        <v>スンスンポーチ</v>
      </c>
      <c r="Y212" s="12" t="str">
        <f t="shared" si="365"/>
        <v>スンスンポーチ</v>
      </c>
      <c r="Z212" s="12" t="str">
        <f t="shared" si="365"/>
        <v>スンスンポーチ</v>
      </c>
      <c r="AA212" s="12" t="str">
        <f t="shared" si="365"/>
        <v>スンスンポーチ</v>
      </c>
      <c r="AB212" s="12" t="str">
        <f t="shared" si="365"/>
        <v>スンスンポーチ</v>
      </c>
      <c r="AC212" s="12" t="str">
        <f t="shared" si="365"/>
        <v>スンスンポーチ</v>
      </c>
      <c r="AD212" s="12" t="str">
        <f t="shared" si="365"/>
        <v/>
      </c>
      <c r="AE212" s="12" t="str">
        <f t="shared" si="365"/>
        <v/>
      </c>
      <c r="AF212" s="12" t="str">
        <f t="shared" si="365"/>
        <v/>
      </c>
      <c r="AG212" s="12" t="str">
        <f t="shared" si="365"/>
        <v/>
      </c>
      <c r="AH212" s="12" t="str">
        <f t="shared" si="365"/>
        <v/>
      </c>
      <c r="AI212" s="12" t="str">
        <f t="shared" si="365"/>
        <v/>
      </c>
      <c r="AJ212" s="12" t="str">
        <f t="shared" si="365"/>
        <v/>
      </c>
      <c r="AK212" s="12" t="str">
        <f t="shared" si="365"/>
        <v/>
      </c>
      <c r="AL212" s="12" t="str">
        <f t="shared" si="365"/>
        <v/>
      </c>
      <c r="AM212" s="12" t="str">
        <f t="shared" si="365"/>
        <v/>
      </c>
      <c r="AN212" s="12" t="str">
        <f t="shared" si="365"/>
        <v/>
      </c>
      <c r="AO212" s="12" t="str">
        <f t="shared" ref="AO212:AS212" si="366">IF(AO207="","",AN212)</f>
        <v/>
      </c>
      <c r="AP212" s="12" t="str">
        <f t="shared" si="366"/>
        <v/>
      </c>
      <c r="AQ212" s="12" t="str">
        <f t="shared" si="366"/>
        <v/>
      </c>
      <c r="AR212" s="12" t="str">
        <f t="shared" si="366"/>
        <v/>
      </c>
      <c r="AS212" s="12" t="str">
        <f t="shared" si="366"/>
        <v/>
      </c>
    </row>
    <row r="213" spans="1:45" s="93" customFormat="1" ht="11">
      <c r="A213" s="7">
        <f>AVERAGE(C214:AS214)*30*100</f>
        <v>46666.666666666672</v>
      </c>
      <c r="B213" s="9" t="s">
        <v>14</v>
      </c>
      <c r="C213" s="74"/>
      <c r="D213" s="8"/>
      <c r="E213" s="8"/>
      <c r="F213" s="59"/>
      <c r="G213" s="8"/>
      <c r="H213" s="8"/>
      <c r="I213" s="59"/>
      <c r="J213" s="8"/>
      <c r="K213" s="8"/>
      <c r="L213" s="8"/>
      <c r="M213" s="59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</row>
    <row r="214" spans="1:45" s="93" customFormat="1" ht="11">
      <c r="A214" s="7">
        <f>SUM(C214:AS214)</f>
        <v>420</v>
      </c>
      <c r="B214" s="6" t="s">
        <v>15</v>
      </c>
      <c r="C214" s="74">
        <v>0</v>
      </c>
      <c r="D214" s="5">
        <f t="shared" ref="D214:AN214" si="367">IF(D207="","",D207-C207)</f>
        <v>0</v>
      </c>
      <c r="E214" s="5">
        <f t="shared" si="367"/>
        <v>62</v>
      </c>
      <c r="F214" s="59">
        <f t="shared" si="367"/>
        <v>0</v>
      </c>
      <c r="G214" s="5">
        <f t="shared" si="367"/>
        <v>0</v>
      </c>
      <c r="H214" s="5">
        <f t="shared" si="367"/>
        <v>38</v>
      </c>
      <c r="I214" s="59">
        <f t="shared" si="367"/>
        <v>0</v>
      </c>
      <c r="J214" s="5">
        <f t="shared" si="367"/>
        <v>0</v>
      </c>
      <c r="K214" s="5">
        <f t="shared" si="367"/>
        <v>0</v>
      </c>
      <c r="L214" s="5">
        <f t="shared" si="367"/>
        <v>55</v>
      </c>
      <c r="M214" s="59">
        <f t="shared" si="367"/>
        <v>0</v>
      </c>
      <c r="N214" s="5">
        <f t="shared" si="367"/>
        <v>0</v>
      </c>
      <c r="O214" s="5">
        <f t="shared" si="367"/>
        <v>57</v>
      </c>
      <c r="P214" s="5">
        <f t="shared" si="367"/>
        <v>0</v>
      </c>
      <c r="Q214" s="5">
        <f t="shared" si="367"/>
        <v>0</v>
      </c>
      <c r="R214" s="5">
        <f t="shared" si="367"/>
        <v>0</v>
      </c>
      <c r="S214" s="5">
        <f t="shared" si="367"/>
        <v>0</v>
      </c>
      <c r="T214" s="5">
        <f t="shared" si="367"/>
        <v>42</v>
      </c>
      <c r="U214" s="5">
        <f t="shared" si="367"/>
        <v>0</v>
      </c>
      <c r="V214" s="5">
        <f t="shared" si="367"/>
        <v>62</v>
      </c>
      <c r="W214" s="5">
        <f t="shared" si="367"/>
        <v>0</v>
      </c>
      <c r="X214" s="5">
        <f t="shared" si="367"/>
        <v>0</v>
      </c>
      <c r="Y214" s="5">
        <f t="shared" si="367"/>
        <v>0</v>
      </c>
      <c r="Z214" s="5">
        <f t="shared" si="367"/>
        <v>53</v>
      </c>
      <c r="AA214" s="5">
        <f t="shared" si="367"/>
        <v>0</v>
      </c>
      <c r="AB214" s="5">
        <f t="shared" si="367"/>
        <v>0</v>
      </c>
      <c r="AC214" s="5">
        <f t="shared" si="367"/>
        <v>51</v>
      </c>
      <c r="AD214" s="5" t="str">
        <f t="shared" si="367"/>
        <v/>
      </c>
      <c r="AE214" s="5" t="str">
        <f t="shared" si="367"/>
        <v/>
      </c>
      <c r="AF214" s="5" t="str">
        <f t="shared" si="367"/>
        <v/>
      </c>
      <c r="AG214" s="5" t="str">
        <f t="shared" si="367"/>
        <v/>
      </c>
      <c r="AH214" s="5" t="str">
        <f t="shared" si="367"/>
        <v/>
      </c>
      <c r="AI214" s="5" t="str">
        <f t="shared" si="367"/>
        <v/>
      </c>
      <c r="AJ214" s="5" t="str">
        <f t="shared" si="367"/>
        <v/>
      </c>
      <c r="AK214" s="5" t="str">
        <f t="shared" si="367"/>
        <v/>
      </c>
      <c r="AL214" s="5" t="str">
        <f t="shared" si="367"/>
        <v/>
      </c>
      <c r="AM214" s="5" t="str">
        <f t="shared" si="367"/>
        <v/>
      </c>
      <c r="AN214" s="5" t="str">
        <f t="shared" si="367"/>
        <v/>
      </c>
      <c r="AO214" s="5" t="str">
        <f t="shared" ref="AO214:AS214" si="368">IF(AO207="","",AO207-AN207)</f>
        <v/>
      </c>
      <c r="AP214" s="5" t="str">
        <f t="shared" si="368"/>
        <v/>
      </c>
      <c r="AQ214" s="5" t="str">
        <f t="shared" si="368"/>
        <v/>
      </c>
      <c r="AR214" s="5" t="str">
        <f t="shared" si="368"/>
        <v/>
      </c>
      <c r="AS214" s="5" t="str">
        <f t="shared" si="368"/>
        <v/>
      </c>
    </row>
    <row r="215" spans="1:45" s="93" customFormat="1" ht="11">
      <c r="A215" s="7">
        <f>SUM(C215:AS215)</f>
        <v>2</v>
      </c>
      <c r="B215" s="6" t="s">
        <v>16</v>
      </c>
      <c r="C215" s="74">
        <v>0</v>
      </c>
      <c r="D215" s="5">
        <f t="shared" ref="D215:AN215" si="369">IF(D208="","",D208-C208)</f>
        <v>0</v>
      </c>
      <c r="E215" s="5">
        <f t="shared" si="369"/>
        <v>1</v>
      </c>
      <c r="F215" s="59">
        <f t="shared" si="369"/>
        <v>0</v>
      </c>
      <c r="G215" s="5">
        <f t="shared" si="369"/>
        <v>0</v>
      </c>
      <c r="H215" s="5">
        <f t="shared" si="369"/>
        <v>0</v>
      </c>
      <c r="I215" s="59">
        <f t="shared" si="369"/>
        <v>0</v>
      </c>
      <c r="J215" s="5">
        <f t="shared" si="369"/>
        <v>0</v>
      </c>
      <c r="K215" s="5">
        <f t="shared" si="369"/>
        <v>0</v>
      </c>
      <c r="L215" s="5">
        <f t="shared" si="369"/>
        <v>0</v>
      </c>
      <c r="M215" s="59">
        <f t="shared" si="369"/>
        <v>0</v>
      </c>
      <c r="N215" s="5">
        <f t="shared" si="369"/>
        <v>0</v>
      </c>
      <c r="O215" s="5">
        <f t="shared" si="369"/>
        <v>0</v>
      </c>
      <c r="P215" s="5">
        <f t="shared" si="369"/>
        <v>0</v>
      </c>
      <c r="Q215" s="5">
        <f t="shared" si="369"/>
        <v>0</v>
      </c>
      <c r="R215" s="5">
        <f t="shared" si="369"/>
        <v>0</v>
      </c>
      <c r="S215" s="5">
        <f t="shared" si="369"/>
        <v>0</v>
      </c>
      <c r="T215" s="5">
        <f t="shared" si="369"/>
        <v>0</v>
      </c>
      <c r="U215" s="5">
        <f t="shared" si="369"/>
        <v>0</v>
      </c>
      <c r="V215" s="5">
        <f t="shared" si="369"/>
        <v>0</v>
      </c>
      <c r="W215" s="5">
        <f t="shared" si="369"/>
        <v>0</v>
      </c>
      <c r="X215" s="5">
        <f t="shared" si="369"/>
        <v>0</v>
      </c>
      <c r="Y215" s="5">
        <f t="shared" si="369"/>
        <v>0</v>
      </c>
      <c r="Z215" s="5">
        <f t="shared" si="369"/>
        <v>1</v>
      </c>
      <c r="AA215" s="5">
        <f t="shared" si="369"/>
        <v>0</v>
      </c>
      <c r="AB215" s="5">
        <f t="shared" si="369"/>
        <v>0</v>
      </c>
      <c r="AC215" s="5">
        <f t="shared" si="369"/>
        <v>0</v>
      </c>
      <c r="AD215" s="5" t="str">
        <f t="shared" si="369"/>
        <v/>
      </c>
      <c r="AE215" s="5" t="str">
        <f t="shared" si="369"/>
        <v/>
      </c>
      <c r="AF215" s="5" t="str">
        <f t="shared" si="369"/>
        <v/>
      </c>
      <c r="AG215" s="5" t="str">
        <f t="shared" si="369"/>
        <v/>
      </c>
      <c r="AH215" s="5" t="str">
        <f t="shared" si="369"/>
        <v/>
      </c>
      <c r="AI215" s="5" t="str">
        <f t="shared" si="369"/>
        <v/>
      </c>
      <c r="AJ215" s="5" t="str">
        <f t="shared" si="369"/>
        <v/>
      </c>
      <c r="AK215" s="5" t="str">
        <f t="shared" si="369"/>
        <v/>
      </c>
      <c r="AL215" s="5" t="str">
        <f t="shared" si="369"/>
        <v/>
      </c>
      <c r="AM215" s="5" t="str">
        <f t="shared" si="369"/>
        <v/>
      </c>
      <c r="AN215" s="5" t="str">
        <f t="shared" si="369"/>
        <v/>
      </c>
      <c r="AO215" s="5" t="str">
        <f t="shared" ref="AO215:AS215" si="370">IF(AO208="","",AO208-AN208)</f>
        <v/>
      </c>
      <c r="AP215" s="5" t="str">
        <f t="shared" si="370"/>
        <v/>
      </c>
      <c r="AQ215" s="5" t="str">
        <f t="shared" si="370"/>
        <v/>
      </c>
      <c r="AR215" s="5" t="str">
        <f t="shared" si="370"/>
        <v/>
      </c>
      <c r="AS215" s="5" t="str">
        <f t="shared" si="370"/>
        <v/>
      </c>
    </row>
    <row r="216" spans="1:45" s="93" customFormat="1" ht="11">
      <c r="A216" s="7">
        <f>SUM(C216:AS216)</f>
        <v>2</v>
      </c>
      <c r="B216" s="6" t="s">
        <v>17</v>
      </c>
      <c r="C216" s="74">
        <v>0</v>
      </c>
      <c r="D216" s="5">
        <f t="shared" ref="D216:AN216" si="371">IF(D209="","",C209+C210-D209)</f>
        <v>0</v>
      </c>
      <c r="E216" s="5">
        <f t="shared" si="371"/>
        <v>1</v>
      </c>
      <c r="F216" s="59">
        <f t="shared" si="371"/>
        <v>0</v>
      </c>
      <c r="G216" s="5">
        <f t="shared" si="371"/>
        <v>0</v>
      </c>
      <c r="H216" s="5">
        <f t="shared" si="371"/>
        <v>0</v>
      </c>
      <c r="I216" s="59">
        <f t="shared" si="371"/>
        <v>0</v>
      </c>
      <c r="J216" s="5">
        <f t="shared" si="371"/>
        <v>0</v>
      </c>
      <c r="K216" s="5">
        <f t="shared" si="371"/>
        <v>0</v>
      </c>
      <c r="L216" s="5">
        <f t="shared" si="371"/>
        <v>0</v>
      </c>
      <c r="M216" s="59">
        <f t="shared" si="371"/>
        <v>0</v>
      </c>
      <c r="N216" s="5">
        <f t="shared" si="371"/>
        <v>0</v>
      </c>
      <c r="O216" s="5">
        <f t="shared" si="371"/>
        <v>0</v>
      </c>
      <c r="P216" s="5">
        <f t="shared" si="371"/>
        <v>0</v>
      </c>
      <c r="Q216" s="5">
        <f t="shared" si="371"/>
        <v>0</v>
      </c>
      <c r="R216" s="5">
        <f t="shared" si="371"/>
        <v>0</v>
      </c>
      <c r="S216" s="5">
        <f t="shared" si="371"/>
        <v>0</v>
      </c>
      <c r="T216" s="5">
        <f t="shared" si="371"/>
        <v>0</v>
      </c>
      <c r="U216" s="5">
        <f t="shared" si="371"/>
        <v>0</v>
      </c>
      <c r="V216" s="5">
        <f t="shared" si="371"/>
        <v>0</v>
      </c>
      <c r="W216" s="5">
        <f t="shared" si="371"/>
        <v>0</v>
      </c>
      <c r="X216" s="5">
        <f t="shared" si="371"/>
        <v>0</v>
      </c>
      <c r="Y216" s="5">
        <f t="shared" si="371"/>
        <v>0</v>
      </c>
      <c r="Z216" s="5">
        <f t="shared" si="371"/>
        <v>1</v>
      </c>
      <c r="AA216" s="5">
        <f t="shared" si="371"/>
        <v>0</v>
      </c>
      <c r="AB216" s="5">
        <f t="shared" si="371"/>
        <v>0</v>
      </c>
      <c r="AC216" s="5">
        <f t="shared" si="371"/>
        <v>0</v>
      </c>
      <c r="AD216" s="5" t="str">
        <f t="shared" si="371"/>
        <v/>
      </c>
      <c r="AE216" s="5" t="str">
        <f t="shared" si="371"/>
        <v/>
      </c>
      <c r="AF216" s="5" t="str">
        <f t="shared" si="371"/>
        <v/>
      </c>
      <c r="AG216" s="5" t="str">
        <f t="shared" si="371"/>
        <v/>
      </c>
      <c r="AH216" s="5" t="str">
        <f t="shared" si="371"/>
        <v/>
      </c>
      <c r="AI216" s="5" t="str">
        <f t="shared" si="371"/>
        <v/>
      </c>
      <c r="AJ216" s="5" t="str">
        <f t="shared" si="371"/>
        <v/>
      </c>
      <c r="AK216" s="5" t="str">
        <f t="shared" si="371"/>
        <v/>
      </c>
      <c r="AL216" s="5" t="str">
        <f t="shared" si="371"/>
        <v/>
      </c>
      <c r="AM216" s="5" t="str">
        <f t="shared" si="371"/>
        <v/>
      </c>
      <c r="AN216" s="5" t="str">
        <f t="shared" si="371"/>
        <v/>
      </c>
      <c r="AO216" s="5" t="str">
        <f t="shared" ref="AO216:AS216" si="372">IF(AO209="","",AN209+AN210-AO209)</f>
        <v/>
      </c>
      <c r="AP216" s="5" t="str">
        <f t="shared" si="372"/>
        <v/>
      </c>
      <c r="AQ216" s="5" t="str">
        <f t="shared" si="372"/>
        <v/>
      </c>
      <c r="AR216" s="5" t="str">
        <f t="shared" si="372"/>
        <v/>
      </c>
      <c r="AS216" s="5" t="str">
        <f t="shared" si="372"/>
        <v/>
      </c>
    </row>
    <row r="217" spans="1:45" s="93" customFormat="1" ht="11">
      <c r="A217" s="7">
        <f>SUM(C217:AS217)</f>
        <v>1000</v>
      </c>
      <c r="B217" s="6" t="s">
        <v>18</v>
      </c>
      <c r="C217" s="74">
        <v>0</v>
      </c>
      <c r="D217" s="5">
        <f t="shared" ref="D217:AN217" si="373">IF(D207="","",D216*D211)</f>
        <v>0</v>
      </c>
      <c r="E217" s="5">
        <f t="shared" si="373"/>
        <v>500</v>
      </c>
      <c r="F217" s="59">
        <f t="shared" si="373"/>
        <v>0</v>
      </c>
      <c r="G217" s="5">
        <f t="shared" si="373"/>
        <v>0</v>
      </c>
      <c r="H217" s="5">
        <f t="shared" si="373"/>
        <v>0</v>
      </c>
      <c r="I217" s="59">
        <f t="shared" si="373"/>
        <v>0</v>
      </c>
      <c r="J217" s="5">
        <f t="shared" si="373"/>
        <v>0</v>
      </c>
      <c r="K217" s="5">
        <f t="shared" si="373"/>
        <v>0</v>
      </c>
      <c r="L217" s="5">
        <f t="shared" si="373"/>
        <v>0</v>
      </c>
      <c r="M217" s="59">
        <f t="shared" si="373"/>
        <v>0</v>
      </c>
      <c r="N217" s="5">
        <f t="shared" si="373"/>
        <v>0</v>
      </c>
      <c r="O217" s="5">
        <f t="shared" si="373"/>
        <v>0</v>
      </c>
      <c r="P217" s="5">
        <f t="shared" si="373"/>
        <v>0</v>
      </c>
      <c r="Q217" s="5">
        <f t="shared" si="373"/>
        <v>0</v>
      </c>
      <c r="R217" s="5">
        <f t="shared" si="373"/>
        <v>0</v>
      </c>
      <c r="S217" s="5">
        <f t="shared" si="373"/>
        <v>0</v>
      </c>
      <c r="T217" s="5">
        <f t="shared" si="373"/>
        <v>0</v>
      </c>
      <c r="U217" s="5">
        <f t="shared" si="373"/>
        <v>0</v>
      </c>
      <c r="V217" s="5">
        <f t="shared" si="373"/>
        <v>0</v>
      </c>
      <c r="W217" s="5">
        <f t="shared" si="373"/>
        <v>0</v>
      </c>
      <c r="X217" s="5">
        <f t="shared" si="373"/>
        <v>0</v>
      </c>
      <c r="Y217" s="5">
        <f t="shared" si="373"/>
        <v>0</v>
      </c>
      <c r="Z217" s="5">
        <f t="shared" si="373"/>
        <v>500</v>
      </c>
      <c r="AA217" s="5">
        <f t="shared" si="373"/>
        <v>0</v>
      </c>
      <c r="AB217" s="5">
        <f t="shared" si="373"/>
        <v>0</v>
      </c>
      <c r="AC217" s="5">
        <f t="shared" si="373"/>
        <v>0</v>
      </c>
      <c r="AD217" s="5" t="str">
        <f t="shared" si="373"/>
        <v/>
      </c>
      <c r="AE217" s="5" t="str">
        <f t="shared" si="373"/>
        <v/>
      </c>
      <c r="AF217" s="5" t="str">
        <f t="shared" si="373"/>
        <v/>
      </c>
      <c r="AG217" s="5" t="str">
        <f t="shared" si="373"/>
        <v/>
      </c>
      <c r="AH217" s="5" t="str">
        <f t="shared" si="373"/>
        <v/>
      </c>
      <c r="AI217" s="5" t="str">
        <f t="shared" si="373"/>
        <v/>
      </c>
      <c r="AJ217" s="5" t="str">
        <f t="shared" si="373"/>
        <v/>
      </c>
      <c r="AK217" s="5" t="str">
        <f t="shared" si="373"/>
        <v/>
      </c>
      <c r="AL217" s="5" t="str">
        <f t="shared" si="373"/>
        <v/>
      </c>
      <c r="AM217" s="5" t="str">
        <f t="shared" si="373"/>
        <v/>
      </c>
      <c r="AN217" s="5" t="str">
        <f t="shared" si="373"/>
        <v/>
      </c>
      <c r="AO217" s="5" t="str">
        <f t="shared" ref="AO217:AS217" si="374">IF(AO207="","",AO216*AO211)</f>
        <v/>
      </c>
      <c r="AP217" s="5" t="str">
        <f t="shared" si="374"/>
        <v/>
      </c>
      <c r="AQ217" s="5" t="str">
        <f t="shared" si="374"/>
        <v/>
      </c>
      <c r="AR217" s="5" t="str">
        <f t="shared" si="374"/>
        <v/>
      </c>
      <c r="AS217" s="5" t="str">
        <f t="shared" si="374"/>
        <v/>
      </c>
    </row>
    <row r="218" spans="1:45" s="93" customFormat="1" ht="12" thickBot="1">
      <c r="A218" s="4">
        <f>IF(A217="","",A217/(A214*100))</f>
        <v>2.3809523809523808E-2</v>
      </c>
      <c r="B218" s="3" t="s">
        <v>20</v>
      </c>
      <c r="C218" s="77" t="s">
        <v>21</v>
      </c>
      <c r="D218" s="2" t="str">
        <f t="shared" ref="D218:AN218" si="375">IF(D217="","",IF(D217=0,"",D217/(D214*100)))</f>
        <v/>
      </c>
      <c r="E218" s="2">
        <f t="shared" si="375"/>
        <v>8.0645161290322578E-2</v>
      </c>
      <c r="F218" s="57" t="str">
        <f t="shared" si="375"/>
        <v/>
      </c>
      <c r="G218" s="2" t="str">
        <f t="shared" si="375"/>
        <v/>
      </c>
      <c r="H218" s="2" t="str">
        <f t="shared" si="375"/>
        <v/>
      </c>
      <c r="I218" s="57" t="str">
        <f t="shared" si="375"/>
        <v/>
      </c>
      <c r="J218" s="2" t="str">
        <f t="shared" si="375"/>
        <v/>
      </c>
      <c r="K218" s="2" t="str">
        <f t="shared" si="375"/>
        <v/>
      </c>
      <c r="L218" s="2" t="str">
        <f t="shared" si="375"/>
        <v/>
      </c>
      <c r="M218" s="57" t="str">
        <f t="shared" si="375"/>
        <v/>
      </c>
      <c r="N218" s="2" t="str">
        <f t="shared" si="375"/>
        <v/>
      </c>
      <c r="O218" s="2" t="str">
        <f t="shared" si="375"/>
        <v/>
      </c>
      <c r="P218" s="2" t="str">
        <f t="shared" si="375"/>
        <v/>
      </c>
      <c r="Q218" s="2" t="str">
        <f t="shared" si="375"/>
        <v/>
      </c>
      <c r="R218" s="2" t="str">
        <f t="shared" si="375"/>
        <v/>
      </c>
      <c r="S218" s="2" t="str">
        <f t="shared" si="375"/>
        <v/>
      </c>
      <c r="T218" s="2" t="str">
        <f t="shared" si="375"/>
        <v/>
      </c>
      <c r="U218" s="2" t="str">
        <f t="shared" si="375"/>
        <v/>
      </c>
      <c r="V218" s="2" t="str">
        <f t="shared" si="375"/>
        <v/>
      </c>
      <c r="W218" s="2" t="str">
        <f t="shared" si="375"/>
        <v/>
      </c>
      <c r="X218" s="2" t="str">
        <f t="shared" si="375"/>
        <v/>
      </c>
      <c r="Y218" s="2" t="str">
        <f t="shared" si="375"/>
        <v/>
      </c>
      <c r="Z218" s="2">
        <f t="shared" si="375"/>
        <v>9.4339622641509441E-2</v>
      </c>
      <c r="AA218" s="2" t="str">
        <f t="shared" si="375"/>
        <v/>
      </c>
      <c r="AB218" s="2" t="str">
        <f t="shared" si="375"/>
        <v/>
      </c>
      <c r="AC218" s="2" t="str">
        <f t="shared" si="375"/>
        <v/>
      </c>
      <c r="AD218" s="2" t="str">
        <f t="shared" si="375"/>
        <v/>
      </c>
      <c r="AE218" s="2" t="str">
        <f t="shared" si="375"/>
        <v/>
      </c>
      <c r="AF218" s="2" t="str">
        <f t="shared" si="375"/>
        <v/>
      </c>
      <c r="AG218" s="2" t="str">
        <f t="shared" si="375"/>
        <v/>
      </c>
      <c r="AH218" s="2" t="str">
        <f t="shared" si="375"/>
        <v/>
      </c>
      <c r="AI218" s="2" t="str">
        <f t="shared" si="375"/>
        <v/>
      </c>
      <c r="AJ218" s="2" t="str">
        <f t="shared" si="375"/>
        <v/>
      </c>
      <c r="AK218" s="2" t="str">
        <f t="shared" si="375"/>
        <v/>
      </c>
      <c r="AL218" s="2" t="str">
        <f t="shared" si="375"/>
        <v/>
      </c>
      <c r="AM218" s="2" t="str">
        <f t="shared" si="375"/>
        <v/>
      </c>
      <c r="AN218" s="2" t="str">
        <f t="shared" si="375"/>
        <v/>
      </c>
      <c r="AO218" s="2" t="str">
        <f t="shared" ref="AO218:AS218" si="376">IF(AO217="","",IF(AO217=0,"",AO217/(AO214*100)))</f>
        <v/>
      </c>
      <c r="AP218" s="2" t="str">
        <f t="shared" si="376"/>
        <v/>
      </c>
      <c r="AQ218" s="2" t="str">
        <f t="shared" si="376"/>
        <v/>
      </c>
      <c r="AR218" s="2" t="str">
        <f t="shared" si="376"/>
        <v/>
      </c>
      <c r="AS218" s="2" t="str">
        <f t="shared" si="376"/>
        <v/>
      </c>
    </row>
    <row r="219" spans="1:45" s="93" customFormat="1" ht="11">
      <c r="A219" s="22" t="s">
        <v>101</v>
      </c>
      <c r="B219" s="21" t="s">
        <v>2</v>
      </c>
      <c r="C219" s="73">
        <v>23731</v>
      </c>
      <c r="D219" s="20">
        <f>IF(D$3="","",C219)</f>
        <v>23731</v>
      </c>
      <c r="E219" s="20">
        <v>23752</v>
      </c>
      <c r="F219" s="130">
        <f>IF(F$3="","",E219)</f>
        <v>23752</v>
      </c>
      <c r="G219" s="20">
        <f>IF(G$3="","",F219)</f>
        <v>23752</v>
      </c>
      <c r="H219" s="20">
        <v>23788</v>
      </c>
      <c r="I219" s="130">
        <f t="shared" ref="I219:K220" si="377">IF(I$3="","",H219)</f>
        <v>23788</v>
      </c>
      <c r="J219" s="20">
        <f t="shared" si="377"/>
        <v>23788</v>
      </c>
      <c r="K219" s="20">
        <f t="shared" si="377"/>
        <v>23788</v>
      </c>
      <c r="L219" s="20">
        <v>23843</v>
      </c>
      <c r="M219" s="130">
        <f>IF(M$3="","",L219)</f>
        <v>23843</v>
      </c>
      <c r="N219" s="20">
        <f>IF(N$3="","",M219)</f>
        <v>23843</v>
      </c>
      <c r="O219" s="20">
        <v>23854</v>
      </c>
      <c r="P219" s="20">
        <f t="shared" ref="P219:AN219" si="378">IF(P$3="","",O219)</f>
        <v>23854</v>
      </c>
      <c r="Q219" s="20">
        <f t="shared" si="378"/>
        <v>23854</v>
      </c>
      <c r="R219" s="20">
        <f t="shared" si="378"/>
        <v>23854</v>
      </c>
      <c r="S219" s="20">
        <f t="shared" si="378"/>
        <v>23854</v>
      </c>
      <c r="T219" s="20">
        <v>23899</v>
      </c>
      <c r="U219" s="20">
        <f t="shared" si="378"/>
        <v>23899</v>
      </c>
      <c r="V219" s="20">
        <v>23959</v>
      </c>
      <c r="W219" s="20">
        <f t="shared" si="378"/>
        <v>23959</v>
      </c>
      <c r="X219" s="20">
        <f t="shared" si="378"/>
        <v>23959</v>
      </c>
      <c r="Y219" s="20">
        <f t="shared" si="378"/>
        <v>23959</v>
      </c>
      <c r="Z219" s="20">
        <v>23980</v>
      </c>
      <c r="AA219" s="20">
        <f t="shared" si="378"/>
        <v>23980</v>
      </c>
      <c r="AB219" s="20">
        <f t="shared" si="378"/>
        <v>23980</v>
      </c>
      <c r="AC219" s="20">
        <v>24008</v>
      </c>
      <c r="AD219" s="20" t="str">
        <f t="shared" si="378"/>
        <v/>
      </c>
      <c r="AE219" s="20" t="str">
        <f t="shared" si="378"/>
        <v/>
      </c>
      <c r="AF219" s="20" t="str">
        <f t="shared" si="378"/>
        <v/>
      </c>
      <c r="AG219" s="20" t="str">
        <f t="shared" si="378"/>
        <v/>
      </c>
      <c r="AH219" s="20" t="str">
        <f t="shared" si="378"/>
        <v/>
      </c>
      <c r="AI219" s="20" t="str">
        <f t="shared" si="378"/>
        <v/>
      </c>
      <c r="AJ219" s="20" t="str">
        <f t="shared" si="378"/>
        <v/>
      </c>
      <c r="AK219" s="20" t="str">
        <f t="shared" si="378"/>
        <v/>
      </c>
      <c r="AL219" s="20" t="str">
        <f t="shared" si="378"/>
        <v/>
      </c>
      <c r="AM219" s="20" t="str">
        <f t="shared" si="378"/>
        <v/>
      </c>
      <c r="AN219" s="20" t="str">
        <f t="shared" si="378"/>
        <v/>
      </c>
      <c r="AO219" s="20" t="str">
        <f t="shared" ref="AO219:AS219" si="379">IF(AO$3="","",AN219)</f>
        <v/>
      </c>
      <c r="AP219" s="20" t="str">
        <f t="shared" si="379"/>
        <v/>
      </c>
      <c r="AQ219" s="20" t="str">
        <f t="shared" si="379"/>
        <v/>
      </c>
      <c r="AR219" s="20" t="str">
        <f t="shared" si="379"/>
        <v/>
      </c>
      <c r="AS219" s="20" t="str">
        <f t="shared" si="379"/>
        <v/>
      </c>
    </row>
    <row r="220" spans="1:45" s="93" customFormat="1" ht="11">
      <c r="A220" s="16" t="s">
        <v>108</v>
      </c>
      <c r="B220" s="9" t="s">
        <v>4</v>
      </c>
      <c r="C220" s="74">
        <v>1182</v>
      </c>
      <c r="D220" s="8">
        <f>IF(D$3="","",C220)</f>
        <v>1182</v>
      </c>
      <c r="E220" s="8">
        <f>IF(E$3="","",D220)</f>
        <v>1182</v>
      </c>
      <c r="F220" s="59">
        <f>IF(F$3="","",E220)</f>
        <v>1182</v>
      </c>
      <c r="G220" s="8">
        <f>IF(G$3="","",F220)</f>
        <v>1182</v>
      </c>
      <c r="H220" s="8">
        <v>1183</v>
      </c>
      <c r="I220" s="59">
        <f t="shared" si="377"/>
        <v>1183</v>
      </c>
      <c r="J220" s="8">
        <f t="shared" si="377"/>
        <v>1183</v>
      </c>
      <c r="K220" s="8">
        <f t="shared" si="377"/>
        <v>1183</v>
      </c>
      <c r="L220" s="8">
        <v>1185</v>
      </c>
      <c r="M220" s="59">
        <f>IF(M$3="","",L220)</f>
        <v>1185</v>
      </c>
      <c r="N220" s="8">
        <f>IF(N$3="","",M220)</f>
        <v>1185</v>
      </c>
      <c r="O220" s="8">
        <f>IF(O$3="","",N220)</f>
        <v>1185</v>
      </c>
      <c r="P220" s="8">
        <f t="shared" ref="P220:AN220" si="380">IF(P$3="","",O220)</f>
        <v>1185</v>
      </c>
      <c r="Q220" s="8">
        <f t="shared" si="380"/>
        <v>1185</v>
      </c>
      <c r="R220" s="8">
        <f t="shared" si="380"/>
        <v>1185</v>
      </c>
      <c r="S220" s="8">
        <f t="shared" si="380"/>
        <v>1185</v>
      </c>
      <c r="T220" s="8">
        <v>1192</v>
      </c>
      <c r="U220" s="8">
        <f t="shared" si="380"/>
        <v>1192</v>
      </c>
      <c r="V220" s="8">
        <v>1203</v>
      </c>
      <c r="W220" s="8">
        <f t="shared" si="380"/>
        <v>1203</v>
      </c>
      <c r="X220" s="8">
        <f t="shared" si="380"/>
        <v>1203</v>
      </c>
      <c r="Y220" s="8">
        <f t="shared" si="380"/>
        <v>1203</v>
      </c>
      <c r="Z220" s="8">
        <v>1205</v>
      </c>
      <c r="AA220" s="8">
        <f t="shared" si="380"/>
        <v>1205</v>
      </c>
      <c r="AB220" s="8">
        <f t="shared" si="380"/>
        <v>1205</v>
      </c>
      <c r="AC220" s="8">
        <v>1207</v>
      </c>
      <c r="AD220" s="8" t="str">
        <f t="shared" si="380"/>
        <v/>
      </c>
      <c r="AE220" s="8" t="str">
        <f t="shared" si="380"/>
        <v/>
      </c>
      <c r="AF220" s="8" t="str">
        <f t="shared" si="380"/>
        <v/>
      </c>
      <c r="AG220" s="8" t="str">
        <f t="shared" si="380"/>
        <v/>
      </c>
      <c r="AH220" s="8" t="str">
        <f t="shared" si="380"/>
        <v/>
      </c>
      <c r="AI220" s="8" t="str">
        <f t="shared" si="380"/>
        <v/>
      </c>
      <c r="AJ220" s="8" t="str">
        <f t="shared" si="380"/>
        <v/>
      </c>
      <c r="AK220" s="8" t="str">
        <f t="shared" si="380"/>
        <v/>
      </c>
      <c r="AL220" s="8" t="str">
        <f t="shared" si="380"/>
        <v/>
      </c>
      <c r="AM220" s="8" t="str">
        <f t="shared" si="380"/>
        <v/>
      </c>
      <c r="AN220" s="8" t="str">
        <f t="shared" si="380"/>
        <v/>
      </c>
      <c r="AO220" s="8" t="str">
        <f t="shared" ref="AO220:AS220" si="381">IF(AO$3="","",AN220)</f>
        <v/>
      </c>
      <c r="AP220" s="8" t="str">
        <f t="shared" si="381"/>
        <v/>
      </c>
      <c r="AQ220" s="8" t="str">
        <f t="shared" si="381"/>
        <v/>
      </c>
      <c r="AR220" s="8" t="str">
        <f t="shared" si="381"/>
        <v/>
      </c>
      <c r="AS220" s="8" t="str">
        <f t="shared" si="381"/>
        <v/>
      </c>
    </row>
    <row r="221" spans="1:45" s="93" customFormat="1" ht="11">
      <c r="A221" s="15">
        <v>1</v>
      </c>
      <c r="B221" s="9" t="s">
        <v>5</v>
      </c>
      <c r="C221" s="74">
        <v>3</v>
      </c>
      <c r="D221" s="8">
        <f>IF(D219="","",(C221+C222))</f>
        <v>3</v>
      </c>
      <c r="E221" s="8">
        <f>IF(E219="","",(D221+D222))</f>
        <v>3</v>
      </c>
      <c r="F221" s="59">
        <f>IF(F219="","",(E221+E222))</f>
        <v>3</v>
      </c>
      <c r="G221" s="8">
        <f>IF(G219="","",(F221+F222))</f>
        <v>3</v>
      </c>
      <c r="H221" s="8">
        <v>2</v>
      </c>
      <c r="I221" s="59">
        <f>IF(I219="","",(H221+H222))</f>
        <v>4</v>
      </c>
      <c r="J221" s="8">
        <f>IF(J219="","",(I221+I222))</f>
        <v>4</v>
      </c>
      <c r="K221" s="8">
        <f>IF(K219="","",(J221+J222))</f>
        <v>4</v>
      </c>
      <c r="L221" s="8">
        <v>3</v>
      </c>
      <c r="M221" s="59">
        <f t="shared" ref="M221:AN221" si="382">IF(M219="","",(L221+L222))</f>
        <v>5</v>
      </c>
      <c r="N221" s="8">
        <f t="shared" si="382"/>
        <v>5</v>
      </c>
      <c r="O221" s="8">
        <f t="shared" si="382"/>
        <v>5</v>
      </c>
      <c r="P221" s="8">
        <f t="shared" si="382"/>
        <v>30</v>
      </c>
      <c r="Q221" s="8">
        <f t="shared" si="382"/>
        <v>30</v>
      </c>
      <c r="R221" s="8">
        <f t="shared" si="382"/>
        <v>30</v>
      </c>
      <c r="S221" s="8">
        <f t="shared" si="382"/>
        <v>30</v>
      </c>
      <c r="T221" s="8">
        <v>23</v>
      </c>
      <c r="U221" s="8">
        <f t="shared" si="382"/>
        <v>23</v>
      </c>
      <c r="V221" s="8">
        <v>14</v>
      </c>
      <c r="W221" s="8">
        <f t="shared" si="382"/>
        <v>18</v>
      </c>
      <c r="X221" s="8">
        <f t="shared" si="382"/>
        <v>18</v>
      </c>
      <c r="Y221" s="8">
        <f t="shared" si="382"/>
        <v>18</v>
      </c>
      <c r="Z221" s="8">
        <v>16</v>
      </c>
      <c r="AA221" s="8">
        <f t="shared" si="382"/>
        <v>16</v>
      </c>
      <c r="AB221" s="8">
        <f t="shared" si="382"/>
        <v>16</v>
      </c>
      <c r="AC221" s="8">
        <v>14</v>
      </c>
      <c r="AD221" s="8" t="str">
        <f t="shared" si="382"/>
        <v/>
      </c>
      <c r="AE221" s="8" t="str">
        <f t="shared" si="382"/>
        <v/>
      </c>
      <c r="AF221" s="8" t="str">
        <f t="shared" si="382"/>
        <v/>
      </c>
      <c r="AG221" s="8" t="str">
        <f t="shared" si="382"/>
        <v/>
      </c>
      <c r="AH221" s="8" t="str">
        <f t="shared" si="382"/>
        <v/>
      </c>
      <c r="AI221" s="8" t="str">
        <f t="shared" si="382"/>
        <v/>
      </c>
      <c r="AJ221" s="8" t="str">
        <f t="shared" si="382"/>
        <v/>
      </c>
      <c r="AK221" s="8" t="str">
        <f t="shared" si="382"/>
        <v/>
      </c>
      <c r="AL221" s="8" t="str">
        <f t="shared" si="382"/>
        <v/>
      </c>
      <c r="AM221" s="8" t="str">
        <f t="shared" si="382"/>
        <v/>
      </c>
      <c r="AN221" s="8" t="str">
        <f t="shared" si="382"/>
        <v/>
      </c>
      <c r="AO221" s="8" t="str">
        <f t="shared" ref="AO221:AS221" si="383">IF(AO219="","",(AN221+AN222))</f>
        <v/>
      </c>
      <c r="AP221" s="8" t="str">
        <f t="shared" si="383"/>
        <v/>
      </c>
      <c r="AQ221" s="8" t="str">
        <f t="shared" si="383"/>
        <v/>
      </c>
      <c r="AR221" s="8" t="str">
        <f t="shared" si="383"/>
        <v/>
      </c>
      <c r="AS221" s="8" t="str">
        <f t="shared" si="383"/>
        <v/>
      </c>
    </row>
    <row r="222" spans="1:45" s="93" customFormat="1" ht="11">
      <c r="A222" s="101" t="s">
        <v>6</v>
      </c>
      <c r="B222" s="9" t="s">
        <v>7</v>
      </c>
      <c r="C222" s="74"/>
      <c r="D222" s="8"/>
      <c r="E222" s="8"/>
      <c r="F222" s="59"/>
      <c r="G222" s="8"/>
      <c r="H222" s="8">
        <v>2</v>
      </c>
      <c r="I222" s="59"/>
      <c r="J222" s="8"/>
      <c r="K222" s="8"/>
      <c r="L222" s="8">
        <v>2</v>
      </c>
      <c r="M222" s="59"/>
      <c r="N222" s="8"/>
      <c r="O222" s="8">
        <v>25</v>
      </c>
      <c r="P222" s="8"/>
      <c r="Q222" s="8"/>
      <c r="R222" s="8"/>
      <c r="S222" s="8"/>
      <c r="T222" s="8"/>
      <c r="U222" s="8"/>
      <c r="V222" s="8">
        <v>4</v>
      </c>
      <c r="W222" s="8"/>
      <c r="X222" s="8"/>
      <c r="Y222" s="8"/>
      <c r="Z222" s="8"/>
      <c r="AA222" s="8"/>
      <c r="AB222" s="8"/>
      <c r="AC222" s="8">
        <v>5</v>
      </c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</row>
    <row r="223" spans="1:45" s="93" customFormat="1" ht="11">
      <c r="A223" s="102">
        <f>+(A226+A238+A250+A262)*100</f>
        <v>259800</v>
      </c>
      <c r="B223" s="9" t="s">
        <v>8</v>
      </c>
      <c r="C223" s="74">
        <v>350</v>
      </c>
      <c r="D223" s="8">
        <f t="shared" ref="D223:AN223" si="384">IF(D219="","",C223)</f>
        <v>350</v>
      </c>
      <c r="E223" s="8">
        <f t="shared" si="384"/>
        <v>350</v>
      </c>
      <c r="F223" s="59">
        <f t="shared" si="384"/>
        <v>350</v>
      </c>
      <c r="G223" s="8">
        <f t="shared" si="384"/>
        <v>350</v>
      </c>
      <c r="H223" s="8">
        <f t="shared" si="384"/>
        <v>350</v>
      </c>
      <c r="I223" s="59">
        <f t="shared" si="384"/>
        <v>350</v>
      </c>
      <c r="J223" s="8">
        <f t="shared" si="384"/>
        <v>350</v>
      </c>
      <c r="K223" s="8">
        <f t="shared" si="384"/>
        <v>350</v>
      </c>
      <c r="L223" s="8">
        <f t="shared" si="384"/>
        <v>350</v>
      </c>
      <c r="M223" s="59">
        <f t="shared" si="384"/>
        <v>350</v>
      </c>
      <c r="N223" s="8">
        <f t="shared" si="384"/>
        <v>350</v>
      </c>
      <c r="O223" s="8">
        <f t="shared" si="384"/>
        <v>350</v>
      </c>
      <c r="P223" s="8">
        <f t="shared" si="384"/>
        <v>350</v>
      </c>
      <c r="Q223" s="8">
        <f t="shared" si="384"/>
        <v>350</v>
      </c>
      <c r="R223" s="8">
        <f t="shared" si="384"/>
        <v>350</v>
      </c>
      <c r="S223" s="8">
        <f t="shared" si="384"/>
        <v>350</v>
      </c>
      <c r="T223" s="8">
        <f t="shared" si="384"/>
        <v>350</v>
      </c>
      <c r="U223" s="8">
        <f t="shared" si="384"/>
        <v>350</v>
      </c>
      <c r="V223" s="8">
        <f t="shared" si="384"/>
        <v>350</v>
      </c>
      <c r="W223" s="8">
        <f t="shared" si="384"/>
        <v>350</v>
      </c>
      <c r="X223" s="8">
        <f t="shared" si="384"/>
        <v>350</v>
      </c>
      <c r="Y223" s="8">
        <f t="shared" si="384"/>
        <v>350</v>
      </c>
      <c r="Z223" s="8">
        <f t="shared" si="384"/>
        <v>350</v>
      </c>
      <c r="AA223" s="8">
        <f t="shared" si="384"/>
        <v>350</v>
      </c>
      <c r="AB223" s="8">
        <f t="shared" si="384"/>
        <v>350</v>
      </c>
      <c r="AC223" s="8">
        <f t="shared" si="384"/>
        <v>350</v>
      </c>
      <c r="AD223" s="8" t="str">
        <f t="shared" si="384"/>
        <v/>
      </c>
      <c r="AE223" s="8" t="str">
        <f t="shared" si="384"/>
        <v/>
      </c>
      <c r="AF223" s="8" t="str">
        <f t="shared" si="384"/>
        <v/>
      </c>
      <c r="AG223" s="8" t="str">
        <f t="shared" si="384"/>
        <v/>
      </c>
      <c r="AH223" s="8" t="str">
        <f t="shared" si="384"/>
        <v/>
      </c>
      <c r="AI223" s="8" t="str">
        <f t="shared" si="384"/>
        <v/>
      </c>
      <c r="AJ223" s="8" t="str">
        <f t="shared" si="384"/>
        <v/>
      </c>
      <c r="AK223" s="8" t="str">
        <f t="shared" si="384"/>
        <v/>
      </c>
      <c r="AL223" s="8" t="str">
        <f t="shared" si="384"/>
        <v/>
      </c>
      <c r="AM223" s="8" t="str">
        <f t="shared" si="384"/>
        <v/>
      </c>
      <c r="AN223" s="8" t="str">
        <f t="shared" si="384"/>
        <v/>
      </c>
      <c r="AO223" s="8" t="str">
        <f t="shared" ref="AO223:AS223" si="385">IF(AO219="","",AN223)</f>
        <v/>
      </c>
      <c r="AP223" s="8" t="str">
        <f t="shared" si="385"/>
        <v/>
      </c>
      <c r="AQ223" s="8" t="str">
        <f t="shared" si="385"/>
        <v/>
      </c>
      <c r="AR223" s="8" t="str">
        <f t="shared" si="385"/>
        <v/>
      </c>
      <c r="AS223" s="8" t="str">
        <f t="shared" si="385"/>
        <v/>
      </c>
    </row>
    <row r="224" spans="1:45" s="94" customFormat="1" ht="11">
      <c r="A224" s="14" t="s">
        <v>9</v>
      </c>
      <c r="B224" s="13" t="s">
        <v>10</v>
      </c>
      <c r="C224" s="75" t="s">
        <v>71</v>
      </c>
      <c r="D224" s="12" t="str">
        <f>IF(D219="","",C224)</f>
        <v>ギャルキティフェイスポーチ</v>
      </c>
      <c r="E224" s="12" t="str">
        <f>IF(E219="","",D224)</f>
        <v>ギャルキティフェイスポーチ</v>
      </c>
      <c r="F224" s="131" t="str">
        <f>IF(F219="","",E224)</f>
        <v>ギャルキティフェイスポーチ</v>
      </c>
      <c r="G224" s="12" t="str">
        <f>IF(G219="","",F224)</f>
        <v>ギャルキティフェイスポーチ</v>
      </c>
      <c r="H224" s="12" t="s">
        <v>109</v>
      </c>
      <c r="I224" s="131" t="str">
        <f t="shared" ref="I224:N224" si="386">IF(I219="","",H224)</f>
        <v>北斗サウンドボタン</v>
      </c>
      <c r="J224" s="12" t="str">
        <f t="shared" si="386"/>
        <v>北斗サウンドボタン</v>
      </c>
      <c r="K224" s="12" t="str">
        <f t="shared" si="386"/>
        <v>北斗サウンドボタン</v>
      </c>
      <c r="L224" s="12" t="str">
        <f t="shared" si="386"/>
        <v>北斗サウンドボタン</v>
      </c>
      <c r="M224" s="131" t="str">
        <f t="shared" si="386"/>
        <v>北斗サウンドボタン</v>
      </c>
      <c r="N224" s="12" t="str">
        <f t="shared" si="386"/>
        <v>北斗サウンドボタン</v>
      </c>
      <c r="O224" s="12" t="s">
        <v>110</v>
      </c>
      <c r="P224" s="12" t="str">
        <f t="shared" ref="P224:AN224" si="387">IF(P219="","",O224)</f>
        <v>キティストーン</v>
      </c>
      <c r="Q224" s="12" t="str">
        <f t="shared" si="387"/>
        <v>キティストーン</v>
      </c>
      <c r="R224" s="12" t="str">
        <f t="shared" si="387"/>
        <v>キティストーン</v>
      </c>
      <c r="S224" s="12" t="str">
        <f t="shared" si="387"/>
        <v>キティストーン</v>
      </c>
      <c r="T224" s="12" t="str">
        <f t="shared" si="387"/>
        <v>キティストーン</v>
      </c>
      <c r="U224" s="12" t="str">
        <f t="shared" si="387"/>
        <v>キティストーン</v>
      </c>
      <c r="V224" s="12" t="str">
        <f t="shared" si="387"/>
        <v>キティストーン</v>
      </c>
      <c r="W224" s="12" t="str">
        <f t="shared" si="387"/>
        <v>キティストーン</v>
      </c>
      <c r="X224" s="12" t="str">
        <f t="shared" si="387"/>
        <v>キティストーン</v>
      </c>
      <c r="Y224" s="12" t="str">
        <f t="shared" si="387"/>
        <v>キティストーン</v>
      </c>
      <c r="Z224" s="12" t="str">
        <f t="shared" si="387"/>
        <v>キティストーン</v>
      </c>
      <c r="AA224" s="12" t="str">
        <f t="shared" si="387"/>
        <v>キティストーン</v>
      </c>
      <c r="AB224" s="12" t="str">
        <f t="shared" si="387"/>
        <v>キティストーン</v>
      </c>
      <c r="AC224" s="12" t="str">
        <f t="shared" si="387"/>
        <v>キティストーン</v>
      </c>
      <c r="AD224" s="12" t="str">
        <f t="shared" si="387"/>
        <v/>
      </c>
      <c r="AE224" s="12" t="str">
        <f t="shared" si="387"/>
        <v/>
      </c>
      <c r="AF224" s="12" t="str">
        <f t="shared" si="387"/>
        <v/>
      </c>
      <c r="AG224" s="12" t="str">
        <f t="shared" si="387"/>
        <v/>
      </c>
      <c r="AH224" s="12" t="str">
        <f t="shared" si="387"/>
        <v/>
      </c>
      <c r="AI224" s="12" t="str">
        <f t="shared" si="387"/>
        <v/>
      </c>
      <c r="AJ224" s="12" t="str">
        <f t="shared" si="387"/>
        <v/>
      </c>
      <c r="AK224" s="12" t="str">
        <f t="shared" si="387"/>
        <v/>
      </c>
      <c r="AL224" s="12" t="str">
        <f t="shared" si="387"/>
        <v/>
      </c>
      <c r="AM224" s="12" t="str">
        <f t="shared" si="387"/>
        <v/>
      </c>
      <c r="AN224" s="12" t="str">
        <f t="shared" si="387"/>
        <v/>
      </c>
      <c r="AO224" s="12" t="str">
        <f t="shared" ref="AO224:AS224" si="388">IF(AO219="","",AN224)</f>
        <v/>
      </c>
      <c r="AP224" s="12" t="str">
        <f t="shared" si="388"/>
        <v/>
      </c>
      <c r="AQ224" s="12" t="str">
        <f t="shared" si="388"/>
        <v/>
      </c>
      <c r="AR224" s="12" t="str">
        <f t="shared" si="388"/>
        <v/>
      </c>
      <c r="AS224" s="12" t="str">
        <f t="shared" si="388"/>
        <v/>
      </c>
    </row>
    <row r="225" spans="1:45" s="93" customFormat="1" ht="11">
      <c r="A225" s="7">
        <f>AVERAGE(C226:AS226)*30*100</f>
        <v>30777.777777777777</v>
      </c>
      <c r="B225" s="9" t="s">
        <v>14</v>
      </c>
      <c r="C225" s="74"/>
      <c r="D225" s="8"/>
      <c r="E225" s="8"/>
      <c r="F225" s="59"/>
      <c r="G225" s="8"/>
      <c r="H225" s="8"/>
      <c r="I225" s="59"/>
      <c r="J225" s="8"/>
      <c r="K225" s="8"/>
      <c r="L225" s="8"/>
      <c r="M225" s="59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</row>
    <row r="226" spans="1:45" s="93" customFormat="1" ht="11">
      <c r="A226" s="7">
        <f>SUM(C226:AS226)</f>
        <v>277</v>
      </c>
      <c r="B226" s="6" t="s">
        <v>15</v>
      </c>
      <c r="C226" s="74">
        <v>0</v>
      </c>
      <c r="D226" s="5">
        <f t="shared" ref="D226:AN226" si="389">IF(D219="","",D219-C219)</f>
        <v>0</v>
      </c>
      <c r="E226" s="5">
        <f t="shared" si="389"/>
        <v>21</v>
      </c>
      <c r="F226" s="59">
        <f t="shared" si="389"/>
        <v>0</v>
      </c>
      <c r="G226" s="5">
        <f t="shared" si="389"/>
        <v>0</v>
      </c>
      <c r="H226" s="5">
        <f t="shared" si="389"/>
        <v>36</v>
      </c>
      <c r="I226" s="59">
        <f t="shared" si="389"/>
        <v>0</v>
      </c>
      <c r="J226" s="5">
        <f t="shared" si="389"/>
        <v>0</v>
      </c>
      <c r="K226" s="5">
        <f t="shared" si="389"/>
        <v>0</v>
      </c>
      <c r="L226" s="5">
        <f t="shared" si="389"/>
        <v>55</v>
      </c>
      <c r="M226" s="59">
        <f t="shared" si="389"/>
        <v>0</v>
      </c>
      <c r="N226" s="5">
        <f t="shared" si="389"/>
        <v>0</v>
      </c>
      <c r="O226" s="5">
        <f t="shared" si="389"/>
        <v>11</v>
      </c>
      <c r="P226" s="5">
        <f t="shared" si="389"/>
        <v>0</v>
      </c>
      <c r="Q226" s="5">
        <f t="shared" si="389"/>
        <v>0</v>
      </c>
      <c r="R226" s="5">
        <f t="shared" si="389"/>
        <v>0</v>
      </c>
      <c r="S226" s="5">
        <f t="shared" si="389"/>
        <v>0</v>
      </c>
      <c r="T226" s="5">
        <f t="shared" si="389"/>
        <v>45</v>
      </c>
      <c r="U226" s="5">
        <f t="shared" si="389"/>
        <v>0</v>
      </c>
      <c r="V226" s="5">
        <f t="shared" si="389"/>
        <v>60</v>
      </c>
      <c r="W226" s="5">
        <f t="shared" si="389"/>
        <v>0</v>
      </c>
      <c r="X226" s="5">
        <f t="shared" si="389"/>
        <v>0</v>
      </c>
      <c r="Y226" s="5">
        <f t="shared" si="389"/>
        <v>0</v>
      </c>
      <c r="Z226" s="5">
        <f t="shared" si="389"/>
        <v>21</v>
      </c>
      <c r="AA226" s="5">
        <f t="shared" si="389"/>
        <v>0</v>
      </c>
      <c r="AB226" s="5">
        <f t="shared" si="389"/>
        <v>0</v>
      </c>
      <c r="AC226" s="5">
        <f t="shared" si="389"/>
        <v>28</v>
      </c>
      <c r="AD226" s="5" t="str">
        <f t="shared" si="389"/>
        <v/>
      </c>
      <c r="AE226" s="5" t="str">
        <f t="shared" si="389"/>
        <v/>
      </c>
      <c r="AF226" s="5" t="str">
        <f t="shared" si="389"/>
        <v/>
      </c>
      <c r="AG226" s="5" t="str">
        <f t="shared" si="389"/>
        <v/>
      </c>
      <c r="AH226" s="5" t="str">
        <f t="shared" si="389"/>
        <v/>
      </c>
      <c r="AI226" s="5" t="str">
        <f t="shared" si="389"/>
        <v/>
      </c>
      <c r="AJ226" s="5" t="str">
        <f t="shared" si="389"/>
        <v/>
      </c>
      <c r="AK226" s="5" t="str">
        <f t="shared" si="389"/>
        <v/>
      </c>
      <c r="AL226" s="5" t="str">
        <f t="shared" si="389"/>
        <v/>
      </c>
      <c r="AM226" s="5" t="str">
        <f t="shared" si="389"/>
        <v/>
      </c>
      <c r="AN226" s="5" t="str">
        <f t="shared" si="389"/>
        <v/>
      </c>
      <c r="AO226" s="5" t="str">
        <f t="shared" ref="AO226:AS226" si="390">IF(AO219="","",AO219-AN219)</f>
        <v/>
      </c>
      <c r="AP226" s="5" t="str">
        <f t="shared" si="390"/>
        <v/>
      </c>
      <c r="AQ226" s="5" t="str">
        <f t="shared" si="390"/>
        <v/>
      </c>
      <c r="AR226" s="5" t="str">
        <f t="shared" si="390"/>
        <v/>
      </c>
      <c r="AS226" s="5" t="str">
        <f t="shared" si="390"/>
        <v/>
      </c>
    </row>
    <row r="227" spans="1:45" s="93" customFormat="1" ht="11">
      <c r="A227" s="7">
        <f>SUM(C227:AS227)</f>
        <v>25</v>
      </c>
      <c r="B227" s="6" t="s">
        <v>16</v>
      </c>
      <c r="C227" s="74">
        <v>0</v>
      </c>
      <c r="D227" s="5">
        <f t="shared" ref="D227:AN227" si="391">IF(D220="","",D220-C220)</f>
        <v>0</v>
      </c>
      <c r="E227" s="5">
        <f t="shared" si="391"/>
        <v>0</v>
      </c>
      <c r="F227" s="59">
        <f t="shared" si="391"/>
        <v>0</v>
      </c>
      <c r="G227" s="5">
        <f t="shared" si="391"/>
        <v>0</v>
      </c>
      <c r="H227" s="5">
        <f t="shared" si="391"/>
        <v>1</v>
      </c>
      <c r="I227" s="59">
        <f t="shared" si="391"/>
        <v>0</v>
      </c>
      <c r="J227" s="5">
        <f t="shared" si="391"/>
        <v>0</v>
      </c>
      <c r="K227" s="5">
        <f t="shared" si="391"/>
        <v>0</v>
      </c>
      <c r="L227" s="5">
        <f t="shared" si="391"/>
        <v>2</v>
      </c>
      <c r="M227" s="59">
        <f t="shared" si="391"/>
        <v>0</v>
      </c>
      <c r="N227" s="5">
        <f t="shared" si="391"/>
        <v>0</v>
      </c>
      <c r="O227" s="5">
        <f t="shared" si="391"/>
        <v>0</v>
      </c>
      <c r="P227" s="5">
        <f t="shared" si="391"/>
        <v>0</v>
      </c>
      <c r="Q227" s="5">
        <f t="shared" si="391"/>
        <v>0</v>
      </c>
      <c r="R227" s="5">
        <f t="shared" si="391"/>
        <v>0</v>
      </c>
      <c r="S227" s="5">
        <f t="shared" si="391"/>
        <v>0</v>
      </c>
      <c r="T227" s="5">
        <f t="shared" si="391"/>
        <v>7</v>
      </c>
      <c r="U227" s="5">
        <f t="shared" si="391"/>
        <v>0</v>
      </c>
      <c r="V227" s="5">
        <f t="shared" si="391"/>
        <v>11</v>
      </c>
      <c r="W227" s="5">
        <f t="shared" si="391"/>
        <v>0</v>
      </c>
      <c r="X227" s="5">
        <f t="shared" si="391"/>
        <v>0</v>
      </c>
      <c r="Y227" s="5">
        <f t="shared" si="391"/>
        <v>0</v>
      </c>
      <c r="Z227" s="5">
        <f t="shared" si="391"/>
        <v>2</v>
      </c>
      <c r="AA227" s="5">
        <f t="shared" si="391"/>
        <v>0</v>
      </c>
      <c r="AB227" s="5">
        <f t="shared" si="391"/>
        <v>0</v>
      </c>
      <c r="AC227" s="5">
        <f t="shared" si="391"/>
        <v>2</v>
      </c>
      <c r="AD227" s="5" t="str">
        <f t="shared" si="391"/>
        <v/>
      </c>
      <c r="AE227" s="5" t="str">
        <f t="shared" si="391"/>
        <v/>
      </c>
      <c r="AF227" s="5" t="str">
        <f t="shared" si="391"/>
        <v/>
      </c>
      <c r="AG227" s="5" t="str">
        <f t="shared" si="391"/>
        <v/>
      </c>
      <c r="AH227" s="5" t="str">
        <f t="shared" si="391"/>
        <v/>
      </c>
      <c r="AI227" s="5" t="str">
        <f t="shared" si="391"/>
        <v/>
      </c>
      <c r="AJ227" s="5" t="str">
        <f t="shared" si="391"/>
        <v/>
      </c>
      <c r="AK227" s="5" t="str">
        <f t="shared" si="391"/>
        <v/>
      </c>
      <c r="AL227" s="5" t="str">
        <f t="shared" si="391"/>
        <v/>
      </c>
      <c r="AM227" s="5" t="str">
        <f t="shared" si="391"/>
        <v/>
      </c>
      <c r="AN227" s="5" t="str">
        <f t="shared" si="391"/>
        <v/>
      </c>
      <c r="AO227" s="5" t="str">
        <f t="shared" ref="AO227:AS227" si="392">IF(AO220="","",AO220-AN220)</f>
        <v/>
      </c>
      <c r="AP227" s="5" t="str">
        <f t="shared" si="392"/>
        <v/>
      </c>
      <c r="AQ227" s="5" t="str">
        <f t="shared" si="392"/>
        <v/>
      </c>
      <c r="AR227" s="5" t="str">
        <f t="shared" si="392"/>
        <v/>
      </c>
      <c r="AS227" s="5" t="str">
        <f t="shared" si="392"/>
        <v/>
      </c>
    </row>
    <row r="228" spans="1:45" s="93" customFormat="1" ht="11">
      <c r="A228" s="7">
        <f>SUM(C228:AS228)</f>
        <v>22</v>
      </c>
      <c r="B228" s="6" t="s">
        <v>17</v>
      </c>
      <c r="C228" s="74">
        <v>0</v>
      </c>
      <c r="D228" s="5">
        <f t="shared" ref="D228:AN228" si="393">IF(D221="","",C221+C222-D221)</f>
        <v>0</v>
      </c>
      <c r="E228" s="5">
        <f t="shared" si="393"/>
        <v>0</v>
      </c>
      <c r="F228" s="59">
        <f t="shared" si="393"/>
        <v>0</v>
      </c>
      <c r="G228" s="5">
        <f t="shared" si="393"/>
        <v>0</v>
      </c>
      <c r="H228" s="5">
        <f t="shared" si="393"/>
        <v>1</v>
      </c>
      <c r="I228" s="59">
        <f t="shared" si="393"/>
        <v>0</v>
      </c>
      <c r="J228" s="5">
        <f t="shared" si="393"/>
        <v>0</v>
      </c>
      <c r="K228" s="5">
        <f t="shared" si="393"/>
        <v>0</v>
      </c>
      <c r="L228" s="5">
        <f t="shared" si="393"/>
        <v>1</v>
      </c>
      <c r="M228" s="59">
        <f t="shared" si="393"/>
        <v>0</v>
      </c>
      <c r="N228" s="5">
        <f t="shared" si="393"/>
        <v>0</v>
      </c>
      <c r="O228" s="5">
        <f t="shared" si="393"/>
        <v>0</v>
      </c>
      <c r="P228" s="5">
        <f t="shared" si="393"/>
        <v>0</v>
      </c>
      <c r="Q228" s="5">
        <f t="shared" si="393"/>
        <v>0</v>
      </c>
      <c r="R228" s="5">
        <f t="shared" si="393"/>
        <v>0</v>
      </c>
      <c r="S228" s="5">
        <f t="shared" si="393"/>
        <v>0</v>
      </c>
      <c r="T228" s="5">
        <f t="shared" si="393"/>
        <v>7</v>
      </c>
      <c r="U228" s="5">
        <f t="shared" si="393"/>
        <v>0</v>
      </c>
      <c r="V228" s="5">
        <f t="shared" si="393"/>
        <v>9</v>
      </c>
      <c r="W228" s="5">
        <f t="shared" si="393"/>
        <v>0</v>
      </c>
      <c r="X228" s="5">
        <f t="shared" si="393"/>
        <v>0</v>
      </c>
      <c r="Y228" s="5">
        <f t="shared" si="393"/>
        <v>0</v>
      </c>
      <c r="Z228" s="5">
        <f t="shared" si="393"/>
        <v>2</v>
      </c>
      <c r="AA228" s="5">
        <f t="shared" si="393"/>
        <v>0</v>
      </c>
      <c r="AB228" s="5">
        <f t="shared" si="393"/>
        <v>0</v>
      </c>
      <c r="AC228" s="5">
        <f t="shared" si="393"/>
        <v>2</v>
      </c>
      <c r="AD228" s="5" t="str">
        <f t="shared" si="393"/>
        <v/>
      </c>
      <c r="AE228" s="5" t="str">
        <f t="shared" si="393"/>
        <v/>
      </c>
      <c r="AF228" s="5" t="str">
        <f t="shared" si="393"/>
        <v/>
      </c>
      <c r="AG228" s="5" t="str">
        <f t="shared" si="393"/>
        <v/>
      </c>
      <c r="AH228" s="5" t="str">
        <f t="shared" si="393"/>
        <v/>
      </c>
      <c r="AI228" s="5" t="str">
        <f t="shared" si="393"/>
        <v/>
      </c>
      <c r="AJ228" s="5" t="str">
        <f t="shared" si="393"/>
        <v/>
      </c>
      <c r="AK228" s="5" t="str">
        <f t="shared" si="393"/>
        <v/>
      </c>
      <c r="AL228" s="5" t="str">
        <f t="shared" si="393"/>
        <v/>
      </c>
      <c r="AM228" s="5" t="str">
        <f t="shared" si="393"/>
        <v/>
      </c>
      <c r="AN228" s="5" t="str">
        <f t="shared" si="393"/>
        <v/>
      </c>
      <c r="AO228" s="5" t="str">
        <f t="shared" ref="AO228:AS228" si="394">IF(AO221="","",AN221+AN222-AO221)</f>
        <v/>
      </c>
      <c r="AP228" s="5" t="str">
        <f t="shared" si="394"/>
        <v/>
      </c>
      <c r="AQ228" s="5" t="str">
        <f t="shared" si="394"/>
        <v/>
      </c>
      <c r="AR228" s="5" t="str">
        <f t="shared" si="394"/>
        <v/>
      </c>
      <c r="AS228" s="5" t="str">
        <f t="shared" si="394"/>
        <v/>
      </c>
    </row>
    <row r="229" spans="1:45" s="93" customFormat="1" ht="11">
      <c r="A229" s="7">
        <f>SUM(C229:AS229)</f>
        <v>7700</v>
      </c>
      <c r="B229" s="6" t="s">
        <v>18</v>
      </c>
      <c r="C229" s="74">
        <v>0</v>
      </c>
      <c r="D229" s="5">
        <f t="shared" ref="D229:AN229" si="395">IF(D219="","",D228*D223)</f>
        <v>0</v>
      </c>
      <c r="E229" s="5">
        <f t="shared" si="395"/>
        <v>0</v>
      </c>
      <c r="F229" s="59">
        <f t="shared" si="395"/>
        <v>0</v>
      </c>
      <c r="G229" s="5">
        <f t="shared" si="395"/>
        <v>0</v>
      </c>
      <c r="H229" s="5">
        <f t="shared" si="395"/>
        <v>350</v>
      </c>
      <c r="I229" s="59">
        <f t="shared" si="395"/>
        <v>0</v>
      </c>
      <c r="J229" s="5">
        <f t="shared" si="395"/>
        <v>0</v>
      </c>
      <c r="K229" s="5">
        <f t="shared" si="395"/>
        <v>0</v>
      </c>
      <c r="L229" s="5">
        <f t="shared" si="395"/>
        <v>350</v>
      </c>
      <c r="M229" s="59">
        <f t="shared" si="395"/>
        <v>0</v>
      </c>
      <c r="N229" s="5">
        <f t="shared" si="395"/>
        <v>0</v>
      </c>
      <c r="O229" s="5">
        <f t="shared" si="395"/>
        <v>0</v>
      </c>
      <c r="P229" s="5">
        <f t="shared" si="395"/>
        <v>0</v>
      </c>
      <c r="Q229" s="5">
        <f t="shared" si="395"/>
        <v>0</v>
      </c>
      <c r="R229" s="5">
        <f t="shared" si="395"/>
        <v>0</v>
      </c>
      <c r="S229" s="5">
        <f t="shared" si="395"/>
        <v>0</v>
      </c>
      <c r="T229" s="5">
        <f t="shared" si="395"/>
        <v>2450</v>
      </c>
      <c r="U229" s="5">
        <f t="shared" si="395"/>
        <v>0</v>
      </c>
      <c r="V229" s="5">
        <f t="shared" si="395"/>
        <v>3150</v>
      </c>
      <c r="W229" s="5">
        <f t="shared" si="395"/>
        <v>0</v>
      </c>
      <c r="X229" s="5">
        <f t="shared" si="395"/>
        <v>0</v>
      </c>
      <c r="Y229" s="5">
        <f t="shared" si="395"/>
        <v>0</v>
      </c>
      <c r="Z229" s="5">
        <f t="shared" si="395"/>
        <v>700</v>
      </c>
      <c r="AA229" s="5">
        <f t="shared" si="395"/>
        <v>0</v>
      </c>
      <c r="AB229" s="5">
        <f t="shared" si="395"/>
        <v>0</v>
      </c>
      <c r="AC229" s="5">
        <f t="shared" si="395"/>
        <v>700</v>
      </c>
      <c r="AD229" s="5" t="str">
        <f t="shared" si="395"/>
        <v/>
      </c>
      <c r="AE229" s="5" t="str">
        <f t="shared" si="395"/>
        <v/>
      </c>
      <c r="AF229" s="5" t="str">
        <f t="shared" si="395"/>
        <v/>
      </c>
      <c r="AG229" s="5" t="str">
        <f t="shared" si="395"/>
        <v/>
      </c>
      <c r="AH229" s="5" t="str">
        <f t="shared" si="395"/>
        <v/>
      </c>
      <c r="AI229" s="5" t="str">
        <f t="shared" si="395"/>
        <v/>
      </c>
      <c r="AJ229" s="5" t="str">
        <f t="shared" si="395"/>
        <v/>
      </c>
      <c r="AK229" s="5" t="str">
        <f t="shared" si="395"/>
        <v/>
      </c>
      <c r="AL229" s="5" t="str">
        <f t="shared" si="395"/>
        <v/>
      </c>
      <c r="AM229" s="5" t="str">
        <f t="shared" si="395"/>
        <v/>
      </c>
      <c r="AN229" s="5" t="str">
        <f t="shared" si="395"/>
        <v/>
      </c>
      <c r="AO229" s="5" t="str">
        <f t="shared" ref="AO229:AS229" si="396">IF(AO219="","",AO228*AO223)</f>
        <v/>
      </c>
      <c r="AP229" s="5" t="str">
        <f t="shared" si="396"/>
        <v/>
      </c>
      <c r="AQ229" s="5" t="str">
        <f t="shared" si="396"/>
        <v/>
      </c>
      <c r="AR229" s="5" t="str">
        <f t="shared" si="396"/>
        <v/>
      </c>
      <c r="AS229" s="5" t="str">
        <f t="shared" si="396"/>
        <v/>
      </c>
    </row>
    <row r="230" spans="1:45" s="93" customFormat="1" ht="12" thickBot="1">
      <c r="A230" s="4">
        <f>IF(A229="","",A229/(A226*100))</f>
        <v>0.27797833935018051</v>
      </c>
      <c r="B230" s="6" t="s">
        <v>20</v>
      </c>
      <c r="C230" s="76" t="s">
        <v>21</v>
      </c>
      <c r="D230" s="18" t="str">
        <f t="shared" ref="D230:AN230" si="397">IF(D229="","",IF(D229=0,"",D229/(D226*100)))</f>
        <v/>
      </c>
      <c r="E230" s="18" t="str">
        <f t="shared" si="397"/>
        <v/>
      </c>
      <c r="F230" s="62" t="str">
        <f t="shared" si="397"/>
        <v/>
      </c>
      <c r="G230" s="18" t="str">
        <f t="shared" si="397"/>
        <v/>
      </c>
      <c r="H230" s="18">
        <f t="shared" si="397"/>
        <v>9.7222222222222224E-2</v>
      </c>
      <c r="I230" s="62" t="str">
        <f t="shared" si="397"/>
        <v/>
      </c>
      <c r="J230" s="18" t="str">
        <f t="shared" si="397"/>
        <v/>
      </c>
      <c r="K230" s="18" t="str">
        <f t="shared" si="397"/>
        <v/>
      </c>
      <c r="L230" s="18">
        <f t="shared" si="397"/>
        <v>6.363636363636363E-2</v>
      </c>
      <c r="M230" s="62" t="str">
        <f t="shared" si="397"/>
        <v/>
      </c>
      <c r="N230" s="18" t="str">
        <f t="shared" si="397"/>
        <v/>
      </c>
      <c r="O230" s="18" t="str">
        <f t="shared" si="397"/>
        <v/>
      </c>
      <c r="P230" s="18" t="str">
        <f t="shared" si="397"/>
        <v/>
      </c>
      <c r="Q230" s="18" t="str">
        <f t="shared" si="397"/>
        <v/>
      </c>
      <c r="R230" s="18" t="str">
        <f t="shared" si="397"/>
        <v/>
      </c>
      <c r="S230" s="18" t="str">
        <f t="shared" si="397"/>
        <v/>
      </c>
      <c r="T230" s="18">
        <f t="shared" si="397"/>
        <v>0.5444444444444444</v>
      </c>
      <c r="U230" s="18" t="str">
        <f t="shared" si="397"/>
        <v/>
      </c>
      <c r="V230" s="18">
        <f t="shared" si="397"/>
        <v>0.52500000000000002</v>
      </c>
      <c r="W230" s="18" t="str">
        <f t="shared" si="397"/>
        <v/>
      </c>
      <c r="X230" s="18" t="str">
        <f t="shared" si="397"/>
        <v/>
      </c>
      <c r="Y230" s="18" t="str">
        <f t="shared" si="397"/>
        <v/>
      </c>
      <c r="Z230" s="18">
        <f t="shared" si="397"/>
        <v>0.33333333333333331</v>
      </c>
      <c r="AA230" s="18" t="str">
        <f t="shared" si="397"/>
        <v/>
      </c>
      <c r="AB230" s="18" t="str">
        <f t="shared" si="397"/>
        <v/>
      </c>
      <c r="AC230" s="18">
        <f t="shared" si="397"/>
        <v>0.25</v>
      </c>
      <c r="AD230" s="18" t="str">
        <f t="shared" si="397"/>
        <v/>
      </c>
      <c r="AE230" s="18" t="str">
        <f t="shared" si="397"/>
        <v/>
      </c>
      <c r="AF230" s="18" t="str">
        <f t="shared" si="397"/>
        <v/>
      </c>
      <c r="AG230" s="18" t="str">
        <f t="shared" si="397"/>
        <v/>
      </c>
      <c r="AH230" s="18" t="str">
        <f t="shared" si="397"/>
        <v/>
      </c>
      <c r="AI230" s="18" t="str">
        <f t="shared" si="397"/>
        <v/>
      </c>
      <c r="AJ230" s="18" t="str">
        <f t="shared" si="397"/>
        <v/>
      </c>
      <c r="AK230" s="18" t="str">
        <f t="shared" si="397"/>
        <v/>
      </c>
      <c r="AL230" s="18" t="str">
        <f t="shared" si="397"/>
        <v/>
      </c>
      <c r="AM230" s="18" t="str">
        <f t="shared" si="397"/>
        <v/>
      </c>
      <c r="AN230" s="18" t="str">
        <f t="shared" si="397"/>
        <v/>
      </c>
      <c r="AO230" s="18" t="str">
        <f t="shared" ref="AO230:AS230" si="398">IF(AO229="","",IF(AO229=0,"",AO229/(AO226*100)))</f>
        <v/>
      </c>
      <c r="AP230" s="18" t="str">
        <f t="shared" si="398"/>
        <v/>
      </c>
      <c r="AQ230" s="18" t="str">
        <f t="shared" si="398"/>
        <v/>
      </c>
      <c r="AR230" s="18" t="str">
        <f t="shared" si="398"/>
        <v/>
      </c>
      <c r="AS230" s="18" t="str">
        <f t="shared" si="398"/>
        <v/>
      </c>
    </row>
    <row r="231" spans="1:45" s="93" customFormat="1" ht="11">
      <c r="A231" s="17" t="s">
        <v>101</v>
      </c>
      <c r="B231" s="9" t="s">
        <v>2</v>
      </c>
      <c r="C231" s="74">
        <v>27658</v>
      </c>
      <c r="D231" s="8">
        <f>IF(D$3="","",C231)</f>
        <v>27658</v>
      </c>
      <c r="E231" s="8">
        <v>27667</v>
      </c>
      <c r="F231" s="59">
        <f>IF(F$3="","",E231)</f>
        <v>27667</v>
      </c>
      <c r="G231" s="8">
        <f>IF(G$3="","",F231)</f>
        <v>27667</v>
      </c>
      <c r="H231" s="8">
        <v>27682</v>
      </c>
      <c r="I231" s="59">
        <f t="shared" ref="I231:K232" si="399">IF(I$3="","",H231)</f>
        <v>27682</v>
      </c>
      <c r="J231" s="8">
        <f t="shared" si="399"/>
        <v>27682</v>
      </c>
      <c r="K231" s="8">
        <f t="shared" si="399"/>
        <v>27682</v>
      </c>
      <c r="L231" s="8">
        <v>27713</v>
      </c>
      <c r="M231" s="59">
        <f>IF(M$3="","",L231)</f>
        <v>27713</v>
      </c>
      <c r="N231" s="8">
        <f>IF(N$3="","",M231)</f>
        <v>27713</v>
      </c>
      <c r="O231" s="8">
        <v>27734</v>
      </c>
      <c r="P231" s="8">
        <f t="shared" ref="P231:AN231" si="400">IF(P$3="","",O231)</f>
        <v>27734</v>
      </c>
      <c r="Q231" s="8">
        <f t="shared" si="400"/>
        <v>27734</v>
      </c>
      <c r="R231" s="8">
        <f t="shared" si="400"/>
        <v>27734</v>
      </c>
      <c r="S231" s="8">
        <f t="shared" si="400"/>
        <v>27734</v>
      </c>
      <c r="T231" s="8">
        <v>27754</v>
      </c>
      <c r="U231" s="8">
        <f t="shared" si="400"/>
        <v>27754</v>
      </c>
      <c r="V231" s="8">
        <v>27778</v>
      </c>
      <c r="W231" s="8">
        <f t="shared" si="400"/>
        <v>27778</v>
      </c>
      <c r="X231" s="8">
        <f t="shared" si="400"/>
        <v>27778</v>
      </c>
      <c r="Y231" s="8">
        <f t="shared" si="400"/>
        <v>27778</v>
      </c>
      <c r="Z231" s="8">
        <v>27882</v>
      </c>
      <c r="AA231" s="8">
        <f t="shared" si="400"/>
        <v>27882</v>
      </c>
      <c r="AB231" s="8">
        <f t="shared" si="400"/>
        <v>27882</v>
      </c>
      <c r="AC231" s="8">
        <v>27931</v>
      </c>
      <c r="AD231" s="8" t="str">
        <f t="shared" si="400"/>
        <v/>
      </c>
      <c r="AE231" s="8" t="str">
        <f t="shared" si="400"/>
        <v/>
      </c>
      <c r="AF231" s="8" t="str">
        <f t="shared" si="400"/>
        <v/>
      </c>
      <c r="AG231" s="8" t="str">
        <f t="shared" si="400"/>
        <v/>
      </c>
      <c r="AH231" s="8" t="str">
        <f t="shared" si="400"/>
        <v/>
      </c>
      <c r="AI231" s="8" t="str">
        <f t="shared" si="400"/>
        <v/>
      </c>
      <c r="AJ231" s="8" t="str">
        <f t="shared" si="400"/>
        <v/>
      </c>
      <c r="AK231" s="8" t="str">
        <f t="shared" si="400"/>
        <v/>
      </c>
      <c r="AL231" s="8" t="str">
        <f t="shared" si="400"/>
        <v/>
      </c>
      <c r="AM231" s="8" t="str">
        <f t="shared" si="400"/>
        <v/>
      </c>
      <c r="AN231" s="8" t="str">
        <f t="shared" si="400"/>
        <v/>
      </c>
      <c r="AO231" s="8" t="str">
        <f t="shared" ref="AO231:AS231" si="401">IF(AO$3="","",AN231)</f>
        <v/>
      </c>
      <c r="AP231" s="8" t="str">
        <f t="shared" si="401"/>
        <v/>
      </c>
      <c r="AQ231" s="8" t="str">
        <f t="shared" si="401"/>
        <v/>
      </c>
      <c r="AR231" s="8" t="str">
        <f t="shared" si="401"/>
        <v/>
      </c>
      <c r="AS231" s="8" t="str">
        <f t="shared" si="401"/>
        <v/>
      </c>
    </row>
    <row r="232" spans="1:45" s="93" customFormat="1" ht="11">
      <c r="A232" s="16" t="str">
        <f>A220</f>
        <v>BUZZ＃6</v>
      </c>
      <c r="B232" s="9" t="s">
        <v>4</v>
      </c>
      <c r="C232" s="74">
        <v>1363</v>
      </c>
      <c r="D232" s="8">
        <f>IF(D$3="","",C232)</f>
        <v>1363</v>
      </c>
      <c r="E232" s="8">
        <v>1364</v>
      </c>
      <c r="F232" s="59">
        <f>IF(F$3="","",E232)</f>
        <v>1364</v>
      </c>
      <c r="G232" s="8">
        <f>IF(G$3="","",F232)</f>
        <v>1364</v>
      </c>
      <c r="H232" s="8">
        <f>IF(H$3="","",G232)</f>
        <v>1364</v>
      </c>
      <c r="I232" s="59">
        <f t="shared" si="399"/>
        <v>1364</v>
      </c>
      <c r="J232" s="8">
        <f t="shared" si="399"/>
        <v>1364</v>
      </c>
      <c r="K232" s="8">
        <f t="shared" si="399"/>
        <v>1364</v>
      </c>
      <c r="L232" s="8">
        <f>IF(L$3="","",K232)</f>
        <v>1364</v>
      </c>
      <c r="M232" s="59">
        <f>IF(M$3="","",L232)</f>
        <v>1364</v>
      </c>
      <c r="N232" s="8">
        <f>IF(N$3="","",M232)</f>
        <v>1364</v>
      </c>
      <c r="O232" s="8">
        <v>1365</v>
      </c>
      <c r="P232" s="8">
        <f t="shared" ref="P232:AN232" si="402">IF(P$3="","",O232)</f>
        <v>1365</v>
      </c>
      <c r="Q232" s="8">
        <f t="shared" si="402"/>
        <v>1365</v>
      </c>
      <c r="R232" s="8">
        <f t="shared" si="402"/>
        <v>1365</v>
      </c>
      <c r="S232" s="8">
        <f t="shared" si="402"/>
        <v>1365</v>
      </c>
      <c r="T232" s="8">
        <v>1366</v>
      </c>
      <c r="U232" s="8">
        <f t="shared" si="402"/>
        <v>1366</v>
      </c>
      <c r="V232" s="8">
        <f t="shared" si="402"/>
        <v>1366</v>
      </c>
      <c r="W232" s="8">
        <f t="shared" si="402"/>
        <v>1366</v>
      </c>
      <c r="X232" s="8">
        <f t="shared" si="402"/>
        <v>1366</v>
      </c>
      <c r="Y232" s="8">
        <f t="shared" si="402"/>
        <v>1366</v>
      </c>
      <c r="Z232" s="8">
        <v>1368</v>
      </c>
      <c r="AA232" s="8">
        <f t="shared" si="402"/>
        <v>1368</v>
      </c>
      <c r="AB232" s="8">
        <f t="shared" si="402"/>
        <v>1368</v>
      </c>
      <c r="AC232" s="8">
        <v>1371</v>
      </c>
      <c r="AD232" s="8" t="str">
        <f t="shared" si="402"/>
        <v/>
      </c>
      <c r="AE232" s="8" t="str">
        <f t="shared" si="402"/>
        <v/>
      </c>
      <c r="AF232" s="8" t="str">
        <f t="shared" si="402"/>
        <v/>
      </c>
      <c r="AG232" s="8" t="str">
        <f t="shared" si="402"/>
        <v/>
      </c>
      <c r="AH232" s="8" t="str">
        <f t="shared" si="402"/>
        <v/>
      </c>
      <c r="AI232" s="8" t="str">
        <f t="shared" si="402"/>
        <v/>
      </c>
      <c r="AJ232" s="8" t="str">
        <f t="shared" si="402"/>
        <v/>
      </c>
      <c r="AK232" s="8" t="str">
        <f t="shared" si="402"/>
        <v/>
      </c>
      <c r="AL232" s="8" t="str">
        <f t="shared" si="402"/>
        <v/>
      </c>
      <c r="AM232" s="8" t="str">
        <f t="shared" si="402"/>
        <v/>
      </c>
      <c r="AN232" s="8" t="str">
        <f t="shared" si="402"/>
        <v/>
      </c>
      <c r="AO232" s="8" t="str">
        <f t="shared" ref="AO232:AS232" si="403">IF(AO$3="","",AN232)</f>
        <v/>
      </c>
      <c r="AP232" s="8" t="str">
        <f t="shared" si="403"/>
        <v/>
      </c>
      <c r="AQ232" s="8" t="str">
        <f t="shared" si="403"/>
        <v/>
      </c>
      <c r="AR232" s="8" t="str">
        <f t="shared" si="403"/>
        <v/>
      </c>
      <c r="AS232" s="8" t="str">
        <f t="shared" si="403"/>
        <v/>
      </c>
    </row>
    <row r="233" spans="1:45" s="93" customFormat="1" ht="11">
      <c r="A233" s="15">
        <v>2</v>
      </c>
      <c r="B233" s="9" t="s">
        <v>5</v>
      </c>
      <c r="C233" s="74">
        <v>5</v>
      </c>
      <c r="D233" s="8">
        <f>IF(D231="","",(C233+C234))</f>
        <v>5</v>
      </c>
      <c r="E233" s="8">
        <v>4</v>
      </c>
      <c r="F233" s="59">
        <f t="shared" ref="F233:N233" si="404">IF(F231="","",(E233+E234))</f>
        <v>4</v>
      </c>
      <c r="G233" s="8">
        <f t="shared" si="404"/>
        <v>4</v>
      </c>
      <c r="H233" s="8">
        <f t="shared" si="404"/>
        <v>4</v>
      </c>
      <c r="I233" s="59">
        <f t="shared" si="404"/>
        <v>8</v>
      </c>
      <c r="J233" s="8">
        <f t="shared" si="404"/>
        <v>8</v>
      </c>
      <c r="K233" s="8">
        <f t="shared" si="404"/>
        <v>8</v>
      </c>
      <c r="L233" s="8">
        <f t="shared" si="404"/>
        <v>8</v>
      </c>
      <c r="M233" s="59">
        <f t="shared" si="404"/>
        <v>8</v>
      </c>
      <c r="N233" s="8">
        <f t="shared" si="404"/>
        <v>8</v>
      </c>
      <c r="O233" s="8">
        <v>7</v>
      </c>
      <c r="P233" s="8">
        <f t="shared" ref="P233:AN233" si="405">IF(P231="","",(O233+O234))</f>
        <v>7</v>
      </c>
      <c r="Q233" s="8">
        <f t="shared" si="405"/>
        <v>7</v>
      </c>
      <c r="R233" s="8">
        <f t="shared" si="405"/>
        <v>7</v>
      </c>
      <c r="S233" s="8">
        <f t="shared" si="405"/>
        <v>7</v>
      </c>
      <c r="T233" s="8">
        <v>4</v>
      </c>
      <c r="U233" s="8">
        <f t="shared" si="405"/>
        <v>6</v>
      </c>
      <c r="V233" s="8">
        <f t="shared" si="405"/>
        <v>6</v>
      </c>
      <c r="W233" s="8">
        <f t="shared" si="405"/>
        <v>6</v>
      </c>
      <c r="X233" s="8">
        <f t="shared" si="405"/>
        <v>6</v>
      </c>
      <c r="Y233" s="8">
        <f t="shared" si="405"/>
        <v>6</v>
      </c>
      <c r="Z233" s="8">
        <v>4</v>
      </c>
      <c r="AA233" s="8">
        <f t="shared" si="405"/>
        <v>7</v>
      </c>
      <c r="AB233" s="8">
        <f t="shared" si="405"/>
        <v>7</v>
      </c>
      <c r="AC233" s="8">
        <v>6</v>
      </c>
      <c r="AD233" s="8" t="str">
        <f t="shared" si="405"/>
        <v/>
      </c>
      <c r="AE233" s="8" t="str">
        <f t="shared" si="405"/>
        <v/>
      </c>
      <c r="AF233" s="8" t="str">
        <f t="shared" si="405"/>
        <v/>
      </c>
      <c r="AG233" s="8" t="str">
        <f t="shared" si="405"/>
        <v/>
      </c>
      <c r="AH233" s="8" t="str">
        <f t="shared" si="405"/>
        <v/>
      </c>
      <c r="AI233" s="8" t="str">
        <f t="shared" si="405"/>
        <v/>
      </c>
      <c r="AJ233" s="8" t="str">
        <f t="shared" si="405"/>
        <v/>
      </c>
      <c r="AK233" s="8" t="str">
        <f t="shared" si="405"/>
        <v/>
      </c>
      <c r="AL233" s="8" t="str">
        <f t="shared" si="405"/>
        <v/>
      </c>
      <c r="AM233" s="8" t="str">
        <f t="shared" si="405"/>
        <v/>
      </c>
      <c r="AN233" s="8" t="str">
        <f t="shared" si="405"/>
        <v/>
      </c>
      <c r="AO233" s="8" t="str">
        <f t="shared" ref="AO233:AS233" si="406">IF(AO231="","",(AN233+AN234))</f>
        <v/>
      </c>
      <c r="AP233" s="8" t="str">
        <f t="shared" si="406"/>
        <v/>
      </c>
      <c r="AQ233" s="8" t="str">
        <f t="shared" si="406"/>
        <v/>
      </c>
      <c r="AR233" s="8" t="str">
        <f t="shared" si="406"/>
        <v/>
      </c>
      <c r="AS233" s="8" t="str">
        <f t="shared" si="406"/>
        <v/>
      </c>
    </row>
    <row r="234" spans="1:45" s="93" customFormat="1" ht="11">
      <c r="A234" s="14"/>
      <c r="B234" s="9" t="s">
        <v>7</v>
      </c>
      <c r="C234" s="74"/>
      <c r="D234" s="8"/>
      <c r="E234" s="8"/>
      <c r="F234" s="59"/>
      <c r="G234" s="8"/>
      <c r="H234" s="8">
        <v>4</v>
      </c>
      <c r="I234" s="59"/>
      <c r="J234" s="8"/>
      <c r="K234" s="8"/>
      <c r="L234" s="8"/>
      <c r="M234" s="59"/>
      <c r="N234" s="8"/>
      <c r="O234" s="8"/>
      <c r="P234" s="8"/>
      <c r="Q234" s="8"/>
      <c r="R234" s="8"/>
      <c r="S234" s="8"/>
      <c r="T234" s="8">
        <v>2</v>
      </c>
      <c r="U234" s="8"/>
      <c r="V234" s="8"/>
      <c r="W234" s="8"/>
      <c r="X234" s="8"/>
      <c r="Y234" s="8"/>
      <c r="Z234" s="8">
        <v>3</v>
      </c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</row>
    <row r="235" spans="1:45" s="93" customFormat="1" ht="11">
      <c r="A235" s="7"/>
      <c r="B235" s="9" t="s">
        <v>8</v>
      </c>
      <c r="C235" s="74">
        <v>1100</v>
      </c>
      <c r="D235" s="8">
        <f t="shared" ref="D235:AN235" si="407">IF(D231="","",C235)</f>
        <v>1100</v>
      </c>
      <c r="E235" s="8">
        <f t="shared" si="407"/>
        <v>1100</v>
      </c>
      <c r="F235" s="59">
        <f t="shared" si="407"/>
        <v>1100</v>
      </c>
      <c r="G235" s="8">
        <f t="shared" si="407"/>
        <v>1100</v>
      </c>
      <c r="H235" s="8">
        <f t="shared" si="407"/>
        <v>1100</v>
      </c>
      <c r="I235" s="59">
        <f t="shared" si="407"/>
        <v>1100</v>
      </c>
      <c r="J235" s="8">
        <f t="shared" si="407"/>
        <v>1100</v>
      </c>
      <c r="K235" s="8">
        <f t="shared" si="407"/>
        <v>1100</v>
      </c>
      <c r="L235" s="8">
        <f t="shared" si="407"/>
        <v>1100</v>
      </c>
      <c r="M235" s="59">
        <f t="shared" si="407"/>
        <v>1100</v>
      </c>
      <c r="N235" s="8">
        <f t="shared" si="407"/>
        <v>1100</v>
      </c>
      <c r="O235" s="8">
        <f t="shared" si="407"/>
        <v>1100</v>
      </c>
      <c r="P235" s="8">
        <f t="shared" si="407"/>
        <v>1100</v>
      </c>
      <c r="Q235" s="8">
        <f t="shared" si="407"/>
        <v>1100</v>
      </c>
      <c r="R235" s="8">
        <f t="shared" si="407"/>
        <v>1100</v>
      </c>
      <c r="S235" s="8">
        <f t="shared" si="407"/>
        <v>1100</v>
      </c>
      <c r="T235" s="8">
        <f t="shared" si="407"/>
        <v>1100</v>
      </c>
      <c r="U235" s="8">
        <f t="shared" si="407"/>
        <v>1100</v>
      </c>
      <c r="V235" s="8">
        <f t="shared" si="407"/>
        <v>1100</v>
      </c>
      <c r="W235" s="8">
        <f t="shared" si="407"/>
        <v>1100</v>
      </c>
      <c r="X235" s="8">
        <f t="shared" si="407"/>
        <v>1100</v>
      </c>
      <c r="Y235" s="8">
        <f t="shared" si="407"/>
        <v>1100</v>
      </c>
      <c r="Z235" s="8">
        <f t="shared" si="407"/>
        <v>1100</v>
      </c>
      <c r="AA235" s="8">
        <f t="shared" si="407"/>
        <v>1100</v>
      </c>
      <c r="AB235" s="8">
        <f t="shared" si="407"/>
        <v>1100</v>
      </c>
      <c r="AC235" s="8">
        <f t="shared" si="407"/>
        <v>1100</v>
      </c>
      <c r="AD235" s="8" t="str">
        <f t="shared" si="407"/>
        <v/>
      </c>
      <c r="AE235" s="8" t="str">
        <f t="shared" si="407"/>
        <v/>
      </c>
      <c r="AF235" s="8" t="str">
        <f t="shared" si="407"/>
        <v/>
      </c>
      <c r="AG235" s="8" t="str">
        <f t="shared" si="407"/>
        <v/>
      </c>
      <c r="AH235" s="8" t="str">
        <f t="shared" si="407"/>
        <v/>
      </c>
      <c r="AI235" s="8" t="str">
        <f t="shared" si="407"/>
        <v/>
      </c>
      <c r="AJ235" s="8" t="str">
        <f t="shared" si="407"/>
        <v/>
      </c>
      <c r="AK235" s="8" t="str">
        <f t="shared" si="407"/>
        <v/>
      </c>
      <c r="AL235" s="8" t="str">
        <f t="shared" si="407"/>
        <v/>
      </c>
      <c r="AM235" s="8" t="str">
        <f t="shared" si="407"/>
        <v/>
      </c>
      <c r="AN235" s="8" t="str">
        <f t="shared" si="407"/>
        <v/>
      </c>
      <c r="AO235" s="8" t="str">
        <f t="shared" ref="AO235:AS235" si="408">IF(AO231="","",AN235)</f>
        <v/>
      </c>
      <c r="AP235" s="8" t="str">
        <f t="shared" si="408"/>
        <v/>
      </c>
      <c r="AQ235" s="8" t="str">
        <f t="shared" si="408"/>
        <v/>
      </c>
      <c r="AR235" s="8" t="str">
        <f t="shared" si="408"/>
        <v/>
      </c>
      <c r="AS235" s="8" t="str">
        <f t="shared" si="408"/>
        <v/>
      </c>
    </row>
    <row r="236" spans="1:45" s="94" customFormat="1" ht="11">
      <c r="A236" s="14" t="s">
        <v>9</v>
      </c>
      <c r="B236" s="13" t="s">
        <v>10</v>
      </c>
      <c r="C236" s="75" t="s">
        <v>111</v>
      </c>
      <c r="D236" s="12" t="str">
        <f>IF(D231="","",C236)</f>
        <v>液晶付きカメラ</v>
      </c>
      <c r="E236" s="12" t="s">
        <v>12</v>
      </c>
      <c r="F236" s="131" t="str">
        <f>IF(F231="","",E236)</f>
        <v>ポメラニアン</v>
      </c>
      <c r="G236" s="12" t="str">
        <f>IF(G231="","",F236)</f>
        <v>ポメラニアン</v>
      </c>
      <c r="H236" s="12" t="s">
        <v>112</v>
      </c>
      <c r="I236" s="131" t="str">
        <f t="shared" ref="I236:AN236" si="409">IF(I231="","",H236)</f>
        <v>北斗ボタン</v>
      </c>
      <c r="J236" s="12" t="str">
        <f t="shared" si="409"/>
        <v>北斗ボタン</v>
      </c>
      <c r="K236" s="12" t="str">
        <f t="shared" si="409"/>
        <v>北斗ボタン</v>
      </c>
      <c r="L236" s="12" t="str">
        <f t="shared" si="409"/>
        <v>北斗ボタン</v>
      </c>
      <c r="M236" s="131" t="str">
        <f t="shared" si="409"/>
        <v>北斗ボタン</v>
      </c>
      <c r="N236" s="12" t="str">
        <f t="shared" si="409"/>
        <v>北斗ボタン</v>
      </c>
      <c r="O236" s="12" t="str">
        <f t="shared" si="409"/>
        <v>北斗ボタン</v>
      </c>
      <c r="P236" s="12" t="str">
        <f t="shared" si="409"/>
        <v>北斗ボタン</v>
      </c>
      <c r="Q236" s="12" t="str">
        <f t="shared" si="409"/>
        <v>北斗ボタン</v>
      </c>
      <c r="R236" s="12" t="str">
        <f t="shared" si="409"/>
        <v>北斗ボタン</v>
      </c>
      <c r="S236" s="12" t="str">
        <f t="shared" si="409"/>
        <v>北斗ボタン</v>
      </c>
      <c r="T236" s="12" t="str">
        <f t="shared" si="409"/>
        <v>北斗ボタン</v>
      </c>
      <c r="U236" s="12" t="str">
        <f t="shared" si="409"/>
        <v>北斗ボタン</v>
      </c>
      <c r="V236" s="12" t="str">
        <f t="shared" si="409"/>
        <v>北斗ボタン</v>
      </c>
      <c r="W236" s="12" t="str">
        <f t="shared" si="409"/>
        <v>北斗ボタン</v>
      </c>
      <c r="X236" s="12" t="str">
        <f t="shared" si="409"/>
        <v>北斗ボタン</v>
      </c>
      <c r="Y236" s="12" t="str">
        <f t="shared" si="409"/>
        <v>北斗ボタン</v>
      </c>
      <c r="Z236" s="12" t="str">
        <f t="shared" si="409"/>
        <v>北斗ボタン</v>
      </c>
      <c r="AA236" s="12" t="str">
        <f t="shared" si="409"/>
        <v>北斗ボタン</v>
      </c>
      <c r="AB236" s="12" t="str">
        <f t="shared" si="409"/>
        <v>北斗ボタン</v>
      </c>
      <c r="AC236" s="12" t="str">
        <f t="shared" si="409"/>
        <v>北斗ボタン</v>
      </c>
      <c r="AD236" s="12" t="str">
        <f t="shared" si="409"/>
        <v/>
      </c>
      <c r="AE236" s="12" t="str">
        <f t="shared" si="409"/>
        <v/>
      </c>
      <c r="AF236" s="12" t="str">
        <f t="shared" si="409"/>
        <v/>
      </c>
      <c r="AG236" s="12" t="str">
        <f t="shared" si="409"/>
        <v/>
      </c>
      <c r="AH236" s="12" t="str">
        <f t="shared" si="409"/>
        <v/>
      </c>
      <c r="AI236" s="12" t="str">
        <f t="shared" si="409"/>
        <v/>
      </c>
      <c r="AJ236" s="12" t="str">
        <f t="shared" si="409"/>
        <v/>
      </c>
      <c r="AK236" s="12" t="str">
        <f t="shared" si="409"/>
        <v/>
      </c>
      <c r="AL236" s="12" t="str">
        <f t="shared" si="409"/>
        <v/>
      </c>
      <c r="AM236" s="12" t="str">
        <f t="shared" si="409"/>
        <v/>
      </c>
      <c r="AN236" s="12" t="str">
        <f t="shared" si="409"/>
        <v/>
      </c>
      <c r="AO236" s="12" t="str">
        <f t="shared" ref="AO236:AS236" si="410">IF(AO231="","",AN236)</f>
        <v/>
      </c>
      <c r="AP236" s="12" t="str">
        <f t="shared" si="410"/>
        <v/>
      </c>
      <c r="AQ236" s="12" t="str">
        <f t="shared" si="410"/>
        <v/>
      </c>
      <c r="AR236" s="12" t="str">
        <f t="shared" si="410"/>
        <v/>
      </c>
      <c r="AS236" s="12" t="str">
        <f t="shared" si="410"/>
        <v/>
      </c>
    </row>
    <row r="237" spans="1:45" s="93" customFormat="1" ht="11">
      <c r="A237" s="7">
        <f>AVERAGE(C238:AS238)*30*100</f>
        <v>30333.333333333332</v>
      </c>
      <c r="B237" s="9" t="s">
        <v>14</v>
      </c>
      <c r="C237" s="74"/>
      <c r="D237" s="8"/>
      <c r="E237" s="8"/>
      <c r="F237" s="59"/>
      <c r="G237" s="8"/>
      <c r="H237" s="8"/>
      <c r="I237" s="59"/>
      <c r="J237" s="8"/>
      <c r="K237" s="8"/>
      <c r="L237" s="8"/>
      <c r="M237" s="59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</row>
    <row r="238" spans="1:45" s="93" customFormat="1" ht="11">
      <c r="A238" s="7">
        <f>SUM(C238:AS238)</f>
        <v>273</v>
      </c>
      <c r="B238" s="6" t="s">
        <v>15</v>
      </c>
      <c r="C238" s="74">
        <v>0</v>
      </c>
      <c r="D238" s="5">
        <f t="shared" ref="D238:AN238" si="411">IF(D231="","",D231-C231)</f>
        <v>0</v>
      </c>
      <c r="E238" s="5">
        <f t="shared" si="411"/>
        <v>9</v>
      </c>
      <c r="F238" s="59">
        <f t="shared" si="411"/>
        <v>0</v>
      </c>
      <c r="G238" s="5">
        <f t="shared" si="411"/>
        <v>0</v>
      </c>
      <c r="H238" s="5">
        <f t="shared" si="411"/>
        <v>15</v>
      </c>
      <c r="I238" s="59">
        <f t="shared" si="411"/>
        <v>0</v>
      </c>
      <c r="J238" s="5">
        <f t="shared" si="411"/>
        <v>0</v>
      </c>
      <c r="K238" s="5">
        <f t="shared" si="411"/>
        <v>0</v>
      </c>
      <c r="L238" s="5">
        <f t="shared" si="411"/>
        <v>31</v>
      </c>
      <c r="M238" s="59">
        <f t="shared" si="411"/>
        <v>0</v>
      </c>
      <c r="N238" s="5">
        <f t="shared" si="411"/>
        <v>0</v>
      </c>
      <c r="O238" s="5">
        <f t="shared" si="411"/>
        <v>21</v>
      </c>
      <c r="P238" s="5">
        <f t="shared" si="411"/>
        <v>0</v>
      </c>
      <c r="Q238" s="5">
        <f t="shared" si="411"/>
        <v>0</v>
      </c>
      <c r="R238" s="5">
        <f t="shared" si="411"/>
        <v>0</v>
      </c>
      <c r="S238" s="5">
        <f t="shared" si="411"/>
        <v>0</v>
      </c>
      <c r="T238" s="5">
        <f t="shared" si="411"/>
        <v>20</v>
      </c>
      <c r="U238" s="5">
        <f t="shared" si="411"/>
        <v>0</v>
      </c>
      <c r="V238" s="5">
        <f t="shared" si="411"/>
        <v>24</v>
      </c>
      <c r="W238" s="5">
        <f t="shared" si="411"/>
        <v>0</v>
      </c>
      <c r="X238" s="5">
        <f t="shared" si="411"/>
        <v>0</v>
      </c>
      <c r="Y238" s="5">
        <f t="shared" si="411"/>
        <v>0</v>
      </c>
      <c r="Z238" s="5">
        <f t="shared" si="411"/>
        <v>104</v>
      </c>
      <c r="AA238" s="5">
        <f t="shared" si="411"/>
        <v>0</v>
      </c>
      <c r="AB238" s="5">
        <f t="shared" si="411"/>
        <v>0</v>
      </c>
      <c r="AC238" s="5">
        <f t="shared" si="411"/>
        <v>49</v>
      </c>
      <c r="AD238" s="5" t="str">
        <f t="shared" si="411"/>
        <v/>
      </c>
      <c r="AE238" s="5" t="str">
        <f t="shared" si="411"/>
        <v/>
      </c>
      <c r="AF238" s="5" t="str">
        <f t="shared" si="411"/>
        <v/>
      </c>
      <c r="AG238" s="5" t="str">
        <f t="shared" si="411"/>
        <v/>
      </c>
      <c r="AH238" s="5" t="str">
        <f t="shared" si="411"/>
        <v/>
      </c>
      <c r="AI238" s="5" t="str">
        <f t="shared" si="411"/>
        <v/>
      </c>
      <c r="AJ238" s="5" t="str">
        <f t="shared" si="411"/>
        <v/>
      </c>
      <c r="AK238" s="5" t="str">
        <f t="shared" si="411"/>
        <v/>
      </c>
      <c r="AL238" s="5" t="str">
        <f t="shared" si="411"/>
        <v/>
      </c>
      <c r="AM238" s="5" t="str">
        <f t="shared" si="411"/>
        <v/>
      </c>
      <c r="AN238" s="5" t="str">
        <f t="shared" si="411"/>
        <v/>
      </c>
      <c r="AO238" s="5" t="str">
        <f t="shared" ref="AO238:AS238" si="412">IF(AO231="","",AO231-AN231)</f>
        <v/>
      </c>
      <c r="AP238" s="5" t="str">
        <f t="shared" si="412"/>
        <v/>
      </c>
      <c r="AQ238" s="5" t="str">
        <f t="shared" si="412"/>
        <v/>
      </c>
      <c r="AR238" s="5" t="str">
        <f t="shared" si="412"/>
        <v/>
      </c>
      <c r="AS238" s="5" t="str">
        <f t="shared" si="412"/>
        <v/>
      </c>
    </row>
    <row r="239" spans="1:45" s="93" customFormat="1" ht="11">
      <c r="A239" s="7">
        <f>SUM(C239:AS239)</f>
        <v>8</v>
      </c>
      <c r="B239" s="6" t="s">
        <v>16</v>
      </c>
      <c r="C239" s="74">
        <v>0</v>
      </c>
      <c r="D239" s="5">
        <f t="shared" ref="D239:AN239" si="413">IF(D232="","",D232-C232)</f>
        <v>0</v>
      </c>
      <c r="E239" s="5">
        <f t="shared" si="413"/>
        <v>1</v>
      </c>
      <c r="F239" s="59">
        <f t="shared" si="413"/>
        <v>0</v>
      </c>
      <c r="G239" s="5">
        <f t="shared" si="413"/>
        <v>0</v>
      </c>
      <c r="H239" s="5">
        <f t="shared" si="413"/>
        <v>0</v>
      </c>
      <c r="I239" s="59">
        <f t="shared" si="413"/>
        <v>0</v>
      </c>
      <c r="J239" s="5">
        <f t="shared" si="413"/>
        <v>0</v>
      </c>
      <c r="K239" s="5">
        <f t="shared" si="413"/>
        <v>0</v>
      </c>
      <c r="L239" s="5">
        <f t="shared" si="413"/>
        <v>0</v>
      </c>
      <c r="M239" s="59">
        <f t="shared" si="413"/>
        <v>0</v>
      </c>
      <c r="N239" s="5">
        <f t="shared" si="413"/>
        <v>0</v>
      </c>
      <c r="O239" s="5">
        <f t="shared" si="413"/>
        <v>1</v>
      </c>
      <c r="P239" s="5">
        <f t="shared" si="413"/>
        <v>0</v>
      </c>
      <c r="Q239" s="5">
        <f t="shared" si="413"/>
        <v>0</v>
      </c>
      <c r="R239" s="5">
        <f t="shared" si="413"/>
        <v>0</v>
      </c>
      <c r="S239" s="5">
        <f t="shared" si="413"/>
        <v>0</v>
      </c>
      <c r="T239" s="5">
        <f t="shared" si="413"/>
        <v>1</v>
      </c>
      <c r="U239" s="5">
        <f t="shared" si="413"/>
        <v>0</v>
      </c>
      <c r="V239" s="5">
        <f t="shared" si="413"/>
        <v>0</v>
      </c>
      <c r="W239" s="5">
        <f t="shared" si="413"/>
        <v>0</v>
      </c>
      <c r="X239" s="5">
        <f t="shared" si="413"/>
        <v>0</v>
      </c>
      <c r="Y239" s="5">
        <f t="shared" si="413"/>
        <v>0</v>
      </c>
      <c r="Z239" s="5">
        <f t="shared" si="413"/>
        <v>2</v>
      </c>
      <c r="AA239" s="5">
        <f t="shared" si="413"/>
        <v>0</v>
      </c>
      <c r="AB239" s="5">
        <f t="shared" si="413"/>
        <v>0</v>
      </c>
      <c r="AC239" s="5">
        <f t="shared" si="413"/>
        <v>3</v>
      </c>
      <c r="AD239" s="5" t="str">
        <f t="shared" si="413"/>
        <v/>
      </c>
      <c r="AE239" s="5" t="str">
        <f t="shared" si="413"/>
        <v/>
      </c>
      <c r="AF239" s="5" t="str">
        <f t="shared" si="413"/>
        <v/>
      </c>
      <c r="AG239" s="5" t="str">
        <f t="shared" si="413"/>
        <v/>
      </c>
      <c r="AH239" s="5" t="str">
        <f t="shared" si="413"/>
        <v/>
      </c>
      <c r="AI239" s="5" t="str">
        <f t="shared" si="413"/>
        <v/>
      </c>
      <c r="AJ239" s="5" t="str">
        <f t="shared" si="413"/>
        <v/>
      </c>
      <c r="AK239" s="5" t="str">
        <f t="shared" si="413"/>
        <v/>
      </c>
      <c r="AL239" s="5" t="str">
        <f t="shared" si="413"/>
        <v/>
      </c>
      <c r="AM239" s="5" t="str">
        <f t="shared" si="413"/>
        <v/>
      </c>
      <c r="AN239" s="5" t="str">
        <f t="shared" si="413"/>
        <v/>
      </c>
      <c r="AO239" s="5" t="str">
        <f t="shared" ref="AO239:AS239" si="414">IF(AO232="","",AO232-AN232)</f>
        <v/>
      </c>
      <c r="AP239" s="5" t="str">
        <f t="shared" si="414"/>
        <v/>
      </c>
      <c r="AQ239" s="5" t="str">
        <f t="shared" si="414"/>
        <v/>
      </c>
      <c r="AR239" s="5" t="str">
        <f t="shared" si="414"/>
        <v/>
      </c>
      <c r="AS239" s="5" t="str">
        <f t="shared" si="414"/>
        <v/>
      </c>
    </row>
    <row r="240" spans="1:45" s="93" customFormat="1" ht="11">
      <c r="A240" s="7">
        <f>SUM(C240:AS240)</f>
        <v>8</v>
      </c>
      <c r="B240" s="6" t="s">
        <v>17</v>
      </c>
      <c r="C240" s="74">
        <v>0</v>
      </c>
      <c r="D240" s="5">
        <f t="shared" ref="D240:AN240" si="415">IF(D233="","",C233+C234-D233)</f>
        <v>0</v>
      </c>
      <c r="E240" s="5">
        <f t="shared" si="415"/>
        <v>1</v>
      </c>
      <c r="F240" s="59">
        <f t="shared" si="415"/>
        <v>0</v>
      </c>
      <c r="G240" s="5">
        <f t="shared" si="415"/>
        <v>0</v>
      </c>
      <c r="H240" s="5">
        <f t="shared" si="415"/>
        <v>0</v>
      </c>
      <c r="I240" s="59">
        <f t="shared" si="415"/>
        <v>0</v>
      </c>
      <c r="J240" s="5">
        <f t="shared" si="415"/>
        <v>0</v>
      </c>
      <c r="K240" s="5">
        <f t="shared" si="415"/>
        <v>0</v>
      </c>
      <c r="L240" s="5">
        <f t="shared" si="415"/>
        <v>0</v>
      </c>
      <c r="M240" s="59">
        <f t="shared" si="415"/>
        <v>0</v>
      </c>
      <c r="N240" s="5">
        <f t="shared" si="415"/>
        <v>0</v>
      </c>
      <c r="O240" s="5">
        <f t="shared" si="415"/>
        <v>1</v>
      </c>
      <c r="P240" s="5">
        <f t="shared" si="415"/>
        <v>0</v>
      </c>
      <c r="Q240" s="5">
        <f t="shared" si="415"/>
        <v>0</v>
      </c>
      <c r="R240" s="5">
        <f t="shared" si="415"/>
        <v>0</v>
      </c>
      <c r="S240" s="5">
        <f t="shared" si="415"/>
        <v>0</v>
      </c>
      <c r="T240" s="5">
        <f t="shared" si="415"/>
        <v>3</v>
      </c>
      <c r="U240" s="5">
        <f t="shared" si="415"/>
        <v>0</v>
      </c>
      <c r="V240" s="5">
        <f t="shared" si="415"/>
        <v>0</v>
      </c>
      <c r="W240" s="5">
        <f t="shared" si="415"/>
        <v>0</v>
      </c>
      <c r="X240" s="5">
        <f t="shared" si="415"/>
        <v>0</v>
      </c>
      <c r="Y240" s="5">
        <f t="shared" si="415"/>
        <v>0</v>
      </c>
      <c r="Z240" s="5">
        <f t="shared" si="415"/>
        <v>2</v>
      </c>
      <c r="AA240" s="5">
        <f t="shared" si="415"/>
        <v>0</v>
      </c>
      <c r="AB240" s="5">
        <f t="shared" si="415"/>
        <v>0</v>
      </c>
      <c r="AC240" s="5">
        <f t="shared" si="415"/>
        <v>1</v>
      </c>
      <c r="AD240" s="5" t="str">
        <f t="shared" si="415"/>
        <v/>
      </c>
      <c r="AE240" s="5" t="str">
        <f t="shared" si="415"/>
        <v/>
      </c>
      <c r="AF240" s="5" t="str">
        <f t="shared" si="415"/>
        <v/>
      </c>
      <c r="AG240" s="5" t="str">
        <f t="shared" si="415"/>
        <v/>
      </c>
      <c r="AH240" s="5" t="str">
        <f t="shared" si="415"/>
        <v/>
      </c>
      <c r="AI240" s="5" t="str">
        <f t="shared" si="415"/>
        <v/>
      </c>
      <c r="AJ240" s="5" t="str">
        <f t="shared" si="415"/>
        <v/>
      </c>
      <c r="AK240" s="5" t="str">
        <f t="shared" si="415"/>
        <v/>
      </c>
      <c r="AL240" s="5" t="str">
        <f t="shared" si="415"/>
        <v/>
      </c>
      <c r="AM240" s="5" t="str">
        <f t="shared" si="415"/>
        <v/>
      </c>
      <c r="AN240" s="5" t="str">
        <f t="shared" si="415"/>
        <v/>
      </c>
      <c r="AO240" s="5" t="str">
        <f t="shared" ref="AO240:AS240" si="416">IF(AO233="","",AN233+AN234-AO233)</f>
        <v/>
      </c>
      <c r="AP240" s="5" t="str">
        <f t="shared" si="416"/>
        <v/>
      </c>
      <c r="AQ240" s="5" t="str">
        <f t="shared" si="416"/>
        <v/>
      </c>
      <c r="AR240" s="5" t="str">
        <f t="shared" si="416"/>
        <v/>
      </c>
      <c r="AS240" s="5" t="str">
        <f t="shared" si="416"/>
        <v/>
      </c>
    </row>
    <row r="241" spans="1:45" s="93" customFormat="1" ht="11">
      <c r="A241" s="7">
        <f>SUM(C241:AS241)</f>
        <v>8800</v>
      </c>
      <c r="B241" s="6" t="s">
        <v>18</v>
      </c>
      <c r="C241" s="74">
        <v>0</v>
      </c>
      <c r="D241" s="5">
        <f t="shared" ref="D241:AN241" si="417">IF(D231="","",D240*D235)</f>
        <v>0</v>
      </c>
      <c r="E241" s="5">
        <f t="shared" si="417"/>
        <v>1100</v>
      </c>
      <c r="F241" s="59">
        <f t="shared" si="417"/>
        <v>0</v>
      </c>
      <c r="G241" s="5">
        <f t="shared" si="417"/>
        <v>0</v>
      </c>
      <c r="H241" s="5">
        <f t="shared" si="417"/>
        <v>0</v>
      </c>
      <c r="I241" s="59">
        <f t="shared" si="417"/>
        <v>0</v>
      </c>
      <c r="J241" s="5">
        <f t="shared" si="417"/>
        <v>0</v>
      </c>
      <c r="K241" s="5">
        <f t="shared" si="417"/>
        <v>0</v>
      </c>
      <c r="L241" s="5">
        <f t="shared" si="417"/>
        <v>0</v>
      </c>
      <c r="M241" s="59">
        <f t="shared" si="417"/>
        <v>0</v>
      </c>
      <c r="N241" s="5">
        <f t="shared" si="417"/>
        <v>0</v>
      </c>
      <c r="O241" s="5">
        <f t="shared" si="417"/>
        <v>1100</v>
      </c>
      <c r="P241" s="5">
        <f t="shared" si="417"/>
        <v>0</v>
      </c>
      <c r="Q241" s="5">
        <f t="shared" si="417"/>
        <v>0</v>
      </c>
      <c r="R241" s="5">
        <f t="shared" si="417"/>
        <v>0</v>
      </c>
      <c r="S241" s="5">
        <f t="shared" si="417"/>
        <v>0</v>
      </c>
      <c r="T241" s="5">
        <f t="shared" si="417"/>
        <v>3300</v>
      </c>
      <c r="U241" s="5">
        <f t="shared" si="417"/>
        <v>0</v>
      </c>
      <c r="V241" s="5">
        <f t="shared" si="417"/>
        <v>0</v>
      </c>
      <c r="W241" s="5">
        <f t="shared" si="417"/>
        <v>0</v>
      </c>
      <c r="X241" s="5">
        <f t="shared" si="417"/>
        <v>0</v>
      </c>
      <c r="Y241" s="5">
        <f t="shared" si="417"/>
        <v>0</v>
      </c>
      <c r="Z241" s="5">
        <f t="shared" si="417"/>
        <v>2200</v>
      </c>
      <c r="AA241" s="5">
        <f t="shared" si="417"/>
        <v>0</v>
      </c>
      <c r="AB241" s="5">
        <f t="shared" si="417"/>
        <v>0</v>
      </c>
      <c r="AC241" s="5">
        <f t="shared" si="417"/>
        <v>1100</v>
      </c>
      <c r="AD241" s="5" t="str">
        <f t="shared" si="417"/>
        <v/>
      </c>
      <c r="AE241" s="5" t="str">
        <f t="shared" si="417"/>
        <v/>
      </c>
      <c r="AF241" s="5" t="str">
        <f t="shared" si="417"/>
        <v/>
      </c>
      <c r="AG241" s="5" t="str">
        <f t="shared" si="417"/>
        <v/>
      </c>
      <c r="AH241" s="5" t="str">
        <f t="shared" si="417"/>
        <v/>
      </c>
      <c r="AI241" s="5" t="str">
        <f t="shared" si="417"/>
        <v/>
      </c>
      <c r="AJ241" s="5" t="str">
        <f t="shared" si="417"/>
        <v/>
      </c>
      <c r="AK241" s="5" t="str">
        <f t="shared" si="417"/>
        <v/>
      </c>
      <c r="AL241" s="5" t="str">
        <f t="shared" si="417"/>
        <v/>
      </c>
      <c r="AM241" s="5" t="str">
        <f t="shared" si="417"/>
        <v/>
      </c>
      <c r="AN241" s="5" t="str">
        <f t="shared" si="417"/>
        <v/>
      </c>
      <c r="AO241" s="5" t="str">
        <f t="shared" ref="AO241:AS241" si="418">IF(AO231="","",AO240*AO235)</f>
        <v/>
      </c>
      <c r="AP241" s="5" t="str">
        <f t="shared" si="418"/>
        <v/>
      </c>
      <c r="AQ241" s="5" t="str">
        <f t="shared" si="418"/>
        <v/>
      </c>
      <c r="AR241" s="5" t="str">
        <f t="shared" si="418"/>
        <v/>
      </c>
      <c r="AS241" s="5" t="str">
        <f t="shared" si="418"/>
        <v/>
      </c>
    </row>
    <row r="242" spans="1:45" s="93" customFormat="1" ht="12" thickBot="1">
      <c r="A242" s="4">
        <f>IF(A241="","",A241/(A238*100))</f>
        <v>0.32234432234432236</v>
      </c>
      <c r="B242" s="6" t="s">
        <v>20</v>
      </c>
      <c r="C242" s="76" t="s">
        <v>21</v>
      </c>
      <c r="D242" s="18" t="str">
        <f t="shared" ref="D242:AN242" si="419">IF(D241="","",IF(D241=0,"",D241/(D238*100)))</f>
        <v/>
      </c>
      <c r="E242" s="18">
        <f t="shared" si="419"/>
        <v>1.2222222222222223</v>
      </c>
      <c r="F242" s="62" t="str">
        <f t="shared" si="419"/>
        <v/>
      </c>
      <c r="G242" s="18" t="str">
        <f t="shared" si="419"/>
        <v/>
      </c>
      <c r="H242" s="18" t="str">
        <f t="shared" si="419"/>
        <v/>
      </c>
      <c r="I242" s="62" t="str">
        <f t="shared" si="419"/>
        <v/>
      </c>
      <c r="J242" s="18" t="str">
        <f t="shared" si="419"/>
        <v/>
      </c>
      <c r="K242" s="18" t="str">
        <f t="shared" si="419"/>
        <v/>
      </c>
      <c r="L242" s="18" t="str">
        <f t="shared" si="419"/>
        <v/>
      </c>
      <c r="M242" s="62" t="str">
        <f t="shared" si="419"/>
        <v/>
      </c>
      <c r="N242" s="18" t="str">
        <f t="shared" si="419"/>
        <v/>
      </c>
      <c r="O242" s="18">
        <f t="shared" si="419"/>
        <v>0.52380952380952384</v>
      </c>
      <c r="P242" s="18" t="str">
        <f t="shared" si="419"/>
        <v/>
      </c>
      <c r="Q242" s="18" t="str">
        <f t="shared" si="419"/>
        <v/>
      </c>
      <c r="R242" s="18" t="str">
        <f t="shared" si="419"/>
        <v/>
      </c>
      <c r="S242" s="18" t="str">
        <f t="shared" si="419"/>
        <v/>
      </c>
      <c r="T242" s="18">
        <f t="shared" si="419"/>
        <v>1.65</v>
      </c>
      <c r="U242" s="18" t="str">
        <f t="shared" si="419"/>
        <v/>
      </c>
      <c r="V242" s="18" t="str">
        <f t="shared" si="419"/>
        <v/>
      </c>
      <c r="W242" s="18" t="str">
        <f t="shared" si="419"/>
        <v/>
      </c>
      <c r="X242" s="18" t="str">
        <f t="shared" si="419"/>
        <v/>
      </c>
      <c r="Y242" s="18" t="str">
        <f t="shared" si="419"/>
        <v/>
      </c>
      <c r="Z242" s="18">
        <f t="shared" si="419"/>
        <v>0.21153846153846154</v>
      </c>
      <c r="AA242" s="18" t="str">
        <f t="shared" si="419"/>
        <v/>
      </c>
      <c r="AB242" s="18" t="str">
        <f t="shared" si="419"/>
        <v/>
      </c>
      <c r="AC242" s="18">
        <f t="shared" si="419"/>
        <v>0.22448979591836735</v>
      </c>
      <c r="AD242" s="18" t="str">
        <f t="shared" si="419"/>
        <v/>
      </c>
      <c r="AE242" s="18" t="str">
        <f t="shared" si="419"/>
        <v/>
      </c>
      <c r="AF242" s="18" t="str">
        <f t="shared" si="419"/>
        <v/>
      </c>
      <c r="AG242" s="18" t="str">
        <f t="shared" si="419"/>
        <v/>
      </c>
      <c r="AH242" s="18" t="str">
        <f t="shared" si="419"/>
        <v/>
      </c>
      <c r="AI242" s="18" t="str">
        <f t="shared" si="419"/>
        <v/>
      </c>
      <c r="AJ242" s="18" t="str">
        <f t="shared" si="419"/>
        <v/>
      </c>
      <c r="AK242" s="18" t="str">
        <f t="shared" si="419"/>
        <v/>
      </c>
      <c r="AL242" s="18" t="str">
        <f t="shared" si="419"/>
        <v/>
      </c>
      <c r="AM242" s="18" t="str">
        <f t="shared" si="419"/>
        <v/>
      </c>
      <c r="AN242" s="18" t="str">
        <f t="shared" si="419"/>
        <v/>
      </c>
      <c r="AO242" s="18" t="str">
        <f t="shared" ref="AO242:AS242" si="420">IF(AO241="","",IF(AO241=0,"",AO241/(AO238*100)))</f>
        <v/>
      </c>
      <c r="AP242" s="18" t="str">
        <f t="shared" si="420"/>
        <v/>
      </c>
      <c r="AQ242" s="18" t="str">
        <f t="shared" si="420"/>
        <v/>
      </c>
      <c r="AR242" s="18" t="str">
        <f t="shared" si="420"/>
        <v/>
      </c>
      <c r="AS242" s="18" t="str">
        <f t="shared" si="420"/>
        <v/>
      </c>
    </row>
    <row r="243" spans="1:45" s="93" customFormat="1" ht="11">
      <c r="A243" s="17" t="s">
        <v>101</v>
      </c>
      <c r="B243" s="9" t="s">
        <v>2</v>
      </c>
      <c r="C243" s="74">
        <v>24945</v>
      </c>
      <c r="D243" s="8">
        <f>IF(D$3="","",C243)</f>
        <v>24945</v>
      </c>
      <c r="E243" s="8">
        <v>24979</v>
      </c>
      <c r="F243" s="59">
        <f>IF(F$3="","",E243)</f>
        <v>24979</v>
      </c>
      <c r="G243" s="8">
        <f>IF(G$3="","",F243)</f>
        <v>24979</v>
      </c>
      <c r="H243" s="8">
        <v>25034</v>
      </c>
      <c r="I243" s="59">
        <f t="shared" ref="I243:K244" si="421">IF(I$3="","",H243)</f>
        <v>25034</v>
      </c>
      <c r="J243" s="8">
        <f t="shared" si="421"/>
        <v>25034</v>
      </c>
      <c r="K243" s="8">
        <f t="shared" si="421"/>
        <v>25034</v>
      </c>
      <c r="L243" s="8">
        <v>25106</v>
      </c>
      <c r="M243" s="59">
        <f>IF(M$3="","",L243)</f>
        <v>25106</v>
      </c>
      <c r="N243" s="8">
        <f>IF(N$3="","",M243)</f>
        <v>25106</v>
      </c>
      <c r="O243" s="8">
        <v>25179</v>
      </c>
      <c r="P243" s="8">
        <f t="shared" ref="P243:AN243" si="422">IF(P$3="","",O243)</f>
        <v>25179</v>
      </c>
      <c r="Q243" s="8">
        <f t="shared" si="422"/>
        <v>25179</v>
      </c>
      <c r="R243" s="8">
        <f t="shared" si="422"/>
        <v>25179</v>
      </c>
      <c r="S243" s="8">
        <f t="shared" si="422"/>
        <v>25179</v>
      </c>
      <c r="T243" s="8">
        <v>25277</v>
      </c>
      <c r="U243" s="8">
        <f t="shared" si="422"/>
        <v>25277</v>
      </c>
      <c r="V243" s="8">
        <v>25327</v>
      </c>
      <c r="W243" s="8">
        <f t="shared" si="422"/>
        <v>25327</v>
      </c>
      <c r="X243" s="8">
        <f t="shared" si="422"/>
        <v>25327</v>
      </c>
      <c r="Y243" s="8">
        <f t="shared" si="422"/>
        <v>25327</v>
      </c>
      <c r="Z243" s="8">
        <v>25366</v>
      </c>
      <c r="AA243" s="8">
        <f t="shared" si="422"/>
        <v>25366</v>
      </c>
      <c r="AB243" s="8">
        <f t="shared" si="422"/>
        <v>25366</v>
      </c>
      <c r="AC243" s="8">
        <v>25432</v>
      </c>
      <c r="AD243" s="8" t="str">
        <f t="shared" si="422"/>
        <v/>
      </c>
      <c r="AE243" s="8" t="str">
        <f t="shared" si="422"/>
        <v/>
      </c>
      <c r="AF243" s="8" t="str">
        <f t="shared" si="422"/>
        <v/>
      </c>
      <c r="AG243" s="8" t="str">
        <f t="shared" si="422"/>
        <v/>
      </c>
      <c r="AH243" s="8" t="str">
        <f t="shared" si="422"/>
        <v/>
      </c>
      <c r="AI243" s="8" t="str">
        <f t="shared" si="422"/>
        <v/>
      </c>
      <c r="AJ243" s="8" t="str">
        <f t="shared" si="422"/>
        <v/>
      </c>
      <c r="AK243" s="8" t="str">
        <f t="shared" si="422"/>
        <v/>
      </c>
      <c r="AL243" s="8" t="str">
        <f t="shared" si="422"/>
        <v/>
      </c>
      <c r="AM243" s="8" t="str">
        <f t="shared" si="422"/>
        <v/>
      </c>
      <c r="AN243" s="8" t="str">
        <f t="shared" si="422"/>
        <v/>
      </c>
      <c r="AO243" s="8" t="str">
        <f t="shared" ref="AO243:AS243" si="423">IF(AO$3="","",AN243)</f>
        <v/>
      </c>
      <c r="AP243" s="8" t="str">
        <f t="shared" si="423"/>
        <v/>
      </c>
      <c r="AQ243" s="8" t="str">
        <f t="shared" si="423"/>
        <v/>
      </c>
      <c r="AR243" s="8" t="str">
        <f t="shared" si="423"/>
        <v/>
      </c>
      <c r="AS243" s="8" t="str">
        <f t="shared" si="423"/>
        <v/>
      </c>
    </row>
    <row r="244" spans="1:45" s="93" customFormat="1" ht="11">
      <c r="A244" s="16" t="str">
        <f>A232</f>
        <v>BUZZ＃6</v>
      </c>
      <c r="B244" s="9" t="s">
        <v>4</v>
      </c>
      <c r="C244" s="74">
        <v>1164</v>
      </c>
      <c r="D244" s="8">
        <f>IF(D$3="","",C244)</f>
        <v>1164</v>
      </c>
      <c r="E244" s="8">
        <v>1168</v>
      </c>
      <c r="F244" s="59">
        <f>IF(F$3="","",E244)</f>
        <v>1168</v>
      </c>
      <c r="G244" s="8">
        <f>IF(G$3="","",F244)</f>
        <v>1168</v>
      </c>
      <c r="H244" s="8">
        <v>1170</v>
      </c>
      <c r="I244" s="59">
        <f t="shared" si="421"/>
        <v>1170</v>
      </c>
      <c r="J244" s="8">
        <f t="shared" si="421"/>
        <v>1170</v>
      </c>
      <c r="K244" s="8">
        <f t="shared" si="421"/>
        <v>1170</v>
      </c>
      <c r="L244" s="8">
        <v>1172</v>
      </c>
      <c r="M244" s="59">
        <f>IF(M$3="","",L244)</f>
        <v>1172</v>
      </c>
      <c r="N244" s="8">
        <f>IF(N$3="","",M244)</f>
        <v>1172</v>
      </c>
      <c r="O244" s="8">
        <v>1176</v>
      </c>
      <c r="P244" s="8">
        <f t="shared" ref="P244:AN244" si="424">IF(P$3="","",O244)</f>
        <v>1176</v>
      </c>
      <c r="Q244" s="8">
        <f t="shared" si="424"/>
        <v>1176</v>
      </c>
      <c r="R244" s="8">
        <f t="shared" si="424"/>
        <v>1176</v>
      </c>
      <c r="S244" s="8">
        <f t="shared" si="424"/>
        <v>1176</v>
      </c>
      <c r="T244" s="8">
        <v>1180</v>
      </c>
      <c r="U244" s="8">
        <f t="shared" si="424"/>
        <v>1180</v>
      </c>
      <c r="V244" s="8">
        <v>1181</v>
      </c>
      <c r="W244" s="8">
        <f t="shared" si="424"/>
        <v>1181</v>
      </c>
      <c r="X244" s="8">
        <f t="shared" si="424"/>
        <v>1181</v>
      </c>
      <c r="Y244" s="8">
        <f t="shared" si="424"/>
        <v>1181</v>
      </c>
      <c r="Z244" s="8">
        <v>1184</v>
      </c>
      <c r="AA244" s="8">
        <f t="shared" si="424"/>
        <v>1184</v>
      </c>
      <c r="AB244" s="8">
        <f t="shared" si="424"/>
        <v>1184</v>
      </c>
      <c r="AC244" s="8">
        <v>1188</v>
      </c>
      <c r="AD244" s="8" t="str">
        <f t="shared" si="424"/>
        <v/>
      </c>
      <c r="AE244" s="8" t="str">
        <f t="shared" si="424"/>
        <v/>
      </c>
      <c r="AF244" s="8" t="str">
        <f t="shared" si="424"/>
        <v/>
      </c>
      <c r="AG244" s="8" t="str">
        <f t="shared" si="424"/>
        <v/>
      </c>
      <c r="AH244" s="8" t="str">
        <f t="shared" si="424"/>
        <v/>
      </c>
      <c r="AI244" s="8" t="str">
        <f t="shared" si="424"/>
        <v/>
      </c>
      <c r="AJ244" s="8" t="str">
        <f t="shared" si="424"/>
        <v/>
      </c>
      <c r="AK244" s="8" t="str">
        <f t="shared" si="424"/>
        <v/>
      </c>
      <c r="AL244" s="8" t="str">
        <f t="shared" si="424"/>
        <v/>
      </c>
      <c r="AM244" s="8" t="str">
        <f t="shared" si="424"/>
        <v/>
      </c>
      <c r="AN244" s="8" t="str">
        <f t="shared" si="424"/>
        <v/>
      </c>
      <c r="AO244" s="8" t="str">
        <f t="shared" ref="AO244:AS244" si="425">IF(AO$3="","",AN244)</f>
        <v/>
      </c>
      <c r="AP244" s="8" t="str">
        <f t="shared" si="425"/>
        <v/>
      </c>
      <c r="AQ244" s="8" t="str">
        <f t="shared" si="425"/>
        <v/>
      </c>
      <c r="AR244" s="8" t="str">
        <f t="shared" si="425"/>
        <v/>
      </c>
      <c r="AS244" s="8" t="str">
        <f t="shared" si="425"/>
        <v/>
      </c>
    </row>
    <row r="245" spans="1:45" s="93" customFormat="1" ht="11">
      <c r="A245" s="15">
        <v>3</v>
      </c>
      <c r="B245" s="9" t="s">
        <v>5</v>
      </c>
      <c r="C245" s="74">
        <v>12</v>
      </c>
      <c r="D245" s="8">
        <f>IF(D243="","",(C245+C246))</f>
        <v>12</v>
      </c>
      <c r="E245" s="8">
        <v>8</v>
      </c>
      <c r="F245" s="59">
        <f>IF(F243="","",(E245+E246))</f>
        <v>8</v>
      </c>
      <c r="G245" s="8">
        <f>IF(G243="","",(F245+F246))</f>
        <v>8</v>
      </c>
      <c r="H245" s="8">
        <v>6</v>
      </c>
      <c r="I245" s="59">
        <f>IF(I243="","",(H245+H246))</f>
        <v>16</v>
      </c>
      <c r="J245" s="8">
        <f>IF(J243="","",(I245+I246))</f>
        <v>16</v>
      </c>
      <c r="K245" s="8">
        <f>IF(K243="","",(J245+J246))</f>
        <v>16</v>
      </c>
      <c r="L245" s="8">
        <v>15</v>
      </c>
      <c r="M245" s="59">
        <f>IF(M243="","",(L245+L246))</f>
        <v>15</v>
      </c>
      <c r="N245" s="8">
        <f>IF(N243="","",(M245+M246))</f>
        <v>15</v>
      </c>
      <c r="O245" s="8">
        <v>12</v>
      </c>
      <c r="P245" s="8">
        <f t="shared" ref="P245:AN245" si="426">IF(P243="","",(O245+O246))</f>
        <v>18</v>
      </c>
      <c r="Q245" s="8">
        <f t="shared" si="426"/>
        <v>18</v>
      </c>
      <c r="R245" s="8">
        <f t="shared" si="426"/>
        <v>18</v>
      </c>
      <c r="S245" s="8">
        <f t="shared" si="426"/>
        <v>18</v>
      </c>
      <c r="T245" s="8">
        <v>17</v>
      </c>
      <c r="U245" s="8">
        <f t="shared" si="426"/>
        <v>17</v>
      </c>
      <c r="V245" s="8">
        <f t="shared" si="426"/>
        <v>17</v>
      </c>
      <c r="W245" s="8">
        <f t="shared" si="426"/>
        <v>17</v>
      </c>
      <c r="X245" s="8">
        <f t="shared" si="426"/>
        <v>17</v>
      </c>
      <c r="Y245" s="8">
        <f t="shared" si="426"/>
        <v>17</v>
      </c>
      <c r="Z245" s="8">
        <v>14</v>
      </c>
      <c r="AA245" s="8">
        <f t="shared" si="426"/>
        <v>14</v>
      </c>
      <c r="AB245" s="8">
        <f t="shared" si="426"/>
        <v>14</v>
      </c>
      <c r="AC245" s="8">
        <f t="shared" si="426"/>
        <v>14</v>
      </c>
      <c r="AD245" s="8" t="str">
        <f t="shared" si="426"/>
        <v/>
      </c>
      <c r="AE245" s="8" t="str">
        <f t="shared" si="426"/>
        <v/>
      </c>
      <c r="AF245" s="8" t="str">
        <f t="shared" si="426"/>
        <v/>
      </c>
      <c r="AG245" s="8" t="str">
        <f t="shared" si="426"/>
        <v/>
      </c>
      <c r="AH245" s="8" t="str">
        <f t="shared" si="426"/>
        <v/>
      </c>
      <c r="AI245" s="8" t="str">
        <f t="shared" si="426"/>
        <v/>
      </c>
      <c r="AJ245" s="8" t="str">
        <f t="shared" si="426"/>
        <v/>
      </c>
      <c r="AK245" s="8" t="str">
        <f t="shared" si="426"/>
        <v/>
      </c>
      <c r="AL245" s="8" t="str">
        <f t="shared" si="426"/>
        <v/>
      </c>
      <c r="AM245" s="8" t="str">
        <f t="shared" si="426"/>
        <v/>
      </c>
      <c r="AN245" s="8" t="str">
        <f t="shared" si="426"/>
        <v/>
      </c>
      <c r="AO245" s="8" t="str">
        <f t="shared" ref="AO245:AS245" si="427">IF(AO243="","",(AN245+AN246))</f>
        <v/>
      </c>
      <c r="AP245" s="8" t="str">
        <f t="shared" si="427"/>
        <v/>
      </c>
      <c r="AQ245" s="8" t="str">
        <f t="shared" si="427"/>
        <v/>
      </c>
      <c r="AR245" s="8" t="str">
        <f t="shared" si="427"/>
        <v/>
      </c>
      <c r="AS245" s="8" t="str">
        <f t="shared" si="427"/>
        <v/>
      </c>
    </row>
    <row r="246" spans="1:45" s="93" customFormat="1" ht="11">
      <c r="A246" s="14"/>
      <c r="B246" s="9" t="s">
        <v>7</v>
      </c>
      <c r="C246" s="74"/>
      <c r="D246" s="8"/>
      <c r="E246" s="8"/>
      <c r="F246" s="59"/>
      <c r="G246" s="8"/>
      <c r="H246" s="8">
        <v>10</v>
      </c>
      <c r="I246" s="59"/>
      <c r="J246" s="8"/>
      <c r="K246" s="8"/>
      <c r="L246" s="8"/>
      <c r="M246" s="59"/>
      <c r="N246" s="8"/>
      <c r="O246" s="8">
        <v>6</v>
      </c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</row>
    <row r="247" spans="1:45" s="93" customFormat="1" ht="11">
      <c r="A247" s="7"/>
      <c r="B247" s="9" t="s">
        <v>8</v>
      </c>
      <c r="C247" s="74">
        <v>500</v>
      </c>
      <c r="D247" s="8">
        <f t="shared" ref="D247:AN247" si="428">IF(D243="","",C247)</f>
        <v>500</v>
      </c>
      <c r="E247" s="8">
        <f t="shared" si="428"/>
        <v>500</v>
      </c>
      <c r="F247" s="59">
        <f t="shared" si="428"/>
        <v>500</v>
      </c>
      <c r="G247" s="8">
        <f t="shared" si="428"/>
        <v>500</v>
      </c>
      <c r="H247" s="8">
        <f t="shared" si="428"/>
        <v>500</v>
      </c>
      <c r="I247" s="59">
        <f t="shared" si="428"/>
        <v>500</v>
      </c>
      <c r="J247" s="8">
        <f t="shared" si="428"/>
        <v>500</v>
      </c>
      <c r="K247" s="8">
        <f t="shared" si="428"/>
        <v>500</v>
      </c>
      <c r="L247" s="8">
        <f t="shared" si="428"/>
        <v>500</v>
      </c>
      <c r="M247" s="59">
        <f t="shared" si="428"/>
        <v>500</v>
      </c>
      <c r="N247" s="8">
        <f t="shared" si="428"/>
        <v>500</v>
      </c>
      <c r="O247" s="8">
        <f t="shared" si="428"/>
        <v>500</v>
      </c>
      <c r="P247" s="8">
        <f t="shared" si="428"/>
        <v>500</v>
      </c>
      <c r="Q247" s="8">
        <f t="shared" si="428"/>
        <v>500</v>
      </c>
      <c r="R247" s="8">
        <f t="shared" si="428"/>
        <v>500</v>
      </c>
      <c r="S247" s="8">
        <f t="shared" si="428"/>
        <v>500</v>
      </c>
      <c r="T247" s="8">
        <f t="shared" si="428"/>
        <v>500</v>
      </c>
      <c r="U247" s="8">
        <f t="shared" si="428"/>
        <v>500</v>
      </c>
      <c r="V247" s="8">
        <f t="shared" si="428"/>
        <v>500</v>
      </c>
      <c r="W247" s="8">
        <f t="shared" si="428"/>
        <v>500</v>
      </c>
      <c r="X247" s="8">
        <f t="shared" si="428"/>
        <v>500</v>
      </c>
      <c r="Y247" s="8">
        <f t="shared" si="428"/>
        <v>500</v>
      </c>
      <c r="Z247" s="8">
        <f t="shared" si="428"/>
        <v>500</v>
      </c>
      <c r="AA247" s="8">
        <f t="shared" si="428"/>
        <v>500</v>
      </c>
      <c r="AB247" s="8">
        <f t="shared" si="428"/>
        <v>500</v>
      </c>
      <c r="AC247" s="8">
        <f t="shared" si="428"/>
        <v>500</v>
      </c>
      <c r="AD247" s="8" t="str">
        <f t="shared" si="428"/>
        <v/>
      </c>
      <c r="AE247" s="8" t="str">
        <f t="shared" si="428"/>
        <v/>
      </c>
      <c r="AF247" s="8" t="str">
        <f t="shared" si="428"/>
        <v/>
      </c>
      <c r="AG247" s="8" t="str">
        <f t="shared" si="428"/>
        <v/>
      </c>
      <c r="AH247" s="8" t="str">
        <f t="shared" si="428"/>
        <v/>
      </c>
      <c r="AI247" s="8" t="str">
        <f t="shared" si="428"/>
        <v/>
      </c>
      <c r="AJ247" s="8" t="str">
        <f t="shared" si="428"/>
        <v/>
      </c>
      <c r="AK247" s="8" t="str">
        <f t="shared" si="428"/>
        <v/>
      </c>
      <c r="AL247" s="8" t="str">
        <f t="shared" si="428"/>
        <v/>
      </c>
      <c r="AM247" s="8" t="str">
        <f t="shared" si="428"/>
        <v/>
      </c>
      <c r="AN247" s="8" t="str">
        <f t="shared" si="428"/>
        <v/>
      </c>
      <c r="AO247" s="8" t="str">
        <f t="shared" ref="AO247:AS247" si="429">IF(AO243="","",AN247)</f>
        <v/>
      </c>
      <c r="AP247" s="8" t="str">
        <f t="shared" si="429"/>
        <v/>
      </c>
      <c r="AQ247" s="8" t="str">
        <f t="shared" si="429"/>
        <v/>
      </c>
      <c r="AR247" s="8" t="str">
        <f t="shared" si="429"/>
        <v/>
      </c>
      <c r="AS247" s="8" t="str">
        <f t="shared" si="429"/>
        <v/>
      </c>
    </row>
    <row r="248" spans="1:45" s="94" customFormat="1" ht="11">
      <c r="A248" s="14" t="s">
        <v>9</v>
      </c>
      <c r="B248" s="13" t="s">
        <v>10</v>
      </c>
      <c r="C248" s="75" t="s">
        <v>68</v>
      </c>
      <c r="D248" s="12" t="str">
        <f t="shared" ref="D248:AN248" si="430">IF(D243="","",C248)</f>
        <v>ラブブマスコット</v>
      </c>
      <c r="E248" s="12" t="str">
        <f t="shared" si="430"/>
        <v>ラブブマスコット</v>
      </c>
      <c r="F248" s="131" t="str">
        <f t="shared" si="430"/>
        <v>ラブブマスコット</v>
      </c>
      <c r="G248" s="12" t="str">
        <f t="shared" si="430"/>
        <v>ラブブマスコット</v>
      </c>
      <c r="H248" s="12" t="str">
        <f t="shared" si="430"/>
        <v>ラブブマスコット</v>
      </c>
      <c r="I248" s="131" t="str">
        <f t="shared" si="430"/>
        <v>ラブブマスコット</v>
      </c>
      <c r="J248" s="12" t="str">
        <f t="shared" si="430"/>
        <v>ラブブマスコット</v>
      </c>
      <c r="K248" s="12" t="str">
        <f t="shared" si="430"/>
        <v>ラブブマスコット</v>
      </c>
      <c r="L248" s="12" t="str">
        <f t="shared" si="430"/>
        <v>ラブブマスコット</v>
      </c>
      <c r="M248" s="131" t="str">
        <f t="shared" si="430"/>
        <v>ラブブマスコット</v>
      </c>
      <c r="N248" s="12" t="str">
        <f t="shared" si="430"/>
        <v>ラブブマスコット</v>
      </c>
      <c r="O248" s="12" t="str">
        <f t="shared" si="430"/>
        <v>ラブブマスコット</v>
      </c>
      <c r="P248" s="12" t="str">
        <f t="shared" si="430"/>
        <v>ラブブマスコット</v>
      </c>
      <c r="Q248" s="12" t="str">
        <f t="shared" si="430"/>
        <v>ラブブマスコット</v>
      </c>
      <c r="R248" s="12" t="str">
        <f t="shared" si="430"/>
        <v>ラブブマスコット</v>
      </c>
      <c r="S248" s="12" t="str">
        <f t="shared" si="430"/>
        <v>ラブブマスコット</v>
      </c>
      <c r="T248" s="12" t="str">
        <f t="shared" si="430"/>
        <v>ラブブマスコット</v>
      </c>
      <c r="U248" s="12" t="str">
        <f t="shared" si="430"/>
        <v>ラブブマスコット</v>
      </c>
      <c r="V248" s="12" t="str">
        <f t="shared" si="430"/>
        <v>ラブブマスコット</v>
      </c>
      <c r="W248" s="12" t="str">
        <f t="shared" si="430"/>
        <v>ラブブマスコット</v>
      </c>
      <c r="X248" s="12" t="str">
        <f t="shared" si="430"/>
        <v>ラブブマスコット</v>
      </c>
      <c r="Y248" s="12" t="str">
        <f t="shared" si="430"/>
        <v>ラブブマスコット</v>
      </c>
      <c r="Z248" s="12" t="str">
        <f t="shared" si="430"/>
        <v>ラブブマスコット</v>
      </c>
      <c r="AA248" s="12" t="str">
        <f t="shared" si="430"/>
        <v>ラブブマスコット</v>
      </c>
      <c r="AB248" s="12" t="str">
        <f t="shared" si="430"/>
        <v>ラブブマスコット</v>
      </c>
      <c r="AC248" s="12" t="str">
        <f t="shared" si="430"/>
        <v>ラブブマスコット</v>
      </c>
      <c r="AD248" s="12" t="str">
        <f t="shared" si="430"/>
        <v/>
      </c>
      <c r="AE248" s="12" t="str">
        <f t="shared" si="430"/>
        <v/>
      </c>
      <c r="AF248" s="12" t="str">
        <f t="shared" si="430"/>
        <v/>
      </c>
      <c r="AG248" s="12" t="str">
        <f t="shared" si="430"/>
        <v/>
      </c>
      <c r="AH248" s="12" t="str">
        <f t="shared" si="430"/>
        <v/>
      </c>
      <c r="AI248" s="12" t="str">
        <f t="shared" si="430"/>
        <v/>
      </c>
      <c r="AJ248" s="12" t="str">
        <f t="shared" si="430"/>
        <v/>
      </c>
      <c r="AK248" s="12" t="str">
        <f t="shared" si="430"/>
        <v/>
      </c>
      <c r="AL248" s="12" t="str">
        <f t="shared" si="430"/>
        <v/>
      </c>
      <c r="AM248" s="12" t="str">
        <f t="shared" si="430"/>
        <v/>
      </c>
      <c r="AN248" s="12" t="str">
        <f t="shared" si="430"/>
        <v/>
      </c>
      <c r="AO248" s="12" t="str">
        <f t="shared" ref="AO248:AS248" si="431">IF(AO243="","",AN248)</f>
        <v/>
      </c>
      <c r="AP248" s="12" t="str">
        <f t="shared" si="431"/>
        <v/>
      </c>
      <c r="AQ248" s="12" t="str">
        <f t="shared" si="431"/>
        <v/>
      </c>
      <c r="AR248" s="12" t="str">
        <f t="shared" si="431"/>
        <v/>
      </c>
      <c r="AS248" s="12" t="str">
        <f t="shared" si="431"/>
        <v/>
      </c>
    </row>
    <row r="249" spans="1:45" s="93" customFormat="1" ht="11">
      <c r="A249" s="7">
        <f>AVERAGE(C250:AS250)*30*100</f>
        <v>54111.111111111109</v>
      </c>
      <c r="B249" s="9" t="s">
        <v>14</v>
      </c>
      <c r="C249" s="74"/>
      <c r="D249" s="8"/>
      <c r="E249" s="8"/>
      <c r="F249" s="59"/>
      <c r="G249" s="8"/>
      <c r="H249" s="8"/>
      <c r="I249" s="59"/>
      <c r="J249" s="8"/>
      <c r="K249" s="8"/>
      <c r="L249" s="8"/>
      <c r="M249" s="59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</row>
    <row r="250" spans="1:45" s="93" customFormat="1" ht="11">
      <c r="A250" s="7">
        <f>SUM(C250:AS250)</f>
        <v>487</v>
      </c>
      <c r="B250" s="6" t="s">
        <v>15</v>
      </c>
      <c r="C250" s="74">
        <v>0</v>
      </c>
      <c r="D250" s="5">
        <f t="shared" ref="D250:AN250" si="432">IF(D243="","",D243-C243)</f>
        <v>0</v>
      </c>
      <c r="E250" s="5">
        <f t="shared" si="432"/>
        <v>34</v>
      </c>
      <c r="F250" s="59">
        <f t="shared" si="432"/>
        <v>0</v>
      </c>
      <c r="G250" s="5">
        <f t="shared" si="432"/>
        <v>0</v>
      </c>
      <c r="H250" s="5">
        <f t="shared" si="432"/>
        <v>55</v>
      </c>
      <c r="I250" s="59">
        <f t="shared" si="432"/>
        <v>0</v>
      </c>
      <c r="J250" s="5">
        <f t="shared" si="432"/>
        <v>0</v>
      </c>
      <c r="K250" s="5">
        <f t="shared" si="432"/>
        <v>0</v>
      </c>
      <c r="L250" s="5">
        <f t="shared" si="432"/>
        <v>72</v>
      </c>
      <c r="M250" s="59">
        <f t="shared" si="432"/>
        <v>0</v>
      </c>
      <c r="N250" s="5">
        <f t="shared" si="432"/>
        <v>0</v>
      </c>
      <c r="O250" s="5">
        <f t="shared" si="432"/>
        <v>73</v>
      </c>
      <c r="P250" s="5">
        <f t="shared" si="432"/>
        <v>0</v>
      </c>
      <c r="Q250" s="5">
        <f t="shared" si="432"/>
        <v>0</v>
      </c>
      <c r="R250" s="5">
        <f t="shared" si="432"/>
        <v>0</v>
      </c>
      <c r="S250" s="5">
        <f t="shared" si="432"/>
        <v>0</v>
      </c>
      <c r="T250" s="5">
        <f t="shared" si="432"/>
        <v>98</v>
      </c>
      <c r="U250" s="5">
        <f t="shared" si="432"/>
        <v>0</v>
      </c>
      <c r="V250" s="5">
        <f t="shared" si="432"/>
        <v>50</v>
      </c>
      <c r="W250" s="5">
        <f t="shared" si="432"/>
        <v>0</v>
      </c>
      <c r="X250" s="5">
        <f t="shared" si="432"/>
        <v>0</v>
      </c>
      <c r="Y250" s="5">
        <f t="shared" si="432"/>
        <v>0</v>
      </c>
      <c r="Z250" s="5">
        <f t="shared" si="432"/>
        <v>39</v>
      </c>
      <c r="AA250" s="5">
        <f t="shared" si="432"/>
        <v>0</v>
      </c>
      <c r="AB250" s="5">
        <f t="shared" si="432"/>
        <v>0</v>
      </c>
      <c r="AC250" s="5">
        <f t="shared" si="432"/>
        <v>66</v>
      </c>
      <c r="AD250" s="5" t="str">
        <f t="shared" si="432"/>
        <v/>
      </c>
      <c r="AE250" s="5" t="str">
        <f t="shared" si="432"/>
        <v/>
      </c>
      <c r="AF250" s="5" t="str">
        <f t="shared" si="432"/>
        <v/>
      </c>
      <c r="AG250" s="5" t="str">
        <f t="shared" si="432"/>
        <v/>
      </c>
      <c r="AH250" s="5" t="str">
        <f t="shared" si="432"/>
        <v/>
      </c>
      <c r="AI250" s="5" t="str">
        <f t="shared" si="432"/>
        <v/>
      </c>
      <c r="AJ250" s="5" t="str">
        <f t="shared" si="432"/>
        <v/>
      </c>
      <c r="AK250" s="5" t="str">
        <f t="shared" si="432"/>
        <v/>
      </c>
      <c r="AL250" s="5" t="str">
        <f t="shared" si="432"/>
        <v/>
      </c>
      <c r="AM250" s="5" t="str">
        <f t="shared" si="432"/>
        <v/>
      </c>
      <c r="AN250" s="5" t="str">
        <f t="shared" si="432"/>
        <v/>
      </c>
      <c r="AO250" s="5" t="str">
        <f t="shared" ref="AO250:AS250" si="433">IF(AO243="","",AO243-AN243)</f>
        <v/>
      </c>
      <c r="AP250" s="5" t="str">
        <f t="shared" si="433"/>
        <v/>
      </c>
      <c r="AQ250" s="5" t="str">
        <f t="shared" si="433"/>
        <v/>
      </c>
      <c r="AR250" s="5" t="str">
        <f t="shared" si="433"/>
        <v/>
      </c>
      <c r="AS250" s="5" t="str">
        <f t="shared" si="433"/>
        <v/>
      </c>
    </row>
    <row r="251" spans="1:45" s="93" customFormat="1" ht="11">
      <c r="A251" s="7">
        <f>SUM(C251:AS251)</f>
        <v>24</v>
      </c>
      <c r="B251" s="6" t="s">
        <v>16</v>
      </c>
      <c r="C251" s="74">
        <v>0</v>
      </c>
      <c r="D251" s="5">
        <f t="shared" ref="D251:AN251" si="434">IF(D244="","",D244-C244)</f>
        <v>0</v>
      </c>
      <c r="E251" s="5">
        <f t="shared" si="434"/>
        <v>4</v>
      </c>
      <c r="F251" s="59">
        <f t="shared" si="434"/>
        <v>0</v>
      </c>
      <c r="G251" s="5">
        <f t="shared" si="434"/>
        <v>0</v>
      </c>
      <c r="H251" s="5">
        <f t="shared" si="434"/>
        <v>2</v>
      </c>
      <c r="I251" s="59">
        <f t="shared" si="434"/>
        <v>0</v>
      </c>
      <c r="J251" s="5">
        <f t="shared" si="434"/>
        <v>0</v>
      </c>
      <c r="K251" s="5">
        <f t="shared" si="434"/>
        <v>0</v>
      </c>
      <c r="L251" s="5">
        <f t="shared" si="434"/>
        <v>2</v>
      </c>
      <c r="M251" s="59">
        <f t="shared" si="434"/>
        <v>0</v>
      </c>
      <c r="N251" s="5">
        <f t="shared" si="434"/>
        <v>0</v>
      </c>
      <c r="O251" s="5">
        <f t="shared" si="434"/>
        <v>4</v>
      </c>
      <c r="P251" s="5">
        <f t="shared" si="434"/>
        <v>0</v>
      </c>
      <c r="Q251" s="5">
        <f t="shared" si="434"/>
        <v>0</v>
      </c>
      <c r="R251" s="5">
        <f t="shared" si="434"/>
        <v>0</v>
      </c>
      <c r="S251" s="5">
        <f t="shared" si="434"/>
        <v>0</v>
      </c>
      <c r="T251" s="5">
        <f t="shared" si="434"/>
        <v>4</v>
      </c>
      <c r="U251" s="5">
        <f t="shared" si="434"/>
        <v>0</v>
      </c>
      <c r="V251" s="5">
        <f t="shared" si="434"/>
        <v>1</v>
      </c>
      <c r="W251" s="5">
        <f t="shared" si="434"/>
        <v>0</v>
      </c>
      <c r="X251" s="5">
        <f t="shared" si="434"/>
        <v>0</v>
      </c>
      <c r="Y251" s="5">
        <f t="shared" si="434"/>
        <v>0</v>
      </c>
      <c r="Z251" s="5">
        <f t="shared" si="434"/>
        <v>3</v>
      </c>
      <c r="AA251" s="5">
        <f t="shared" si="434"/>
        <v>0</v>
      </c>
      <c r="AB251" s="5">
        <f t="shared" si="434"/>
        <v>0</v>
      </c>
      <c r="AC251" s="5">
        <f t="shared" si="434"/>
        <v>4</v>
      </c>
      <c r="AD251" s="5" t="str">
        <f t="shared" si="434"/>
        <v/>
      </c>
      <c r="AE251" s="5" t="str">
        <f t="shared" si="434"/>
        <v/>
      </c>
      <c r="AF251" s="5" t="str">
        <f t="shared" si="434"/>
        <v/>
      </c>
      <c r="AG251" s="5" t="str">
        <f t="shared" si="434"/>
        <v/>
      </c>
      <c r="AH251" s="5" t="str">
        <f t="shared" si="434"/>
        <v/>
      </c>
      <c r="AI251" s="5" t="str">
        <f t="shared" si="434"/>
        <v/>
      </c>
      <c r="AJ251" s="5" t="str">
        <f t="shared" si="434"/>
        <v/>
      </c>
      <c r="AK251" s="5" t="str">
        <f t="shared" si="434"/>
        <v/>
      </c>
      <c r="AL251" s="5" t="str">
        <f t="shared" si="434"/>
        <v/>
      </c>
      <c r="AM251" s="5" t="str">
        <f t="shared" si="434"/>
        <v/>
      </c>
      <c r="AN251" s="5" t="str">
        <f t="shared" si="434"/>
        <v/>
      </c>
      <c r="AO251" s="5" t="str">
        <f t="shared" ref="AO251:AS251" si="435">IF(AO244="","",AO244-AN244)</f>
        <v/>
      </c>
      <c r="AP251" s="5" t="str">
        <f t="shared" si="435"/>
        <v/>
      </c>
      <c r="AQ251" s="5" t="str">
        <f t="shared" si="435"/>
        <v/>
      </c>
      <c r="AR251" s="5" t="str">
        <f t="shared" si="435"/>
        <v/>
      </c>
      <c r="AS251" s="5" t="str">
        <f t="shared" si="435"/>
        <v/>
      </c>
    </row>
    <row r="252" spans="1:45" s="93" customFormat="1" ht="11">
      <c r="A252" s="7">
        <f>SUM(C252:AS252)</f>
        <v>14</v>
      </c>
      <c r="B252" s="6" t="s">
        <v>17</v>
      </c>
      <c r="C252" s="74">
        <v>0</v>
      </c>
      <c r="D252" s="5">
        <f t="shared" ref="D252:AN252" si="436">IF(D245="","",C245+C246-D245)</f>
        <v>0</v>
      </c>
      <c r="E252" s="5">
        <f t="shared" si="436"/>
        <v>4</v>
      </c>
      <c r="F252" s="59">
        <f t="shared" si="436"/>
        <v>0</v>
      </c>
      <c r="G252" s="5">
        <f t="shared" si="436"/>
        <v>0</v>
      </c>
      <c r="H252" s="5">
        <f t="shared" si="436"/>
        <v>2</v>
      </c>
      <c r="I252" s="59">
        <f t="shared" si="436"/>
        <v>0</v>
      </c>
      <c r="J252" s="5">
        <f t="shared" si="436"/>
        <v>0</v>
      </c>
      <c r="K252" s="5">
        <f t="shared" si="436"/>
        <v>0</v>
      </c>
      <c r="L252" s="5">
        <f t="shared" si="436"/>
        <v>1</v>
      </c>
      <c r="M252" s="59">
        <f t="shared" si="436"/>
        <v>0</v>
      </c>
      <c r="N252" s="5">
        <f t="shared" si="436"/>
        <v>0</v>
      </c>
      <c r="O252" s="5">
        <f t="shared" si="436"/>
        <v>3</v>
      </c>
      <c r="P252" s="5">
        <f t="shared" si="436"/>
        <v>0</v>
      </c>
      <c r="Q252" s="5">
        <f t="shared" si="436"/>
        <v>0</v>
      </c>
      <c r="R252" s="5">
        <f t="shared" si="436"/>
        <v>0</v>
      </c>
      <c r="S252" s="5">
        <f t="shared" si="436"/>
        <v>0</v>
      </c>
      <c r="T252" s="5">
        <f t="shared" si="436"/>
        <v>1</v>
      </c>
      <c r="U252" s="5">
        <f t="shared" si="436"/>
        <v>0</v>
      </c>
      <c r="V252" s="5">
        <f t="shared" si="436"/>
        <v>0</v>
      </c>
      <c r="W252" s="5">
        <f t="shared" si="436"/>
        <v>0</v>
      </c>
      <c r="X252" s="5">
        <f t="shared" si="436"/>
        <v>0</v>
      </c>
      <c r="Y252" s="5">
        <f t="shared" si="436"/>
        <v>0</v>
      </c>
      <c r="Z252" s="5">
        <f t="shared" si="436"/>
        <v>3</v>
      </c>
      <c r="AA252" s="5">
        <f t="shared" si="436"/>
        <v>0</v>
      </c>
      <c r="AB252" s="5">
        <f t="shared" si="436"/>
        <v>0</v>
      </c>
      <c r="AC252" s="5">
        <f t="shared" si="436"/>
        <v>0</v>
      </c>
      <c r="AD252" s="5" t="str">
        <f t="shared" si="436"/>
        <v/>
      </c>
      <c r="AE252" s="5" t="str">
        <f t="shared" si="436"/>
        <v/>
      </c>
      <c r="AF252" s="5" t="str">
        <f t="shared" si="436"/>
        <v/>
      </c>
      <c r="AG252" s="5" t="str">
        <f t="shared" si="436"/>
        <v/>
      </c>
      <c r="AH252" s="5" t="str">
        <f t="shared" si="436"/>
        <v/>
      </c>
      <c r="AI252" s="5" t="str">
        <f t="shared" si="436"/>
        <v/>
      </c>
      <c r="AJ252" s="5" t="str">
        <f t="shared" si="436"/>
        <v/>
      </c>
      <c r="AK252" s="5" t="str">
        <f t="shared" si="436"/>
        <v/>
      </c>
      <c r="AL252" s="5" t="str">
        <f t="shared" si="436"/>
        <v/>
      </c>
      <c r="AM252" s="5" t="str">
        <f t="shared" si="436"/>
        <v/>
      </c>
      <c r="AN252" s="5" t="str">
        <f t="shared" si="436"/>
        <v/>
      </c>
      <c r="AO252" s="5" t="str">
        <f t="shared" ref="AO252:AS252" si="437">IF(AO245="","",AN245+AN246-AO245)</f>
        <v/>
      </c>
      <c r="AP252" s="5" t="str">
        <f t="shared" si="437"/>
        <v/>
      </c>
      <c r="AQ252" s="5" t="str">
        <f t="shared" si="437"/>
        <v/>
      </c>
      <c r="AR252" s="5" t="str">
        <f t="shared" si="437"/>
        <v/>
      </c>
      <c r="AS252" s="5" t="str">
        <f t="shared" si="437"/>
        <v/>
      </c>
    </row>
    <row r="253" spans="1:45" s="93" customFormat="1" ht="11">
      <c r="A253" s="7">
        <f>SUM(C253:AS253)</f>
        <v>7000</v>
      </c>
      <c r="B253" s="6" t="s">
        <v>18</v>
      </c>
      <c r="C253" s="74">
        <v>0</v>
      </c>
      <c r="D253" s="5">
        <f t="shared" ref="D253:AN253" si="438">IF(D243="","",D252*D247)</f>
        <v>0</v>
      </c>
      <c r="E253" s="5">
        <f t="shared" si="438"/>
        <v>2000</v>
      </c>
      <c r="F253" s="59">
        <f t="shared" si="438"/>
        <v>0</v>
      </c>
      <c r="G253" s="5">
        <f t="shared" si="438"/>
        <v>0</v>
      </c>
      <c r="H253" s="5">
        <f t="shared" si="438"/>
        <v>1000</v>
      </c>
      <c r="I253" s="59">
        <f t="shared" si="438"/>
        <v>0</v>
      </c>
      <c r="J253" s="5">
        <f t="shared" si="438"/>
        <v>0</v>
      </c>
      <c r="K253" s="5">
        <f t="shared" si="438"/>
        <v>0</v>
      </c>
      <c r="L253" s="5">
        <f t="shared" si="438"/>
        <v>500</v>
      </c>
      <c r="M253" s="59">
        <f t="shared" si="438"/>
        <v>0</v>
      </c>
      <c r="N253" s="5">
        <f t="shared" si="438"/>
        <v>0</v>
      </c>
      <c r="O253" s="5">
        <f t="shared" si="438"/>
        <v>1500</v>
      </c>
      <c r="P253" s="5">
        <f t="shared" si="438"/>
        <v>0</v>
      </c>
      <c r="Q253" s="5">
        <f t="shared" si="438"/>
        <v>0</v>
      </c>
      <c r="R253" s="5">
        <f t="shared" si="438"/>
        <v>0</v>
      </c>
      <c r="S253" s="5">
        <f t="shared" si="438"/>
        <v>0</v>
      </c>
      <c r="T253" s="5">
        <f t="shared" si="438"/>
        <v>500</v>
      </c>
      <c r="U253" s="5">
        <f t="shared" si="438"/>
        <v>0</v>
      </c>
      <c r="V253" s="5">
        <f t="shared" si="438"/>
        <v>0</v>
      </c>
      <c r="W253" s="5">
        <f t="shared" si="438"/>
        <v>0</v>
      </c>
      <c r="X253" s="5">
        <f t="shared" si="438"/>
        <v>0</v>
      </c>
      <c r="Y253" s="5">
        <f t="shared" si="438"/>
        <v>0</v>
      </c>
      <c r="Z253" s="5">
        <f t="shared" si="438"/>
        <v>1500</v>
      </c>
      <c r="AA253" s="5">
        <f t="shared" si="438"/>
        <v>0</v>
      </c>
      <c r="AB253" s="5">
        <f t="shared" si="438"/>
        <v>0</v>
      </c>
      <c r="AC253" s="5">
        <f t="shared" si="438"/>
        <v>0</v>
      </c>
      <c r="AD253" s="5" t="str">
        <f t="shared" si="438"/>
        <v/>
      </c>
      <c r="AE253" s="5" t="str">
        <f t="shared" si="438"/>
        <v/>
      </c>
      <c r="AF253" s="5" t="str">
        <f t="shared" si="438"/>
        <v/>
      </c>
      <c r="AG253" s="5" t="str">
        <f t="shared" si="438"/>
        <v/>
      </c>
      <c r="AH253" s="5" t="str">
        <f t="shared" si="438"/>
        <v/>
      </c>
      <c r="AI253" s="5" t="str">
        <f t="shared" si="438"/>
        <v/>
      </c>
      <c r="AJ253" s="5" t="str">
        <f t="shared" si="438"/>
        <v/>
      </c>
      <c r="AK253" s="5" t="str">
        <f t="shared" si="438"/>
        <v/>
      </c>
      <c r="AL253" s="5" t="str">
        <f t="shared" si="438"/>
        <v/>
      </c>
      <c r="AM253" s="5" t="str">
        <f t="shared" si="438"/>
        <v/>
      </c>
      <c r="AN253" s="5" t="str">
        <f t="shared" si="438"/>
        <v/>
      </c>
      <c r="AO253" s="5" t="str">
        <f t="shared" ref="AO253:AS253" si="439">IF(AO243="","",AO252*AO247)</f>
        <v/>
      </c>
      <c r="AP253" s="5" t="str">
        <f t="shared" si="439"/>
        <v/>
      </c>
      <c r="AQ253" s="5" t="str">
        <f t="shared" si="439"/>
        <v/>
      </c>
      <c r="AR253" s="5" t="str">
        <f t="shared" si="439"/>
        <v/>
      </c>
      <c r="AS253" s="5" t="str">
        <f t="shared" si="439"/>
        <v/>
      </c>
    </row>
    <row r="254" spans="1:45" s="93" customFormat="1" ht="12" thickBot="1">
      <c r="A254" s="4">
        <f>IF(A253="","",A253/(A250*100))</f>
        <v>0.14373716632443531</v>
      </c>
      <c r="B254" s="6" t="s">
        <v>20</v>
      </c>
      <c r="C254" s="76" t="s">
        <v>21</v>
      </c>
      <c r="D254" s="18" t="str">
        <f t="shared" ref="D254:AN254" si="440">IF(D253="","",IF(D253=0,"",D253/(D250*100)))</f>
        <v/>
      </c>
      <c r="E254" s="18">
        <f t="shared" si="440"/>
        <v>0.58823529411764708</v>
      </c>
      <c r="F254" s="62" t="str">
        <f t="shared" si="440"/>
        <v/>
      </c>
      <c r="G254" s="18" t="str">
        <f t="shared" si="440"/>
        <v/>
      </c>
      <c r="H254" s="18">
        <f t="shared" si="440"/>
        <v>0.18181818181818182</v>
      </c>
      <c r="I254" s="62" t="str">
        <f t="shared" si="440"/>
        <v/>
      </c>
      <c r="J254" s="18" t="str">
        <f t="shared" si="440"/>
        <v/>
      </c>
      <c r="K254" s="18" t="str">
        <f t="shared" si="440"/>
        <v/>
      </c>
      <c r="L254" s="18">
        <f t="shared" si="440"/>
        <v>6.9444444444444448E-2</v>
      </c>
      <c r="M254" s="62" t="str">
        <f t="shared" si="440"/>
        <v/>
      </c>
      <c r="N254" s="18" t="str">
        <f t="shared" si="440"/>
        <v/>
      </c>
      <c r="O254" s="18">
        <f t="shared" si="440"/>
        <v>0.20547945205479451</v>
      </c>
      <c r="P254" s="18" t="str">
        <f t="shared" si="440"/>
        <v/>
      </c>
      <c r="Q254" s="18" t="str">
        <f t="shared" si="440"/>
        <v/>
      </c>
      <c r="R254" s="18" t="str">
        <f t="shared" si="440"/>
        <v/>
      </c>
      <c r="S254" s="18" t="str">
        <f t="shared" si="440"/>
        <v/>
      </c>
      <c r="T254" s="18">
        <f t="shared" si="440"/>
        <v>5.1020408163265307E-2</v>
      </c>
      <c r="U254" s="18" t="str">
        <f t="shared" si="440"/>
        <v/>
      </c>
      <c r="V254" s="18" t="str">
        <f t="shared" si="440"/>
        <v/>
      </c>
      <c r="W254" s="18" t="str">
        <f t="shared" si="440"/>
        <v/>
      </c>
      <c r="X254" s="18" t="str">
        <f t="shared" si="440"/>
        <v/>
      </c>
      <c r="Y254" s="18" t="str">
        <f t="shared" si="440"/>
        <v/>
      </c>
      <c r="Z254" s="18">
        <f t="shared" si="440"/>
        <v>0.38461538461538464</v>
      </c>
      <c r="AA254" s="18" t="str">
        <f t="shared" si="440"/>
        <v/>
      </c>
      <c r="AB254" s="18" t="str">
        <f t="shared" si="440"/>
        <v/>
      </c>
      <c r="AC254" s="18" t="str">
        <f t="shared" si="440"/>
        <v/>
      </c>
      <c r="AD254" s="18" t="str">
        <f t="shared" si="440"/>
        <v/>
      </c>
      <c r="AE254" s="18" t="str">
        <f t="shared" si="440"/>
        <v/>
      </c>
      <c r="AF254" s="18" t="str">
        <f t="shared" si="440"/>
        <v/>
      </c>
      <c r="AG254" s="18" t="str">
        <f t="shared" si="440"/>
        <v/>
      </c>
      <c r="AH254" s="18" t="str">
        <f t="shared" si="440"/>
        <v/>
      </c>
      <c r="AI254" s="18" t="str">
        <f t="shared" si="440"/>
        <v/>
      </c>
      <c r="AJ254" s="18" t="str">
        <f t="shared" si="440"/>
        <v/>
      </c>
      <c r="AK254" s="18" t="str">
        <f t="shared" si="440"/>
        <v/>
      </c>
      <c r="AL254" s="18" t="str">
        <f t="shared" si="440"/>
        <v/>
      </c>
      <c r="AM254" s="18" t="str">
        <f t="shared" si="440"/>
        <v/>
      </c>
      <c r="AN254" s="18" t="str">
        <f t="shared" si="440"/>
        <v/>
      </c>
      <c r="AO254" s="18" t="str">
        <f t="shared" ref="AO254:AS254" si="441">IF(AO253="","",IF(AO253=0,"",AO253/(AO250*100)))</f>
        <v/>
      </c>
      <c r="AP254" s="18" t="str">
        <f t="shared" si="441"/>
        <v/>
      </c>
      <c r="AQ254" s="18" t="str">
        <f t="shared" si="441"/>
        <v/>
      </c>
      <c r="AR254" s="18" t="str">
        <f t="shared" si="441"/>
        <v/>
      </c>
      <c r="AS254" s="18" t="str">
        <f t="shared" si="441"/>
        <v/>
      </c>
    </row>
    <row r="255" spans="1:45" s="93" customFormat="1" ht="11">
      <c r="A255" s="17" t="s">
        <v>101</v>
      </c>
      <c r="B255" s="9" t="s">
        <v>2</v>
      </c>
      <c r="C255" s="74">
        <v>31436</v>
      </c>
      <c r="D255" s="8">
        <f>IF(D$3="","",C255)</f>
        <v>31436</v>
      </c>
      <c r="E255" s="8">
        <v>31613</v>
      </c>
      <c r="F255" s="59">
        <f>IF(F$3="","",E255)</f>
        <v>31613</v>
      </c>
      <c r="G255" s="8">
        <f>IF(G$3="","",F255)</f>
        <v>31613</v>
      </c>
      <c r="H255" s="8">
        <v>32000</v>
      </c>
      <c r="I255" s="59">
        <f t="shared" ref="I255:K256" si="442">IF(I$3="","",H255)</f>
        <v>32000</v>
      </c>
      <c r="J255" s="8">
        <f t="shared" si="442"/>
        <v>32000</v>
      </c>
      <c r="K255" s="8">
        <f t="shared" si="442"/>
        <v>32000</v>
      </c>
      <c r="L255" s="8">
        <v>32149</v>
      </c>
      <c r="M255" s="59">
        <f>IF(M$3="","",L255)</f>
        <v>32149</v>
      </c>
      <c r="N255" s="8">
        <f>IF(N$3="","",M255)</f>
        <v>32149</v>
      </c>
      <c r="O255" s="8">
        <v>32391</v>
      </c>
      <c r="P255" s="8">
        <f t="shared" ref="P255:AN255" si="443">IF(P$3="","",O255)</f>
        <v>32391</v>
      </c>
      <c r="Q255" s="8">
        <f t="shared" si="443"/>
        <v>32391</v>
      </c>
      <c r="R255" s="8">
        <f t="shared" si="443"/>
        <v>32391</v>
      </c>
      <c r="S255" s="8">
        <f t="shared" si="443"/>
        <v>32391</v>
      </c>
      <c r="T255" s="8">
        <v>32503</v>
      </c>
      <c r="U255" s="8">
        <f t="shared" si="443"/>
        <v>32503</v>
      </c>
      <c r="V255" s="8">
        <v>32652</v>
      </c>
      <c r="W255" s="8">
        <f t="shared" si="443"/>
        <v>32652</v>
      </c>
      <c r="X255" s="8">
        <f t="shared" si="443"/>
        <v>32652</v>
      </c>
      <c r="Y255" s="8">
        <f t="shared" si="443"/>
        <v>32652</v>
      </c>
      <c r="Z255" s="8">
        <v>32832</v>
      </c>
      <c r="AA255" s="8">
        <f t="shared" si="443"/>
        <v>32832</v>
      </c>
      <c r="AB255" s="8">
        <f t="shared" si="443"/>
        <v>32832</v>
      </c>
      <c r="AC255" s="8">
        <v>32997</v>
      </c>
      <c r="AD255" s="8" t="str">
        <f t="shared" si="443"/>
        <v/>
      </c>
      <c r="AE255" s="8" t="str">
        <f t="shared" si="443"/>
        <v/>
      </c>
      <c r="AF255" s="8" t="str">
        <f t="shared" si="443"/>
        <v/>
      </c>
      <c r="AG255" s="8" t="str">
        <f t="shared" si="443"/>
        <v/>
      </c>
      <c r="AH255" s="8" t="str">
        <f t="shared" si="443"/>
        <v/>
      </c>
      <c r="AI255" s="8" t="str">
        <f t="shared" si="443"/>
        <v/>
      </c>
      <c r="AJ255" s="8" t="str">
        <f t="shared" si="443"/>
        <v/>
      </c>
      <c r="AK255" s="8" t="str">
        <f t="shared" si="443"/>
        <v/>
      </c>
      <c r="AL255" s="8" t="str">
        <f t="shared" si="443"/>
        <v/>
      </c>
      <c r="AM255" s="8" t="str">
        <f t="shared" si="443"/>
        <v/>
      </c>
      <c r="AN255" s="8" t="str">
        <f t="shared" si="443"/>
        <v/>
      </c>
      <c r="AO255" s="8" t="str">
        <f t="shared" ref="AO255:AS255" si="444">IF(AO$3="","",AN255)</f>
        <v/>
      </c>
      <c r="AP255" s="8" t="str">
        <f t="shared" si="444"/>
        <v/>
      </c>
      <c r="AQ255" s="8" t="str">
        <f t="shared" si="444"/>
        <v/>
      </c>
      <c r="AR255" s="8" t="str">
        <f t="shared" si="444"/>
        <v/>
      </c>
      <c r="AS255" s="8" t="str">
        <f t="shared" si="444"/>
        <v/>
      </c>
    </row>
    <row r="256" spans="1:45" s="93" customFormat="1" ht="11">
      <c r="A256" s="16" t="str">
        <f>A244</f>
        <v>BUZZ＃6</v>
      </c>
      <c r="B256" s="9" t="s">
        <v>4</v>
      </c>
      <c r="C256" s="74">
        <v>1422</v>
      </c>
      <c r="D256" s="8">
        <f>IF(D$3="","",C256)</f>
        <v>1422</v>
      </c>
      <c r="E256" s="8">
        <v>1425</v>
      </c>
      <c r="F256" s="59">
        <f>IF(F$3="","",E256)</f>
        <v>1425</v>
      </c>
      <c r="G256" s="8">
        <f>IF(G$3="","",F256)</f>
        <v>1425</v>
      </c>
      <c r="H256" s="8">
        <v>1430</v>
      </c>
      <c r="I256" s="59">
        <f t="shared" si="442"/>
        <v>1430</v>
      </c>
      <c r="J256" s="8">
        <f t="shared" si="442"/>
        <v>1430</v>
      </c>
      <c r="K256" s="8">
        <f t="shared" si="442"/>
        <v>1430</v>
      </c>
      <c r="L256" s="8">
        <f>IF(L$3="","",K256)</f>
        <v>1430</v>
      </c>
      <c r="M256" s="59">
        <f>IF(M$3="","",L256)</f>
        <v>1430</v>
      </c>
      <c r="N256" s="8">
        <f>IF(N$3="","",M256)</f>
        <v>1430</v>
      </c>
      <c r="O256" s="8">
        <v>1435</v>
      </c>
      <c r="P256" s="8">
        <f t="shared" ref="P256:AN256" si="445">IF(P$3="","",O256)</f>
        <v>1435</v>
      </c>
      <c r="Q256" s="8">
        <f t="shared" si="445"/>
        <v>1435</v>
      </c>
      <c r="R256" s="8">
        <f t="shared" si="445"/>
        <v>1435</v>
      </c>
      <c r="S256" s="8">
        <f t="shared" si="445"/>
        <v>1435</v>
      </c>
      <c r="T256" s="8">
        <v>1437</v>
      </c>
      <c r="U256" s="8">
        <f t="shared" si="445"/>
        <v>1437</v>
      </c>
      <c r="V256" s="8">
        <v>1439</v>
      </c>
      <c r="W256" s="8">
        <f t="shared" si="445"/>
        <v>1439</v>
      </c>
      <c r="X256" s="8">
        <f t="shared" si="445"/>
        <v>1439</v>
      </c>
      <c r="Y256" s="8">
        <f t="shared" si="445"/>
        <v>1439</v>
      </c>
      <c r="Z256" s="8">
        <v>1440</v>
      </c>
      <c r="AA256" s="8">
        <f t="shared" si="445"/>
        <v>1440</v>
      </c>
      <c r="AB256" s="8">
        <f t="shared" si="445"/>
        <v>1440</v>
      </c>
      <c r="AC256" s="8">
        <f t="shared" si="445"/>
        <v>1440</v>
      </c>
      <c r="AD256" s="8" t="str">
        <f t="shared" si="445"/>
        <v/>
      </c>
      <c r="AE256" s="8" t="str">
        <f t="shared" si="445"/>
        <v/>
      </c>
      <c r="AF256" s="8" t="str">
        <f t="shared" si="445"/>
        <v/>
      </c>
      <c r="AG256" s="8" t="str">
        <f t="shared" si="445"/>
        <v/>
      </c>
      <c r="AH256" s="8" t="str">
        <f t="shared" si="445"/>
        <v/>
      </c>
      <c r="AI256" s="8" t="str">
        <f t="shared" si="445"/>
        <v/>
      </c>
      <c r="AJ256" s="8" t="str">
        <f t="shared" si="445"/>
        <v/>
      </c>
      <c r="AK256" s="8" t="str">
        <f t="shared" si="445"/>
        <v/>
      </c>
      <c r="AL256" s="8" t="str">
        <f t="shared" si="445"/>
        <v/>
      </c>
      <c r="AM256" s="8" t="str">
        <f t="shared" si="445"/>
        <v/>
      </c>
      <c r="AN256" s="8" t="str">
        <f t="shared" si="445"/>
        <v/>
      </c>
      <c r="AO256" s="8" t="str">
        <f t="shared" ref="AO256:AS256" si="446">IF(AO$3="","",AN256)</f>
        <v/>
      </c>
      <c r="AP256" s="8" t="str">
        <f t="shared" si="446"/>
        <v/>
      </c>
      <c r="AQ256" s="8" t="str">
        <f t="shared" si="446"/>
        <v/>
      </c>
      <c r="AR256" s="8" t="str">
        <f t="shared" si="446"/>
        <v/>
      </c>
      <c r="AS256" s="8" t="str">
        <f t="shared" si="446"/>
        <v/>
      </c>
    </row>
    <row r="257" spans="1:45" s="93" customFormat="1" ht="11">
      <c r="A257" s="15">
        <v>4</v>
      </c>
      <c r="B257" s="9" t="s">
        <v>5</v>
      </c>
      <c r="C257" s="74">
        <v>12</v>
      </c>
      <c r="D257" s="8">
        <f>IF(D255="","",(C257+C258))</f>
        <v>12</v>
      </c>
      <c r="E257" s="8">
        <v>10</v>
      </c>
      <c r="F257" s="59">
        <f t="shared" ref="F257:K257" si="447">IF(F255="","",(E257+E258))</f>
        <v>10</v>
      </c>
      <c r="G257" s="8">
        <f t="shared" si="447"/>
        <v>10</v>
      </c>
      <c r="H257" s="8">
        <f t="shared" si="447"/>
        <v>10</v>
      </c>
      <c r="I257" s="59">
        <f t="shared" si="447"/>
        <v>10</v>
      </c>
      <c r="J257" s="8">
        <f t="shared" si="447"/>
        <v>10</v>
      </c>
      <c r="K257" s="8">
        <f t="shared" si="447"/>
        <v>10</v>
      </c>
      <c r="L257" s="8">
        <v>9</v>
      </c>
      <c r="M257" s="59">
        <f t="shared" ref="M257:AN257" si="448">IF(M255="","",(L257+L258))</f>
        <v>9</v>
      </c>
      <c r="N257" s="8">
        <f t="shared" si="448"/>
        <v>9</v>
      </c>
      <c r="O257" s="8">
        <f t="shared" si="448"/>
        <v>9</v>
      </c>
      <c r="P257" s="8">
        <f t="shared" si="448"/>
        <v>9</v>
      </c>
      <c r="Q257" s="8">
        <f t="shared" si="448"/>
        <v>9</v>
      </c>
      <c r="R257" s="8">
        <f t="shared" si="448"/>
        <v>9</v>
      </c>
      <c r="S257" s="8">
        <f t="shared" si="448"/>
        <v>9</v>
      </c>
      <c r="T257" s="8">
        <f t="shared" si="448"/>
        <v>9</v>
      </c>
      <c r="U257" s="8">
        <f t="shared" si="448"/>
        <v>9</v>
      </c>
      <c r="V257" s="8">
        <v>8</v>
      </c>
      <c r="W257" s="8">
        <f t="shared" si="448"/>
        <v>8</v>
      </c>
      <c r="X257" s="8">
        <f t="shared" si="448"/>
        <v>8</v>
      </c>
      <c r="Y257" s="8">
        <f t="shared" si="448"/>
        <v>8</v>
      </c>
      <c r="Z257" s="8">
        <v>7</v>
      </c>
      <c r="AA257" s="8">
        <f t="shared" si="448"/>
        <v>7</v>
      </c>
      <c r="AB257" s="8">
        <f t="shared" si="448"/>
        <v>7</v>
      </c>
      <c r="AC257" s="8">
        <f t="shared" si="448"/>
        <v>7</v>
      </c>
      <c r="AD257" s="8" t="str">
        <f t="shared" si="448"/>
        <v/>
      </c>
      <c r="AE257" s="8" t="str">
        <f t="shared" si="448"/>
        <v/>
      </c>
      <c r="AF257" s="8" t="str">
        <f t="shared" si="448"/>
        <v/>
      </c>
      <c r="AG257" s="8" t="str">
        <f t="shared" si="448"/>
        <v/>
      </c>
      <c r="AH257" s="8" t="str">
        <f t="shared" si="448"/>
        <v/>
      </c>
      <c r="AI257" s="8" t="str">
        <f t="shared" si="448"/>
        <v/>
      </c>
      <c r="AJ257" s="8" t="str">
        <f t="shared" si="448"/>
        <v/>
      </c>
      <c r="AK257" s="8" t="str">
        <f t="shared" si="448"/>
        <v/>
      </c>
      <c r="AL257" s="8" t="str">
        <f t="shared" si="448"/>
        <v/>
      </c>
      <c r="AM257" s="8" t="str">
        <f t="shared" si="448"/>
        <v/>
      </c>
      <c r="AN257" s="8" t="str">
        <f t="shared" si="448"/>
        <v/>
      </c>
      <c r="AO257" s="8" t="str">
        <f t="shared" ref="AO257:AS257" si="449">IF(AO255="","",(AN257+AN258))</f>
        <v/>
      </c>
      <c r="AP257" s="8" t="str">
        <f t="shared" si="449"/>
        <v/>
      </c>
      <c r="AQ257" s="8" t="str">
        <f t="shared" si="449"/>
        <v/>
      </c>
      <c r="AR257" s="8" t="str">
        <f t="shared" si="449"/>
        <v/>
      </c>
      <c r="AS257" s="8" t="str">
        <f t="shared" si="449"/>
        <v/>
      </c>
    </row>
    <row r="258" spans="1:45" s="93" customFormat="1" ht="11">
      <c r="A258" s="14"/>
      <c r="B258" s="9" t="s">
        <v>7</v>
      </c>
      <c r="C258" s="74"/>
      <c r="D258" s="8"/>
      <c r="E258" s="8"/>
      <c r="F258" s="59"/>
      <c r="G258" s="8"/>
      <c r="H258" s="8"/>
      <c r="I258" s="59"/>
      <c r="J258" s="8"/>
      <c r="K258" s="8"/>
      <c r="L258" s="8"/>
      <c r="M258" s="59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</row>
    <row r="259" spans="1:45" s="93" customFormat="1" ht="11">
      <c r="A259" s="7"/>
      <c r="B259" s="9" t="s">
        <v>8</v>
      </c>
      <c r="C259" s="74">
        <v>400</v>
      </c>
      <c r="D259" s="8">
        <f t="shared" ref="D259:AN259" si="450">IF(D255="","",C259)</f>
        <v>400</v>
      </c>
      <c r="E259" s="8">
        <f t="shared" si="450"/>
        <v>400</v>
      </c>
      <c r="F259" s="59">
        <f t="shared" si="450"/>
        <v>400</v>
      </c>
      <c r="G259" s="8">
        <f t="shared" si="450"/>
        <v>400</v>
      </c>
      <c r="H259" s="8">
        <f t="shared" si="450"/>
        <v>400</v>
      </c>
      <c r="I259" s="59">
        <f t="shared" si="450"/>
        <v>400</v>
      </c>
      <c r="J259" s="8">
        <f t="shared" si="450"/>
        <v>400</v>
      </c>
      <c r="K259" s="8">
        <f t="shared" si="450"/>
        <v>400</v>
      </c>
      <c r="L259" s="8">
        <f t="shared" si="450"/>
        <v>400</v>
      </c>
      <c r="M259" s="59">
        <f t="shared" si="450"/>
        <v>400</v>
      </c>
      <c r="N259" s="8">
        <f t="shared" si="450"/>
        <v>400</v>
      </c>
      <c r="O259" s="8">
        <f t="shared" si="450"/>
        <v>400</v>
      </c>
      <c r="P259" s="8">
        <f t="shared" si="450"/>
        <v>400</v>
      </c>
      <c r="Q259" s="8">
        <f t="shared" si="450"/>
        <v>400</v>
      </c>
      <c r="R259" s="8">
        <f t="shared" si="450"/>
        <v>400</v>
      </c>
      <c r="S259" s="8">
        <f t="shared" si="450"/>
        <v>400</v>
      </c>
      <c r="T259" s="8">
        <f t="shared" si="450"/>
        <v>400</v>
      </c>
      <c r="U259" s="8">
        <f t="shared" si="450"/>
        <v>400</v>
      </c>
      <c r="V259" s="8">
        <f t="shared" si="450"/>
        <v>400</v>
      </c>
      <c r="W259" s="8">
        <f t="shared" si="450"/>
        <v>400</v>
      </c>
      <c r="X259" s="8">
        <f t="shared" si="450"/>
        <v>400</v>
      </c>
      <c r="Y259" s="8">
        <f t="shared" si="450"/>
        <v>400</v>
      </c>
      <c r="Z259" s="8">
        <f t="shared" si="450"/>
        <v>400</v>
      </c>
      <c r="AA259" s="8">
        <f t="shared" si="450"/>
        <v>400</v>
      </c>
      <c r="AB259" s="8">
        <f t="shared" si="450"/>
        <v>400</v>
      </c>
      <c r="AC259" s="8">
        <f t="shared" si="450"/>
        <v>400</v>
      </c>
      <c r="AD259" s="8" t="str">
        <f t="shared" si="450"/>
        <v/>
      </c>
      <c r="AE259" s="8" t="str">
        <f t="shared" si="450"/>
        <v/>
      </c>
      <c r="AF259" s="8" t="str">
        <f t="shared" si="450"/>
        <v/>
      </c>
      <c r="AG259" s="8" t="str">
        <f t="shared" si="450"/>
        <v/>
      </c>
      <c r="AH259" s="8" t="str">
        <f t="shared" si="450"/>
        <v/>
      </c>
      <c r="AI259" s="8" t="str">
        <f t="shared" si="450"/>
        <v/>
      </c>
      <c r="AJ259" s="8" t="str">
        <f t="shared" si="450"/>
        <v/>
      </c>
      <c r="AK259" s="8" t="str">
        <f t="shared" si="450"/>
        <v/>
      </c>
      <c r="AL259" s="8" t="str">
        <f t="shared" si="450"/>
        <v/>
      </c>
      <c r="AM259" s="8" t="str">
        <f t="shared" si="450"/>
        <v/>
      </c>
      <c r="AN259" s="8" t="str">
        <f t="shared" si="450"/>
        <v/>
      </c>
      <c r="AO259" s="8" t="str">
        <f t="shared" ref="AO259:AS259" si="451">IF(AO255="","",AN259)</f>
        <v/>
      </c>
      <c r="AP259" s="8" t="str">
        <f t="shared" si="451"/>
        <v/>
      </c>
      <c r="AQ259" s="8" t="str">
        <f t="shared" si="451"/>
        <v/>
      </c>
      <c r="AR259" s="8" t="str">
        <f t="shared" si="451"/>
        <v/>
      </c>
      <c r="AS259" s="8" t="str">
        <f t="shared" si="451"/>
        <v/>
      </c>
    </row>
    <row r="260" spans="1:45" s="94" customFormat="1" ht="11">
      <c r="A260" s="14" t="s">
        <v>9</v>
      </c>
      <c r="B260" s="13" t="s">
        <v>10</v>
      </c>
      <c r="C260" s="75" t="s">
        <v>26</v>
      </c>
      <c r="D260" s="12" t="str">
        <f t="shared" ref="D260:AN260" si="452">IF(D255="","",C260)</f>
        <v>たまごっちマスコット</v>
      </c>
      <c r="E260" s="12" t="str">
        <f t="shared" si="452"/>
        <v>たまごっちマスコット</v>
      </c>
      <c r="F260" s="131" t="str">
        <f t="shared" si="452"/>
        <v>たまごっちマスコット</v>
      </c>
      <c r="G260" s="12" t="str">
        <f t="shared" si="452"/>
        <v>たまごっちマスコット</v>
      </c>
      <c r="H260" s="12" t="str">
        <f t="shared" si="452"/>
        <v>たまごっちマスコット</v>
      </c>
      <c r="I260" s="131" t="str">
        <f t="shared" si="452"/>
        <v>たまごっちマスコット</v>
      </c>
      <c r="J260" s="12" t="str">
        <f t="shared" si="452"/>
        <v>たまごっちマスコット</v>
      </c>
      <c r="K260" s="12" t="str">
        <f t="shared" si="452"/>
        <v>たまごっちマスコット</v>
      </c>
      <c r="L260" s="12" t="str">
        <f t="shared" si="452"/>
        <v>たまごっちマスコット</v>
      </c>
      <c r="M260" s="131" t="str">
        <f t="shared" si="452"/>
        <v>たまごっちマスコット</v>
      </c>
      <c r="N260" s="12" t="str">
        <f t="shared" si="452"/>
        <v>たまごっちマスコット</v>
      </c>
      <c r="O260" s="12" t="str">
        <f t="shared" si="452"/>
        <v>たまごっちマスコット</v>
      </c>
      <c r="P260" s="12" t="str">
        <f t="shared" si="452"/>
        <v>たまごっちマスコット</v>
      </c>
      <c r="Q260" s="12" t="str">
        <f t="shared" si="452"/>
        <v>たまごっちマスコット</v>
      </c>
      <c r="R260" s="12" t="str">
        <f t="shared" si="452"/>
        <v>たまごっちマスコット</v>
      </c>
      <c r="S260" s="12" t="str">
        <f t="shared" si="452"/>
        <v>たまごっちマスコット</v>
      </c>
      <c r="T260" s="12" t="str">
        <f t="shared" si="452"/>
        <v>たまごっちマスコット</v>
      </c>
      <c r="U260" s="12" t="str">
        <f t="shared" si="452"/>
        <v>たまごっちマスコット</v>
      </c>
      <c r="V260" s="12" t="str">
        <f t="shared" si="452"/>
        <v>たまごっちマスコット</v>
      </c>
      <c r="W260" s="12" t="str">
        <f t="shared" si="452"/>
        <v>たまごっちマスコット</v>
      </c>
      <c r="X260" s="12" t="str">
        <f t="shared" si="452"/>
        <v>たまごっちマスコット</v>
      </c>
      <c r="Y260" s="12" t="str">
        <f t="shared" si="452"/>
        <v>たまごっちマスコット</v>
      </c>
      <c r="Z260" s="12" t="str">
        <f t="shared" si="452"/>
        <v>たまごっちマスコット</v>
      </c>
      <c r="AA260" s="12" t="str">
        <f t="shared" si="452"/>
        <v>たまごっちマスコット</v>
      </c>
      <c r="AB260" s="12" t="str">
        <f t="shared" si="452"/>
        <v>たまごっちマスコット</v>
      </c>
      <c r="AC260" s="12" t="str">
        <f t="shared" si="452"/>
        <v>たまごっちマスコット</v>
      </c>
      <c r="AD260" s="12" t="str">
        <f t="shared" si="452"/>
        <v/>
      </c>
      <c r="AE260" s="12" t="str">
        <f t="shared" si="452"/>
        <v/>
      </c>
      <c r="AF260" s="12" t="str">
        <f t="shared" si="452"/>
        <v/>
      </c>
      <c r="AG260" s="12" t="str">
        <f t="shared" si="452"/>
        <v/>
      </c>
      <c r="AH260" s="12" t="str">
        <f t="shared" si="452"/>
        <v/>
      </c>
      <c r="AI260" s="12" t="str">
        <f t="shared" si="452"/>
        <v/>
      </c>
      <c r="AJ260" s="12" t="str">
        <f t="shared" si="452"/>
        <v/>
      </c>
      <c r="AK260" s="12" t="str">
        <f t="shared" si="452"/>
        <v/>
      </c>
      <c r="AL260" s="12" t="str">
        <f t="shared" si="452"/>
        <v/>
      </c>
      <c r="AM260" s="12" t="str">
        <f t="shared" si="452"/>
        <v/>
      </c>
      <c r="AN260" s="12" t="str">
        <f t="shared" si="452"/>
        <v/>
      </c>
      <c r="AO260" s="12" t="str">
        <f t="shared" ref="AO260:AS260" si="453">IF(AO255="","",AN260)</f>
        <v/>
      </c>
      <c r="AP260" s="12" t="str">
        <f t="shared" si="453"/>
        <v/>
      </c>
      <c r="AQ260" s="12" t="str">
        <f t="shared" si="453"/>
        <v/>
      </c>
      <c r="AR260" s="12" t="str">
        <f t="shared" si="453"/>
        <v/>
      </c>
      <c r="AS260" s="12" t="str">
        <f t="shared" si="453"/>
        <v/>
      </c>
    </row>
    <row r="261" spans="1:45" s="93" customFormat="1" ht="11">
      <c r="A261" s="7">
        <f>AVERAGE(C262:AS262)*30*100</f>
        <v>173444.44444444447</v>
      </c>
      <c r="B261" s="9" t="s">
        <v>14</v>
      </c>
      <c r="C261" s="74"/>
      <c r="D261" s="8"/>
      <c r="E261" s="8"/>
      <c r="F261" s="59"/>
      <c r="G261" s="8"/>
      <c r="H261" s="8"/>
      <c r="I261" s="59"/>
      <c r="J261" s="8"/>
      <c r="K261" s="8"/>
      <c r="L261" s="8"/>
      <c r="M261" s="59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</row>
    <row r="262" spans="1:45" s="93" customFormat="1" ht="11">
      <c r="A262" s="7">
        <f>SUM(C262:AS262)</f>
        <v>1561</v>
      </c>
      <c r="B262" s="6" t="s">
        <v>15</v>
      </c>
      <c r="C262" s="74">
        <v>0</v>
      </c>
      <c r="D262" s="5">
        <f t="shared" ref="D262:AN262" si="454">IF(D255="","",D255-C255)</f>
        <v>0</v>
      </c>
      <c r="E262" s="5">
        <f t="shared" si="454"/>
        <v>177</v>
      </c>
      <c r="F262" s="59">
        <f t="shared" si="454"/>
        <v>0</v>
      </c>
      <c r="G262" s="5">
        <f t="shared" si="454"/>
        <v>0</v>
      </c>
      <c r="H262" s="5">
        <f t="shared" si="454"/>
        <v>387</v>
      </c>
      <c r="I262" s="59">
        <f t="shared" si="454"/>
        <v>0</v>
      </c>
      <c r="J262" s="5">
        <f t="shared" si="454"/>
        <v>0</v>
      </c>
      <c r="K262" s="5">
        <f t="shared" si="454"/>
        <v>0</v>
      </c>
      <c r="L262" s="5">
        <f t="shared" si="454"/>
        <v>149</v>
      </c>
      <c r="M262" s="59">
        <f t="shared" si="454"/>
        <v>0</v>
      </c>
      <c r="N262" s="5">
        <f t="shared" si="454"/>
        <v>0</v>
      </c>
      <c r="O262" s="5">
        <f t="shared" si="454"/>
        <v>242</v>
      </c>
      <c r="P262" s="5">
        <f t="shared" si="454"/>
        <v>0</v>
      </c>
      <c r="Q262" s="5">
        <f t="shared" si="454"/>
        <v>0</v>
      </c>
      <c r="R262" s="5">
        <f t="shared" si="454"/>
        <v>0</v>
      </c>
      <c r="S262" s="5">
        <f t="shared" si="454"/>
        <v>0</v>
      </c>
      <c r="T262" s="5">
        <f t="shared" si="454"/>
        <v>112</v>
      </c>
      <c r="U262" s="5">
        <f t="shared" si="454"/>
        <v>0</v>
      </c>
      <c r="V262" s="5">
        <f t="shared" si="454"/>
        <v>149</v>
      </c>
      <c r="W262" s="5">
        <f t="shared" si="454"/>
        <v>0</v>
      </c>
      <c r="X262" s="5">
        <f t="shared" si="454"/>
        <v>0</v>
      </c>
      <c r="Y262" s="5">
        <f t="shared" si="454"/>
        <v>0</v>
      </c>
      <c r="Z262" s="5">
        <f t="shared" si="454"/>
        <v>180</v>
      </c>
      <c r="AA262" s="5">
        <f t="shared" si="454"/>
        <v>0</v>
      </c>
      <c r="AB262" s="5">
        <f t="shared" si="454"/>
        <v>0</v>
      </c>
      <c r="AC262" s="5">
        <f t="shared" si="454"/>
        <v>165</v>
      </c>
      <c r="AD262" s="5" t="str">
        <f t="shared" si="454"/>
        <v/>
      </c>
      <c r="AE262" s="5" t="str">
        <f t="shared" si="454"/>
        <v/>
      </c>
      <c r="AF262" s="5" t="str">
        <f t="shared" si="454"/>
        <v/>
      </c>
      <c r="AG262" s="5" t="str">
        <f t="shared" si="454"/>
        <v/>
      </c>
      <c r="AH262" s="5" t="str">
        <f t="shared" si="454"/>
        <v/>
      </c>
      <c r="AI262" s="5" t="str">
        <f t="shared" si="454"/>
        <v/>
      </c>
      <c r="AJ262" s="5" t="str">
        <f t="shared" si="454"/>
        <v/>
      </c>
      <c r="AK262" s="5" t="str">
        <f t="shared" si="454"/>
        <v/>
      </c>
      <c r="AL262" s="5" t="str">
        <f t="shared" si="454"/>
        <v/>
      </c>
      <c r="AM262" s="5" t="str">
        <f t="shared" si="454"/>
        <v/>
      </c>
      <c r="AN262" s="5" t="str">
        <f t="shared" si="454"/>
        <v/>
      </c>
      <c r="AO262" s="5" t="str">
        <f t="shared" ref="AO262:AS262" si="455">IF(AO255="","",AO255-AN255)</f>
        <v/>
      </c>
      <c r="AP262" s="5" t="str">
        <f t="shared" si="455"/>
        <v/>
      </c>
      <c r="AQ262" s="5" t="str">
        <f t="shared" si="455"/>
        <v/>
      </c>
      <c r="AR262" s="5" t="str">
        <f t="shared" si="455"/>
        <v/>
      </c>
      <c r="AS262" s="5" t="str">
        <f t="shared" si="455"/>
        <v/>
      </c>
    </row>
    <row r="263" spans="1:45" s="93" customFormat="1" ht="11">
      <c r="A263" s="7">
        <f>SUM(C263:AS263)</f>
        <v>18</v>
      </c>
      <c r="B263" s="6" t="s">
        <v>16</v>
      </c>
      <c r="C263" s="74">
        <v>0</v>
      </c>
      <c r="D263" s="5">
        <f t="shared" ref="D263:AN263" si="456">IF(D256="","",D256-C256)</f>
        <v>0</v>
      </c>
      <c r="E263" s="5">
        <f t="shared" si="456"/>
        <v>3</v>
      </c>
      <c r="F263" s="59">
        <f t="shared" si="456"/>
        <v>0</v>
      </c>
      <c r="G263" s="5">
        <f t="shared" si="456"/>
        <v>0</v>
      </c>
      <c r="H263" s="5">
        <f t="shared" si="456"/>
        <v>5</v>
      </c>
      <c r="I263" s="59">
        <f t="shared" si="456"/>
        <v>0</v>
      </c>
      <c r="J263" s="5">
        <f t="shared" si="456"/>
        <v>0</v>
      </c>
      <c r="K263" s="5">
        <f t="shared" si="456"/>
        <v>0</v>
      </c>
      <c r="L263" s="5">
        <f t="shared" si="456"/>
        <v>0</v>
      </c>
      <c r="M263" s="59">
        <f t="shared" si="456"/>
        <v>0</v>
      </c>
      <c r="N263" s="5">
        <f t="shared" si="456"/>
        <v>0</v>
      </c>
      <c r="O263" s="5">
        <f t="shared" si="456"/>
        <v>5</v>
      </c>
      <c r="P263" s="5">
        <f t="shared" si="456"/>
        <v>0</v>
      </c>
      <c r="Q263" s="5">
        <f t="shared" si="456"/>
        <v>0</v>
      </c>
      <c r="R263" s="5">
        <f t="shared" si="456"/>
        <v>0</v>
      </c>
      <c r="S263" s="5">
        <f t="shared" si="456"/>
        <v>0</v>
      </c>
      <c r="T263" s="5">
        <f t="shared" si="456"/>
        <v>2</v>
      </c>
      <c r="U263" s="5">
        <f t="shared" si="456"/>
        <v>0</v>
      </c>
      <c r="V263" s="5">
        <f t="shared" si="456"/>
        <v>2</v>
      </c>
      <c r="W263" s="5">
        <f t="shared" si="456"/>
        <v>0</v>
      </c>
      <c r="X263" s="5">
        <f t="shared" si="456"/>
        <v>0</v>
      </c>
      <c r="Y263" s="5">
        <f t="shared" si="456"/>
        <v>0</v>
      </c>
      <c r="Z263" s="5">
        <f t="shared" si="456"/>
        <v>1</v>
      </c>
      <c r="AA263" s="5">
        <f t="shared" si="456"/>
        <v>0</v>
      </c>
      <c r="AB263" s="5">
        <f t="shared" si="456"/>
        <v>0</v>
      </c>
      <c r="AC263" s="5">
        <f t="shared" si="456"/>
        <v>0</v>
      </c>
      <c r="AD263" s="5" t="str">
        <f t="shared" si="456"/>
        <v/>
      </c>
      <c r="AE263" s="5" t="str">
        <f t="shared" si="456"/>
        <v/>
      </c>
      <c r="AF263" s="5" t="str">
        <f t="shared" si="456"/>
        <v/>
      </c>
      <c r="AG263" s="5" t="str">
        <f t="shared" si="456"/>
        <v/>
      </c>
      <c r="AH263" s="5" t="str">
        <f t="shared" si="456"/>
        <v/>
      </c>
      <c r="AI263" s="5" t="str">
        <f t="shared" si="456"/>
        <v/>
      </c>
      <c r="AJ263" s="5" t="str">
        <f t="shared" si="456"/>
        <v/>
      </c>
      <c r="AK263" s="5" t="str">
        <f t="shared" si="456"/>
        <v/>
      </c>
      <c r="AL263" s="5" t="str">
        <f t="shared" si="456"/>
        <v/>
      </c>
      <c r="AM263" s="5" t="str">
        <f t="shared" si="456"/>
        <v/>
      </c>
      <c r="AN263" s="5" t="str">
        <f t="shared" si="456"/>
        <v/>
      </c>
      <c r="AO263" s="5" t="str">
        <f t="shared" ref="AO263:AS263" si="457">IF(AO256="","",AO256-AN256)</f>
        <v/>
      </c>
      <c r="AP263" s="5" t="str">
        <f t="shared" si="457"/>
        <v/>
      </c>
      <c r="AQ263" s="5" t="str">
        <f t="shared" si="457"/>
        <v/>
      </c>
      <c r="AR263" s="5" t="str">
        <f t="shared" si="457"/>
        <v/>
      </c>
      <c r="AS263" s="5" t="str">
        <f t="shared" si="457"/>
        <v/>
      </c>
    </row>
    <row r="264" spans="1:45" s="93" customFormat="1" ht="11">
      <c r="A264" s="7">
        <f>SUM(C264:AS264)</f>
        <v>5</v>
      </c>
      <c r="B264" s="6" t="s">
        <v>17</v>
      </c>
      <c r="C264" s="74">
        <v>0</v>
      </c>
      <c r="D264" s="5">
        <f t="shared" ref="D264:AN264" si="458">IF(D257="","",C257+C258-D257)</f>
        <v>0</v>
      </c>
      <c r="E264" s="5">
        <f t="shared" si="458"/>
        <v>2</v>
      </c>
      <c r="F264" s="59">
        <f t="shared" si="458"/>
        <v>0</v>
      </c>
      <c r="G264" s="5">
        <f t="shared" si="458"/>
        <v>0</v>
      </c>
      <c r="H264" s="5">
        <f t="shared" si="458"/>
        <v>0</v>
      </c>
      <c r="I264" s="59">
        <f t="shared" si="458"/>
        <v>0</v>
      </c>
      <c r="J264" s="5">
        <f t="shared" si="458"/>
        <v>0</v>
      </c>
      <c r="K264" s="5">
        <f t="shared" si="458"/>
        <v>0</v>
      </c>
      <c r="L264" s="5">
        <f t="shared" si="458"/>
        <v>1</v>
      </c>
      <c r="M264" s="59">
        <f t="shared" si="458"/>
        <v>0</v>
      </c>
      <c r="N264" s="5">
        <f t="shared" si="458"/>
        <v>0</v>
      </c>
      <c r="O264" s="5">
        <f t="shared" si="458"/>
        <v>0</v>
      </c>
      <c r="P264" s="5">
        <f t="shared" si="458"/>
        <v>0</v>
      </c>
      <c r="Q264" s="5">
        <f t="shared" si="458"/>
        <v>0</v>
      </c>
      <c r="R264" s="5">
        <f t="shared" si="458"/>
        <v>0</v>
      </c>
      <c r="S264" s="5">
        <f t="shared" si="458"/>
        <v>0</v>
      </c>
      <c r="T264" s="5">
        <f t="shared" si="458"/>
        <v>0</v>
      </c>
      <c r="U264" s="5">
        <f t="shared" si="458"/>
        <v>0</v>
      </c>
      <c r="V264" s="5">
        <f t="shared" si="458"/>
        <v>1</v>
      </c>
      <c r="W264" s="5">
        <f t="shared" si="458"/>
        <v>0</v>
      </c>
      <c r="X264" s="5">
        <f t="shared" si="458"/>
        <v>0</v>
      </c>
      <c r="Y264" s="5">
        <f t="shared" si="458"/>
        <v>0</v>
      </c>
      <c r="Z264" s="5">
        <f t="shared" si="458"/>
        <v>1</v>
      </c>
      <c r="AA264" s="5">
        <f t="shared" si="458"/>
        <v>0</v>
      </c>
      <c r="AB264" s="5">
        <f t="shared" si="458"/>
        <v>0</v>
      </c>
      <c r="AC264" s="5">
        <f t="shared" si="458"/>
        <v>0</v>
      </c>
      <c r="AD264" s="5" t="str">
        <f t="shared" si="458"/>
        <v/>
      </c>
      <c r="AE264" s="5" t="str">
        <f t="shared" si="458"/>
        <v/>
      </c>
      <c r="AF264" s="5" t="str">
        <f t="shared" si="458"/>
        <v/>
      </c>
      <c r="AG264" s="5" t="str">
        <f t="shared" si="458"/>
        <v/>
      </c>
      <c r="AH264" s="5" t="str">
        <f t="shared" si="458"/>
        <v/>
      </c>
      <c r="AI264" s="5" t="str">
        <f t="shared" si="458"/>
        <v/>
      </c>
      <c r="AJ264" s="5" t="str">
        <f t="shared" si="458"/>
        <v/>
      </c>
      <c r="AK264" s="5" t="str">
        <f t="shared" si="458"/>
        <v/>
      </c>
      <c r="AL264" s="5" t="str">
        <f t="shared" si="458"/>
        <v/>
      </c>
      <c r="AM264" s="5" t="str">
        <f t="shared" si="458"/>
        <v/>
      </c>
      <c r="AN264" s="5" t="str">
        <f t="shared" si="458"/>
        <v/>
      </c>
      <c r="AO264" s="5" t="str">
        <f t="shared" ref="AO264:AS264" si="459">IF(AO257="","",AN257+AN258-AO257)</f>
        <v/>
      </c>
      <c r="AP264" s="5" t="str">
        <f t="shared" si="459"/>
        <v/>
      </c>
      <c r="AQ264" s="5" t="str">
        <f t="shared" si="459"/>
        <v/>
      </c>
      <c r="AR264" s="5" t="str">
        <f t="shared" si="459"/>
        <v/>
      </c>
      <c r="AS264" s="5" t="str">
        <f t="shared" si="459"/>
        <v/>
      </c>
    </row>
    <row r="265" spans="1:45" s="93" customFormat="1" ht="11">
      <c r="A265" s="7">
        <f>SUM(C265:AS265)</f>
        <v>2000</v>
      </c>
      <c r="B265" s="6" t="s">
        <v>18</v>
      </c>
      <c r="C265" s="74">
        <v>0</v>
      </c>
      <c r="D265" s="5">
        <f t="shared" ref="D265:AN265" si="460">IF(D255="","",D264*D259)</f>
        <v>0</v>
      </c>
      <c r="E265" s="5">
        <f t="shared" si="460"/>
        <v>800</v>
      </c>
      <c r="F265" s="59">
        <f t="shared" si="460"/>
        <v>0</v>
      </c>
      <c r="G265" s="5">
        <f t="shared" si="460"/>
        <v>0</v>
      </c>
      <c r="H265" s="5">
        <f t="shared" si="460"/>
        <v>0</v>
      </c>
      <c r="I265" s="59">
        <f t="shared" si="460"/>
        <v>0</v>
      </c>
      <c r="J265" s="5">
        <f t="shared" si="460"/>
        <v>0</v>
      </c>
      <c r="K265" s="5">
        <f t="shared" si="460"/>
        <v>0</v>
      </c>
      <c r="L265" s="5">
        <f t="shared" si="460"/>
        <v>400</v>
      </c>
      <c r="M265" s="59">
        <f t="shared" si="460"/>
        <v>0</v>
      </c>
      <c r="N265" s="5">
        <f t="shared" si="460"/>
        <v>0</v>
      </c>
      <c r="O265" s="5">
        <f t="shared" si="460"/>
        <v>0</v>
      </c>
      <c r="P265" s="5">
        <f t="shared" si="460"/>
        <v>0</v>
      </c>
      <c r="Q265" s="5">
        <f t="shared" si="460"/>
        <v>0</v>
      </c>
      <c r="R265" s="5">
        <f t="shared" si="460"/>
        <v>0</v>
      </c>
      <c r="S265" s="5">
        <f t="shared" si="460"/>
        <v>0</v>
      </c>
      <c r="T265" s="5">
        <f t="shared" si="460"/>
        <v>0</v>
      </c>
      <c r="U265" s="5">
        <f t="shared" si="460"/>
        <v>0</v>
      </c>
      <c r="V265" s="5">
        <f t="shared" si="460"/>
        <v>400</v>
      </c>
      <c r="W265" s="5">
        <f t="shared" si="460"/>
        <v>0</v>
      </c>
      <c r="X265" s="5">
        <f t="shared" si="460"/>
        <v>0</v>
      </c>
      <c r="Y265" s="5">
        <f t="shared" si="460"/>
        <v>0</v>
      </c>
      <c r="Z265" s="5">
        <f t="shared" si="460"/>
        <v>400</v>
      </c>
      <c r="AA265" s="5">
        <f t="shared" si="460"/>
        <v>0</v>
      </c>
      <c r="AB265" s="5">
        <f t="shared" si="460"/>
        <v>0</v>
      </c>
      <c r="AC265" s="5">
        <f t="shared" si="460"/>
        <v>0</v>
      </c>
      <c r="AD265" s="5" t="str">
        <f t="shared" si="460"/>
        <v/>
      </c>
      <c r="AE265" s="5" t="str">
        <f t="shared" si="460"/>
        <v/>
      </c>
      <c r="AF265" s="5" t="str">
        <f t="shared" si="460"/>
        <v/>
      </c>
      <c r="AG265" s="5" t="str">
        <f t="shared" si="460"/>
        <v/>
      </c>
      <c r="AH265" s="5" t="str">
        <f t="shared" si="460"/>
        <v/>
      </c>
      <c r="AI265" s="5" t="str">
        <f t="shared" si="460"/>
        <v/>
      </c>
      <c r="AJ265" s="5" t="str">
        <f t="shared" si="460"/>
        <v/>
      </c>
      <c r="AK265" s="5" t="str">
        <f t="shared" si="460"/>
        <v/>
      </c>
      <c r="AL265" s="5" t="str">
        <f t="shared" si="460"/>
        <v/>
      </c>
      <c r="AM265" s="5" t="str">
        <f t="shared" si="460"/>
        <v/>
      </c>
      <c r="AN265" s="5" t="str">
        <f t="shared" si="460"/>
        <v/>
      </c>
      <c r="AO265" s="5" t="str">
        <f t="shared" ref="AO265:AS265" si="461">IF(AO255="","",AO264*AO259)</f>
        <v/>
      </c>
      <c r="AP265" s="5" t="str">
        <f t="shared" si="461"/>
        <v/>
      </c>
      <c r="AQ265" s="5" t="str">
        <f t="shared" si="461"/>
        <v/>
      </c>
      <c r="AR265" s="5" t="str">
        <f t="shared" si="461"/>
        <v/>
      </c>
      <c r="AS265" s="5" t="str">
        <f t="shared" si="461"/>
        <v/>
      </c>
    </row>
    <row r="266" spans="1:45" s="93" customFormat="1" ht="12" thickBot="1">
      <c r="A266" s="4">
        <f>IF(A265="","",A265/(A262*100))</f>
        <v>1.2812299807815503E-2</v>
      </c>
      <c r="B266" s="3" t="s">
        <v>20</v>
      </c>
      <c r="C266" s="77" t="s">
        <v>21</v>
      </c>
      <c r="D266" s="2" t="str">
        <f t="shared" ref="D266:AN266" si="462">IF(D265="","",IF(D265=0,"",D265/(D262*100)))</f>
        <v/>
      </c>
      <c r="E266" s="2">
        <f t="shared" si="462"/>
        <v>4.519774011299435E-2</v>
      </c>
      <c r="F266" s="57" t="str">
        <f t="shared" si="462"/>
        <v/>
      </c>
      <c r="G266" s="2" t="str">
        <f t="shared" si="462"/>
        <v/>
      </c>
      <c r="H266" s="2" t="str">
        <f t="shared" si="462"/>
        <v/>
      </c>
      <c r="I266" s="57" t="str">
        <f t="shared" si="462"/>
        <v/>
      </c>
      <c r="J266" s="2" t="str">
        <f t="shared" si="462"/>
        <v/>
      </c>
      <c r="K266" s="2" t="str">
        <f t="shared" si="462"/>
        <v/>
      </c>
      <c r="L266" s="2">
        <f t="shared" si="462"/>
        <v>2.6845637583892617E-2</v>
      </c>
      <c r="M266" s="57" t="str">
        <f t="shared" si="462"/>
        <v/>
      </c>
      <c r="N266" s="2" t="str">
        <f t="shared" si="462"/>
        <v/>
      </c>
      <c r="O266" s="2" t="str">
        <f t="shared" si="462"/>
        <v/>
      </c>
      <c r="P266" s="2" t="str">
        <f t="shared" si="462"/>
        <v/>
      </c>
      <c r="Q266" s="2" t="str">
        <f t="shared" si="462"/>
        <v/>
      </c>
      <c r="R266" s="2" t="str">
        <f t="shared" si="462"/>
        <v/>
      </c>
      <c r="S266" s="2" t="str">
        <f t="shared" si="462"/>
        <v/>
      </c>
      <c r="T266" s="2" t="str">
        <f t="shared" si="462"/>
        <v/>
      </c>
      <c r="U266" s="2" t="str">
        <f t="shared" si="462"/>
        <v/>
      </c>
      <c r="V266" s="2">
        <f t="shared" si="462"/>
        <v>2.6845637583892617E-2</v>
      </c>
      <c r="W266" s="2" t="str">
        <f t="shared" si="462"/>
        <v/>
      </c>
      <c r="X266" s="2" t="str">
        <f t="shared" si="462"/>
        <v/>
      </c>
      <c r="Y266" s="2" t="str">
        <f t="shared" si="462"/>
        <v/>
      </c>
      <c r="Z266" s="2">
        <f t="shared" si="462"/>
        <v>2.2222222222222223E-2</v>
      </c>
      <c r="AA266" s="2" t="str">
        <f t="shared" si="462"/>
        <v/>
      </c>
      <c r="AB266" s="2" t="str">
        <f t="shared" si="462"/>
        <v/>
      </c>
      <c r="AC266" s="2" t="str">
        <f t="shared" si="462"/>
        <v/>
      </c>
      <c r="AD266" s="2" t="str">
        <f t="shared" si="462"/>
        <v/>
      </c>
      <c r="AE266" s="2" t="str">
        <f t="shared" si="462"/>
        <v/>
      </c>
      <c r="AF266" s="2" t="str">
        <f t="shared" si="462"/>
        <v/>
      </c>
      <c r="AG266" s="2" t="str">
        <f t="shared" si="462"/>
        <v/>
      </c>
      <c r="AH266" s="2" t="str">
        <f t="shared" si="462"/>
        <v/>
      </c>
      <c r="AI266" s="2" t="str">
        <f t="shared" si="462"/>
        <v/>
      </c>
      <c r="AJ266" s="2" t="str">
        <f t="shared" si="462"/>
        <v/>
      </c>
      <c r="AK266" s="2" t="str">
        <f t="shared" si="462"/>
        <v/>
      </c>
      <c r="AL266" s="2" t="str">
        <f t="shared" si="462"/>
        <v/>
      </c>
      <c r="AM266" s="2" t="str">
        <f t="shared" si="462"/>
        <v/>
      </c>
      <c r="AN266" s="2" t="str">
        <f t="shared" si="462"/>
        <v/>
      </c>
      <c r="AO266" s="2" t="str">
        <f t="shared" ref="AO266:AS266" si="463">IF(AO265="","",IF(AO265=0,"",AO265/(AO262*100)))</f>
        <v/>
      </c>
      <c r="AP266" s="2" t="str">
        <f t="shared" si="463"/>
        <v/>
      </c>
      <c r="AQ266" s="2" t="str">
        <f t="shared" si="463"/>
        <v/>
      </c>
      <c r="AR266" s="2" t="str">
        <f t="shared" si="463"/>
        <v/>
      </c>
      <c r="AS266" s="2" t="str">
        <f t="shared" si="463"/>
        <v/>
      </c>
    </row>
    <row r="267" spans="1:45">
      <c r="A267" s="436" t="s">
        <v>430</v>
      </c>
      <c r="B267" s="437"/>
      <c r="C267" s="437">
        <v>1</v>
      </c>
      <c r="AE267">
        <v>1</v>
      </c>
    </row>
  </sheetData>
  <phoneticPr fontId="2"/>
  <conditionalFormatting sqref="A14">
    <cfRule type="cellIs" dxfId="86" priority="8" operator="greaterThan">
      <formula>0.25</formula>
    </cfRule>
  </conditionalFormatting>
  <conditionalFormatting sqref="A26">
    <cfRule type="cellIs" dxfId="85" priority="11" operator="greaterThan">
      <formula>0.25</formula>
    </cfRule>
  </conditionalFormatting>
  <conditionalFormatting sqref="A38">
    <cfRule type="cellIs" dxfId="84" priority="12" operator="greaterThan">
      <formula>0.25</formula>
    </cfRule>
  </conditionalFormatting>
  <conditionalFormatting sqref="A50">
    <cfRule type="cellIs" dxfId="83" priority="13" operator="greaterThan">
      <formula>0.25</formula>
    </cfRule>
  </conditionalFormatting>
  <conditionalFormatting sqref="A62">
    <cfRule type="cellIs" dxfId="82" priority="9" operator="greaterThan">
      <formula>0.25</formula>
    </cfRule>
  </conditionalFormatting>
  <conditionalFormatting sqref="A74">
    <cfRule type="cellIs" dxfId="81" priority="14" operator="greaterThan">
      <formula>0.25</formula>
    </cfRule>
  </conditionalFormatting>
  <conditionalFormatting sqref="A86">
    <cfRule type="cellIs" dxfId="80" priority="15" operator="greaterThan">
      <formula>0.25</formula>
    </cfRule>
  </conditionalFormatting>
  <conditionalFormatting sqref="A98">
    <cfRule type="cellIs" dxfId="79" priority="16" operator="greaterThan">
      <formula>0.25</formula>
    </cfRule>
  </conditionalFormatting>
  <conditionalFormatting sqref="A110">
    <cfRule type="cellIs" dxfId="78" priority="10" operator="greaterThan">
      <formula>0.25</formula>
    </cfRule>
  </conditionalFormatting>
  <conditionalFormatting sqref="A122">
    <cfRule type="cellIs" dxfId="77" priority="17" operator="greaterThan">
      <formula>0.25</formula>
    </cfRule>
  </conditionalFormatting>
  <conditionalFormatting sqref="A134">
    <cfRule type="cellIs" dxfId="76" priority="18" operator="greaterThan">
      <formula>0.25</formula>
    </cfRule>
  </conditionalFormatting>
  <conditionalFormatting sqref="A146">
    <cfRule type="cellIs" dxfId="75" priority="19" operator="greaterThan">
      <formula>0.25</formula>
    </cfRule>
  </conditionalFormatting>
  <conditionalFormatting sqref="A158">
    <cfRule type="cellIs" dxfId="74" priority="20" operator="greaterThan">
      <formula>0.25</formula>
    </cfRule>
  </conditionalFormatting>
  <conditionalFormatting sqref="A170">
    <cfRule type="cellIs" dxfId="73" priority="21" operator="greaterThan">
      <formula>0.25</formula>
    </cfRule>
  </conditionalFormatting>
  <conditionalFormatting sqref="A182">
    <cfRule type="cellIs" dxfId="72" priority="4" operator="greaterThan">
      <formula>0.25</formula>
    </cfRule>
  </conditionalFormatting>
  <conditionalFormatting sqref="A194">
    <cfRule type="cellIs" dxfId="71" priority="5" operator="greaterThan">
      <formula>0.25</formula>
    </cfRule>
  </conditionalFormatting>
  <conditionalFormatting sqref="A206">
    <cfRule type="cellIs" dxfId="70" priority="6" operator="greaterThan">
      <formula>0.25</formula>
    </cfRule>
  </conditionalFormatting>
  <conditionalFormatting sqref="A218 A266">
    <cfRule type="cellIs" dxfId="69" priority="7" operator="greaterThan">
      <formula>0.25</formula>
    </cfRule>
  </conditionalFormatting>
  <conditionalFormatting sqref="A230">
    <cfRule type="cellIs" dxfId="68" priority="1" operator="greaterThan">
      <formula>0.25</formula>
    </cfRule>
  </conditionalFormatting>
  <conditionalFormatting sqref="A242">
    <cfRule type="cellIs" dxfId="67" priority="2" operator="greaterThan">
      <formula>0.25</formula>
    </cfRule>
  </conditionalFormatting>
  <conditionalFormatting sqref="A254">
    <cfRule type="cellIs" dxfId="66" priority="3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60BA-839A-4C63-956B-264A63F0F525}">
  <dimension ref="A1:AS245"/>
  <sheetViews>
    <sheetView zoomScaleNormal="60" zoomScaleSheetLayoutView="10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Y3" sqref="Y3"/>
    </sheetView>
  </sheetViews>
  <sheetFormatPr baseColWidth="10" defaultColWidth="8.83203125" defaultRowHeight="15"/>
  <cols>
    <col min="6" max="39" width="9.1640625" bestFit="1" customWidth="1"/>
  </cols>
  <sheetData>
    <row r="1" spans="1:45" s="93" customFormat="1" ht="11">
      <c r="A1" s="416">
        <f>SUM(A9,A45,A57,A69,A81,A93,A105,A117,A129,A153,A141,A165,A177,A189,A201,A213,A225,A33,A21,A239,A249)</f>
        <v>2021250</v>
      </c>
      <c r="B1" s="49" t="s">
        <v>0</v>
      </c>
      <c r="C1" s="48">
        <v>46071</v>
      </c>
      <c r="D1" s="48">
        <f t="shared" ref="D1:AM1" si="0">C1+1</f>
        <v>46072</v>
      </c>
      <c r="E1" s="48">
        <f t="shared" si="0"/>
        <v>46073</v>
      </c>
      <c r="F1" s="48">
        <f t="shared" si="0"/>
        <v>46074</v>
      </c>
      <c r="G1" s="48">
        <f t="shared" si="0"/>
        <v>46075</v>
      </c>
      <c r="H1" s="48">
        <f t="shared" si="0"/>
        <v>46076</v>
      </c>
      <c r="I1" s="48">
        <f t="shared" si="0"/>
        <v>46077</v>
      </c>
      <c r="J1" s="48">
        <f t="shared" si="0"/>
        <v>46078</v>
      </c>
      <c r="K1" s="48">
        <f t="shared" si="0"/>
        <v>46079</v>
      </c>
      <c r="L1" s="48">
        <f t="shared" si="0"/>
        <v>46080</v>
      </c>
      <c r="M1" s="48">
        <f t="shared" si="0"/>
        <v>46081</v>
      </c>
      <c r="N1" s="48">
        <f t="shared" si="0"/>
        <v>46082</v>
      </c>
      <c r="O1" s="48">
        <f t="shared" si="0"/>
        <v>46083</v>
      </c>
      <c r="P1" s="48">
        <f t="shared" si="0"/>
        <v>46084</v>
      </c>
      <c r="Q1" s="48">
        <f t="shared" si="0"/>
        <v>46085</v>
      </c>
      <c r="R1" s="48">
        <f t="shared" si="0"/>
        <v>46086</v>
      </c>
      <c r="S1" s="48">
        <f t="shared" si="0"/>
        <v>46087</v>
      </c>
      <c r="T1" s="48">
        <f t="shared" si="0"/>
        <v>46088</v>
      </c>
      <c r="U1" s="48">
        <f t="shared" si="0"/>
        <v>46089</v>
      </c>
      <c r="V1" s="48">
        <f t="shared" si="0"/>
        <v>46090</v>
      </c>
      <c r="W1" s="48">
        <f t="shared" si="0"/>
        <v>46091</v>
      </c>
      <c r="X1" s="48">
        <f t="shared" si="0"/>
        <v>46092</v>
      </c>
      <c r="Y1" s="48">
        <f t="shared" si="0"/>
        <v>46093</v>
      </c>
      <c r="Z1" s="48">
        <f t="shared" si="0"/>
        <v>46094</v>
      </c>
      <c r="AA1" s="48">
        <f t="shared" si="0"/>
        <v>46095</v>
      </c>
      <c r="AB1" s="48">
        <f t="shared" si="0"/>
        <v>46096</v>
      </c>
      <c r="AC1" s="48">
        <f t="shared" si="0"/>
        <v>46097</v>
      </c>
      <c r="AD1" s="48">
        <f t="shared" si="0"/>
        <v>46098</v>
      </c>
      <c r="AE1" s="48">
        <f t="shared" si="0"/>
        <v>46099</v>
      </c>
      <c r="AF1" s="48">
        <f t="shared" si="0"/>
        <v>46100</v>
      </c>
      <c r="AG1" s="48">
        <f t="shared" si="0"/>
        <v>46101</v>
      </c>
      <c r="AH1" s="48">
        <f t="shared" si="0"/>
        <v>46102</v>
      </c>
      <c r="AI1" s="48">
        <f t="shared" si="0"/>
        <v>46103</v>
      </c>
      <c r="AJ1" s="48">
        <f t="shared" si="0"/>
        <v>46104</v>
      </c>
      <c r="AK1" s="48">
        <f t="shared" si="0"/>
        <v>46105</v>
      </c>
      <c r="AL1" s="48">
        <f t="shared" si="0"/>
        <v>46106</v>
      </c>
      <c r="AM1" s="48">
        <f t="shared" si="0"/>
        <v>46107</v>
      </c>
      <c r="AN1" s="48">
        <f t="shared" ref="AN1:AS1" si="1">AM1+1</f>
        <v>46108</v>
      </c>
      <c r="AO1" s="48">
        <f t="shared" si="1"/>
        <v>46109</v>
      </c>
      <c r="AP1" s="48">
        <f t="shared" si="1"/>
        <v>46110</v>
      </c>
      <c r="AQ1" s="48">
        <f t="shared" si="1"/>
        <v>46111</v>
      </c>
      <c r="AR1" s="48">
        <f t="shared" si="1"/>
        <v>46112</v>
      </c>
      <c r="AS1" s="48">
        <f t="shared" si="1"/>
        <v>46113</v>
      </c>
    </row>
    <row r="2" spans="1:45" s="93" customFormat="1" ht="12" thickBot="1">
      <c r="A2" s="47"/>
      <c r="B2" s="46">
        <f>SUM(C2:AO2)</f>
        <v>18865</v>
      </c>
      <c r="C2" s="115">
        <v>0</v>
      </c>
      <c r="D2" s="45">
        <f t="shared" ref="D2:AM2" si="2">SUM(D10,D22,D34,D46,D58,D70,D82,D94,D106,D118,D130,D142,D154,D166,D178,D190,D202,D214,D226,D240)</f>
        <v>0</v>
      </c>
      <c r="E2" s="45">
        <f t="shared" si="2"/>
        <v>1749</v>
      </c>
      <c r="F2" s="126">
        <f t="shared" si="2"/>
        <v>0</v>
      </c>
      <c r="G2" s="45">
        <f t="shared" si="2"/>
        <v>0</v>
      </c>
      <c r="H2" s="45">
        <f t="shared" si="2"/>
        <v>3085</v>
      </c>
      <c r="I2" s="126">
        <f t="shared" si="2"/>
        <v>0</v>
      </c>
      <c r="J2" s="45">
        <f t="shared" si="2"/>
        <v>0</v>
      </c>
      <c r="K2" s="45">
        <f t="shared" si="2"/>
        <v>0</v>
      </c>
      <c r="L2" s="45">
        <f t="shared" si="2"/>
        <v>2713</v>
      </c>
      <c r="M2" s="45">
        <f t="shared" si="2"/>
        <v>0</v>
      </c>
      <c r="N2" s="45">
        <f t="shared" si="2"/>
        <v>0</v>
      </c>
      <c r="O2" s="45">
        <f t="shared" si="2"/>
        <v>2726</v>
      </c>
      <c r="P2" s="45">
        <f t="shared" si="2"/>
        <v>0</v>
      </c>
      <c r="Q2" s="45">
        <f t="shared" si="2"/>
        <v>0</v>
      </c>
      <c r="R2" s="45">
        <f t="shared" si="2"/>
        <v>0</v>
      </c>
      <c r="S2" s="45">
        <f t="shared" si="2"/>
        <v>2078</v>
      </c>
      <c r="T2" s="45">
        <f t="shared" si="2"/>
        <v>0</v>
      </c>
      <c r="U2" s="45">
        <f t="shared" si="2"/>
        <v>0</v>
      </c>
      <c r="V2" s="45">
        <f t="shared" si="2"/>
        <v>2201</v>
      </c>
      <c r="W2" s="45">
        <f t="shared" si="2"/>
        <v>0</v>
      </c>
      <c r="X2" s="45">
        <f t="shared" si="2"/>
        <v>0</v>
      </c>
      <c r="Y2" s="45">
        <f t="shared" si="2"/>
        <v>0</v>
      </c>
      <c r="Z2" s="45">
        <f t="shared" si="2"/>
        <v>1391</v>
      </c>
      <c r="AA2" s="45">
        <f t="shared" si="2"/>
        <v>0</v>
      </c>
      <c r="AB2" s="45">
        <f t="shared" si="2"/>
        <v>0</v>
      </c>
      <c r="AC2" s="45">
        <f t="shared" si="2"/>
        <v>0</v>
      </c>
      <c r="AD2" s="45">
        <f t="shared" si="2"/>
        <v>2922</v>
      </c>
      <c r="AE2" s="45">
        <f t="shared" si="2"/>
        <v>0</v>
      </c>
      <c r="AF2" s="45">
        <f t="shared" si="2"/>
        <v>0</v>
      </c>
      <c r="AG2" s="45">
        <f t="shared" si="2"/>
        <v>0</v>
      </c>
      <c r="AH2" s="45">
        <f t="shared" si="2"/>
        <v>0</v>
      </c>
      <c r="AI2" s="45">
        <f t="shared" si="2"/>
        <v>0</v>
      </c>
      <c r="AJ2" s="45">
        <f t="shared" si="2"/>
        <v>0</v>
      </c>
      <c r="AK2" s="45">
        <f t="shared" si="2"/>
        <v>0</v>
      </c>
      <c r="AL2" s="45">
        <f t="shared" si="2"/>
        <v>0</v>
      </c>
      <c r="AM2" s="45">
        <f t="shared" si="2"/>
        <v>0</v>
      </c>
      <c r="AN2" s="45">
        <f t="shared" ref="AN2:AS2" si="3">SUM(AN10,AN22,AN34,AN46,AN58,AN70,AN82,AN94,AN106,AN118,AN130,AN142,AN154,AN166,AN178,AN190,AN202,AN214,AN226,AN240)</f>
        <v>0</v>
      </c>
      <c r="AO2" s="45">
        <f t="shared" si="3"/>
        <v>0</v>
      </c>
      <c r="AP2" s="45">
        <f t="shared" si="3"/>
        <v>0</v>
      </c>
      <c r="AQ2" s="45">
        <f t="shared" si="3"/>
        <v>0</v>
      </c>
      <c r="AR2" s="45">
        <f t="shared" si="3"/>
        <v>0</v>
      </c>
      <c r="AS2" s="45">
        <f t="shared" si="3"/>
        <v>0</v>
      </c>
    </row>
    <row r="3" spans="1:45" s="93" customFormat="1" ht="11">
      <c r="A3" s="22" t="s">
        <v>113</v>
      </c>
      <c r="B3" s="21" t="s">
        <v>2</v>
      </c>
      <c r="C3" s="73">
        <v>35146</v>
      </c>
      <c r="D3" s="20">
        <v>35146</v>
      </c>
      <c r="E3" s="20">
        <v>35170</v>
      </c>
      <c r="F3" s="20">
        <v>35170</v>
      </c>
      <c r="G3" s="20">
        <v>35170</v>
      </c>
      <c r="H3" s="20">
        <v>35206</v>
      </c>
      <c r="I3" s="20">
        <v>35206</v>
      </c>
      <c r="J3" s="20">
        <v>35206</v>
      </c>
      <c r="K3" s="20">
        <v>35206</v>
      </c>
      <c r="L3" s="20">
        <v>35268</v>
      </c>
      <c r="M3" s="20">
        <v>35268</v>
      </c>
      <c r="N3" s="20">
        <v>35268</v>
      </c>
      <c r="O3" s="20">
        <v>35344</v>
      </c>
      <c r="P3" s="20">
        <v>35344</v>
      </c>
      <c r="Q3" s="20">
        <v>35344</v>
      </c>
      <c r="R3" s="20">
        <v>35344</v>
      </c>
      <c r="S3" s="20">
        <v>35373</v>
      </c>
      <c r="T3" s="20">
        <v>35373</v>
      </c>
      <c r="U3" s="20">
        <v>35373</v>
      </c>
      <c r="V3" s="20">
        <v>35428</v>
      </c>
      <c r="W3" s="20">
        <v>35428</v>
      </c>
      <c r="X3" s="20">
        <v>35428</v>
      </c>
      <c r="Y3" s="20">
        <v>35428</v>
      </c>
      <c r="Z3" s="20">
        <v>35449</v>
      </c>
      <c r="AA3" s="20">
        <v>35449</v>
      </c>
      <c r="AB3" s="20">
        <v>35449</v>
      </c>
      <c r="AC3" s="20">
        <v>35449</v>
      </c>
      <c r="AD3" s="20">
        <v>35484</v>
      </c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s="93" customFormat="1" ht="11">
      <c r="A4" s="16" t="s">
        <v>3</v>
      </c>
      <c r="B4" s="9" t="s">
        <v>4</v>
      </c>
      <c r="C4" s="74">
        <v>669</v>
      </c>
      <c r="D4" s="8">
        <f t="shared" ref="D4:AM4" si="4">IF(D$3="","",C4)</f>
        <v>669</v>
      </c>
      <c r="E4" s="8">
        <f t="shared" si="4"/>
        <v>669</v>
      </c>
      <c r="F4" s="59">
        <f t="shared" si="4"/>
        <v>669</v>
      </c>
      <c r="G4" s="8">
        <f t="shared" si="4"/>
        <v>669</v>
      </c>
      <c r="H4" s="8">
        <f t="shared" si="4"/>
        <v>669</v>
      </c>
      <c r="I4" s="59">
        <f t="shared" si="4"/>
        <v>669</v>
      </c>
      <c r="J4" s="8">
        <f t="shared" si="4"/>
        <v>669</v>
      </c>
      <c r="K4" s="8">
        <f t="shared" si="4"/>
        <v>669</v>
      </c>
      <c r="L4" s="8">
        <f t="shared" si="4"/>
        <v>669</v>
      </c>
      <c r="M4" s="8">
        <f t="shared" si="4"/>
        <v>669</v>
      </c>
      <c r="N4" s="8">
        <f t="shared" si="4"/>
        <v>669</v>
      </c>
      <c r="O4" s="8">
        <f t="shared" si="4"/>
        <v>669</v>
      </c>
      <c r="P4" s="8">
        <f t="shared" si="4"/>
        <v>669</v>
      </c>
      <c r="Q4" s="8">
        <f t="shared" si="4"/>
        <v>669</v>
      </c>
      <c r="R4" s="8">
        <f t="shared" si="4"/>
        <v>669</v>
      </c>
      <c r="S4" s="8">
        <f t="shared" si="4"/>
        <v>669</v>
      </c>
      <c r="T4" s="8">
        <f t="shared" si="4"/>
        <v>669</v>
      </c>
      <c r="U4" s="8">
        <f t="shared" si="4"/>
        <v>669</v>
      </c>
      <c r="V4" s="8">
        <v>670</v>
      </c>
      <c r="W4" s="8">
        <f t="shared" si="4"/>
        <v>670</v>
      </c>
      <c r="X4" s="8">
        <f t="shared" si="4"/>
        <v>670</v>
      </c>
      <c r="Y4" s="8">
        <f t="shared" si="4"/>
        <v>670</v>
      </c>
      <c r="Z4" s="8">
        <f t="shared" si="4"/>
        <v>670</v>
      </c>
      <c r="AA4" s="8">
        <f t="shared" si="4"/>
        <v>670</v>
      </c>
      <c r="AB4" s="8">
        <f t="shared" si="4"/>
        <v>670</v>
      </c>
      <c r="AC4" s="8">
        <f t="shared" si="4"/>
        <v>670</v>
      </c>
      <c r="AD4" s="8">
        <f t="shared" si="4"/>
        <v>670</v>
      </c>
      <c r="AE4" s="8" t="str">
        <f t="shared" si="4"/>
        <v/>
      </c>
      <c r="AF4" s="8" t="str">
        <f t="shared" si="4"/>
        <v/>
      </c>
      <c r="AG4" s="8" t="str">
        <f t="shared" si="4"/>
        <v/>
      </c>
      <c r="AH4" s="8" t="str">
        <f t="shared" si="4"/>
        <v/>
      </c>
      <c r="AI4" s="8" t="str">
        <f t="shared" si="4"/>
        <v/>
      </c>
      <c r="AJ4" s="8" t="str">
        <f t="shared" si="4"/>
        <v/>
      </c>
      <c r="AK4" s="8" t="str">
        <f t="shared" si="4"/>
        <v/>
      </c>
      <c r="AL4" s="8" t="str">
        <f t="shared" si="4"/>
        <v/>
      </c>
      <c r="AM4" s="8" t="str">
        <f t="shared" si="4"/>
        <v/>
      </c>
      <c r="AN4" s="8" t="str">
        <f t="shared" ref="AN4:AS4" si="5">IF(AN$3="","",AM4)</f>
        <v/>
      </c>
      <c r="AO4" s="8" t="str">
        <f t="shared" si="5"/>
        <v/>
      </c>
      <c r="AP4" s="8" t="str">
        <f t="shared" si="5"/>
        <v/>
      </c>
      <c r="AQ4" s="8" t="str">
        <f t="shared" si="5"/>
        <v/>
      </c>
      <c r="AR4" s="8" t="str">
        <f t="shared" si="5"/>
        <v/>
      </c>
      <c r="AS4" s="8" t="str">
        <f t="shared" si="5"/>
        <v/>
      </c>
    </row>
    <row r="5" spans="1:45" s="93" customFormat="1" ht="11">
      <c r="A5" s="15">
        <v>1</v>
      </c>
      <c r="B5" s="9" t="s">
        <v>5</v>
      </c>
      <c r="C5" s="74">
        <v>5</v>
      </c>
      <c r="D5" s="8">
        <f>IF(D3="","",(C5+C6))</f>
        <v>5</v>
      </c>
      <c r="E5" s="8">
        <v>4</v>
      </c>
      <c r="F5" s="59">
        <f t="shared" ref="F5:AM5" si="6">IF(F3="","",(E5+E6))</f>
        <v>5</v>
      </c>
      <c r="G5" s="8">
        <f t="shared" si="6"/>
        <v>5</v>
      </c>
      <c r="H5" s="8">
        <f t="shared" si="6"/>
        <v>5</v>
      </c>
      <c r="I5" s="59">
        <f t="shared" si="6"/>
        <v>5</v>
      </c>
      <c r="J5" s="8">
        <f t="shared" si="6"/>
        <v>5</v>
      </c>
      <c r="K5" s="8">
        <f t="shared" si="6"/>
        <v>5</v>
      </c>
      <c r="L5" s="8">
        <f t="shared" si="6"/>
        <v>5</v>
      </c>
      <c r="M5" s="8">
        <f t="shared" si="6"/>
        <v>5</v>
      </c>
      <c r="N5" s="8">
        <f t="shared" si="6"/>
        <v>5</v>
      </c>
      <c r="O5" s="8">
        <f t="shared" si="6"/>
        <v>5</v>
      </c>
      <c r="P5" s="8">
        <f t="shared" si="6"/>
        <v>5</v>
      </c>
      <c r="Q5" s="8">
        <f t="shared" si="6"/>
        <v>5</v>
      </c>
      <c r="R5" s="8">
        <f t="shared" si="6"/>
        <v>5</v>
      </c>
      <c r="S5" s="8">
        <f t="shared" si="6"/>
        <v>5</v>
      </c>
      <c r="T5" s="8">
        <f t="shared" si="6"/>
        <v>8</v>
      </c>
      <c r="U5" s="8">
        <f t="shared" si="6"/>
        <v>8</v>
      </c>
      <c r="V5" s="8">
        <v>7</v>
      </c>
      <c r="W5" s="8">
        <f t="shared" si="6"/>
        <v>7</v>
      </c>
      <c r="X5" s="8">
        <f t="shared" si="6"/>
        <v>7</v>
      </c>
      <c r="Y5" s="8">
        <f t="shared" si="6"/>
        <v>7</v>
      </c>
      <c r="Z5" s="8">
        <f t="shared" si="6"/>
        <v>7</v>
      </c>
      <c r="AA5" s="8">
        <f t="shared" si="6"/>
        <v>7</v>
      </c>
      <c r="AB5" s="8">
        <f t="shared" si="6"/>
        <v>7</v>
      </c>
      <c r="AC5" s="8">
        <f t="shared" si="6"/>
        <v>7</v>
      </c>
      <c r="AD5" s="8">
        <f t="shared" si="6"/>
        <v>7</v>
      </c>
      <c r="AE5" s="8" t="str">
        <f t="shared" si="6"/>
        <v/>
      </c>
      <c r="AF5" s="8" t="str">
        <f t="shared" si="6"/>
        <v/>
      </c>
      <c r="AG5" s="8" t="str">
        <f t="shared" si="6"/>
        <v/>
      </c>
      <c r="AH5" s="8" t="str">
        <f t="shared" si="6"/>
        <v/>
      </c>
      <c r="AI5" s="8" t="str">
        <f t="shared" si="6"/>
        <v/>
      </c>
      <c r="AJ5" s="8" t="str">
        <f t="shared" si="6"/>
        <v/>
      </c>
      <c r="AK5" s="8" t="str">
        <f t="shared" si="6"/>
        <v/>
      </c>
      <c r="AL5" s="8" t="str">
        <f t="shared" si="6"/>
        <v/>
      </c>
      <c r="AM5" s="8" t="str">
        <f t="shared" si="6"/>
        <v/>
      </c>
      <c r="AN5" s="8" t="str">
        <f t="shared" ref="AN5:AS5" si="7">IF(AN3="","",(AM5+AM6))</f>
        <v/>
      </c>
      <c r="AO5" s="8" t="str">
        <f t="shared" si="7"/>
        <v/>
      </c>
      <c r="AP5" s="8" t="str">
        <f t="shared" si="7"/>
        <v/>
      </c>
      <c r="AQ5" s="8" t="str">
        <f t="shared" si="7"/>
        <v/>
      </c>
      <c r="AR5" s="8" t="str">
        <f t="shared" si="7"/>
        <v/>
      </c>
      <c r="AS5" s="8" t="str">
        <f t="shared" si="7"/>
        <v/>
      </c>
    </row>
    <row r="6" spans="1:45" s="93" customFormat="1" ht="11">
      <c r="A6" s="101" t="s">
        <v>6</v>
      </c>
      <c r="B6" s="9" t="s">
        <v>7</v>
      </c>
      <c r="C6" s="74"/>
      <c r="D6" s="8"/>
      <c r="E6" s="8">
        <v>1</v>
      </c>
      <c r="F6" s="59"/>
      <c r="G6" s="8"/>
      <c r="H6" s="8"/>
      <c r="I6" s="59"/>
      <c r="J6" s="8"/>
      <c r="K6" s="8"/>
      <c r="L6" s="8"/>
      <c r="M6" s="8"/>
      <c r="N6" s="8"/>
      <c r="O6" s="8"/>
      <c r="P6" s="8"/>
      <c r="Q6" s="8"/>
      <c r="R6" s="8"/>
      <c r="S6" s="8">
        <v>3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s="93" customFormat="1" ht="11">
      <c r="A7" s="102">
        <f>+(A10+A22+A34+A46)*100</f>
        <v>161800</v>
      </c>
      <c r="B7" s="9" t="s">
        <v>8</v>
      </c>
      <c r="C7" s="74">
        <v>800</v>
      </c>
      <c r="D7" s="8">
        <f t="shared" ref="D7:AM7" si="8">IF(D3="","",C7)</f>
        <v>800</v>
      </c>
      <c r="E7" s="8">
        <f t="shared" si="8"/>
        <v>800</v>
      </c>
      <c r="F7" s="59">
        <f t="shared" si="8"/>
        <v>800</v>
      </c>
      <c r="G7" s="8">
        <f t="shared" si="8"/>
        <v>800</v>
      </c>
      <c r="H7" s="8">
        <f t="shared" si="8"/>
        <v>800</v>
      </c>
      <c r="I7" s="59">
        <f t="shared" si="8"/>
        <v>800</v>
      </c>
      <c r="J7" s="8">
        <f t="shared" si="8"/>
        <v>800</v>
      </c>
      <c r="K7" s="8">
        <f t="shared" si="8"/>
        <v>800</v>
      </c>
      <c r="L7" s="8">
        <f t="shared" si="8"/>
        <v>800</v>
      </c>
      <c r="M7" s="8">
        <f t="shared" si="8"/>
        <v>800</v>
      </c>
      <c r="N7" s="8">
        <f t="shared" si="8"/>
        <v>800</v>
      </c>
      <c r="O7" s="8">
        <f t="shared" si="8"/>
        <v>800</v>
      </c>
      <c r="P7" s="8">
        <f t="shared" si="8"/>
        <v>800</v>
      </c>
      <c r="Q7" s="8">
        <f t="shared" si="8"/>
        <v>800</v>
      </c>
      <c r="R7" s="8">
        <f t="shared" si="8"/>
        <v>800</v>
      </c>
      <c r="S7" s="8">
        <f t="shared" si="8"/>
        <v>800</v>
      </c>
      <c r="T7" s="8">
        <f t="shared" si="8"/>
        <v>800</v>
      </c>
      <c r="U7" s="8">
        <f t="shared" si="8"/>
        <v>800</v>
      </c>
      <c r="V7" s="8">
        <f t="shared" si="8"/>
        <v>800</v>
      </c>
      <c r="W7" s="8">
        <f t="shared" si="8"/>
        <v>800</v>
      </c>
      <c r="X7" s="8">
        <f t="shared" si="8"/>
        <v>800</v>
      </c>
      <c r="Y7" s="8">
        <f t="shared" si="8"/>
        <v>800</v>
      </c>
      <c r="Z7" s="8">
        <f t="shared" si="8"/>
        <v>800</v>
      </c>
      <c r="AA7" s="8">
        <f t="shared" si="8"/>
        <v>800</v>
      </c>
      <c r="AB7" s="8">
        <f t="shared" si="8"/>
        <v>800</v>
      </c>
      <c r="AC7" s="8">
        <f t="shared" si="8"/>
        <v>800</v>
      </c>
      <c r="AD7" s="8">
        <f t="shared" si="8"/>
        <v>800</v>
      </c>
      <c r="AE7" s="8" t="str">
        <f t="shared" si="8"/>
        <v/>
      </c>
      <c r="AF7" s="8" t="str">
        <f t="shared" si="8"/>
        <v/>
      </c>
      <c r="AG7" s="8" t="str">
        <f t="shared" si="8"/>
        <v/>
      </c>
      <c r="AH7" s="8" t="str">
        <f t="shared" si="8"/>
        <v/>
      </c>
      <c r="AI7" s="8" t="str">
        <f t="shared" si="8"/>
        <v/>
      </c>
      <c r="AJ7" s="8" t="str">
        <f t="shared" si="8"/>
        <v/>
      </c>
      <c r="AK7" s="8" t="str">
        <f t="shared" si="8"/>
        <v/>
      </c>
      <c r="AL7" s="8" t="str">
        <f t="shared" si="8"/>
        <v/>
      </c>
      <c r="AM7" s="8" t="str">
        <f t="shared" si="8"/>
        <v/>
      </c>
      <c r="AN7" s="8" t="str">
        <f t="shared" ref="AN7:AS7" si="9">IF(AN3="","",AM7)</f>
        <v/>
      </c>
      <c r="AO7" s="8" t="str">
        <f t="shared" si="9"/>
        <v/>
      </c>
      <c r="AP7" s="8" t="str">
        <f t="shared" si="9"/>
        <v/>
      </c>
      <c r="AQ7" s="8" t="str">
        <f t="shared" si="9"/>
        <v/>
      </c>
      <c r="AR7" s="8" t="str">
        <f t="shared" si="9"/>
        <v/>
      </c>
      <c r="AS7" s="8" t="str">
        <f t="shared" si="9"/>
        <v/>
      </c>
    </row>
    <row r="8" spans="1:45" s="94" customFormat="1" ht="11">
      <c r="A8" s="14" t="s">
        <v>9</v>
      </c>
      <c r="B8" s="13" t="s">
        <v>10</v>
      </c>
      <c r="C8" s="75" t="s">
        <v>47</v>
      </c>
      <c r="D8" s="12" t="str">
        <f t="shared" ref="D8:AM8" si="10">IF(D3="","",C8)</f>
        <v>サンリオボアキーケース</v>
      </c>
      <c r="E8" s="12" t="str">
        <f t="shared" si="10"/>
        <v>サンリオボアキーケース</v>
      </c>
      <c r="F8" s="131" t="str">
        <f t="shared" si="10"/>
        <v>サンリオボアキーケース</v>
      </c>
      <c r="G8" s="12" t="str">
        <f t="shared" si="10"/>
        <v>サンリオボアキーケース</v>
      </c>
      <c r="H8" s="12" t="str">
        <f t="shared" si="10"/>
        <v>サンリオボアキーケース</v>
      </c>
      <c r="I8" s="131" t="str">
        <f t="shared" si="10"/>
        <v>サンリオボアキーケース</v>
      </c>
      <c r="J8" s="12" t="str">
        <f t="shared" si="10"/>
        <v>サンリオボアキーケース</v>
      </c>
      <c r="K8" s="12" t="str">
        <f t="shared" si="10"/>
        <v>サンリオボアキーケース</v>
      </c>
      <c r="L8" s="12" t="str">
        <f t="shared" si="10"/>
        <v>サンリオボアキーケース</v>
      </c>
      <c r="M8" s="12" t="str">
        <f t="shared" si="10"/>
        <v>サンリオボアキーケース</v>
      </c>
      <c r="N8" s="12" t="str">
        <f t="shared" si="10"/>
        <v>サンリオボアキーケース</v>
      </c>
      <c r="O8" s="12" t="str">
        <f t="shared" si="10"/>
        <v>サンリオボアキーケース</v>
      </c>
      <c r="P8" s="12" t="str">
        <f t="shared" si="10"/>
        <v>サンリオボアキーケース</v>
      </c>
      <c r="Q8" s="12" t="str">
        <f t="shared" si="10"/>
        <v>サンリオボアキーケース</v>
      </c>
      <c r="R8" s="12" t="str">
        <f t="shared" si="10"/>
        <v>サンリオボアキーケース</v>
      </c>
      <c r="S8" s="12" t="str">
        <f t="shared" si="10"/>
        <v>サンリオボアキーケース</v>
      </c>
      <c r="T8" s="12" t="str">
        <f t="shared" si="10"/>
        <v>サンリオボアキーケース</v>
      </c>
      <c r="U8" s="12" t="str">
        <f t="shared" si="10"/>
        <v>サンリオボアキーケース</v>
      </c>
      <c r="V8" s="12" t="str">
        <f t="shared" si="10"/>
        <v>サンリオボアキーケース</v>
      </c>
      <c r="W8" s="12" t="str">
        <f t="shared" si="10"/>
        <v>サンリオボアキーケース</v>
      </c>
      <c r="X8" s="12" t="str">
        <f t="shared" si="10"/>
        <v>サンリオボアキーケース</v>
      </c>
      <c r="Y8" s="12" t="str">
        <f t="shared" si="10"/>
        <v>サンリオボアキーケース</v>
      </c>
      <c r="Z8" s="12" t="str">
        <f t="shared" si="10"/>
        <v>サンリオボアキーケース</v>
      </c>
      <c r="AA8" s="12" t="str">
        <f t="shared" si="10"/>
        <v>サンリオボアキーケース</v>
      </c>
      <c r="AB8" s="12" t="str">
        <f t="shared" si="10"/>
        <v>サンリオボアキーケース</v>
      </c>
      <c r="AC8" s="12" t="str">
        <f t="shared" si="10"/>
        <v>サンリオボアキーケース</v>
      </c>
      <c r="AD8" s="12" t="str">
        <f t="shared" si="10"/>
        <v>サンリオボアキーケース</v>
      </c>
      <c r="AE8" s="12" t="str">
        <f t="shared" si="10"/>
        <v/>
      </c>
      <c r="AF8" s="12" t="str">
        <f t="shared" si="10"/>
        <v/>
      </c>
      <c r="AG8" s="12" t="str">
        <f t="shared" si="10"/>
        <v/>
      </c>
      <c r="AH8" s="12" t="str">
        <f t="shared" si="10"/>
        <v/>
      </c>
      <c r="AI8" s="12" t="str">
        <f t="shared" si="10"/>
        <v/>
      </c>
      <c r="AJ8" s="12" t="str">
        <f t="shared" si="10"/>
        <v/>
      </c>
      <c r="AK8" s="12" t="str">
        <f t="shared" si="10"/>
        <v/>
      </c>
      <c r="AL8" s="12" t="str">
        <f t="shared" si="10"/>
        <v/>
      </c>
      <c r="AM8" s="12" t="str">
        <f t="shared" si="10"/>
        <v/>
      </c>
      <c r="AN8" s="12" t="str">
        <f t="shared" ref="AN8:AS8" si="11">IF(AN3="","",AM8)</f>
        <v/>
      </c>
      <c r="AO8" s="12" t="str">
        <f t="shared" si="11"/>
        <v/>
      </c>
      <c r="AP8" s="12" t="str">
        <f t="shared" si="11"/>
        <v/>
      </c>
      <c r="AQ8" s="12" t="str">
        <f t="shared" si="11"/>
        <v/>
      </c>
      <c r="AR8" s="12" t="str">
        <f t="shared" si="11"/>
        <v/>
      </c>
      <c r="AS8" s="12" t="str">
        <f t="shared" si="11"/>
        <v/>
      </c>
    </row>
    <row r="9" spans="1:45" s="93" customFormat="1" ht="11">
      <c r="A9" s="7">
        <f>AVERAGE(C10:AS10)*30*100</f>
        <v>36214.28571428571</v>
      </c>
      <c r="B9" s="9" t="s">
        <v>14</v>
      </c>
      <c r="C9" s="74"/>
      <c r="D9" s="8"/>
      <c r="E9" s="8"/>
      <c r="F9" s="59"/>
      <c r="G9" s="8"/>
      <c r="H9" s="8"/>
      <c r="I9" s="5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s="93" customFormat="1" ht="11">
      <c r="A10" s="7">
        <f>SUM(C10:AS10)</f>
        <v>338</v>
      </c>
      <c r="B10" s="6" t="s">
        <v>15</v>
      </c>
      <c r="C10" s="74">
        <v>0</v>
      </c>
      <c r="D10" s="5">
        <f t="shared" ref="D10:AM10" si="12">IF(D3="","",D3-C3)</f>
        <v>0</v>
      </c>
      <c r="E10" s="5">
        <f t="shared" si="12"/>
        <v>24</v>
      </c>
      <c r="F10" s="59">
        <f t="shared" si="12"/>
        <v>0</v>
      </c>
      <c r="G10" s="5">
        <f t="shared" si="12"/>
        <v>0</v>
      </c>
      <c r="H10" s="5">
        <f t="shared" si="12"/>
        <v>36</v>
      </c>
      <c r="I10" s="59">
        <f t="shared" si="12"/>
        <v>0</v>
      </c>
      <c r="J10" s="5">
        <f t="shared" si="12"/>
        <v>0</v>
      </c>
      <c r="K10" s="5">
        <f t="shared" si="12"/>
        <v>0</v>
      </c>
      <c r="L10" s="5">
        <f t="shared" si="12"/>
        <v>62</v>
      </c>
      <c r="M10" s="5">
        <f t="shared" si="12"/>
        <v>0</v>
      </c>
      <c r="N10" s="5">
        <f t="shared" si="12"/>
        <v>0</v>
      </c>
      <c r="O10" s="5">
        <f t="shared" si="12"/>
        <v>76</v>
      </c>
      <c r="P10" s="5">
        <f t="shared" si="12"/>
        <v>0</v>
      </c>
      <c r="Q10" s="5">
        <f t="shared" si="12"/>
        <v>0</v>
      </c>
      <c r="R10" s="5">
        <f t="shared" si="12"/>
        <v>0</v>
      </c>
      <c r="S10" s="5">
        <f t="shared" si="12"/>
        <v>29</v>
      </c>
      <c r="T10" s="5">
        <f t="shared" si="12"/>
        <v>0</v>
      </c>
      <c r="U10" s="5">
        <f t="shared" si="12"/>
        <v>0</v>
      </c>
      <c r="V10" s="5">
        <f t="shared" si="12"/>
        <v>55</v>
      </c>
      <c r="W10" s="5">
        <f t="shared" si="12"/>
        <v>0</v>
      </c>
      <c r="X10" s="5">
        <f t="shared" si="12"/>
        <v>0</v>
      </c>
      <c r="Y10" s="5">
        <f t="shared" si="12"/>
        <v>0</v>
      </c>
      <c r="Z10" s="5">
        <f t="shared" si="12"/>
        <v>21</v>
      </c>
      <c r="AA10" s="5">
        <f t="shared" si="12"/>
        <v>0</v>
      </c>
      <c r="AB10" s="5">
        <f t="shared" si="12"/>
        <v>0</v>
      </c>
      <c r="AC10" s="5">
        <f t="shared" si="12"/>
        <v>0</v>
      </c>
      <c r="AD10" s="5">
        <f t="shared" si="12"/>
        <v>35</v>
      </c>
      <c r="AE10" s="5" t="str">
        <f t="shared" si="12"/>
        <v/>
      </c>
      <c r="AF10" s="5" t="str">
        <f t="shared" si="12"/>
        <v/>
      </c>
      <c r="AG10" s="5" t="str">
        <f t="shared" si="12"/>
        <v/>
      </c>
      <c r="AH10" s="5" t="str">
        <f t="shared" si="12"/>
        <v/>
      </c>
      <c r="AI10" s="5" t="str">
        <f t="shared" si="12"/>
        <v/>
      </c>
      <c r="AJ10" s="5" t="str">
        <f t="shared" si="12"/>
        <v/>
      </c>
      <c r="AK10" s="5" t="str">
        <f t="shared" si="12"/>
        <v/>
      </c>
      <c r="AL10" s="5" t="str">
        <f t="shared" si="12"/>
        <v/>
      </c>
      <c r="AM10" s="5" t="str">
        <f t="shared" si="12"/>
        <v/>
      </c>
      <c r="AN10" s="5" t="str">
        <f t="shared" ref="AN10:AS10" si="13">IF(AN3="","",AN3-AM3)</f>
        <v/>
      </c>
      <c r="AO10" s="5" t="str">
        <f t="shared" si="13"/>
        <v/>
      </c>
      <c r="AP10" s="5" t="str">
        <f t="shared" si="13"/>
        <v/>
      </c>
      <c r="AQ10" s="5" t="str">
        <f t="shared" si="13"/>
        <v/>
      </c>
      <c r="AR10" s="5" t="str">
        <f t="shared" si="13"/>
        <v/>
      </c>
      <c r="AS10" s="5" t="str">
        <f t="shared" si="13"/>
        <v/>
      </c>
    </row>
    <row r="11" spans="1:45" s="93" customFormat="1" ht="11">
      <c r="A11" s="7">
        <f>SUM(C11:AS11)</f>
        <v>1</v>
      </c>
      <c r="B11" s="6" t="s">
        <v>16</v>
      </c>
      <c r="C11" s="74">
        <v>0</v>
      </c>
      <c r="D11" s="5">
        <f t="shared" ref="D11:AM11" si="14">IF(D4="","",D4-C4)</f>
        <v>0</v>
      </c>
      <c r="E11" s="5">
        <f t="shared" si="14"/>
        <v>0</v>
      </c>
      <c r="F11" s="59">
        <f t="shared" si="14"/>
        <v>0</v>
      </c>
      <c r="G11" s="5">
        <f t="shared" si="14"/>
        <v>0</v>
      </c>
      <c r="H11" s="5">
        <f t="shared" si="14"/>
        <v>0</v>
      </c>
      <c r="I11" s="59">
        <f t="shared" si="14"/>
        <v>0</v>
      </c>
      <c r="J11" s="5">
        <f t="shared" si="14"/>
        <v>0</v>
      </c>
      <c r="K11" s="5">
        <f t="shared" si="14"/>
        <v>0</v>
      </c>
      <c r="L11" s="5">
        <f t="shared" si="14"/>
        <v>0</v>
      </c>
      <c r="M11" s="5">
        <f t="shared" si="14"/>
        <v>0</v>
      </c>
      <c r="N11" s="5">
        <f t="shared" si="14"/>
        <v>0</v>
      </c>
      <c r="O11" s="5">
        <f t="shared" si="14"/>
        <v>0</v>
      </c>
      <c r="P11" s="5">
        <f t="shared" si="14"/>
        <v>0</v>
      </c>
      <c r="Q11" s="5">
        <f t="shared" si="14"/>
        <v>0</v>
      </c>
      <c r="R11" s="5">
        <f t="shared" si="14"/>
        <v>0</v>
      </c>
      <c r="S11" s="5">
        <f t="shared" si="14"/>
        <v>0</v>
      </c>
      <c r="T11" s="5">
        <f t="shared" si="14"/>
        <v>0</v>
      </c>
      <c r="U11" s="5">
        <f t="shared" si="14"/>
        <v>0</v>
      </c>
      <c r="V11" s="5">
        <f t="shared" si="14"/>
        <v>1</v>
      </c>
      <c r="W11" s="5">
        <f t="shared" si="14"/>
        <v>0</v>
      </c>
      <c r="X11" s="5">
        <f t="shared" si="14"/>
        <v>0</v>
      </c>
      <c r="Y11" s="5">
        <f t="shared" si="14"/>
        <v>0</v>
      </c>
      <c r="Z11" s="5">
        <f t="shared" si="14"/>
        <v>0</v>
      </c>
      <c r="AA11" s="5">
        <f t="shared" si="14"/>
        <v>0</v>
      </c>
      <c r="AB11" s="5">
        <f t="shared" si="14"/>
        <v>0</v>
      </c>
      <c r="AC11" s="5">
        <f t="shared" si="14"/>
        <v>0</v>
      </c>
      <c r="AD11" s="5">
        <f t="shared" si="14"/>
        <v>0</v>
      </c>
      <c r="AE11" s="5" t="str">
        <f t="shared" si="14"/>
        <v/>
      </c>
      <c r="AF11" s="5" t="str">
        <f t="shared" si="14"/>
        <v/>
      </c>
      <c r="AG11" s="5" t="str">
        <f t="shared" si="14"/>
        <v/>
      </c>
      <c r="AH11" s="5" t="str">
        <f t="shared" si="14"/>
        <v/>
      </c>
      <c r="AI11" s="5" t="str">
        <f t="shared" si="14"/>
        <v/>
      </c>
      <c r="AJ11" s="5" t="str">
        <f t="shared" si="14"/>
        <v/>
      </c>
      <c r="AK11" s="5" t="str">
        <f t="shared" si="14"/>
        <v/>
      </c>
      <c r="AL11" s="5" t="str">
        <f t="shared" si="14"/>
        <v/>
      </c>
      <c r="AM11" s="5" t="str">
        <f t="shared" si="14"/>
        <v/>
      </c>
      <c r="AN11" s="5" t="str">
        <f t="shared" ref="AN11:AS11" si="15">IF(AN4="","",AN4-AM4)</f>
        <v/>
      </c>
      <c r="AO11" s="5" t="str">
        <f t="shared" si="15"/>
        <v/>
      </c>
      <c r="AP11" s="5" t="str">
        <f t="shared" si="15"/>
        <v/>
      </c>
      <c r="AQ11" s="5" t="str">
        <f t="shared" si="15"/>
        <v/>
      </c>
      <c r="AR11" s="5" t="str">
        <f t="shared" si="15"/>
        <v/>
      </c>
      <c r="AS11" s="5" t="str">
        <f t="shared" si="15"/>
        <v/>
      </c>
    </row>
    <row r="12" spans="1:45" s="93" customFormat="1" ht="11">
      <c r="A12" s="7">
        <f>SUM(C12:AS12)</f>
        <v>2</v>
      </c>
      <c r="B12" s="6" t="s">
        <v>17</v>
      </c>
      <c r="C12" s="74">
        <v>0</v>
      </c>
      <c r="D12" s="5">
        <f t="shared" ref="D12:AM12" si="16">IF(D5="","",C5+C6-D5)</f>
        <v>0</v>
      </c>
      <c r="E12" s="5">
        <f t="shared" si="16"/>
        <v>1</v>
      </c>
      <c r="F12" s="59">
        <f t="shared" si="16"/>
        <v>0</v>
      </c>
      <c r="G12" s="5">
        <f t="shared" si="16"/>
        <v>0</v>
      </c>
      <c r="H12" s="5">
        <f t="shared" si="16"/>
        <v>0</v>
      </c>
      <c r="I12" s="59">
        <f t="shared" si="16"/>
        <v>0</v>
      </c>
      <c r="J12" s="5">
        <f t="shared" si="16"/>
        <v>0</v>
      </c>
      <c r="K12" s="5">
        <f t="shared" si="16"/>
        <v>0</v>
      </c>
      <c r="L12" s="5">
        <f t="shared" si="16"/>
        <v>0</v>
      </c>
      <c r="M12" s="5">
        <f t="shared" si="16"/>
        <v>0</v>
      </c>
      <c r="N12" s="5">
        <f t="shared" si="16"/>
        <v>0</v>
      </c>
      <c r="O12" s="5">
        <f t="shared" si="16"/>
        <v>0</v>
      </c>
      <c r="P12" s="5">
        <f t="shared" si="16"/>
        <v>0</v>
      </c>
      <c r="Q12" s="5">
        <f t="shared" si="16"/>
        <v>0</v>
      </c>
      <c r="R12" s="5">
        <f t="shared" si="16"/>
        <v>0</v>
      </c>
      <c r="S12" s="5">
        <f t="shared" si="16"/>
        <v>0</v>
      </c>
      <c r="T12" s="5">
        <f t="shared" si="16"/>
        <v>0</v>
      </c>
      <c r="U12" s="5">
        <f t="shared" si="16"/>
        <v>0</v>
      </c>
      <c r="V12" s="5">
        <f t="shared" si="16"/>
        <v>1</v>
      </c>
      <c r="W12" s="5">
        <f t="shared" si="16"/>
        <v>0</v>
      </c>
      <c r="X12" s="5">
        <f t="shared" si="16"/>
        <v>0</v>
      </c>
      <c r="Y12" s="5">
        <f t="shared" si="16"/>
        <v>0</v>
      </c>
      <c r="Z12" s="5">
        <f t="shared" si="16"/>
        <v>0</v>
      </c>
      <c r="AA12" s="5">
        <f t="shared" si="16"/>
        <v>0</v>
      </c>
      <c r="AB12" s="5">
        <f t="shared" si="16"/>
        <v>0</v>
      </c>
      <c r="AC12" s="5">
        <f t="shared" si="16"/>
        <v>0</v>
      </c>
      <c r="AD12" s="5">
        <f t="shared" si="16"/>
        <v>0</v>
      </c>
      <c r="AE12" s="5" t="str">
        <f t="shared" si="16"/>
        <v/>
      </c>
      <c r="AF12" s="5" t="str">
        <f t="shared" si="16"/>
        <v/>
      </c>
      <c r="AG12" s="5" t="str">
        <f t="shared" si="16"/>
        <v/>
      </c>
      <c r="AH12" s="5" t="str">
        <f t="shared" si="16"/>
        <v/>
      </c>
      <c r="AI12" s="5" t="str">
        <f t="shared" si="16"/>
        <v/>
      </c>
      <c r="AJ12" s="5" t="str">
        <f t="shared" si="16"/>
        <v/>
      </c>
      <c r="AK12" s="5" t="str">
        <f t="shared" si="16"/>
        <v/>
      </c>
      <c r="AL12" s="5" t="str">
        <f t="shared" si="16"/>
        <v/>
      </c>
      <c r="AM12" s="5" t="str">
        <f t="shared" si="16"/>
        <v/>
      </c>
      <c r="AN12" s="5" t="str">
        <f t="shared" ref="AN12:AS12" si="17">IF(AN5="","",AM5+AM6-AN5)</f>
        <v/>
      </c>
      <c r="AO12" s="5" t="str">
        <f t="shared" si="17"/>
        <v/>
      </c>
      <c r="AP12" s="5" t="str">
        <f t="shared" si="17"/>
        <v/>
      </c>
      <c r="AQ12" s="5" t="str">
        <f t="shared" si="17"/>
        <v/>
      </c>
      <c r="AR12" s="5" t="str">
        <f t="shared" si="17"/>
        <v/>
      </c>
      <c r="AS12" s="5" t="str">
        <f t="shared" si="17"/>
        <v/>
      </c>
    </row>
    <row r="13" spans="1:45" s="93" customFormat="1" ht="11">
      <c r="A13" s="7">
        <f>SUM(C13:AS13)</f>
        <v>1600</v>
      </c>
      <c r="B13" s="6" t="s">
        <v>18</v>
      </c>
      <c r="C13" s="74">
        <v>0</v>
      </c>
      <c r="D13" s="5">
        <f t="shared" ref="D13:AM13" si="18">IF(D3="","",D12*D7)</f>
        <v>0</v>
      </c>
      <c r="E13" s="5">
        <f t="shared" si="18"/>
        <v>800</v>
      </c>
      <c r="F13" s="59">
        <f t="shared" si="18"/>
        <v>0</v>
      </c>
      <c r="G13" s="5">
        <f t="shared" si="18"/>
        <v>0</v>
      </c>
      <c r="H13" s="5">
        <f t="shared" si="18"/>
        <v>0</v>
      </c>
      <c r="I13" s="59">
        <f t="shared" si="18"/>
        <v>0</v>
      </c>
      <c r="J13" s="5">
        <f t="shared" si="18"/>
        <v>0</v>
      </c>
      <c r="K13" s="5">
        <f t="shared" si="18"/>
        <v>0</v>
      </c>
      <c r="L13" s="5">
        <f t="shared" si="18"/>
        <v>0</v>
      </c>
      <c r="M13" s="5">
        <f t="shared" si="18"/>
        <v>0</v>
      </c>
      <c r="N13" s="5">
        <f t="shared" si="18"/>
        <v>0</v>
      </c>
      <c r="O13" s="5">
        <f t="shared" si="18"/>
        <v>0</v>
      </c>
      <c r="P13" s="5">
        <f t="shared" si="18"/>
        <v>0</v>
      </c>
      <c r="Q13" s="5">
        <f t="shared" si="18"/>
        <v>0</v>
      </c>
      <c r="R13" s="5">
        <f t="shared" si="18"/>
        <v>0</v>
      </c>
      <c r="S13" s="5">
        <f t="shared" si="18"/>
        <v>0</v>
      </c>
      <c r="T13" s="5">
        <f t="shared" si="18"/>
        <v>0</v>
      </c>
      <c r="U13" s="5">
        <f t="shared" si="18"/>
        <v>0</v>
      </c>
      <c r="V13" s="5">
        <f t="shared" si="18"/>
        <v>800</v>
      </c>
      <c r="W13" s="5">
        <f t="shared" si="18"/>
        <v>0</v>
      </c>
      <c r="X13" s="5">
        <f t="shared" si="18"/>
        <v>0</v>
      </c>
      <c r="Y13" s="5">
        <f t="shared" si="18"/>
        <v>0</v>
      </c>
      <c r="Z13" s="5">
        <f t="shared" si="18"/>
        <v>0</v>
      </c>
      <c r="AA13" s="5">
        <f t="shared" si="18"/>
        <v>0</v>
      </c>
      <c r="AB13" s="5">
        <f t="shared" si="18"/>
        <v>0</v>
      </c>
      <c r="AC13" s="5">
        <f t="shared" si="18"/>
        <v>0</v>
      </c>
      <c r="AD13" s="5">
        <f t="shared" si="18"/>
        <v>0</v>
      </c>
      <c r="AE13" s="5" t="str">
        <f t="shared" si="18"/>
        <v/>
      </c>
      <c r="AF13" s="5" t="str">
        <f t="shared" si="18"/>
        <v/>
      </c>
      <c r="AG13" s="5" t="str">
        <f t="shared" si="18"/>
        <v/>
      </c>
      <c r="AH13" s="5" t="str">
        <f t="shared" si="18"/>
        <v/>
      </c>
      <c r="AI13" s="5" t="str">
        <f t="shared" si="18"/>
        <v/>
      </c>
      <c r="AJ13" s="5" t="str">
        <f t="shared" si="18"/>
        <v/>
      </c>
      <c r="AK13" s="5" t="str">
        <f t="shared" si="18"/>
        <v/>
      </c>
      <c r="AL13" s="5" t="str">
        <f t="shared" si="18"/>
        <v/>
      </c>
      <c r="AM13" s="5" t="str">
        <f t="shared" si="18"/>
        <v/>
      </c>
      <c r="AN13" s="5" t="str">
        <f t="shared" ref="AN13:AS13" si="19">IF(AN3="","",AN12*AN7)</f>
        <v/>
      </c>
      <c r="AO13" s="5" t="str">
        <f t="shared" si="19"/>
        <v/>
      </c>
      <c r="AP13" s="5" t="str">
        <f t="shared" si="19"/>
        <v/>
      </c>
      <c r="AQ13" s="5" t="str">
        <f t="shared" si="19"/>
        <v/>
      </c>
      <c r="AR13" s="5" t="str">
        <f t="shared" si="19"/>
        <v/>
      </c>
      <c r="AS13" s="5" t="str">
        <f t="shared" si="19"/>
        <v/>
      </c>
    </row>
    <row r="14" spans="1:45" s="93" customFormat="1" ht="12" thickBot="1">
      <c r="A14" s="4">
        <f>IF(A13="","",A13/(A10*100))</f>
        <v>4.7337278106508875E-2</v>
      </c>
      <c r="B14" s="6" t="s">
        <v>20</v>
      </c>
      <c r="C14" s="76" t="s">
        <v>21</v>
      </c>
      <c r="D14" s="18" t="str">
        <f t="shared" ref="D14:AM14" si="20">IF(D13="","",IF(D13=0,"",D13/(D10*100)))</f>
        <v/>
      </c>
      <c r="E14" s="18">
        <f t="shared" si="20"/>
        <v>0.33333333333333331</v>
      </c>
      <c r="F14" s="62" t="str">
        <f t="shared" si="20"/>
        <v/>
      </c>
      <c r="G14" s="18" t="str">
        <f t="shared" si="20"/>
        <v/>
      </c>
      <c r="H14" s="18" t="str">
        <f t="shared" si="20"/>
        <v/>
      </c>
      <c r="I14" s="62" t="str">
        <f t="shared" si="20"/>
        <v/>
      </c>
      <c r="J14" s="18" t="str">
        <f t="shared" si="20"/>
        <v/>
      </c>
      <c r="K14" s="18" t="str">
        <f t="shared" si="20"/>
        <v/>
      </c>
      <c r="L14" s="18" t="str">
        <f t="shared" si="20"/>
        <v/>
      </c>
      <c r="M14" s="18" t="str">
        <f t="shared" si="20"/>
        <v/>
      </c>
      <c r="N14" s="18" t="str">
        <f t="shared" si="20"/>
        <v/>
      </c>
      <c r="O14" s="18" t="str">
        <f t="shared" si="20"/>
        <v/>
      </c>
      <c r="P14" s="18" t="str">
        <f t="shared" si="20"/>
        <v/>
      </c>
      <c r="Q14" s="18" t="str">
        <f t="shared" si="20"/>
        <v/>
      </c>
      <c r="R14" s="18" t="str">
        <f t="shared" si="20"/>
        <v/>
      </c>
      <c r="S14" s="18" t="str">
        <f t="shared" si="20"/>
        <v/>
      </c>
      <c r="T14" s="18" t="str">
        <f t="shared" si="20"/>
        <v/>
      </c>
      <c r="U14" s="18" t="str">
        <f t="shared" si="20"/>
        <v/>
      </c>
      <c r="V14" s="18">
        <f t="shared" si="20"/>
        <v>0.14545454545454545</v>
      </c>
      <c r="W14" s="18" t="str">
        <f t="shared" si="20"/>
        <v/>
      </c>
      <c r="X14" s="18" t="str">
        <f t="shared" si="20"/>
        <v/>
      </c>
      <c r="Y14" s="18" t="str">
        <f t="shared" si="20"/>
        <v/>
      </c>
      <c r="Z14" s="18" t="str">
        <f t="shared" si="20"/>
        <v/>
      </c>
      <c r="AA14" s="18" t="str">
        <f t="shared" si="20"/>
        <v/>
      </c>
      <c r="AB14" s="18" t="str">
        <f t="shared" si="20"/>
        <v/>
      </c>
      <c r="AC14" s="18" t="str">
        <f t="shared" si="20"/>
        <v/>
      </c>
      <c r="AD14" s="18" t="str">
        <f t="shared" si="20"/>
        <v/>
      </c>
      <c r="AE14" s="18" t="str">
        <f t="shared" si="20"/>
        <v/>
      </c>
      <c r="AF14" s="18" t="str">
        <f t="shared" si="20"/>
        <v/>
      </c>
      <c r="AG14" s="18" t="str">
        <f t="shared" si="20"/>
        <v/>
      </c>
      <c r="AH14" s="18" t="str">
        <f t="shared" si="20"/>
        <v/>
      </c>
      <c r="AI14" s="18" t="str">
        <f t="shared" si="20"/>
        <v/>
      </c>
      <c r="AJ14" s="18" t="str">
        <f t="shared" si="20"/>
        <v/>
      </c>
      <c r="AK14" s="18" t="str">
        <f t="shared" si="20"/>
        <v/>
      </c>
      <c r="AL14" s="18" t="str">
        <f t="shared" si="20"/>
        <v/>
      </c>
      <c r="AM14" s="18" t="str">
        <f t="shared" si="20"/>
        <v/>
      </c>
      <c r="AN14" s="18" t="str">
        <f t="shared" ref="AN14:AS14" si="21">IF(AN13="","",IF(AN13=0,"",AN13/(AN10*100)))</f>
        <v/>
      </c>
      <c r="AO14" s="18" t="str">
        <f t="shared" si="21"/>
        <v/>
      </c>
      <c r="AP14" s="18" t="str">
        <f t="shared" si="21"/>
        <v/>
      </c>
      <c r="AQ14" s="18" t="str">
        <f t="shared" si="21"/>
        <v/>
      </c>
      <c r="AR14" s="18" t="str">
        <f t="shared" si="21"/>
        <v/>
      </c>
      <c r="AS14" s="18" t="str">
        <f t="shared" si="21"/>
        <v/>
      </c>
    </row>
    <row r="15" spans="1:45" s="93" customFormat="1" ht="11">
      <c r="A15" s="17" t="s">
        <v>113</v>
      </c>
      <c r="B15" s="9" t="s">
        <v>2</v>
      </c>
      <c r="C15" s="74">
        <v>38775</v>
      </c>
      <c r="D15" s="8">
        <f>IF(D$3="","",C15)</f>
        <v>38775</v>
      </c>
      <c r="E15" s="8">
        <v>38835</v>
      </c>
      <c r="F15" s="59">
        <f>IF(F$3="","",E15)</f>
        <v>38835</v>
      </c>
      <c r="G15" s="8">
        <f>IF(G$3="","",F15)</f>
        <v>38835</v>
      </c>
      <c r="H15" s="8">
        <v>38911</v>
      </c>
      <c r="I15" s="59">
        <f t="shared" ref="I15:K16" si="22">IF(I$3="","",H15)</f>
        <v>38911</v>
      </c>
      <c r="J15" s="8">
        <f t="shared" si="22"/>
        <v>38911</v>
      </c>
      <c r="K15" s="8">
        <f t="shared" si="22"/>
        <v>38911</v>
      </c>
      <c r="L15" s="8">
        <v>38955</v>
      </c>
      <c r="M15" s="8">
        <f>IF(M$3="","",L15)</f>
        <v>38955</v>
      </c>
      <c r="N15" s="8">
        <f>IF(N$3="","",M15)</f>
        <v>38955</v>
      </c>
      <c r="O15" s="8">
        <v>38967</v>
      </c>
      <c r="P15" s="8">
        <f t="shared" ref="P15:AM15" si="23">IF(P$3="","",O15)</f>
        <v>38967</v>
      </c>
      <c r="Q15" s="8">
        <f t="shared" si="23"/>
        <v>38967</v>
      </c>
      <c r="R15" s="8">
        <f t="shared" si="23"/>
        <v>38967</v>
      </c>
      <c r="S15" s="8">
        <v>38994</v>
      </c>
      <c r="T15" s="8">
        <f t="shared" si="23"/>
        <v>38994</v>
      </c>
      <c r="U15" s="8">
        <f t="shared" si="23"/>
        <v>38994</v>
      </c>
      <c r="V15" s="8">
        <v>39021</v>
      </c>
      <c r="W15" s="8">
        <f t="shared" si="23"/>
        <v>39021</v>
      </c>
      <c r="X15" s="8">
        <f t="shared" si="23"/>
        <v>39021</v>
      </c>
      <c r="Y15" s="8">
        <f t="shared" si="23"/>
        <v>39021</v>
      </c>
      <c r="Z15" s="8">
        <v>39035</v>
      </c>
      <c r="AA15" s="8">
        <f t="shared" si="23"/>
        <v>39035</v>
      </c>
      <c r="AB15" s="8">
        <f t="shared" si="23"/>
        <v>39035</v>
      </c>
      <c r="AC15" s="8">
        <f t="shared" si="23"/>
        <v>39035</v>
      </c>
      <c r="AD15" s="8">
        <v>39128</v>
      </c>
      <c r="AE15" s="8" t="str">
        <f t="shared" si="23"/>
        <v/>
      </c>
      <c r="AF15" s="8" t="str">
        <f t="shared" si="23"/>
        <v/>
      </c>
      <c r="AG15" s="8" t="str">
        <f t="shared" si="23"/>
        <v/>
      </c>
      <c r="AH15" s="8" t="str">
        <f t="shared" si="23"/>
        <v/>
      </c>
      <c r="AI15" s="8" t="str">
        <f t="shared" si="23"/>
        <v/>
      </c>
      <c r="AJ15" s="8" t="str">
        <f t="shared" si="23"/>
        <v/>
      </c>
      <c r="AK15" s="8" t="str">
        <f t="shared" si="23"/>
        <v/>
      </c>
      <c r="AL15" s="8" t="str">
        <f t="shared" si="23"/>
        <v/>
      </c>
      <c r="AM15" s="8" t="str">
        <f t="shared" si="23"/>
        <v/>
      </c>
      <c r="AN15" s="8" t="str">
        <f t="shared" ref="AN15:AS15" si="24">IF(AN$3="","",AM15)</f>
        <v/>
      </c>
      <c r="AO15" s="8" t="str">
        <f t="shared" si="24"/>
        <v/>
      </c>
      <c r="AP15" s="8" t="str">
        <f t="shared" si="24"/>
        <v/>
      </c>
      <c r="AQ15" s="8" t="str">
        <f t="shared" si="24"/>
        <v/>
      </c>
      <c r="AR15" s="8" t="str">
        <f t="shared" si="24"/>
        <v/>
      </c>
      <c r="AS15" s="8" t="str">
        <f t="shared" si="24"/>
        <v/>
      </c>
    </row>
    <row r="16" spans="1:45" s="93" customFormat="1" ht="11">
      <c r="A16" s="16" t="s">
        <v>3</v>
      </c>
      <c r="B16" s="9" t="s">
        <v>4</v>
      </c>
      <c r="C16" s="74">
        <v>919</v>
      </c>
      <c r="D16" s="8">
        <f>IF(D$3="","",C16)</f>
        <v>919</v>
      </c>
      <c r="E16" s="8">
        <f>IF(E$3="","",D16)</f>
        <v>919</v>
      </c>
      <c r="F16" s="59">
        <f>IF(F$3="","",E16)</f>
        <v>919</v>
      </c>
      <c r="G16" s="8">
        <f>IF(G$3="","",F16)</f>
        <v>919</v>
      </c>
      <c r="H16" s="8">
        <f>IF(H$3="","",G16)</f>
        <v>919</v>
      </c>
      <c r="I16" s="59">
        <f t="shared" si="22"/>
        <v>919</v>
      </c>
      <c r="J16" s="8">
        <f t="shared" si="22"/>
        <v>919</v>
      </c>
      <c r="K16" s="8">
        <f t="shared" si="22"/>
        <v>919</v>
      </c>
      <c r="L16" s="8">
        <v>920</v>
      </c>
      <c r="M16" s="8">
        <f>IF(M$3="","",L16)</f>
        <v>920</v>
      </c>
      <c r="N16" s="8">
        <f>IF(N$3="","",M16)</f>
        <v>920</v>
      </c>
      <c r="O16" s="8">
        <v>921</v>
      </c>
      <c r="P16" s="8">
        <f t="shared" ref="P16:AM16" si="25">IF(P$3="","",O16)</f>
        <v>921</v>
      </c>
      <c r="Q16" s="8">
        <f t="shared" si="25"/>
        <v>921</v>
      </c>
      <c r="R16" s="8">
        <f t="shared" si="25"/>
        <v>921</v>
      </c>
      <c r="S16" s="8">
        <v>923</v>
      </c>
      <c r="T16" s="8">
        <f t="shared" si="25"/>
        <v>923</v>
      </c>
      <c r="U16" s="8">
        <f t="shared" si="25"/>
        <v>923</v>
      </c>
      <c r="V16" s="8">
        <f t="shared" si="25"/>
        <v>923</v>
      </c>
      <c r="W16" s="8">
        <f t="shared" si="25"/>
        <v>923</v>
      </c>
      <c r="X16" s="8">
        <f t="shared" si="25"/>
        <v>923</v>
      </c>
      <c r="Y16" s="8">
        <f t="shared" si="25"/>
        <v>923</v>
      </c>
      <c r="Z16" s="8">
        <f t="shared" si="25"/>
        <v>923</v>
      </c>
      <c r="AA16" s="8">
        <f t="shared" si="25"/>
        <v>923</v>
      </c>
      <c r="AB16" s="8">
        <f t="shared" si="25"/>
        <v>923</v>
      </c>
      <c r="AC16" s="8">
        <f t="shared" si="25"/>
        <v>923</v>
      </c>
      <c r="AD16" s="8">
        <v>925</v>
      </c>
      <c r="AE16" s="8" t="str">
        <f t="shared" si="25"/>
        <v/>
      </c>
      <c r="AF16" s="8" t="str">
        <f t="shared" si="25"/>
        <v/>
      </c>
      <c r="AG16" s="8" t="str">
        <f t="shared" si="25"/>
        <v/>
      </c>
      <c r="AH16" s="8" t="str">
        <f t="shared" si="25"/>
        <v/>
      </c>
      <c r="AI16" s="8" t="str">
        <f t="shared" si="25"/>
        <v/>
      </c>
      <c r="AJ16" s="8" t="str">
        <f t="shared" si="25"/>
        <v/>
      </c>
      <c r="AK16" s="8" t="str">
        <f t="shared" si="25"/>
        <v/>
      </c>
      <c r="AL16" s="8" t="str">
        <f t="shared" si="25"/>
        <v/>
      </c>
      <c r="AM16" s="8" t="str">
        <f t="shared" si="25"/>
        <v/>
      </c>
      <c r="AN16" s="8" t="str">
        <f t="shared" ref="AN16:AS16" si="26">IF(AN$3="","",AM16)</f>
        <v/>
      </c>
      <c r="AO16" s="8" t="str">
        <f t="shared" si="26"/>
        <v/>
      </c>
      <c r="AP16" s="8" t="str">
        <f t="shared" si="26"/>
        <v/>
      </c>
      <c r="AQ16" s="8" t="str">
        <f t="shared" si="26"/>
        <v/>
      </c>
      <c r="AR16" s="8" t="str">
        <f t="shared" si="26"/>
        <v/>
      </c>
      <c r="AS16" s="8" t="str">
        <f t="shared" si="26"/>
        <v/>
      </c>
    </row>
    <row r="17" spans="1:45" s="93" customFormat="1" ht="11">
      <c r="A17" s="15">
        <v>2</v>
      </c>
      <c r="B17" s="9" t="s">
        <v>5</v>
      </c>
      <c r="C17" s="74">
        <v>6</v>
      </c>
      <c r="D17" s="8">
        <f>IF(D15="","",(C17+C18))</f>
        <v>6</v>
      </c>
      <c r="E17" s="8">
        <v>5</v>
      </c>
      <c r="F17" s="59">
        <f t="shared" ref="F17:K17" si="27">IF(F15="","",(E17+E18))</f>
        <v>7</v>
      </c>
      <c r="G17" s="8">
        <f t="shared" si="27"/>
        <v>7</v>
      </c>
      <c r="H17" s="8">
        <f t="shared" si="27"/>
        <v>7</v>
      </c>
      <c r="I17" s="59">
        <f t="shared" si="27"/>
        <v>7</v>
      </c>
      <c r="J17" s="8">
        <f t="shared" si="27"/>
        <v>7</v>
      </c>
      <c r="K17" s="8">
        <f t="shared" si="27"/>
        <v>7</v>
      </c>
      <c r="L17" s="8">
        <v>6</v>
      </c>
      <c r="M17" s="8">
        <f>IF(M15="","",(L17+L18))</f>
        <v>6</v>
      </c>
      <c r="N17" s="8">
        <f>IF(N15="","",(M17+M18))</f>
        <v>6</v>
      </c>
      <c r="O17" s="8">
        <v>5</v>
      </c>
      <c r="P17" s="8">
        <f t="shared" ref="P17:AM17" si="28">IF(P15="","",(O17+O18))</f>
        <v>8</v>
      </c>
      <c r="Q17" s="8">
        <f t="shared" si="28"/>
        <v>8</v>
      </c>
      <c r="R17" s="8">
        <f t="shared" si="28"/>
        <v>8</v>
      </c>
      <c r="S17" s="8">
        <v>7</v>
      </c>
      <c r="T17" s="8">
        <f t="shared" si="28"/>
        <v>7</v>
      </c>
      <c r="U17" s="8">
        <f t="shared" si="28"/>
        <v>7</v>
      </c>
      <c r="V17" s="8">
        <f t="shared" si="28"/>
        <v>7</v>
      </c>
      <c r="W17" s="8">
        <f t="shared" si="28"/>
        <v>7</v>
      </c>
      <c r="X17" s="8">
        <f t="shared" si="28"/>
        <v>7</v>
      </c>
      <c r="Y17" s="8">
        <f t="shared" si="28"/>
        <v>7</v>
      </c>
      <c r="Z17" s="8">
        <f t="shared" si="28"/>
        <v>7</v>
      </c>
      <c r="AA17" s="8">
        <f t="shared" si="28"/>
        <v>7</v>
      </c>
      <c r="AB17" s="8">
        <f t="shared" si="28"/>
        <v>7</v>
      </c>
      <c r="AC17" s="8">
        <f t="shared" si="28"/>
        <v>7</v>
      </c>
      <c r="AD17" s="8">
        <v>5</v>
      </c>
      <c r="AE17" s="8" t="str">
        <f t="shared" si="28"/>
        <v/>
      </c>
      <c r="AF17" s="8" t="str">
        <f t="shared" si="28"/>
        <v/>
      </c>
      <c r="AG17" s="8" t="str">
        <f t="shared" si="28"/>
        <v/>
      </c>
      <c r="AH17" s="8" t="str">
        <f t="shared" si="28"/>
        <v/>
      </c>
      <c r="AI17" s="8" t="str">
        <f t="shared" si="28"/>
        <v/>
      </c>
      <c r="AJ17" s="8" t="str">
        <f t="shared" si="28"/>
        <v/>
      </c>
      <c r="AK17" s="8" t="str">
        <f t="shared" si="28"/>
        <v/>
      </c>
      <c r="AL17" s="8" t="str">
        <f t="shared" si="28"/>
        <v/>
      </c>
      <c r="AM17" s="8" t="str">
        <f t="shared" si="28"/>
        <v/>
      </c>
      <c r="AN17" s="8" t="str">
        <f t="shared" ref="AN17:AS17" si="29">IF(AN15="","",(AM17+AM18))</f>
        <v/>
      </c>
      <c r="AO17" s="8" t="str">
        <f t="shared" si="29"/>
        <v/>
      </c>
      <c r="AP17" s="8" t="str">
        <f t="shared" si="29"/>
        <v/>
      </c>
      <c r="AQ17" s="8" t="str">
        <f t="shared" si="29"/>
        <v/>
      </c>
      <c r="AR17" s="8" t="str">
        <f t="shared" si="29"/>
        <v/>
      </c>
      <c r="AS17" s="8" t="str">
        <f t="shared" si="29"/>
        <v/>
      </c>
    </row>
    <row r="18" spans="1:45" s="93" customFormat="1" ht="11">
      <c r="A18" s="14"/>
      <c r="B18" s="9" t="s">
        <v>7</v>
      </c>
      <c r="C18" s="74"/>
      <c r="D18" s="8"/>
      <c r="E18" s="8">
        <v>2</v>
      </c>
      <c r="F18" s="59"/>
      <c r="G18" s="8"/>
      <c r="H18" s="8"/>
      <c r="I18" s="59"/>
      <c r="J18" s="8"/>
      <c r="K18" s="8"/>
      <c r="L18" s="8"/>
      <c r="M18" s="8"/>
      <c r="N18" s="8"/>
      <c r="O18" s="8">
        <v>3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s="93" customFormat="1" ht="11">
      <c r="A19" s="7"/>
      <c r="B19" s="9" t="s">
        <v>8</v>
      </c>
      <c r="C19" s="74">
        <v>750</v>
      </c>
      <c r="D19" s="8">
        <f t="shared" ref="D19:AM19" si="30">IF(D15="","",C19)</f>
        <v>750</v>
      </c>
      <c r="E19" s="8">
        <f t="shared" si="30"/>
        <v>750</v>
      </c>
      <c r="F19" s="59">
        <f t="shared" si="30"/>
        <v>750</v>
      </c>
      <c r="G19" s="8">
        <f t="shared" si="30"/>
        <v>750</v>
      </c>
      <c r="H19" s="8">
        <f t="shared" si="30"/>
        <v>750</v>
      </c>
      <c r="I19" s="59">
        <f t="shared" si="30"/>
        <v>750</v>
      </c>
      <c r="J19" s="8">
        <f t="shared" si="30"/>
        <v>750</v>
      </c>
      <c r="K19" s="8">
        <f t="shared" si="30"/>
        <v>750</v>
      </c>
      <c r="L19" s="8">
        <f t="shared" si="30"/>
        <v>750</v>
      </c>
      <c r="M19" s="8">
        <f t="shared" si="30"/>
        <v>750</v>
      </c>
      <c r="N19" s="8">
        <f t="shared" si="30"/>
        <v>750</v>
      </c>
      <c r="O19" s="8">
        <f t="shared" si="30"/>
        <v>750</v>
      </c>
      <c r="P19" s="8">
        <f t="shared" si="30"/>
        <v>750</v>
      </c>
      <c r="Q19" s="8">
        <f t="shared" si="30"/>
        <v>750</v>
      </c>
      <c r="R19" s="8">
        <f t="shared" si="30"/>
        <v>750</v>
      </c>
      <c r="S19" s="8">
        <f t="shared" si="30"/>
        <v>750</v>
      </c>
      <c r="T19" s="8">
        <f t="shared" si="30"/>
        <v>750</v>
      </c>
      <c r="U19" s="8">
        <f t="shared" si="30"/>
        <v>750</v>
      </c>
      <c r="V19" s="8">
        <f t="shared" si="30"/>
        <v>750</v>
      </c>
      <c r="W19" s="8">
        <f t="shared" si="30"/>
        <v>750</v>
      </c>
      <c r="X19" s="8">
        <f t="shared" si="30"/>
        <v>750</v>
      </c>
      <c r="Y19" s="8">
        <f t="shared" si="30"/>
        <v>750</v>
      </c>
      <c r="Z19" s="8">
        <f t="shared" si="30"/>
        <v>750</v>
      </c>
      <c r="AA19" s="8">
        <f t="shared" si="30"/>
        <v>750</v>
      </c>
      <c r="AB19" s="8">
        <f t="shared" si="30"/>
        <v>750</v>
      </c>
      <c r="AC19" s="8">
        <f t="shared" si="30"/>
        <v>750</v>
      </c>
      <c r="AD19" s="8">
        <f t="shared" si="30"/>
        <v>750</v>
      </c>
      <c r="AE19" s="8" t="str">
        <f t="shared" si="30"/>
        <v/>
      </c>
      <c r="AF19" s="8" t="str">
        <f t="shared" si="30"/>
        <v/>
      </c>
      <c r="AG19" s="8" t="str">
        <f t="shared" si="30"/>
        <v/>
      </c>
      <c r="AH19" s="8" t="str">
        <f t="shared" si="30"/>
        <v/>
      </c>
      <c r="AI19" s="8" t="str">
        <f t="shared" si="30"/>
        <v/>
      </c>
      <c r="AJ19" s="8" t="str">
        <f t="shared" si="30"/>
        <v/>
      </c>
      <c r="AK19" s="8" t="str">
        <f t="shared" si="30"/>
        <v/>
      </c>
      <c r="AL19" s="8" t="str">
        <f t="shared" si="30"/>
        <v/>
      </c>
      <c r="AM19" s="8" t="str">
        <f t="shared" si="30"/>
        <v/>
      </c>
      <c r="AN19" s="8" t="str">
        <f t="shared" ref="AN19:AS19" si="31">IF(AN15="","",AM19)</f>
        <v/>
      </c>
      <c r="AO19" s="8" t="str">
        <f t="shared" si="31"/>
        <v/>
      </c>
      <c r="AP19" s="8" t="str">
        <f t="shared" si="31"/>
        <v/>
      </c>
      <c r="AQ19" s="8" t="str">
        <f t="shared" si="31"/>
        <v/>
      </c>
      <c r="AR19" s="8" t="str">
        <f t="shared" si="31"/>
        <v/>
      </c>
      <c r="AS19" s="8" t="str">
        <f t="shared" si="31"/>
        <v/>
      </c>
    </row>
    <row r="20" spans="1:45" s="94" customFormat="1" ht="11">
      <c r="A20" s="14" t="s">
        <v>9</v>
      </c>
      <c r="B20" s="13" t="s">
        <v>10</v>
      </c>
      <c r="C20" s="75" t="s">
        <v>114</v>
      </c>
      <c r="D20" s="12" t="str">
        <f t="shared" ref="D20:AM20" si="32">IF(D15="","",C20)</f>
        <v>ギャルキティケース</v>
      </c>
      <c r="E20" s="12" t="str">
        <f t="shared" si="32"/>
        <v>ギャルキティケース</v>
      </c>
      <c r="F20" s="131" t="str">
        <f t="shared" si="32"/>
        <v>ギャルキティケース</v>
      </c>
      <c r="G20" s="12" t="str">
        <f t="shared" si="32"/>
        <v>ギャルキティケース</v>
      </c>
      <c r="H20" s="12" t="str">
        <f t="shared" si="32"/>
        <v>ギャルキティケース</v>
      </c>
      <c r="I20" s="131" t="str">
        <f t="shared" si="32"/>
        <v>ギャルキティケース</v>
      </c>
      <c r="J20" s="12" t="str">
        <f t="shared" si="32"/>
        <v>ギャルキティケース</v>
      </c>
      <c r="K20" s="12" t="str">
        <f t="shared" si="32"/>
        <v>ギャルキティケース</v>
      </c>
      <c r="L20" s="12" t="str">
        <f t="shared" si="32"/>
        <v>ギャルキティケース</v>
      </c>
      <c r="M20" s="12" t="str">
        <f t="shared" si="32"/>
        <v>ギャルキティケース</v>
      </c>
      <c r="N20" s="12" t="str">
        <f t="shared" si="32"/>
        <v>ギャルキティケース</v>
      </c>
      <c r="O20" s="12" t="str">
        <f t="shared" si="32"/>
        <v>ギャルキティケース</v>
      </c>
      <c r="P20" s="12" t="str">
        <f t="shared" si="32"/>
        <v>ギャルキティケース</v>
      </c>
      <c r="Q20" s="12" t="str">
        <f t="shared" si="32"/>
        <v>ギャルキティケース</v>
      </c>
      <c r="R20" s="12" t="str">
        <f t="shared" si="32"/>
        <v>ギャルキティケース</v>
      </c>
      <c r="S20" s="12" t="str">
        <f t="shared" si="32"/>
        <v>ギャルキティケース</v>
      </c>
      <c r="T20" s="12" t="str">
        <f t="shared" si="32"/>
        <v>ギャルキティケース</v>
      </c>
      <c r="U20" s="12" t="str">
        <f t="shared" si="32"/>
        <v>ギャルキティケース</v>
      </c>
      <c r="V20" s="12" t="str">
        <f t="shared" si="32"/>
        <v>ギャルキティケース</v>
      </c>
      <c r="W20" s="12" t="str">
        <f t="shared" si="32"/>
        <v>ギャルキティケース</v>
      </c>
      <c r="X20" s="12" t="str">
        <f t="shared" si="32"/>
        <v>ギャルキティケース</v>
      </c>
      <c r="Y20" s="12" t="str">
        <f t="shared" si="32"/>
        <v>ギャルキティケース</v>
      </c>
      <c r="Z20" s="12" t="str">
        <f t="shared" si="32"/>
        <v>ギャルキティケース</v>
      </c>
      <c r="AA20" s="12" t="str">
        <f t="shared" si="32"/>
        <v>ギャルキティケース</v>
      </c>
      <c r="AB20" s="12" t="str">
        <f t="shared" si="32"/>
        <v>ギャルキティケース</v>
      </c>
      <c r="AC20" s="12" t="str">
        <f t="shared" si="32"/>
        <v>ギャルキティケース</v>
      </c>
      <c r="AD20" s="12" t="str">
        <f t="shared" si="32"/>
        <v>ギャルキティケース</v>
      </c>
      <c r="AE20" s="12" t="str">
        <f t="shared" si="32"/>
        <v/>
      </c>
      <c r="AF20" s="12" t="str">
        <f t="shared" si="32"/>
        <v/>
      </c>
      <c r="AG20" s="12" t="str">
        <f t="shared" si="32"/>
        <v/>
      </c>
      <c r="AH20" s="12" t="str">
        <f t="shared" si="32"/>
        <v/>
      </c>
      <c r="AI20" s="12" t="str">
        <f t="shared" si="32"/>
        <v/>
      </c>
      <c r="AJ20" s="12" t="str">
        <f t="shared" si="32"/>
        <v/>
      </c>
      <c r="AK20" s="12" t="str">
        <f t="shared" si="32"/>
        <v/>
      </c>
      <c r="AL20" s="12" t="str">
        <f t="shared" si="32"/>
        <v/>
      </c>
      <c r="AM20" s="12" t="str">
        <f t="shared" si="32"/>
        <v/>
      </c>
      <c r="AN20" s="12" t="str">
        <f t="shared" ref="AN20:AS20" si="33">IF(AN15="","",AM20)</f>
        <v/>
      </c>
      <c r="AO20" s="12" t="str">
        <f t="shared" si="33"/>
        <v/>
      </c>
      <c r="AP20" s="12" t="str">
        <f t="shared" si="33"/>
        <v/>
      </c>
      <c r="AQ20" s="12" t="str">
        <f t="shared" si="33"/>
        <v/>
      </c>
      <c r="AR20" s="12" t="str">
        <f t="shared" si="33"/>
        <v/>
      </c>
      <c r="AS20" s="12" t="str">
        <f t="shared" si="33"/>
        <v/>
      </c>
    </row>
    <row r="21" spans="1:45" s="93" customFormat="1" ht="11">
      <c r="A21" s="7">
        <f>AVERAGE(C22:AS22)*30*100</f>
        <v>37821.428571428572</v>
      </c>
      <c r="B21" s="9" t="s">
        <v>14</v>
      </c>
      <c r="C21" s="74"/>
      <c r="D21" s="8"/>
      <c r="E21" s="8"/>
      <c r="F21" s="59"/>
      <c r="G21" s="8"/>
      <c r="H21" s="8"/>
      <c r="I21" s="5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s="93" customFormat="1" ht="11">
      <c r="A22" s="7">
        <f>SUM(C22:AS22)</f>
        <v>353</v>
      </c>
      <c r="B22" s="6" t="s">
        <v>15</v>
      </c>
      <c r="C22" s="74">
        <v>0</v>
      </c>
      <c r="D22" s="5">
        <f t="shared" ref="D22:AM22" si="34">IF(D15="","",D15-C15)</f>
        <v>0</v>
      </c>
      <c r="E22" s="5">
        <f t="shared" si="34"/>
        <v>60</v>
      </c>
      <c r="F22" s="59">
        <f t="shared" si="34"/>
        <v>0</v>
      </c>
      <c r="G22" s="5">
        <f t="shared" si="34"/>
        <v>0</v>
      </c>
      <c r="H22" s="5">
        <f t="shared" si="34"/>
        <v>76</v>
      </c>
      <c r="I22" s="59">
        <f t="shared" si="34"/>
        <v>0</v>
      </c>
      <c r="J22" s="5">
        <f t="shared" si="34"/>
        <v>0</v>
      </c>
      <c r="K22" s="5">
        <f t="shared" si="34"/>
        <v>0</v>
      </c>
      <c r="L22" s="5">
        <f t="shared" si="34"/>
        <v>44</v>
      </c>
      <c r="M22" s="5">
        <f t="shared" si="34"/>
        <v>0</v>
      </c>
      <c r="N22" s="5">
        <f t="shared" si="34"/>
        <v>0</v>
      </c>
      <c r="O22" s="5">
        <f t="shared" si="34"/>
        <v>12</v>
      </c>
      <c r="P22" s="5">
        <f t="shared" si="34"/>
        <v>0</v>
      </c>
      <c r="Q22" s="5">
        <f t="shared" si="34"/>
        <v>0</v>
      </c>
      <c r="R22" s="5">
        <f t="shared" si="34"/>
        <v>0</v>
      </c>
      <c r="S22" s="5">
        <f t="shared" si="34"/>
        <v>27</v>
      </c>
      <c r="T22" s="5">
        <f t="shared" si="34"/>
        <v>0</v>
      </c>
      <c r="U22" s="5">
        <f t="shared" si="34"/>
        <v>0</v>
      </c>
      <c r="V22" s="5">
        <f t="shared" si="34"/>
        <v>27</v>
      </c>
      <c r="W22" s="5">
        <f t="shared" si="34"/>
        <v>0</v>
      </c>
      <c r="X22" s="5">
        <f t="shared" si="34"/>
        <v>0</v>
      </c>
      <c r="Y22" s="5">
        <f t="shared" si="34"/>
        <v>0</v>
      </c>
      <c r="Z22" s="5">
        <f t="shared" si="34"/>
        <v>14</v>
      </c>
      <c r="AA22" s="5">
        <f t="shared" si="34"/>
        <v>0</v>
      </c>
      <c r="AB22" s="5">
        <f t="shared" si="34"/>
        <v>0</v>
      </c>
      <c r="AC22" s="5">
        <f t="shared" si="34"/>
        <v>0</v>
      </c>
      <c r="AD22" s="5">
        <f t="shared" si="34"/>
        <v>93</v>
      </c>
      <c r="AE22" s="5" t="str">
        <f t="shared" si="34"/>
        <v/>
      </c>
      <c r="AF22" s="5" t="str">
        <f t="shared" si="34"/>
        <v/>
      </c>
      <c r="AG22" s="5" t="str">
        <f t="shared" si="34"/>
        <v/>
      </c>
      <c r="AH22" s="5" t="str">
        <f t="shared" si="34"/>
        <v/>
      </c>
      <c r="AI22" s="5" t="str">
        <f t="shared" si="34"/>
        <v/>
      </c>
      <c r="AJ22" s="5" t="str">
        <f t="shared" si="34"/>
        <v/>
      </c>
      <c r="AK22" s="5" t="str">
        <f t="shared" si="34"/>
        <v/>
      </c>
      <c r="AL22" s="5" t="str">
        <f t="shared" si="34"/>
        <v/>
      </c>
      <c r="AM22" s="5" t="str">
        <f t="shared" si="34"/>
        <v/>
      </c>
      <c r="AN22" s="5" t="str">
        <f t="shared" ref="AN22:AS22" si="35">IF(AN15="","",AN15-AM15)</f>
        <v/>
      </c>
      <c r="AO22" s="5" t="str">
        <f t="shared" si="35"/>
        <v/>
      </c>
      <c r="AP22" s="5" t="str">
        <f t="shared" si="35"/>
        <v/>
      </c>
      <c r="AQ22" s="5" t="str">
        <f t="shared" si="35"/>
        <v/>
      </c>
      <c r="AR22" s="5" t="str">
        <f t="shared" si="35"/>
        <v/>
      </c>
      <c r="AS22" s="5" t="str">
        <f t="shared" si="35"/>
        <v/>
      </c>
    </row>
    <row r="23" spans="1:45" s="93" customFormat="1" ht="11">
      <c r="A23" s="7">
        <f>SUM(C23:AS23)</f>
        <v>6</v>
      </c>
      <c r="B23" s="6" t="s">
        <v>16</v>
      </c>
      <c r="C23" s="74">
        <v>0</v>
      </c>
      <c r="D23" s="5">
        <f t="shared" ref="D23:AM23" si="36">IF(D16="","",D16-C16)</f>
        <v>0</v>
      </c>
      <c r="E23" s="5">
        <f t="shared" si="36"/>
        <v>0</v>
      </c>
      <c r="F23" s="59">
        <f t="shared" si="36"/>
        <v>0</v>
      </c>
      <c r="G23" s="5">
        <f t="shared" si="36"/>
        <v>0</v>
      </c>
      <c r="H23" s="5">
        <f t="shared" si="36"/>
        <v>0</v>
      </c>
      <c r="I23" s="59">
        <f t="shared" si="36"/>
        <v>0</v>
      </c>
      <c r="J23" s="5">
        <f t="shared" si="36"/>
        <v>0</v>
      </c>
      <c r="K23" s="5">
        <f t="shared" si="36"/>
        <v>0</v>
      </c>
      <c r="L23" s="5">
        <f t="shared" si="36"/>
        <v>1</v>
      </c>
      <c r="M23" s="5">
        <f t="shared" si="36"/>
        <v>0</v>
      </c>
      <c r="N23" s="5">
        <f t="shared" si="36"/>
        <v>0</v>
      </c>
      <c r="O23" s="5">
        <f t="shared" si="36"/>
        <v>1</v>
      </c>
      <c r="P23" s="5">
        <f t="shared" si="36"/>
        <v>0</v>
      </c>
      <c r="Q23" s="5">
        <f t="shared" si="36"/>
        <v>0</v>
      </c>
      <c r="R23" s="5">
        <f t="shared" si="36"/>
        <v>0</v>
      </c>
      <c r="S23" s="5">
        <f t="shared" si="36"/>
        <v>2</v>
      </c>
      <c r="T23" s="5">
        <f t="shared" si="36"/>
        <v>0</v>
      </c>
      <c r="U23" s="5">
        <f t="shared" si="36"/>
        <v>0</v>
      </c>
      <c r="V23" s="5">
        <f t="shared" si="36"/>
        <v>0</v>
      </c>
      <c r="W23" s="5">
        <f t="shared" si="36"/>
        <v>0</v>
      </c>
      <c r="X23" s="5">
        <f t="shared" si="36"/>
        <v>0</v>
      </c>
      <c r="Y23" s="5">
        <f t="shared" si="36"/>
        <v>0</v>
      </c>
      <c r="Z23" s="5">
        <f t="shared" si="36"/>
        <v>0</v>
      </c>
      <c r="AA23" s="5">
        <f t="shared" si="36"/>
        <v>0</v>
      </c>
      <c r="AB23" s="5">
        <f t="shared" si="36"/>
        <v>0</v>
      </c>
      <c r="AC23" s="5">
        <f t="shared" si="36"/>
        <v>0</v>
      </c>
      <c r="AD23" s="5">
        <f t="shared" si="36"/>
        <v>2</v>
      </c>
      <c r="AE23" s="5" t="str">
        <f t="shared" si="36"/>
        <v/>
      </c>
      <c r="AF23" s="5" t="str">
        <f t="shared" si="36"/>
        <v/>
      </c>
      <c r="AG23" s="5" t="str">
        <f t="shared" si="36"/>
        <v/>
      </c>
      <c r="AH23" s="5" t="str">
        <f t="shared" si="36"/>
        <v/>
      </c>
      <c r="AI23" s="5" t="str">
        <f t="shared" si="36"/>
        <v/>
      </c>
      <c r="AJ23" s="5" t="str">
        <f t="shared" si="36"/>
        <v/>
      </c>
      <c r="AK23" s="5" t="str">
        <f t="shared" si="36"/>
        <v/>
      </c>
      <c r="AL23" s="5" t="str">
        <f t="shared" si="36"/>
        <v/>
      </c>
      <c r="AM23" s="5" t="str">
        <f t="shared" si="36"/>
        <v/>
      </c>
      <c r="AN23" s="5" t="str">
        <f t="shared" ref="AN23:AS23" si="37">IF(AN16="","",AN16-AM16)</f>
        <v/>
      </c>
      <c r="AO23" s="5" t="str">
        <f t="shared" si="37"/>
        <v/>
      </c>
      <c r="AP23" s="5" t="str">
        <f t="shared" si="37"/>
        <v/>
      </c>
      <c r="AQ23" s="5" t="str">
        <f t="shared" si="37"/>
        <v/>
      </c>
      <c r="AR23" s="5" t="str">
        <f t="shared" si="37"/>
        <v/>
      </c>
      <c r="AS23" s="5" t="str">
        <f t="shared" si="37"/>
        <v/>
      </c>
    </row>
    <row r="24" spans="1:45" s="93" customFormat="1" ht="11">
      <c r="A24" s="7">
        <f>SUM(C24:AS24)</f>
        <v>6</v>
      </c>
      <c r="B24" s="6" t="s">
        <v>17</v>
      </c>
      <c r="C24" s="74">
        <v>0</v>
      </c>
      <c r="D24" s="5">
        <f t="shared" ref="D24:AM24" si="38">IF(D17="","",C17+C18-D17)</f>
        <v>0</v>
      </c>
      <c r="E24" s="5">
        <f t="shared" si="38"/>
        <v>1</v>
      </c>
      <c r="F24" s="59">
        <f t="shared" si="38"/>
        <v>0</v>
      </c>
      <c r="G24" s="5">
        <f t="shared" si="38"/>
        <v>0</v>
      </c>
      <c r="H24" s="5">
        <f t="shared" si="38"/>
        <v>0</v>
      </c>
      <c r="I24" s="59">
        <f t="shared" si="38"/>
        <v>0</v>
      </c>
      <c r="J24" s="5">
        <f t="shared" si="38"/>
        <v>0</v>
      </c>
      <c r="K24" s="5">
        <f t="shared" si="38"/>
        <v>0</v>
      </c>
      <c r="L24" s="5">
        <f t="shared" si="38"/>
        <v>1</v>
      </c>
      <c r="M24" s="5">
        <f t="shared" si="38"/>
        <v>0</v>
      </c>
      <c r="N24" s="5">
        <f t="shared" si="38"/>
        <v>0</v>
      </c>
      <c r="O24" s="5">
        <f t="shared" si="38"/>
        <v>1</v>
      </c>
      <c r="P24" s="5">
        <f t="shared" si="38"/>
        <v>0</v>
      </c>
      <c r="Q24" s="5">
        <f t="shared" si="38"/>
        <v>0</v>
      </c>
      <c r="R24" s="5">
        <f t="shared" si="38"/>
        <v>0</v>
      </c>
      <c r="S24" s="5">
        <f t="shared" si="38"/>
        <v>1</v>
      </c>
      <c r="T24" s="5">
        <f t="shared" si="38"/>
        <v>0</v>
      </c>
      <c r="U24" s="5">
        <f t="shared" si="38"/>
        <v>0</v>
      </c>
      <c r="V24" s="5">
        <f t="shared" si="38"/>
        <v>0</v>
      </c>
      <c r="W24" s="5">
        <f t="shared" si="38"/>
        <v>0</v>
      </c>
      <c r="X24" s="5">
        <f t="shared" si="38"/>
        <v>0</v>
      </c>
      <c r="Y24" s="5">
        <f t="shared" si="38"/>
        <v>0</v>
      </c>
      <c r="Z24" s="5">
        <f t="shared" si="38"/>
        <v>0</v>
      </c>
      <c r="AA24" s="5">
        <f t="shared" si="38"/>
        <v>0</v>
      </c>
      <c r="AB24" s="5">
        <f t="shared" si="38"/>
        <v>0</v>
      </c>
      <c r="AC24" s="5">
        <f t="shared" si="38"/>
        <v>0</v>
      </c>
      <c r="AD24" s="5">
        <f t="shared" si="38"/>
        <v>2</v>
      </c>
      <c r="AE24" s="5" t="str">
        <f t="shared" si="38"/>
        <v/>
      </c>
      <c r="AF24" s="5" t="str">
        <f t="shared" si="38"/>
        <v/>
      </c>
      <c r="AG24" s="5" t="str">
        <f t="shared" si="38"/>
        <v/>
      </c>
      <c r="AH24" s="5" t="str">
        <f t="shared" si="38"/>
        <v/>
      </c>
      <c r="AI24" s="5" t="str">
        <f t="shared" si="38"/>
        <v/>
      </c>
      <c r="AJ24" s="5" t="str">
        <f t="shared" si="38"/>
        <v/>
      </c>
      <c r="AK24" s="5" t="str">
        <f t="shared" si="38"/>
        <v/>
      </c>
      <c r="AL24" s="5" t="str">
        <f t="shared" si="38"/>
        <v/>
      </c>
      <c r="AM24" s="5" t="str">
        <f t="shared" si="38"/>
        <v/>
      </c>
      <c r="AN24" s="5" t="str">
        <f t="shared" ref="AN24:AS24" si="39">IF(AN17="","",AM17+AM18-AN17)</f>
        <v/>
      </c>
      <c r="AO24" s="5" t="str">
        <f t="shared" si="39"/>
        <v/>
      </c>
      <c r="AP24" s="5" t="str">
        <f t="shared" si="39"/>
        <v/>
      </c>
      <c r="AQ24" s="5" t="str">
        <f t="shared" si="39"/>
        <v/>
      </c>
      <c r="AR24" s="5" t="str">
        <f t="shared" si="39"/>
        <v/>
      </c>
      <c r="AS24" s="5" t="str">
        <f t="shared" si="39"/>
        <v/>
      </c>
    </row>
    <row r="25" spans="1:45" s="93" customFormat="1" ht="11">
      <c r="A25" s="7">
        <f>SUM(C25:AS25)</f>
        <v>4500</v>
      </c>
      <c r="B25" s="6" t="s">
        <v>18</v>
      </c>
      <c r="C25" s="74">
        <v>0</v>
      </c>
      <c r="D25" s="5">
        <f t="shared" ref="D25:AM25" si="40">IF(D15="","",D24*D19)</f>
        <v>0</v>
      </c>
      <c r="E25" s="5">
        <f t="shared" si="40"/>
        <v>750</v>
      </c>
      <c r="F25" s="59">
        <f t="shared" si="40"/>
        <v>0</v>
      </c>
      <c r="G25" s="5">
        <f t="shared" si="40"/>
        <v>0</v>
      </c>
      <c r="H25" s="5">
        <f t="shared" si="40"/>
        <v>0</v>
      </c>
      <c r="I25" s="59">
        <f t="shared" si="40"/>
        <v>0</v>
      </c>
      <c r="J25" s="5">
        <f t="shared" si="40"/>
        <v>0</v>
      </c>
      <c r="K25" s="5">
        <f t="shared" si="40"/>
        <v>0</v>
      </c>
      <c r="L25" s="5">
        <f t="shared" si="40"/>
        <v>750</v>
      </c>
      <c r="M25" s="5">
        <f t="shared" si="40"/>
        <v>0</v>
      </c>
      <c r="N25" s="5">
        <f t="shared" si="40"/>
        <v>0</v>
      </c>
      <c r="O25" s="5">
        <f t="shared" si="40"/>
        <v>750</v>
      </c>
      <c r="P25" s="5">
        <f t="shared" si="40"/>
        <v>0</v>
      </c>
      <c r="Q25" s="5">
        <f t="shared" si="40"/>
        <v>0</v>
      </c>
      <c r="R25" s="5">
        <f t="shared" si="40"/>
        <v>0</v>
      </c>
      <c r="S25" s="5">
        <f t="shared" si="40"/>
        <v>750</v>
      </c>
      <c r="T25" s="5">
        <f t="shared" si="40"/>
        <v>0</v>
      </c>
      <c r="U25" s="5">
        <f t="shared" si="40"/>
        <v>0</v>
      </c>
      <c r="V25" s="5">
        <f t="shared" si="40"/>
        <v>0</v>
      </c>
      <c r="W25" s="5">
        <f t="shared" si="40"/>
        <v>0</v>
      </c>
      <c r="X25" s="5">
        <f t="shared" si="40"/>
        <v>0</v>
      </c>
      <c r="Y25" s="5">
        <f t="shared" si="40"/>
        <v>0</v>
      </c>
      <c r="Z25" s="5">
        <f t="shared" si="40"/>
        <v>0</v>
      </c>
      <c r="AA25" s="5">
        <f t="shared" si="40"/>
        <v>0</v>
      </c>
      <c r="AB25" s="5">
        <f t="shared" si="40"/>
        <v>0</v>
      </c>
      <c r="AC25" s="5">
        <f t="shared" si="40"/>
        <v>0</v>
      </c>
      <c r="AD25" s="5">
        <f t="shared" si="40"/>
        <v>1500</v>
      </c>
      <c r="AE25" s="5" t="str">
        <f t="shared" si="40"/>
        <v/>
      </c>
      <c r="AF25" s="5" t="str">
        <f t="shared" si="40"/>
        <v/>
      </c>
      <c r="AG25" s="5" t="str">
        <f t="shared" si="40"/>
        <v/>
      </c>
      <c r="AH25" s="5" t="str">
        <f t="shared" si="40"/>
        <v/>
      </c>
      <c r="AI25" s="5" t="str">
        <f t="shared" si="40"/>
        <v/>
      </c>
      <c r="AJ25" s="5" t="str">
        <f t="shared" si="40"/>
        <v/>
      </c>
      <c r="AK25" s="5" t="str">
        <f t="shared" si="40"/>
        <v/>
      </c>
      <c r="AL25" s="5" t="str">
        <f t="shared" si="40"/>
        <v/>
      </c>
      <c r="AM25" s="5" t="str">
        <f t="shared" si="40"/>
        <v/>
      </c>
      <c r="AN25" s="5" t="str">
        <f t="shared" ref="AN25:AS25" si="41">IF(AN15="","",AN24*AN19)</f>
        <v/>
      </c>
      <c r="AO25" s="5" t="str">
        <f t="shared" si="41"/>
        <v/>
      </c>
      <c r="AP25" s="5" t="str">
        <f t="shared" si="41"/>
        <v/>
      </c>
      <c r="AQ25" s="5" t="str">
        <f t="shared" si="41"/>
        <v/>
      </c>
      <c r="AR25" s="5" t="str">
        <f t="shared" si="41"/>
        <v/>
      </c>
      <c r="AS25" s="5" t="str">
        <f t="shared" si="41"/>
        <v/>
      </c>
    </row>
    <row r="26" spans="1:45" s="93" customFormat="1" ht="12" thickBot="1">
      <c r="A26" s="4">
        <f>IF(A25="","",A25/(A22*100))</f>
        <v>0.12747875354107649</v>
      </c>
      <c r="B26" s="6" t="s">
        <v>20</v>
      </c>
      <c r="C26" s="76" t="s">
        <v>21</v>
      </c>
      <c r="D26" s="18" t="str">
        <f t="shared" ref="D26:AM26" si="42">IF(D25="","",IF(D25=0,"",D25/(D22*100)))</f>
        <v/>
      </c>
      <c r="E26" s="18">
        <f t="shared" si="42"/>
        <v>0.125</v>
      </c>
      <c r="F26" s="62" t="str">
        <f t="shared" si="42"/>
        <v/>
      </c>
      <c r="G26" s="18" t="str">
        <f t="shared" si="42"/>
        <v/>
      </c>
      <c r="H26" s="18" t="str">
        <f t="shared" si="42"/>
        <v/>
      </c>
      <c r="I26" s="62" t="str">
        <f t="shared" si="42"/>
        <v/>
      </c>
      <c r="J26" s="18" t="str">
        <f t="shared" si="42"/>
        <v/>
      </c>
      <c r="K26" s="18" t="str">
        <f t="shared" si="42"/>
        <v/>
      </c>
      <c r="L26" s="18">
        <f t="shared" si="42"/>
        <v>0.17045454545454544</v>
      </c>
      <c r="M26" s="18" t="str">
        <f t="shared" si="42"/>
        <v/>
      </c>
      <c r="N26" s="18" t="str">
        <f t="shared" si="42"/>
        <v/>
      </c>
      <c r="O26" s="18">
        <f t="shared" si="42"/>
        <v>0.625</v>
      </c>
      <c r="P26" s="18" t="str">
        <f t="shared" si="42"/>
        <v/>
      </c>
      <c r="Q26" s="18" t="str">
        <f t="shared" si="42"/>
        <v/>
      </c>
      <c r="R26" s="18" t="str">
        <f t="shared" si="42"/>
        <v/>
      </c>
      <c r="S26" s="18">
        <f t="shared" si="42"/>
        <v>0.27777777777777779</v>
      </c>
      <c r="T26" s="18" t="str">
        <f t="shared" si="42"/>
        <v/>
      </c>
      <c r="U26" s="18" t="str">
        <f t="shared" si="42"/>
        <v/>
      </c>
      <c r="V26" s="18" t="str">
        <f t="shared" si="42"/>
        <v/>
      </c>
      <c r="W26" s="18" t="str">
        <f t="shared" si="42"/>
        <v/>
      </c>
      <c r="X26" s="18" t="str">
        <f t="shared" si="42"/>
        <v/>
      </c>
      <c r="Y26" s="18" t="str">
        <f t="shared" si="42"/>
        <v/>
      </c>
      <c r="Z26" s="18" t="str">
        <f t="shared" si="42"/>
        <v/>
      </c>
      <c r="AA26" s="18" t="str">
        <f t="shared" si="42"/>
        <v/>
      </c>
      <c r="AB26" s="18" t="str">
        <f t="shared" si="42"/>
        <v/>
      </c>
      <c r="AC26" s="18" t="str">
        <f t="shared" si="42"/>
        <v/>
      </c>
      <c r="AD26" s="18">
        <f t="shared" si="42"/>
        <v>0.16129032258064516</v>
      </c>
      <c r="AE26" s="18" t="str">
        <f t="shared" si="42"/>
        <v/>
      </c>
      <c r="AF26" s="18" t="str">
        <f t="shared" si="42"/>
        <v/>
      </c>
      <c r="AG26" s="18" t="str">
        <f t="shared" si="42"/>
        <v/>
      </c>
      <c r="AH26" s="18" t="str">
        <f t="shared" si="42"/>
        <v/>
      </c>
      <c r="AI26" s="18" t="str">
        <f t="shared" si="42"/>
        <v/>
      </c>
      <c r="AJ26" s="18" t="str">
        <f t="shared" si="42"/>
        <v/>
      </c>
      <c r="AK26" s="18" t="str">
        <f t="shared" si="42"/>
        <v/>
      </c>
      <c r="AL26" s="18" t="str">
        <f t="shared" si="42"/>
        <v/>
      </c>
      <c r="AM26" s="18" t="str">
        <f t="shared" si="42"/>
        <v/>
      </c>
      <c r="AN26" s="18" t="str">
        <f t="shared" ref="AN26:AS26" si="43">IF(AN25="","",IF(AN25=0,"",AN25/(AN22*100)))</f>
        <v/>
      </c>
      <c r="AO26" s="18" t="str">
        <f t="shared" si="43"/>
        <v/>
      </c>
      <c r="AP26" s="18" t="str">
        <f t="shared" si="43"/>
        <v/>
      </c>
      <c r="AQ26" s="18" t="str">
        <f t="shared" si="43"/>
        <v/>
      </c>
      <c r="AR26" s="18" t="str">
        <f t="shared" si="43"/>
        <v/>
      </c>
      <c r="AS26" s="18" t="str">
        <f t="shared" si="43"/>
        <v/>
      </c>
    </row>
    <row r="27" spans="1:45" s="93" customFormat="1" ht="11">
      <c r="A27" s="17" t="s">
        <v>113</v>
      </c>
      <c r="B27" s="9" t="s">
        <v>2</v>
      </c>
      <c r="C27" s="74">
        <v>35707</v>
      </c>
      <c r="D27" s="8">
        <f>IF(D$3="","",C27)</f>
        <v>35707</v>
      </c>
      <c r="E27" s="8">
        <v>35733</v>
      </c>
      <c r="F27" s="59">
        <f>IF(F$3="","",E27)</f>
        <v>35733</v>
      </c>
      <c r="G27" s="8">
        <f>IF(G$3="","",F27)</f>
        <v>35733</v>
      </c>
      <c r="H27" s="8">
        <v>35803</v>
      </c>
      <c r="I27" s="59">
        <f t="shared" ref="I27:K28" si="44">IF(I$3="","",H27)</f>
        <v>35803</v>
      </c>
      <c r="J27" s="8">
        <f t="shared" si="44"/>
        <v>35803</v>
      </c>
      <c r="K27" s="8">
        <f t="shared" si="44"/>
        <v>35803</v>
      </c>
      <c r="L27" s="8">
        <v>35940</v>
      </c>
      <c r="M27" s="8">
        <f>IF(M$3="","",L27)</f>
        <v>35940</v>
      </c>
      <c r="N27" s="8">
        <f>IF(N$3="","",M27)</f>
        <v>35940</v>
      </c>
      <c r="O27" s="8">
        <v>36002</v>
      </c>
      <c r="P27" s="8">
        <f t="shared" ref="P27:AM27" si="45">IF(P$3="","",O27)</f>
        <v>36002</v>
      </c>
      <c r="Q27" s="8">
        <f t="shared" si="45"/>
        <v>36002</v>
      </c>
      <c r="R27" s="8">
        <f t="shared" si="45"/>
        <v>36002</v>
      </c>
      <c r="S27" s="8">
        <v>36044</v>
      </c>
      <c r="T27" s="8">
        <f t="shared" si="45"/>
        <v>36044</v>
      </c>
      <c r="U27" s="8">
        <f t="shared" si="45"/>
        <v>36044</v>
      </c>
      <c r="V27" s="8">
        <v>36095</v>
      </c>
      <c r="W27" s="8">
        <f t="shared" si="45"/>
        <v>36095</v>
      </c>
      <c r="X27" s="8">
        <f t="shared" si="45"/>
        <v>36095</v>
      </c>
      <c r="Y27" s="8">
        <f t="shared" si="45"/>
        <v>36095</v>
      </c>
      <c r="Z27" s="8">
        <v>36151</v>
      </c>
      <c r="AA27" s="8">
        <f t="shared" si="45"/>
        <v>36151</v>
      </c>
      <c r="AB27" s="8">
        <f t="shared" si="45"/>
        <v>36151</v>
      </c>
      <c r="AC27" s="8">
        <f t="shared" si="45"/>
        <v>36151</v>
      </c>
      <c r="AD27" s="8">
        <v>36223</v>
      </c>
      <c r="AE27" s="8" t="str">
        <f t="shared" si="45"/>
        <v/>
      </c>
      <c r="AF27" s="8" t="str">
        <f t="shared" si="45"/>
        <v/>
      </c>
      <c r="AG27" s="8" t="str">
        <f t="shared" si="45"/>
        <v/>
      </c>
      <c r="AH27" s="8" t="str">
        <f t="shared" si="45"/>
        <v/>
      </c>
      <c r="AI27" s="8" t="str">
        <f t="shared" si="45"/>
        <v/>
      </c>
      <c r="AJ27" s="8" t="str">
        <f t="shared" si="45"/>
        <v/>
      </c>
      <c r="AK27" s="8" t="str">
        <f t="shared" si="45"/>
        <v/>
      </c>
      <c r="AL27" s="8" t="str">
        <f t="shared" si="45"/>
        <v/>
      </c>
      <c r="AM27" s="8" t="str">
        <f t="shared" si="45"/>
        <v/>
      </c>
      <c r="AN27" s="8" t="str">
        <f t="shared" ref="AN27:AS27" si="46">IF(AN$3="","",AM27)</f>
        <v/>
      </c>
      <c r="AO27" s="8" t="str">
        <f t="shared" si="46"/>
        <v/>
      </c>
      <c r="AP27" s="8" t="str">
        <f t="shared" si="46"/>
        <v/>
      </c>
      <c r="AQ27" s="8" t="str">
        <f t="shared" si="46"/>
        <v/>
      </c>
      <c r="AR27" s="8" t="str">
        <f t="shared" si="46"/>
        <v/>
      </c>
      <c r="AS27" s="8" t="str">
        <f t="shared" si="46"/>
        <v/>
      </c>
    </row>
    <row r="28" spans="1:45" s="93" customFormat="1" ht="11">
      <c r="A28" s="16" t="s">
        <v>3</v>
      </c>
      <c r="B28" s="9" t="s">
        <v>4</v>
      </c>
      <c r="C28" s="74">
        <v>1569</v>
      </c>
      <c r="D28" s="8">
        <f>IF(D$3="","",C28)</f>
        <v>1569</v>
      </c>
      <c r="E28" s="8">
        <v>1570</v>
      </c>
      <c r="F28" s="59">
        <f>IF(F$3="","",E28)</f>
        <v>1570</v>
      </c>
      <c r="G28" s="8">
        <f>IF(G$3="","",F28)</f>
        <v>1570</v>
      </c>
      <c r="H28" s="8">
        <v>1572</v>
      </c>
      <c r="I28" s="59">
        <f t="shared" si="44"/>
        <v>1572</v>
      </c>
      <c r="J28" s="8">
        <f t="shared" si="44"/>
        <v>1572</v>
      </c>
      <c r="K28" s="8">
        <f t="shared" si="44"/>
        <v>1572</v>
      </c>
      <c r="L28" s="8">
        <v>1573</v>
      </c>
      <c r="M28" s="8">
        <f>IF(M$3="","",L28)</f>
        <v>1573</v>
      </c>
      <c r="N28" s="8">
        <f>IF(N$3="","",M28)</f>
        <v>1573</v>
      </c>
      <c r="O28" s="8">
        <v>1574</v>
      </c>
      <c r="P28" s="8">
        <f t="shared" ref="P28:AM28" si="47">IF(P$3="","",O28)</f>
        <v>1574</v>
      </c>
      <c r="Q28" s="8">
        <f t="shared" si="47"/>
        <v>1574</v>
      </c>
      <c r="R28" s="8">
        <f t="shared" si="47"/>
        <v>1574</v>
      </c>
      <c r="S28" s="8">
        <v>1580</v>
      </c>
      <c r="T28" s="8">
        <f t="shared" si="47"/>
        <v>1580</v>
      </c>
      <c r="U28" s="8">
        <f t="shared" si="47"/>
        <v>1580</v>
      </c>
      <c r="V28" s="8">
        <v>1582</v>
      </c>
      <c r="W28" s="8">
        <f t="shared" si="47"/>
        <v>1582</v>
      </c>
      <c r="X28" s="8">
        <f t="shared" si="47"/>
        <v>1582</v>
      </c>
      <c r="Y28" s="8">
        <f t="shared" si="47"/>
        <v>1582</v>
      </c>
      <c r="Z28" s="8">
        <v>1592</v>
      </c>
      <c r="AA28" s="8">
        <f t="shared" si="47"/>
        <v>1592</v>
      </c>
      <c r="AB28" s="8">
        <f t="shared" si="47"/>
        <v>1592</v>
      </c>
      <c r="AC28" s="8">
        <f t="shared" si="47"/>
        <v>1592</v>
      </c>
      <c r="AD28" s="8">
        <v>1603</v>
      </c>
      <c r="AE28" s="8" t="str">
        <f t="shared" si="47"/>
        <v/>
      </c>
      <c r="AF28" s="8" t="str">
        <f t="shared" si="47"/>
        <v/>
      </c>
      <c r="AG28" s="8" t="str">
        <f t="shared" si="47"/>
        <v/>
      </c>
      <c r="AH28" s="8" t="str">
        <f t="shared" si="47"/>
        <v/>
      </c>
      <c r="AI28" s="8" t="str">
        <f t="shared" si="47"/>
        <v/>
      </c>
      <c r="AJ28" s="8" t="str">
        <f t="shared" si="47"/>
        <v/>
      </c>
      <c r="AK28" s="8" t="str">
        <f t="shared" si="47"/>
        <v/>
      </c>
      <c r="AL28" s="8" t="str">
        <f t="shared" si="47"/>
        <v/>
      </c>
      <c r="AM28" s="8" t="str">
        <f t="shared" si="47"/>
        <v/>
      </c>
      <c r="AN28" s="8" t="str">
        <f t="shared" ref="AN28:AS28" si="48">IF(AN$3="","",AM28)</f>
        <v/>
      </c>
      <c r="AO28" s="8" t="str">
        <f t="shared" si="48"/>
        <v/>
      </c>
      <c r="AP28" s="8" t="str">
        <f t="shared" si="48"/>
        <v/>
      </c>
      <c r="AQ28" s="8" t="str">
        <f t="shared" si="48"/>
        <v/>
      </c>
      <c r="AR28" s="8" t="str">
        <f t="shared" si="48"/>
        <v/>
      </c>
      <c r="AS28" s="8" t="str">
        <f t="shared" si="48"/>
        <v/>
      </c>
    </row>
    <row r="29" spans="1:45" s="93" customFormat="1" ht="11">
      <c r="A29" s="15">
        <v>3</v>
      </c>
      <c r="B29" s="9" t="s">
        <v>5</v>
      </c>
      <c r="C29" s="74">
        <v>109</v>
      </c>
      <c r="D29" s="8">
        <f>IF(D27="","",(C29+C30))</f>
        <v>109</v>
      </c>
      <c r="E29" s="8">
        <v>108</v>
      </c>
      <c r="F29" s="59">
        <f>IF(F27="","",(E29+E30))</f>
        <v>4</v>
      </c>
      <c r="G29" s="8">
        <f>IF(G27="","",(F29+F30))</f>
        <v>4</v>
      </c>
      <c r="H29" s="8">
        <v>2</v>
      </c>
      <c r="I29" s="59">
        <f>IF(I27="","",(H29+H30))</f>
        <v>5</v>
      </c>
      <c r="J29" s="8">
        <f>IF(J27="","",(I29+I30))</f>
        <v>5</v>
      </c>
      <c r="K29" s="8">
        <f>IF(K27="","",(J29+J30))</f>
        <v>5</v>
      </c>
      <c r="L29" s="8">
        <v>4</v>
      </c>
      <c r="M29" s="8">
        <f>IF(M27="","",(L29+L30))</f>
        <v>4</v>
      </c>
      <c r="N29" s="8">
        <f>IF(N27="","",(M29+M30))</f>
        <v>4</v>
      </c>
      <c r="O29" s="8">
        <v>1</v>
      </c>
      <c r="P29" s="8">
        <f t="shared" ref="P29:AM29" si="49">IF(P27="","",(O29+O30))</f>
        <v>33</v>
      </c>
      <c r="Q29" s="8">
        <f t="shared" si="49"/>
        <v>33</v>
      </c>
      <c r="R29" s="8">
        <f t="shared" si="49"/>
        <v>33</v>
      </c>
      <c r="S29" s="8">
        <v>27</v>
      </c>
      <c r="T29" s="8">
        <f t="shared" si="49"/>
        <v>27</v>
      </c>
      <c r="U29" s="8">
        <f t="shared" si="49"/>
        <v>27</v>
      </c>
      <c r="V29" s="8">
        <v>25</v>
      </c>
      <c r="W29" s="8">
        <f t="shared" si="49"/>
        <v>38</v>
      </c>
      <c r="X29" s="8">
        <f t="shared" si="49"/>
        <v>38</v>
      </c>
      <c r="Y29" s="8">
        <f t="shared" si="49"/>
        <v>38</v>
      </c>
      <c r="Z29" s="8">
        <v>33</v>
      </c>
      <c r="AA29" s="8">
        <f t="shared" si="49"/>
        <v>33</v>
      </c>
      <c r="AB29" s="8">
        <f t="shared" si="49"/>
        <v>33</v>
      </c>
      <c r="AC29" s="8">
        <f t="shared" si="49"/>
        <v>33</v>
      </c>
      <c r="AD29" s="8">
        <v>18</v>
      </c>
      <c r="AE29" s="8" t="str">
        <f t="shared" si="49"/>
        <v/>
      </c>
      <c r="AF29" s="8" t="str">
        <f t="shared" si="49"/>
        <v/>
      </c>
      <c r="AG29" s="8" t="str">
        <f t="shared" si="49"/>
        <v/>
      </c>
      <c r="AH29" s="8" t="str">
        <f t="shared" si="49"/>
        <v/>
      </c>
      <c r="AI29" s="8" t="str">
        <f t="shared" si="49"/>
        <v/>
      </c>
      <c r="AJ29" s="8" t="str">
        <f t="shared" si="49"/>
        <v/>
      </c>
      <c r="AK29" s="8" t="str">
        <f t="shared" si="49"/>
        <v/>
      </c>
      <c r="AL29" s="8" t="str">
        <f t="shared" si="49"/>
        <v/>
      </c>
      <c r="AM29" s="8" t="str">
        <f t="shared" si="49"/>
        <v/>
      </c>
      <c r="AN29" s="8" t="str">
        <f t="shared" ref="AN29:AS29" si="50">IF(AN27="","",(AM29+AM30))</f>
        <v/>
      </c>
      <c r="AO29" s="8" t="str">
        <f t="shared" si="50"/>
        <v/>
      </c>
      <c r="AP29" s="8" t="str">
        <f t="shared" si="50"/>
        <v/>
      </c>
      <c r="AQ29" s="8" t="str">
        <f t="shared" si="50"/>
        <v/>
      </c>
      <c r="AR29" s="8" t="str">
        <f t="shared" si="50"/>
        <v/>
      </c>
      <c r="AS29" s="8" t="str">
        <f t="shared" si="50"/>
        <v/>
      </c>
    </row>
    <row r="30" spans="1:45" s="93" customFormat="1" ht="11">
      <c r="A30" s="14"/>
      <c r="B30" s="9" t="s">
        <v>7</v>
      </c>
      <c r="C30" s="74"/>
      <c r="D30" s="8"/>
      <c r="E30" s="8">
        <v>-104</v>
      </c>
      <c r="F30" s="59"/>
      <c r="G30" s="8"/>
      <c r="H30" s="8">
        <v>3</v>
      </c>
      <c r="I30" s="59"/>
      <c r="J30" s="8"/>
      <c r="K30" s="8"/>
      <c r="L30" s="8"/>
      <c r="M30" s="8"/>
      <c r="N30" s="8"/>
      <c r="O30" s="8">
        <v>32</v>
      </c>
      <c r="P30" s="8"/>
      <c r="Q30" s="8"/>
      <c r="R30" s="8"/>
      <c r="S30" s="8"/>
      <c r="T30" s="8"/>
      <c r="U30" s="8"/>
      <c r="V30" s="8">
        <v>13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s="93" customFormat="1" ht="11">
      <c r="A31" s="7"/>
      <c r="B31" s="9" t="s">
        <v>8</v>
      </c>
      <c r="C31" s="74">
        <v>360</v>
      </c>
      <c r="D31" s="8">
        <f t="shared" ref="D31:AM31" si="51">IF(D27="","",C31)</f>
        <v>360</v>
      </c>
      <c r="E31" s="8">
        <f t="shared" si="51"/>
        <v>360</v>
      </c>
      <c r="F31" s="59">
        <f t="shared" si="51"/>
        <v>360</v>
      </c>
      <c r="G31" s="8">
        <f t="shared" si="51"/>
        <v>360</v>
      </c>
      <c r="H31" s="8">
        <f t="shared" si="51"/>
        <v>360</v>
      </c>
      <c r="I31" s="59">
        <f t="shared" si="51"/>
        <v>360</v>
      </c>
      <c r="J31" s="8">
        <f t="shared" si="51"/>
        <v>360</v>
      </c>
      <c r="K31" s="8">
        <f t="shared" si="51"/>
        <v>360</v>
      </c>
      <c r="L31" s="8">
        <f t="shared" si="51"/>
        <v>360</v>
      </c>
      <c r="M31" s="8">
        <f t="shared" si="51"/>
        <v>360</v>
      </c>
      <c r="N31" s="8">
        <f t="shared" si="51"/>
        <v>360</v>
      </c>
      <c r="O31" s="8">
        <f t="shared" si="51"/>
        <v>360</v>
      </c>
      <c r="P31" s="8">
        <f t="shared" si="51"/>
        <v>360</v>
      </c>
      <c r="Q31" s="8">
        <f t="shared" si="51"/>
        <v>360</v>
      </c>
      <c r="R31" s="8">
        <f t="shared" si="51"/>
        <v>360</v>
      </c>
      <c r="S31" s="8">
        <f t="shared" si="51"/>
        <v>360</v>
      </c>
      <c r="T31" s="8">
        <f t="shared" si="51"/>
        <v>360</v>
      </c>
      <c r="U31" s="8">
        <f t="shared" si="51"/>
        <v>360</v>
      </c>
      <c r="V31" s="8">
        <f t="shared" si="51"/>
        <v>360</v>
      </c>
      <c r="W31" s="8">
        <f t="shared" si="51"/>
        <v>360</v>
      </c>
      <c r="X31" s="8">
        <f t="shared" si="51"/>
        <v>360</v>
      </c>
      <c r="Y31" s="8">
        <f t="shared" si="51"/>
        <v>360</v>
      </c>
      <c r="Z31" s="8">
        <f t="shared" si="51"/>
        <v>360</v>
      </c>
      <c r="AA31" s="8">
        <f t="shared" si="51"/>
        <v>360</v>
      </c>
      <c r="AB31" s="8">
        <f t="shared" si="51"/>
        <v>360</v>
      </c>
      <c r="AC31" s="8">
        <f t="shared" si="51"/>
        <v>360</v>
      </c>
      <c r="AD31" s="8">
        <f t="shared" si="51"/>
        <v>360</v>
      </c>
      <c r="AE31" s="8" t="str">
        <f t="shared" si="51"/>
        <v/>
      </c>
      <c r="AF31" s="8" t="str">
        <f t="shared" si="51"/>
        <v/>
      </c>
      <c r="AG31" s="8" t="str">
        <f t="shared" si="51"/>
        <v/>
      </c>
      <c r="AH31" s="8" t="str">
        <f t="shared" si="51"/>
        <v/>
      </c>
      <c r="AI31" s="8" t="str">
        <f t="shared" si="51"/>
        <v/>
      </c>
      <c r="AJ31" s="8" t="str">
        <f t="shared" si="51"/>
        <v/>
      </c>
      <c r="AK31" s="8" t="str">
        <f t="shared" si="51"/>
        <v/>
      </c>
      <c r="AL31" s="8" t="str">
        <f t="shared" si="51"/>
        <v/>
      </c>
      <c r="AM31" s="8" t="str">
        <f t="shared" si="51"/>
        <v/>
      </c>
      <c r="AN31" s="8" t="str">
        <f t="shared" ref="AN31:AS31" si="52">IF(AN27="","",AM31)</f>
        <v/>
      </c>
      <c r="AO31" s="8" t="str">
        <f t="shared" si="52"/>
        <v/>
      </c>
      <c r="AP31" s="8" t="str">
        <f t="shared" si="52"/>
        <v/>
      </c>
      <c r="AQ31" s="8" t="str">
        <f t="shared" si="52"/>
        <v/>
      </c>
      <c r="AR31" s="8" t="str">
        <f t="shared" si="52"/>
        <v/>
      </c>
      <c r="AS31" s="8" t="str">
        <f t="shared" si="52"/>
        <v/>
      </c>
    </row>
    <row r="32" spans="1:45" s="94" customFormat="1" ht="11">
      <c r="A32" s="14" t="s">
        <v>9</v>
      </c>
      <c r="B32" s="13" t="s">
        <v>10</v>
      </c>
      <c r="C32" s="75" t="s">
        <v>27</v>
      </c>
      <c r="D32" s="12" t="str">
        <f>IF(D27="","",C32)</f>
        <v>AIモンスター</v>
      </c>
      <c r="E32" s="12" t="s">
        <v>33</v>
      </c>
      <c r="F32" s="131" t="str">
        <f t="shared" ref="F32:N32" si="53">IF(F27="","",E32)</f>
        <v>パステルケーキ</v>
      </c>
      <c r="G32" s="12" t="str">
        <f t="shared" si="53"/>
        <v>パステルケーキ</v>
      </c>
      <c r="H32" s="12" t="str">
        <f t="shared" si="53"/>
        <v>パステルケーキ</v>
      </c>
      <c r="I32" s="131" t="str">
        <f t="shared" si="53"/>
        <v>パステルケーキ</v>
      </c>
      <c r="J32" s="12" t="str">
        <f t="shared" si="53"/>
        <v>パステルケーキ</v>
      </c>
      <c r="K32" s="12" t="str">
        <f t="shared" si="53"/>
        <v>パステルケーキ</v>
      </c>
      <c r="L32" s="12" t="str">
        <f t="shared" si="53"/>
        <v>パステルケーキ</v>
      </c>
      <c r="M32" s="12" t="str">
        <f t="shared" si="53"/>
        <v>パステルケーキ</v>
      </c>
      <c r="N32" s="12" t="str">
        <f t="shared" si="53"/>
        <v>パステルケーキ</v>
      </c>
      <c r="O32" s="12" t="s">
        <v>115</v>
      </c>
      <c r="P32" s="12" t="str">
        <f t="shared" ref="P32:AM32" si="54">IF(P27="","",O32)</f>
        <v>　サンリオブレスレット</v>
      </c>
      <c r="Q32" s="12" t="str">
        <f t="shared" si="54"/>
        <v>　サンリオブレスレット</v>
      </c>
      <c r="R32" s="12" t="str">
        <f t="shared" si="54"/>
        <v>　サンリオブレスレット</v>
      </c>
      <c r="S32" s="12" t="str">
        <f t="shared" si="54"/>
        <v>　サンリオブレスレット</v>
      </c>
      <c r="T32" s="12" t="str">
        <f t="shared" si="54"/>
        <v>　サンリオブレスレット</v>
      </c>
      <c r="U32" s="12" t="str">
        <f t="shared" si="54"/>
        <v>　サンリオブレスレット</v>
      </c>
      <c r="V32" s="12" t="str">
        <f t="shared" si="54"/>
        <v>　サンリオブレスレット</v>
      </c>
      <c r="W32" s="12" t="str">
        <f t="shared" si="54"/>
        <v>　サンリオブレスレット</v>
      </c>
      <c r="X32" s="12" t="str">
        <f t="shared" si="54"/>
        <v>　サンリオブレスレット</v>
      </c>
      <c r="Y32" s="12" t="str">
        <f t="shared" si="54"/>
        <v>　サンリオブレスレット</v>
      </c>
      <c r="Z32" s="12" t="str">
        <f t="shared" si="54"/>
        <v>　サンリオブレスレット</v>
      </c>
      <c r="AA32" s="12" t="str">
        <f t="shared" si="54"/>
        <v>　サンリオブレスレット</v>
      </c>
      <c r="AB32" s="12" t="str">
        <f t="shared" si="54"/>
        <v>　サンリオブレスレット</v>
      </c>
      <c r="AC32" s="12" t="str">
        <f t="shared" si="54"/>
        <v>　サンリオブレスレット</v>
      </c>
      <c r="AD32" s="12" t="str">
        <f t="shared" si="54"/>
        <v>　サンリオブレスレット</v>
      </c>
      <c r="AE32" s="12" t="str">
        <f t="shared" si="54"/>
        <v/>
      </c>
      <c r="AF32" s="12" t="str">
        <f t="shared" si="54"/>
        <v/>
      </c>
      <c r="AG32" s="12" t="str">
        <f t="shared" si="54"/>
        <v/>
      </c>
      <c r="AH32" s="12" t="str">
        <f t="shared" si="54"/>
        <v/>
      </c>
      <c r="AI32" s="12" t="str">
        <f t="shared" si="54"/>
        <v/>
      </c>
      <c r="AJ32" s="12" t="str">
        <f t="shared" si="54"/>
        <v/>
      </c>
      <c r="AK32" s="12" t="str">
        <f t="shared" si="54"/>
        <v/>
      </c>
      <c r="AL32" s="12" t="str">
        <f t="shared" si="54"/>
        <v/>
      </c>
      <c r="AM32" s="12" t="str">
        <f t="shared" si="54"/>
        <v/>
      </c>
      <c r="AN32" s="12" t="str">
        <f t="shared" ref="AN32:AS32" si="55">IF(AN27="","",AM32)</f>
        <v/>
      </c>
      <c r="AO32" s="12" t="str">
        <f t="shared" si="55"/>
        <v/>
      </c>
      <c r="AP32" s="12" t="str">
        <f t="shared" si="55"/>
        <v/>
      </c>
      <c r="AQ32" s="12" t="str">
        <f t="shared" si="55"/>
        <v/>
      </c>
      <c r="AR32" s="12" t="str">
        <f t="shared" si="55"/>
        <v/>
      </c>
      <c r="AS32" s="12" t="str">
        <f t="shared" si="55"/>
        <v/>
      </c>
    </row>
    <row r="33" spans="1:45" s="93" customFormat="1" ht="11">
      <c r="A33" s="7">
        <f>AVERAGE(C34:AS34)*30*100</f>
        <v>55285.714285714275</v>
      </c>
      <c r="B33" s="9" t="s">
        <v>14</v>
      </c>
      <c r="C33" s="74"/>
      <c r="D33" s="8"/>
      <c r="E33" s="8"/>
      <c r="F33" s="59"/>
      <c r="G33" s="8"/>
      <c r="H33" s="8"/>
      <c r="I33" s="59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s="93" customFormat="1" ht="11">
      <c r="A34" s="7">
        <f>SUM(C34:AS34)</f>
        <v>516</v>
      </c>
      <c r="B34" s="6" t="s">
        <v>15</v>
      </c>
      <c r="C34" s="74">
        <v>0</v>
      </c>
      <c r="D34" s="5">
        <f t="shared" ref="D34:AM34" si="56">IF(D27="","",D27-C27)</f>
        <v>0</v>
      </c>
      <c r="E34" s="5">
        <f t="shared" si="56"/>
        <v>26</v>
      </c>
      <c r="F34" s="59">
        <f t="shared" si="56"/>
        <v>0</v>
      </c>
      <c r="G34" s="5">
        <f t="shared" si="56"/>
        <v>0</v>
      </c>
      <c r="H34" s="5">
        <f t="shared" si="56"/>
        <v>70</v>
      </c>
      <c r="I34" s="59">
        <f t="shared" si="56"/>
        <v>0</v>
      </c>
      <c r="J34" s="5">
        <f t="shared" si="56"/>
        <v>0</v>
      </c>
      <c r="K34" s="5">
        <f t="shared" si="56"/>
        <v>0</v>
      </c>
      <c r="L34" s="5">
        <f t="shared" si="56"/>
        <v>137</v>
      </c>
      <c r="M34" s="5">
        <f t="shared" si="56"/>
        <v>0</v>
      </c>
      <c r="N34" s="5">
        <f t="shared" si="56"/>
        <v>0</v>
      </c>
      <c r="O34" s="5">
        <f t="shared" si="56"/>
        <v>62</v>
      </c>
      <c r="P34" s="5">
        <f t="shared" si="56"/>
        <v>0</v>
      </c>
      <c r="Q34" s="5">
        <f t="shared" si="56"/>
        <v>0</v>
      </c>
      <c r="R34" s="5">
        <f t="shared" si="56"/>
        <v>0</v>
      </c>
      <c r="S34" s="5">
        <f t="shared" si="56"/>
        <v>42</v>
      </c>
      <c r="T34" s="5">
        <f t="shared" si="56"/>
        <v>0</v>
      </c>
      <c r="U34" s="5">
        <f t="shared" si="56"/>
        <v>0</v>
      </c>
      <c r="V34" s="5">
        <f t="shared" si="56"/>
        <v>51</v>
      </c>
      <c r="W34" s="5">
        <f t="shared" si="56"/>
        <v>0</v>
      </c>
      <c r="X34" s="5">
        <f t="shared" si="56"/>
        <v>0</v>
      </c>
      <c r="Y34" s="5">
        <f t="shared" si="56"/>
        <v>0</v>
      </c>
      <c r="Z34" s="5">
        <f t="shared" si="56"/>
        <v>56</v>
      </c>
      <c r="AA34" s="5">
        <f t="shared" si="56"/>
        <v>0</v>
      </c>
      <c r="AB34" s="5">
        <f t="shared" si="56"/>
        <v>0</v>
      </c>
      <c r="AC34" s="5">
        <f t="shared" si="56"/>
        <v>0</v>
      </c>
      <c r="AD34" s="5">
        <f t="shared" si="56"/>
        <v>72</v>
      </c>
      <c r="AE34" s="5" t="str">
        <f t="shared" si="56"/>
        <v/>
      </c>
      <c r="AF34" s="5" t="str">
        <f t="shared" si="56"/>
        <v/>
      </c>
      <c r="AG34" s="5" t="str">
        <f t="shared" si="56"/>
        <v/>
      </c>
      <c r="AH34" s="5" t="str">
        <f t="shared" si="56"/>
        <v/>
      </c>
      <c r="AI34" s="5" t="str">
        <f t="shared" si="56"/>
        <v/>
      </c>
      <c r="AJ34" s="5" t="str">
        <f t="shared" si="56"/>
        <v/>
      </c>
      <c r="AK34" s="5" t="str">
        <f t="shared" si="56"/>
        <v/>
      </c>
      <c r="AL34" s="5" t="str">
        <f t="shared" si="56"/>
        <v/>
      </c>
      <c r="AM34" s="5" t="str">
        <f t="shared" si="56"/>
        <v/>
      </c>
      <c r="AN34" s="5" t="str">
        <f t="shared" ref="AN34:AS34" si="57">IF(AN27="","",AN27-AM27)</f>
        <v/>
      </c>
      <c r="AO34" s="5" t="str">
        <f t="shared" si="57"/>
        <v/>
      </c>
      <c r="AP34" s="5" t="str">
        <f t="shared" si="57"/>
        <v/>
      </c>
      <c r="AQ34" s="5" t="str">
        <f t="shared" si="57"/>
        <v/>
      </c>
      <c r="AR34" s="5" t="str">
        <f t="shared" si="57"/>
        <v/>
      </c>
      <c r="AS34" s="5" t="str">
        <f t="shared" si="57"/>
        <v/>
      </c>
    </row>
    <row r="35" spans="1:45" s="93" customFormat="1" ht="11">
      <c r="A35" s="7">
        <f>SUM(C35:AS35)</f>
        <v>34</v>
      </c>
      <c r="B35" s="6" t="s">
        <v>16</v>
      </c>
      <c r="C35" s="74">
        <v>0</v>
      </c>
      <c r="D35" s="5">
        <f t="shared" ref="D35:AM35" si="58">IF(D28="","",D28-C28)</f>
        <v>0</v>
      </c>
      <c r="E35" s="5">
        <f t="shared" si="58"/>
        <v>1</v>
      </c>
      <c r="F35" s="59">
        <f t="shared" si="58"/>
        <v>0</v>
      </c>
      <c r="G35" s="5">
        <f t="shared" si="58"/>
        <v>0</v>
      </c>
      <c r="H35" s="5">
        <f t="shared" si="58"/>
        <v>2</v>
      </c>
      <c r="I35" s="59">
        <f t="shared" si="58"/>
        <v>0</v>
      </c>
      <c r="J35" s="5">
        <f t="shared" si="58"/>
        <v>0</v>
      </c>
      <c r="K35" s="5">
        <f t="shared" si="58"/>
        <v>0</v>
      </c>
      <c r="L35" s="5">
        <f t="shared" si="58"/>
        <v>1</v>
      </c>
      <c r="M35" s="5">
        <f t="shared" si="58"/>
        <v>0</v>
      </c>
      <c r="N35" s="5">
        <f t="shared" si="58"/>
        <v>0</v>
      </c>
      <c r="O35" s="5">
        <f t="shared" si="58"/>
        <v>1</v>
      </c>
      <c r="P35" s="5">
        <f t="shared" si="58"/>
        <v>0</v>
      </c>
      <c r="Q35" s="5">
        <f t="shared" si="58"/>
        <v>0</v>
      </c>
      <c r="R35" s="5">
        <f t="shared" si="58"/>
        <v>0</v>
      </c>
      <c r="S35" s="5">
        <f t="shared" si="58"/>
        <v>6</v>
      </c>
      <c r="T35" s="5">
        <f t="shared" si="58"/>
        <v>0</v>
      </c>
      <c r="U35" s="5">
        <f t="shared" si="58"/>
        <v>0</v>
      </c>
      <c r="V35" s="5">
        <f t="shared" si="58"/>
        <v>2</v>
      </c>
      <c r="W35" s="5">
        <f t="shared" si="58"/>
        <v>0</v>
      </c>
      <c r="X35" s="5">
        <f t="shared" si="58"/>
        <v>0</v>
      </c>
      <c r="Y35" s="5">
        <f t="shared" si="58"/>
        <v>0</v>
      </c>
      <c r="Z35" s="5">
        <f t="shared" si="58"/>
        <v>10</v>
      </c>
      <c r="AA35" s="5">
        <f t="shared" si="58"/>
        <v>0</v>
      </c>
      <c r="AB35" s="5">
        <f t="shared" si="58"/>
        <v>0</v>
      </c>
      <c r="AC35" s="5">
        <f t="shared" si="58"/>
        <v>0</v>
      </c>
      <c r="AD35" s="5">
        <f t="shared" si="58"/>
        <v>11</v>
      </c>
      <c r="AE35" s="5" t="str">
        <f t="shared" si="58"/>
        <v/>
      </c>
      <c r="AF35" s="5" t="str">
        <f t="shared" si="58"/>
        <v/>
      </c>
      <c r="AG35" s="5" t="str">
        <f t="shared" si="58"/>
        <v/>
      </c>
      <c r="AH35" s="5" t="str">
        <f t="shared" si="58"/>
        <v/>
      </c>
      <c r="AI35" s="5" t="str">
        <f t="shared" si="58"/>
        <v/>
      </c>
      <c r="AJ35" s="5" t="str">
        <f t="shared" si="58"/>
        <v/>
      </c>
      <c r="AK35" s="5" t="str">
        <f t="shared" si="58"/>
        <v/>
      </c>
      <c r="AL35" s="5" t="str">
        <f t="shared" si="58"/>
        <v/>
      </c>
      <c r="AM35" s="5" t="str">
        <f t="shared" si="58"/>
        <v/>
      </c>
      <c r="AN35" s="5" t="str">
        <f t="shared" ref="AN35:AS35" si="59">IF(AN28="","",AN28-AM28)</f>
        <v/>
      </c>
      <c r="AO35" s="5" t="str">
        <f t="shared" si="59"/>
        <v/>
      </c>
      <c r="AP35" s="5" t="str">
        <f t="shared" si="59"/>
        <v/>
      </c>
      <c r="AQ35" s="5" t="str">
        <f t="shared" si="59"/>
        <v/>
      </c>
      <c r="AR35" s="5" t="str">
        <f t="shared" si="59"/>
        <v/>
      </c>
      <c r="AS35" s="5" t="str">
        <f t="shared" si="59"/>
        <v/>
      </c>
    </row>
    <row r="36" spans="1:45" s="93" customFormat="1" ht="11">
      <c r="A36" s="7">
        <f>SUM(C36:AS36)</f>
        <v>35</v>
      </c>
      <c r="B36" s="6" t="s">
        <v>17</v>
      </c>
      <c r="C36" s="74">
        <v>0</v>
      </c>
      <c r="D36" s="5">
        <f t="shared" ref="D36:AM36" si="60">IF(D29="","",C29+C30-D29)</f>
        <v>0</v>
      </c>
      <c r="E36" s="5">
        <f t="shared" si="60"/>
        <v>1</v>
      </c>
      <c r="F36" s="59">
        <f t="shared" si="60"/>
        <v>0</v>
      </c>
      <c r="G36" s="5">
        <f t="shared" si="60"/>
        <v>0</v>
      </c>
      <c r="H36" s="5">
        <f t="shared" si="60"/>
        <v>2</v>
      </c>
      <c r="I36" s="59">
        <f t="shared" si="60"/>
        <v>0</v>
      </c>
      <c r="J36" s="5">
        <f t="shared" si="60"/>
        <v>0</v>
      </c>
      <c r="K36" s="5">
        <f t="shared" si="60"/>
        <v>0</v>
      </c>
      <c r="L36" s="5">
        <f t="shared" si="60"/>
        <v>1</v>
      </c>
      <c r="M36" s="5">
        <f t="shared" si="60"/>
        <v>0</v>
      </c>
      <c r="N36" s="5">
        <f t="shared" si="60"/>
        <v>0</v>
      </c>
      <c r="O36" s="5">
        <f t="shared" si="60"/>
        <v>3</v>
      </c>
      <c r="P36" s="5">
        <f t="shared" si="60"/>
        <v>0</v>
      </c>
      <c r="Q36" s="5">
        <f t="shared" si="60"/>
        <v>0</v>
      </c>
      <c r="R36" s="5">
        <f t="shared" si="60"/>
        <v>0</v>
      </c>
      <c r="S36" s="5">
        <f t="shared" si="60"/>
        <v>6</v>
      </c>
      <c r="T36" s="5">
        <f t="shared" si="60"/>
        <v>0</v>
      </c>
      <c r="U36" s="5">
        <f t="shared" si="60"/>
        <v>0</v>
      </c>
      <c r="V36" s="5">
        <f t="shared" si="60"/>
        <v>2</v>
      </c>
      <c r="W36" s="5">
        <f t="shared" si="60"/>
        <v>0</v>
      </c>
      <c r="X36" s="5">
        <f t="shared" si="60"/>
        <v>0</v>
      </c>
      <c r="Y36" s="5">
        <f t="shared" si="60"/>
        <v>0</v>
      </c>
      <c r="Z36" s="5">
        <f t="shared" si="60"/>
        <v>5</v>
      </c>
      <c r="AA36" s="5">
        <f t="shared" si="60"/>
        <v>0</v>
      </c>
      <c r="AB36" s="5">
        <f t="shared" si="60"/>
        <v>0</v>
      </c>
      <c r="AC36" s="5">
        <f t="shared" si="60"/>
        <v>0</v>
      </c>
      <c r="AD36" s="5">
        <f t="shared" si="60"/>
        <v>15</v>
      </c>
      <c r="AE36" s="5" t="str">
        <f t="shared" si="60"/>
        <v/>
      </c>
      <c r="AF36" s="5" t="str">
        <f t="shared" si="60"/>
        <v/>
      </c>
      <c r="AG36" s="5" t="str">
        <f t="shared" si="60"/>
        <v/>
      </c>
      <c r="AH36" s="5" t="str">
        <f t="shared" si="60"/>
        <v/>
      </c>
      <c r="AI36" s="5" t="str">
        <f t="shared" si="60"/>
        <v/>
      </c>
      <c r="AJ36" s="5" t="str">
        <f t="shared" si="60"/>
        <v/>
      </c>
      <c r="AK36" s="5" t="str">
        <f t="shared" si="60"/>
        <v/>
      </c>
      <c r="AL36" s="5" t="str">
        <f t="shared" si="60"/>
        <v/>
      </c>
      <c r="AM36" s="5" t="str">
        <f t="shared" si="60"/>
        <v/>
      </c>
      <c r="AN36" s="5" t="str">
        <f t="shared" ref="AN36:AS36" si="61">IF(AN29="","",AM29+AM30-AN29)</f>
        <v/>
      </c>
      <c r="AO36" s="5" t="str">
        <f t="shared" si="61"/>
        <v/>
      </c>
      <c r="AP36" s="5" t="str">
        <f t="shared" si="61"/>
        <v/>
      </c>
      <c r="AQ36" s="5" t="str">
        <f t="shared" si="61"/>
        <v/>
      </c>
      <c r="AR36" s="5" t="str">
        <f t="shared" si="61"/>
        <v/>
      </c>
      <c r="AS36" s="5" t="str">
        <f t="shared" si="61"/>
        <v/>
      </c>
    </row>
    <row r="37" spans="1:45" s="93" customFormat="1" ht="11">
      <c r="A37" s="7">
        <f>SUM(C37:AS37)</f>
        <v>12600</v>
      </c>
      <c r="B37" s="6" t="s">
        <v>18</v>
      </c>
      <c r="C37" s="74">
        <v>0</v>
      </c>
      <c r="D37" s="5">
        <f t="shared" ref="D37:AM37" si="62">IF(D27="","",D36*D31)</f>
        <v>0</v>
      </c>
      <c r="E37" s="5">
        <f t="shared" si="62"/>
        <v>360</v>
      </c>
      <c r="F37" s="59">
        <f t="shared" si="62"/>
        <v>0</v>
      </c>
      <c r="G37" s="5">
        <f t="shared" si="62"/>
        <v>0</v>
      </c>
      <c r="H37" s="5">
        <f t="shared" si="62"/>
        <v>720</v>
      </c>
      <c r="I37" s="59">
        <f t="shared" si="62"/>
        <v>0</v>
      </c>
      <c r="J37" s="5">
        <f t="shared" si="62"/>
        <v>0</v>
      </c>
      <c r="K37" s="5">
        <f t="shared" si="62"/>
        <v>0</v>
      </c>
      <c r="L37" s="5">
        <f t="shared" si="62"/>
        <v>360</v>
      </c>
      <c r="M37" s="5">
        <f t="shared" si="62"/>
        <v>0</v>
      </c>
      <c r="N37" s="5">
        <f t="shared" si="62"/>
        <v>0</v>
      </c>
      <c r="O37" s="5">
        <f t="shared" si="62"/>
        <v>1080</v>
      </c>
      <c r="P37" s="5">
        <f t="shared" si="62"/>
        <v>0</v>
      </c>
      <c r="Q37" s="5">
        <f t="shared" si="62"/>
        <v>0</v>
      </c>
      <c r="R37" s="5">
        <f t="shared" si="62"/>
        <v>0</v>
      </c>
      <c r="S37" s="5">
        <f t="shared" si="62"/>
        <v>2160</v>
      </c>
      <c r="T37" s="5">
        <f t="shared" si="62"/>
        <v>0</v>
      </c>
      <c r="U37" s="5">
        <f t="shared" si="62"/>
        <v>0</v>
      </c>
      <c r="V37" s="5">
        <f t="shared" si="62"/>
        <v>720</v>
      </c>
      <c r="W37" s="5">
        <f t="shared" si="62"/>
        <v>0</v>
      </c>
      <c r="X37" s="5">
        <f t="shared" si="62"/>
        <v>0</v>
      </c>
      <c r="Y37" s="5">
        <f t="shared" si="62"/>
        <v>0</v>
      </c>
      <c r="Z37" s="5">
        <f t="shared" si="62"/>
        <v>1800</v>
      </c>
      <c r="AA37" s="5">
        <f t="shared" si="62"/>
        <v>0</v>
      </c>
      <c r="AB37" s="5">
        <f t="shared" si="62"/>
        <v>0</v>
      </c>
      <c r="AC37" s="5">
        <f t="shared" si="62"/>
        <v>0</v>
      </c>
      <c r="AD37" s="5">
        <f t="shared" si="62"/>
        <v>5400</v>
      </c>
      <c r="AE37" s="5" t="str">
        <f t="shared" si="62"/>
        <v/>
      </c>
      <c r="AF37" s="5" t="str">
        <f t="shared" si="62"/>
        <v/>
      </c>
      <c r="AG37" s="5" t="str">
        <f t="shared" si="62"/>
        <v/>
      </c>
      <c r="AH37" s="5" t="str">
        <f t="shared" si="62"/>
        <v/>
      </c>
      <c r="AI37" s="5" t="str">
        <f t="shared" si="62"/>
        <v/>
      </c>
      <c r="AJ37" s="5" t="str">
        <f t="shared" si="62"/>
        <v/>
      </c>
      <c r="AK37" s="5" t="str">
        <f t="shared" si="62"/>
        <v/>
      </c>
      <c r="AL37" s="5" t="str">
        <f t="shared" si="62"/>
        <v/>
      </c>
      <c r="AM37" s="5" t="str">
        <f t="shared" si="62"/>
        <v/>
      </c>
      <c r="AN37" s="5" t="str">
        <f t="shared" ref="AN37:AS37" si="63">IF(AN27="","",AN36*AN31)</f>
        <v/>
      </c>
      <c r="AO37" s="5" t="str">
        <f t="shared" si="63"/>
        <v/>
      </c>
      <c r="AP37" s="5" t="str">
        <f t="shared" si="63"/>
        <v/>
      </c>
      <c r="AQ37" s="5" t="str">
        <f t="shared" si="63"/>
        <v/>
      </c>
      <c r="AR37" s="5" t="str">
        <f t="shared" si="63"/>
        <v/>
      </c>
      <c r="AS37" s="5" t="str">
        <f t="shared" si="63"/>
        <v/>
      </c>
    </row>
    <row r="38" spans="1:45" s="93" customFormat="1" ht="12" thickBot="1">
      <c r="A38" s="4">
        <f>IF(A37="","",A37/(A34*100))</f>
        <v>0.2441860465116279</v>
      </c>
      <c r="B38" s="6" t="s">
        <v>20</v>
      </c>
      <c r="C38" s="76" t="s">
        <v>21</v>
      </c>
      <c r="D38" s="18" t="str">
        <f t="shared" ref="D38:AM38" si="64">IF(D37="","",IF(D37=0,"",D37/(D34*100)))</f>
        <v/>
      </c>
      <c r="E38" s="18">
        <f t="shared" si="64"/>
        <v>0.13846153846153847</v>
      </c>
      <c r="F38" s="62" t="str">
        <f t="shared" si="64"/>
        <v/>
      </c>
      <c r="G38" s="18" t="str">
        <f t="shared" si="64"/>
        <v/>
      </c>
      <c r="H38" s="18">
        <f t="shared" si="64"/>
        <v>0.10285714285714286</v>
      </c>
      <c r="I38" s="62" t="str">
        <f t="shared" si="64"/>
        <v/>
      </c>
      <c r="J38" s="18" t="str">
        <f t="shared" si="64"/>
        <v/>
      </c>
      <c r="K38" s="18" t="str">
        <f t="shared" si="64"/>
        <v/>
      </c>
      <c r="L38" s="18">
        <f t="shared" si="64"/>
        <v>2.6277372262773723E-2</v>
      </c>
      <c r="M38" s="18" t="str">
        <f t="shared" si="64"/>
        <v/>
      </c>
      <c r="N38" s="18" t="str">
        <f t="shared" si="64"/>
        <v/>
      </c>
      <c r="O38" s="18">
        <f t="shared" si="64"/>
        <v>0.17419354838709677</v>
      </c>
      <c r="P38" s="18" t="str">
        <f t="shared" si="64"/>
        <v/>
      </c>
      <c r="Q38" s="18" t="str">
        <f t="shared" si="64"/>
        <v/>
      </c>
      <c r="R38" s="18" t="str">
        <f t="shared" si="64"/>
        <v/>
      </c>
      <c r="S38" s="18">
        <f t="shared" si="64"/>
        <v>0.51428571428571423</v>
      </c>
      <c r="T38" s="18" t="str">
        <f t="shared" si="64"/>
        <v/>
      </c>
      <c r="U38" s="18" t="str">
        <f t="shared" si="64"/>
        <v/>
      </c>
      <c r="V38" s="18">
        <f t="shared" si="64"/>
        <v>0.14117647058823529</v>
      </c>
      <c r="W38" s="18" t="str">
        <f t="shared" si="64"/>
        <v/>
      </c>
      <c r="X38" s="18" t="str">
        <f t="shared" si="64"/>
        <v/>
      </c>
      <c r="Y38" s="18" t="str">
        <f t="shared" si="64"/>
        <v/>
      </c>
      <c r="Z38" s="18">
        <f t="shared" si="64"/>
        <v>0.32142857142857145</v>
      </c>
      <c r="AA38" s="18" t="str">
        <f t="shared" si="64"/>
        <v/>
      </c>
      <c r="AB38" s="18" t="str">
        <f t="shared" si="64"/>
        <v/>
      </c>
      <c r="AC38" s="18" t="str">
        <f t="shared" si="64"/>
        <v/>
      </c>
      <c r="AD38" s="18">
        <f t="shared" si="64"/>
        <v>0.75</v>
      </c>
      <c r="AE38" s="18" t="str">
        <f t="shared" si="64"/>
        <v/>
      </c>
      <c r="AF38" s="18" t="str">
        <f t="shared" si="64"/>
        <v/>
      </c>
      <c r="AG38" s="18" t="str">
        <f t="shared" si="64"/>
        <v/>
      </c>
      <c r="AH38" s="18" t="str">
        <f t="shared" si="64"/>
        <v/>
      </c>
      <c r="AI38" s="18" t="str">
        <f t="shared" si="64"/>
        <v/>
      </c>
      <c r="AJ38" s="18" t="str">
        <f t="shared" si="64"/>
        <v/>
      </c>
      <c r="AK38" s="18" t="str">
        <f t="shared" si="64"/>
        <v/>
      </c>
      <c r="AL38" s="18" t="str">
        <f t="shared" si="64"/>
        <v/>
      </c>
      <c r="AM38" s="18" t="str">
        <f t="shared" si="64"/>
        <v/>
      </c>
      <c r="AN38" s="18" t="str">
        <f t="shared" ref="AN38:AS38" si="65">IF(AN37="","",IF(AN37=0,"",AN37/(AN34*100)))</f>
        <v/>
      </c>
      <c r="AO38" s="18" t="str">
        <f t="shared" si="65"/>
        <v/>
      </c>
      <c r="AP38" s="18" t="str">
        <f t="shared" si="65"/>
        <v/>
      </c>
      <c r="AQ38" s="18" t="str">
        <f t="shared" si="65"/>
        <v/>
      </c>
      <c r="AR38" s="18" t="str">
        <f t="shared" si="65"/>
        <v/>
      </c>
      <c r="AS38" s="18" t="str">
        <f t="shared" si="65"/>
        <v/>
      </c>
    </row>
    <row r="39" spans="1:45" s="93" customFormat="1" ht="11">
      <c r="A39" s="17" t="s">
        <v>113</v>
      </c>
      <c r="B39" s="9" t="s">
        <v>2</v>
      </c>
      <c r="C39" s="74">
        <v>35998</v>
      </c>
      <c r="D39" s="8">
        <f>IF(D$3="","",C39)</f>
        <v>35998</v>
      </c>
      <c r="E39" s="8">
        <v>36039</v>
      </c>
      <c r="F39" s="59">
        <f>IF(F$3="","",E39)</f>
        <v>36039</v>
      </c>
      <c r="G39" s="8">
        <f>IF(G$3="","",F39)</f>
        <v>36039</v>
      </c>
      <c r="H39" s="8">
        <v>36119</v>
      </c>
      <c r="I39" s="59">
        <f t="shared" ref="I39:K40" si="66">IF(I$3="","",H39)</f>
        <v>36119</v>
      </c>
      <c r="J39" s="8">
        <f t="shared" si="66"/>
        <v>36119</v>
      </c>
      <c r="K39" s="8">
        <f t="shared" si="66"/>
        <v>36119</v>
      </c>
      <c r="L39" s="8">
        <v>36165</v>
      </c>
      <c r="M39" s="8">
        <f>IF(M$3="","",L39)</f>
        <v>36165</v>
      </c>
      <c r="N39" s="8">
        <f>IF(N$3="","",M39)</f>
        <v>36165</v>
      </c>
      <c r="O39" s="8">
        <v>36221</v>
      </c>
      <c r="P39" s="8">
        <f t="shared" ref="P39:AM39" si="67">IF(P$3="","",O39)</f>
        <v>36221</v>
      </c>
      <c r="Q39" s="8">
        <f t="shared" si="67"/>
        <v>36221</v>
      </c>
      <c r="R39" s="8">
        <f t="shared" si="67"/>
        <v>36221</v>
      </c>
      <c r="S39" s="8">
        <v>36270</v>
      </c>
      <c r="T39" s="8">
        <f t="shared" si="67"/>
        <v>36270</v>
      </c>
      <c r="U39" s="8">
        <f t="shared" si="67"/>
        <v>36270</v>
      </c>
      <c r="V39" s="8">
        <v>36323</v>
      </c>
      <c r="W39" s="8">
        <f t="shared" si="67"/>
        <v>36323</v>
      </c>
      <c r="X39" s="8">
        <f t="shared" si="67"/>
        <v>36323</v>
      </c>
      <c r="Y39" s="8">
        <f t="shared" si="67"/>
        <v>36323</v>
      </c>
      <c r="Z39" s="8">
        <v>36341</v>
      </c>
      <c r="AA39" s="8">
        <f t="shared" si="67"/>
        <v>36341</v>
      </c>
      <c r="AB39" s="8">
        <f t="shared" si="67"/>
        <v>36341</v>
      </c>
      <c r="AC39" s="8">
        <f t="shared" si="67"/>
        <v>36341</v>
      </c>
      <c r="AD39" s="8">
        <v>36409</v>
      </c>
      <c r="AE39" s="8" t="str">
        <f t="shared" si="67"/>
        <v/>
      </c>
      <c r="AF39" s="8" t="str">
        <f t="shared" si="67"/>
        <v/>
      </c>
      <c r="AG39" s="8" t="str">
        <f t="shared" si="67"/>
        <v/>
      </c>
      <c r="AH39" s="8" t="str">
        <f t="shared" si="67"/>
        <v/>
      </c>
      <c r="AI39" s="8" t="str">
        <f t="shared" si="67"/>
        <v/>
      </c>
      <c r="AJ39" s="8" t="str">
        <f t="shared" si="67"/>
        <v/>
      </c>
      <c r="AK39" s="8" t="str">
        <f t="shared" si="67"/>
        <v/>
      </c>
      <c r="AL39" s="8" t="str">
        <f t="shared" si="67"/>
        <v/>
      </c>
      <c r="AM39" s="8" t="str">
        <f t="shared" si="67"/>
        <v/>
      </c>
      <c r="AN39" s="8" t="str">
        <f t="shared" ref="AN39:AS39" si="68">IF(AN$3="","",AM39)</f>
        <v/>
      </c>
      <c r="AO39" s="8" t="str">
        <f t="shared" si="68"/>
        <v/>
      </c>
      <c r="AP39" s="8" t="str">
        <f t="shared" si="68"/>
        <v/>
      </c>
      <c r="AQ39" s="8" t="str">
        <f t="shared" si="68"/>
        <v/>
      </c>
      <c r="AR39" s="8" t="str">
        <f t="shared" si="68"/>
        <v/>
      </c>
      <c r="AS39" s="8" t="str">
        <f t="shared" si="68"/>
        <v/>
      </c>
    </row>
    <row r="40" spans="1:45" s="93" customFormat="1" ht="11">
      <c r="A40" s="16" t="s">
        <v>3</v>
      </c>
      <c r="B40" s="9" t="s">
        <v>4</v>
      </c>
      <c r="C40" s="74">
        <v>903</v>
      </c>
      <c r="D40" s="8">
        <f>IF(D$3="","",C40)</f>
        <v>903</v>
      </c>
      <c r="E40" s="8">
        <v>904</v>
      </c>
      <c r="F40" s="59">
        <f>IF(F$3="","",E40)</f>
        <v>904</v>
      </c>
      <c r="G40" s="8">
        <f>IF(G$3="","",F40)</f>
        <v>904</v>
      </c>
      <c r="H40" s="8">
        <v>905</v>
      </c>
      <c r="I40" s="59">
        <f t="shared" si="66"/>
        <v>905</v>
      </c>
      <c r="J40" s="8">
        <f t="shared" si="66"/>
        <v>905</v>
      </c>
      <c r="K40" s="8">
        <f t="shared" si="66"/>
        <v>905</v>
      </c>
      <c r="L40" s="8">
        <v>920</v>
      </c>
      <c r="M40" s="8">
        <f>IF(M$3="","",L40)</f>
        <v>920</v>
      </c>
      <c r="N40" s="8">
        <f>IF(N$3="","",M40)</f>
        <v>920</v>
      </c>
      <c r="O40" s="8">
        <f>IF(O$3="","",N40)</f>
        <v>920</v>
      </c>
      <c r="P40" s="8">
        <f t="shared" ref="P40:AM40" si="69">IF(P$3="","",O40)</f>
        <v>920</v>
      </c>
      <c r="Q40" s="8">
        <f t="shared" si="69"/>
        <v>920</v>
      </c>
      <c r="R40" s="8">
        <f t="shared" si="69"/>
        <v>920</v>
      </c>
      <c r="S40" s="8">
        <f t="shared" si="69"/>
        <v>920</v>
      </c>
      <c r="T40" s="8">
        <f t="shared" si="69"/>
        <v>920</v>
      </c>
      <c r="U40" s="8">
        <f t="shared" si="69"/>
        <v>920</v>
      </c>
      <c r="V40" s="8">
        <f t="shared" si="69"/>
        <v>920</v>
      </c>
      <c r="W40" s="8">
        <f t="shared" si="69"/>
        <v>920</v>
      </c>
      <c r="X40" s="8">
        <f t="shared" si="69"/>
        <v>920</v>
      </c>
      <c r="Y40" s="8">
        <f t="shared" si="69"/>
        <v>920</v>
      </c>
      <c r="Z40" s="8">
        <v>921</v>
      </c>
      <c r="AA40" s="8">
        <f t="shared" si="69"/>
        <v>921</v>
      </c>
      <c r="AB40" s="8">
        <f t="shared" si="69"/>
        <v>921</v>
      </c>
      <c r="AC40" s="8">
        <f t="shared" si="69"/>
        <v>921</v>
      </c>
      <c r="AD40" s="8">
        <v>923</v>
      </c>
      <c r="AE40" s="8" t="str">
        <f t="shared" si="69"/>
        <v/>
      </c>
      <c r="AF40" s="8" t="str">
        <f t="shared" si="69"/>
        <v/>
      </c>
      <c r="AG40" s="8" t="str">
        <f t="shared" si="69"/>
        <v/>
      </c>
      <c r="AH40" s="8" t="str">
        <f t="shared" si="69"/>
        <v/>
      </c>
      <c r="AI40" s="8" t="str">
        <f t="shared" si="69"/>
        <v/>
      </c>
      <c r="AJ40" s="8" t="str">
        <f t="shared" si="69"/>
        <v/>
      </c>
      <c r="AK40" s="8" t="str">
        <f t="shared" si="69"/>
        <v/>
      </c>
      <c r="AL40" s="8" t="str">
        <f t="shared" si="69"/>
        <v/>
      </c>
      <c r="AM40" s="8" t="str">
        <f t="shared" si="69"/>
        <v/>
      </c>
      <c r="AN40" s="8" t="str">
        <f t="shared" ref="AN40:AS40" si="70">IF(AN$3="","",AM40)</f>
        <v/>
      </c>
      <c r="AO40" s="8" t="str">
        <f t="shared" si="70"/>
        <v/>
      </c>
      <c r="AP40" s="8" t="str">
        <f t="shared" si="70"/>
        <v/>
      </c>
      <c r="AQ40" s="8" t="str">
        <f t="shared" si="70"/>
        <v/>
      </c>
      <c r="AR40" s="8" t="str">
        <f t="shared" si="70"/>
        <v/>
      </c>
      <c r="AS40" s="8" t="str">
        <f t="shared" si="70"/>
        <v/>
      </c>
    </row>
    <row r="41" spans="1:45" s="93" customFormat="1" ht="11">
      <c r="A41" s="15">
        <v>4</v>
      </c>
      <c r="B41" s="9" t="s">
        <v>5</v>
      </c>
      <c r="C41" s="74">
        <v>6</v>
      </c>
      <c r="D41" s="8">
        <f>IF(D39="","",(C41+C42))</f>
        <v>6</v>
      </c>
      <c r="E41" s="8">
        <v>5</v>
      </c>
      <c r="F41" s="59">
        <f>IF(F39="","",(E41+E42))</f>
        <v>5</v>
      </c>
      <c r="G41" s="8">
        <f>IF(G39="","",(F41+F42))</f>
        <v>5</v>
      </c>
      <c r="H41" s="8">
        <v>4</v>
      </c>
      <c r="I41" s="59">
        <f>IF(I39="","",(H41+H42))</f>
        <v>15</v>
      </c>
      <c r="J41" s="8">
        <f>IF(J39="","",(I41+I42))</f>
        <v>15</v>
      </c>
      <c r="K41" s="8">
        <f>IF(K39="","",(J41+J42))</f>
        <v>15</v>
      </c>
      <c r="L41" s="8">
        <v>0</v>
      </c>
      <c r="M41" s="8">
        <f t="shared" ref="M41:AM41" si="71">IF(M39="","",(L41+L42))</f>
        <v>4</v>
      </c>
      <c r="N41" s="8">
        <f t="shared" si="71"/>
        <v>4</v>
      </c>
      <c r="O41" s="8">
        <f t="shared" si="71"/>
        <v>4</v>
      </c>
      <c r="P41" s="8">
        <f t="shared" si="71"/>
        <v>4</v>
      </c>
      <c r="Q41" s="8">
        <f t="shared" si="71"/>
        <v>4</v>
      </c>
      <c r="R41" s="8">
        <f t="shared" si="71"/>
        <v>4</v>
      </c>
      <c r="S41" s="8">
        <f t="shared" si="71"/>
        <v>4</v>
      </c>
      <c r="T41" s="8">
        <f t="shared" si="71"/>
        <v>4</v>
      </c>
      <c r="U41" s="8">
        <f t="shared" si="71"/>
        <v>4</v>
      </c>
      <c r="V41" s="8">
        <f t="shared" si="71"/>
        <v>4</v>
      </c>
      <c r="W41" s="8">
        <f t="shared" si="71"/>
        <v>7</v>
      </c>
      <c r="X41" s="8">
        <f t="shared" si="71"/>
        <v>7</v>
      </c>
      <c r="Y41" s="8">
        <f t="shared" si="71"/>
        <v>7</v>
      </c>
      <c r="Z41" s="8">
        <f t="shared" si="71"/>
        <v>7</v>
      </c>
      <c r="AA41" s="8">
        <f t="shared" si="71"/>
        <v>7</v>
      </c>
      <c r="AB41" s="8">
        <f t="shared" si="71"/>
        <v>7</v>
      </c>
      <c r="AC41" s="8">
        <f t="shared" si="71"/>
        <v>7</v>
      </c>
      <c r="AD41" s="8">
        <v>5</v>
      </c>
      <c r="AE41" s="8" t="str">
        <f t="shared" si="71"/>
        <v/>
      </c>
      <c r="AF41" s="8" t="str">
        <f t="shared" si="71"/>
        <v/>
      </c>
      <c r="AG41" s="8" t="str">
        <f t="shared" si="71"/>
        <v/>
      </c>
      <c r="AH41" s="8" t="str">
        <f t="shared" si="71"/>
        <v/>
      </c>
      <c r="AI41" s="8" t="str">
        <f t="shared" si="71"/>
        <v/>
      </c>
      <c r="AJ41" s="8" t="str">
        <f t="shared" si="71"/>
        <v/>
      </c>
      <c r="AK41" s="8" t="str">
        <f t="shared" si="71"/>
        <v/>
      </c>
      <c r="AL41" s="8" t="str">
        <f t="shared" si="71"/>
        <v/>
      </c>
      <c r="AM41" s="8" t="str">
        <f t="shared" si="71"/>
        <v/>
      </c>
      <c r="AN41" s="8" t="str">
        <f t="shared" ref="AN41:AS41" si="72">IF(AN39="","",(AM41+AM42))</f>
        <v/>
      </c>
      <c r="AO41" s="8" t="str">
        <f t="shared" si="72"/>
        <v/>
      </c>
      <c r="AP41" s="8" t="str">
        <f t="shared" si="72"/>
        <v/>
      </c>
      <c r="AQ41" s="8" t="str">
        <f t="shared" si="72"/>
        <v/>
      </c>
      <c r="AR41" s="8" t="str">
        <f t="shared" si="72"/>
        <v/>
      </c>
      <c r="AS41" s="8" t="str">
        <f t="shared" si="72"/>
        <v/>
      </c>
    </row>
    <row r="42" spans="1:45" s="93" customFormat="1" ht="11">
      <c r="A42" s="14"/>
      <c r="B42" s="9" t="s">
        <v>7</v>
      </c>
      <c r="C42" s="74"/>
      <c r="D42" s="8"/>
      <c r="E42" s="8"/>
      <c r="F42" s="59"/>
      <c r="G42" s="8"/>
      <c r="H42" s="8">
        <v>11</v>
      </c>
      <c r="I42" s="59"/>
      <c r="J42" s="8"/>
      <c r="K42" s="8"/>
      <c r="L42" s="8">
        <v>4</v>
      </c>
      <c r="M42" s="8"/>
      <c r="N42" s="8"/>
      <c r="O42" s="8"/>
      <c r="P42" s="8"/>
      <c r="Q42" s="8"/>
      <c r="R42" s="8"/>
      <c r="S42" s="8"/>
      <c r="T42" s="8"/>
      <c r="U42" s="8"/>
      <c r="V42" s="8">
        <v>3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s="93" customFormat="1" ht="11">
      <c r="A43" s="7"/>
      <c r="B43" s="9" t="s">
        <v>8</v>
      </c>
      <c r="C43" s="74">
        <v>300</v>
      </c>
      <c r="D43" s="8">
        <f t="shared" ref="D43:AM43" si="73">IF(D39="","",C43)</f>
        <v>300</v>
      </c>
      <c r="E43" s="8">
        <f t="shared" si="73"/>
        <v>300</v>
      </c>
      <c r="F43" s="59">
        <f t="shared" si="73"/>
        <v>300</v>
      </c>
      <c r="G43" s="8">
        <f t="shared" si="73"/>
        <v>300</v>
      </c>
      <c r="H43" s="8">
        <f t="shared" si="73"/>
        <v>300</v>
      </c>
      <c r="I43" s="59">
        <f t="shared" si="73"/>
        <v>300</v>
      </c>
      <c r="J43" s="8">
        <f t="shared" si="73"/>
        <v>300</v>
      </c>
      <c r="K43" s="8">
        <f t="shared" si="73"/>
        <v>300</v>
      </c>
      <c r="L43" s="8">
        <f t="shared" si="73"/>
        <v>300</v>
      </c>
      <c r="M43" s="8">
        <f t="shared" si="73"/>
        <v>300</v>
      </c>
      <c r="N43" s="8">
        <f t="shared" si="73"/>
        <v>300</v>
      </c>
      <c r="O43" s="8">
        <f t="shared" si="73"/>
        <v>300</v>
      </c>
      <c r="P43" s="8">
        <f t="shared" si="73"/>
        <v>300</v>
      </c>
      <c r="Q43" s="8">
        <f t="shared" si="73"/>
        <v>300</v>
      </c>
      <c r="R43" s="8">
        <f t="shared" si="73"/>
        <v>300</v>
      </c>
      <c r="S43" s="8">
        <f t="shared" si="73"/>
        <v>300</v>
      </c>
      <c r="T43" s="8">
        <f t="shared" si="73"/>
        <v>300</v>
      </c>
      <c r="U43" s="8">
        <f t="shared" si="73"/>
        <v>300</v>
      </c>
      <c r="V43" s="8">
        <f t="shared" si="73"/>
        <v>300</v>
      </c>
      <c r="W43" s="8">
        <f t="shared" si="73"/>
        <v>300</v>
      </c>
      <c r="X43" s="8">
        <f t="shared" si="73"/>
        <v>300</v>
      </c>
      <c r="Y43" s="8">
        <f t="shared" si="73"/>
        <v>300</v>
      </c>
      <c r="Z43" s="8">
        <f t="shared" si="73"/>
        <v>300</v>
      </c>
      <c r="AA43" s="8">
        <f t="shared" si="73"/>
        <v>300</v>
      </c>
      <c r="AB43" s="8">
        <f t="shared" si="73"/>
        <v>300</v>
      </c>
      <c r="AC43" s="8">
        <f t="shared" si="73"/>
        <v>300</v>
      </c>
      <c r="AD43" s="8">
        <f t="shared" si="73"/>
        <v>300</v>
      </c>
      <c r="AE43" s="8" t="str">
        <f t="shared" si="73"/>
        <v/>
      </c>
      <c r="AF43" s="8" t="str">
        <f t="shared" si="73"/>
        <v/>
      </c>
      <c r="AG43" s="8" t="str">
        <f t="shared" si="73"/>
        <v/>
      </c>
      <c r="AH43" s="8" t="str">
        <f t="shared" si="73"/>
        <v/>
      </c>
      <c r="AI43" s="8" t="str">
        <f t="shared" si="73"/>
        <v/>
      </c>
      <c r="AJ43" s="8" t="str">
        <f t="shared" si="73"/>
        <v/>
      </c>
      <c r="AK43" s="8" t="str">
        <f t="shared" si="73"/>
        <v/>
      </c>
      <c r="AL43" s="8" t="str">
        <f t="shared" si="73"/>
        <v/>
      </c>
      <c r="AM43" s="8" t="str">
        <f t="shared" si="73"/>
        <v/>
      </c>
      <c r="AN43" s="8" t="str">
        <f t="shared" ref="AN43:AS43" si="74">IF(AN39="","",AM43)</f>
        <v/>
      </c>
      <c r="AO43" s="8" t="str">
        <f t="shared" si="74"/>
        <v/>
      </c>
      <c r="AP43" s="8" t="str">
        <f t="shared" si="74"/>
        <v/>
      </c>
      <c r="AQ43" s="8" t="str">
        <f t="shared" si="74"/>
        <v/>
      </c>
      <c r="AR43" s="8" t="str">
        <f t="shared" si="74"/>
        <v/>
      </c>
      <c r="AS43" s="8" t="str">
        <f t="shared" si="74"/>
        <v/>
      </c>
    </row>
    <row r="44" spans="1:45" s="94" customFormat="1" ht="11">
      <c r="A44" s="14" t="s">
        <v>9</v>
      </c>
      <c r="B44" s="13" t="s">
        <v>10</v>
      </c>
      <c r="C44" s="75" t="s">
        <v>70</v>
      </c>
      <c r="D44" s="12" t="str">
        <f t="shared" ref="D44:AM44" si="75">IF(D39="","",C44)</f>
        <v>ヤヤ　バースデイ</v>
      </c>
      <c r="E44" s="12" t="str">
        <f t="shared" si="75"/>
        <v>ヤヤ　バースデイ</v>
      </c>
      <c r="F44" s="131" t="str">
        <f t="shared" si="75"/>
        <v>ヤヤ　バースデイ</v>
      </c>
      <c r="G44" s="12" t="str">
        <f t="shared" si="75"/>
        <v>ヤヤ　バースデイ</v>
      </c>
      <c r="H44" s="12" t="str">
        <f t="shared" si="75"/>
        <v>ヤヤ　バースデイ</v>
      </c>
      <c r="I44" s="131" t="str">
        <f t="shared" si="75"/>
        <v>ヤヤ　バースデイ</v>
      </c>
      <c r="J44" s="12" t="str">
        <f t="shared" si="75"/>
        <v>ヤヤ　バースデイ</v>
      </c>
      <c r="K44" s="12" t="str">
        <f t="shared" si="75"/>
        <v>ヤヤ　バースデイ</v>
      </c>
      <c r="L44" s="12" t="str">
        <f t="shared" si="75"/>
        <v>ヤヤ　バースデイ</v>
      </c>
      <c r="M44" s="12" t="str">
        <f t="shared" si="75"/>
        <v>ヤヤ　バースデイ</v>
      </c>
      <c r="N44" s="12" t="str">
        <f t="shared" si="75"/>
        <v>ヤヤ　バースデイ</v>
      </c>
      <c r="O44" s="12" t="str">
        <f t="shared" si="75"/>
        <v>ヤヤ　バースデイ</v>
      </c>
      <c r="P44" s="12" t="str">
        <f t="shared" si="75"/>
        <v>ヤヤ　バースデイ</v>
      </c>
      <c r="Q44" s="12" t="str">
        <f t="shared" si="75"/>
        <v>ヤヤ　バースデイ</v>
      </c>
      <c r="R44" s="12" t="str">
        <f t="shared" si="75"/>
        <v>ヤヤ　バースデイ</v>
      </c>
      <c r="S44" s="12" t="str">
        <f t="shared" si="75"/>
        <v>ヤヤ　バースデイ</v>
      </c>
      <c r="T44" s="12" t="str">
        <f t="shared" si="75"/>
        <v>ヤヤ　バースデイ</v>
      </c>
      <c r="U44" s="12" t="str">
        <f t="shared" si="75"/>
        <v>ヤヤ　バースデイ</v>
      </c>
      <c r="V44" s="12" t="str">
        <f t="shared" si="75"/>
        <v>ヤヤ　バースデイ</v>
      </c>
      <c r="W44" s="12" t="str">
        <f t="shared" si="75"/>
        <v>ヤヤ　バースデイ</v>
      </c>
      <c r="X44" s="12" t="str">
        <f t="shared" si="75"/>
        <v>ヤヤ　バースデイ</v>
      </c>
      <c r="Y44" s="12" t="str">
        <f t="shared" si="75"/>
        <v>ヤヤ　バースデイ</v>
      </c>
      <c r="Z44" s="12" t="str">
        <f t="shared" si="75"/>
        <v>ヤヤ　バースデイ</v>
      </c>
      <c r="AA44" s="12" t="str">
        <f t="shared" si="75"/>
        <v>ヤヤ　バースデイ</v>
      </c>
      <c r="AB44" s="12" t="str">
        <f t="shared" si="75"/>
        <v>ヤヤ　バースデイ</v>
      </c>
      <c r="AC44" s="12" t="str">
        <f t="shared" si="75"/>
        <v>ヤヤ　バースデイ</v>
      </c>
      <c r="AD44" s="12" t="str">
        <f t="shared" si="75"/>
        <v>ヤヤ　バースデイ</v>
      </c>
      <c r="AE44" s="12" t="str">
        <f t="shared" si="75"/>
        <v/>
      </c>
      <c r="AF44" s="12" t="str">
        <f t="shared" si="75"/>
        <v/>
      </c>
      <c r="AG44" s="12" t="str">
        <f t="shared" si="75"/>
        <v/>
      </c>
      <c r="AH44" s="12" t="str">
        <f t="shared" si="75"/>
        <v/>
      </c>
      <c r="AI44" s="12" t="str">
        <f t="shared" si="75"/>
        <v/>
      </c>
      <c r="AJ44" s="12" t="str">
        <f t="shared" si="75"/>
        <v/>
      </c>
      <c r="AK44" s="12" t="str">
        <f t="shared" si="75"/>
        <v/>
      </c>
      <c r="AL44" s="12" t="str">
        <f t="shared" si="75"/>
        <v/>
      </c>
      <c r="AM44" s="12" t="str">
        <f t="shared" si="75"/>
        <v/>
      </c>
      <c r="AN44" s="12" t="str">
        <f t="shared" ref="AN44:AS44" si="76">IF(AN39="","",AM44)</f>
        <v/>
      </c>
      <c r="AO44" s="12" t="str">
        <f t="shared" si="76"/>
        <v/>
      </c>
      <c r="AP44" s="12" t="str">
        <f t="shared" si="76"/>
        <v/>
      </c>
      <c r="AQ44" s="12" t="str">
        <f t="shared" si="76"/>
        <v/>
      </c>
      <c r="AR44" s="12" t="str">
        <f t="shared" si="76"/>
        <v/>
      </c>
      <c r="AS44" s="12" t="str">
        <f t="shared" si="76"/>
        <v/>
      </c>
    </row>
    <row r="45" spans="1:45" s="93" customFormat="1" ht="11">
      <c r="A45" s="7">
        <f>AVERAGE(C46:AS46)*30*100</f>
        <v>44035.71428571429</v>
      </c>
      <c r="B45" s="9" t="s">
        <v>14</v>
      </c>
      <c r="C45" s="74"/>
      <c r="D45" s="8"/>
      <c r="E45" s="8"/>
      <c r="F45" s="59"/>
      <c r="G45" s="8"/>
      <c r="H45" s="8"/>
      <c r="I45" s="59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s="93" customFormat="1" ht="11">
      <c r="A46" s="7">
        <f>SUM(C46:AS46)</f>
        <v>411</v>
      </c>
      <c r="B46" s="6" t="s">
        <v>15</v>
      </c>
      <c r="C46" s="74">
        <v>0</v>
      </c>
      <c r="D46" s="5">
        <f t="shared" ref="D46:AM46" si="77">IF(D39="","",D39-C39)</f>
        <v>0</v>
      </c>
      <c r="E46" s="5">
        <f t="shared" si="77"/>
        <v>41</v>
      </c>
      <c r="F46" s="59">
        <f t="shared" si="77"/>
        <v>0</v>
      </c>
      <c r="G46" s="5">
        <f t="shared" si="77"/>
        <v>0</v>
      </c>
      <c r="H46" s="5">
        <f t="shared" si="77"/>
        <v>80</v>
      </c>
      <c r="I46" s="59">
        <f t="shared" si="77"/>
        <v>0</v>
      </c>
      <c r="J46" s="5">
        <f t="shared" si="77"/>
        <v>0</v>
      </c>
      <c r="K46" s="5">
        <f t="shared" si="77"/>
        <v>0</v>
      </c>
      <c r="L46" s="5">
        <f t="shared" si="77"/>
        <v>46</v>
      </c>
      <c r="M46" s="5">
        <f t="shared" si="77"/>
        <v>0</v>
      </c>
      <c r="N46" s="5">
        <f t="shared" si="77"/>
        <v>0</v>
      </c>
      <c r="O46" s="5">
        <f t="shared" si="77"/>
        <v>56</v>
      </c>
      <c r="P46" s="5">
        <f t="shared" si="77"/>
        <v>0</v>
      </c>
      <c r="Q46" s="5">
        <f t="shared" si="77"/>
        <v>0</v>
      </c>
      <c r="R46" s="5">
        <f t="shared" si="77"/>
        <v>0</v>
      </c>
      <c r="S46" s="5">
        <f t="shared" si="77"/>
        <v>49</v>
      </c>
      <c r="T46" s="5">
        <f t="shared" si="77"/>
        <v>0</v>
      </c>
      <c r="U46" s="5">
        <f t="shared" si="77"/>
        <v>0</v>
      </c>
      <c r="V46" s="5">
        <f t="shared" si="77"/>
        <v>53</v>
      </c>
      <c r="W46" s="5">
        <f t="shared" si="77"/>
        <v>0</v>
      </c>
      <c r="X46" s="5">
        <f t="shared" si="77"/>
        <v>0</v>
      </c>
      <c r="Y46" s="5">
        <f t="shared" si="77"/>
        <v>0</v>
      </c>
      <c r="Z46" s="5">
        <f t="shared" si="77"/>
        <v>18</v>
      </c>
      <c r="AA46" s="5">
        <f t="shared" si="77"/>
        <v>0</v>
      </c>
      <c r="AB46" s="5">
        <f t="shared" si="77"/>
        <v>0</v>
      </c>
      <c r="AC46" s="5">
        <f t="shared" si="77"/>
        <v>0</v>
      </c>
      <c r="AD46" s="5">
        <f t="shared" si="77"/>
        <v>68</v>
      </c>
      <c r="AE46" s="5" t="str">
        <f t="shared" si="77"/>
        <v/>
      </c>
      <c r="AF46" s="5" t="str">
        <f t="shared" si="77"/>
        <v/>
      </c>
      <c r="AG46" s="5" t="str">
        <f t="shared" si="77"/>
        <v/>
      </c>
      <c r="AH46" s="5" t="str">
        <f t="shared" si="77"/>
        <v/>
      </c>
      <c r="AI46" s="5" t="str">
        <f t="shared" si="77"/>
        <v/>
      </c>
      <c r="AJ46" s="5" t="str">
        <f t="shared" si="77"/>
        <v/>
      </c>
      <c r="AK46" s="5" t="str">
        <f t="shared" si="77"/>
        <v/>
      </c>
      <c r="AL46" s="5" t="str">
        <f t="shared" si="77"/>
        <v/>
      </c>
      <c r="AM46" s="5" t="str">
        <f t="shared" si="77"/>
        <v/>
      </c>
      <c r="AN46" s="5" t="str">
        <f t="shared" ref="AN46:AS46" si="78">IF(AN39="","",AN39-AM39)</f>
        <v/>
      </c>
      <c r="AO46" s="5" t="str">
        <f t="shared" si="78"/>
        <v/>
      </c>
      <c r="AP46" s="5" t="str">
        <f t="shared" si="78"/>
        <v/>
      </c>
      <c r="AQ46" s="5" t="str">
        <f t="shared" si="78"/>
        <v/>
      </c>
      <c r="AR46" s="5" t="str">
        <f t="shared" si="78"/>
        <v/>
      </c>
      <c r="AS46" s="5" t="str">
        <f t="shared" si="78"/>
        <v/>
      </c>
    </row>
    <row r="47" spans="1:45" s="93" customFormat="1" ht="11">
      <c r="A47" s="7">
        <f>SUM(C47:AS47)</f>
        <v>20</v>
      </c>
      <c r="B47" s="6" t="s">
        <v>16</v>
      </c>
      <c r="C47" s="74">
        <v>0</v>
      </c>
      <c r="D47" s="5">
        <f t="shared" ref="D47:AM47" si="79">IF(D40="","",D40-C40)</f>
        <v>0</v>
      </c>
      <c r="E47" s="5">
        <f t="shared" si="79"/>
        <v>1</v>
      </c>
      <c r="F47" s="59">
        <f t="shared" si="79"/>
        <v>0</v>
      </c>
      <c r="G47" s="5">
        <f t="shared" si="79"/>
        <v>0</v>
      </c>
      <c r="H47" s="5">
        <f t="shared" si="79"/>
        <v>1</v>
      </c>
      <c r="I47" s="59">
        <f t="shared" si="79"/>
        <v>0</v>
      </c>
      <c r="J47" s="5">
        <f t="shared" si="79"/>
        <v>0</v>
      </c>
      <c r="K47" s="5">
        <f t="shared" si="79"/>
        <v>0</v>
      </c>
      <c r="L47" s="5">
        <f t="shared" si="79"/>
        <v>15</v>
      </c>
      <c r="M47" s="5">
        <f t="shared" si="79"/>
        <v>0</v>
      </c>
      <c r="N47" s="5">
        <f t="shared" si="79"/>
        <v>0</v>
      </c>
      <c r="O47" s="5">
        <f t="shared" si="79"/>
        <v>0</v>
      </c>
      <c r="P47" s="5">
        <f t="shared" si="79"/>
        <v>0</v>
      </c>
      <c r="Q47" s="5">
        <f t="shared" si="79"/>
        <v>0</v>
      </c>
      <c r="R47" s="5">
        <f t="shared" si="79"/>
        <v>0</v>
      </c>
      <c r="S47" s="5">
        <f t="shared" si="79"/>
        <v>0</v>
      </c>
      <c r="T47" s="5">
        <f t="shared" si="79"/>
        <v>0</v>
      </c>
      <c r="U47" s="5">
        <f t="shared" si="79"/>
        <v>0</v>
      </c>
      <c r="V47" s="5">
        <f t="shared" si="79"/>
        <v>0</v>
      </c>
      <c r="W47" s="5">
        <f t="shared" si="79"/>
        <v>0</v>
      </c>
      <c r="X47" s="5">
        <f t="shared" si="79"/>
        <v>0</v>
      </c>
      <c r="Y47" s="5">
        <f t="shared" si="79"/>
        <v>0</v>
      </c>
      <c r="Z47" s="5">
        <f t="shared" si="79"/>
        <v>1</v>
      </c>
      <c r="AA47" s="5">
        <f t="shared" si="79"/>
        <v>0</v>
      </c>
      <c r="AB47" s="5">
        <f t="shared" si="79"/>
        <v>0</v>
      </c>
      <c r="AC47" s="5">
        <f t="shared" si="79"/>
        <v>0</v>
      </c>
      <c r="AD47" s="5">
        <f t="shared" si="79"/>
        <v>2</v>
      </c>
      <c r="AE47" s="5" t="str">
        <f t="shared" si="79"/>
        <v/>
      </c>
      <c r="AF47" s="5" t="str">
        <f t="shared" si="79"/>
        <v/>
      </c>
      <c r="AG47" s="5" t="str">
        <f t="shared" si="79"/>
        <v/>
      </c>
      <c r="AH47" s="5" t="str">
        <f t="shared" si="79"/>
        <v/>
      </c>
      <c r="AI47" s="5" t="str">
        <f t="shared" si="79"/>
        <v/>
      </c>
      <c r="AJ47" s="5" t="str">
        <f t="shared" si="79"/>
        <v/>
      </c>
      <c r="AK47" s="5" t="str">
        <f t="shared" si="79"/>
        <v/>
      </c>
      <c r="AL47" s="5" t="str">
        <f t="shared" si="79"/>
        <v/>
      </c>
      <c r="AM47" s="5" t="str">
        <f t="shared" si="79"/>
        <v/>
      </c>
      <c r="AN47" s="5" t="str">
        <f t="shared" ref="AN47:AS47" si="80">IF(AN40="","",AN40-AM40)</f>
        <v/>
      </c>
      <c r="AO47" s="5" t="str">
        <f t="shared" si="80"/>
        <v/>
      </c>
      <c r="AP47" s="5" t="str">
        <f t="shared" si="80"/>
        <v/>
      </c>
      <c r="AQ47" s="5" t="str">
        <f t="shared" si="80"/>
        <v/>
      </c>
      <c r="AR47" s="5" t="str">
        <f t="shared" si="80"/>
        <v/>
      </c>
      <c r="AS47" s="5" t="str">
        <f t="shared" si="80"/>
        <v/>
      </c>
    </row>
    <row r="48" spans="1:45" s="93" customFormat="1" ht="11">
      <c r="A48" s="7">
        <f>SUM(C48:AS48)</f>
        <v>19</v>
      </c>
      <c r="B48" s="6" t="s">
        <v>17</v>
      </c>
      <c r="C48" s="74">
        <v>0</v>
      </c>
      <c r="D48" s="5">
        <f t="shared" ref="D48:AM48" si="81">IF(D41="","",C41+C42-D41)</f>
        <v>0</v>
      </c>
      <c r="E48" s="5">
        <f t="shared" si="81"/>
        <v>1</v>
      </c>
      <c r="F48" s="59">
        <f t="shared" si="81"/>
        <v>0</v>
      </c>
      <c r="G48" s="5">
        <f t="shared" si="81"/>
        <v>0</v>
      </c>
      <c r="H48" s="5">
        <f t="shared" si="81"/>
        <v>1</v>
      </c>
      <c r="I48" s="59">
        <f t="shared" si="81"/>
        <v>0</v>
      </c>
      <c r="J48" s="5">
        <f t="shared" si="81"/>
        <v>0</v>
      </c>
      <c r="K48" s="5">
        <f t="shared" si="81"/>
        <v>0</v>
      </c>
      <c r="L48" s="5">
        <f t="shared" si="81"/>
        <v>15</v>
      </c>
      <c r="M48" s="5">
        <f t="shared" si="81"/>
        <v>0</v>
      </c>
      <c r="N48" s="5">
        <f t="shared" si="81"/>
        <v>0</v>
      </c>
      <c r="O48" s="5">
        <f t="shared" si="81"/>
        <v>0</v>
      </c>
      <c r="P48" s="5">
        <f t="shared" si="81"/>
        <v>0</v>
      </c>
      <c r="Q48" s="5">
        <f t="shared" si="81"/>
        <v>0</v>
      </c>
      <c r="R48" s="5">
        <f t="shared" si="81"/>
        <v>0</v>
      </c>
      <c r="S48" s="5">
        <f t="shared" si="81"/>
        <v>0</v>
      </c>
      <c r="T48" s="5">
        <f t="shared" si="81"/>
        <v>0</v>
      </c>
      <c r="U48" s="5">
        <f t="shared" si="81"/>
        <v>0</v>
      </c>
      <c r="V48" s="5">
        <f t="shared" si="81"/>
        <v>0</v>
      </c>
      <c r="W48" s="5">
        <f t="shared" si="81"/>
        <v>0</v>
      </c>
      <c r="X48" s="5">
        <f t="shared" si="81"/>
        <v>0</v>
      </c>
      <c r="Y48" s="5">
        <f t="shared" si="81"/>
        <v>0</v>
      </c>
      <c r="Z48" s="5">
        <f t="shared" si="81"/>
        <v>0</v>
      </c>
      <c r="AA48" s="5">
        <f t="shared" si="81"/>
        <v>0</v>
      </c>
      <c r="AB48" s="5">
        <f t="shared" si="81"/>
        <v>0</v>
      </c>
      <c r="AC48" s="5">
        <f t="shared" si="81"/>
        <v>0</v>
      </c>
      <c r="AD48" s="5">
        <f t="shared" si="81"/>
        <v>2</v>
      </c>
      <c r="AE48" s="5" t="str">
        <f t="shared" si="81"/>
        <v/>
      </c>
      <c r="AF48" s="5" t="str">
        <f t="shared" si="81"/>
        <v/>
      </c>
      <c r="AG48" s="5" t="str">
        <f t="shared" si="81"/>
        <v/>
      </c>
      <c r="AH48" s="5" t="str">
        <f t="shared" si="81"/>
        <v/>
      </c>
      <c r="AI48" s="5" t="str">
        <f t="shared" si="81"/>
        <v/>
      </c>
      <c r="AJ48" s="5" t="str">
        <f t="shared" si="81"/>
        <v/>
      </c>
      <c r="AK48" s="5" t="str">
        <f t="shared" si="81"/>
        <v/>
      </c>
      <c r="AL48" s="5" t="str">
        <f t="shared" si="81"/>
        <v/>
      </c>
      <c r="AM48" s="5" t="str">
        <f t="shared" si="81"/>
        <v/>
      </c>
      <c r="AN48" s="5" t="str">
        <f t="shared" ref="AN48:AS48" si="82">IF(AN41="","",AM41+AM42-AN41)</f>
        <v/>
      </c>
      <c r="AO48" s="5" t="str">
        <f t="shared" si="82"/>
        <v/>
      </c>
      <c r="AP48" s="5" t="str">
        <f t="shared" si="82"/>
        <v/>
      </c>
      <c r="AQ48" s="5" t="str">
        <f t="shared" si="82"/>
        <v/>
      </c>
      <c r="AR48" s="5" t="str">
        <f t="shared" si="82"/>
        <v/>
      </c>
      <c r="AS48" s="5" t="str">
        <f t="shared" si="82"/>
        <v/>
      </c>
    </row>
    <row r="49" spans="1:45" s="93" customFormat="1" ht="11">
      <c r="A49" s="7">
        <f>SUM(C49:AS49)</f>
        <v>5700</v>
      </c>
      <c r="B49" s="6" t="s">
        <v>18</v>
      </c>
      <c r="C49" s="74">
        <v>0</v>
      </c>
      <c r="D49" s="5">
        <f t="shared" ref="D49:AM49" si="83">IF(D39="","",D48*D43)</f>
        <v>0</v>
      </c>
      <c r="E49" s="5">
        <f t="shared" si="83"/>
        <v>300</v>
      </c>
      <c r="F49" s="59">
        <f t="shared" si="83"/>
        <v>0</v>
      </c>
      <c r="G49" s="5">
        <f t="shared" si="83"/>
        <v>0</v>
      </c>
      <c r="H49" s="5">
        <f t="shared" si="83"/>
        <v>300</v>
      </c>
      <c r="I49" s="59">
        <f t="shared" si="83"/>
        <v>0</v>
      </c>
      <c r="J49" s="5">
        <f t="shared" si="83"/>
        <v>0</v>
      </c>
      <c r="K49" s="5">
        <f t="shared" si="83"/>
        <v>0</v>
      </c>
      <c r="L49" s="5">
        <f t="shared" si="83"/>
        <v>4500</v>
      </c>
      <c r="M49" s="5">
        <f t="shared" si="83"/>
        <v>0</v>
      </c>
      <c r="N49" s="5">
        <f t="shared" si="83"/>
        <v>0</v>
      </c>
      <c r="O49" s="5">
        <f t="shared" si="83"/>
        <v>0</v>
      </c>
      <c r="P49" s="5">
        <f t="shared" si="83"/>
        <v>0</v>
      </c>
      <c r="Q49" s="5">
        <f t="shared" si="83"/>
        <v>0</v>
      </c>
      <c r="R49" s="5">
        <f t="shared" si="83"/>
        <v>0</v>
      </c>
      <c r="S49" s="5">
        <f t="shared" si="83"/>
        <v>0</v>
      </c>
      <c r="T49" s="5">
        <f t="shared" si="83"/>
        <v>0</v>
      </c>
      <c r="U49" s="5">
        <f t="shared" si="83"/>
        <v>0</v>
      </c>
      <c r="V49" s="5">
        <f t="shared" si="83"/>
        <v>0</v>
      </c>
      <c r="W49" s="5">
        <f t="shared" si="83"/>
        <v>0</v>
      </c>
      <c r="X49" s="5">
        <f t="shared" si="83"/>
        <v>0</v>
      </c>
      <c r="Y49" s="5">
        <f t="shared" si="83"/>
        <v>0</v>
      </c>
      <c r="Z49" s="5">
        <f t="shared" si="83"/>
        <v>0</v>
      </c>
      <c r="AA49" s="5">
        <f t="shared" si="83"/>
        <v>0</v>
      </c>
      <c r="AB49" s="5">
        <f t="shared" si="83"/>
        <v>0</v>
      </c>
      <c r="AC49" s="5">
        <f t="shared" si="83"/>
        <v>0</v>
      </c>
      <c r="AD49" s="5">
        <f t="shared" si="83"/>
        <v>600</v>
      </c>
      <c r="AE49" s="5" t="str">
        <f t="shared" si="83"/>
        <v/>
      </c>
      <c r="AF49" s="5" t="str">
        <f t="shared" si="83"/>
        <v/>
      </c>
      <c r="AG49" s="5" t="str">
        <f t="shared" si="83"/>
        <v/>
      </c>
      <c r="AH49" s="5" t="str">
        <f t="shared" si="83"/>
        <v/>
      </c>
      <c r="AI49" s="5" t="str">
        <f t="shared" si="83"/>
        <v/>
      </c>
      <c r="AJ49" s="5" t="str">
        <f t="shared" si="83"/>
        <v/>
      </c>
      <c r="AK49" s="5" t="str">
        <f t="shared" si="83"/>
        <v/>
      </c>
      <c r="AL49" s="5" t="str">
        <f t="shared" si="83"/>
        <v/>
      </c>
      <c r="AM49" s="5" t="str">
        <f t="shared" si="83"/>
        <v/>
      </c>
      <c r="AN49" s="5" t="str">
        <f t="shared" ref="AN49:AS49" si="84">IF(AN39="","",AN48*AN43)</f>
        <v/>
      </c>
      <c r="AO49" s="5" t="str">
        <f t="shared" si="84"/>
        <v/>
      </c>
      <c r="AP49" s="5" t="str">
        <f t="shared" si="84"/>
        <v/>
      </c>
      <c r="AQ49" s="5" t="str">
        <f t="shared" si="84"/>
        <v/>
      </c>
      <c r="AR49" s="5" t="str">
        <f t="shared" si="84"/>
        <v/>
      </c>
      <c r="AS49" s="5" t="str">
        <f t="shared" si="84"/>
        <v/>
      </c>
    </row>
    <row r="50" spans="1:45" s="93" customFormat="1" ht="12" thickBot="1">
      <c r="A50" s="4">
        <f>IF(A49="","",A49/(A46*100))</f>
        <v>0.13868613138686131</v>
      </c>
      <c r="B50" s="3" t="s">
        <v>20</v>
      </c>
      <c r="C50" s="77" t="s">
        <v>21</v>
      </c>
      <c r="D50" s="2" t="str">
        <f t="shared" ref="D50:AM50" si="85">IF(D49="","",IF(D49=0,"",D49/(D46*100)))</f>
        <v/>
      </c>
      <c r="E50" s="2">
        <f t="shared" si="85"/>
        <v>7.3170731707317069E-2</v>
      </c>
      <c r="F50" s="57" t="str">
        <f t="shared" si="85"/>
        <v/>
      </c>
      <c r="G50" s="2" t="str">
        <f t="shared" si="85"/>
        <v/>
      </c>
      <c r="H50" s="2">
        <f t="shared" si="85"/>
        <v>3.7499999999999999E-2</v>
      </c>
      <c r="I50" s="57" t="str">
        <f t="shared" si="85"/>
        <v/>
      </c>
      <c r="J50" s="2" t="str">
        <f t="shared" si="85"/>
        <v/>
      </c>
      <c r="K50" s="2" t="str">
        <f t="shared" si="85"/>
        <v/>
      </c>
      <c r="L50" s="2">
        <f t="shared" si="85"/>
        <v>0.97826086956521741</v>
      </c>
      <c r="M50" s="2" t="str">
        <f t="shared" si="85"/>
        <v/>
      </c>
      <c r="N50" s="2" t="str">
        <f t="shared" si="85"/>
        <v/>
      </c>
      <c r="O50" s="2" t="str">
        <f t="shared" si="85"/>
        <v/>
      </c>
      <c r="P50" s="2" t="str">
        <f t="shared" si="85"/>
        <v/>
      </c>
      <c r="Q50" s="2" t="str">
        <f t="shared" si="85"/>
        <v/>
      </c>
      <c r="R50" s="2" t="str">
        <f t="shared" si="85"/>
        <v/>
      </c>
      <c r="S50" s="2" t="str">
        <f t="shared" si="85"/>
        <v/>
      </c>
      <c r="T50" s="2" t="str">
        <f t="shared" si="85"/>
        <v/>
      </c>
      <c r="U50" s="2" t="str">
        <f t="shared" si="85"/>
        <v/>
      </c>
      <c r="V50" s="2" t="str">
        <f t="shared" si="85"/>
        <v/>
      </c>
      <c r="W50" s="2" t="str">
        <f t="shared" si="85"/>
        <v/>
      </c>
      <c r="X50" s="2" t="str">
        <f t="shared" si="85"/>
        <v/>
      </c>
      <c r="Y50" s="2" t="str">
        <f t="shared" si="85"/>
        <v/>
      </c>
      <c r="Z50" s="2" t="str">
        <f t="shared" si="85"/>
        <v/>
      </c>
      <c r="AA50" s="2" t="str">
        <f t="shared" si="85"/>
        <v/>
      </c>
      <c r="AB50" s="2" t="str">
        <f t="shared" si="85"/>
        <v/>
      </c>
      <c r="AC50" s="2" t="str">
        <f t="shared" si="85"/>
        <v/>
      </c>
      <c r="AD50" s="2">
        <f t="shared" si="85"/>
        <v>8.8235294117647065E-2</v>
      </c>
      <c r="AE50" s="2" t="str">
        <f t="shared" si="85"/>
        <v/>
      </c>
      <c r="AF50" s="2" t="str">
        <f t="shared" si="85"/>
        <v/>
      </c>
      <c r="AG50" s="2" t="str">
        <f t="shared" si="85"/>
        <v/>
      </c>
      <c r="AH50" s="2" t="str">
        <f t="shared" si="85"/>
        <v/>
      </c>
      <c r="AI50" s="2" t="str">
        <f t="shared" si="85"/>
        <v/>
      </c>
      <c r="AJ50" s="2" t="str">
        <f t="shared" si="85"/>
        <v/>
      </c>
      <c r="AK50" s="2" t="str">
        <f t="shared" si="85"/>
        <v/>
      </c>
      <c r="AL50" s="2" t="str">
        <f t="shared" si="85"/>
        <v/>
      </c>
      <c r="AM50" s="2" t="str">
        <f t="shared" si="85"/>
        <v/>
      </c>
      <c r="AN50" s="2" t="str">
        <f t="shared" ref="AN50:AS50" si="86">IF(AN49="","",IF(AN49=0,"",AN49/(AN46*100)))</f>
        <v/>
      </c>
      <c r="AO50" s="2" t="str">
        <f t="shared" si="86"/>
        <v/>
      </c>
      <c r="AP50" s="2" t="str">
        <f t="shared" si="86"/>
        <v/>
      </c>
      <c r="AQ50" s="2" t="str">
        <f t="shared" si="86"/>
        <v/>
      </c>
      <c r="AR50" s="2" t="str">
        <f t="shared" si="86"/>
        <v/>
      </c>
      <c r="AS50" s="2" t="str">
        <f t="shared" si="86"/>
        <v/>
      </c>
    </row>
    <row r="51" spans="1:45" s="93" customFormat="1" ht="11">
      <c r="A51" s="22" t="s">
        <v>113</v>
      </c>
      <c r="B51" s="21" t="s">
        <v>2</v>
      </c>
      <c r="C51" s="73">
        <v>36154</v>
      </c>
      <c r="D51" s="20">
        <f>IF(D$3="","",C51)</f>
        <v>36154</v>
      </c>
      <c r="E51" s="20">
        <v>36210</v>
      </c>
      <c r="F51" s="130">
        <f>IF(F$3="","",E51)</f>
        <v>36210</v>
      </c>
      <c r="G51" s="20">
        <f>IF(G$3="","",F51)</f>
        <v>36210</v>
      </c>
      <c r="H51" s="20">
        <v>36249</v>
      </c>
      <c r="I51" s="130">
        <f t="shared" ref="I51:K52" si="87">IF(I$3="","",H51)</f>
        <v>36249</v>
      </c>
      <c r="J51" s="20">
        <f t="shared" si="87"/>
        <v>36249</v>
      </c>
      <c r="K51" s="20">
        <f t="shared" si="87"/>
        <v>36249</v>
      </c>
      <c r="L51" s="20">
        <v>36288</v>
      </c>
      <c r="M51" s="20">
        <f>IF(M$3="","",L51)</f>
        <v>36288</v>
      </c>
      <c r="N51" s="20">
        <f>IF(N$3="","",M51)</f>
        <v>36288</v>
      </c>
      <c r="O51" s="20">
        <v>36342</v>
      </c>
      <c r="P51" s="20">
        <f t="shared" ref="P51:AM51" si="88">IF(P$3="","",O51)</f>
        <v>36342</v>
      </c>
      <c r="Q51" s="20">
        <f t="shared" si="88"/>
        <v>36342</v>
      </c>
      <c r="R51" s="20">
        <f t="shared" si="88"/>
        <v>36342</v>
      </c>
      <c r="S51" s="20">
        <v>36387</v>
      </c>
      <c r="T51" s="20">
        <f t="shared" si="88"/>
        <v>36387</v>
      </c>
      <c r="U51" s="20">
        <f t="shared" si="88"/>
        <v>36387</v>
      </c>
      <c r="V51" s="20">
        <v>36421</v>
      </c>
      <c r="W51" s="20">
        <f t="shared" si="88"/>
        <v>36421</v>
      </c>
      <c r="X51" s="20">
        <f t="shared" si="88"/>
        <v>36421</v>
      </c>
      <c r="Y51" s="20">
        <f t="shared" si="88"/>
        <v>36421</v>
      </c>
      <c r="Z51" s="20">
        <v>36481</v>
      </c>
      <c r="AA51" s="20">
        <f t="shared" si="88"/>
        <v>36481</v>
      </c>
      <c r="AB51" s="20">
        <f t="shared" si="88"/>
        <v>36481</v>
      </c>
      <c r="AC51" s="20">
        <f t="shared" si="88"/>
        <v>36481</v>
      </c>
      <c r="AD51" s="20">
        <v>36552</v>
      </c>
      <c r="AE51" s="20" t="str">
        <f t="shared" si="88"/>
        <v/>
      </c>
      <c r="AF51" s="20" t="str">
        <f t="shared" si="88"/>
        <v/>
      </c>
      <c r="AG51" s="20" t="str">
        <f t="shared" si="88"/>
        <v/>
      </c>
      <c r="AH51" s="20" t="str">
        <f t="shared" si="88"/>
        <v/>
      </c>
      <c r="AI51" s="20" t="str">
        <f t="shared" si="88"/>
        <v/>
      </c>
      <c r="AJ51" s="20" t="str">
        <f t="shared" si="88"/>
        <v/>
      </c>
      <c r="AK51" s="20" t="str">
        <f t="shared" si="88"/>
        <v/>
      </c>
      <c r="AL51" s="20" t="str">
        <f t="shared" si="88"/>
        <v/>
      </c>
      <c r="AM51" s="20" t="str">
        <f t="shared" si="88"/>
        <v/>
      </c>
      <c r="AN51" s="20" t="str">
        <f t="shared" ref="AN51:AS51" si="89">IF(AN$3="","",AM51)</f>
        <v/>
      </c>
      <c r="AO51" s="20" t="str">
        <f t="shared" si="89"/>
        <v/>
      </c>
      <c r="AP51" s="20" t="str">
        <f t="shared" si="89"/>
        <v/>
      </c>
      <c r="AQ51" s="20" t="str">
        <f t="shared" si="89"/>
        <v/>
      </c>
      <c r="AR51" s="20" t="str">
        <f t="shared" si="89"/>
        <v/>
      </c>
      <c r="AS51" s="20" t="str">
        <f t="shared" si="89"/>
        <v/>
      </c>
    </row>
    <row r="52" spans="1:45" s="93" customFormat="1" ht="11">
      <c r="A52" s="16" t="s">
        <v>28</v>
      </c>
      <c r="B52" s="9" t="s">
        <v>4</v>
      </c>
      <c r="C52" s="74">
        <v>1664</v>
      </c>
      <c r="D52" s="8">
        <f>IF(D$3="","",C52)</f>
        <v>1664</v>
      </c>
      <c r="E52" s="8">
        <f>IF(E$3="","",D52)</f>
        <v>1664</v>
      </c>
      <c r="F52" s="59">
        <f>IF(F$3="","",E52)</f>
        <v>1664</v>
      </c>
      <c r="G52" s="8">
        <f>IF(G$3="","",F52)</f>
        <v>1664</v>
      </c>
      <c r="H52" s="8">
        <v>1666</v>
      </c>
      <c r="I52" s="59">
        <f t="shared" si="87"/>
        <v>1666</v>
      </c>
      <c r="J52" s="8">
        <f t="shared" si="87"/>
        <v>1666</v>
      </c>
      <c r="K52" s="8">
        <f t="shared" si="87"/>
        <v>1666</v>
      </c>
      <c r="L52" s="8">
        <f>IF(L$3="","",K52)</f>
        <v>1666</v>
      </c>
      <c r="M52" s="8">
        <f>IF(M$3="","",L52)</f>
        <v>1666</v>
      </c>
      <c r="N52" s="8">
        <f>IF(N$3="","",M52)</f>
        <v>1666</v>
      </c>
      <c r="O52" s="8">
        <v>1673</v>
      </c>
      <c r="P52" s="8">
        <f t="shared" ref="P52:AM52" si="90">IF(P$3="","",O52)</f>
        <v>1673</v>
      </c>
      <c r="Q52" s="8">
        <f t="shared" si="90"/>
        <v>1673</v>
      </c>
      <c r="R52" s="8">
        <f t="shared" si="90"/>
        <v>1673</v>
      </c>
      <c r="S52" s="8">
        <v>1675</v>
      </c>
      <c r="T52" s="8">
        <f t="shared" si="90"/>
        <v>1675</v>
      </c>
      <c r="U52" s="8">
        <f t="shared" si="90"/>
        <v>1675</v>
      </c>
      <c r="V52" s="8">
        <v>1677</v>
      </c>
      <c r="W52" s="8">
        <f t="shared" si="90"/>
        <v>1677</v>
      </c>
      <c r="X52" s="8">
        <f t="shared" si="90"/>
        <v>1677</v>
      </c>
      <c r="Y52" s="8">
        <f t="shared" si="90"/>
        <v>1677</v>
      </c>
      <c r="Z52" s="8">
        <v>1678</v>
      </c>
      <c r="AA52" s="8">
        <f t="shared" si="90"/>
        <v>1678</v>
      </c>
      <c r="AB52" s="8">
        <f t="shared" si="90"/>
        <v>1678</v>
      </c>
      <c r="AC52" s="8">
        <f t="shared" si="90"/>
        <v>1678</v>
      </c>
      <c r="AD52" s="8">
        <v>1679</v>
      </c>
      <c r="AE52" s="8" t="str">
        <f t="shared" si="90"/>
        <v/>
      </c>
      <c r="AF52" s="8" t="str">
        <f t="shared" si="90"/>
        <v/>
      </c>
      <c r="AG52" s="8" t="str">
        <f t="shared" si="90"/>
        <v/>
      </c>
      <c r="AH52" s="8" t="str">
        <f t="shared" si="90"/>
        <v/>
      </c>
      <c r="AI52" s="8" t="str">
        <f t="shared" si="90"/>
        <v/>
      </c>
      <c r="AJ52" s="8" t="str">
        <f t="shared" si="90"/>
        <v/>
      </c>
      <c r="AK52" s="8" t="str">
        <f t="shared" si="90"/>
        <v/>
      </c>
      <c r="AL52" s="8" t="str">
        <f t="shared" si="90"/>
        <v/>
      </c>
      <c r="AM52" s="8" t="str">
        <f t="shared" si="90"/>
        <v/>
      </c>
      <c r="AN52" s="8" t="str">
        <f t="shared" ref="AN52:AS52" si="91">IF(AN$3="","",AM52)</f>
        <v/>
      </c>
      <c r="AO52" s="8" t="str">
        <f t="shared" si="91"/>
        <v/>
      </c>
      <c r="AP52" s="8" t="str">
        <f t="shared" si="91"/>
        <v/>
      </c>
      <c r="AQ52" s="8" t="str">
        <f t="shared" si="91"/>
        <v/>
      </c>
      <c r="AR52" s="8" t="str">
        <f t="shared" si="91"/>
        <v/>
      </c>
      <c r="AS52" s="8" t="str">
        <f t="shared" si="91"/>
        <v/>
      </c>
    </row>
    <row r="53" spans="1:45" s="93" customFormat="1" ht="11">
      <c r="A53" s="15">
        <v>1</v>
      </c>
      <c r="B53" s="9" t="s">
        <v>5</v>
      </c>
      <c r="C53" s="74">
        <v>8</v>
      </c>
      <c r="D53" s="8">
        <f>IF(D51="","",(C53+C54))</f>
        <v>8</v>
      </c>
      <c r="E53" s="8">
        <f>IF(E51="","",(D53+D54))</f>
        <v>8</v>
      </c>
      <c r="F53" s="59">
        <f>IF(F51="","",(E53+E54))</f>
        <v>8</v>
      </c>
      <c r="G53" s="8">
        <f>IF(G51="","",(F53+F54))</f>
        <v>8</v>
      </c>
      <c r="H53" s="8">
        <v>6</v>
      </c>
      <c r="I53" s="59">
        <f t="shared" ref="I53:N53" si="92">IF(I51="","",(H53+H54))</f>
        <v>6</v>
      </c>
      <c r="J53" s="8">
        <f t="shared" si="92"/>
        <v>6</v>
      </c>
      <c r="K53" s="8">
        <f t="shared" si="92"/>
        <v>6</v>
      </c>
      <c r="L53" s="8">
        <f t="shared" si="92"/>
        <v>6</v>
      </c>
      <c r="M53" s="8">
        <f t="shared" si="92"/>
        <v>6</v>
      </c>
      <c r="N53" s="8">
        <f t="shared" si="92"/>
        <v>6</v>
      </c>
      <c r="O53" s="8">
        <v>4</v>
      </c>
      <c r="P53" s="8">
        <f t="shared" ref="P53:AM53" si="93">IF(P51="","",(O53+O54))</f>
        <v>7</v>
      </c>
      <c r="Q53" s="8">
        <f t="shared" si="93"/>
        <v>7</v>
      </c>
      <c r="R53" s="8">
        <f t="shared" si="93"/>
        <v>7</v>
      </c>
      <c r="S53" s="8">
        <f t="shared" si="93"/>
        <v>7</v>
      </c>
      <c r="T53" s="8">
        <f t="shared" si="93"/>
        <v>7</v>
      </c>
      <c r="U53" s="8">
        <f t="shared" si="93"/>
        <v>7</v>
      </c>
      <c r="V53" s="8">
        <v>6</v>
      </c>
      <c r="W53" s="8">
        <f t="shared" si="93"/>
        <v>7</v>
      </c>
      <c r="X53" s="8">
        <f t="shared" si="93"/>
        <v>7</v>
      </c>
      <c r="Y53" s="8">
        <f t="shared" si="93"/>
        <v>7</v>
      </c>
      <c r="Z53" s="8">
        <v>6</v>
      </c>
      <c r="AA53" s="8">
        <f t="shared" si="93"/>
        <v>6</v>
      </c>
      <c r="AB53" s="8">
        <f t="shared" si="93"/>
        <v>6</v>
      </c>
      <c r="AC53" s="8">
        <f t="shared" si="93"/>
        <v>6</v>
      </c>
      <c r="AD53" s="8">
        <f t="shared" si="93"/>
        <v>6</v>
      </c>
      <c r="AE53" s="8" t="str">
        <f t="shared" si="93"/>
        <v/>
      </c>
      <c r="AF53" s="8" t="str">
        <f t="shared" si="93"/>
        <v/>
      </c>
      <c r="AG53" s="8" t="str">
        <f t="shared" si="93"/>
        <v/>
      </c>
      <c r="AH53" s="8" t="str">
        <f t="shared" si="93"/>
        <v/>
      </c>
      <c r="AI53" s="8" t="str">
        <f t="shared" si="93"/>
        <v/>
      </c>
      <c r="AJ53" s="8" t="str">
        <f t="shared" si="93"/>
        <v/>
      </c>
      <c r="AK53" s="8" t="str">
        <f t="shared" si="93"/>
        <v/>
      </c>
      <c r="AL53" s="8" t="str">
        <f t="shared" si="93"/>
        <v/>
      </c>
      <c r="AM53" s="8" t="str">
        <f t="shared" si="93"/>
        <v/>
      </c>
      <c r="AN53" s="8" t="str">
        <f t="shared" ref="AN53:AS53" si="94">IF(AN51="","",(AM53+AM54))</f>
        <v/>
      </c>
      <c r="AO53" s="8" t="str">
        <f t="shared" si="94"/>
        <v/>
      </c>
      <c r="AP53" s="8" t="str">
        <f t="shared" si="94"/>
        <v/>
      </c>
      <c r="AQ53" s="8" t="str">
        <f t="shared" si="94"/>
        <v/>
      </c>
      <c r="AR53" s="8" t="str">
        <f t="shared" si="94"/>
        <v/>
      </c>
      <c r="AS53" s="8" t="str">
        <f t="shared" si="94"/>
        <v/>
      </c>
    </row>
    <row r="54" spans="1:45" s="93" customFormat="1" ht="11">
      <c r="A54" s="101" t="s">
        <v>6</v>
      </c>
      <c r="B54" s="9" t="s">
        <v>7</v>
      </c>
      <c r="C54" s="74"/>
      <c r="D54" s="8"/>
      <c r="E54" s="8"/>
      <c r="F54" s="59"/>
      <c r="G54" s="8"/>
      <c r="H54" s="8"/>
      <c r="I54" s="59"/>
      <c r="J54" s="8"/>
      <c r="K54" s="8"/>
      <c r="L54" s="8"/>
      <c r="M54" s="8"/>
      <c r="N54" s="8"/>
      <c r="O54" s="8">
        <v>3</v>
      </c>
      <c r="P54" s="8"/>
      <c r="Q54" s="8"/>
      <c r="R54" s="8"/>
      <c r="S54" s="8"/>
      <c r="T54" s="8"/>
      <c r="U54" s="8"/>
      <c r="V54" s="8">
        <v>1</v>
      </c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s="93" customFormat="1" ht="11">
      <c r="A55" s="102">
        <f>+(A58+A70+A82+A94)*100</f>
        <v>383200</v>
      </c>
      <c r="B55" s="9" t="s">
        <v>8</v>
      </c>
      <c r="C55" s="74">
        <v>750</v>
      </c>
      <c r="D55" s="8">
        <f t="shared" ref="D55:AM55" si="95">IF(D51="","",C55)</f>
        <v>750</v>
      </c>
      <c r="E55" s="8">
        <f t="shared" si="95"/>
        <v>750</v>
      </c>
      <c r="F55" s="59">
        <f t="shared" si="95"/>
        <v>750</v>
      </c>
      <c r="G55" s="8">
        <f t="shared" si="95"/>
        <v>750</v>
      </c>
      <c r="H55" s="8">
        <f t="shared" si="95"/>
        <v>750</v>
      </c>
      <c r="I55" s="59">
        <f t="shared" si="95"/>
        <v>750</v>
      </c>
      <c r="J55" s="8">
        <f t="shared" si="95"/>
        <v>750</v>
      </c>
      <c r="K55" s="8">
        <f t="shared" si="95"/>
        <v>750</v>
      </c>
      <c r="L55" s="8">
        <f t="shared" si="95"/>
        <v>750</v>
      </c>
      <c r="M55" s="8">
        <f t="shared" si="95"/>
        <v>750</v>
      </c>
      <c r="N55" s="8">
        <f t="shared" si="95"/>
        <v>750</v>
      </c>
      <c r="O55" s="8">
        <f t="shared" si="95"/>
        <v>750</v>
      </c>
      <c r="P55" s="8">
        <f t="shared" si="95"/>
        <v>750</v>
      </c>
      <c r="Q55" s="8">
        <f t="shared" si="95"/>
        <v>750</v>
      </c>
      <c r="R55" s="8">
        <f t="shared" si="95"/>
        <v>750</v>
      </c>
      <c r="S55" s="8">
        <f t="shared" si="95"/>
        <v>750</v>
      </c>
      <c r="T55" s="8">
        <f t="shared" si="95"/>
        <v>750</v>
      </c>
      <c r="U55" s="8">
        <f t="shared" si="95"/>
        <v>750</v>
      </c>
      <c r="V55" s="8">
        <f t="shared" si="95"/>
        <v>750</v>
      </c>
      <c r="W55" s="8">
        <f t="shared" si="95"/>
        <v>750</v>
      </c>
      <c r="X55" s="8">
        <f t="shared" si="95"/>
        <v>750</v>
      </c>
      <c r="Y55" s="8">
        <f t="shared" si="95"/>
        <v>750</v>
      </c>
      <c r="Z55" s="8">
        <f t="shared" si="95"/>
        <v>750</v>
      </c>
      <c r="AA55" s="8">
        <f t="shared" si="95"/>
        <v>750</v>
      </c>
      <c r="AB55" s="8">
        <f t="shared" si="95"/>
        <v>750</v>
      </c>
      <c r="AC55" s="8">
        <f t="shared" si="95"/>
        <v>750</v>
      </c>
      <c r="AD55" s="8">
        <f t="shared" si="95"/>
        <v>750</v>
      </c>
      <c r="AE55" s="8" t="str">
        <f t="shared" si="95"/>
        <v/>
      </c>
      <c r="AF55" s="8" t="str">
        <f t="shared" si="95"/>
        <v/>
      </c>
      <c r="AG55" s="8" t="str">
        <f t="shared" si="95"/>
        <v/>
      </c>
      <c r="AH55" s="8" t="str">
        <f t="shared" si="95"/>
        <v/>
      </c>
      <c r="AI55" s="8" t="str">
        <f t="shared" si="95"/>
        <v/>
      </c>
      <c r="AJ55" s="8" t="str">
        <f t="shared" si="95"/>
        <v/>
      </c>
      <c r="AK55" s="8" t="str">
        <f t="shared" si="95"/>
        <v/>
      </c>
      <c r="AL55" s="8" t="str">
        <f t="shared" si="95"/>
        <v/>
      </c>
      <c r="AM55" s="8" t="str">
        <f t="shared" si="95"/>
        <v/>
      </c>
      <c r="AN55" s="8" t="str">
        <f t="shared" ref="AN55:AS55" si="96">IF(AN51="","",AM55)</f>
        <v/>
      </c>
      <c r="AO55" s="8" t="str">
        <f t="shared" si="96"/>
        <v/>
      </c>
      <c r="AP55" s="8" t="str">
        <f t="shared" si="96"/>
        <v/>
      </c>
      <c r="AQ55" s="8" t="str">
        <f t="shared" si="96"/>
        <v/>
      </c>
      <c r="AR55" s="8" t="str">
        <f t="shared" si="96"/>
        <v/>
      </c>
      <c r="AS55" s="8" t="str">
        <f t="shared" si="96"/>
        <v/>
      </c>
    </row>
    <row r="56" spans="1:45" s="94" customFormat="1" ht="11">
      <c r="A56" s="14" t="s">
        <v>9</v>
      </c>
      <c r="B56" s="13" t="s">
        <v>10</v>
      </c>
      <c r="C56" s="75" t="s">
        <v>116</v>
      </c>
      <c r="D56" s="12" t="str">
        <f t="shared" ref="D56:AM56" si="97">IF(D51="","",C56)</f>
        <v>ジャグラーサウンドフラッシュボタン</v>
      </c>
      <c r="E56" s="12" t="str">
        <f t="shared" si="97"/>
        <v>ジャグラーサウンドフラッシュボタン</v>
      </c>
      <c r="F56" s="131" t="str">
        <f t="shared" si="97"/>
        <v>ジャグラーサウンドフラッシュボタン</v>
      </c>
      <c r="G56" s="12" t="str">
        <f t="shared" si="97"/>
        <v>ジャグラーサウンドフラッシュボタン</v>
      </c>
      <c r="H56" s="12" t="str">
        <f t="shared" si="97"/>
        <v>ジャグラーサウンドフラッシュボタン</v>
      </c>
      <c r="I56" s="131" t="str">
        <f t="shared" si="97"/>
        <v>ジャグラーサウンドフラッシュボタン</v>
      </c>
      <c r="J56" s="12" t="str">
        <f t="shared" si="97"/>
        <v>ジャグラーサウンドフラッシュボタン</v>
      </c>
      <c r="K56" s="12" t="str">
        <f t="shared" si="97"/>
        <v>ジャグラーサウンドフラッシュボタン</v>
      </c>
      <c r="L56" s="12" t="str">
        <f t="shared" si="97"/>
        <v>ジャグラーサウンドフラッシュボタン</v>
      </c>
      <c r="M56" s="12" t="str">
        <f t="shared" si="97"/>
        <v>ジャグラーサウンドフラッシュボタン</v>
      </c>
      <c r="N56" s="12" t="str">
        <f t="shared" si="97"/>
        <v>ジャグラーサウンドフラッシュボタン</v>
      </c>
      <c r="O56" s="12" t="str">
        <f t="shared" si="97"/>
        <v>ジャグラーサウンドフラッシュボタン</v>
      </c>
      <c r="P56" s="12" t="str">
        <f t="shared" si="97"/>
        <v>ジャグラーサウンドフラッシュボタン</v>
      </c>
      <c r="Q56" s="12" t="str">
        <f t="shared" si="97"/>
        <v>ジャグラーサウンドフラッシュボタン</v>
      </c>
      <c r="R56" s="12" t="str">
        <f t="shared" si="97"/>
        <v>ジャグラーサウンドフラッシュボタン</v>
      </c>
      <c r="S56" s="12" t="str">
        <f t="shared" si="97"/>
        <v>ジャグラーサウンドフラッシュボタン</v>
      </c>
      <c r="T56" s="12" t="str">
        <f t="shared" si="97"/>
        <v>ジャグラーサウンドフラッシュボタン</v>
      </c>
      <c r="U56" s="12" t="str">
        <f t="shared" si="97"/>
        <v>ジャグラーサウンドフラッシュボタン</v>
      </c>
      <c r="V56" s="12" t="str">
        <f t="shared" si="97"/>
        <v>ジャグラーサウンドフラッシュボタン</v>
      </c>
      <c r="W56" s="12" t="str">
        <f t="shared" si="97"/>
        <v>ジャグラーサウンドフラッシュボタン</v>
      </c>
      <c r="X56" s="12" t="str">
        <f t="shared" si="97"/>
        <v>ジャグラーサウンドフラッシュボタン</v>
      </c>
      <c r="Y56" s="12" t="str">
        <f t="shared" si="97"/>
        <v>ジャグラーサウンドフラッシュボタン</v>
      </c>
      <c r="Z56" s="12" t="str">
        <f t="shared" si="97"/>
        <v>ジャグラーサウンドフラッシュボタン</v>
      </c>
      <c r="AA56" s="12" t="str">
        <f t="shared" si="97"/>
        <v>ジャグラーサウンドフラッシュボタン</v>
      </c>
      <c r="AB56" s="12" t="str">
        <f t="shared" si="97"/>
        <v>ジャグラーサウンドフラッシュボタン</v>
      </c>
      <c r="AC56" s="12" t="str">
        <f t="shared" si="97"/>
        <v>ジャグラーサウンドフラッシュボタン</v>
      </c>
      <c r="AD56" s="12" t="str">
        <f t="shared" si="97"/>
        <v>ジャグラーサウンドフラッシュボタン</v>
      </c>
      <c r="AE56" s="12" t="str">
        <f t="shared" si="97"/>
        <v/>
      </c>
      <c r="AF56" s="12" t="str">
        <f t="shared" si="97"/>
        <v/>
      </c>
      <c r="AG56" s="12" t="str">
        <f t="shared" si="97"/>
        <v/>
      </c>
      <c r="AH56" s="12" t="str">
        <f t="shared" si="97"/>
        <v/>
      </c>
      <c r="AI56" s="12" t="str">
        <f t="shared" si="97"/>
        <v/>
      </c>
      <c r="AJ56" s="12" t="str">
        <f t="shared" si="97"/>
        <v/>
      </c>
      <c r="AK56" s="12" t="str">
        <f t="shared" si="97"/>
        <v/>
      </c>
      <c r="AL56" s="12" t="str">
        <f t="shared" si="97"/>
        <v/>
      </c>
      <c r="AM56" s="12" t="str">
        <f t="shared" si="97"/>
        <v/>
      </c>
      <c r="AN56" s="12" t="str">
        <f t="shared" ref="AN56:AS56" si="98">IF(AN51="","",AM56)</f>
        <v/>
      </c>
      <c r="AO56" s="12" t="str">
        <f t="shared" si="98"/>
        <v/>
      </c>
      <c r="AP56" s="12" t="str">
        <f t="shared" si="98"/>
        <v/>
      </c>
      <c r="AQ56" s="12" t="str">
        <f t="shared" si="98"/>
        <v/>
      </c>
      <c r="AR56" s="12" t="str">
        <f t="shared" si="98"/>
        <v/>
      </c>
      <c r="AS56" s="12" t="str">
        <f t="shared" si="98"/>
        <v/>
      </c>
    </row>
    <row r="57" spans="1:45" s="93" customFormat="1" ht="11">
      <c r="A57" s="7">
        <f>AVERAGE(C58:AS58)*30*100</f>
        <v>42642.857142857138</v>
      </c>
      <c r="B57" s="9" t="s">
        <v>14</v>
      </c>
      <c r="C57" s="74"/>
      <c r="D57" s="8"/>
      <c r="E57" s="8"/>
      <c r="F57" s="59"/>
      <c r="G57" s="8"/>
      <c r="H57" s="8"/>
      <c r="I57" s="59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s="93" customFormat="1" ht="11">
      <c r="A58" s="7">
        <f>SUM(C58:AS58)</f>
        <v>398</v>
      </c>
      <c r="B58" s="6" t="s">
        <v>15</v>
      </c>
      <c r="C58" s="74">
        <v>0</v>
      </c>
      <c r="D58" s="5">
        <f t="shared" ref="D58:AM58" si="99">IF(D51="","",D51-C51)</f>
        <v>0</v>
      </c>
      <c r="E58" s="5">
        <f t="shared" si="99"/>
        <v>56</v>
      </c>
      <c r="F58" s="59">
        <f t="shared" si="99"/>
        <v>0</v>
      </c>
      <c r="G58" s="5">
        <f t="shared" si="99"/>
        <v>0</v>
      </c>
      <c r="H58" s="5">
        <f t="shared" si="99"/>
        <v>39</v>
      </c>
      <c r="I58" s="59">
        <f t="shared" si="99"/>
        <v>0</v>
      </c>
      <c r="J58" s="5">
        <f t="shared" si="99"/>
        <v>0</v>
      </c>
      <c r="K58" s="5">
        <f t="shared" si="99"/>
        <v>0</v>
      </c>
      <c r="L58" s="5">
        <f t="shared" si="99"/>
        <v>39</v>
      </c>
      <c r="M58" s="5">
        <f t="shared" si="99"/>
        <v>0</v>
      </c>
      <c r="N58" s="5">
        <f t="shared" si="99"/>
        <v>0</v>
      </c>
      <c r="O58" s="5">
        <f t="shared" si="99"/>
        <v>54</v>
      </c>
      <c r="P58" s="5">
        <f t="shared" si="99"/>
        <v>0</v>
      </c>
      <c r="Q58" s="5">
        <f t="shared" si="99"/>
        <v>0</v>
      </c>
      <c r="R58" s="5">
        <f t="shared" si="99"/>
        <v>0</v>
      </c>
      <c r="S58" s="5">
        <f t="shared" si="99"/>
        <v>45</v>
      </c>
      <c r="T58" s="5">
        <f t="shared" si="99"/>
        <v>0</v>
      </c>
      <c r="U58" s="5">
        <f t="shared" si="99"/>
        <v>0</v>
      </c>
      <c r="V58" s="5">
        <f t="shared" si="99"/>
        <v>34</v>
      </c>
      <c r="W58" s="5">
        <f t="shared" si="99"/>
        <v>0</v>
      </c>
      <c r="X58" s="5">
        <f t="shared" si="99"/>
        <v>0</v>
      </c>
      <c r="Y58" s="5">
        <f t="shared" si="99"/>
        <v>0</v>
      </c>
      <c r="Z58" s="5">
        <f t="shared" si="99"/>
        <v>60</v>
      </c>
      <c r="AA58" s="5">
        <f t="shared" si="99"/>
        <v>0</v>
      </c>
      <c r="AB58" s="5">
        <f t="shared" si="99"/>
        <v>0</v>
      </c>
      <c r="AC58" s="5">
        <f t="shared" si="99"/>
        <v>0</v>
      </c>
      <c r="AD58" s="5">
        <f t="shared" si="99"/>
        <v>71</v>
      </c>
      <c r="AE58" s="5" t="str">
        <f t="shared" si="99"/>
        <v/>
      </c>
      <c r="AF58" s="5" t="str">
        <f t="shared" si="99"/>
        <v/>
      </c>
      <c r="AG58" s="5" t="str">
        <f t="shared" si="99"/>
        <v/>
      </c>
      <c r="AH58" s="5" t="str">
        <f t="shared" si="99"/>
        <v/>
      </c>
      <c r="AI58" s="5" t="str">
        <f t="shared" si="99"/>
        <v/>
      </c>
      <c r="AJ58" s="5" t="str">
        <f t="shared" si="99"/>
        <v/>
      </c>
      <c r="AK58" s="5" t="str">
        <f t="shared" si="99"/>
        <v/>
      </c>
      <c r="AL58" s="5" t="str">
        <f t="shared" si="99"/>
        <v/>
      </c>
      <c r="AM58" s="5" t="str">
        <f t="shared" si="99"/>
        <v/>
      </c>
      <c r="AN58" s="5" t="str">
        <f t="shared" ref="AN58:AS58" si="100">IF(AN51="","",AN51-AM51)</f>
        <v/>
      </c>
      <c r="AO58" s="5" t="str">
        <f t="shared" si="100"/>
        <v/>
      </c>
      <c r="AP58" s="5" t="str">
        <f t="shared" si="100"/>
        <v/>
      </c>
      <c r="AQ58" s="5" t="str">
        <f t="shared" si="100"/>
        <v/>
      </c>
      <c r="AR58" s="5" t="str">
        <f t="shared" si="100"/>
        <v/>
      </c>
      <c r="AS58" s="5" t="str">
        <f t="shared" si="100"/>
        <v/>
      </c>
    </row>
    <row r="59" spans="1:45" s="93" customFormat="1" ht="11">
      <c r="A59" s="7">
        <f>SUM(C59:AS59)</f>
        <v>15</v>
      </c>
      <c r="B59" s="6" t="s">
        <v>16</v>
      </c>
      <c r="C59" s="74">
        <v>0</v>
      </c>
      <c r="D59" s="5">
        <f t="shared" ref="D59:AM59" si="101">IF(D52="","",D52-C52)</f>
        <v>0</v>
      </c>
      <c r="E59" s="5">
        <f t="shared" si="101"/>
        <v>0</v>
      </c>
      <c r="F59" s="59">
        <f t="shared" si="101"/>
        <v>0</v>
      </c>
      <c r="G59" s="5">
        <f t="shared" si="101"/>
        <v>0</v>
      </c>
      <c r="H59" s="5">
        <f t="shared" si="101"/>
        <v>2</v>
      </c>
      <c r="I59" s="59">
        <f t="shared" si="101"/>
        <v>0</v>
      </c>
      <c r="J59" s="5">
        <f t="shared" si="101"/>
        <v>0</v>
      </c>
      <c r="K59" s="5">
        <f t="shared" si="101"/>
        <v>0</v>
      </c>
      <c r="L59" s="5">
        <f t="shared" si="101"/>
        <v>0</v>
      </c>
      <c r="M59" s="5">
        <f t="shared" si="101"/>
        <v>0</v>
      </c>
      <c r="N59" s="5">
        <f t="shared" si="101"/>
        <v>0</v>
      </c>
      <c r="O59" s="5">
        <f t="shared" si="101"/>
        <v>7</v>
      </c>
      <c r="P59" s="5">
        <f t="shared" si="101"/>
        <v>0</v>
      </c>
      <c r="Q59" s="5">
        <f t="shared" si="101"/>
        <v>0</v>
      </c>
      <c r="R59" s="5">
        <f t="shared" si="101"/>
        <v>0</v>
      </c>
      <c r="S59" s="5">
        <f t="shared" si="101"/>
        <v>2</v>
      </c>
      <c r="T59" s="5">
        <f t="shared" si="101"/>
        <v>0</v>
      </c>
      <c r="U59" s="5">
        <f t="shared" si="101"/>
        <v>0</v>
      </c>
      <c r="V59" s="5">
        <f t="shared" si="101"/>
        <v>2</v>
      </c>
      <c r="W59" s="5">
        <f t="shared" si="101"/>
        <v>0</v>
      </c>
      <c r="X59" s="5">
        <f t="shared" si="101"/>
        <v>0</v>
      </c>
      <c r="Y59" s="5">
        <f t="shared" si="101"/>
        <v>0</v>
      </c>
      <c r="Z59" s="5">
        <f t="shared" si="101"/>
        <v>1</v>
      </c>
      <c r="AA59" s="5">
        <f t="shared" si="101"/>
        <v>0</v>
      </c>
      <c r="AB59" s="5">
        <f t="shared" si="101"/>
        <v>0</v>
      </c>
      <c r="AC59" s="5">
        <f t="shared" si="101"/>
        <v>0</v>
      </c>
      <c r="AD59" s="5">
        <f t="shared" si="101"/>
        <v>1</v>
      </c>
      <c r="AE59" s="5" t="str">
        <f t="shared" si="101"/>
        <v/>
      </c>
      <c r="AF59" s="5" t="str">
        <f t="shared" si="101"/>
        <v/>
      </c>
      <c r="AG59" s="5" t="str">
        <f t="shared" si="101"/>
        <v/>
      </c>
      <c r="AH59" s="5" t="str">
        <f t="shared" si="101"/>
        <v/>
      </c>
      <c r="AI59" s="5" t="str">
        <f t="shared" si="101"/>
        <v/>
      </c>
      <c r="AJ59" s="5" t="str">
        <f t="shared" si="101"/>
        <v/>
      </c>
      <c r="AK59" s="5" t="str">
        <f t="shared" si="101"/>
        <v/>
      </c>
      <c r="AL59" s="5" t="str">
        <f t="shared" si="101"/>
        <v/>
      </c>
      <c r="AM59" s="5" t="str">
        <f t="shared" si="101"/>
        <v/>
      </c>
      <c r="AN59" s="5" t="str">
        <f t="shared" ref="AN59:AS59" si="102">IF(AN52="","",AN52-AM52)</f>
        <v/>
      </c>
      <c r="AO59" s="5" t="str">
        <f t="shared" si="102"/>
        <v/>
      </c>
      <c r="AP59" s="5" t="str">
        <f t="shared" si="102"/>
        <v/>
      </c>
      <c r="AQ59" s="5" t="str">
        <f t="shared" si="102"/>
        <v/>
      </c>
      <c r="AR59" s="5" t="str">
        <f t="shared" si="102"/>
        <v/>
      </c>
      <c r="AS59" s="5" t="str">
        <f t="shared" si="102"/>
        <v/>
      </c>
    </row>
    <row r="60" spans="1:45" s="93" customFormat="1" ht="11">
      <c r="A60" s="7">
        <f>SUM(C60:AS60)</f>
        <v>6</v>
      </c>
      <c r="B60" s="6" t="s">
        <v>17</v>
      </c>
      <c r="C60" s="74">
        <v>0</v>
      </c>
      <c r="D60" s="5">
        <f t="shared" ref="D60:AM60" si="103">IF(D53="","",C53+C54-D53)</f>
        <v>0</v>
      </c>
      <c r="E60" s="5">
        <f t="shared" si="103"/>
        <v>0</v>
      </c>
      <c r="F60" s="59">
        <f t="shared" si="103"/>
        <v>0</v>
      </c>
      <c r="G60" s="5">
        <f t="shared" si="103"/>
        <v>0</v>
      </c>
      <c r="H60" s="5">
        <f t="shared" si="103"/>
        <v>2</v>
      </c>
      <c r="I60" s="59">
        <f t="shared" si="103"/>
        <v>0</v>
      </c>
      <c r="J60" s="5">
        <f t="shared" si="103"/>
        <v>0</v>
      </c>
      <c r="K60" s="5">
        <f t="shared" si="103"/>
        <v>0</v>
      </c>
      <c r="L60" s="5">
        <f t="shared" si="103"/>
        <v>0</v>
      </c>
      <c r="M60" s="5">
        <f t="shared" si="103"/>
        <v>0</v>
      </c>
      <c r="N60" s="5">
        <f t="shared" si="103"/>
        <v>0</v>
      </c>
      <c r="O60" s="5">
        <f t="shared" si="103"/>
        <v>2</v>
      </c>
      <c r="P60" s="5">
        <f t="shared" si="103"/>
        <v>0</v>
      </c>
      <c r="Q60" s="5">
        <f t="shared" si="103"/>
        <v>0</v>
      </c>
      <c r="R60" s="5">
        <f t="shared" si="103"/>
        <v>0</v>
      </c>
      <c r="S60" s="5">
        <f t="shared" si="103"/>
        <v>0</v>
      </c>
      <c r="T60" s="5">
        <f t="shared" si="103"/>
        <v>0</v>
      </c>
      <c r="U60" s="5">
        <f t="shared" si="103"/>
        <v>0</v>
      </c>
      <c r="V60" s="5">
        <f t="shared" si="103"/>
        <v>1</v>
      </c>
      <c r="W60" s="5">
        <f t="shared" si="103"/>
        <v>0</v>
      </c>
      <c r="X60" s="5">
        <f t="shared" si="103"/>
        <v>0</v>
      </c>
      <c r="Y60" s="5">
        <f t="shared" si="103"/>
        <v>0</v>
      </c>
      <c r="Z60" s="5">
        <f t="shared" si="103"/>
        <v>1</v>
      </c>
      <c r="AA60" s="5">
        <f t="shared" si="103"/>
        <v>0</v>
      </c>
      <c r="AB60" s="5">
        <f t="shared" si="103"/>
        <v>0</v>
      </c>
      <c r="AC60" s="5">
        <f t="shared" si="103"/>
        <v>0</v>
      </c>
      <c r="AD60" s="5">
        <f t="shared" si="103"/>
        <v>0</v>
      </c>
      <c r="AE60" s="5" t="str">
        <f t="shared" si="103"/>
        <v/>
      </c>
      <c r="AF60" s="5" t="str">
        <f t="shared" si="103"/>
        <v/>
      </c>
      <c r="AG60" s="5" t="str">
        <f t="shared" si="103"/>
        <v/>
      </c>
      <c r="AH60" s="5" t="str">
        <f t="shared" si="103"/>
        <v/>
      </c>
      <c r="AI60" s="5" t="str">
        <f t="shared" si="103"/>
        <v/>
      </c>
      <c r="AJ60" s="5" t="str">
        <f t="shared" si="103"/>
        <v/>
      </c>
      <c r="AK60" s="5" t="str">
        <f t="shared" si="103"/>
        <v/>
      </c>
      <c r="AL60" s="5" t="str">
        <f t="shared" si="103"/>
        <v/>
      </c>
      <c r="AM60" s="5" t="str">
        <f t="shared" si="103"/>
        <v/>
      </c>
      <c r="AN60" s="5" t="str">
        <f t="shared" ref="AN60:AS60" si="104">IF(AN53="","",AM53+AM54-AN53)</f>
        <v/>
      </c>
      <c r="AO60" s="5" t="str">
        <f t="shared" si="104"/>
        <v/>
      </c>
      <c r="AP60" s="5" t="str">
        <f t="shared" si="104"/>
        <v/>
      </c>
      <c r="AQ60" s="5" t="str">
        <f t="shared" si="104"/>
        <v/>
      </c>
      <c r="AR60" s="5" t="str">
        <f t="shared" si="104"/>
        <v/>
      </c>
      <c r="AS60" s="5" t="str">
        <f t="shared" si="104"/>
        <v/>
      </c>
    </row>
    <row r="61" spans="1:45" s="93" customFormat="1" ht="11">
      <c r="A61" s="7">
        <f>SUM(C61:AS61)</f>
        <v>4500</v>
      </c>
      <c r="B61" s="6" t="s">
        <v>18</v>
      </c>
      <c r="C61" s="74">
        <v>0</v>
      </c>
      <c r="D61" s="5">
        <f t="shared" ref="D61:AM61" si="105">IF(D51="","",D60*D55)</f>
        <v>0</v>
      </c>
      <c r="E61" s="5">
        <f t="shared" si="105"/>
        <v>0</v>
      </c>
      <c r="F61" s="59">
        <f t="shared" si="105"/>
        <v>0</v>
      </c>
      <c r="G61" s="5">
        <f t="shared" si="105"/>
        <v>0</v>
      </c>
      <c r="H61" s="5">
        <f t="shared" si="105"/>
        <v>1500</v>
      </c>
      <c r="I61" s="59">
        <f t="shared" si="105"/>
        <v>0</v>
      </c>
      <c r="J61" s="5">
        <f t="shared" si="105"/>
        <v>0</v>
      </c>
      <c r="K61" s="5">
        <f t="shared" si="105"/>
        <v>0</v>
      </c>
      <c r="L61" s="5">
        <f t="shared" si="105"/>
        <v>0</v>
      </c>
      <c r="M61" s="5">
        <f t="shared" si="105"/>
        <v>0</v>
      </c>
      <c r="N61" s="5">
        <f t="shared" si="105"/>
        <v>0</v>
      </c>
      <c r="O61" s="5">
        <f t="shared" si="105"/>
        <v>1500</v>
      </c>
      <c r="P61" s="5">
        <f t="shared" si="105"/>
        <v>0</v>
      </c>
      <c r="Q61" s="5">
        <f t="shared" si="105"/>
        <v>0</v>
      </c>
      <c r="R61" s="5">
        <f t="shared" si="105"/>
        <v>0</v>
      </c>
      <c r="S61" s="5">
        <f t="shared" si="105"/>
        <v>0</v>
      </c>
      <c r="T61" s="5">
        <f t="shared" si="105"/>
        <v>0</v>
      </c>
      <c r="U61" s="5">
        <f t="shared" si="105"/>
        <v>0</v>
      </c>
      <c r="V61" s="5">
        <f t="shared" si="105"/>
        <v>750</v>
      </c>
      <c r="W61" s="5">
        <f t="shared" si="105"/>
        <v>0</v>
      </c>
      <c r="X61" s="5">
        <f t="shared" si="105"/>
        <v>0</v>
      </c>
      <c r="Y61" s="5">
        <f t="shared" si="105"/>
        <v>0</v>
      </c>
      <c r="Z61" s="5">
        <f t="shared" si="105"/>
        <v>750</v>
      </c>
      <c r="AA61" s="5">
        <f t="shared" si="105"/>
        <v>0</v>
      </c>
      <c r="AB61" s="5">
        <f t="shared" si="105"/>
        <v>0</v>
      </c>
      <c r="AC61" s="5">
        <f t="shared" si="105"/>
        <v>0</v>
      </c>
      <c r="AD61" s="5">
        <f t="shared" si="105"/>
        <v>0</v>
      </c>
      <c r="AE61" s="5" t="str">
        <f t="shared" si="105"/>
        <v/>
      </c>
      <c r="AF61" s="5" t="str">
        <f t="shared" si="105"/>
        <v/>
      </c>
      <c r="AG61" s="5" t="str">
        <f t="shared" si="105"/>
        <v/>
      </c>
      <c r="AH61" s="5" t="str">
        <f t="shared" si="105"/>
        <v/>
      </c>
      <c r="AI61" s="5" t="str">
        <f t="shared" si="105"/>
        <v/>
      </c>
      <c r="AJ61" s="5" t="str">
        <f t="shared" si="105"/>
        <v/>
      </c>
      <c r="AK61" s="5" t="str">
        <f t="shared" si="105"/>
        <v/>
      </c>
      <c r="AL61" s="5" t="str">
        <f t="shared" si="105"/>
        <v/>
      </c>
      <c r="AM61" s="5" t="str">
        <f t="shared" si="105"/>
        <v/>
      </c>
      <c r="AN61" s="5" t="str">
        <f t="shared" ref="AN61:AS61" si="106">IF(AN51="","",AN60*AN55)</f>
        <v/>
      </c>
      <c r="AO61" s="5" t="str">
        <f t="shared" si="106"/>
        <v/>
      </c>
      <c r="AP61" s="5" t="str">
        <f t="shared" si="106"/>
        <v/>
      </c>
      <c r="AQ61" s="5" t="str">
        <f t="shared" si="106"/>
        <v/>
      </c>
      <c r="AR61" s="5" t="str">
        <f t="shared" si="106"/>
        <v/>
      </c>
      <c r="AS61" s="5" t="str">
        <f t="shared" si="106"/>
        <v/>
      </c>
    </row>
    <row r="62" spans="1:45" s="93" customFormat="1" ht="12" thickBot="1">
      <c r="A62" s="4">
        <f>IF(A61="","",A61/(A58*100))</f>
        <v>0.11306532663316583</v>
      </c>
      <c r="B62" s="6" t="s">
        <v>20</v>
      </c>
      <c r="C62" s="76" t="s">
        <v>21</v>
      </c>
      <c r="D62" s="18" t="str">
        <f t="shared" ref="D62:AM62" si="107">IF(D61="","",IF(D61=0,"",D61/(D58*100)))</f>
        <v/>
      </c>
      <c r="E62" s="18" t="str">
        <f t="shared" si="107"/>
        <v/>
      </c>
      <c r="F62" s="62" t="str">
        <f t="shared" si="107"/>
        <v/>
      </c>
      <c r="G62" s="18" t="str">
        <f t="shared" si="107"/>
        <v/>
      </c>
      <c r="H62" s="18">
        <f t="shared" si="107"/>
        <v>0.38461538461538464</v>
      </c>
      <c r="I62" s="62" t="str">
        <f t="shared" si="107"/>
        <v/>
      </c>
      <c r="J62" s="18" t="str">
        <f t="shared" si="107"/>
        <v/>
      </c>
      <c r="K62" s="18" t="str">
        <f t="shared" si="107"/>
        <v/>
      </c>
      <c r="L62" s="18" t="str">
        <f t="shared" si="107"/>
        <v/>
      </c>
      <c r="M62" s="18" t="str">
        <f t="shared" si="107"/>
        <v/>
      </c>
      <c r="N62" s="18" t="str">
        <f t="shared" si="107"/>
        <v/>
      </c>
      <c r="O62" s="18">
        <f t="shared" si="107"/>
        <v>0.27777777777777779</v>
      </c>
      <c r="P62" s="18" t="str">
        <f t="shared" si="107"/>
        <v/>
      </c>
      <c r="Q62" s="18" t="str">
        <f t="shared" si="107"/>
        <v/>
      </c>
      <c r="R62" s="18" t="str">
        <f t="shared" si="107"/>
        <v/>
      </c>
      <c r="S62" s="18" t="str">
        <f t="shared" si="107"/>
        <v/>
      </c>
      <c r="T62" s="18" t="str">
        <f t="shared" si="107"/>
        <v/>
      </c>
      <c r="U62" s="18" t="str">
        <f t="shared" si="107"/>
        <v/>
      </c>
      <c r="V62" s="18">
        <f t="shared" si="107"/>
        <v>0.22058823529411764</v>
      </c>
      <c r="W62" s="18" t="str">
        <f t="shared" si="107"/>
        <v/>
      </c>
      <c r="X62" s="18" t="str">
        <f t="shared" si="107"/>
        <v/>
      </c>
      <c r="Y62" s="18" t="str">
        <f t="shared" si="107"/>
        <v/>
      </c>
      <c r="Z62" s="18">
        <f t="shared" si="107"/>
        <v>0.125</v>
      </c>
      <c r="AA62" s="18" t="str">
        <f t="shared" si="107"/>
        <v/>
      </c>
      <c r="AB62" s="18" t="str">
        <f t="shared" si="107"/>
        <v/>
      </c>
      <c r="AC62" s="18" t="str">
        <f t="shared" si="107"/>
        <v/>
      </c>
      <c r="AD62" s="18" t="str">
        <f t="shared" si="107"/>
        <v/>
      </c>
      <c r="AE62" s="18" t="str">
        <f t="shared" si="107"/>
        <v/>
      </c>
      <c r="AF62" s="18" t="str">
        <f t="shared" si="107"/>
        <v/>
      </c>
      <c r="AG62" s="18" t="str">
        <f t="shared" si="107"/>
        <v/>
      </c>
      <c r="AH62" s="18" t="str">
        <f t="shared" si="107"/>
        <v/>
      </c>
      <c r="AI62" s="18" t="str">
        <f t="shared" si="107"/>
        <v/>
      </c>
      <c r="AJ62" s="18" t="str">
        <f t="shared" si="107"/>
        <v/>
      </c>
      <c r="AK62" s="18" t="str">
        <f t="shared" si="107"/>
        <v/>
      </c>
      <c r="AL62" s="18" t="str">
        <f t="shared" si="107"/>
        <v/>
      </c>
      <c r="AM62" s="18" t="str">
        <f t="shared" si="107"/>
        <v/>
      </c>
      <c r="AN62" s="18" t="str">
        <f t="shared" ref="AN62:AS62" si="108">IF(AN61="","",IF(AN61=0,"",AN61/(AN58*100)))</f>
        <v/>
      </c>
      <c r="AO62" s="18" t="str">
        <f t="shared" si="108"/>
        <v/>
      </c>
      <c r="AP62" s="18" t="str">
        <f t="shared" si="108"/>
        <v/>
      </c>
      <c r="AQ62" s="18" t="str">
        <f t="shared" si="108"/>
        <v/>
      </c>
      <c r="AR62" s="18" t="str">
        <f t="shared" si="108"/>
        <v/>
      </c>
      <c r="AS62" s="18" t="str">
        <f t="shared" si="108"/>
        <v/>
      </c>
    </row>
    <row r="63" spans="1:45" s="93" customFormat="1" ht="11">
      <c r="A63" s="17" t="s">
        <v>113</v>
      </c>
      <c r="B63" s="9" t="s">
        <v>2</v>
      </c>
      <c r="C63" s="74">
        <v>35288</v>
      </c>
      <c r="D63" s="8">
        <f>IF(D$3="","",C63)</f>
        <v>35288</v>
      </c>
      <c r="E63" s="8">
        <v>35328</v>
      </c>
      <c r="F63" s="59">
        <f>IF(F$3="","",E63)</f>
        <v>35328</v>
      </c>
      <c r="G63" s="8">
        <f>IF(G$3="","",F63)</f>
        <v>35328</v>
      </c>
      <c r="H63" s="8">
        <v>35407</v>
      </c>
      <c r="I63" s="59">
        <f t="shared" ref="I63:K64" si="109">IF(I$3="","",H63)</f>
        <v>35407</v>
      </c>
      <c r="J63" s="8">
        <f t="shared" si="109"/>
        <v>35407</v>
      </c>
      <c r="K63" s="8">
        <f t="shared" si="109"/>
        <v>35407</v>
      </c>
      <c r="L63" s="8">
        <v>35489</v>
      </c>
      <c r="M63" s="8">
        <f>IF(M$3="","",L63)</f>
        <v>35489</v>
      </c>
      <c r="N63" s="8">
        <f>IF(N$3="","",M63)</f>
        <v>35489</v>
      </c>
      <c r="O63" s="8">
        <v>35665</v>
      </c>
      <c r="P63" s="8">
        <f t="shared" ref="P63:AM63" si="110">IF(P$3="","",O63)</f>
        <v>35665</v>
      </c>
      <c r="Q63" s="8">
        <f t="shared" si="110"/>
        <v>35665</v>
      </c>
      <c r="R63" s="8">
        <f t="shared" si="110"/>
        <v>35665</v>
      </c>
      <c r="S63" s="8">
        <v>35728</v>
      </c>
      <c r="T63" s="8">
        <f t="shared" si="110"/>
        <v>35728</v>
      </c>
      <c r="U63" s="8">
        <f t="shared" si="110"/>
        <v>35728</v>
      </c>
      <c r="V63" s="8">
        <v>35779</v>
      </c>
      <c r="W63" s="8">
        <f t="shared" si="110"/>
        <v>35779</v>
      </c>
      <c r="X63" s="8">
        <f t="shared" si="110"/>
        <v>35779</v>
      </c>
      <c r="Y63" s="8">
        <f t="shared" si="110"/>
        <v>35779</v>
      </c>
      <c r="Z63" s="8">
        <v>35833</v>
      </c>
      <c r="AA63" s="8">
        <f t="shared" si="110"/>
        <v>35833</v>
      </c>
      <c r="AB63" s="8">
        <f t="shared" si="110"/>
        <v>35833</v>
      </c>
      <c r="AC63" s="8">
        <f t="shared" si="110"/>
        <v>35833</v>
      </c>
      <c r="AD63" s="8">
        <v>35890</v>
      </c>
      <c r="AE63" s="8" t="str">
        <f t="shared" si="110"/>
        <v/>
      </c>
      <c r="AF63" s="8" t="str">
        <f t="shared" si="110"/>
        <v/>
      </c>
      <c r="AG63" s="8" t="str">
        <f t="shared" si="110"/>
        <v/>
      </c>
      <c r="AH63" s="8" t="str">
        <f t="shared" si="110"/>
        <v/>
      </c>
      <c r="AI63" s="8" t="str">
        <f t="shared" si="110"/>
        <v/>
      </c>
      <c r="AJ63" s="8" t="str">
        <f t="shared" si="110"/>
        <v/>
      </c>
      <c r="AK63" s="8" t="str">
        <f t="shared" si="110"/>
        <v/>
      </c>
      <c r="AL63" s="8" t="str">
        <f t="shared" si="110"/>
        <v/>
      </c>
      <c r="AM63" s="8" t="str">
        <f t="shared" si="110"/>
        <v/>
      </c>
      <c r="AN63" s="8" t="str">
        <f t="shared" ref="AN63:AS63" si="111">IF(AN$3="","",AM63)</f>
        <v/>
      </c>
      <c r="AO63" s="8" t="str">
        <f t="shared" si="111"/>
        <v/>
      </c>
      <c r="AP63" s="8" t="str">
        <f t="shared" si="111"/>
        <v/>
      </c>
      <c r="AQ63" s="8" t="str">
        <f t="shared" si="111"/>
        <v/>
      </c>
      <c r="AR63" s="8" t="str">
        <f t="shared" si="111"/>
        <v/>
      </c>
      <c r="AS63" s="8" t="str">
        <f t="shared" si="111"/>
        <v/>
      </c>
    </row>
    <row r="64" spans="1:45" s="93" customFormat="1" ht="11">
      <c r="A64" s="16" t="s">
        <v>30</v>
      </c>
      <c r="B64" s="9" t="s">
        <v>4</v>
      </c>
      <c r="C64" s="74">
        <v>1508</v>
      </c>
      <c r="D64" s="8">
        <f>IF(D$3="","",C64)</f>
        <v>1508</v>
      </c>
      <c r="E64" s="8">
        <v>1510</v>
      </c>
      <c r="F64" s="59">
        <f>IF(F$3="","",E64)</f>
        <v>1510</v>
      </c>
      <c r="G64" s="8">
        <f>IF(G$3="","",F64)</f>
        <v>1510</v>
      </c>
      <c r="H64" s="8">
        <v>1512</v>
      </c>
      <c r="I64" s="59">
        <f t="shared" si="109"/>
        <v>1512</v>
      </c>
      <c r="J64" s="8">
        <f t="shared" si="109"/>
        <v>1512</v>
      </c>
      <c r="K64" s="8">
        <f t="shared" si="109"/>
        <v>1512</v>
      </c>
      <c r="L64" s="8">
        <v>1513</v>
      </c>
      <c r="M64" s="8">
        <f>IF(M$3="","",L64)</f>
        <v>1513</v>
      </c>
      <c r="N64" s="8">
        <f>IF(N$3="","",M64)</f>
        <v>1513</v>
      </c>
      <c r="O64" s="8">
        <v>1514</v>
      </c>
      <c r="P64" s="8">
        <f t="shared" ref="P64:AM64" si="112">IF(P$3="","",O64)</f>
        <v>1514</v>
      </c>
      <c r="Q64" s="8">
        <f t="shared" si="112"/>
        <v>1514</v>
      </c>
      <c r="R64" s="8">
        <f t="shared" si="112"/>
        <v>1514</v>
      </c>
      <c r="S64" s="8">
        <v>1516</v>
      </c>
      <c r="T64" s="8">
        <f t="shared" si="112"/>
        <v>1516</v>
      </c>
      <c r="U64" s="8">
        <f t="shared" si="112"/>
        <v>1516</v>
      </c>
      <c r="V64" s="8">
        <v>1518</v>
      </c>
      <c r="W64" s="8">
        <f t="shared" si="112"/>
        <v>1518</v>
      </c>
      <c r="X64" s="8">
        <f t="shared" si="112"/>
        <v>1518</v>
      </c>
      <c r="Y64" s="8">
        <f t="shared" si="112"/>
        <v>1518</v>
      </c>
      <c r="Z64" s="8">
        <v>1519</v>
      </c>
      <c r="AA64" s="8">
        <f t="shared" si="112"/>
        <v>1519</v>
      </c>
      <c r="AB64" s="8">
        <f t="shared" si="112"/>
        <v>1519</v>
      </c>
      <c r="AC64" s="8">
        <f t="shared" si="112"/>
        <v>1519</v>
      </c>
      <c r="AD64" s="8">
        <f t="shared" si="112"/>
        <v>1519</v>
      </c>
      <c r="AE64" s="8" t="str">
        <f t="shared" si="112"/>
        <v/>
      </c>
      <c r="AF64" s="8" t="str">
        <f t="shared" si="112"/>
        <v/>
      </c>
      <c r="AG64" s="8" t="str">
        <f t="shared" si="112"/>
        <v/>
      </c>
      <c r="AH64" s="8" t="str">
        <f t="shared" si="112"/>
        <v/>
      </c>
      <c r="AI64" s="8" t="str">
        <f t="shared" si="112"/>
        <v/>
      </c>
      <c r="AJ64" s="8" t="str">
        <f t="shared" si="112"/>
        <v/>
      </c>
      <c r="AK64" s="8" t="str">
        <f t="shared" si="112"/>
        <v/>
      </c>
      <c r="AL64" s="8" t="str">
        <f t="shared" si="112"/>
        <v/>
      </c>
      <c r="AM64" s="8" t="str">
        <f t="shared" si="112"/>
        <v/>
      </c>
      <c r="AN64" s="8" t="str">
        <f t="shared" ref="AN64:AS64" si="113">IF(AN$3="","",AM64)</f>
        <v/>
      </c>
      <c r="AO64" s="8" t="str">
        <f t="shared" si="113"/>
        <v/>
      </c>
      <c r="AP64" s="8" t="str">
        <f t="shared" si="113"/>
        <v/>
      </c>
      <c r="AQ64" s="8" t="str">
        <f t="shared" si="113"/>
        <v/>
      </c>
      <c r="AR64" s="8" t="str">
        <f t="shared" si="113"/>
        <v/>
      </c>
      <c r="AS64" s="8" t="str">
        <f t="shared" si="113"/>
        <v/>
      </c>
    </row>
    <row r="65" spans="1:45" s="93" customFormat="1" ht="11">
      <c r="A65" s="15">
        <v>2</v>
      </c>
      <c r="B65" s="9" t="s">
        <v>5</v>
      </c>
      <c r="C65" s="74">
        <v>14</v>
      </c>
      <c r="D65" s="8">
        <f>IF(D63="","",(C65+C66))</f>
        <v>14</v>
      </c>
      <c r="E65" s="8">
        <v>12</v>
      </c>
      <c r="F65" s="59">
        <f>IF(F63="","",(E65+E66))</f>
        <v>12</v>
      </c>
      <c r="G65" s="8">
        <f>IF(G63="","",(F65+F66))</f>
        <v>12</v>
      </c>
      <c r="H65" s="8">
        <v>11</v>
      </c>
      <c r="I65" s="59">
        <f t="shared" ref="I65:N65" si="114">IF(I63="","",(H65+H66))</f>
        <v>14</v>
      </c>
      <c r="J65" s="8">
        <f t="shared" si="114"/>
        <v>14</v>
      </c>
      <c r="K65" s="8">
        <f t="shared" si="114"/>
        <v>14</v>
      </c>
      <c r="L65" s="8">
        <f t="shared" si="114"/>
        <v>14</v>
      </c>
      <c r="M65" s="8">
        <f t="shared" si="114"/>
        <v>14</v>
      </c>
      <c r="N65" s="8">
        <f t="shared" si="114"/>
        <v>14</v>
      </c>
      <c r="O65" s="8">
        <v>13</v>
      </c>
      <c r="P65" s="8">
        <f t="shared" ref="P65:AM65" si="115">IF(P63="","",(O65+O66))</f>
        <v>13</v>
      </c>
      <c r="Q65" s="8">
        <f t="shared" si="115"/>
        <v>13</v>
      </c>
      <c r="R65" s="8">
        <f t="shared" si="115"/>
        <v>13</v>
      </c>
      <c r="S65" s="8">
        <f t="shared" si="115"/>
        <v>13</v>
      </c>
      <c r="T65" s="8">
        <f t="shared" si="115"/>
        <v>13</v>
      </c>
      <c r="U65" s="8">
        <f t="shared" si="115"/>
        <v>13</v>
      </c>
      <c r="V65" s="8">
        <f t="shared" si="115"/>
        <v>13</v>
      </c>
      <c r="W65" s="8">
        <f t="shared" si="115"/>
        <v>13</v>
      </c>
      <c r="X65" s="8">
        <f t="shared" si="115"/>
        <v>13</v>
      </c>
      <c r="Y65" s="8">
        <f t="shared" si="115"/>
        <v>13</v>
      </c>
      <c r="Z65" s="8">
        <f t="shared" si="115"/>
        <v>13</v>
      </c>
      <c r="AA65" s="8">
        <f t="shared" si="115"/>
        <v>13</v>
      </c>
      <c r="AB65" s="8">
        <f t="shared" si="115"/>
        <v>13</v>
      </c>
      <c r="AC65" s="8">
        <f t="shared" si="115"/>
        <v>13</v>
      </c>
      <c r="AD65" s="8">
        <f t="shared" si="115"/>
        <v>13</v>
      </c>
      <c r="AE65" s="8" t="str">
        <f t="shared" si="115"/>
        <v/>
      </c>
      <c r="AF65" s="8" t="str">
        <f t="shared" si="115"/>
        <v/>
      </c>
      <c r="AG65" s="8" t="str">
        <f t="shared" si="115"/>
        <v/>
      </c>
      <c r="AH65" s="8" t="str">
        <f t="shared" si="115"/>
        <v/>
      </c>
      <c r="AI65" s="8" t="str">
        <f t="shared" si="115"/>
        <v/>
      </c>
      <c r="AJ65" s="8" t="str">
        <f t="shared" si="115"/>
        <v/>
      </c>
      <c r="AK65" s="8" t="str">
        <f t="shared" si="115"/>
        <v/>
      </c>
      <c r="AL65" s="8" t="str">
        <f t="shared" si="115"/>
        <v/>
      </c>
      <c r="AM65" s="8" t="str">
        <f t="shared" si="115"/>
        <v/>
      </c>
      <c r="AN65" s="8" t="str">
        <f t="shared" ref="AN65:AS65" si="116">IF(AN63="","",(AM65+AM66))</f>
        <v/>
      </c>
      <c r="AO65" s="8" t="str">
        <f t="shared" si="116"/>
        <v/>
      </c>
      <c r="AP65" s="8" t="str">
        <f t="shared" si="116"/>
        <v/>
      </c>
      <c r="AQ65" s="8" t="str">
        <f t="shared" si="116"/>
        <v/>
      </c>
      <c r="AR65" s="8" t="str">
        <f t="shared" si="116"/>
        <v/>
      </c>
      <c r="AS65" s="8" t="str">
        <f t="shared" si="116"/>
        <v/>
      </c>
    </row>
    <row r="66" spans="1:45" s="93" customFormat="1" ht="11">
      <c r="A66" s="14"/>
      <c r="B66" s="9" t="s">
        <v>7</v>
      </c>
      <c r="C66" s="74"/>
      <c r="D66" s="8"/>
      <c r="E66" s="8"/>
      <c r="F66" s="59"/>
      <c r="G66" s="8"/>
      <c r="H66" s="8">
        <v>3</v>
      </c>
      <c r="I66" s="59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s="93" customFormat="1" ht="11">
      <c r="A67" s="7"/>
      <c r="B67" s="9" t="s">
        <v>8</v>
      </c>
      <c r="C67" s="74">
        <v>750</v>
      </c>
      <c r="D67" s="8">
        <f t="shared" ref="D67:AM67" si="117">IF(D63="","",C67)</f>
        <v>750</v>
      </c>
      <c r="E67" s="8">
        <f t="shared" si="117"/>
        <v>750</v>
      </c>
      <c r="F67" s="59">
        <f t="shared" si="117"/>
        <v>750</v>
      </c>
      <c r="G67" s="8">
        <f t="shared" si="117"/>
        <v>750</v>
      </c>
      <c r="H67" s="8">
        <f t="shared" si="117"/>
        <v>750</v>
      </c>
      <c r="I67" s="59">
        <f t="shared" si="117"/>
        <v>750</v>
      </c>
      <c r="J67" s="8">
        <f t="shared" si="117"/>
        <v>750</v>
      </c>
      <c r="K67" s="8">
        <f t="shared" si="117"/>
        <v>750</v>
      </c>
      <c r="L67" s="8">
        <f t="shared" si="117"/>
        <v>750</v>
      </c>
      <c r="M67" s="8">
        <f t="shared" si="117"/>
        <v>750</v>
      </c>
      <c r="N67" s="8">
        <f t="shared" si="117"/>
        <v>750</v>
      </c>
      <c r="O67" s="8">
        <f t="shared" si="117"/>
        <v>750</v>
      </c>
      <c r="P67" s="8">
        <f t="shared" si="117"/>
        <v>750</v>
      </c>
      <c r="Q67" s="8">
        <f t="shared" si="117"/>
        <v>750</v>
      </c>
      <c r="R67" s="8">
        <f t="shared" si="117"/>
        <v>750</v>
      </c>
      <c r="S67" s="8">
        <f t="shared" si="117"/>
        <v>750</v>
      </c>
      <c r="T67" s="8">
        <f t="shared" si="117"/>
        <v>750</v>
      </c>
      <c r="U67" s="8">
        <f t="shared" si="117"/>
        <v>750</v>
      </c>
      <c r="V67" s="8">
        <f t="shared" si="117"/>
        <v>750</v>
      </c>
      <c r="W67" s="8">
        <f t="shared" si="117"/>
        <v>750</v>
      </c>
      <c r="X67" s="8">
        <f t="shared" si="117"/>
        <v>750</v>
      </c>
      <c r="Y67" s="8">
        <f t="shared" si="117"/>
        <v>750</v>
      </c>
      <c r="Z67" s="8">
        <f t="shared" si="117"/>
        <v>750</v>
      </c>
      <c r="AA67" s="8">
        <f t="shared" si="117"/>
        <v>750</v>
      </c>
      <c r="AB67" s="8">
        <f t="shared" si="117"/>
        <v>750</v>
      </c>
      <c r="AC67" s="8">
        <f t="shared" si="117"/>
        <v>750</v>
      </c>
      <c r="AD67" s="8">
        <f t="shared" si="117"/>
        <v>750</v>
      </c>
      <c r="AE67" s="8" t="str">
        <f t="shared" si="117"/>
        <v/>
      </c>
      <c r="AF67" s="8" t="str">
        <f t="shared" si="117"/>
        <v/>
      </c>
      <c r="AG67" s="8" t="str">
        <f t="shared" si="117"/>
        <v/>
      </c>
      <c r="AH67" s="8" t="str">
        <f t="shared" si="117"/>
        <v/>
      </c>
      <c r="AI67" s="8" t="str">
        <f t="shared" si="117"/>
        <v/>
      </c>
      <c r="AJ67" s="8" t="str">
        <f t="shared" si="117"/>
        <v/>
      </c>
      <c r="AK67" s="8" t="str">
        <f t="shared" si="117"/>
        <v/>
      </c>
      <c r="AL67" s="8" t="str">
        <f t="shared" si="117"/>
        <v/>
      </c>
      <c r="AM67" s="8" t="str">
        <f t="shared" si="117"/>
        <v/>
      </c>
      <c r="AN67" s="8" t="str">
        <f t="shared" ref="AN67:AS67" si="118">IF(AN63="","",AM67)</f>
        <v/>
      </c>
      <c r="AO67" s="8" t="str">
        <f t="shared" si="118"/>
        <v/>
      </c>
      <c r="AP67" s="8" t="str">
        <f t="shared" si="118"/>
        <v/>
      </c>
      <c r="AQ67" s="8" t="str">
        <f t="shared" si="118"/>
        <v/>
      </c>
      <c r="AR67" s="8" t="str">
        <f t="shared" si="118"/>
        <v/>
      </c>
      <c r="AS67" s="8" t="str">
        <f t="shared" si="118"/>
        <v/>
      </c>
    </row>
    <row r="68" spans="1:45" s="94" customFormat="1" ht="11">
      <c r="A68" s="14" t="s">
        <v>9</v>
      </c>
      <c r="B68" s="13" t="s">
        <v>10</v>
      </c>
      <c r="C68" s="75" t="s">
        <v>93</v>
      </c>
      <c r="D68" s="12" t="str">
        <f t="shared" ref="D68:AM68" si="119">IF(D63="","",C68)</f>
        <v>NICI</v>
      </c>
      <c r="E68" s="12" t="str">
        <f t="shared" si="119"/>
        <v>NICI</v>
      </c>
      <c r="F68" s="131" t="str">
        <f t="shared" si="119"/>
        <v>NICI</v>
      </c>
      <c r="G68" s="12" t="str">
        <f t="shared" si="119"/>
        <v>NICI</v>
      </c>
      <c r="H68" s="12" t="str">
        <f t="shared" si="119"/>
        <v>NICI</v>
      </c>
      <c r="I68" s="131" t="str">
        <f t="shared" si="119"/>
        <v>NICI</v>
      </c>
      <c r="J68" s="12" t="str">
        <f t="shared" si="119"/>
        <v>NICI</v>
      </c>
      <c r="K68" s="12" t="str">
        <f t="shared" si="119"/>
        <v>NICI</v>
      </c>
      <c r="L68" s="12" t="str">
        <f t="shared" si="119"/>
        <v>NICI</v>
      </c>
      <c r="M68" s="12" t="str">
        <f t="shared" si="119"/>
        <v>NICI</v>
      </c>
      <c r="N68" s="12" t="str">
        <f t="shared" si="119"/>
        <v>NICI</v>
      </c>
      <c r="O68" s="12" t="str">
        <f t="shared" si="119"/>
        <v>NICI</v>
      </c>
      <c r="P68" s="12" t="str">
        <f t="shared" si="119"/>
        <v>NICI</v>
      </c>
      <c r="Q68" s="12" t="str">
        <f t="shared" si="119"/>
        <v>NICI</v>
      </c>
      <c r="R68" s="12" t="str">
        <f t="shared" si="119"/>
        <v>NICI</v>
      </c>
      <c r="S68" s="12" t="str">
        <f t="shared" si="119"/>
        <v>NICI</v>
      </c>
      <c r="T68" s="12" t="str">
        <f t="shared" si="119"/>
        <v>NICI</v>
      </c>
      <c r="U68" s="12" t="str">
        <f t="shared" si="119"/>
        <v>NICI</v>
      </c>
      <c r="V68" s="12" t="str">
        <f t="shared" si="119"/>
        <v>NICI</v>
      </c>
      <c r="W68" s="12" t="str">
        <f t="shared" si="119"/>
        <v>NICI</v>
      </c>
      <c r="X68" s="12" t="str">
        <f t="shared" si="119"/>
        <v>NICI</v>
      </c>
      <c r="Y68" s="12" t="str">
        <f t="shared" si="119"/>
        <v>NICI</v>
      </c>
      <c r="Z68" s="12" t="str">
        <f t="shared" si="119"/>
        <v>NICI</v>
      </c>
      <c r="AA68" s="12" t="str">
        <f t="shared" si="119"/>
        <v>NICI</v>
      </c>
      <c r="AB68" s="12" t="str">
        <f t="shared" si="119"/>
        <v>NICI</v>
      </c>
      <c r="AC68" s="12" t="str">
        <f t="shared" si="119"/>
        <v>NICI</v>
      </c>
      <c r="AD68" s="12" t="str">
        <f t="shared" si="119"/>
        <v>NICI</v>
      </c>
      <c r="AE68" s="12" t="str">
        <f t="shared" si="119"/>
        <v/>
      </c>
      <c r="AF68" s="12" t="str">
        <f t="shared" si="119"/>
        <v/>
      </c>
      <c r="AG68" s="12" t="str">
        <f t="shared" si="119"/>
        <v/>
      </c>
      <c r="AH68" s="12" t="str">
        <f t="shared" si="119"/>
        <v/>
      </c>
      <c r="AI68" s="12" t="str">
        <f t="shared" si="119"/>
        <v/>
      </c>
      <c r="AJ68" s="12" t="str">
        <f t="shared" si="119"/>
        <v/>
      </c>
      <c r="AK68" s="12" t="str">
        <f t="shared" si="119"/>
        <v/>
      </c>
      <c r="AL68" s="12" t="str">
        <f t="shared" si="119"/>
        <v/>
      </c>
      <c r="AM68" s="12" t="str">
        <f t="shared" si="119"/>
        <v/>
      </c>
      <c r="AN68" s="12" t="str">
        <f t="shared" ref="AN68:AS68" si="120">IF(AN63="","",AM68)</f>
        <v/>
      </c>
      <c r="AO68" s="12" t="str">
        <f t="shared" si="120"/>
        <v/>
      </c>
      <c r="AP68" s="12" t="str">
        <f t="shared" si="120"/>
        <v/>
      </c>
      <c r="AQ68" s="12" t="str">
        <f t="shared" si="120"/>
        <v/>
      </c>
      <c r="AR68" s="12" t="str">
        <f t="shared" si="120"/>
        <v/>
      </c>
      <c r="AS68" s="12" t="str">
        <f t="shared" si="120"/>
        <v/>
      </c>
    </row>
    <row r="69" spans="1:45" s="93" customFormat="1" ht="11">
      <c r="A69" s="7">
        <f>AVERAGE(C70:AS70)*30*100</f>
        <v>64500</v>
      </c>
      <c r="B69" s="9" t="s">
        <v>14</v>
      </c>
      <c r="C69" s="74"/>
      <c r="D69" s="8"/>
      <c r="E69" s="8"/>
      <c r="F69" s="59"/>
      <c r="G69" s="8"/>
      <c r="H69" s="8"/>
      <c r="I69" s="59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s="93" customFormat="1" ht="11">
      <c r="A70" s="7">
        <f>SUM(C70:AS70)</f>
        <v>602</v>
      </c>
      <c r="B70" s="6" t="s">
        <v>15</v>
      </c>
      <c r="C70" s="74">
        <v>0</v>
      </c>
      <c r="D70" s="5">
        <f t="shared" ref="D70:AM70" si="121">IF(D63="","",D63-C63)</f>
        <v>0</v>
      </c>
      <c r="E70" s="5">
        <f t="shared" si="121"/>
        <v>40</v>
      </c>
      <c r="F70" s="59">
        <f t="shared" si="121"/>
        <v>0</v>
      </c>
      <c r="G70" s="5">
        <f t="shared" si="121"/>
        <v>0</v>
      </c>
      <c r="H70" s="5">
        <f t="shared" si="121"/>
        <v>79</v>
      </c>
      <c r="I70" s="59">
        <f t="shared" si="121"/>
        <v>0</v>
      </c>
      <c r="J70" s="5">
        <f t="shared" si="121"/>
        <v>0</v>
      </c>
      <c r="K70" s="5">
        <f t="shared" si="121"/>
        <v>0</v>
      </c>
      <c r="L70" s="5">
        <f t="shared" si="121"/>
        <v>82</v>
      </c>
      <c r="M70" s="5">
        <f t="shared" si="121"/>
        <v>0</v>
      </c>
      <c r="N70" s="5">
        <f t="shared" si="121"/>
        <v>0</v>
      </c>
      <c r="O70" s="5">
        <f t="shared" si="121"/>
        <v>176</v>
      </c>
      <c r="P70" s="5">
        <f t="shared" si="121"/>
        <v>0</v>
      </c>
      <c r="Q70" s="5">
        <f t="shared" si="121"/>
        <v>0</v>
      </c>
      <c r="R70" s="5">
        <f t="shared" si="121"/>
        <v>0</v>
      </c>
      <c r="S70" s="5">
        <f t="shared" si="121"/>
        <v>63</v>
      </c>
      <c r="T70" s="5">
        <f t="shared" si="121"/>
        <v>0</v>
      </c>
      <c r="U70" s="5">
        <f t="shared" si="121"/>
        <v>0</v>
      </c>
      <c r="V70" s="5">
        <f t="shared" si="121"/>
        <v>51</v>
      </c>
      <c r="W70" s="5">
        <f t="shared" si="121"/>
        <v>0</v>
      </c>
      <c r="X70" s="5">
        <f t="shared" si="121"/>
        <v>0</v>
      </c>
      <c r="Y70" s="5">
        <f t="shared" si="121"/>
        <v>0</v>
      </c>
      <c r="Z70" s="5">
        <f t="shared" si="121"/>
        <v>54</v>
      </c>
      <c r="AA70" s="5">
        <f t="shared" si="121"/>
        <v>0</v>
      </c>
      <c r="AB70" s="5">
        <f t="shared" si="121"/>
        <v>0</v>
      </c>
      <c r="AC70" s="5">
        <f t="shared" si="121"/>
        <v>0</v>
      </c>
      <c r="AD70" s="5">
        <f t="shared" si="121"/>
        <v>57</v>
      </c>
      <c r="AE70" s="5" t="str">
        <f t="shared" si="121"/>
        <v/>
      </c>
      <c r="AF70" s="5" t="str">
        <f t="shared" si="121"/>
        <v/>
      </c>
      <c r="AG70" s="5" t="str">
        <f t="shared" si="121"/>
        <v/>
      </c>
      <c r="AH70" s="5" t="str">
        <f t="shared" si="121"/>
        <v/>
      </c>
      <c r="AI70" s="5" t="str">
        <f t="shared" si="121"/>
        <v/>
      </c>
      <c r="AJ70" s="5" t="str">
        <f t="shared" si="121"/>
        <v/>
      </c>
      <c r="AK70" s="5" t="str">
        <f t="shared" si="121"/>
        <v/>
      </c>
      <c r="AL70" s="5" t="str">
        <f t="shared" si="121"/>
        <v/>
      </c>
      <c r="AM70" s="5" t="str">
        <f t="shared" si="121"/>
        <v/>
      </c>
      <c r="AN70" s="5" t="str">
        <f t="shared" ref="AN70:AS70" si="122">IF(AN63="","",AN63-AM63)</f>
        <v/>
      </c>
      <c r="AO70" s="5" t="str">
        <f t="shared" si="122"/>
        <v/>
      </c>
      <c r="AP70" s="5" t="str">
        <f t="shared" si="122"/>
        <v/>
      </c>
      <c r="AQ70" s="5" t="str">
        <f t="shared" si="122"/>
        <v/>
      </c>
      <c r="AR70" s="5" t="str">
        <f t="shared" si="122"/>
        <v/>
      </c>
      <c r="AS70" s="5" t="str">
        <f t="shared" si="122"/>
        <v/>
      </c>
    </row>
    <row r="71" spans="1:45" s="93" customFormat="1" ht="11">
      <c r="A71" s="7">
        <f>SUM(C71:AS71)</f>
        <v>11</v>
      </c>
      <c r="B71" s="6" t="s">
        <v>16</v>
      </c>
      <c r="C71" s="74">
        <v>0</v>
      </c>
      <c r="D71" s="5">
        <f t="shared" ref="D71:AM71" si="123">IF(D64="","",D64-C64)</f>
        <v>0</v>
      </c>
      <c r="E71" s="5">
        <f t="shared" si="123"/>
        <v>2</v>
      </c>
      <c r="F71" s="59">
        <f t="shared" si="123"/>
        <v>0</v>
      </c>
      <c r="G71" s="5">
        <f t="shared" si="123"/>
        <v>0</v>
      </c>
      <c r="H71" s="5">
        <f t="shared" si="123"/>
        <v>2</v>
      </c>
      <c r="I71" s="59">
        <f t="shared" si="123"/>
        <v>0</v>
      </c>
      <c r="J71" s="5">
        <f t="shared" si="123"/>
        <v>0</v>
      </c>
      <c r="K71" s="5">
        <f t="shared" si="123"/>
        <v>0</v>
      </c>
      <c r="L71" s="5">
        <f t="shared" si="123"/>
        <v>1</v>
      </c>
      <c r="M71" s="5">
        <f t="shared" si="123"/>
        <v>0</v>
      </c>
      <c r="N71" s="5">
        <f t="shared" si="123"/>
        <v>0</v>
      </c>
      <c r="O71" s="5">
        <f t="shared" si="123"/>
        <v>1</v>
      </c>
      <c r="P71" s="5">
        <f t="shared" si="123"/>
        <v>0</v>
      </c>
      <c r="Q71" s="5">
        <f t="shared" si="123"/>
        <v>0</v>
      </c>
      <c r="R71" s="5">
        <f t="shared" si="123"/>
        <v>0</v>
      </c>
      <c r="S71" s="5">
        <f t="shared" si="123"/>
        <v>2</v>
      </c>
      <c r="T71" s="5">
        <f t="shared" si="123"/>
        <v>0</v>
      </c>
      <c r="U71" s="5">
        <f t="shared" si="123"/>
        <v>0</v>
      </c>
      <c r="V71" s="5">
        <f t="shared" si="123"/>
        <v>2</v>
      </c>
      <c r="W71" s="5">
        <f t="shared" si="123"/>
        <v>0</v>
      </c>
      <c r="X71" s="5">
        <f t="shared" si="123"/>
        <v>0</v>
      </c>
      <c r="Y71" s="5">
        <f t="shared" si="123"/>
        <v>0</v>
      </c>
      <c r="Z71" s="5">
        <f t="shared" si="123"/>
        <v>1</v>
      </c>
      <c r="AA71" s="5">
        <f t="shared" si="123"/>
        <v>0</v>
      </c>
      <c r="AB71" s="5">
        <f t="shared" si="123"/>
        <v>0</v>
      </c>
      <c r="AC71" s="5">
        <f t="shared" si="123"/>
        <v>0</v>
      </c>
      <c r="AD71" s="5">
        <f t="shared" si="123"/>
        <v>0</v>
      </c>
      <c r="AE71" s="5" t="str">
        <f t="shared" si="123"/>
        <v/>
      </c>
      <c r="AF71" s="5" t="str">
        <f t="shared" si="123"/>
        <v/>
      </c>
      <c r="AG71" s="5" t="str">
        <f t="shared" si="123"/>
        <v/>
      </c>
      <c r="AH71" s="5" t="str">
        <f t="shared" si="123"/>
        <v/>
      </c>
      <c r="AI71" s="5" t="str">
        <f t="shared" si="123"/>
        <v/>
      </c>
      <c r="AJ71" s="5" t="str">
        <f t="shared" si="123"/>
        <v/>
      </c>
      <c r="AK71" s="5" t="str">
        <f t="shared" si="123"/>
        <v/>
      </c>
      <c r="AL71" s="5" t="str">
        <f t="shared" si="123"/>
        <v/>
      </c>
      <c r="AM71" s="5" t="str">
        <f t="shared" si="123"/>
        <v/>
      </c>
      <c r="AN71" s="5" t="str">
        <f t="shared" ref="AN71:AS71" si="124">IF(AN64="","",AN64-AM64)</f>
        <v/>
      </c>
      <c r="AO71" s="5" t="str">
        <f t="shared" si="124"/>
        <v/>
      </c>
      <c r="AP71" s="5" t="str">
        <f t="shared" si="124"/>
        <v/>
      </c>
      <c r="AQ71" s="5" t="str">
        <f t="shared" si="124"/>
        <v/>
      </c>
      <c r="AR71" s="5" t="str">
        <f t="shared" si="124"/>
        <v/>
      </c>
      <c r="AS71" s="5" t="str">
        <f t="shared" si="124"/>
        <v/>
      </c>
    </row>
    <row r="72" spans="1:45" s="93" customFormat="1" ht="11">
      <c r="A72" s="7">
        <f>SUM(C72:AS72)</f>
        <v>4</v>
      </c>
      <c r="B72" s="6" t="s">
        <v>17</v>
      </c>
      <c r="C72" s="74">
        <v>0</v>
      </c>
      <c r="D72" s="5">
        <f t="shared" ref="D72:AM72" si="125">IF(D65="","",C65+C66-D65)</f>
        <v>0</v>
      </c>
      <c r="E72" s="5">
        <f t="shared" si="125"/>
        <v>2</v>
      </c>
      <c r="F72" s="59">
        <f t="shared" si="125"/>
        <v>0</v>
      </c>
      <c r="G72" s="5">
        <f t="shared" si="125"/>
        <v>0</v>
      </c>
      <c r="H72" s="5">
        <f t="shared" si="125"/>
        <v>1</v>
      </c>
      <c r="I72" s="59">
        <f t="shared" si="125"/>
        <v>0</v>
      </c>
      <c r="J72" s="5">
        <f t="shared" si="125"/>
        <v>0</v>
      </c>
      <c r="K72" s="5">
        <f t="shared" si="125"/>
        <v>0</v>
      </c>
      <c r="L72" s="5">
        <f t="shared" si="125"/>
        <v>0</v>
      </c>
      <c r="M72" s="5">
        <f t="shared" si="125"/>
        <v>0</v>
      </c>
      <c r="N72" s="5">
        <f t="shared" si="125"/>
        <v>0</v>
      </c>
      <c r="O72" s="5">
        <f t="shared" si="125"/>
        <v>1</v>
      </c>
      <c r="P72" s="5">
        <f t="shared" si="125"/>
        <v>0</v>
      </c>
      <c r="Q72" s="5">
        <f t="shared" si="125"/>
        <v>0</v>
      </c>
      <c r="R72" s="5">
        <f t="shared" si="125"/>
        <v>0</v>
      </c>
      <c r="S72" s="5">
        <f t="shared" si="125"/>
        <v>0</v>
      </c>
      <c r="T72" s="5">
        <f t="shared" si="125"/>
        <v>0</v>
      </c>
      <c r="U72" s="5">
        <f t="shared" si="125"/>
        <v>0</v>
      </c>
      <c r="V72" s="5">
        <f t="shared" si="125"/>
        <v>0</v>
      </c>
      <c r="W72" s="5">
        <f t="shared" si="125"/>
        <v>0</v>
      </c>
      <c r="X72" s="5">
        <f t="shared" si="125"/>
        <v>0</v>
      </c>
      <c r="Y72" s="5">
        <f t="shared" si="125"/>
        <v>0</v>
      </c>
      <c r="Z72" s="5">
        <f t="shared" si="125"/>
        <v>0</v>
      </c>
      <c r="AA72" s="5">
        <f t="shared" si="125"/>
        <v>0</v>
      </c>
      <c r="AB72" s="5">
        <f t="shared" si="125"/>
        <v>0</v>
      </c>
      <c r="AC72" s="5">
        <f t="shared" si="125"/>
        <v>0</v>
      </c>
      <c r="AD72" s="5">
        <f t="shared" si="125"/>
        <v>0</v>
      </c>
      <c r="AE72" s="5" t="str">
        <f t="shared" si="125"/>
        <v/>
      </c>
      <c r="AF72" s="5" t="str">
        <f t="shared" si="125"/>
        <v/>
      </c>
      <c r="AG72" s="5" t="str">
        <f t="shared" si="125"/>
        <v/>
      </c>
      <c r="AH72" s="5" t="str">
        <f t="shared" si="125"/>
        <v/>
      </c>
      <c r="AI72" s="5" t="str">
        <f t="shared" si="125"/>
        <v/>
      </c>
      <c r="AJ72" s="5" t="str">
        <f t="shared" si="125"/>
        <v/>
      </c>
      <c r="AK72" s="5" t="str">
        <f t="shared" si="125"/>
        <v/>
      </c>
      <c r="AL72" s="5" t="str">
        <f t="shared" si="125"/>
        <v/>
      </c>
      <c r="AM72" s="5" t="str">
        <f t="shared" si="125"/>
        <v/>
      </c>
      <c r="AN72" s="5" t="str">
        <f t="shared" ref="AN72:AS72" si="126">IF(AN65="","",AM65+AM66-AN65)</f>
        <v/>
      </c>
      <c r="AO72" s="5" t="str">
        <f t="shared" si="126"/>
        <v/>
      </c>
      <c r="AP72" s="5" t="str">
        <f t="shared" si="126"/>
        <v/>
      </c>
      <c r="AQ72" s="5" t="str">
        <f t="shared" si="126"/>
        <v/>
      </c>
      <c r="AR72" s="5" t="str">
        <f t="shared" si="126"/>
        <v/>
      </c>
      <c r="AS72" s="5" t="str">
        <f t="shared" si="126"/>
        <v/>
      </c>
    </row>
    <row r="73" spans="1:45" s="93" customFormat="1" ht="11">
      <c r="A73" s="7">
        <f>SUM(C73:AS73)</f>
        <v>3000</v>
      </c>
      <c r="B73" s="6" t="s">
        <v>18</v>
      </c>
      <c r="C73" s="74">
        <v>0</v>
      </c>
      <c r="D73" s="5">
        <f t="shared" ref="D73:AM73" si="127">IF(D63="","",D72*D67)</f>
        <v>0</v>
      </c>
      <c r="E73" s="5">
        <f t="shared" si="127"/>
        <v>1500</v>
      </c>
      <c r="F73" s="59">
        <f t="shared" si="127"/>
        <v>0</v>
      </c>
      <c r="G73" s="5">
        <f t="shared" si="127"/>
        <v>0</v>
      </c>
      <c r="H73" s="5">
        <f t="shared" si="127"/>
        <v>750</v>
      </c>
      <c r="I73" s="59">
        <f t="shared" si="127"/>
        <v>0</v>
      </c>
      <c r="J73" s="5">
        <f t="shared" si="127"/>
        <v>0</v>
      </c>
      <c r="K73" s="5">
        <f t="shared" si="127"/>
        <v>0</v>
      </c>
      <c r="L73" s="5">
        <f t="shared" si="127"/>
        <v>0</v>
      </c>
      <c r="M73" s="5">
        <f t="shared" si="127"/>
        <v>0</v>
      </c>
      <c r="N73" s="5">
        <f t="shared" si="127"/>
        <v>0</v>
      </c>
      <c r="O73" s="5">
        <f t="shared" si="127"/>
        <v>750</v>
      </c>
      <c r="P73" s="5">
        <f t="shared" si="127"/>
        <v>0</v>
      </c>
      <c r="Q73" s="5">
        <f t="shared" si="127"/>
        <v>0</v>
      </c>
      <c r="R73" s="5">
        <f t="shared" si="127"/>
        <v>0</v>
      </c>
      <c r="S73" s="5">
        <f t="shared" si="127"/>
        <v>0</v>
      </c>
      <c r="T73" s="5">
        <f t="shared" si="127"/>
        <v>0</v>
      </c>
      <c r="U73" s="5">
        <f t="shared" si="127"/>
        <v>0</v>
      </c>
      <c r="V73" s="5">
        <f t="shared" si="127"/>
        <v>0</v>
      </c>
      <c r="W73" s="5">
        <f t="shared" si="127"/>
        <v>0</v>
      </c>
      <c r="X73" s="5">
        <f t="shared" si="127"/>
        <v>0</v>
      </c>
      <c r="Y73" s="5">
        <f t="shared" si="127"/>
        <v>0</v>
      </c>
      <c r="Z73" s="5">
        <f t="shared" si="127"/>
        <v>0</v>
      </c>
      <c r="AA73" s="5">
        <f t="shared" si="127"/>
        <v>0</v>
      </c>
      <c r="AB73" s="5">
        <f t="shared" si="127"/>
        <v>0</v>
      </c>
      <c r="AC73" s="5">
        <f t="shared" si="127"/>
        <v>0</v>
      </c>
      <c r="AD73" s="5">
        <f t="shared" si="127"/>
        <v>0</v>
      </c>
      <c r="AE73" s="5" t="str">
        <f t="shared" si="127"/>
        <v/>
      </c>
      <c r="AF73" s="5" t="str">
        <f t="shared" si="127"/>
        <v/>
      </c>
      <c r="AG73" s="5" t="str">
        <f t="shared" si="127"/>
        <v/>
      </c>
      <c r="AH73" s="5" t="str">
        <f t="shared" si="127"/>
        <v/>
      </c>
      <c r="AI73" s="5" t="str">
        <f t="shared" si="127"/>
        <v/>
      </c>
      <c r="AJ73" s="5" t="str">
        <f t="shared" si="127"/>
        <v/>
      </c>
      <c r="AK73" s="5" t="str">
        <f t="shared" si="127"/>
        <v/>
      </c>
      <c r="AL73" s="5" t="str">
        <f t="shared" si="127"/>
        <v/>
      </c>
      <c r="AM73" s="5" t="str">
        <f t="shared" si="127"/>
        <v/>
      </c>
      <c r="AN73" s="5" t="str">
        <f t="shared" ref="AN73:AS73" si="128">IF(AN63="","",AN72*AN67)</f>
        <v/>
      </c>
      <c r="AO73" s="5" t="str">
        <f t="shared" si="128"/>
        <v/>
      </c>
      <c r="AP73" s="5" t="str">
        <f t="shared" si="128"/>
        <v/>
      </c>
      <c r="AQ73" s="5" t="str">
        <f t="shared" si="128"/>
        <v/>
      </c>
      <c r="AR73" s="5" t="str">
        <f t="shared" si="128"/>
        <v/>
      </c>
      <c r="AS73" s="5" t="str">
        <f t="shared" si="128"/>
        <v/>
      </c>
    </row>
    <row r="74" spans="1:45" s="93" customFormat="1" ht="12" thickBot="1">
      <c r="A74" s="4">
        <f>IF(A73="","",A73/(A70*100))</f>
        <v>4.9833887043189369E-2</v>
      </c>
      <c r="B74" s="6" t="s">
        <v>20</v>
      </c>
      <c r="C74" s="76" t="s">
        <v>21</v>
      </c>
      <c r="D74" s="18" t="str">
        <f t="shared" ref="D74:AM74" si="129">IF(D73="","",IF(D73=0,"",D73/(D70*100)))</f>
        <v/>
      </c>
      <c r="E74" s="18">
        <f t="shared" si="129"/>
        <v>0.375</v>
      </c>
      <c r="F74" s="62" t="str">
        <f t="shared" si="129"/>
        <v/>
      </c>
      <c r="G74" s="18" t="str">
        <f t="shared" si="129"/>
        <v/>
      </c>
      <c r="H74" s="18">
        <f t="shared" si="129"/>
        <v>9.49367088607595E-2</v>
      </c>
      <c r="I74" s="62" t="str">
        <f t="shared" si="129"/>
        <v/>
      </c>
      <c r="J74" s="18" t="str">
        <f t="shared" si="129"/>
        <v/>
      </c>
      <c r="K74" s="18" t="str">
        <f t="shared" si="129"/>
        <v/>
      </c>
      <c r="L74" s="18" t="str">
        <f t="shared" si="129"/>
        <v/>
      </c>
      <c r="M74" s="18" t="str">
        <f t="shared" si="129"/>
        <v/>
      </c>
      <c r="N74" s="18" t="str">
        <f t="shared" si="129"/>
        <v/>
      </c>
      <c r="O74" s="18">
        <f t="shared" si="129"/>
        <v>4.261363636363636E-2</v>
      </c>
      <c r="P74" s="18" t="str">
        <f t="shared" si="129"/>
        <v/>
      </c>
      <c r="Q74" s="18" t="str">
        <f t="shared" si="129"/>
        <v/>
      </c>
      <c r="R74" s="18" t="str">
        <f t="shared" si="129"/>
        <v/>
      </c>
      <c r="S74" s="18" t="str">
        <f t="shared" si="129"/>
        <v/>
      </c>
      <c r="T74" s="18" t="str">
        <f t="shared" si="129"/>
        <v/>
      </c>
      <c r="U74" s="18" t="str">
        <f t="shared" si="129"/>
        <v/>
      </c>
      <c r="V74" s="18" t="str">
        <f t="shared" si="129"/>
        <v/>
      </c>
      <c r="W74" s="18" t="str">
        <f t="shared" si="129"/>
        <v/>
      </c>
      <c r="X74" s="18" t="str">
        <f t="shared" si="129"/>
        <v/>
      </c>
      <c r="Y74" s="18" t="str">
        <f t="shared" si="129"/>
        <v/>
      </c>
      <c r="Z74" s="18" t="str">
        <f t="shared" si="129"/>
        <v/>
      </c>
      <c r="AA74" s="18" t="str">
        <f t="shared" si="129"/>
        <v/>
      </c>
      <c r="AB74" s="18" t="str">
        <f t="shared" si="129"/>
        <v/>
      </c>
      <c r="AC74" s="18" t="str">
        <f t="shared" si="129"/>
        <v/>
      </c>
      <c r="AD74" s="18" t="str">
        <f t="shared" si="129"/>
        <v/>
      </c>
      <c r="AE74" s="18" t="str">
        <f t="shared" si="129"/>
        <v/>
      </c>
      <c r="AF74" s="18" t="str">
        <f t="shared" si="129"/>
        <v/>
      </c>
      <c r="AG74" s="18" t="str">
        <f t="shared" si="129"/>
        <v/>
      </c>
      <c r="AH74" s="18" t="str">
        <f t="shared" si="129"/>
        <v/>
      </c>
      <c r="AI74" s="18" t="str">
        <f t="shared" si="129"/>
        <v/>
      </c>
      <c r="AJ74" s="18" t="str">
        <f t="shared" si="129"/>
        <v/>
      </c>
      <c r="AK74" s="18" t="str">
        <f t="shared" si="129"/>
        <v/>
      </c>
      <c r="AL74" s="18" t="str">
        <f t="shared" si="129"/>
        <v/>
      </c>
      <c r="AM74" s="18" t="str">
        <f t="shared" si="129"/>
        <v/>
      </c>
      <c r="AN74" s="18" t="str">
        <f t="shared" ref="AN74:AS74" si="130">IF(AN73="","",IF(AN73=0,"",AN73/(AN70*100)))</f>
        <v/>
      </c>
      <c r="AO74" s="18" t="str">
        <f t="shared" si="130"/>
        <v/>
      </c>
      <c r="AP74" s="18" t="str">
        <f t="shared" si="130"/>
        <v/>
      </c>
      <c r="AQ74" s="18" t="str">
        <f t="shared" si="130"/>
        <v/>
      </c>
      <c r="AR74" s="18" t="str">
        <f t="shared" si="130"/>
        <v/>
      </c>
      <c r="AS74" s="18" t="str">
        <f t="shared" si="130"/>
        <v/>
      </c>
    </row>
    <row r="75" spans="1:45" s="93" customFormat="1" ht="11">
      <c r="A75" s="17" t="s">
        <v>113</v>
      </c>
      <c r="B75" s="9" t="s">
        <v>2</v>
      </c>
      <c r="C75" s="74">
        <v>28648</v>
      </c>
      <c r="D75" s="8">
        <f>IF(D$3="","",C75)</f>
        <v>28648</v>
      </c>
      <c r="E75" s="8">
        <v>28674</v>
      </c>
      <c r="F75" s="59">
        <f>IF(F$3="","",E75)</f>
        <v>28674</v>
      </c>
      <c r="G75" s="8">
        <f>IF(G$3="","",F75)</f>
        <v>28674</v>
      </c>
      <c r="H75" s="8">
        <v>28764</v>
      </c>
      <c r="I75" s="59">
        <f t="shared" ref="I75:K76" si="131">IF(I$3="","",H75)</f>
        <v>28764</v>
      </c>
      <c r="J75" s="8">
        <f t="shared" si="131"/>
        <v>28764</v>
      </c>
      <c r="K75" s="8">
        <f t="shared" si="131"/>
        <v>28764</v>
      </c>
      <c r="L75" s="8">
        <v>28823</v>
      </c>
      <c r="M75" s="8">
        <f>IF(M$3="","",L75)</f>
        <v>28823</v>
      </c>
      <c r="N75" s="8">
        <f>IF(N$3="","",M75)</f>
        <v>28823</v>
      </c>
      <c r="O75" s="8">
        <v>28855</v>
      </c>
      <c r="P75" s="8">
        <f t="shared" ref="P75:AM75" si="132">IF(P$3="","",O75)</f>
        <v>28855</v>
      </c>
      <c r="Q75" s="8">
        <f t="shared" si="132"/>
        <v>28855</v>
      </c>
      <c r="R75" s="8">
        <f t="shared" si="132"/>
        <v>28855</v>
      </c>
      <c r="S75" s="8">
        <v>28909</v>
      </c>
      <c r="T75" s="8">
        <f t="shared" si="132"/>
        <v>28909</v>
      </c>
      <c r="U75" s="8">
        <f t="shared" si="132"/>
        <v>28909</v>
      </c>
      <c r="V75" s="8">
        <v>28947</v>
      </c>
      <c r="W75" s="8">
        <f t="shared" si="132"/>
        <v>28947</v>
      </c>
      <c r="X75" s="8">
        <f t="shared" si="132"/>
        <v>28947</v>
      </c>
      <c r="Y75" s="8">
        <f t="shared" si="132"/>
        <v>28947</v>
      </c>
      <c r="Z75" s="8">
        <v>28962</v>
      </c>
      <c r="AA75" s="8">
        <f t="shared" si="132"/>
        <v>28962</v>
      </c>
      <c r="AB75" s="8">
        <f t="shared" si="132"/>
        <v>28962</v>
      </c>
      <c r="AC75" s="8">
        <f t="shared" si="132"/>
        <v>28962</v>
      </c>
      <c r="AD75" s="8">
        <v>29107</v>
      </c>
      <c r="AE75" s="8" t="str">
        <f t="shared" si="132"/>
        <v/>
      </c>
      <c r="AF75" s="8" t="str">
        <f t="shared" si="132"/>
        <v/>
      </c>
      <c r="AG75" s="8" t="str">
        <f t="shared" si="132"/>
        <v/>
      </c>
      <c r="AH75" s="8" t="str">
        <f t="shared" si="132"/>
        <v/>
      </c>
      <c r="AI75" s="8" t="str">
        <f t="shared" si="132"/>
        <v/>
      </c>
      <c r="AJ75" s="8" t="str">
        <f t="shared" si="132"/>
        <v/>
      </c>
      <c r="AK75" s="8" t="str">
        <f t="shared" si="132"/>
        <v/>
      </c>
      <c r="AL75" s="8" t="str">
        <f t="shared" si="132"/>
        <v/>
      </c>
      <c r="AM75" s="8" t="str">
        <f t="shared" si="132"/>
        <v/>
      </c>
      <c r="AN75" s="8" t="str">
        <f t="shared" ref="AN75:AS75" si="133">IF(AN$3="","",AM75)</f>
        <v/>
      </c>
      <c r="AO75" s="8" t="str">
        <f t="shared" si="133"/>
        <v/>
      </c>
      <c r="AP75" s="8" t="str">
        <f t="shared" si="133"/>
        <v/>
      </c>
      <c r="AQ75" s="8" t="str">
        <f t="shared" si="133"/>
        <v/>
      </c>
      <c r="AR75" s="8" t="str">
        <f t="shared" si="133"/>
        <v/>
      </c>
      <c r="AS75" s="8" t="str">
        <f t="shared" si="133"/>
        <v/>
      </c>
    </row>
    <row r="76" spans="1:45" s="93" customFormat="1" ht="11">
      <c r="A76" s="16" t="s">
        <v>30</v>
      </c>
      <c r="B76" s="9" t="s">
        <v>4</v>
      </c>
      <c r="C76" s="74">
        <v>1865</v>
      </c>
      <c r="D76" s="8">
        <f>IF(D$3="","",C76)</f>
        <v>1865</v>
      </c>
      <c r="E76" s="8">
        <f>IF(E$3="","",D76)</f>
        <v>1865</v>
      </c>
      <c r="F76" s="59">
        <f>IF(F$3="","",E76)</f>
        <v>1865</v>
      </c>
      <c r="G76" s="8">
        <f>IF(G$3="","",F76)</f>
        <v>1865</v>
      </c>
      <c r="H76" s="8">
        <v>1866</v>
      </c>
      <c r="I76" s="59">
        <f t="shared" si="131"/>
        <v>1866</v>
      </c>
      <c r="J76" s="8">
        <f t="shared" si="131"/>
        <v>1866</v>
      </c>
      <c r="K76" s="8">
        <f t="shared" si="131"/>
        <v>1866</v>
      </c>
      <c r="L76" s="8">
        <v>1867</v>
      </c>
      <c r="M76" s="8">
        <f>IF(M$3="","",L76)</f>
        <v>1867</v>
      </c>
      <c r="N76" s="8">
        <f>IF(N$3="","",M76)</f>
        <v>1867</v>
      </c>
      <c r="O76" s="8">
        <v>1867</v>
      </c>
      <c r="P76" s="8">
        <f t="shared" ref="P76:AM76" si="134">IF(P$3="","",O76)</f>
        <v>1867</v>
      </c>
      <c r="Q76" s="8">
        <f t="shared" si="134"/>
        <v>1867</v>
      </c>
      <c r="R76" s="8">
        <f t="shared" si="134"/>
        <v>1867</v>
      </c>
      <c r="S76" s="8">
        <f t="shared" si="134"/>
        <v>1867</v>
      </c>
      <c r="T76" s="8">
        <f t="shared" si="134"/>
        <v>1867</v>
      </c>
      <c r="U76" s="8">
        <f t="shared" si="134"/>
        <v>1867</v>
      </c>
      <c r="V76" s="8">
        <f t="shared" si="134"/>
        <v>1867</v>
      </c>
      <c r="W76" s="8">
        <f t="shared" si="134"/>
        <v>1867</v>
      </c>
      <c r="X76" s="8">
        <f t="shared" si="134"/>
        <v>1867</v>
      </c>
      <c r="Y76" s="8">
        <f t="shared" si="134"/>
        <v>1867</v>
      </c>
      <c r="Z76" s="8">
        <f t="shared" si="134"/>
        <v>1867</v>
      </c>
      <c r="AA76" s="8">
        <f t="shared" si="134"/>
        <v>1867</v>
      </c>
      <c r="AB76" s="8">
        <f t="shared" si="134"/>
        <v>1867</v>
      </c>
      <c r="AC76" s="8">
        <f t="shared" si="134"/>
        <v>1867</v>
      </c>
      <c r="AD76" s="8">
        <v>1868</v>
      </c>
      <c r="AE76" s="8" t="str">
        <f t="shared" si="134"/>
        <v/>
      </c>
      <c r="AF76" s="8" t="str">
        <f t="shared" si="134"/>
        <v/>
      </c>
      <c r="AG76" s="8" t="str">
        <f t="shared" si="134"/>
        <v/>
      </c>
      <c r="AH76" s="8" t="str">
        <f t="shared" si="134"/>
        <v/>
      </c>
      <c r="AI76" s="8" t="str">
        <f t="shared" si="134"/>
        <v/>
      </c>
      <c r="AJ76" s="8" t="str">
        <f t="shared" si="134"/>
        <v/>
      </c>
      <c r="AK76" s="8" t="str">
        <f t="shared" si="134"/>
        <v/>
      </c>
      <c r="AL76" s="8" t="str">
        <f t="shared" si="134"/>
        <v/>
      </c>
      <c r="AM76" s="8" t="str">
        <f t="shared" si="134"/>
        <v/>
      </c>
      <c r="AN76" s="8" t="str">
        <f t="shared" ref="AN76:AS76" si="135">IF(AN$3="","",AM76)</f>
        <v/>
      </c>
      <c r="AO76" s="8" t="str">
        <f t="shared" si="135"/>
        <v/>
      </c>
      <c r="AP76" s="8" t="str">
        <f t="shared" si="135"/>
        <v/>
      </c>
      <c r="AQ76" s="8" t="str">
        <f t="shared" si="135"/>
        <v/>
      </c>
      <c r="AR76" s="8" t="str">
        <f t="shared" si="135"/>
        <v/>
      </c>
      <c r="AS76" s="8" t="str">
        <f t="shared" si="135"/>
        <v/>
      </c>
    </row>
    <row r="77" spans="1:45" s="93" customFormat="1" ht="11">
      <c r="A77" s="15">
        <v>3</v>
      </c>
      <c r="B77" s="9" t="s">
        <v>5</v>
      </c>
      <c r="C77" s="74">
        <v>6</v>
      </c>
      <c r="D77" s="8">
        <f>IF(D75="","",(C77+C78))</f>
        <v>6</v>
      </c>
      <c r="E77" s="8">
        <f>IF(E75="","",(D77+D78))</f>
        <v>6</v>
      </c>
      <c r="F77" s="59">
        <f>IF(F75="","",(E77+E78))</f>
        <v>6</v>
      </c>
      <c r="G77" s="8">
        <f>IF(G75="","",(F77+F78))</f>
        <v>6</v>
      </c>
      <c r="H77" s="8">
        <v>5</v>
      </c>
      <c r="I77" s="59">
        <f>IF(I75="","",(H77+H78))</f>
        <v>7</v>
      </c>
      <c r="J77" s="8">
        <f>IF(J75="","",(I77+I78))</f>
        <v>7</v>
      </c>
      <c r="K77" s="8">
        <f>IF(K75="","",(J77+J78))</f>
        <v>7</v>
      </c>
      <c r="L77" s="8">
        <v>6</v>
      </c>
      <c r="M77" s="8">
        <f t="shared" ref="M77:AM77" si="136">IF(M75="","",(L77+L78))</f>
        <v>7</v>
      </c>
      <c r="N77" s="8">
        <f t="shared" si="136"/>
        <v>7</v>
      </c>
      <c r="O77" s="8">
        <f t="shared" si="136"/>
        <v>7</v>
      </c>
      <c r="P77" s="8">
        <f t="shared" si="136"/>
        <v>7</v>
      </c>
      <c r="Q77" s="8">
        <f t="shared" si="136"/>
        <v>7</v>
      </c>
      <c r="R77" s="8">
        <f t="shared" si="136"/>
        <v>7</v>
      </c>
      <c r="S77" s="8">
        <f t="shared" si="136"/>
        <v>7</v>
      </c>
      <c r="T77" s="8">
        <f t="shared" si="136"/>
        <v>7</v>
      </c>
      <c r="U77" s="8">
        <f t="shared" si="136"/>
        <v>7</v>
      </c>
      <c r="V77" s="8">
        <f t="shared" si="136"/>
        <v>7</v>
      </c>
      <c r="W77" s="8">
        <f t="shared" si="136"/>
        <v>7</v>
      </c>
      <c r="X77" s="8">
        <f t="shared" si="136"/>
        <v>7</v>
      </c>
      <c r="Y77" s="8">
        <f t="shared" si="136"/>
        <v>7</v>
      </c>
      <c r="Z77" s="8">
        <f t="shared" si="136"/>
        <v>7</v>
      </c>
      <c r="AA77" s="8">
        <f t="shared" si="136"/>
        <v>36</v>
      </c>
      <c r="AB77" s="8">
        <f t="shared" si="136"/>
        <v>36</v>
      </c>
      <c r="AC77" s="8">
        <f t="shared" si="136"/>
        <v>36</v>
      </c>
      <c r="AD77" s="8">
        <v>35</v>
      </c>
      <c r="AE77" s="8" t="str">
        <f t="shared" si="136"/>
        <v/>
      </c>
      <c r="AF77" s="8" t="str">
        <f t="shared" si="136"/>
        <v/>
      </c>
      <c r="AG77" s="8" t="str">
        <f t="shared" si="136"/>
        <v/>
      </c>
      <c r="AH77" s="8" t="str">
        <f t="shared" si="136"/>
        <v/>
      </c>
      <c r="AI77" s="8" t="str">
        <f t="shared" si="136"/>
        <v/>
      </c>
      <c r="AJ77" s="8" t="str">
        <f t="shared" si="136"/>
        <v/>
      </c>
      <c r="AK77" s="8" t="str">
        <f t="shared" si="136"/>
        <v/>
      </c>
      <c r="AL77" s="8" t="str">
        <f t="shared" si="136"/>
        <v/>
      </c>
      <c r="AM77" s="8" t="str">
        <f t="shared" si="136"/>
        <v/>
      </c>
      <c r="AN77" s="8" t="str">
        <f t="shared" ref="AN77:AS77" si="137">IF(AN75="","",(AM77+AM78))</f>
        <v/>
      </c>
      <c r="AO77" s="8" t="str">
        <f t="shared" si="137"/>
        <v/>
      </c>
      <c r="AP77" s="8" t="str">
        <f t="shared" si="137"/>
        <v/>
      </c>
      <c r="AQ77" s="8" t="str">
        <f t="shared" si="137"/>
        <v/>
      </c>
      <c r="AR77" s="8" t="str">
        <f t="shared" si="137"/>
        <v/>
      </c>
      <c r="AS77" s="8" t="str">
        <f t="shared" si="137"/>
        <v/>
      </c>
    </row>
    <row r="78" spans="1:45" s="93" customFormat="1" ht="11">
      <c r="A78" s="14"/>
      <c r="B78" s="9" t="s">
        <v>7</v>
      </c>
      <c r="C78" s="74"/>
      <c r="D78" s="8"/>
      <c r="E78" s="8"/>
      <c r="F78" s="59"/>
      <c r="G78" s="8"/>
      <c r="H78" s="8">
        <v>2</v>
      </c>
      <c r="I78" s="59"/>
      <c r="J78" s="8"/>
      <c r="K78" s="8"/>
      <c r="L78" s="8">
        <v>1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>
        <v>29</v>
      </c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s="93" customFormat="1" ht="11">
      <c r="A79" s="7"/>
      <c r="B79" s="9" t="s">
        <v>8</v>
      </c>
      <c r="C79" s="74">
        <v>400</v>
      </c>
      <c r="D79" s="8">
        <f t="shared" ref="D79:AM79" si="138">IF(D75="","",C79)</f>
        <v>400</v>
      </c>
      <c r="E79" s="8">
        <f t="shared" si="138"/>
        <v>400</v>
      </c>
      <c r="F79" s="59">
        <f t="shared" si="138"/>
        <v>400</v>
      </c>
      <c r="G79" s="8">
        <f t="shared" si="138"/>
        <v>400</v>
      </c>
      <c r="H79" s="8">
        <f t="shared" si="138"/>
        <v>400</v>
      </c>
      <c r="I79" s="59">
        <f t="shared" si="138"/>
        <v>400</v>
      </c>
      <c r="J79" s="8">
        <f t="shared" si="138"/>
        <v>400</v>
      </c>
      <c r="K79" s="8">
        <f t="shared" si="138"/>
        <v>400</v>
      </c>
      <c r="L79" s="8">
        <f t="shared" si="138"/>
        <v>400</v>
      </c>
      <c r="M79" s="8">
        <f t="shared" si="138"/>
        <v>400</v>
      </c>
      <c r="N79" s="8">
        <f t="shared" si="138"/>
        <v>400</v>
      </c>
      <c r="O79" s="8">
        <f t="shared" si="138"/>
        <v>400</v>
      </c>
      <c r="P79" s="8">
        <f t="shared" si="138"/>
        <v>400</v>
      </c>
      <c r="Q79" s="8">
        <f t="shared" si="138"/>
        <v>400</v>
      </c>
      <c r="R79" s="8">
        <f t="shared" si="138"/>
        <v>400</v>
      </c>
      <c r="S79" s="8">
        <f t="shared" si="138"/>
        <v>400</v>
      </c>
      <c r="T79" s="8">
        <f t="shared" si="138"/>
        <v>400</v>
      </c>
      <c r="U79" s="8">
        <f t="shared" si="138"/>
        <v>400</v>
      </c>
      <c r="V79" s="8">
        <f t="shared" si="138"/>
        <v>400</v>
      </c>
      <c r="W79" s="8">
        <f t="shared" si="138"/>
        <v>400</v>
      </c>
      <c r="X79" s="8">
        <f t="shared" si="138"/>
        <v>400</v>
      </c>
      <c r="Y79" s="8">
        <f t="shared" si="138"/>
        <v>400</v>
      </c>
      <c r="Z79" s="8">
        <f t="shared" si="138"/>
        <v>400</v>
      </c>
      <c r="AA79" s="8">
        <f t="shared" si="138"/>
        <v>400</v>
      </c>
      <c r="AB79" s="8">
        <f t="shared" si="138"/>
        <v>400</v>
      </c>
      <c r="AC79" s="8">
        <f t="shared" si="138"/>
        <v>400</v>
      </c>
      <c r="AD79" s="8">
        <f t="shared" si="138"/>
        <v>400</v>
      </c>
      <c r="AE79" s="8" t="str">
        <f t="shared" si="138"/>
        <v/>
      </c>
      <c r="AF79" s="8" t="str">
        <f t="shared" si="138"/>
        <v/>
      </c>
      <c r="AG79" s="8" t="str">
        <f t="shared" si="138"/>
        <v/>
      </c>
      <c r="AH79" s="8" t="str">
        <f t="shared" si="138"/>
        <v/>
      </c>
      <c r="AI79" s="8" t="str">
        <f t="shared" si="138"/>
        <v/>
      </c>
      <c r="AJ79" s="8" t="str">
        <f t="shared" si="138"/>
        <v/>
      </c>
      <c r="AK79" s="8" t="str">
        <f t="shared" si="138"/>
        <v/>
      </c>
      <c r="AL79" s="8" t="str">
        <f t="shared" si="138"/>
        <v/>
      </c>
      <c r="AM79" s="8" t="str">
        <f t="shared" si="138"/>
        <v/>
      </c>
      <c r="AN79" s="8" t="str">
        <f t="shared" ref="AN79:AS79" si="139">IF(AN75="","",AM79)</f>
        <v/>
      </c>
      <c r="AO79" s="8" t="str">
        <f t="shared" si="139"/>
        <v/>
      </c>
      <c r="AP79" s="8" t="str">
        <f t="shared" si="139"/>
        <v/>
      </c>
      <c r="AQ79" s="8" t="str">
        <f t="shared" si="139"/>
        <v/>
      </c>
      <c r="AR79" s="8" t="str">
        <f t="shared" si="139"/>
        <v/>
      </c>
      <c r="AS79" s="8" t="str">
        <f t="shared" si="139"/>
        <v/>
      </c>
    </row>
    <row r="80" spans="1:45" s="94" customFormat="1" ht="11">
      <c r="A80" s="14" t="s">
        <v>9</v>
      </c>
      <c r="B80" s="13" t="s">
        <v>10</v>
      </c>
      <c r="C80" s="75" t="s">
        <v>117</v>
      </c>
      <c r="D80" s="12" t="str">
        <f t="shared" ref="D80:AM80" si="140">IF(D75="","",C80)</f>
        <v>ギャルキティ</v>
      </c>
      <c r="E80" s="12" t="str">
        <f t="shared" si="140"/>
        <v>ギャルキティ</v>
      </c>
      <c r="F80" s="131" t="str">
        <f t="shared" si="140"/>
        <v>ギャルキティ</v>
      </c>
      <c r="G80" s="12" t="str">
        <f t="shared" si="140"/>
        <v>ギャルキティ</v>
      </c>
      <c r="H80" s="12" t="str">
        <f t="shared" si="140"/>
        <v>ギャルキティ</v>
      </c>
      <c r="I80" s="131" t="str">
        <f t="shared" si="140"/>
        <v>ギャルキティ</v>
      </c>
      <c r="J80" s="12" t="str">
        <f t="shared" si="140"/>
        <v>ギャルキティ</v>
      </c>
      <c r="K80" s="12" t="str">
        <f t="shared" si="140"/>
        <v>ギャルキティ</v>
      </c>
      <c r="L80" s="12" t="str">
        <f t="shared" si="140"/>
        <v>ギャルキティ</v>
      </c>
      <c r="M80" s="12" t="str">
        <f t="shared" si="140"/>
        <v>ギャルキティ</v>
      </c>
      <c r="N80" s="12" t="str">
        <f t="shared" si="140"/>
        <v>ギャルキティ</v>
      </c>
      <c r="O80" s="12" t="str">
        <f t="shared" si="140"/>
        <v>ギャルキティ</v>
      </c>
      <c r="P80" s="12" t="str">
        <f t="shared" si="140"/>
        <v>ギャルキティ</v>
      </c>
      <c r="Q80" s="12" t="str">
        <f t="shared" si="140"/>
        <v>ギャルキティ</v>
      </c>
      <c r="R80" s="12" t="str">
        <f t="shared" si="140"/>
        <v>ギャルキティ</v>
      </c>
      <c r="S80" s="12" t="str">
        <f t="shared" si="140"/>
        <v>ギャルキティ</v>
      </c>
      <c r="T80" s="12" t="str">
        <f t="shared" si="140"/>
        <v>ギャルキティ</v>
      </c>
      <c r="U80" s="12" t="str">
        <f t="shared" si="140"/>
        <v>ギャルキティ</v>
      </c>
      <c r="V80" s="12" t="str">
        <f t="shared" si="140"/>
        <v>ギャルキティ</v>
      </c>
      <c r="W80" s="12" t="str">
        <f t="shared" si="140"/>
        <v>ギャルキティ</v>
      </c>
      <c r="X80" s="12" t="str">
        <f t="shared" si="140"/>
        <v>ギャルキティ</v>
      </c>
      <c r="Y80" s="12" t="str">
        <f t="shared" si="140"/>
        <v>ギャルキティ</v>
      </c>
      <c r="Z80" s="12" t="s">
        <v>432</v>
      </c>
      <c r="AA80" s="12" t="str">
        <f t="shared" si="140"/>
        <v>サンリオスイーツマスコット</v>
      </c>
      <c r="AB80" s="12" t="str">
        <f t="shared" si="140"/>
        <v>サンリオスイーツマスコット</v>
      </c>
      <c r="AC80" s="12" t="str">
        <f t="shared" si="140"/>
        <v>サンリオスイーツマスコット</v>
      </c>
      <c r="AD80" s="12" t="str">
        <f t="shared" si="140"/>
        <v>サンリオスイーツマスコット</v>
      </c>
      <c r="AE80" s="12" t="str">
        <f t="shared" si="140"/>
        <v/>
      </c>
      <c r="AF80" s="12" t="str">
        <f t="shared" si="140"/>
        <v/>
      </c>
      <c r="AG80" s="12" t="str">
        <f t="shared" si="140"/>
        <v/>
      </c>
      <c r="AH80" s="12" t="str">
        <f t="shared" si="140"/>
        <v/>
      </c>
      <c r="AI80" s="12" t="str">
        <f t="shared" si="140"/>
        <v/>
      </c>
      <c r="AJ80" s="12" t="str">
        <f t="shared" si="140"/>
        <v/>
      </c>
      <c r="AK80" s="12" t="str">
        <f t="shared" si="140"/>
        <v/>
      </c>
      <c r="AL80" s="12" t="str">
        <f t="shared" si="140"/>
        <v/>
      </c>
      <c r="AM80" s="12" t="str">
        <f t="shared" si="140"/>
        <v/>
      </c>
      <c r="AN80" s="12" t="str">
        <f t="shared" ref="AN80:AS80" si="141">IF(AN75="","",AM80)</f>
        <v/>
      </c>
      <c r="AO80" s="12" t="str">
        <f t="shared" si="141"/>
        <v/>
      </c>
      <c r="AP80" s="12" t="str">
        <f t="shared" si="141"/>
        <v/>
      </c>
      <c r="AQ80" s="12" t="str">
        <f t="shared" si="141"/>
        <v/>
      </c>
      <c r="AR80" s="12" t="str">
        <f t="shared" si="141"/>
        <v/>
      </c>
      <c r="AS80" s="12" t="str">
        <f t="shared" si="141"/>
        <v/>
      </c>
    </row>
    <row r="81" spans="1:45" s="93" customFormat="1" ht="11">
      <c r="A81" s="7">
        <f>AVERAGE(C82:AS82)*30*100</f>
        <v>49178.571428571428</v>
      </c>
      <c r="B81" s="9" t="s">
        <v>14</v>
      </c>
      <c r="C81" s="74"/>
      <c r="D81" s="8"/>
      <c r="E81" s="8"/>
      <c r="F81" s="59"/>
      <c r="G81" s="8"/>
      <c r="H81" s="8"/>
      <c r="I81" s="59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s="93" customFormat="1" ht="11">
      <c r="A82" s="7">
        <f>SUM(C82:AS82)</f>
        <v>459</v>
      </c>
      <c r="B82" s="6" t="s">
        <v>15</v>
      </c>
      <c r="C82" s="74">
        <v>0</v>
      </c>
      <c r="D82" s="5">
        <f t="shared" ref="D82:AM82" si="142">IF(D75="","",D75-C75)</f>
        <v>0</v>
      </c>
      <c r="E82" s="5">
        <f t="shared" si="142"/>
        <v>26</v>
      </c>
      <c r="F82" s="59">
        <f t="shared" si="142"/>
        <v>0</v>
      </c>
      <c r="G82" s="5">
        <f t="shared" si="142"/>
        <v>0</v>
      </c>
      <c r="H82" s="5">
        <f t="shared" si="142"/>
        <v>90</v>
      </c>
      <c r="I82" s="59">
        <f t="shared" si="142"/>
        <v>0</v>
      </c>
      <c r="J82" s="5">
        <f t="shared" si="142"/>
        <v>0</v>
      </c>
      <c r="K82" s="5">
        <f t="shared" si="142"/>
        <v>0</v>
      </c>
      <c r="L82" s="5">
        <f t="shared" si="142"/>
        <v>59</v>
      </c>
      <c r="M82" s="5">
        <f t="shared" si="142"/>
        <v>0</v>
      </c>
      <c r="N82" s="5">
        <f t="shared" si="142"/>
        <v>0</v>
      </c>
      <c r="O82" s="5">
        <f t="shared" si="142"/>
        <v>32</v>
      </c>
      <c r="P82" s="5">
        <f t="shared" si="142"/>
        <v>0</v>
      </c>
      <c r="Q82" s="5">
        <f t="shared" si="142"/>
        <v>0</v>
      </c>
      <c r="R82" s="5">
        <f t="shared" si="142"/>
        <v>0</v>
      </c>
      <c r="S82" s="5">
        <f t="shared" si="142"/>
        <v>54</v>
      </c>
      <c r="T82" s="5">
        <f t="shared" si="142"/>
        <v>0</v>
      </c>
      <c r="U82" s="5">
        <f t="shared" si="142"/>
        <v>0</v>
      </c>
      <c r="V82" s="5">
        <f t="shared" si="142"/>
        <v>38</v>
      </c>
      <c r="W82" s="5">
        <f t="shared" si="142"/>
        <v>0</v>
      </c>
      <c r="X82" s="5">
        <f t="shared" si="142"/>
        <v>0</v>
      </c>
      <c r="Y82" s="5">
        <f t="shared" si="142"/>
        <v>0</v>
      </c>
      <c r="Z82" s="5">
        <f t="shared" si="142"/>
        <v>15</v>
      </c>
      <c r="AA82" s="5">
        <f t="shared" si="142"/>
        <v>0</v>
      </c>
      <c r="AB82" s="5">
        <f t="shared" si="142"/>
        <v>0</v>
      </c>
      <c r="AC82" s="5">
        <f t="shared" si="142"/>
        <v>0</v>
      </c>
      <c r="AD82" s="5">
        <f t="shared" si="142"/>
        <v>145</v>
      </c>
      <c r="AE82" s="5" t="str">
        <f t="shared" si="142"/>
        <v/>
      </c>
      <c r="AF82" s="5" t="str">
        <f t="shared" si="142"/>
        <v/>
      </c>
      <c r="AG82" s="5" t="str">
        <f t="shared" si="142"/>
        <v/>
      </c>
      <c r="AH82" s="5" t="str">
        <f t="shared" si="142"/>
        <v/>
      </c>
      <c r="AI82" s="5" t="str">
        <f t="shared" si="142"/>
        <v/>
      </c>
      <c r="AJ82" s="5" t="str">
        <f t="shared" si="142"/>
        <v/>
      </c>
      <c r="AK82" s="5" t="str">
        <f t="shared" si="142"/>
        <v/>
      </c>
      <c r="AL82" s="5" t="str">
        <f t="shared" si="142"/>
        <v/>
      </c>
      <c r="AM82" s="5" t="str">
        <f t="shared" si="142"/>
        <v/>
      </c>
      <c r="AN82" s="5" t="str">
        <f t="shared" ref="AN82:AS82" si="143">IF(AN75="","",AN75-AM75)</f>
        <v/>
      </c>
      <c r="AO82" s="5" t="str">
        <f t="shared" si="143"/>
        <v/>
      </c>
      <c r="AP82" s="5" t="str">
        <f t="shared" si="143"/>
        <v/>
      </c>
      <c r="AQ82" s="5" t="str">
        <f t="shared" si="143"/>
        <v/>
      </c>
      <c r="AR82" s="5" t="str">
        <f t="shared" si="143"/>
        <v/>
      </c>
      <c r="AS82" s="5" t="str">
        <f t="shared" si="143"/>
        <v/>
      </c>
    </row>
    <row r="83" spans="1:45" s="93" customFormat="1" ht="11">
      <c r="A83" s="7">
        <f>SUM(C83:AS83)</f>
        <v>3</v>
      </c>
      <c r="B83" s="6" t="s">
        <v>16</v>
      </c>
      <c r="C83" s="74">
        <v>0</v>
      </c>
      <c r="D83" s="5">
        <f t="shared" ref="D83:AM83" si="144">IF(D76="","",D76-C76)</f>
        <v>0</v>
      </c>
      <c r="E83" s="5">
        <f t="shared" si="144"/>
        <v>0</v>
      </c>
      <c r="F83" s="59">
        <f t="shared" si="144"/>
        <v>0</v>
      </c>
      <c r="G83" s="5">
        <f t="shared" si="144"/>
        <v>0</v>
      </c>
      <c r="H83" s="5">
        <f t="shared" si="144"/>
        <v>1</v>
      </c>
      <c r="I83" s="59">
        <f t="shared" si="144"/>
        <v>0</v>
      </c>
      <c r="J83" s="5">
        <f t="shared" si="144"/>
        <v>0</v>
      </c>
      <c r="K83" s="5">
        <f t="shared" si="144"/>
        <v>0</v>
      </c>
      <c r="L83" s="5">
        <f t="shared" si="144"/>
        <v>1</v>
      </c>
      <c r="M83" s="5">
        <f t="shared" si="144"/>
        <v>0</v>
      </c>
      <c r="N83" s="5">
        <f t="shared" si="144"/>
        <v>0</v>
      </c>
      <c r="O83" s="5">
        <f t="shared" si="144"/>
        <v>0</v>
      </c>
      <c r="P83" s="5">
        <f t="shared" si="144"/>
        <v>0</v>
      </c>
      <c r="Q83" s="5">
        <f t="shared" si="144"/>
        <v>0</v>
      </c>
      <c r="R83" s="5">
        <f t="shared" si="144"/>
        <v>0</v>
      </c>
      <c r="S83" s="5">
        <f t="shared" si="144"/>
        <v>0</v>
      </c>
      <c r="T83" s="5">
        <f t="shared" si="144"/>
        <v>0</v>
      </c>
      <c r="U83" s="5">
        <f t="shared" si="144"/>
        <v>0</v>
      </c>
      <c r="V83" s="5">
        <f t="shared" si="144"/>
        <v>0</v>
      </c>
      <c r="W83" s="5">
        <f t="shared" si="144"/>
        <v>0</v>
      </c>
      <c r="X83" s="5">
        <f t="shared" si="144"/>
        <v>0</v>
      </c>
      <c r="Y83" s="5">
        <f t="shared" si="144"/>
        <v>0</v>
      </c>
      <c r="Z83" s="5">
        <f t="shared" si="144"/>
        <v>0</v>
      </c>
      <c r="AA83" s="5">
        <f t="shared" si="144"/>
        <v>0</v>
      </c>
      <c r="AB83" s="5">
        <f t="shared" si="144"/>
        <v>0</v>
      </c>
      <c r="AC83" s="5">
        <f t="shared" si="144"/>
        <v>0</v>
      </c>
      <c r="AD83" s="5">
        <f t="shared" si="144"/>
        <v>1</v>
      </c>
      <c r="AE83" s="5" t="str">
        <f t="shared" si="144"/>
        <v/>
      </c>
      <c r="AF83" s="5" t="str">
        <f t="shared" si="144"/>
        <v/>
      </c>
      <c r="AG83" s="5" t="str">
        <f t="shared" si="144"/>
        <v/>
      </c>
      <c r="AH83" s="5" t="str">
        <f t="shared" si="144"/>
        <v/>
      </c>
      <c r="AI83" s="5" t="str">
        <f t="shared" si="144"/>
        <v/>
      </c>
      <c r="AJ83" s="5" t="str">
        <f t="shared" si="144"/>
        <v/>
      </c>
      <c r="AK83" s="5" t="str">
        <f t="shared" si="144"/>
        <v/>
      </c>
      <c r="AL83" s="5" t="str">
        <f t="shared" si="144"/>
        <v/>
      </c>
      <c r="AM83" s="5" t="str">
        <f t="shared" si="144"/>
        <v/>
      </c>
      <c r="AN83" s="5" t="str">
        <f t="shared" ref="AN83:AS83" si="145">IF(AN76="","",AN76-AM76)</f>
        <v/>
      </c>
      <c r="AO83" s="5" t="str">
        <f t="shared" si="145"/>
        <v/>
      </c>
      <c r="AP83" s="5" t="str">
        <f t="shared" si="145"/>
        <v/>
      </c>
      <c r="AQ83" s="5" t="str">
        <f t="shared" si="145"/>
        <v/>
      </c>
      <c r="AR83" s="5" t="str">
        <f t="shared" si="145"/>
        <v/>
      </c>
      <c r="AS83" s="5" t="str">
        <f t="shared" si="145"/>
        <v/>
      </c>
    </row>
    <row r="84" spans="1:45" s="93" customFormat="1" ht="11">
      <c r="A84" s="7">
        <f>SUM(C84:AS84)</f>
        <v>3</v>
      </c>
      <c r="B84" s="6" t="s">
        <v>17</v>
      </c>
      <c r="C84" s="74">
        <v>0</v>
      </c>
      <c r="D84" s="5">
        <f t="shared" ref="D84:AM84" si="146">IF(D77="","",C77+C78-D77)</f>
        <v>0</v>
      </c>
      <c r="E84" s="5">
        <f t="shared" si="146"/>
        <v>0</v>
      </c>
      <c r="F84" s="59">
        <f t="shared" si="146"/>
        <v>0</v>
      </c>
      <c r="G84" s="5">
        <f t="shared" si="146"/>
        <v>0</v>
      </c>
      <c r="H84" s="5">
        <f t="shared" si="146"/>
        <v>1</v>
      </c>
      <c r="I84" s="59">
        <f t="shared" si="146"/>
        <v>0</v>
      </c>
      <c r="J84" s="5">
        <f t="shared" si="146"/>
        <v>0</v>
      </c>
      <c r="K84" s="5">
        <f t="shared" si="146"/>
        <v>0</v>
      </c>
      <c r="L84" s="5">
        <f t="shared" si="146"/>
        <v>1</v>
      </c>
      <c r="M84" s="5">
        <f t="shared" si="146"/>
        <v>0</v>
      </c>
      <c r="N84" s="5">
        <f t="shared" si="146"/>
        <v>0</v>
      </c>
      <c r="O84" s="5">
        <f t="shared" si="146"/>
        <v>0</v>
      </c>
      <c r="P84" s="5">
        <f t="shared" si="146"/>
        <v>0</v>
      </c>
      <c r="Q84" s="5">
        <f t="shared" si="146"/>
        <v>0</v>
      </c>
      <c r="R84" s="5">
        <f t="shared" si="146"/>
        <v>0</v>
      </c>
      <c r="S84" s="5">
        <f t="shared" si="146"/>
        <v>0</v>
      </c>
      <c r="T84" s="5">
        <f t="shared" si="146"/>
        <v>0</v>
      </c>
      <c r="U84" s="5">
        <f t="shared" si="146"/>
        <v>0</v>
      </c>
      <c r="V84" s="5">
        <f t="shared" si="146"/>
        <v>0</v>
      </c>
      <c r="W84" s="5">
        <f t="shared" si="146"/>
        <v>0</v>
      </c>
      <c r="X84" s="5">
        <f t="shared" si="146"/>
        <v>0</v>
      </c>
      <c r="Y84" s="5">
        <f t="shared" si="146"/>
        <v>0</v>
      </c>
      <c r="Z84" s="5">
        <f t="shared" si="146"/>
        <v>0</v>
      </c>
      <c r="AA84" s="5">
        <f t="shared" si="146"/>
        <v>0</v>
      </c>
      <c r="AB84" s="5">
        <f t="shared" si="146"/>
        <v>0</v>
      </c>
      <c r="AC84" s="5">
        <f t="shared" si="146"/>
        <v>0</v>
      </c>
      <c r="AD84" s="5">
        <f t="shared" si="146"/>
        <v>1</v>
      </c>
      <c r="AE84" s="5" t="str">
        <f t="shared" si="146"/>
        <v/>
      </c>
      <c r="AF84" s="5" t="str">
        <f t="shared" si="146"/>
        <v/>
      </c>
      <c r="AG84" s="5" t="str">
        <f t="shared" si="146"/>
        <v/>
      </c>
      <c r="AH84" s="5" t="str">
        <f t="shared" si="146"/>
        <v/>
      </c>
      <c r="AI84" s="5" t="str">
        <f t="shared" si="146"/>
        <v/>
      </c>
      <c r="AJ84" s="5" t="str">
        <f t="shared" si="146"/>
        <v/>
      </c>
      <c r="AK84" s="5" t="str">
        <f t="shared" si="146"/>
        <v/>
      </c>
      <c r="AL84" s="5" t="str">
        <f t="shared" si="146"/>
        <v/>
      </c>
      <c r="AM84" s="5" t="str">
        <f t="shared" si="146"/>
        <v/>
      </c>
      <c r="AN84" s="5" t="str">
        <f t="shared" ref="AN84:AS84" si="147">IF(AN77="","",AM77+AM78-AN77)</f>
        <v/>
      </c>
      <c r="AO84" s="5" t="str">
        <f t="shared" si="147"/>
        <v/>
      </c>
      <c r="AP84" s="5" t="str">
        <f t="shared" si="147"/>
        <v/>
      </c>
      <c r="AQ84" s="5" t="str">
        <f t="shared" si="147"/>
        <v/>
      </c>
      <c r="AR84" s="5" t="str">
        <f t="shared" si="147"/>
        <v/>
      </c>
      <c r="AS84" s="5" t="str">
        <f t="shared" si="147"/>
        <v/>
      </c>
    </row>
    <row r="85" spans="1:45" s="93" customFormat="1" ht="11">
      <c r="A85" s="7">
        <f>SUM(C85:AS85)</f>
        <v>1200</v>
      </c>
      <c r="B85" s="6" t="s">
        <v>18</v>
      </c>
      <c r="C85" s="74">
        <v>0</v>
      </c>
      <c r="D85" s="5">
        <f t="shared" ref="D85:AM85" si="148">IF(D75="","",D84*D79)</f>
        <v>0</v>
      </c>
      <c r="E85" s="5">
        <f t="shared" si="148"/>
        <v>0</v>
      </c>
      <c r="F85" s="59">
        <f t="shared" si="148"/>
        <v>0</v>
      </c>
      <c r="G85" s="5">
        <f t="shared" si="148"/>
        <v>0</v>
      </c>
      <c r="H85" s="5">
        <f t="shared" si="148"/>
        <v>400</v>
      </c>
      <c r="I85" s="59">
        <f t="shared" si="148"/>
        <v>0</v>
      </c>
      <c r="J85" s="5">
        <f t="shared" si="148"/>
        <v>0</v>
      </c>
      <c r="K85" s="5">
        <f t="shared" si="148"/>
        <v>0</v>
      </c>
      <c r="L85" s="5">
        <f t="shared" si="148"/>
        <v>400</v>
      </c>
      <c r="M85" s="5">
        <f t="shared" si="148"/>
        <v>0</v>
      </c>
      <c r="N85" s="5">
        <f t="shared" si="148"/>
        <v>0</v>
      </c>
      <c r="O85" s="5">
        <f t="shared" si="148"/>
        <v>0</v>
      </c>
      <c r="P85" s="5">
        <f t="shared" si="148"/>
        <v>0</v>
      </c>
      <c r="Q85" s="5">
        <f t="shared" si="148"/>
        <v>0</v>
      </c>
      <c r="R85" s="5">
        <f t="shared" si="148"/>
        <v>0</v>
      </c>
      <c r="S85" s="5">
        <f t="shared" si="148"/>
        <v>0</v>
      </c>
      <c r="T85" s="5">
        <f t="shared" si="148"/>
        <v>0</v>
      </c>
      <c r="U85" s="5">
        <f t="shared" si="148"/>
        <v>0</v>
      </c>
      <c r="V85" s="5">
        <f t="shared" si="148"/>
        <v>0</v>
      </c>
      <c r="W85" s="5">
        <f t="shared" si="148"/>
        <v>0</v>
      </c>
      <c r="X85" s="5">
        <f t="shared" si="148"/>
        <v>0</v>
      </c>
      <c r="Y85" s="5">
        <f t="shared" si="148"/>
        <v>0</v>
      </c>
      <c r="Z85" s="5">
        <f t="shared" si="148"/>
        <v>0</v>
      </c>
      <c r="AA85" s="5">
        <f t="shared" si="148"/>
        <v>0</v>
      </c>
      <c r="AB85" s="5">
        <f t="shared" si="148"/>
        <v>0</v>
      </c>
      <c r="AC85" s="5">
        <f t="shared" si="148"/>
        <v>0</v>
      </c>
      <c r="AD85" s="5">
        <f t="shared" si="148"/>
        <v>400</v>
      </c>
      <c r="AE85" s="5" t="str">
        <f t="shared" si="148"/>
        <v/>
      </c>
      <c r="AF85" s="5" t="str">
        <f t="shared" si="148"/>
        <v/>
      </c>
      <c r="AG85" s="5" t="str">
        <f t="shared" si="148"/>
        <v/>
      </c>
      <c r="AH85" s="5" t="str">
        <f t="shared" si="148"/>
        <v/>
      </c>
      <c r="AI85" s="5" t="str">
        <f t="shared" si="148"/>
        <v/>
      </c>
      <c r="AJ85" s="5" t="str">
        <f t="shared" si="148"/>
        <v/>
      </c>
      <c r="AK85" s="5" t="str">
        <f t="shared" si="148"/>
        <v/>
      </c>
      <c r="AL85" s="5" t="str">
        <f t="shared" si="148"/>
        <v/>
      </c>
      <c r="AM85" s="5" t="str">
        <f t="shared" si="148"/>
        <v/>
      </c>
      <c r="AN85" s="5" t="str">
        <f t="shared" ref="AN85:AS85" si="149">IF(AN75="","",AN84*AN79)</f>
        <v/>
      </c>
      <c r="AO85" s="5" t="str">
        <f t="shared" si="149"/>
        <v/>
      </c>
      <c r="AP85" s="5" t="str">
        <f t="shared" si="149"/>
        <v/>
      </c>
      <c r="AQ85" s="5" t="str">
        <f t="shared" si="149"/>
        <v/>
      </c>
      <c r="AR85" s="5" t="str">
        <f t="shared" si="149"/>
        <v/>
      </c>
      <c r="AS85" s="5" t="str">
        <f t="shared" si="149"/>
        <v/>
      </c>
    </row>
    <row r="86" spans="1:45" s="93" customFormat="1" ht="12" thickBot="1">
      <c r="A86" s="4">
        <f>IF(A85="","",A85/(A82*100))</f>
        <v>2.6143790849673203E-2</v>
      </c>
      <c r="B86" s="6" t="s">
        <v>20</v>
      </c>
      <c r="C86" s="76" t="s">
        <v>21</v>
      </c>
      <c r="D86" s="18" t="str">
        <f t="shared" ref="D86:AM86" si="150">IF(D85="","",IF(D85=0,"",D85/(D82*100)))</f>
        <v/>
      </c>
      <c r="E86" s="18" t="str">
        <f t="shared" si="150"/>
        <v/>
      </c>
      <c r="F86" s="62" t="str">
        <f t="shared" si="150"/>
        <v/>
      </c>
      <c r="G86" s="18" t="str">
        <f t="shared" si="150"/>
        <v/>
      </c>
      <c r="H86" s="18">
        <f t="shared" si="150"/>
        <v>4.4444444444444446E-2</v>
      </c>
      <c r="I86" s="62" t="str">
        <f t="shared" si="150"/>
        <v/>
      </c>
      <c r="J86" s="18" t="str">
        <f t="shared" si="150"/>
        <v/>
      </c>
      <c r="K86" s="18" t="str">
        <f t="shared" si="150"/>
        <v/>
      </c>
      <c r="L86" s="18">
        <f t="shared" si="150"/>
        <v>6.7796610169491525E-2</v>
      </c>
      <c r="M86" s="18" t="str">
        <f t="shared" si="150"/>
        <v/>
      </c>
      <c r="N86" s="18" t="str">
        <f t="shared" si="150"/>
        <v/>
      </c>
      <c r="O86" s="18" t="str">
        <f t="shared" si="150"/>
        <v/>
      </c>
      <c r="P86" s="18" t="str">
        <f t="shared" si="150"/>
        <v/>
      </c>
      <c r="Q86" s="18" t="str">
        <f t="shared" si="150"/>
        <v/>
      </c>
      <c r="R86" s="18" t="str">
        <f t="shared" si="150"/>
        <v/>
      </c>
      <c r="S86" s="18" t="str">
        <f t="shared" si="150"/>
        <v/>
      </c>
      <c r="T86" s="18" t="str">
        <f t="shared" si="150"/>
        <v/>
      </c>
      <c r="U86" s="18" t="str">
        <f t="shared" si="150"/>
        <v/>
      </c>
      <c r="V86" s="18" t="str">
        <f t="shared" si="150"/>
        <v/>
      </c>
      <c r="W86" s="18" t="str">
        <f t="shared" si="150"/>
        <v/>
      </c>
      <c r="X86" s="18" t="str">
        <f t="shared" si="150"/>
        <v/>
      </c>
      <c r="Y86" s="18" t="str">
        <f t="shared" si="150"/>
        <v/>
      </c>
      <c r="Z86" s="18" t="str">
        <f t="shared" si="150"/>
        <v/>
      </c>
      <c r="AA86" s="18" t="str">
        <f t="shared" si="150"/>
        <v/>
      </c>
      <c r="AB86" s="18" t="str">
        <f t="shared" si="150"/>
        <v/>
      </c>
      <c r="AC86" s="18" t="str">
        <f t="shared" si="150"/>
        <v/>
      </c>
      <c r="AD86" s="18">
        <f t="shared" si="150"/>
        <v>2.7586206896551724E-2</v>
      </c>
      <c r="AE86" s="18" t="str">
        <f t="shared" si="150"/>
        <v/>
      </c>
      <c r="AF86" s="18" t="str">
        <f t="shared" si="150"/>
        <v/>
      </c>
      <c r="AG86" s="18" t="str">
        <f t="shared" si="150"/>
        <v/>
      </c>
      <c r="AH86" s="18" t="str">
        <f t="shared" si="150"/>
        <v/>
      </c>
      <c r="AI86" s="18" t="str">
        <f t="shared" si="150"/>
        <v/>
      </c>
      <c r="AJ86" s="18" t="str">
        <f t="shared" si="150"/>
        <v/>
      </c>
      <c r="AK86" s="18" t="str">
        <f t="shared" si="150"/>
        <v/>
      </c>
      <c r="AL86" s="18" t="str">
        <f t="shared" si="150"/>
        <v/>
      </c>
      <c r="AM86" s="18" t="str">
        <f t="shared" si="150"/>
        <v/>
      </c>
      <c r="AN86" s="18" t="str">
        <f t="shared" ref="AN86:AS86" si="151">IF(AN85="","",IF(AN85=0,"",AN85/(AN82*100)))</f>
        <v/>
      </c>
      <c r="AO86" s="18" t="str">
        <f t="shared" si="151"/>
        <v/>
      </c>
      <c r="AP86" s="18" t="str">
        <f t="shared" si="151"/>
        <v/>
      </c>
      <c r="AQ86" s="18" t="str">
        <f t="shared" si="151"/>
        <v/>
      </c>
      <c r="AR86" s="18" t="str">
        <f t="shared" si="151"/>
        <v/>
      </c>
      <c r="AS86" s="18" t="str">
        <f t="shared" si="151"/>
        <v/>
      </c>
    </row>
    <row r="87" spans="1:45" s="93" customFormat="1" ht="11">
      <c r="A87" s="17" t="s">
        <v>113</v>
      </c>
      <c r="B87" s="9" t="s">
        <v>2</v>
      </c>
      <c r="C87" s="74">
        <v>35008</v>
      </c>
      <c r="D87" s="8">
        <f>IF(D$3="","",C87)</f>
        <v>35008</v>
      </c>
      <c r="E87" s="8">
        <v>35234</v>
      </c>
      <c r="F87" s="59">
        <f>IF(F$3="","",E87)</f>
        <v>35234</v>
      </c>
      <c r="G87" s="8">
        <f>IF(G$3="","",F87)</f>
        <v>35234</v>
      </c>
      <c r="H87" s="8">
        <v>35591</v>
      </c>
      <c r="I87" s="59">
        <f t="shared" ref="I87:K88" si="152">IF(I$3="","",H87)</f>
        <v>35591</v>
      </c>
      <c r="J87" s="8">
        <f t="shared" si="152"/>
        <v>35591</v>
      </c>
      <c r="K87" s="8">
        <f t="shared" si="152"/>
        <v>35591</v>
      </c>
      <c r="L87" s="8">
        <v>35956</v>
      </c>
      <c r="M87" s="8">
        <f>IF(M$3="","",L87)</f>
        <v>35956</v>
      </c>
      <c r="N87" s="8">
        <f>IF(N$3="","",M87)</f>
        <v>35956</v>
      </c>
      <c r="O87" s="8">
        <v>36432</v>
      </c>
      <c r="P87" s="8">
        <f t="shared" ref="P87:AM87" si="153">IF(P$3="","",O87)</f>
        <v>36432</v>
      </c>
      <c r="Q87" s="8">
        <f t="shared" si="153"/>
        <v>36432</v>
      </c>
      <c r="R87" s="8">
        <f t="shared" si="153"/>
        <v>36432</v>
      </c>
      <c r="S87" s="8">
        <v>36660</v>
      </c>
      <c r="T87" s="8">
        <f t="shared" si="153"/>
        <v>36660</v>
      </c>
      <c r="U87" s="8">
        <f t="shared" si="153"/>
        <v>36660</v>
      </c>
      <c r="V87" s="8">
        <v>36929</v>
      </c>
      <c r="W87" s="8">
        <f t="shared" si="153"/>
        <v>36929</v>
      </c>
      <c r="X87" s="8">
        <f t="shared" si="153"/>
        <v>36929</v>
      </c>
      <c r="Y87" s="8">
        <f t="shared" si="153"/>
        <v>36929</v>
      </c>
      <c r="Z87" s="8">
        <v>37172</v>
      </c>
      <c r="AA87" s="8">
        <f t="shared" si="153"/>
        <v>37172</v>
      </c>
      <c r="AB87" s="8">
        <f t="shared" si="153"/>
        <v>37172</v>
      </c>
      <c r="AC87" s="8">
        <f t="shared" si="153"/>
        <v>37172</v>
      </c>
      <c r="AD87" s="8">
        <v>37381</v>
      </c>
      <c r="AE87" s="8" t="str">
        <f t="shared" si="153"/>
        <v/>
      </c>
      <c r="AF87" s="8" t="str">
        <f t="shared" si="153"/>
        <v/>
      </c>
      <c r="AG87" s="8" t="str">
        <f t="shared" si="153"/>
        <v/>
      </c>
      <c r="AH87" s="8" t="str">
        <f t="shared" si="153"/>
        <v/>
      </c>
      <c r="AI87" s="8" t="str">
        <f t="shared" si="153"/>
        <v/>
      </c>
      <c r="AJ87" s="8" t="str">
        <f t="shared" si="153"/>
        <v/>
      </c>
      <c r="AK87" s="8" t="str">
        <f t="shared" si="153"/>
        <v/>
      </c>
      <c r="AL87" s="8" t="str">
        <f t="shared" si="153"/>
        <v/>
      </c>
      <c r="AM87" s="8" t="str">
        <f t="shared" si="153"/>
        <v/>
      </c>
      <c r="AN87" s="8" t="str">
        <f t="shared" ref="AN87:AS87" si="154">IF(AN$3="","",AM87)</f>
        <v/>
      </c>
      <c r="AO87" s="8" t="str">
        <f t="shared" si="154"/>
        <v/>
      </c>
      <c r="AP87" s="8" t="str">
        <f t="shared" si="154"/>
        <v/>
      </c>
      <c r="AQ87" s="8" t="str">
        <f t="shared" si="154"/>
        <v/>
      </c>
      <c r="AR87" s="8" t="str">
        <f t="shared" si="154"/>
        <v/>
      </c>
      <c r="AS87" s="8" t="str">
        <f t="shared" si="154"/>
        <v/>
      </c>
    </row>
    <row r="88" spans="1:45" s="93" customFormat="1" ht="11">
      <c r="A88" s="16" t="s">
        <v>30</v>
      </c>
      <c r="B88" s="9" t="s">
        <v>4</v>
      </c>
      <c r="C88" s="74">
        <v>5445</v>
      </c>
      <c r="D88" s="8">
        <f>IF(D$3="","",C88)</f>
        <v>5445</v>
      </c>
      <c r="E88" s="8">
        <v>5451</v>
      </c>
      <c r="F88" s="59">
        <f>IF(F$3="","",E88)</f>
        <v>5451</v>
      </c>
      <c r="G88" s="8">
        <f>IF(G$3="","",F88)</f>
        <v>5451</v>
      </c>
      <c r="H88" s="8">
        <v>5460</v>
      </c>
      <c r="I88" s="59">
        <f t="shared" si="152"/>
        <v>5460</v>
      </c>
      <c r="J88" s="8">
        <f t="shared" si="152"/>
        <v>5460</v>
      </c>
      <c r="K88" s="8">
        <f t="shared" si="152"/>
        <v>5460</v>
      </c>
      <c r="L88" s="8">
        <v>5464</v>
      </c>
      <c r="M88" s="8">
        <f>IF(M$3="","",L88)</f>
        <v>5464</v>
      </c>
      <c r="N88" s="8">
        <f>IF(N$3="","",M88)</f>
        <v>5464</v>
      </c>
      <c r="O88" s="8">
        <v>5474</v>
      </c>
      <c r="P88" s="8">
        <f t="shared" ref="P88:AM88" si="155">IF(P$3="","",O88)</f>
        <v>5474</v>
      </c>
      <c r="Q88" s="8">
        <f t="shared" si="155"/>
        <v>5474</v>
      </c>
      <c r="R88" s="8">
        <f t="shared" si="155"/>
        <v>5474</v>
      </c>
      <c r="S88" s="8">
        <v>5480</v>
      </c>
      <c r="T88" s="8">
        <f t="shared" si="155"/>
        <v>5480</v>
      </c>
      <c r="U88" s="8">
        <f t="shared" si="155"/>
        <v>5480</v>
      </c>
      <c r="V88" s="8">
        <v>5485</v>
      </c>
      <c r="W88" s="8">
        <f t="shared" si="155"/>
        <v>5485</v>
      </c>
      <c r="X88" s="8">
        <f t="shared" si="155"/>
        <v>5485</v>
      </c>
      <c r="Y88" s="8">
        <f t="shared" si="155"/>
        <v>5485</v>
      </c>
      <c r="Z88" s="8">
        <v>5489</v>
      </c>
      <c r="AA88" s="8">
        <f t="shared" si="155"/>
        <v>5489</v>
      </c>
      <c r="AB88" s="8">
        <f t="shared" si="155"/>
        <v>5489</v>
      </c>
      <c r="AC88" s="8">
        <f t="shared" si="155"/>
        <v>5489</v>
      </c>
      <c r="AD88" s="8">
        <v>5493</v>
      </c>
      <c r="AE88" s="8" t="str">
        <f t="shared" si="155"/>
        <v/>
      </c>
      <c r="AF88" s="8" t="str">
        <f t="shared" si="155"/>
        <v/>
      </c>
      <c r="AG88" s="8" t="str">
        <f t="shared" si="155"/>
        <v/>
      </c>
      <c r="AH88" s="8" t="str">
        <f t="shared" si="155"/>
        <v/>
      </c>
      <c r="AI88" s="8" t="str">
        <f t="shared" si="155"/>
        <v/>
      </c>
      <c r="AJ88" s="8" t="str">
        <f t="shared" si="155"/>
        <v/>
      </c>
      <c r="AK88" s="8" t="str">
        <f t="shared" si="155"/>
        <v/>
      </c>
      <c r="AL88" s="8" t="str">
        <f t="shared" si="155"/>
        <v/>
      </c>
      <c r="AM88" s="8" t="str">
        <f t="shared" si="155"/>
        <v/>
      </c>
      <c r="AN88" s="8" t="str">
        <f t="shared" ref="AN88:AS88" si="156">IF(AN$3="","",AM88)</f>
        <v/>
      </c>
      <c r="AO88" s="8" t="str">
        <f t="shared" si="156"/>
        <v/>
      </c>
      <c r="AP88" s="8" t="str">
        <f t="shared" si="156"/>
        <v/>
      </c>
      <c r="AQ88" s="8" t="str">
        <f t="shared" si="156"/>
        <v/>
      </c>
      <c r="AR88" s="8" t="str">
        <f t="shared" si="156"/>
        <v/>
      </c>
      <c r="AS88" s="8" t="str">
        <f t="shared" si="156"/>
        <v/>
      </c>
    </row>
    <row r="89" spans="1:45" s="93" customFormat="1" ht="11">
      <c r="A89" s="15">
        <v>4</v>
      </c>
      <c r="B89" s="9" t="s">
        <v>5</v>
      </c>
      <c r="C89" s="74">
        <v>11</v>
      </c>
      <c r="D89" s="8">
        <f>IF(D87="","",(C89+C90))</f>
        <v>11</v>
      </c>
      <c r="E89" s="8">
        <v>8</v>
      </c>
      <c r="F89" s="59">
        <f>IF(F87="","",(E89+E90))</f>
        <v>11</v>
      </c>
      <c r="G89" s="8">
        <f>IF(G87="","",(F89+F90))</f>
        <v>11</v>
      </c>
      <c r="H89" s="8">
        <v>4</v>
      </c>
      <c r="I89" s="59">
        <f>IF(I87="","",(H89+H90))</f>
        <v>12</v>
      </c>
      <c r="J89" s="8">
        <f>IF(J87="","",(I89+I90))</f>
        <v>12</v>
      </c>
      <c r="K89" s="8">
        <f>IF(K87="","",(J89+J90))</f>
        <v>12</v>
      </c>
      <c r="L89" s="8">
        <v>10</v>
      </c>
      <c r="M89" s="8">
        <f>IF(M87="","",(L89+L90))</f>
        <v>10</v>
      </c>
      <c r="N89" s="8">
        <f>IF(N87="","",(M89+M90))</f>
        <v>10</v>
      </c>
      <c r="O89" s="8">
        <v>5</v>
      </c>
      <c r="P89" s="8">
        <f t="shared" ref="P89:AM89" si="157">IF(P87="","",(O89+O90))</f>
        <v>9</v>
      </c>
      <c r="Q89" s="8">
        <f t="shared" si="157"/>
        <v>9</v>
      </c>
      <c r="R89" s="8">
        <f t="shared" si="157"/>
        <v>9</v>
      </c>
      <c r="S89" s="8">
        <v>7</v>
      </c>
      <c r="T89" s="8">
        <f t="shared" si="157"/>
        <v>7</v>
      </c>
      <c r="U89" s="8">
        <f t="shared" si="157"/>
        <v>7</v>
      </c>
      <c r="V89" s="8">
        <v>5</v>
      </c>
      <c r="W89" s="8">
        <f t="shared" si="157"/>
        <v>8</v>
      </c>
      <c r="X89" s="8">
        <f t="shared" si="157"/>
        <v>8</v>
      </c>
      <c r="Y89" s="8">
        <f t="shared" si="157"/>
        <v>8</v>
      </c>
      <c r="Z89" s="8">
        <f t="shared" si="157"/>
        <v>8</v>
      </c>
      <c r="AA89" s="8">
        <f t="shared" si="157"/>
        <v>8</v>
      </c>
      <c r="AB89" s="8">
        <f t="shared" si="157"/>
        <v>8</v>
      </c>
      <c r="AC89" s="8">
        <f t="shared" si="157"/>
        <v>8</v>
      </c>
      <c r="AD89" s="8">
        <f t="shared" si="157"/>
        <v>8</v>
      </c>
      <c r="AE89" s="8" t="str">
        <f t="shared" si="157"/>
        <v/>
      </c>
      <c r="AF89" s="8" t="str">
        <f t="shared" si="157"/>
        <v/>
      </c>
      <c r="AG89" s="8" t="str">
        <f t="shared" si="157"/>
        <v/>
      </c>
      <c r="AH89" s="8" t="str">
        <f t="shared" si="157"/>
        <v/>
      </c>
      <c r="AI89" s="8" t="str">
        <f t="shared" si="157"/>
        <v/>
      </c>
      <c r="AJ89" s="8" t="str">
        <f t="shared" si="157"/>
        <v/>
      </c>
      <c r="AK89" s="8" t="str">
        <f t="shared" si="157"/>
        <v/>
      </c>
      <c r="AL89" s="8" t="str">
        <f t="shared" si="157"/>
        <v/>
      </c>
      <c r="AM89" s="8" t="str">
        <f t="shared" si="157"/>
        <v/>
      </c>
      <c r="AN89" s="8" t="str">
        <f t="shared" ref="AN89:AS89" si="158">IF(AN87="","",(AM89+AM90))</f>
        <v/>
      </c>
      <c r="AO89" s="8" t="str">
        <f t="shared" si="158"/>
        <v/>
      </c>
      <c r="AP89" s="8" t="str">
        <f t="shared" si="158"/>
        <v/>
      </c>
      <c r="AQ89" s="8" t="str">
        <f t="shared" si="158"/>
        <v/>
      </c>
      <c r="AR89" s="8" t="str">
        <f t="shared" si="158"/>
        <v/>
      </c>
      <c r="AS89" s="8" t="str">
        <f t="shared" si="158"/>
        <v/>
      </c>
    </row>
    <row r="90" spans="1:45" s="93" customFormat="1" ht="11">
      <c r="A90" s="14"/>
      <c r="B90" s="9" t="s">
        <v>7</v>
      </c>
      <c r="C90" s="74"/>
      <c r="D90" s="8"/>
      <c r="E90" s="8">
        <v>3</v>
      </c>
      <c r="F90" s="59"/>
      <c r="G90" s="8"/>
      <c r="H90" s="8">
        <v>8</v>
      </c>
      <c r="I90" s="59"/>
      <c r="J90" s="8"/>
      <c r="K90" s="8"/>
      <c r="L90" s="8"/>
      <c r="M90" s="8"/>
      <c r="N90" s="8"/>
      <c r="O90" s="8">
        <v>4</v>
      </c>
      <c r="P90" s="8"/>
      <c r="Q90" s="8"/>
      <c r="R90" s="8"/>
      <c r="S90" s="8"/>
      <c r="T90" s="8"/>
      <c r="U90" s="8"/>
      <c r="V90" s="8">
        <v>3</v>
      </c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s="93" customFormat="1" ht="11">
      <c r="A91" s="7"/>
      <c r="B91" s="9" t="s">
        <v>8</v>
      </c>
      <c r="C91" s="74">
        <v>270</v>
      </c>
      <c r="D91" s="8">
        <f t="shared" ref="D91:AM91" si="159">IF(D87="","",C91)</f>
        <v>270</v>
      </c>
      <c r="E91" s="8">
        <f t="shared" si="159"/>
        <v>270</v>
      </c>
      <c r="F91" s="59">
        <f t="shared" si="159"/>
        <v>270</v>
      </c>
      <c r="G91" s="8">
        <f t="shared" si="159"/>
        <v>270</v>
      </c>
      <c r="H91" s="8">
        <f t="shared" si="159"/>
        <v>270</v>
      </c>
      <c r="I91" s="59">
        <f t="shared" si="159"/>
        <v>270</v>
      </c>
      <c r="J91" s="8">
        <f t="shared" si="159"/>
        <v>270</v>
      </c>
      <c r="K91" s="8">
        <f t="shared" si="159"/>
        <v>270</v>
      </c>
      <c r="L91" s="8">
        <f t="shared" si="159"/>
        <v>270</v>
      </c>
      <c r="M91" s="8">
        <f t="shared" si="159"/>
        <v>270</v>
      </c>
      <c r="N91" s="8">
        <f t="shared" si="159"/>
        <v>270</v>
      </c>
      <c r="O91" s="8">
        <f t="shared" si="159"/>
        <v>270</v>
      </c>
      <c r="P91" s="8">
        <f t="shared" si="159"/>
        <v>270</v>
      </c>
      <c r="Q91" s="8">
        <f t="shared" si="159"/>
        <v>270</v>
      </c>
      <c r="R91" s="8">
        <f t="shared" si="159"/>
        <v>270</v>
      </c>
      <c r="S91" s="8">
        <f t="shared" si="159"/>
        <v>270</v>
      </c>
      <c r="T91" s="8">
        <f t="shared" si="159"/>
        <v>270</v>
      </c>
      <c r="U91" s="8">
        <f t="shared" si="159"/>
        <v>270</v>
      </c>
      <c r="V91" s="8">
        <f t="shared" si="159"/>
        <v>270</v>
      </c>
      <c r="W91" s="8">
        <f t="shared" si="159"/>
        <v>270</v>
      </c>
      <c r="X91" s="8">
        <f t="shared" si="159"/>
        <v>270</v>
      </c>
      <c r="Y91" s="8">
        <f t="shared" si="159"/>
        <v>270</v>
      </c>
      <c r="Z91" s="8">
        <f t="shared" si="159"/>
        <v>270</v>
      </c>
      <c r="AA91" s="8">
        <f t="shared" si="159"/>
        <v>270</v>
      </c>
      <c r="AB91" s="8">
        <f t="shared" si="159"/>
        <v>270</v>
      </c>
      <c r="AC91" s="8">
        <f t="shared" si="159"/>
        <v>270</v>
      </c>
      <c r="AD91" s="8">
        <f t="shared" si="159"/>
        <v>270</v>
      </c>
      <c r="AE91" s="8" t="str">
        <f t="shared" si="159"/>
        <v/>
      </c>
      <c r="AF91" s="8" t="str">
        <f t="shared" si="159"/>
        <v/>
      </c>
      <c r="AG91" s="8" t="str">
        <f t="shared" si="159"/>
        <v/>
      </c>
      <c r="AH91" s="8" t="str">
        <f t="shared" si="159"/>
        <v/>
      </c>
      <c r="AI91" s="8" t="str">
        <f t="shared" si="159"/>
        <v/>
      </c>
      <c r="AJ91" s="8" t="str">
        <f t="shared" si="159"/>
        <v/>
      </c>
      <c r="AK91" s="8" t="str">
        <f t="shared" si="159"/>
        <v/>
      </c>
      <c r="AL91" s="8" t="str">
        <f t="shared" si="159"/>
        <v/>
      </c>
      <c r="AM91" s="8" t="str">
        <f t="shared" si="159"/>
        <v/>
      </c>
      <c r="AN91" s="8" t="str">
        <f t="shared" ref="AN91:AS91" si="160">IF(AN87="","",AM91)</f>
        <v/>
      </c>
      <c r="AO91" s="8" t="str">
        <f t="shared" si="160"/>
        <v/>
      </c>
      <c r="AP91" s="8" t="str">
        <f t="shared" si="160"/>
        <v/>
      </c>
      <c r="AQ91" s="8" t="str">
        <f t="shared" si="160"/>
        <v/>
      </c>
      <c r="AR91" s="8" t="str">
        <f t="shared" si="160"/>
        <v/>
      </c>
      <c r="AS91" s="8" t="str">
        <f t="shared" si="160"/>
        <v/>
      </c>
    </row>
    <row r="92" spans="1:45" s="94" customFormat="1" ht="11">
      <c r="A92" s="14" t="s">
        <v>9</v>
      </c>
      <c r="B92" s="13" t="s">
        <v>10</v>
      </c>
      <c r="C92" s="75" t="s">
        <v>26</v>
      </c>
      <c r="D92" s="12" t="str">
        <f t="shared" ref="D92:AM92" si="161">IF(D87="","",C92)</f>
        <v>たまごっちマスコット</v>
      </c>
      <c r="E92" s="12" t="str">
        <f t="shared" si="161"/>
        <v>たまごっちマスコット</v>
      </c>
      <c r="F92" s="131" t="str">
        <f t="shared" si="161"/>
        <v>たまごっちマスコット</v>
      </c>
      <c r="G92" s="12" t="str">
        <f t="shared" si="161"/>
        <v>たまごっちマスコット</v>
      </c>
      <c r="H92" s="12" t="str">
        <f t="shared" si="161"/>
        <v>たまごっちマスコット</v>
      </c>
      <c r="I92" s="131" t="str">
        <f t="shared" si="161"/>
        <v>たまごっちマスコット</v>
      </c>
      <c r="J92" s="12" t="str">
        <f t="shared" si="161"/>
        <v>たまごっちマスコット</v>
      </c>
      <c r="K92" s="12" t="str">
        <f t="shared" si="161"/>
        <v>たまごっちマスコット</v>
      </c>
      <c r="L92" s="12" t="str">
        <f t="shared" si="161"/>
        <v>たまごっちマスコット</v>
      </c>
      <c r="M92" s="12" t="str">
        <f t="shared" si="161"/>
        <v>たまごっちマスコット</v>
      </c>
      <c r="N92" s="12" t="str">
        <f t="shared" si="161"/>
        <v>たまごっちマスコット</v>
      </c>
      <c r="O92" s="12" t="str">
        <f t="shared" si="161"/>
        <v>たまごっちマスコット</v>
      </c>
      <c r="P92" s="12" t="str">
        <f t="shared" si="161"/>
        <v>たまごっちマスコット</v>
      </c>
      <c r="Q92" s="12" t="str">
        <f t="shared" si="161"/>
        <v>たまごっちマスコット</v>
      </c>
      <c r="R92" s="12" t="str">
        <f t="shared" si="161"/>
        <v>たまごっちマスコット</v>
      </c>
      <c r="S92" s="12" t="str">
        <f t="shared" si="161"/>
        <v>たまごっちマスコット</v>
      </c>
      <c r="T92" s="12" t="str">
        <f t="shared" si="161"/>
        <v>たまごっちマスコット</v>
      </c>
      <c r="U92" s="12" t="str">
        <f t="shared" si="161"/>
        <v>たまごっちマスコット</v>
      </c>
      <c r="V92" s="12" t="str">
        <f t="shared" si="161"/>
        <v>たまごっちマスコット</v>
      </c>
      <c r="W92" s="12" t="str">
        <f t="shared" si="161"/>
        <v>たまごっちマスコット</v>
      </c>
      <c r="X92" s="12" t="str">
        <f t="shared" si="161"/>
        <v>たまごっちマスコット</v>
      </c>
      <c r="Y92" s="12" t="str">
        <f t="shared" si="161"/>
        <v>たまごっちマスコット</v>
      </c>
      <c r="Z92" s="12" t="str">
        <f t="shared" si="161"/>
        <v>たまごっちマスコット</v>
      </c>
      <c r="AA92" s="12" t="str">
        <f t="shared" si="161"/>
        <v>たまごっちマスコット</v>
      </c>
      <c r="AB92" s="12" t="str">
        <f t="shared" si="161"/>
        <v>たまごっちマスコット</v>
      </c>
      <c r="AC92" s="12" t="str">
        <f t="shared" si="161"/>
        <v>たまごっちマスコット</v>
      </c>
      <c r="AD92" s="12" t="str">
        <f t="shared" si="161"/>
        <v>たまごっちマスコット</v>
      </c>
      <c r="AE92" s="12" t="str">
        <f t="shared" si="161"/>
        <v/>
      </c>
      <c r="AF92" s="12" t="str">
        <f t="shared" si="161"/>
        <v/>
      </c>
      <c r="AG92" s="12" t="str">
        <f t="shared" si="161"/>
        <v/>
      </c>
      <c r="AH92" s="12" t="str">
        <f t="shared" si="161"/>
        <v/>
      </c>
      <c r="AI92" s="12" t="str">
        <f t="shared" si="161"/>
        <v/>
      </c>
      <c r="AJ92" s="12" t="str">
        <f t="shared" si="161"/>
        <v/>
      </c>
      <c r="AK92" s="12" t="str">
        <f t="shared" si="161"/>
        <v/>
      </c>
      <c r="AL92" s="12" t="str">
        <f t="shared" si="161"/>
        <v/>
      </c>
      <c r="AM92" s="12" t="str">
        <f t="shared" si="161"/>
        <v/>
      </c>
      <c r="AN92" s="12" t="str">
        <f t="shared" ref="AN92:AS92" si="162">IF(AN87="","",AM92)</f>
        <v/>
      </c>
      <c r="AO92" s="12" t="str">
        <f t="shared" si="162"/>
        <v/>
      </c>
      <c r="AP92" s="12" t="str">
        <f t="shared" si="162"/>
        <v/>
      </c>
      <c r="AQ92" s="12" t="str">
        <f t="shared" si="162"/>
        <v/>
      </c>
      <c r="AR92" s="12" t="str">
        <f t="shared" si="162"/>
        <v/>
      </c>
      <c r="AS92" s="12" t="str">
        <f t="shared" si="162"/>
        <v/>
      </c>
    </row>
    <row r="93" spans="1:45" s="93" customFormat="1" ht="11">
      <c r="A93" s="7">
        <f>AVERAGE(C94:AS94)*30*100</f>
        <v>254250</v>
      </c>
      <c r="B93" s="9" t="s">
        <v>14</v>
      </c>
      <c r="C93" s="74"/>
      <c r="D93" s="8"/>
      <c r="E93" s="8"/>
      <c r="F93" s="59"/>
      <c r="G93" s="8"/>
      <c r="H93" s="8"/>
      <c r="I93" s="59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s="93" customFormat="1" ht="11">
      <c r="A94" s="7">
        <f>SUM(C94:AS94)</f>
        <v>2373</v>
      </c>
      <c r="B94" s="6" t="s">
        <v>15</v>
      </c>
      <c r="C94" s="74">
        <v>0</v>
      </c>
      <c r="D94" s="5">
        <f t="shared" ref="D94:AM94" si="163">IF(D87="","",D87-C87)</f>
        <v>0</v>
      </c>
      <c r="E94" s="5">
        <f t="shared" si="163"/>
        <v>226</v>
      </c>
      <c r="F94" s="59">
        <f t="shared" si="163"/>
        <v>0</v>
      </c>
      <c r="G94" s="5">
        <f t="shared" si="163"/>
        <v>0</v>
      </c>
      <c r="H94" s="5">
        <f t="shared" si="163"/>
        <v>357</v>
      </c>
      <c r="I94" s="59">
        <f t="shared" si="163"/>
        <v>0</v>
      </c>
      <c r="J94" s="5">
        <f t="shared" si="163"/>
        <v>0</v>
      </c>
      <c r="K94" s="5">
        <f t="shared" si="163"/>
        <v>0</v>
      </c>
      <c r="L94" s="5">
        <f t="shared" si="163"/>
        <v>365</v>
      </c>
      <c r="M94" s="5">
        <f t="shared" si="163"/>
        <v>0</v>
      </c>
      <c r="N94" s="5">
        <f t="shared" si="163"/>
        <v>0</v>
      </c>
      <c r="O94" s="5">
        <f t="shared" si="163"/>
        <v>476</v>
      </c>
      <c r="P94" s="5">
        <f t="shared" si="163"/>
        <v>0</v>
      </c>
      <c r="Q94" s="5">
        <f t="shared" si="163"/>
        <v>0</v>
      </c>
      <c r="R94" s="5">
        <f t="shared" si="163"/>
        <v>0</v>
      </c>
      <c r="S94" s="5">
        <f t="shared" si="163"/>
        <v>228</v>
      </c>
      <c r="T94" s="5">
        <f t="shared" si="163"/>
        <v>0</v>
      </c>
      <c r="U94" s="5">
        <f t="shared" si="163"/>
        <v>0</v>
      </c>
      <c r="V94" s="5">
        <f t="shared" si="163"/>
        <v>269</v>
      </c>
      <c r="W94" s="5">
        <f t="shared" si="163"/>
        <v>0</v>
      </c>
      <c r="X94" s="5">
        <f t="shared" si="163"/>
        <v>0</v>
      </c>
      <c r="Y94" s="5">
        <f t="shared" si="163"/>
        <v>0</v>
      </c>
      <c r="Z94" s="5">
        <f t="shared" si="163"/>
        <v>243</v>
      </c>
      <c r="AA94" s="5">
        <f t="shared" si="163"/>
        <v>0</v>
      </c>
      <c r="AB94" s="5">
        <f t="shared" si="163"/>
        <v>0</v>
      </c>
      <c r="AC94" s="5">
        <f t="shared" si="163"/>
        <v>0</v>
      </c>
      <c r="AD94" s="5">
        <f t="shared" si="163"/>
        <v>209</v>
      </c>
      <c r="AE94" s="5" t="str">
        <f t="shared" si="163"/>
        <v/>
      </c>
      <c r="AF94" s="5" t="str">
        <f t="shared" si="163"/>
        <v/>
      </c>
      <c r="AG94" s="5" t="str">
        <f t="shared" si="163"/>
        <v/>
      </c>
      <c r="AH94" s="5" t="str">
        <f t="shared" si="163"/>
        <v/>
      </c>
      <c r="AI94" s="5" t="str">
        <f t="shared" si="163"/>
        <v/>
      </c>
      <c r="AJ94" s="5" t="str">
        <f t="shared" si="163"/>
        <v/>
      </c>
      <c r="AK94" s="5" t="str">
        <f t="shared" si="163"/>
        <v/>
      </c>
      <c r="AL94" s="5" t="str">
        <f t="shared" si="163"/>
        <v/>
      </c>
      <c r="AM94" s="5" t="str">
        <f t="shared" si="163"/>
        <v/>
      </c>
      <c r="AN94" s="5" t="str">
        <f t="shared" ref="AN94:AS94" si="164">IF(AN87="","",AN87-AM87)</f>
        <v/>
      </c>
      <c r="AO94" s="5" t="str">
        <f t="shared" si="164"/>
        <v/>
      </c>
      <c r="AP94" s="5" t="str">
        <f t="shared" si="164"/>
        <v/>
      </c>
      <c r="AQ94" s="5" t="str">
        <f t="shared" si="164"/>
        <v/>
      </c>
      <c r="AR94" s="5" t="str">
        <f t="shared" si="164"/>
        <v/>
      </c>
      <c r="AS94" s="5" t="str">
        <f t="shared" si="164"/>
        <v/>
      </c>
    </row>
    <row r="95" spans="1:45" s="93" customFormat="1" ht="11">
      <c r="A95" s="7">
        <f>SUM(C95:AS95)</f>
        <v>48</v>
      </c>
      <c r="B95" s="6" t="s">
        <v>16</v>
      </c>
      <c r="C95" s="74">
        <v>0</v>
      </c>
      <c r="D95" s="5">
        <f t="shared" ref="D95:AM95" si="165">IF(D88="","",D88-C88)</f>
        <v>0</v>
      </c>
      <c r="E95" s="5">
        <f t="shared" si="165"/>
        <v>6</v>
      </c>
      <c r="F95" s="59">
        <f t="shared" si="165"/>
        <v>0</v>
      </c>
      <c r="G95" s="5">
        <f t="shared" si="165"/>
        <v>0</v>
      </c>
      <c r="H95" s="5">
        <f t="shared" si="165"/>
        <v>9</v>
      </c>
      <c r="I95" s="59">
        <f t="shared" si="165"/>
        <v>0</v>
      </c>
      <c r="J95" s="5">
        <f t="shared" si="165"/>
        <v>0</v>
      </c>
      <c r="K95" s="5">
        <f t="shared" si="165"/>
        <v>0</v>
      </c>
      <c r="L95" s="5">
        <f t="shared" si="165"/>
        <v>4</v>
      </c>
      <c r="M95" s="5">
        <f t="shared" si="165"/>
        <v>0</v>
      </c>
      <c r="N95" s="5">
        <f t="shared" si="165"/>
        <v>0</v>
      </c>
      <c r="O95" s="5">
        <f t="shared" si="165"/>
        <v>10</v>
      </c>
      <c r="P95" s="5">
        <f t="shared" si="165"/>
        <v>0</v>
      </c>
      <c r="Q95" s="5">
        <f t="shared" si="165"/>
        <v>0</v>
      </c>
      <c r="R95" s="5">
        <f t="shared" si="165"/>
        <v>0</v>
      </c>
      <c r="S95" s="5">
        <f t="shared" si="165"/>
        <v>6</v>
      </c>
      <c r="T95" s="5">
        <f t="shared" si="165"/>
        <v>0</v>
      </c>
      <c r="U95" s="5">
        <f t="shared" si="165"/>
        <v>0</v>
      </c>
      <c r="V95" s="5">
        <f t="shared" si="165"/>
        <v>5</v>
      </c>
      <c r="W95" s="5">
        <f t="shared" si="165"/>
        <v>0</v>
      </c>
      <c r="X95" s="5">
        <f t="shared" si="165"/>
        <v>0</v>
      </c>
      <c r="Y95" s="5">
        <f t="shared" si="165"/>
        <v>0</v>
      </c>
      <c r="Z95" s="5">
        <f t="shared" si="165"/>
        <v>4</v>
      </c>
      <c r="AA95" s="5">
        <f t="shared" si="165"/>
        <v>0</v>
      </c>
      <c r="AB95" s="5">
        <f t="shared" si="165"/>
        <v>0</v>
      </c>
      <c r="AC95" s="5">
        <f t="shared" si="165"/>
        <v>0</v>
      </c>
      <c r="AD95" s="5">
        <f t="shared" si="165"/>
        <v>4</v>
      </c>
      <c r="AE95" s="5" t="str">
        <f t="shared" si="165"/>
        <v/>
      </c>
      <c r="AF95" s="5" t="str">
        <f t="shared" si="165"/>
        <v/>
      </c>
      <c r="AG95" s="5" t="str">
        <f t="shared" si="165"/>
        <v/>
      </c>
      <c r="AH95" s="5" t="str">
        <f t="shared" si="165"/>
        <v/>
      </c>
      <c r="AI95" s="5" t="str">
        <f t="shared" si="165"/>
        <v/>
      </c>
      <c r="AJ95" s="5" t="str">
        <f t="shared" si="165"/>
        <v/>
      </c>
      <c r="AK95" s="5" t="str">
        <f t="shared" si="165"/>
        <v/>
      </c>
      <c r="AL95" s="5" t="str">
        <f t="shared" si="165"/>
        <v/>
      </c>
      <c r="AM95" s="5" t="str">
        <f t="shared" si="165"/>
        <v/>
      </c>
      <c r="AN95" s="5" t="str">
        <f t="shared" ref="AN95:AS95" si="166">IF(AN88="","",AN88-AM88)</f>
        <v/>
      </c>
      <c r="AO95" s="5" t="str">
        <f t="shared" si="166"/>
        <v/>
      </c>
      <c r="AP95" s="5" t="str">
        <f t="shared" si="166"/>
        <v/>
      </c>
      <c r="AQ95" s="5" t="str">
        <f t="shared" si="166"/>
        <v/>
      </c>
      <c r="AR95" s="5" t="str">
        <f t="shared" si="166"/>
        <v/>
      </c>
      <c r="AS95" s="5" t="str">
        <f t="shared" si="166"/>
        <v/>
      </c>
    </row>
    <row r="96" spans="1:45" s="93" customFormat="1" ht="11">
      <c r="A96" s="7">
        <f>SUM(C96:AS96)</f>
        <v>21</v>
      </c>
      <c r="B96" s="6" t="s">
        <v>17</v>
      </c>
      <c r="C96" s="74">
        <v>0</v>
      </c>
      <c r="D96" s="5">
        <f t="shared" ref="D96:AM96" si="167">IF(D89="","",C89+C90-D89)</f>
        <v>0</v>
      </c>
      <c r="E96" s="5">
        <f t="shared" si="167"/>
        <v>3</v>
      </c>
      <c r="F96" s="59">
        <f t="shared" si="167"/>
        <v>0</v>
      </c>
      <c r="G96" s="5">
        <f t="shared" si="167"/>
        <v>0</v>
      </c>
      <c r="H96" s="5">
        <f t="shared" si="167"/>
        <v>7</v>
      </c>
      <c r="I96" s="59">
        <f t="shared" si="167"/>
        <v>0</v>
      </c>
      <c r="J96" s="5">
        <f t="shared" si="167"/>
        <v>0</v>
      </c>
      <c r="K96" s="5">
        <f t="shared" si="167"/>
        <v>0</v>
      </c>
      <c r="L96" s="5">
        <f t="shared" si="167"/>
        <v>2</v>
      </c>
      <c r="M96" s="5">
        <f t="shared" si="167"/>
        <v>0</v>
      </c>
      <c r="N96" s="5">
        <f t="shared" si="167"/>
        <v>0</v>
      </c>
      <c r="O96" s="5">
        <f t="shared" si="167"/>
        <v>5</v>
      </c>
      <c r="P96" s="5">
        <f t="shared" si="167"/>
        <v>0</v>
      </c>
      <c r="Q96" s="5">
        <f t="shared" si="167"/>
        <v>0</v>
      </c>
      <c r="R96" s="5">
        <f t="shared" si="167"/>
        <v>0</v>
      </c>
      <c r="S96" s="5">
        <f t="shared" si="167"/>
        <v>2</v>
      </c>
      <c r="T96" s="5">
        <f t="shared" si="167"/>
        <v>0</v>
      </c>
      <c r="U96" s="5">
        <f t="shared" si="167"/>
        <v>0</v>
      </c>
      <c r="V96" s="5">
        <f t="shared" si="167"/>
        <v>2</v>
      </c>
      <c r="W96" s="5">
        <f t="shared" si="167"/>
        <v>0</v>
      </c>
      <c r="X96" s="5">
        <f t="shared" si="167"/>
        <v>0</v>
      </c>
      <c r="Y96" s="5">
        <f t="shared" si="167"/>
        <v>0</v>
      </c>
      <c r="Z96" s="5">
        <f t="shared" si="167"/>
        <v>0</v>
      </c>
      <c r="AA96" s="5">
        <f t="shared" si="167"/>
        <v>0</v>
      </c>
      <c r="AB96" s="5">
        <f t="shared" si="167"/>
        <v>0</v>
      </c>
      <c r="AC96" s="5">
        <f t="shared" si="167"/>
        <v>0</v>
      </c>
      <c r="AD96" s="5">
        <f t="shared" si="167"/>
        <v>0</v>
      </c>
      <c r="AE96" s="5" t="str">
        <f t="shared" si="167"/>
        <v/>
      </c>
      <c r="AF96" s="5" t="str">
        <f t="shared" si="167"/>
        <v/>
      </c>
      <c r="AG96" s="5" t="str">
        <f t="shared" si="167"/>
        <v/>
      </c>
      <c r="AH96" s="5" t="str">
        <f t="shared" si="167"/>
        <v/>
      </c>
      <c r="AI96" s="5" t="str">
        <f t="shared" si="167"/>
        <v/>
      </c>
      <c r="AJ96" s="5" t="str">
        <f t="shared" si="167"/>
        <v/>
      </c>
      <c r="AK96" s="5" t="str">
        <f t="shared" si="167"/>
        <v/>
      </c>
      <c r="AL96" s="5" t="str">
        <f t="shared" si="167"/>
        <v/>
      </c>
      <c r="AM96" s="5" t="str">
        <f t="shared" si="167"/>
        <v/>
      </c>
      <c r="AN96" s="5" t="str">
        <f t="shared" ref="AN96:AS96" si="168">IF(AN89="","",AM89+AM90-AN89)</f>
        <v/>
      </c>
      <c r="AO96" s="5" t="str">
        <f t="shared" si="168"/>
        <v/>
      </c>
      <c r="AP96" s="5" t="str">
        <f t="shared" si="168"/>
        <v/>
      </c>
      <c r="AQ96" s="5" t="str">
        <f t="shared" si="168"/>
        <v/>
      </c>
      <c r="AR96" s="5" t="str">
        <f t="shared" si="168"/>
        <v/>
      </c>
      <c r="AS96" s="5" t="str">
        <f t="shared" si="168"/>
        <v/>
      </c>
    </row>
    <row r="97" spans="1:45" s="93" customFormat="1" ht="11">
      <c r="A97" s="7">
        <f>SUM(C97:AS97)</f>
        <v>5670</v>
      </c>
      <c r="B97" s="6" t="s">
        <v>18</v>
      </c>
      <c r="C97" s="74">
        <v>0</v>
      </c>
      <c r="D97" s="5">
        <f t="shared" ref="D97:AM97" si="169">IF(D87="","",D96*D91)</f>
        <v>0</v>
      </c>
      <c r="E97" s="5">
        <f t="shared" si="169"/>
        <v>810</v>
      </c>
      <c r="F97" s="59">
        <f t="shared" si="169"/>
        <v>0</v>
      </c>
      <c r="G97" s="5">
        <f t="shared" si="169"/>
        <v>0</v>
      </c>
      <c r="H97" s="5">
        <f t="shared" si="169"/>
        <v>1890</v>
      </c>
      <c r="I97" s="59">
        <f t="shared" si="169"/>
        <v>0</v>
      </c>
      <c r="J97" s="5">
        <f t="shared" si="169"/>
        <v>0</v>
      </c>
      <c r="K97" s="5">
        <f t="shared" si="169"/>
        <v>0</v>
      </c>
      <c r="L97" s="5">
        <f t="shared" si="169"/>
        <v>540</v>
      </c>
      <c r="M97" s="5">
        <f t="shared" si="169"/>
        <v>0</v>
      </c>
      <c r="N97" s="5">
        <f t="shared" si="169"/>
        <v>0</v>
      </c>
      <c r="O97" s="5">
        <f t="shared" si="169"/>
        <v>1350</v>
      </c>
      <c r="P97" s="5">
        <f t="shared" si="169"/>
        <v>0</v>
      </c>
      <c r="Q97" s="5">
        <f t="shared" si="169"/>
        <v>0</v>
      </c>
      <c r="R97" s="5">
        <f t="shared" si="169"/>
        <v>0</v>
      </c>
      <c r="S97" s="5">
        <f t="shared" si="169"/>
        <v>540</v>
      </c>
      <c r="T97" s="5">
        <f t="shared" si="169"/>
        <v>0</v>
      </c>
      <c r="U97" s="5">
        <f t="shared" si="169"/>
        <v>0</v>
      </c>
      <c r="V97" s="5">
        <f t="shared" si="169"/>
        <v>540</v>
      </c>
      <c r="W97" s="5">
        <f t="shared" si="169"/>
        <v>0</v>
      </c>
      <c r="X97" s="5">
        <f t="shared" si="169"/>
        <v>0</v>
      </c>
      <c r="Y97" s="5">
        <f t="shared" si="169"/>
        <v>0</v>
      </c>
      <c r="Z97" s="5">
        <f t="shared" si="169"/>
        <v>0</v>
      </c>
      <c r="AA97" s="5">
        <f t="shared" si="169"/>
        <v>0</v>
      </c>
      <c r="AB97" s="5">
        <f t="shared" si="169"/>
        <v>0</v>
      </c>
      <c r="AC97" s="5">
        <f t="shared" si="169"/>
        <v>0</v>
      </c>
      <c r="AD97" s="5">
        <f t="shared" si="169"/>
        <v>0</v>
      </c>
      <c r="AE97" s="5" t="str">
        <f t="shared" si="169"/>
        <v/>
      </c>
      <c r="AF97" s="5" t="str">
        <f t="shared" si="169"/>
        <v/>
      </c>
      <c r="AG97" s="5" t="str">
        <f t="shared" si="169"/>
        <v/>
      </c>
      <c r="AH97" s="5" t="str">
        <f t="shared" si="169"/>
        <v/>
      </c>
      <c r="AI97" s="5" t="str">
        <f t="shared" si="169"/>
        <v/>
      </c>
      <c r="AJ97" s="5" t="str">
        <f t="shared" si="169"/>
        <v/>
      </c>
      <c r="AK97" s="5" t="str">
        <f t="shared" si="169"/>
        <v/>
      </c>
      <c r="AL97" s="5" t="str">
        <f t="shared" si="169"/>
        <v/>
      </c>
      <c r="AM97" s="5" t="str">
        <f t="shared" si="169"/>
        <v/>
      </c>
      <c r="AN97" s="5" t="str">
        <f t="shared" ref="AN97:AS97" si="170">IF(AN87="","",AN96*AN91)</f>
        <v/>
      </c>
      <c r="AO97" s="5" t="str">
        <f t="shared" si="170"/>
        <v/>
      </c>
      <c r="AP97" s="5" t="str">
        <f t="shared" si="170"/>
        <v/>
      </c>
      <c r="AQ97" s="5" t="str">
        <f t="shared" si="170"/>
        <v/>
      </c>
      <c r="AR97" s="5" t="str">
        <f t="shared" si="170"/>
        <v/>
      </c>
      <c r="AS97" s="5" t="str">
        <f t="shared" si="170"/>
        <v/>
      </c>
    </row>
    <row r="98" spans="1:45" s="93" customFormat="1" ht="12" thickBot="1">
      <c r="A98" s="4">
        <f>IF(A97="","",A97/(A94*100))</f>
        <v>2.3893805309734513E-2</v>
      </c>
      <c r="B98" s="3" t="s">
        <v>20</v>
      </c>
      <c r="C98" s="77" t="s">
        <v>21</v>
      </c>
      <c r="D98" s="2" t="str">
        <f t="shared" ref="D98:AM98" si="171">IF(D97="","",IF(D97=0,"",D97/(D94*100)))</f>
        <v/>
      </c>
      <c r="E98" s="2">
        <f t="shared" si="171"/>
        <v>3.5840707964601773E-2</v>
      </c>
      <c r="F98" s="57" t="str">
        <f t="shared" si="171"/>
        <v/>
      </c>
      <c r="G98" s="2" t="str">
        <f t="shared" si="171"/>
        <v/>
      </c>
      <c r="H98" s="2">
        <f t="shared" si="171"/>
        <v>5.2941176470588235E-2</v>
      </c>
      <c r="I98" s="57" t="str">
        <f t="shared" si="171"/>
        <v/>
      </c>
      <c r="J98" s="2" t="str">
        <f t="shared" si="171"/>
        <v/>
      </c>
      <c r="K98" s="2" t="str">
        <f t="shared" si="171"/>
        <v/>
      </c>
      <c r="L98" s="2">
        <f t="shared" si="171"/>
        <v>1.4794520547945205E-2</v>
      </c>
      <c r="M98" s="2" t="str">
        <f t="shared" si="171"/>
        <v/>
      </c>
      <c r="N98" s="2" t="str">
        <f t="shared" si="171"/>
        <v/>
      </c>
      <c r="O98" s="2">
        <f t="shared" si="171"/>
        <v>2.8361344537815126E-2</v>
      </c>
      <c r="P98" s="2" t="str">
        <f t="shared" si="171"/>
        <v/>
      </c>
      <c r="Q98" s="2" t="str">
        <f t="shared" si="171"/>
        <v/>
      </c>
      <c r="R98" s="2" t="str">
        <f t="shared" si="171"/>
        <v/>
      </c>
      <c r="S98" s="2">
        <f t="shared" si="171"/>
        <v>2.368421052631579E-2</v>
      </c>
      <c r="T98" s="2" t="str">
        <f t="shared" si="171"/>
        <v/>
      </c>
      <c r="U98" s="2" t="str">
        <f t="shared" si="171"/>
        <v/>
      </c>
      <c r="V98" s="2">
        <f t="shared" si="171"/>
        <v>2.0074349442379184E-2</v>
      </c>
      <c r="W98" s="2" t="str">
        <f t="shared" si="171"/>
        <v/>
      </c>
      <c r="X98" s="2" t="str">
        <f t="shared" si="171"/>
        <v/>
      </c>
      <c r="Y98" s="2" t="str">
        <f t="shared" si="171"/>
        <v/>
      </c>
      <c r="Z98" s="2" t="str">
        <f t="shared" si="171"/>
        <v/>
      </c>
      <c r="AA98" s="2" t="str">
        <f t="shared" si="171"/>
        <v/>
      </c>
      <c r="AB98" s="2" t="str">
        <f t="shared" si="171"/>
        <v/>
      </c>
      <c r="AC98" s="2" t="str">
        <f t="shared" si="171"/>
        <v/>
      </c>
      <c r="AD98" s="2" t="str">
        <f t="shared" si="171"/>
        <v/>
      </c>
      <c r="AE98" s="2" t="str">
        <f t="shared" si="171"/>
        <v/>
      </c>
      <c r="AF98" s="2" t="str">
        <f t="shared" si="171"/>
        <v/>
      </c>
      <c r="AG98" s="2" t="str">
        <f t="shared" si="171"/>
        <v/>
      </c>
      <c r="AH98" s="2" t="str">
        <f t="shared" si="171"/>
        <v/>
      </c>
      <c r="AI98" s="2" t="str">
        <f t="shared" si="171"/>
        <v/>
      </c>
      <c r="AJ98" s="2" t="str">
        <f t="shared" si="171"/>
        <v/>
      </c>
      <c r="AK98" s="2" t="str">
        <f t="shared" si="171"/>
        <v/>
      </c>
      <c r="AL98" s="2" t="str">
        <f t="shared" si="171"/>
        <v/>
      </c>
      <c r="AM98" s="2" t="str">
        <f t="shared" si="171"/>
        <v/>
      </c>
      <c r="AN98" s="2" t="str">
        <f t="shared" ref="AN98:AS98" si="172">IF(AN97="","",IF(AN97=0,"",AN97/(AN94*100)))</f>
        <v/>
      </c>
      <c r="AO98" s="2" t="str">
        <f t="shared" si="172"/>
        <v/>
      </c>
      <c r="AP98" s="2" t="str">
        <f t="shared" si="172"/>
        <v/>
      </c>
      <c r="AQ98" s="2" t="str">
        <f t="shared" si="172"/>
        <v/>
      </c>
      <c r="AR98" s="2" t="str">
        <f t="shared" si="172"/>
        <v/>
      </c>
      <c r="AS98" s="2" t="str">
        <f t="shared" si="172"/>
        <v/>
      </c>
    </row>
    <row r="99" spans="1:45" s="93" customFormat="1" ht="11">
      <c r="A99" s="40" t="s">
        <v>113</v>
      </c>
      <c r="B99" s="39" t="s">
        <v>2</v>
      </c>
      <c r="C99" s="66">
        <v>28458</v>
      </c>
      <c r="D99" s="38">
        <f>IF(D$3="","",C99)</f>
        <v>28458</v>
      </c>
      <c r="E99" s="38">
        <v>28493</v>
      </c>
      <c r="F99" s="127">
        <f>IF(F$3="","",E99)</f>
        <v>28493</v>
      </c>
      <c r="G99" s="38">
        <f>IF(G$3="","",F99)</f>
        <v>28493</v>
      </c>
      <c r="H99" s="38">
        <v>28627</v>
      </c>
      <c r="I99" s="127">
        <f t="shared" ref="I99:K100" si="173">IF(I$3="","",H99)</f>
        <v>28627</v>
      </c>
      <c r="J99" s="38">
        <f t="shared" si="173"/>
        <v>28627</v>
      </c>
      <c r="K99" s="38">
        <f t="shared" si="173"/>
        <v>28627</v>
      </c>
      <c r="L99" s="38">
        <v>28687</v>
      </c>
      <c r="M99" s="38">
        <f>IF(M$3="","",L99)</f>
        <v>28687</v>
      </c>
      <c r="N99" s="38">
        <f>IF(N$3="","",M99)</f>
        <v>28687</v>
      </c>
      <c r="O99" s="38">
        <v>28755</v>
      </c>
      <c r="P99" s="38">
        <f t="shared" ref="P99:AM99" si="174">IF(P$3="","",O99)</f>
        <v>28755</v>
      </c>
      <c r="Q99" s="38">
        <f t="shared" si="174"/>
        <v>28755</v>
      </c>
      <c r="R99" s="38">
        <f t="shared" si="174"/>
        <v>28755</v>
      </c>
      <c r="S99" s="38">
        <v>28786</v>
      </c>
      <c r="T99" s="38">
        <f t="shared" si="174"/>
        <v>28786</v>
      </c>
      <c r="U99" s="38">
        <f t="shared" si="174"/>
        <v>28786</v>
      </c>
      <c r="V99" s="38">
        <v>28849</v>
      </c>
      <c r="W99" s="38">
        <f t="shared" si="174"/>
        <v>28849</v>
      </c>
      <c r="X99" s="38">
        <f t="shared" si="174"/>
        <v>28849</v>
      </c>
      <c r="Y99" s="38">
        <f t="shared" si="174"/>
        <v>28849</v>
      </c>
      <c r="Z99" s="38">
        <v>28881</v>
      </c>
      <c r="AA99" s="38">
        <f t="shared" si="174"/>
        <v>28881</v>
      </c>
      <c r="AB99" s="38">
        <f t="shared" si="174"/>
        <v>28881</v>
      </c>
      <c r="AC99" s="38">
        <f t="shared" si="174"/>
        <v>28881</v>
      </c>
      <c r="AD99" s="38">
        <v>28934</v>
      </c>
      <c r="AE99" s="38" t="str">
        <f t="shared" si="174"/>
        <v/>
      </c>
      <c r="AF99" s="38" t="str">
        <f t="shared" si="174"/>
        <v/>
      </c>
      <c r="AG99" s="38" t="str">
        <f t="shared" si="174"/>
        <v/>
      </c>
      <c r="AH99" s="38" t="str">
        <f t="shared" si="174"/>
        <v/>
      </c>
      <c r="AI99" s="38" t="str">
        <f t="shared" si="174"/>
        <v/>
      </c>
      <c r="AJ99" s="38" t="str">
        <f t="shared" si="174"/>
        <v/>
      </c>
      <c r="AK99" s="38" t="str">
        <f t="shared" si="174"/>
        <v/>
      </c>
      <c r="AL99" s="38" t="str">
        <f t="shared" si="174"/>
        <v/>
      </c>
      <c r="AM99" s="38" t="str">
        <f t="shared" si="174"/>
        <v/>
      </c>
      <c r="AN99" s="38" t="str">
        <f t="shared" ref="AN99:AS99" si="175">IF(AN$3="","",AM99)</f>
        <v/>
      </c>
      <c r="AO99" s="38" t="str">
        <f t="shared" si="175"/>
        <v/>
      </c>
      <c r="AP99" s="38" t="str">
        <f t="shared" si="175"/>
        <v/>
      </c>
      <c r="AQ99" s="38" t="str">
        <f t="shared" si="175"/>
        <v/>
      </c>
      <c r="AR99" s="38" t="str">
        <f t="shared" si="175"/>
        <v/>
      </c>
      <c r="AS99" s="38" t="str">
        <f t="shared" si="175"/>
        <v/>
      </c>
    </row>
    <row r="100" spans="1:45" s="93" customFormat="1" ht="11">
      <c r="A100" s="37" t="s">
        <v>83</v>
      </c>
      <c r="B100" s="30" t="s">
        <v>4</v>
      </c>
      <c r="C100" s="65">
        <v>1335</v>
      </c>
      <c r="D100" s="29">
        <f>IF(D$3="","",C100)</f>
        <v>1335</v>
      </c>
      <c r="E100" s="29">
        <f>IF(E$3="","",D100)</f>
        <v>1335</v>
      </c>
      <c r="F100" s="54">
        <f>IF(F$3="","",E100)</f>
        <v>1335</v>
      </c>
      <c r="G100" s="29">
        <f>IF(G$3="","",F100)</f>
        <v>1335</v>
      </c>
      <c r="H100" s="29">
        <v>1338</v>
      </c>
      <c r="I100" s="54">
        <f t="shared" si="173"/>
        <v>1338</v>
      </c>
      <c r="J100" s="29">
        <f t="shared" si="173"/>
        <v>1338</v>
      </c>
      <c r="K100" s="29">
        <f t="shared" si="173"/>
        <v>1338</v>
      </c>
      <c r="L100" s="29">
        <v>1340</v>
      </c>
      <c r="M100" s="29">
        <f>IF(M$3="","",L100)</f>
        <v>1340</v>
      </c>
      <c r="N100" s="29">
        <f>IF(N$3="","",M100)</f>
        <v>1340</v>
      </c>
      <c r="O100" s="29">
        <v>1341</v>
      </c>
      <c r="P100" s="29">
        <f t="shared" ref="P100:AM100" si="176">IF(P$3="","",O100)</f>
        <v>1341</v>
      </c>
      <c r="Q100" s="29">
        <f t="shared" si="176"/>
        <v>1341</v>
      </c>
      <c r="R100" s="29">
        <f t="shared" si="176"/>
        <v>1341</v>
      </c>
      <c r="S100" s="29">
        <v>1344</v>
      </c>
      <c r="T100" s="29">
        <f t="shared" si="176"/>
        <v>1344</v>
      </c>
      <c r="U100" s="29">
        <f t="shared" si="176"/>
        <v>1344</v>
      </c>
      <c r="V100" s="29">
        <f t="shared" si="176"/>
        <v>1344</v>
      </c>
      <c r="W100" s="29">
        <f t="shared" si="176"/>
        <v>1344</v>
      </c>
      <c r="X100" s="29">
        <f t="shared" si="176"/>
        <v>1344</v>
      </c>
      <c r="Y100" s="29">
        <f t="shared" si="176"/>
        <v>1344</v>
      </c>
      <c r="Z100" s="29">
        <v>1345</v>
      </c>
      <c r="AA100" s="29">
        <f t="shared" si="176"/>
        <v>1345</v>
      </c>
      <c r="AB100" s="29">
        <f t="shared" si="176"/>
        <v>1345</v>
      </c>
      <c r="AC100" s="29">
        <f t="shared" si="176"/>
        <v>1345</v>
      </c>
      <c r="AD100" s="29">
        <v>1346</v>
      </c>
      <c r="AE100" s="29" t="str">
        <f t="shared" si="176"/>
        <v/>
      </c>
      <c r="AF100" s="29" t="str">
        <f t="shared" si="176"/>
        <v/>
      </c>
      <c r="AG100" s="29" t="str">
        <f t="shared" si="176"/>
        <v/>
      </c>
      <c r="AH100" s="29" t="str">
        <f t="shared" si="176"/>
        <v/>
      </c>
      <c r="AI100" s="29" t="str">
        <f t="shared" si="176"/>
        <v/>
      </c>
      <c r="AJ100" s="29" t="str">
        <f t="shared" si="176"/>
        <v/>
      </c>
      <c r="AK100" s="29" t="str">
        <f t="shared" si="176"/>
        <v/>
      </c>
      <c r="AL100" s="29" t="str">
        <f t="shared" si="176"/>
        <v/>
      </c>
      <c r="AM100" s="29" t="str">
        <f t="shared" si="176"/>
        <v/>
      </c>
      <c r="AN100" s="29" t="str">
        <f t="shared" ref="AN100:AS100" si="177">IF(AN$3="","",AM100)</f>
        <v/>
      </c>
      <c r="AO100" s="29" t="str">
        <f t="shared" si="177"/>
        <v/>
      </c>
      <c r="AP100" s="29" t="str">
        <f t="shared" si="177"/>
        <v/>
      </c>
      <c r="AQ100" s="29" t="str">
        <f t="shared" si="177"/>
        <v/>
      </c>
      <c r="AR100" s="29" t="str">
        <f t="shared" si="177"/>
        <v/>
      </c>
      <c r="AS100" s="29" t="str">
        <f t="shared" si="177"/>
        <v/>
      </c>
    </row>
    <row r="101" spans="1:45" s="93" customFormat="1" ht="11">
      <c r="A101" s="34"/>
      <c r="B101" s="30" t="s">
        <v>5</v>
      </c>
      <c r="C101" s="65">
        <v>6</v>
      </c>
      <c r="D101" s="29">
        <f>IF(D99="","",(C101+C102))</f>
        <v>6</v>
      </c>
      <c r="E101" s="29">
        <f>IF(E99="","",(D101+D102))</f>
        <v>6</v>
      </c>
      <c r="F101" s="54">
        <f>IF(F99="","",(E101+E102))</f>
        <v>20</v>
      </c>
      <c r="G101" s="29">
        <f>IF(G99="","",(F101+F102))</f>
        <v>20</v>
      </c>
      <c r="H101" s="29">
        <v>17</v>
      </c>
      <c r="I101" s="54">
        <f>IF(I99="","",(H101+H102))</f>
        <v>27</v>
      </c>
      <c r="J101" s="29">
        <f>IF(J99="","",(I101+I102))</f>
        <v>27</v>
      </c>
      <c r="K101" s="29">
        <f>IF(K99="","",(J101+J102))</f>
        <v>27</v>
      </c>
      <c r="L101" s="29">
        <v>25</v>
      </c>
      <c r="M101" s="29">
        <f>IF(M99="","",(L101+L102))</f>
        <v>18</v>
      </c>
      <c r="N101" s="29">
        <f>IF(N99="","",(M101+M102))</f>
        <v>18</v>
      </c>
      <c r="O101" s="29">
        <v>18</v>
      </c>
      <c r="P101" s="29">
        <f t="shared" ref="P101:AM101" si="178">IF(P99="","",(O101+O102))</f>
        <v>18</v>
      </c>
      <c r="Q101" s="29">
        <f t="shared" si="178"/>
        <v>18</v>
      </c>
      <c r="R101" s="29">
        <f t="shared" si="178"/>
        <v>18</v>
      </c>
      <c r="S101" s="29">
        <v>16</v>
      </c>
      <c r="T101" s="29">
        <f t="shared" si="178"/>
        <v>16</v>
      </c>
      <c r="U101" s="29">
        <f t="shared" si="178"/>
        <v>16</v>
      </c>
      <c r="V101" s="29">
        <f t="shared" si="178"/>
        <v>16</v>
      </c>
      <c r="W101" s="29">
        <f t="shared" si="178"/>
        <v>16</v>
      </c>
      <c r="X101" s="29">
        <f t="shared" si="178"/>
        <v>16</v>
      </c>
      <c r="Y101" s="29">
        <f t="shared" si="178"/>
        <v>16</v>
      </c>
      <c r="Z101" s="29">
        <v>15</v>
      </c>
      <c r="AA101" s="29">
        <f t="shared" si="178"/>
        <v>15</v>
      </c>
      <c r="AB101" s="29">
        <f t="shared" si="178"/>
        <v>15</v>
      </c>
      <c r="AC101" s="29">
        <f t="shared" si="178"/>
        <v>15</v>
      </c>
      <c r="AD101" s="29">
        <f t="shared" si="178"/>
        <v>15</v>
      </c>
      <c r="AE101" s="29" t="str">
        <f t="shared" si="178"/>
        <v/>
      </c>
      <c r="AF101" s="29" t="str">
        <f t="shared" si="178"/>
        <v/>
      </c>
      <c r="AG101" s="29" t="str">
        <f t="shared" si="178"/>
        <v/>
      </c>
      <c r="AH101" s="29" t="str">
        <f t="shared" si="178"/>
        <v/>
      </c>
      <c r="AI101" s="29" t="str">
        <f t="shared" si="178"/>
        <v/>
      </c>
      <c r="AJ101" s="29" t="str">
        <f t="shared" si="178"/>
        <v/>
      </c>
      <c r="AK101" s="29" t="str">
        <f t="shared" si="178"/>
        <v/>
      </c>
      <c r="AL101" s="29" t="str">
        <f t="shared" si="178"/>
        <v/>
      </c>
      <c r="AM101" s="29" t="str">
        <f t="shared" si="178"/>
        <v/>
      </c>
      <c r="AN101" s="29" t="str">
        <f t="shared" ref="AN101:AS101" si="179">IF(AN99="","",(AM101+AM102))</f>
        <v/>
      </c>
      <c r="AO101" s="29" t="str">
        <f t="shared" si="179"/>
        <v/>
      </c>
      <c r="AP101" s="29" t="str">
        <f t="shared" si="179"/>
        <v/>
      </c>
      <c r="AQ101" s="29" t="str">
        <f t="shared" si="179"/>
        <v/>
      </c>
      <c r="AR101" s="29" t="str">
        <f t="shared" si="179"/>
        <v/>
      </c>
      <c r="AS101" s="29" t="str">
        <f t="shared" si="179"/>
        <v/>
      </c>
    </row>
    <row r="102" spans="1:45" s="93" customFormat="1" ht="11">
      <c r="A102" s="14"/>
      <c r="B102" s="30" t="s">
        <v>7</v>
      </c>
      <c r="C102" s="65"/>
      <c r="D102" s="29"/>
      <c r="E102" s="29">
        <v>14</v>
      </c>
      <c r="F102" s="54"/>
      <c r="G102" s="29"/>
      <c r="H102" s="29">
        <v>10</v>
      </c>
      <c r="I102" s="54"/>
      <c r="J102" s="29"/>
      <c r="K102" s="29"/>
      <c r="L102" s="29">
        <v>-7</v>
      </c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s="93" customFormat="1" ht="11">
      <c r="A103" s="7"/>
      <c r="B103" s="30" t="s">
        <v>8</v>
      </c>
      <c r="C103" s="64">
        <v>150</v>
      </c>
      <c r="D103" s="35">
        <f t="shared" ref="D103:AM103" si="180">IF(D99="","",C103)</f>
        <v>150</v>
      </c>
      <c r="E103" s="35">
        <f t="shared" si="180"/>
        <v>150</v>
      </c>
      <c r="F103" s="128">
        <f t="shared" si="180"/>
        <v>150</v>
      </c>
      <c r="G103" s="35">
        <f t="shared" si="180"/>
        <v>150</v>
      </c>
      <c r="H103" s="35">
        <f t="shared" si="180"/>
        <v>150</v>
      </c>
      <c r="I103" s="128">
        <f t="shared" si="180"/>
        <v>150</v>
      </c>
      <c r="J103" s="35">
        <f t="shared" si="180"/>
        <v>150</v>
      </c>
      <c r="K103" s="35">
        <f t="shared" si="180"/>
        <v>150</v>
      </c>
      <c r="L103" s="35">
        <f t="shared" si="180"/>
        <v>150</v>
      </c>
      <c r="M103" s="35">
        <f t="shared" si="180"/>
        <v>150</v>
      </c>
      <c r="N103" s="35">
        <f t="shared" si="180"/>
        <v>150</v>
      </c>
      <c r="O103" s="35">
        <f t="shared" si="180"/>
        <v>150</v>
      </c>
      <c r="P103" s="35">
        <f t="shared" si="180"/>
        <v>150</v>
      </c>
      <c r="Q103" s="35">
        <f t="shared" si="180"/>
        <v>150</v>
      </c>
      <c r="R103" s="35">
        <f t="shared" si="180"/>
        <v>150</v>
      </c>
      <c r="S103" s="35">
        <f t="shared" si="180"/>
        <v>150</v>
      </c>
      <c r="T103" s="35">
        <f t="shared" si="180"/>
        <v>150</v>
      </c>
      <c r="U103" s="35">
        <f t="shared" si="180"/>
        <v>150</v>
      </c>
      <c r="V103" s="35">
        <f t="shared" si="180"/>
        <v>150</v>
      </c>
      <c r="W103" s="35">
        <f t="shared" si="180"/>
        <v>150</v>
      </c>
      <c r="X103" s="35">
        <f t="shared" si="180"/>
        <v>150</v>
      </c>
      <c r="Y103" s="35">
        <f t="shared" si="180"/>
        <v>150</v>
      </c>
      <c r="Z103" s="35">
        <f t="shared" si="180"/>
        <v>150</v>
      </c>
      <c r="AA103" s="35">
        <f t="shared" si="180"/>
        <v>150</v>
      </c>
      <c r="AB103" s="35">
        <f t="shared" si="180"/>
        <v>150</v>
      </c>
      <c r="AC103" s="35">
        <f t="shared" si="180"/>
        <v>150</v>
      </c>
      <c r="AD103" s="35">
        <f t="shared" si="180"/>
        <v>150</v>
      </c>
      <c r="AE103" s="35" t="str">
        <f t="shared" si="180"/>
        <v/>
      </c>
      <c r="AF103" s="35" t="str">
        <f t="shared" si="180"/>
        <v/>
      </c>
      <c r="AG103" s="35" t="str">
        <f t="shared" si="180"/>
        <v/>
      </c>
      <c r="AH103" s="35" t="str">
        <f t="shared" si="180"/>
        <v/>
      </c>
      <c r="AI103" s="35" t="str">
        <f t="shared" si="180"/>
        <v/>
      </c>
      <c r="AJ103" s="35" t="str">
        <f t="shared" si="180"/>
        <v/>
      </c>
      <c r="AK103" s="35" t="str">
        <f t="shared" si="180"/>
        <v/>
      </c>
      <c r="AL103" s="35" t="str">
        <f t="shared" si="180"/>
        <v/>
      </c>
      <c r="AM103" s="35" t="str">
        <f t="shared" si="180"/>
        <v/>
      </c>
      <c r="AN103" s="35" t="str">
        <f t="shared" ref="AN103:AS103" si="181">IF(AN99="","",AM103)</f>
        <v/>
      </c>
      <c r="AO103" s="35" t="str">
        <f t="shared" si="181"/>
        <v/>
      </c>
      <c r="AP103" s="35" t="str">
        <f t="shared" si="181"/>
        <v/>
      </c>
      <c r="AQ103" s="35" t="str">
        <f t="shared" si="181"/>
        <v/>
      </c>
      <c r="AR103" s="35" t="str">
        <f t="shared" si="181"/>
        <v/>
      </c>
      <c r="AS103" s="35" t="str">
        <f t="shared" si="181"/>
        <v/>
      </c>
    </row>
    <row r="104" spans="1:45" s="94" customFormat="1" ht="11">
      <c r="A104" s="14" t="s">
        <v>9</v>
      </c>
      <c r="B104" s="33" t="s">
        <v>10</v>
      </c>
      <c r="C104" s="63" t="s">
        <v>118</v>
      </c>
      <c r="D104" s="32" t="str">
        <f>IF(D99="","",C104)</f>
        <v>AIモンスターシール</v>
      </c>
      <c r="E104" s="32" t="s">
        <v>119</v>
      </c>
      <c r="F104" s="129" t="str">
        <f t="shared" ref="F104:K104" si="182">IF(F99="","",E104)</f>
        <v>ピクミンマスコット</v>
      </c>
      <c r="G104" s="32" t="str">
        <f t="shared" si="182"/>
        <v>ピクミンマスコット</v>
      </c>
      <c r="H104" s="32" t="str">
        <f t="shared" si="182"/>
        <v>ピクミンマスコット</v>
      </c>
      <c r="I104" s="129" t="str">
        <f t="shared" si="182"/>
        <v>ピクミンマスコット</v>
      </c>
      <c r="J104" s="32" t="str">
        <f t="shared" si="182"/>
        <v>ピクミンマスコット</v>
      </c>
      <c r="K104" s="32" t="str">
        <f t="shared" si="182"/>
        <v>ピクミンマスコット</v>
      </c>
      <c r="L104" s="32" t="s">
        <v>120</v>
      </c>
      <c r="M104" s="32" t="str">
        <f t="shared" ref="M104:AM104" si="183">IF(M99="","",L104)</f>
        <v>サンリオバニティポーチ</v>
      </c>
      <c r="N104" s="32" t="str">
        <f t="shared" si="183"/>
        <v>サンリオバニティポーチ</v>
      </c>
      <c r="O104" s="32" t="str">
        <f t="shared" si="183"/>
        <v>サンリオバニティポーチ</v>
      </c>
      <c r="P104" s="32" t="str">
        <f t="shared" si="183"/>
        <v>サンリオバニティポーチ</v>
      </c>
      <c r="Q104" s="32" t="str">
        <f t="shared" si="183"/>
        <v>サンリオバニティポーチ</v>
      </c>
      <c r="R104" s="32" t="str">
        <f t="shared" si="183"/>
        <v>サンリオバニティポーチ</v>
      </c>
      <c r="S104" s="32" t="str">
        <f t="shared" si="183"/>
        <v>サンリオバニティポーチ</v>
      </c>
      <c r="T104" s="32" t="str">
        <f t="shared" si="183"/>
        <v>サンリオバニティポーチ</v>
      </c>
      <c r="U104" s="32" t="str">
        <f t="shared" si="183"/>
        <v>サンリオバニティポーチ</v>
      </c>
      <c r="V104" s="32" t="str">
        <f t="shared" si="183"/>
        <v>サンリオバニティポーチ</v>
      </c>
      <c r="W104" s="32" t="str">
        <f t="shared" si="183"/>
        <v>サンリオバニティポーチ</v>
      </c>
      <c r="X104" s="32" t="str">
        <f t="shared" si="183"/>
        <v>サンリオバニティポーチ</v>
      </c>
      <c r="Y104" s="32" t="str">
        <f t="shared" si="183"/>
        <v>サンリオバニティポーチ</v>
      </c>
      <c r="Z104" s="32" t="str">
        <f t="shared" si="183"/>
        <v>サンリオバニティポーチ</v>
      </c>
      <c r="AA104" s="32" t="str">
        <f t="shared" si="183"/>
        <v>サンリオバニティポーチ</v>
      </c>
      <c r="AB104" s="32" t="str">
        <f t="shared" si="183"/>
        <v>サンリオバニティポーチ</v>
      </c>
      <c r="AC104" s="32" t="str">
        <f t="shared" si="183"/>
        <v>サンリオバニティポーチ</v>
      </c>
      <c r="AD104" s="32" t="str">
        <f t="shared" si="183"/>
        <v>サンリオバニティポーチ</v>
      </c>
      <c r="AE104" s="32" t="str">
        <f t="shared" si="183"/>
        <v/>
      </c>
      <c r="AF104" s="32" t="str">
        <f t="shared" si="183"/>
        <v/>
      </c>
      <c r="AG104" s="32" t="str">
        <f t="shared" si="183"/>
        <v/>
      </c>
      <c r="AH104" s="32" t="str">
        <f t="shared" si="183"/>
        <v/>
      </c>
      <c r="AI104" s="32" t="str">
        <f t="shared" si="183"/>
        <v/>
      </c>
      <c r="AJ104" s="32" t="str">
        <f t="shared" si="183"/>
        <v/>
      </c>
      <c r="AK104" s="32" t="str">
        <f t="shared" si="183"/>
        <v/>
      </c>
      <c r="AL104" s="32" t="str">
        <f t="shared" si="183"/>
        <v/>
      </c>
      <c r="AM104" s="32" t="str">
        <f t="shared" si="183"/>
        <v/>
      </c>
      <c r="AN104" s="32" t="str">
        <f t="shared" ref="AN104:AS104" si="184">IF(AN99="","",AM104)</f>
        <v/>
      </c>
      <c r="AO104" s="32" t="str">
        <f t="shared" si="184"/>
        <v/>
      </c>
      <c r="AP104" s="32" t="str">
        <f t="shared" si="184"/>
        <v/>
      </c>
      <c r="AQ104" s="32" t="str">
        <f t="shared" si="184"/>
        <v/>
      </c>
      <c r="AR104" s="32" t="str">
        <f t="shared" si="184"/>
        <v/>
      </c>
      <c r="AS104" s="32" t="str">
        <f t="shared" si="184"/>
        <v/>
      </c>
    </row>
    <row r="105" spans="1:45" s="93" customFormat="1" ht="11">
      <c r="A105" s="7">
        <f>AVERAGE(C106:AS106)*30*100</f>
        <v>51000</v>
      </c>
      <c r="B105" s="30" t="s">
        <v>14</v>
      </c>
      <c r="C105" s="65"/>
      <c r="D105" s="29"/>
      <c r="E105" s="29"/>
      <c r="F105" s="54"/>
      <c r="G105" s="29"/>
      <c r="H105" s="29"/>
      <c r="I105" s="54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s="93" customFormat="1" ht="11">
      <c r="A106" s="7">
        <f>SUM(C106:AS106)</f>
        <v>476</v>
      </c>
      <c r="B106" s="27" t="s">
        <v>15</v>
      </c>
      <c r="C106" s="65">
        <v>0</v>
      </c>
      <c r="D106" s="26">
        <f t="shared" ref="D106:AM106" si="185">IF(D99="","",D99-C99)</f>
        <v>0</v>
      </c>
      <c r="E106" s="26">
        <f t="shared" si="185"/>
        <v>35</v>
      </c>
      <c r="F106" s="54">
        <f t="shared" si="185"/>
        <v>0</v>
      </c>
      <c r="G106" s="26">
        <f t="shared" si="185"/>
        <v>0</v>
      </c>
      <c r="H106" s="26">
        <f t="shared" si="185"/>
        <v>134</v>
      </c>
      <c r="I106" s="54">
        <f t="shared" si="185"/>
        <v>0</v>
      </c>
      <c r="J106" s="26">
        <f t="shared" si="185"/>
        <v>0</v>
      </c>
      <c r="K106" s="26">
        <f t="shared" si="185"/>
        <v>0</v>
      </c>
      <c r="L106" s="26">
        <f t="shared" si="185"/>
        <v>60</v>
      </c>
      <c r="M106" s="26">
        <f t="shared" si="185"/>
        <v>0</v>
      </c>
      <c r="N106" s="26">
        <f t="shared" si="185"/>
        <v>0</v>
      </c>
      <c r="O106" s="26">
        <f t="shared" si="185"/>
        <v>68</v>
      </c>
      <c r="P106" s="26">
        <f t="shared" si="185"/>
        <v>0</v>
      </c>
      <c r="Q106" s="26">
        <f t="shared" si="185"/>
        <v>0</v>
      </c>
      <c r="R106" s="26">
        <f t="shared" si="185"/>
        <v>0</v>
      </c>
      <c r="S106" s="26">
        <f t="shared" si="185"/>
        <v>31</v>
      </c>
      <c r="T106" s="26">
        <f t="shared" si="185"/>
        <v>0</v>
      </c>
      <c r="U106" s="26">
        <f t="shared" si="185"/>
        <v>0</v>
      </c>
      <c r="V106" s="26">
        <f t="shared" si="185"/>
        <v>63</v>
      </c>
      <c r="W106" s="26">
        <f t="shared" si="185"/>
        <v>0</v>
      </c>
      <c r="X106" s="26">
        <f t="shared" si="185"/>
        <v>0</v>
      </c>
      <c r="Y106" s="26">
        <f t="shared" si="185"/>
        <v>0</v>
      </c>
      <c r="Z106" s="26">
        <f t="shared" si="185"/>
        <v>32</v>
      </c>
      <c r="AA106" s="26">
        <f t="shared" si="185"/>
        <v>0</v>
      </c>
      <c r="AB106" s="26">
        <f t="shared" si="185"/>
        <v>0</v>
      </c>
      <c r="AC106" s="26">
        <f t="shared" si="185"/>
        <v>0</v>
      </c>
      <c r="AD106" s="26">
        <f t="shared" si="185"/>
        <v>53</v>
      </c>
      <c r="AE106" s="26" t="str">
        <f t="shared" si="185"/>
        <v/>
      </c>
      <c r="AF106" s="26" t="str">
        <f t="shared" si="185"/>
        <v/>
      </c>
      <c r="AG106" s="26" t="str">
        <f t="shared" si="185"/>
        <v/>
      </c>
      <c r="AH106" s="26" t="str">
        <f t="shared" si="185"/>
        <v/>
      </c>
      <c r="AI106" s="26" t="str">
        <f t="shared" si="185"/>
        <v/>
      </c>
      <c r="AJ106" s="26" t="str">
        <f t="shared" si="185"/>
        <v/>
      </c>
      <c r="AK106" s="26" t="str">
        <f t="shared" si="185"/>
        <v/>
      </c>
      <c r="AL106" s="26" t="str">
        <f t="shared" si="185"/>
        <v/>
      </c>
      <c r="AM106" s="26" t="str">
        <f t="shared" si="185"/>
        <v/>
      </c>
      <c r="AN106" s="26" t="str">
        <f t="shared" ref="AN106:AS106" si="186">IF(AN99="","",AN99-AM99)</f>
        <v/>
      </c>
      <c r="AO106" s="26" t="str">
        <f t="shared" si="186"/>
        <v/>
      </c>
      <c r="AP106" s="26" t="str">
        <f t="shared" si="186"/>
        <v/>
      </c>
      <c r="AQ106" s="26" t="str">
        <f t="shared" si="186"/>
        <v/>
      </c>
      <c r="AR106" s="26" t="str">
        <f t="shared" si="186"/>
        <v/>
      </c>
      <c r="AS106" s="26" t="str">
        <f t="shared" si="186"/>
        <v/>
      </c>
    </row>
    <row r="107" spans="1:45" s="93" customFormat="1" ht="11">
      <c r="A107" s="7">
        <f>SUM(C107:AS107)</f>
        <v>11</v>
      </c>
      <c r="B107" s="27" t="s">
        <v>16</v>
      </c>
      <c r="C107" s="65">
        <v>0</v>
      </c>
      <c r="D107" s="26">
        <f t="shared" ref="D107:AM107" si="187">IF(D100="","",D100-C100)</f>
        <v>0</v>
      </c>
      <c r="E107" s="26">
        <f t="shared" si="187"/>
        <v>0</v>
      </c>
      <c r="F107" s="54">
        <f t="shared" si="187"/>
        <v>0</v>
      </c>
      <c r="G107" s="26">
        <f t="shared" si="187"/>
        <v>0</v>
      </c>
      <c r="H107" s="26">
        <f t="shared" si="187"/>
        <v>3</v>
      </c>
      <c r="I107" s="54">
        <f t="shared" si="187"/>
        <v>0</v>
      </c>
      <c r="J107" s="26">
        <f t="shared" si="187"/>
        <v>0</v>
      </c>
      <c r="K107" s="26">
        <f t="shared" si="187"/>
        <v>0</v>
      </c>
      <c r="L107" s="26">
        <f t="shared" si="187"/>
        <v>2</v>
      </c>
      <c r="M107" s="26">
        <f t="shared" si="187"/>
        <v>0</v>
      </c>
      <c r="N107" s="26">
        <f t="shared" si="187"/>
        <v>0</v>
      </c>
      <c r="O107" s="26">
        <f t="shared" si="187"/>
        <v>1</v>
      </c>
      <c r="P107" s="26">
        <f t="shared" si="187"/>
        <v>0</v>
      </c>
      <c r="Q107" s="26">
        <f t="shared" si="187"/>
        <v>0</v>
      </c>
      <c r="R107" s="26">
        <f t="shared" si="187"/>
        <v>0</v>
      </c>
      <c r="S107" s="26">
        <f t="shared" si="187"/>
        <v>3</v>
      </c>
      <c r="T107" s="26">
        <f t="shared" si="187"/>
        <v>0</v>
      </c>
      <c r="U107" s="26">
        <f t="shared" si="187"/>
        <v>0</v>
      </c>
      <c r="V107" s="26">
        <f t="shared" si="187"/>
        <v>0</v>
      </c>
      <c r="W107" s="26">
        <f t="shared" si="187"/>
        <v>0</v>
      </c>
      <c r="X107" s="26">
        <f t="shared" si="187"/>
        <v>0</v>
      </c>
      <c r="Y107" s="26">
        <f t="shared" si="187"/>
        <v>0</v>
      </c>
      <c r="Z107" s="26">
        <f t="shared" si="187"/>
        <v>1</v>
      </c>
      <c r="AA107" s="26">
        <f t="shared" si="187"/>
        <v>0</v>
      </c>
      <c r="AB107" s="26">
        <f t="shared" si="187"/>
        <v>0</v>
      </c>
      <c r="AC107" s="26">
        <f t="shared" si="187"/>
        <v>0</v>
      </c>
      <c r="AD107" s="26">
        <f t="shared" si="187"/>
        <v>1</v>
      </c>
      <c r="AE107" s="26" t="str">
        <f t="shared" si="187"/>
        <v/>
      </c>
      <c r="AF107" s="26" t="str">
        <f t="shared" si="187"/>
        <v/>
      </c>
      <c r="AG107" s="26" t="str">
        <f t="shared" si="187"/>
        <v/>
      </c>
      <c r="AH107" s="26" t="str">
        <f t="shared" si="187"/>
        <v/>
      </c>
      <c r="AI107" s="26" t="str">
        <f t="shared" si="187"/>
        <v/>
      </c>
      <c r="AJ107" s="26" t="str">
        <f t="shared" si="187"/>
        <v/>
      </c>
      <c r="AK107" s="26" t="str">
        <f t="shared" si="187"/>
        <v/>
      </c>
      <c r="AL107" s="26" t="str">
        <f t="shared" si="187"/>
        <v/>
      </c>
      <c r="AM107" s="26" t="str">
        <f t="shared" si="187"/>
        <v/>
      </c>
      <c r="AN107" s="26" t="str">
        <f t="shared" ref="AN107:AS107" si="188">IF(AN100="","",AN100-AM100)</f>
        <v/>
      </c>
      <c r="AO107" s="26" t="str">
        <f t="shared" si="188"/>
        <v/>
      </c>
      <c r="AP107" s="26" t="str">
        <f t="shared" si="188"/>
        <v/>
      </c>
      <c r="AQ107" s="26" t="str">
        <f t="shared" si="188"/>
        <v/>
      </c>
      <c r="AR107" s="26" t="str">
        <f t="shared" si="188"/>
        <v/>
      </c>
      <c r="AS107" s="26" t="str">
        <f t="shared" si="188"/>
        <v/>
      </c>
    </row>
    <row r="108" spans="1:45" s="93" customFormat="1" ht="11">
      <c r="A108" s="7">
        <f>SUM(C108:AS108)</f>
        <v>8</v>
      </c>
      <c r="B108" s="27" t="s">
        <v>17</v>
      </c>
      <c r="C108" s="65">
        <v>0</v>
      </c>
      <c r="D108" s="26">
        <f t="shared" ref="D108:AM108" si="189">IF(D101="","",C101+C102-D101)</f>
        <v>0</v>
      </c>
      <c r="E108" s="26">
        <f t="shared" si="189"/>
        <v>0</v>
      </c>
      <c r="F108" s="54">
        <f t="shared" si="189"/>
        <v>0</v>
      </c>
      <c r="G108" s="26">
        <f t="shared" si="189"/>
        <v>0</v>
      </c>
      <c r="H108" s="26">
        <f t="shared" si="189"/>
        <v>3</v>
      </c>
      <c r="I108" s="54">
        <f t="shared" si="189"/>
        <v>0</v>
      </c>
      <c r="J108" s="26">
        <f t="shared" si="189"/>
        <v>0</v>
      </c>
      <c r="K108" s="26">
        <f t="shared" si="189"/>
        <v>0</v>
      </c>
      <c r="L108" s="26">
        <f t="shared" si="189"/>
        <v>2</v>
      </c>
      <c r="M108" s="26">
        <f t="shared" si="189"/>
        <v>0</v>
      </c>
      <c r="N108" s="26">
        <f t="shared" si="189"/>
        <v>0</v>
      </c>
      <c r="O108" s="26">
        <f t="shared" si="189"/>
        <v>0</v>
      </c>
      <c r="P108" s="26">
        <f t="shared" si="189"/>
        <v>0</v>
      </c>
      <c r="Q108" s="26">
        <f t="shared" si="189"/>
        <v>0</v>
      </c>
      <c r="R108" s="26">
        <f t="shared" si="189"/>
        <v>0</v>
      </c>
      <c r="S108" s="26">
        <f t="shared" si="189"/>
        <v>2</v>
      </c>
      <c r="T108" s="26">
        <f t="shared" si="189"/>
        <v>0</v>
      </c>
      <c r="U108" s="26">
        <f t="shared" si="189"/>
        <v>0</v>
      </c>
      <c r="V108" s="26">
        <f t="shared" si="189"/>
        <v>0</v>
      </c>
      <c r="W108" s="26">
        <f t="shared" si="189"/>
        <v>0</v>
      </c>
      <c r="X108" s="26">
        <f t="shared" si="189"/>
        <v>0</v>
      </c>
      <c r="Y108" s="26">
        <f t="shared" si="189"/>
        <v>0</v>
      </c>
      <c r="Z108" s="26">
        <f t="shared" si="189"/>
        <v>1</v>
      </c>
      <c r="AA108" s="26">
        <f t="shared" si="189"/>
        <v>0</v>
      </c>
      <c r="AB108" s="26">
        <f t="shared" si="189"/>
        <v>0</v>
      </c>
      <c r="AC108" s="26">
        <f t="shared" si="189"/>
        <v>0</v>
      </c>
      <c r="AD108" s="26">
        <f t="shared" si="189"/>
        <v>0</v>
      </c>
      <c r="AE108" s="26" t="str">
        <f t="shared" si="189"/>
        <v/>
      </c>
      <c r="AF108" s="26" t="str">
        <f t="shared" si="189"/>
        <v/>
      </c>
      <c r="AG108" s="26" t="str">
        <f t="shared" si="189"/>
        <v/>
      </c>
      <c r="AH108" s="26" t="str">
        <f t="shared" si="189"/>
        <v/>
      </c>
      <c r="AI108" s="26" t="str">
        <f t="shared" si="189"/>
        <v/>
      </c>
      <c r="AJ108" s="26" t="str">
        <f t="shared" si="189"/>
        <v/>
      </c>
      <c r="AK108" s="26" t="str">
        <f t="shared" si="189"/>
        <v/>
      </c>
      <c r="AL108" s="26" t="str">
        <f t="shared" si="189"/>
        <v/>
      </c>
      <c r="AM108" s="26" t="str">
        <f t="shared" si="189"/>
        <v/>
      </c>
      <c r="AN108" s="26" t="str">
        <f t="shared" ref="AN108:AS108" si="190">IF(AN101="","",AM101+AM102-AN101)</f>
        <v/>
      </c>
      <c r="AO108" s="26" t="str">
        <f t="shared" si="190"/>
        <v/>
      </c>
      <c r="AP108" s="26" t="str">
        <f t="shared" si="190"/>
        <v/>
      </c>
      <c r="AQ108" s="26" t="str">
        <f t="shared" si="190"/>
        <v/>
      </c>
      <c r="AR108" s="26" t="str">
        <f t="shared" si="190"/>
        <v/>
      </c>
      <c r="AS108" s="26" t="str">
        <f t="shared" si="190"/>
        <v/>
      </c>
    </row>
    <row r="109" spans="1:45" s="93" customFormat="1" ht="11">
      <c r="A109" s="7">
        <f>SUM(C109:AS109)</f>
        <v>1200</v>
      </c>
      <c r="B109" s="27" t="s">
        <v>18</v>
      </c>
      <c r="C109" s="65">
        <v>0</v>
      </c>
      <c r="D109" s="26">
        <f t="shared" ref="D109:AM109" si="191">IF(D99="","",D108*D103)</f>
        <v>0</v>
      </c>
      <c r="E109" s="26">
        <f t="shared" si="191"/>
        <v>0</v>
      </c>
      <c r="F109" s="54">
        <f t="shared" si="191"/>
        <v>0</v>
      </c>
      <c r="G109" s="26">
        <f t="shared" si="191"/>
        <v>0</v>
      </c>
      <c r="H109" s="26">
        <f t="shared" si="191"/>
        <v>450</v>
      </c>
      <c r="I109" s="54">
        <f t="shared" si="191"/>
        <v>0</v>
      </c>
      <c r="J109" s="26">
        <f t="shared" si="191"/>
        <v>0</v>
      </c>
      <c r="K109" s="26">
        <f t="shared" si="191"/>
        <v>0</v>
      </c>
      <c r="L109" s="26">
        <f t="shared" si="191"/>
        <v>300</v>
      </c>
      <c r="M109" s="26">
        <f t="shared" si="191"/>
        <v>0</v>
      </c>
      <c r="N109" s="26">
        <f t="shared" si="191"/>
        <v>0</v>
      </c>
      <c r="O109" s="26">
        <f t="shared" si="191"/>
        <v>0</v>
      </c>
      <c r="P109" s="26">
        <f t="shared" si="191"/>
        <v>0</v>
      </c>
      <c r="Q109" s="26">
        <f t="shared" si="191"/>
        <v>0</v>
      </c>
      <c r="R109" s="26">
        <f t="shared" si="191"/>
        <v>0</v>
      </c>
      <c r="S109" s="26">
        <f t="shared" si="191"/>
        <v>300</v>
      </c>
      <c r="T109" s="26">
        <f t="shared" si="191"/>
        <v>0</v>
      </c>
      <c r="U109" s="26">
        <f t="shared" si="191"/>
        <v>0</v>
      </c>
      <c r="V109" s="26">
        <f t="shared" si="191"/>
        <v>0</v>
      </c>
      <c r="W109" s="26">
        <f t="shared" si="191"/>
        <v>0</v>
      </c>
      <c r="X109" s="26">
        <f t="shared" si="191"/>
        <v>0</v>
      </c>
      <c r="Y109" s="26">
        <f t="shared" si="191"/>
        <v>0</v>
      </c>
      <c r="Z109" s="26">
        <f t="shared" si="191"/>
        <v>150</v>
      </c>
      <c r="AA109" s="26">
        <f t="shared" si="191"/>
        <v>0</v>
      </c>
      <c r="AB109" s="26">
        <f t="shared" si="191"/>
        <v>0</v>
      </c>
      <c r="AC109" s="26">
        <f t="shared" si="191"/>
        <v>0</v>
      </c>
      <c r="AD109" s="26">
        <f t="shared" si="191"/>
        <v>0</v>
      </c>
      <c r="AE109" s="26" t="str">
        <f t="shared" si="191"/>
        <v/>
      </c>
      <c r="AF109" s="26" t="str">
        <f t="shared" si="191"/>
        <v/>
      </c>
      <c r="AG109" s="26" t="str">
        <f t="shared" si="191"/>
        <v/>
      </c>
      <c r="AH109" s="26" t="str">
        <f t="shared" si="191"/>
        <v/>
      </c>
      <c r="AI109" s="26" t="str">
        <f t="shared" si="191"/>
        <v/>
      </c>
      <c r="AJ109" s="26" t="str">
        <f t="shared" si="191"/>
        <v/>
      </c>
      <c r="AK109" s="26" t="str">
        <f t="shared" si="191"/>
        <v/>
      </c>
      <c r="AL109" s="26" t="str">
        <f t="shared" si="191"/>
        <v/>
      </c>
      <c r="AM109" s="26" t="str">
        <f t="shared" si="191"/>
        <v/>
      </c>
      <c r="AN109" s="26" t="str">
        <f t="shared" ref="AN109:AS109" si="192">IF(AN99="","",AN108*AN103)</f>
        <v/>
      </c>
      <c r="AO109" s="26" t="str">
        <f t="shared" si="192"/>
        <v/>
      </c>
      <c r="AP109" s="26" t="str">
        <f t="shared" si="192"/>
        <v/>
      </c>
      <c r="AQ109" s="26" t="str">
        <f t="shared" si="192"/>
        <v/>
      </c>
      <c r="AR109" s="26" t="str">
        <f t="shared" si="192"/>
        <v/>
      </c>
      <c r="AS109" s="26" t="str">
        <f t="shared" si="192"/>
        <v/>
      </c>
    </row>
    <row r="110" spans="1:45" s="93" customFormat="1" ht="12" thickBot="1">
      <c r="A110" s="4">
        <f>IF(A109="","",A109/(A106*100))</f>
        <v>2.5210084033613446E-2</v>
      </c>
      <c r="B110" s="24" t="s">
        <v>20</v>
      </c>
      <c r="C110" s="67" t="s">
        <v>21</v>
      </c>
      <c r="D110" s="23" t="str">
        <f t="shared" ref="D110:AM110" si="193">IF(D109="","",IF(D109=0,"",D109/(D106*100)))</f>
        <v/>
      </c>
      <c r="E110" s="23" t="str">
        <f t="shared" si="193"/>
        <v/>
      </c>
      <c r="F110" s="52" t="str">
        <f t="shared" si="193"/>
        <v/>
      </c>
      <c r="G110" s="23" t="str">
        <f t="shared" si="193"/>
        <v/>
      </c>
      <c r="H110" s="23">
        <f t="shared" si="193"/>
        <v>3.3582089552238806E-2</v>
      </c>
      <c r="I110" s="52" t="str">
        <f t="shared" si="193"/>
        <v/>
      </c>
      <c r="J110" s="23" t="str">
        <f t="shared" si="193"/>
        <v/>
      </c>
      <c r="K110" s="23" t="str">
        <f t="shared" si="193"/>
        <v/>
      </c>
      <c r="L110" s="23">
        <f t="shared" si="193"/>
        <v>0.05</v>
      </c>
      <c r="M110" s="23" t="str">
        <f t="shared" si="193"/>
        <v/>
      </c>
      <c r="N110" s="23" t="str">
        <f t="shared" si="193"/>
        <v/>
      </c>
      <c r="O110" s="23" t="str">
        <f t="shared" si="193"/>
        <v/>
      </c>
      <c r="P110" s="23" t="str">
        <f t="shared" si="193"/>
        <v/>
      </c>
      <c r="Q110" s="23" t="str">
        <f t="shared" si="193"/>
        <v/>
      </c>
      <c r="R110" s="23" t="str">
        <f t="shared" si="193"/>
        <v/>
      </c>
      <c r="S110" s="23">
        <f t="shared" si="193"/>
        <v>9.6774193548387094E-2</v>
      </c>
      <c r="T110" s="23" t="str">
        <f t="shared" si="193"/>
        <v/>
      </c>
      <c r="U110" s="23" t="str">
        <f t="shared" si="193"/>
        <v/>
      </c>
      <c r="V110" s="23" t="str">
        <f t="shared" si="193"/>
        <v/>
      </c>
      <c r="W110" s="23" t="str">
        <f t="shared" si="193"/>
        <v/>
      </c>
      <c r="X110" s="23" t="str">
        <f t="shared" si="193"/>
        <v/>
      </c>
      <c r="Y110" s="23" t="str">
        <f t="shared" si="193"/>
        <v/>
      </c>
      <c r="Z110" s="23">
        <f t="shared" si="193"/>
        <v>4.6875E-2</v>
      </c>
      <c r="AA110" s="23" t="str">
        <f t="shared" si="193"/>
        <v/>
      </c>
      <c r="AB110" s="23" t="str">
        <f t="shared" si="193"/>
        <v/>
      </c>
      <c r="AC110" s="23" t="str">
        <f t="shared" si="193"/>
        <v/>
      </c>
      <c r="AD110" s="23" t="str">
        <f t="shared" si="193"/>
        <v/>
      </c>
      <c r="AE110" s="23" t="str">
        <f t="shared" si="193"/>
        <v/>
      </c>
      <c r="AF110" s="23" t="str">
        <f t="shared" si="193"/>
        <v/>
      </c>
      <c r="AG110" s="23" t="str">
        <f t="shared" si="193"/>
        <v/>
      </c>
      <c r="AH110" s="23" t="str">
        <f t="shared" si="193"/>
        <v/>
      </c>
      <c r="AI110" s="23" t="str">
        <f t="shared" si="193"/>
        <v/>
      </c>
      <c r="AJ110" s="23" t="str">
        <f t="shared" si="193"/>
        <v/>
      </c>
      <c r="AK110" s="23" t="str">
        <f t="shared" si="193"/>
        <v/>
      </c>
      <c r="AL110" s="23" t="str">
        <f t="shared" si="193"/>
        <v/>
      </c>
      <c r="AM110" s="23" t="str">
        <f t="shared" si="193"/>
        <v/>
      </c>
      <c r="AN110" s="23" t="str">
        <f t="shared" ref="AN110:AS110" si="194">IF(AN109="","",IF(AN109=0,"",AN109/(AN106*100)))</f>
        <v/>
      </c>
      <c r="AO110" s="23" t="str">
        <f t="shared" si="194"/>
        <v/>
      </c>
      <c r="AP110" s="23" t="str">
        <f t="shared" si="194"/>
        <v/>
      </c>
      <c r="AQ110" s="23" t="str">
        <f t="shared" si="194"/>
        <v/>
      </c>
      <c r="AR110" s="23" t="str">
        <f t="shared" si="194"/>
        <v/>
      </c>
      <c r="AS110" s="23" t="str">
        <f t="shared" si="194"/>
        <v/>
      </c>
    </row>
    <row r="111" spans="1:45" s="93" customFormat="1" ht="11">
      <c r="A111" s="40" t="s">
        <v>113</v>
      </c>
      <c r="B111" s="39" t="s">
        <v>2</v>
      </c>
      <c r="C111" s="66">
        <v>28677</v>
      </c>
      <c r="D111" s="38">
        <f>IF(D$3="","",C111)</f>
        <v>28677</v>
      </c>
      <c r="E111" s="38">
        <v>28715</v>
      </c>
      <c r="F111" s="127">
        <f>IF(F$3="","",E111)</f>
        <v>28715</v>
      </c>
      <c r="G111" s="38">
        <f>IF(G$3="","",F111)</f>
        <v>28715</v>
      </c>
      <c r="H111" s="38">
        <v>28926</v>
      </c>
      <c r="I111" s="127">
        <f t="shared" ref="I111:K112" si="195">IF(I$3="","",H111)</f>
        <v>28926</v>
      </c>
      <c r="J111" s="38">
        <f t="shared" si="195"/>
        <v>28926</v>
      </c>
      <c r="K111" s="38">
        <f t="shared" si="195"/>
        <v>28926</v>
      </c>
      <c r="L111" s="38">
        <v>28990</v>
      </c>
      <c r="M111" s="38">
        <f>IF(M$3="","",L111)</f>
        <v>28990</v>
      </c>
      <c r="N111" s="38">
        <f>IF(N$3="","",M111)</f>
        <v>28990</v>
      </c>
      <c r="O111" s="38">
        <v>29081</v>
      </c>
      <c r="P111" s="38">
        <f t="shared" ref="P111:AM111" si="196">IF(P$3="","",O111)</f>
        <v>29081</v>
      </c>
      <c r="Q111" s="38">
        <f t="shared" si="196"/>
        <v>29081</v>
      </c>
      <c r="R111" s="38">
        <f t="shared" si="196"/>
        <v>29081</v>
      </c>
      <c r="S111" s="38">
        <v>29197</v>
      </c>
      <c r="T111" s="38">
        <f t="shared" si="196"/>
        <v>29197</v>
      </c>
      <c r="U111" s="38">
        <f t="shared" si="196"/>
        <v>29197</v>
      </c>
      <c r="V111" s="38">
        <v>29306</v>
      </c>
      <c r="W111" s="38">
        <f t="shared" si="196"/>
        <v>29306</v>
      </c>
      <c r="X111" s="38">
        <f t="shared" si="196"/>
        <v>29306</v>
      </c>
      <c r="Y111" s="38">
        <f t="shared" si="196"/>
        <v>29306</v>
      </c>
      <c r="Z111" s="38">
        <v>29376</v>
      </c>
      <c r="AA111" s="38">
        <f t="shared" si="196"/>
        <v>29376</v>
      </c>
      <c r="AB111" s="38">
        <f t="shared" si="196"/>
        <v>29376</v>
      </c>
      <c r="AC111" s="38">
        <f t="shared" si="196"/>
        <v>29376</v>
      </c>
      <c r="AD111" s="38">
        <v>29443</v>
      </c>
      <c r="AE111" s="38" t="str">
        <f t="shared" si="196"/>
        <v/>
      </c>
      <c r="AF111" s="38" t="str">
        <f t="shared" si="196"/>
        <v/>
      </c>
      <c r="AG111" s="38" t="str">
        <f t="shared" si="196"/>
        <v/>
      </c>
      <c r="AH111" s="38" t="str">
        <f t="shared" si="196"/>
        <v/>
      </c>
      <c r="AI111" s="38" t="str">
        <f t="shared" si="196"/>
        <v/>
      </c>
      <c r="AJ111" s="38" t="str">
        <f t="shared" si="196"/>
        <v/>
      </c>
      <c r="AK111" s="38" t="str">
        <f t="shared" si="196"/>
        <v/>
      </c>
      <c r="AL111" s="38" t="str">
        <f t="shared" si="196"/>
        <v/>
      </c>
      <c r="AM111" s="38" t="str">
        <f t="shared" si="196"/>
        <v/>
      </c>
      <c r="AN111" s="38" t="str">
        <f t="shared" ref="AN111:AS111" si="197">IF(AN$3="","",AM111)</f>
        <v/>
      </c>
      <c r="AO111" s="38" t="str">
        <f t="shared" si="197"/>
        <v/>
      </c>
      <c r="AP111" s="38" t="str">
        <f t="shared" si="197"/>
        <v/>
      </c>
      <c r="AQ111" s="38" t="str">
        <f t="shared" si="197"/>
        <v/>
      </c>
      <c r="AR111" s="38" t="str">
        <f t="shared" si="197"/>
        <v/>
      </c>
      <c r="AS111" s="38" t="str">
        <f t="shared" si="197"/>
        <v/>
      </c>
    </row>
    <row r="112" spans="1:45" s="93" customFormat="1" ht="11">
      <c r="A112" s="37" t="s">
        <v>105</v>
      </c>
      <c r="B112" s="30" t="s">
        <v>4</v>
      </c>
      <c r="C112" s="65">
        <v>606</v>
      </c>
      <c r="D112" s="29">
        <f>IF(D$3="","",C112)</f>
        <v>606</v>
      </c>
      <c r="E112" s="29">
        <f>IF(E$3="","",D112)</f>
        <v>606</v>
      </c>
      <c r="F112" s="54">
        <f>IF(F$3="","",E112)</f>
        <v>606</v>
      </c>
      <c r="G112" s="29">
        <f>IF(G$3="","",F112)</f>
        <v>606</v>
      </c>
      <c r="H112" s="29">
        <v>612</v>
      </c>
      <c r="I112" s="54">
        <f t="shared" si="195"/>
        <v>612</v>
      </c>
      <c r="J112" s="29">
        <f t="shared" si="195"/>
        <v>612</v>
      </c>
      <c r="K112" s="29">
        <f t="shared" si="195"/>
        <v>612</v>
      </c>
      <c r="L112" s="29">
        <v>615</v>
      </c>
      <c r="M112" s="29">
        <f>IF(M$3="","",L112)</f>
        <v>615</v>
      </c>
      <c r="N112" s="29">
        <f>IF(N$3="","",M112)</f>
        <v>615</v>
      </c>
      <c r="O112" s="29">
        <v>617</v>
      </c>
      <c r="P112" s="29">
        <f t="shared" ref="P112:AM112" si="198">IF(P$3="","",O112)</f>
        <v>617</v>
      </c>
      <c r="Q112" s="29">
        <f t="shared" si="198"/>
        <v>617</v>
      </c>
      <c r="R112" s="29">
        <f t="shared" si="198"/>
        <v>617</v>
      </c>
      <c r="S112" s="29">
        <v>620</v>
      </c>
      <c r="T112" s="29">
        <f t="shared" si="198"/>
        <v>620</v>
      </c>
      <c r="U112" s="29">
        <f t="shared" si="198"/>
        <v>620</v>
      </c>
      <c r="V112" s="29">
        <v>622</v>
      </c>
      <c r="W112" s="29">
        <f t="shared" si="198"/>
        <v>622</v>
      </c>
      <c r="X112" s="29">
        <f t="shared" si="198"/>
        <v>622</v>
      </c>
      <c r="Y112" s="29">
        <f t="shared" si="198"/>
        <v>622</v>
      </c>
      <c r="Z112" s="29">
        <v>624</v>
      </c>
      <c r="AA112" s="29">
        <f t="shared" si="198"/>
        <v>624</v>
      </c>
      <c r="AB112" s="29">
        <f t="shared" si="198"/>
        <v>624</v>
      </c>
      <c r="AC112" s="29">
        <f t="shared" si="198"/>
        <v>624</v>
      </c>
      <c r="AD112" s="29">
        <v>626</v>
      </c>
      <c r="AE112" s="29" t="str">
        <f t="shared" si="198"/>
        <v/>
      </c>
      <c r="AF112" s="29" t="str">
        <f t="shared" si="198"/>
        <v/>
      </c>
      <c r="AG112" s="29" t="str">
        <f t="shared" si="198"/>
        <v/>
      </c>
      <c r="AH112" s="29" t="str">
        <f t="shared" si="198"/>
        <v/>
      </c>
      <c r="AI112" s="29" t="str">
        <f t="shared" si="198"/>
        <v/>
      </c>
      <c r="AJ112" s="29" t="str">
        <f t="shared" si="198"/>
        <v/>
      </c>
      <c r="AK112" s="29" t="str">
        <f t="shared" si="198"/>
        <v/>
      </c>
      <c r="AL112" s="29" t="str">
        <f t="shared" si="198"/>
        <v/>
      </c>
      <c r="AM112" s="29" t="str">
        <f t="shared" si="198"/>
        <v/>
      </c>
      <c r="AN112" s="29" t="str">
        <f t="shared" ref="AN112:AS112" si="199">IF(AN$3="","",AM112)</f>
        <v/>
      </c>
      <c r="AO112" s="29" t="str">
        <f t="shared" si="199"/>
        <v/>
      </c>
      <c r="AP112" s="29" t="str">
        <f t="shared" si="199"/>
        <v/>
      </c>
      <c r="AQ112" s="29" t="str">
        <f t="shared" si="199"/>
        <v/>
      </c>
      <c r="AR112" s="29" t="str">
        <f t="shared" si="199"/>
        <v/>
      </c>
      <c r="AS112" s="29" t="str">
        <f t="shared" si="199"/>
        <v/>
      </c>
    </row>
    <row r="113" spans="1:45" s="93" customFormat="1" ht="11">
      <c r="A113" s="34"/>
      <c r="B113" s="30" t="s">
        <v>5</v>
      </c>
      <c r="C113" s="65">
        <v>28</v>
      </c>
      <c r="D113" s="29">
        <f>IF(D111="","",(C113+C114))</f>
        <v>28</v>
      </c>
      <c r="E113" s="29">
        <f>IF(E111="","",(D113+D114))</f>
        <v>28</v>
      </c>
      <c r="F113" s="54">
        <f>IF(F111="","",(E113+E114))</f>
        <v>33</v>
      </c>
      <c r="G113" s="29">
        <f>IF(G111="","",(F113+F114))</f>
        <v>33</v>
      </c>
      <c r="H113" s="29">
        <v>27</v>
      </c>
      <c r="I113" s="54">
        <f t="shared" ref="I113:N113" si="200">IF(I111="","",(H113+H114))</f>
        <v>27</v>
      </c>
      <c r="J113" s="29">
        <f t="shared" si="200"/>
        <v>27</v>
      </c>
      <c r="K113" s="29">
        <f t="shared" si="200"/>
        <v>27</v>
      </c>
      <c r="L113" s="29">
        <f t="shared" si="200"/>
        <v>27</v>
      </c>
      <c r="M113" s="29">
        <f t="shared" si="200"/>
        <v>32</v>
      </c>
      <c r="N113" s="29">
        <f t="shared" si="200"/>
        <v>32</v>
      </c>
      <c r="O113" s="29">
        <v>30</v>
      </c>
      <c r="P113" s="29">
        <f t="shared" ref="P113:AM113" si="201">IF(P111="","",(O113+O114))</f>
        <v>35</v>
      </c>
      <c r="Q113" s="29">
        <f t="shared" si="201"/>
        <v>35</v>
      </c>
      <c r="R113" s="29">
        <f t="shared" si="201"/>
        <v>35</v>
      </c>
      <c r="S113" s="29">
        <v>32</v>
      </c>
      <c r="T113" s="29">
        <f t="shared" si="201"/>
        <v>32</v>
      </c>
      <c r="U113" s="29">
        <f t="shared" si="201"/>
        <v>32</v>
      </c>
      <c r="V113" s="29">
        <v>30</v>
      </c>
      <c r="W113" s="29">
        <f t="shared" si="201"/>
        <v>35</v>
      </c>
      <c r="X113" s="29">
        <f t="shared" si="201"/>
        <v>35</v>
      </c>
      <c r="Y113" s="29">
        <f t="shared" si="201"/>
        <v>35</v>
      </c>
      <c r="Z113" s="29">
        <v>33</v>
      </c>
      <c r="AA113" s="29">
        <f t="shared" si="201"/>
        <v>33</v>
      </c>
      <c r="AB113" s="29">
        <f t="shared" si="201"/>
        <v>33</v>
      </c>
      <c r="AC113" s="29">
        <f t="shared" si="201"/>
        <v>33</v>
      </c>
      <c r="AD113" s="29">
        <v>31</v>
      </c>
      <c r="AE113" s="29" t="str">
        <f t="shared" si="201"/>
        <v/>
      </c>
      <c r="AF113" s="29" t="str">
        <f t="shared" si="201"/>
        <v/>
      </c>
      <c r="AG113" s="29" t="str">
        <f t="shared" si="201"/>
        <v/>
      </c>
      <c r="AH113" s="29" t="str">
        <f t="shared" si="201"/>
        <v/>
      </c>
      <c r="AI113" s="29" t="str">
        <f t="shared" si="201"/>
        <v/>
      </c>
      <c r="AJ113" s="29" t="str">
        <f t="shared" si="201"/>
        <v/>
      </c>
      <c r="AK113" s="29" t="str">
        <f t="shared" si="201"/>
        <v/>
      </c>
      <c r="AL113" s="29" t="str">
        <f t="shared" si="201"/>
        <v/>
      </c>
      <c r="AM113" s="29" t="str">
        <f t="shared" si="201"/>
        <v/>
      </c>
      <c r="AN113" s="29" t="str">
        <f t="shared" ref="AN113:AS113" si="202">IF(AN111="","",(AM113+AM114))</f>
        <v/>
      </c>
      <c r="AO113" s="29" t="str">
        <f t="shared" si="202"/>
        <v/>
      </c>
      <c r="AP113" s="29" t="str">
        <f t="shared" si="202"/>
        <v/>
      </c>
      <c r="AQ113" s="29" t="str">
        <f t="shared" si="202"/>
        <v/>
      </c>
      <c r="AR113" s="29" t="str">
        <f t="shared" si="202"/>
        <v/>
      </c>
      <c r="AS113" s="29" t="str">
        <f t="shared" si="202"/>
        <v/>
      </c>
    </row>
    <row r="114" spans="1:45" s="93" customFormat="1" ht="11">
      <c r="A114" s="14"/>
      <c r="B114" s="30" t="s">
        <v>7</v>
      </c>
      <c r="C114" s="65"/>
      <c r="D114" s="29"/>
      <c r="E114" s="29">
        <v>5</v>
      </c>
      <c r="F114" s="54"/>
      <c r="G114" s="29"/>
      <c r="H114" s="29"/>
      <c r="I114" s="54"/>
      <c r="J114" s="29"/>
      <c r="K114" s="29"/>
      <c r="L114" s="29">
        <v>5</v>
      </c>
      <c r="M114" s="29"/>
      <c r="N114" s="29"/>
      <c r="O114" s="29">
        <v>5</v>
      </c>
      <c r="P114" s="29"/>
      <c r="Q114" s="29"/>
      <c r="R114" s="29"/>
      <c r="S114" s="29"/>
      <c r="T114" s="29"/>
      <c r="U114" s="29"/>
      <c r="V114" s="29">
        <v>5</v>
      </c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 spans="1:45" s="93" customFormat="1" ht="11">
      <c r="A115" s="7"/>
      <c r="B115" s="30" t="s">
        <v>8</v>
      </c>
      <c r="C115" s="64">
        <v>800</v>
      </c>
      <c r="D115" s="35">
        <f t="shared" ref="D115:AM115" si="203">IF(D111="","",C115)</f>
        <v>800</v>
      </c>
      <c r="E115" s="35">
        <f t="shared" si="203"/>
        <v>800</v>
      </c>
      <c r="F115" s="128">
        <f t="shared" si="203"/>
        <v>800</v>
      </c>
      <c r="G115" s="35">
        <f t="shared" si="203"/>
        <v>800</v>
      </c>
      <c r="H115" s="35">
        <f t="shared" si="203"/>
        <v>800</v>
      </c>
      <c r="I115" s="128">
        <f t="shared" si="203"/>
        <v>800</v>
      </c>
      <c r="J115" s="35">
        <f t="shared" si="203"/>
        <v>800</v>
      </c>
      <c r="K115" s="35">
        <f t="shared" si="203"/>
        <v>800</v>
      </c>
      <c r="L115" s="35">
        <f t="shared" si="203"/>
        <v>800</v>
      </c>
      <c r="M115" s="35">
        <f t="shared" si="203"/>
        <v>800</v>
      </c>
      <c r="N115" s="35">
        <f t="shared" si="203"/>
        <v>800</v>
      </c>
      <c r="O115" s="35">
        <f t="shared" si="203"/>
        <v>800</v>
      </c>
      <c r="P115" s="35">
        <f t="shared" si="203"/>
        <v>800</v>
      </c>
      <c r="Q115" s="35">
        <f t="shared" si="203"/>
        <v>800</v>
      </c>
      <c r="R115" s="35">
        <f t="shared" si="203"/>
        <v>800</v>
      </c>
      <c r="S115" s="35">
        <f t="shared" si="203"/>
        <v>800</v>
      </c>
      <c r="T115" s="35">
        <f t="shared" si="203"/>
        <v>800</v>
      </c>
      <c r="U115" s="35">
        <f t="shared" si="203"/>
        <v>800</v>
      </c>
      <c r="V115" s="35">
        <f t="shared" si="203"/>
        <v>800</v>
      </c>
      <c r="W115" s="35">
        <f t="shared" si="203"/>
        <v>800</v>
      </c>
      <c r="X115" s="35">
        <f t="shared" si="203"/>
        <v>800</v>
      </c>
      <c r="Y115" s="35">
        <f t="shared" si="203"/>
        <v>800</v>
      </c>
      <c r="Z115" s="35">
        <f t="shared" si="203"/>
        <v>800</v>
      </c>
      <c r="AA115" s="35">
        <f t="shared" si="203"/>
        <v>800</v>
      </c>
      <c r="AB115" s="35">
        <f t="shared" si="203"/>
        <v>800</v>
      </c>
      <c r="AC115" s="35">
        <f t="shared" si="203"/>
        <v>800</v>
      </c>
      <c r="AD115" s="35">
        <f t="shared" si="203"/>
        <v>800</v>
      </c>
      <c r="AE115" s="35" t="str">
        <f t="shared" si="203"/>
        <v/>
      </c>
      <c r="AF115" s="35" t="str">
        <f t="shared" si="203"/>
        <v/>
      </c>
      <c r="AG115" s="35" t="str">
        <f t="shared" si="203"/>
        <v/>
      </c>
      <c r="AH115" s="35" t="str">
        <f t="shared" si="203"/>
        <v/>
      </c>
      <c r="AI115" s="35" t="str">
        <f t="shared" si="203"/>
        <v/>
      </c>
      <c r="AJ115" s="35" t="str">
        <f t="shared" si="203"/>
        <v/>
      </c>
      <c r="AK115" s="35" t="str">
        <f t="shared" si="203"/>
        <v/>
      </c>
      <c r="AL115" s="35" t="str">
        <f t="shared" si="203"/>
        <v/>
      </c>
      <c r="AM115" s="35" t="str">
        <f t="shared" si="203"/>
        <v/>
      </c>
      <c r="AN115" s="35" t="str">
        <f t="shared" ref="AN115:AS115" si="204">IF(AN111="","",AM115)</f>
        <v/>
      </c>
      <c r="AO115" s="35" t="str">
        <f t="shared" si="204"/>
        <v/>
      </c>
      <c r="AP115" s="35" t="str">
        <f t="shared" si="204"/>
        <v/>
      </c>
      <c r="AQ115" s="35" t="str">
        <f t="shared" si="204"/>
        <v/>
      </c>
      <c r="AR115" s="35" t="str">
        <f t="shared" si="204"/>
        <v/>
      </c>
      <c r="AS115" s="35" t="str">
        <f t="shared" si="204"/>
        <v/>
      </c>
    </row>
    <row r="116" spans="1:45" s="94" customFormat="1" ht="11">
      <c r="A116" s="14" t="s">
        <v>9</v>
      </c>
      <c r="B116" s="33" t="s">
        <v>10</v>
      </c>
      <c r="C116" s="63" t="s">
        <v>73</v>
      </c>
      <c r="D116" s="32" t="str">
        <f t="shared" ref="D116:AM116" si="205">IF(D111="","",C116)</f>
        <v>サンリオ着ぐるみマスコット</v>
      </c>
      <c r="E116" s="32" t="str">
        <f t="shared" si="205"/>
        <v>サンリオ着ぐるみマスコット</v>
      </c>
      <c r="F116" s="129" t="str">
        <f t="shared" si="205"/>
        <v>サンリオ着ぐるみマスコット</v>
      </c>
      <c r="G116" s="32" t="str">
        <f t="shared" si="205"/>
        <v>サンリオ着ぐるみマスコット</v>
      </c>
      <c r="H116" s="32" t="str">
        <f t="shared" si="205"/>
        <v>サンリオ着ぐるみマスコット</v>
      </c>
      <c r="I116" s="129" t="str">
        <f t="shared" si="205"/>
        <v>サンリオ着ぐるみマスコット</v>
      </c>
      <c r="J116" s="32" t="str">
        <f t="shared" si="205"/>
        <v>サンリオ着ぐるみマスコット</v>
      </c>
      <c r="K116" s="32" t="str">
        <f t="shared" si="205"/>
        <v>サンリオ着ぐるみマスコット</v>
      </c>
      <c r="L116" s="32" t="str">
        <f t="shared" si="205"/>
        <v>サンリオ着ぐるみマスコット</v>
      </c>
      <c r="M116" s="32" t="str">
        <f t="shared" si="205"/>
        <v>サンリオ着ぐるみマスコット</v>
      </c>
      <c r="N116" s="32" t="str">
        <f t="shared" si="205"/>
        <v>サンリオ着ぐるみマスコット</v>
      </c>
      <c r="O116" s="32" t="str">
        <f t="shared" si="205"/>
        <v>サンリオ着ぐるみマスコット</v>
      </c>
      <c r="P116" s="32" t="str">
        <f t="shared" si="205"/>
        <v>サンリオ着ぐるみマスコット</v>
      </c>
      <c r="Q116" s="32" t="str">
        <f t="shared" si="205"/>
        <v>サンリオ着ぐるみマスコット</v>
      </c>
      <c r="R116" s="32" t="str">
        <f t="shared" si="205"/>
        <v>サンリオ着ぐるみマスコット</v>
      </c>
      <c r="S116" s="32" t="str">
        <f t="shared" si="205"/>
        <v>サンリオ着ぐるみマスコット</v>
      </c>
      <c r="T116" s="32" t="str">
        <f t="shared" si="205"/>
        <v>サンリオ着ぐるみマスコット</v>
      </c>
      <c r="U116" s="32" t="str">
        <f t="shared" si="205"/>
        <v>サンリオ着ぐるみマスコット</v>
      </c>
      <c r="V116" s="32" t="str">
        <f t="shared" si="205"/>
        <v>サンリオ着ぐるみマスコット</v>
      </c>
      <c r="W116" s="32" t="str">
        <f t="shared" si="205"/>
        <v>サンリオ着ぐるみマスコット</v>
      </c>
      <c r="X116" s="32" t="str">
        <f t="shared" si="205"/>
        <v>サンリオ着ぐるみマスコット</v>
      </c>
      <c r="Y116" s="32" t="str">
        <f t="shared" si="205"/>
        <v>サンリオ着ぐるみマスコット</v>
      </c>
      <c r="Z116" s="32" t="str">
        <f t="shared" si="205"/>
        <v>サンリオ着ぐるみマスコット</v>
      </c>
      <c r="AA116" s="32" t="str">
        <f t="shared" si="205"/>
        <v>サンリオ着ぐるみマスコット</v>
      </c>
      <c r="AB116" s="32" t="str">
        <f t="shared" si="205"/>
        <v>サンリオ着ぐるみマスコット</v>
      </c>
      <c r="AC116" s="32" t="str">
        <f t="shared" si="205"/>
        <v>サンリオ着ぐるみマスコット</v>
      </c>
      <c r="AD116" s="32" t="str">
        <f t="shared" si="205"/>
        <v>サンリオ着ぐるみマスコット</v>
      </c>
      <c r="AE116" s="32" t="str">
        <f t="shared" si="205"/>
        <v/>
      </c>
      <c r="AF116" s="32" t="str">
        <f t="shared" si="205"/>
        <v/>
      </c>
      <c r="AG116" s="32" t="str">
        <f t="shared" si="205"/>
        <v/>
      </c>
      <c r="AH116" s="32" t="str">
        <f t="shared" si="205"/>
        <v/>
      </c>
      <c r="AI116" s="32" t="str">
        <f t="shared" si="205"/>
        <v/>
      </c>
      <c r="AJ116" s="32" t="str">
        <f t="shared" si="205"/>
        <v/>
      </c>
      <c r="AK116" s="32" t="str">
        <f t="shared" si="205"/>
        <v/>
      </c>
      <c r="AL116" s="32" t="str">
        <f t="shared" si="205"/>
        <v/>
      </c>
      <c r="AM116" s="32" t="str">
        <f t="shared" si="205"/>
        <v/>
      </c>
      <c r="AN116" s="32" t="str">
        <f t="shared" ref="AN116:AS116" si="206">IF(AN111="","",AM116)</f>
        <v/>
      </c>
      <c r="AO116" s="32" t="str">
        <f t="shared" si="206"/>
        <v/>
      </c>
      <c r="AP116" s="32" t="str">
        <f t="shared" si="206"/>
        <v/>
      </c>
      <c r="AQ116" s="32" t="str">
        <f t="shared" si="206"/>
        <v/>
      </c>
      <c r="AR116" s="32" t="str">
        <f t="shared" si="206"/>
        <v/>
      </c>
      <c r="AS116" s="32" t="str">
        <f t="shared" si="206"/>
        <v/>
      </c>
    </row>
    <row r="117" spans="1:45" s="93" customFormat="1" ht="11">
      <c r="A117" s="7">
        <f>AVERAGE(C118:AS118)*30*100</f>
        <v>82071.42857142858</v>
      </c>
      <c r="B117" s="30" t="s">
        <v>14</v>
      </c>
      <c r="C117" s="65"/>
      <c r="D117" s="29"/>
      <c r="E117" s="29"/>
      <c r="F117" s="54"/>
      <c r="G117" s="29"/>
      <c r="H117" s="29"/>
      <c r="I117" s="54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 spans="1:45" s="93" customFormat="1" ht="11">
      <c r="A118" s="7">
        <f>SUM(C118:AS118)</f>
        <v>766</v>
      </c>
      <c r="B118" s="27" t="s">
        <v>15</v>
      </c>
      <c r="C118" s="65">
        <v>0</v>
      </c>
      <c r="D118" s="26">
        <f t="shared" ref="D118:AM118" si="207">IF(D111="","",D111-C111)</f>
        <v>0</v>
      </c>
      <c r="E118" s="26">
        <f t="shared" si="207"/>
        <v>38</v>
      </c>
      <c r="F118" s="54">
        <f t="shared" si="207"/>
        <v>0</v>
      </c>
      <c r="G118" s="26">
        <f t="shared" si="207"/>
        <v>0</v>
      </c>
      <c r="H118" s="26">
        <f t="shared" si="207"/>
        <v>211</v>
      </c>
      <c r="I118" s="54">
        <f t="shared" si="207"/>
        <v>0</v>
      </c>
      <c r="J118" s="26">
        <f t="shared" si="207"/>
        <v>0</v>
      </c>
      <c r="K118" s="26">
        <f t="shared" si="207"/>
        <v>0</v>
      </c>
      <c r="L118" s="26">
        <f t="shared" si="207"/>
        <v>64</v>
      </c>
      <c r="M118" s="26">
        <f t="shared" si="207"/>
        <v>0</v>
      </c>
      <c r="N118" s="26">
        <f t="shared" si="207"/>
        <v>0</v>
      </c>
      <c r="O118" s="26">
        <f t="shared" si="207"/>
        <v>91</v>
      </c>
      <c r="P118" s="26">
        <f t="shared" si="207"/>
        <v>0</v>
      </c>
      <c r="Q118" s="26">
        <f t="shared" si="207"/>
        <v>0</v>
      </c>
      <c r="R118" s="26">
        <f t="shared" si="207"/>
        <v>0</v>
      </c>
      <c r="S118" s="26">
        <f t="shared" si="207"/>
        <v>116</v>
      </c>
      <c r="T118" s="26">
        <f t="shared" si="207"/>
        <v>0</v>
      </c>
      <c r="U118" s="26">
        <f t="shared" si="207"/>
        <v>0</v>
      </c>
      <c r="V118" s="26">
        <f t="shared" si="207"/>
        <v>109</v>
      </c>
      <c r="W118" s="26">
        <f t="shared" si="207"/>
        <v>0</v>
      </c>
      <c r="X118" s="26">
        <f t="shared" si="207"/>
        <v>0</v>
      </c>
      <c r="Y118" s="26">
        <f t="shared" si="207"/>
        <v>0</v>
      </c>
      <c r="Z118" s="26">
        <f t="shared" si="207"/>
        <v>70</v>
      </c>
      <c r="AA118" s="26">
        <f t="shared" si="207"/>
        <v>0</v>
      </c>
      <c r="AB118" s="26">
        <f t="shared" si="207"/>
        <v>0</v>
      </c>
      <c r="AC118" s="26">
        <f t="shared" si="207"/>
        <v>0</v>
      </c>
      <c r="AD118" s="26">
        <f t="shared" si="207"/>
        <v>67</v>
      </c>
      <c r="AE118" s="26" t="str">
        <f t="shared" si="207"/>
        <v/>
      </c>
      <c r="AF118" s="26" t="str">
        <f t="shared" si="207"/>
        <v/>
      </c>
      <c r="AG118" s="26" t="str">
        <f t="shared" si="207"/>
        <v/>
      </c>
      <c r="AH118" s="26" t="str">
        <f t="shared" si="207"/>
        <v/>
      </c>
      <c r="AI118" s="26" t="str">
        <f t="shared" si="207"/>
        <v/>
      </c>
      <c r="AJ118" s="26" t="str">
        <f t="shared" si="207"/>
        <v/>
      </c>
      <c r="AK118" s="26" t="str">
        <f t="shared" si="207"/>
        <v/>
      </c>
      <c r="AL118" s="26" t="str">
        <f t="shared" si="207"/>
        <v/>
      </c>
      <c r="AM118" s="26" t="str">
        <f t="shared" si="207"/>
        <v/>
      </c>
      <c r="AN118" s="26" t="str">
        <f t="shared" ref="AN118:AS118" si="208">IF(AN111="","",AN111-AM111)</f>
        <v/>
      </c>
      <c r="AO118" s="26" t="str">
        <f t="shared" si="208"/>
        <v/>
      </c>
      <c r="AP118" s="26" t="str">
        <f t="shared" si="208"/>
        <v/>
      </c>
      <c r="AQ118" s="26" t="str">
        <f t="shared" si="208"/>
        <v/>
      </c>
      <c r="AR118" s="26" t="str">
        <f t="shared" si="208"/>
        <v/>
      </c>
      <c r="AS118" s="26" t="str">
        <f t="shared" si="208"/>
        <v/>
      </c>
    </row>
    <row r="119" spans="1:45" s="93" customFormat="1" ht="11">
      <c r="A119" s="7">
        <f>SUM(C119:AS119)</f>
        <v>20</v>
      </c>
      <c r="B119" s="27" t="s">
        <v>16</v>
      </c>
      <c r="C119" s="65">
        <v>0</v>
      </c>
      <c r="D119" s="26">
        <f t="shared" ref="D119:AM119" si="209">IF(D112="","",D112-C112)</f>
        <v>0</v>
      </c>
      <c r="E119" s="26">
        <f t="shared" si="209"/>
        <v>0</v>
      </c>
      <c r="F119" s="54">
        <f t="shared" si="209"/>
        <v>0</v>
      </c>
      <c r="G119" s="26">
        <f t="shared" si="209"/>
        <v>0</v>
      </c>
      <c r="H119" s="26">
        <f t="shared" si="209"/>
        <v>6</v>
      </c>
      <c r="I119" s="54">
        <f t="shared" si="209"/>
        <v>0</v>
      </c>
      <c r="J119" s="26">
        <f t="shared" si="209"/>
        <v>0</v>
      </c>
      <c r="K119" s="26">
        <f t="shared" si="209"/>
        <v>0</v>
      </c>
      <c r="L119" s="26">
        <f t="shared" si="209"/>
        <v>3</v>
      </c>
      <c r="M119" s="26">
        <f t="shared" si="209"/>
        <v>0</v>
      </c>
      <c r="N119" s="26">
        <f t="shared" si="209"/>
        <v>0</v>
      </c>
      <c r="O119" s="26">
        <f t="shared" si="209"/>
        <v>2</v>
      </c>
      <c r="P119" s="26">
        <f t="shared" si="209"/>
        <v>0</v>
      </c>
      <c r="Q119" s="26">
        <f t="shared" si="209"/>
        <v>0</v>
      </c>
      <c r="R119" s="26">
        <f t="shared" si="209"/>
        <v>0</v>
      </c>
      <c r="S119" s="26">
        <f t="shared" si="209"/>
        <v>3</v>
      </c>
      <c r="T119" s="26">
        <f t="shared" si="209"/>
        <v>0</v>
      </c>
      <c r="U119" s="26">
        <f t="shared" si="209"/>
        <v>0</v>
      </c>
      <c r="V119" s="26">
        <f t="shared" si="209"/>
        <v>2</v>
      </c>
      <c r="W119" s="26">
        <f t="shared" si="209"/>
        <v>0</v>
      </c>
      <c r="X119" s="26">
        <f t="shared" si="209"/>
        <v>0</v>
      </c>
      <c r="Y119" s="26">
        <f t="shared" si="209"/>
        <v>0</v>
      </c>
      <c r="Z119" s="26">
        <f t="shared" si="209"/>
        <v>2</v>
      </c>
      <c r="AA119" s="26">
        <f t="shared" si="209"/>
        <v>0</v>
      </c>
      <c r="AB119" s="26">
        <f t="shared" si="209"/>
        <v>0</v>
      </c>
      <c r="AC119" s="26">
        <f t="shared" si="209"/>
        <v>0</v>
      </c>
      <c r="AD119" s="26">
        <f t="shared" si="209"/>
        <v>2</v>
      </c>
      <c r="AE119" s="26" t="str">
        <f t="shared" si="209"/>
        <v/>
      </c>
      <c r="AF119" s="26" t="str">
        <f t="shared" si="209"/>
        <v/>
      </c>
      <c r="AG119" s="26" t="str">
        <f t="shared" si="209"/>
        <v/>
      </c>
      <c r="AH119" s="26" t="str">
        <f t="shared" si="209"/>
        <v/>
      </c>
      <c r="AI119" s="26" t="str">
        <f t="shared" si="209"/>
        <v/>
      </c>
      <c r="AJ119" s="26" t="str">
        <f t="shared" si="209"/>
        <v/>
      </c>
      <c r="AK119" s="26" t="str">
        <f t="shared" si="209"/>
        <v/>
      </c>
      <c r="AL119" s="26" t="str">
        <f t="shared" si="209"/>
        <v/>
      </c>
      <c r="AM119" s="26" t="str">
        <f t="shared" si="209"/>
        <v/>
      </c>
      <c r="AN119" s="26" t="str">
        <f t="shared" ref="AN119:AS119" si="210">IF(AN112="","",AN112-AM112)</f>
        <v/>
      </c>
      <c r="AO119" s="26" t="str">
        <f t="shared" si="210"/>
        <v/>
      </c>
      <c r="AP119" s="26" t="str">
        <f t="shared" si="210"/>
        <v/>
      </c>
      <c r="AQ119" s="26" t="str">
        <f t="shared" si="210"/>
        <v/>
      </c>
      <c r="AR119" s="26" t="str">
        <f t="shared" si="210"/>
        <v/>
      </c>
      <c r="AS119" s="26" t="str">
        <f t="shared" si="210"/>
        <v/>
      </c>
    </row>
    <row r="120" spans="1:45" s="93" customFormat="1" ht="11">
      <c r="A120" s="7">
        <f>SUM(C120:AS120)</f>
        <v>17</v>
      </c>
      <c r="B120" s="27" t="s">
        <v>17</v>
      </c>
      <c r="C120" s="65">
        <v>0</v>
      </c>
      <c r="D120" s="26">
        <f t="shared" ref="D120:AM120" si="211">IF(D113="","",C113+C114-D113)</f>
        <v>0</v>
      </c>
      <c r="E120" s="26">
        <f t="shared" si="211"/>
        <v>0</v>
      </c>
      <c r="F120" s="54">
        <f t="shared" si="211"/>
        <v>0</v>
      </c>
      <c r="G120" s="26">
        <f t="shared" si="211"/>
        <v>0</v>
      </c>
      <c r="H120" s="26">
        <f t="shared" si="211"/>
        <v>6</v>
      </c>
      <c r="I120" s="54">
        <f t="shared" si="211"/>
        <v>0</v>
      </c>
      <c r="J120" s="26">
        <f t="shared" si="211"/>
        <v>0</v>
      </c>
      <c r="K120" s="26">
        <f t="shared" si="211"/>
        <v>0</v>
      </c>
      <c r="L120" s="26">
        <f t="shared" si="211"/>
        <v>0</v>
      </c>
      <c r="M120" s="26">
        <f t="shared" si="211"/>
        <v>0</v>
      </c>
      <c r="N120" s="26">
        <f t="shared" si="211"/>
        <v>0</v>
      </c>
      <c r="O120" s="26">
        <f t="shared" si="211"/>
        <v>2</v>
      </c>
      <c r="P120" s="26">
        <f t="shared" si="211"/>
        <v>0</v>
      </c>
      <c r="Q120" s="26">
        <f t="shared" si="211"/>
        <v>0</v>
      </c>
      <c r="R120" s="26">
        <f t="shared" si="211"/>
        <v>0</v>
      </c>
      <c r="S120" s="26">
        <f t="shared" si="211"/>
        <v>3</v>
      </c>
      <c r="T120" s="26">
        <f t="shared" si="211"/>
        <v>0</v>
      </c>
      <c r="U120" s="26">
        <f t="shared" si="211"/>
        <v>0</v>
      </c>
      <c r="V120" s="26">
        <f t="shared" si="211"/>
        <v>2</v>
      </c>
      <c r="W120" s="26">
        <f t="shared" si="211"/>
        <v>0</v>
      </c>
      <c r="X120" s="26">
        <f t="shared" si="211"/>
        <v>0</v>
      </c>
      <c r="Y120" s="26">
        <f t="shared" si="211"/>
        <v>0</v>
      </c>
      <c r="Z120" s="26">
        <f t="shared" si="211"/>
        <v>2</v>
      </c>
      <c r="AA120" s="26">
        <f t="shared" si="211"/>
        <v>0</v>
      </c>
      <c r="AB120" s="26">
        <f t="shared" si="211"/>
        <v>0</v>
      </c>
      <c r="AC120" s="26">
        <f t="shared" si="211"/>
        <v>0</v>
      </c>
      <c r="AD120" s="26">
        <f t="shared" si="211"/>
        <v>2</v>
      </c>
      <c r="AE120" s="26" t="str">
        <f t="shared" si="211"/>
        <v/>
      </c>
      <c r="AF120" s="26" t="str">
        <f t="shared" si="211"/>
        <v/>
      </c>
      <c r="AG120" s="26" t="str">
        <f t="shared" si="211"/>
        <v/>
      </c>
      <c r="AH120" s="26" t="str">
        <f t="shared" si="211"/>
        <v/>
      </c>
      <c r="AI120" s="26" t="str">
        <f t="shared" si="211"/>
        <v/>
      </c>
      <c r="AJ120" s="26" t="str">
        <f t="shared" si="211"/>
        <v/>
      </c>
      <c r="AK120" s="26" t="str">
        <f t="shared" si="211"/>
        <v/>
      </c>
      <c r="AL120" s="26" t="str">
        <f t="shared" si="211"/>
        <v/>
      </c>
      <c r="AM120" s="26" t="str">
        <f t="shared" si="211"/>
        <v/>
      </c>
      <c r="AN120" s="26" t="str">
        <f t="shared" ref="AN120:AS120" si="212">IF(AN113="","",AM113+AM114-AN113)</f>
        <v/>
      </c>
      <c r="AO120" s="26" t="str">
        <f t="shared" si="212"/>
        <v/>
      </c>
      <c r="AP120" s="26" t="str">
        <f t="shared" si="212"/>
        <v/>
      </c>
      <c r="AQ120" s="26" t="str">
        <f t="shared" si="212"/>
        <v/>
      </c>
      <c r="AR120" s="26" t="str">
        <f t="shared" si="212"/>
        <v/>
      </c>
      <c r="AS120" s="26" t="str">
        <f t="shared" si="212"/>
        <v/>
      </c>
    </row>
    <row r="121" spans="1:45" s="93" customFormat="1" ht="11">
      <c r="A121" s="7">
        <f>SUM(C121:AS121)</f>
        <v>13600</v>
      </c>
      <c r="B121" s="27" t="s">
        <v>18</v>
      </c>
      <c r="C121" s="65">
        <v>0</v>
      </c>
      <c r="D121" s="26">
        <f t="shared" ref="D121:AM121" si="213">IF(D111="","",D120*D115)</f>
        <v>0</v>
      </c>
      <c r="E121" s="26">
        <f t="shared" si="213"/>
        <v>0</v>
      </c>
      <c r="F121" s="54">
        <f t="shared" si="213"/>
        <v>0</v>
      </c>
      <c r="G121" s="26">
        <f t="shared" si="213"/>
        <v>0</v>
      </c>
      <c r="H121" s="26">
        <f t="shared" si="213"/>
        <v>4800</v>
      </c>
      <c r="I121" s="54">
        <f t="shared" si="213"/>
        <v>0</v>
      </c>
      <c r="J121" s="26">
        <f t="shared" si="213"/>
        <v>0</v>
      </c>
      <c r="K121" s="26">
        <f t="shared" si="213"/>
        <v>0</v>
      </c>
      <c r="L121" s="26">
        <f t="shared" si="213"/>
        <v>0</v>
      </c>
      <c r="M121" s="26">
        <f t="shared" si="213"/>
        <v>0</v>
      </c>
      <c r="N121" s="26">
        <f t="shared" si="213"/>
        <v>0</v>
      </c>
      <c r="O121" s="26">
        <f t="shared" si="213"/>
        <v>1600</v>
      </c>
      <c r="P121" s="26">
        <f t="shared" si="213"/>
        <v>0</v>
      </c>
      <c r="Q121" s="26">
        <f t="shared" si="213"/>
        <v>0</v>
      </c>
      <c r="R121" s="26">
        <f t="shared" si="213"/>
        <v>0</v>
      </c>
      <c r="S121" s="26">
        <f t="shared" si="213"/>
        <v>2400</v>
      </c>
      <c r="T121" s="26">
        <f t="shared" si="213"/>
        <v>0</v>
      </c>
      <c r="U121" s="26">
        <f t="shared" si="213"/>
        <v>0</v>
      </c>
      <c r="V121" s="26">
        <f t="shared" si="213"/>
        <v>1600</v>
      </c>
      <c r="W121" s="26">
        <f t="shared" si="213"/>
        <v>0</v>
      </c>
      <c r="X121" s="26">
        <f t="shared" si="213"/>
        <v>0</v>
      </c>
      <c r="Y121" s="26">
        <f t="shared" si="213"/>
        <v>0</v>
      </c>
      <c r="Z121" s="26">
        <f t="shared" si="213"/>
        <v>1600</v>
      </c>
      <c r="AA121" s="26">
        <f t="shared" si="213"/>
        <v>0</v>
      </c>
      <c r="AB121" s="26">
        <f t="shared" si="213"/>
        <v>0</v>
      </c>
      <c r="AC121" s="26">
        <f t="shared" si="213"/>
        <v>0</v>
      </c>
      <c r="AD121" s="26">
        <f t="shared" si="213"/>
        <v>1600</v>
      </c>
      <c r="AE121" s="26" t="str">
        <f t="shared" si="213"/>
        <v/>
      </c>
      <c r="AF121" s="26" t="str">
        <f t="shared" si="213"/>
        <v/>
      </c>
      <c r="AG121" s="26" t="str">
        <f t="shared" si="213"/>
        <v/>
      </c>
      <c r="AH121" s="26" t="str">
        <f t="shared" si="213"/>
        <v/>
      </c>
      <c r="AI121" s="26" t="str">
        <f t="shared" si="213"/>
        <v/>
      </c>
      <c r="AJ121" s="26" t="str">
        <f t="shared" si="213"/>
        <v/>
      </c>
      <c r="AK121" s="26" t="str">
        <f t="shared" si="213"/>
        <v/>
      </c>
      <c r="AL121" s="26" t="str">
        <f t="shared" si="213"/>
        <v/>
      </c>
      <c r="AM121" s="26" t="str">
        <f t="shared" si="213"/>
        <v/>
      </c>
      <c r="AN121" s="26" t="str">
        <f t="shared" ref="AN121:AS121" si="214">IF(AN111="","",AN120*AN115)</f>
        <v/>
      </c>
      <c r="AO121" s="26" t="str">
        <f t="shared" si="214"/>
        <v/>
      </c>
      <c r="AP121" s="26" t="str">
        <f t="shared" si="214"/>
        <v/>
      </c>
      <c r="AQ121" s="26" t="str">
        <f t="shared" si="214"/>
        <v/>
      </c>
      <c r="AR121" s="26" t="str">
        <f t="shared" si="214"/>
        <v/>
      </c>
      <c r="AS121" s="26" t="str">
        <f t="shared" si="214"/>
        <v/>
      </c>
    </row>
    <row r="122" spans="1:45" s="93" customFormat="1" ht="12" thickBot="1">
      <c r="A122" s="4">
        <f>IF(A121="","",A121/(A118*100))</f>
        <v>0.17754569190600522</v>
      </c>
      <c r="B122" s="24" t="s">
        <v>20</v>
      </c>
      <c r="C122" s="67" t="s">
        <v>21</v>
      </c>
      <c r="D122" s="23" t="str">
        <f t="shared" ref="D122:AM122" si="215">IF(D121="","",IF(D121=0,"",D121/(D118*100)))</f>
        <v/>
      </c>
      <c r="E122" s="23" t="str">
        <f t="shared" si="215"/>
        <v/>
      </c>
      <c r="F122" s="52" t="str">
        <f t="shared" si="215"/>
        <v/>
      </c>
      <c r="G122" s="23" t="str">
        <f t="shared" si="215"/>
        <v/>
      </c>
      <c r="H122" s="23">
        <f t="shared" si="215"/>
        <v>0.22748815165876776</v>
      </c>
      <c r="I122" s="52" t="str">
        <f t="shared" si="215"/>
        <v/>
      </c>
      <c r="J122" s="23" t="str">
        <f t="shared" si="215"/>
        <v/>
      </c>
      <c r="K122" s="23" t="str">
        <f t="shared" si="215"/>
        <v/>
      </c>
      <c r="L122" s="23" t="str">
        <f t="shared" si="215"/>
        <v/>
      </c>
      <c r="M122" s="23" t="str">
        <f t="shared" si="215"/>
        <v/>
      </c>
      <c r="N122" s="23" t="str">
        <f t="shared" si="215"/>
        <v/>
      </c>
      <c r="O122" s="23">
        <f t="shared" si="215"/>
        <v>0.17582417582417584</v>
      </c>
      <c r="P122" s="23" t="str">
        <f t="shared" si="215"/>
        <v/>
      </c>
      <c r="Q122" s="23" t="str">
        <f t="shared" si="215"/>
        <v/>
      </c>
      <c r="R122" s="23" t="str">
        <f t="shared" si="215"/>
        <v/>
      </c>
      <c r="S122" s="23">
        <f t="shared" si="215"/>
        <v>0.20689655172413793</v>
      </c>
      <c r="T122" s="23" t="str">
        <f t="shared" si="215"/>
        <v/>
      </c>
      <c r="U122" s="23" t="str">
        <f t="shared" si="215"/>
        <v/>
      </c>
      <c r="V122" s="23">
        <f t="shared" si="215"/>
        <v>0.14678899082568808</v>
      </c>
      <c r="W122" s="23" t="str">
        <f t="shared" si="215"/>
        <v/>
      </c>
      <c r="X122" s="23" t="str">
        <f t="shared" si="215"/>
        <v/>
      </c>
      <c r="Y122" s="23" t="str">
        <f t="shared" si="215"/>
        <v/>
      </c>
      <c r="Z122" s="23">
        <f t="shared" si="215"/>
        <v>0.22857142857142856</v>
      </c>
      <c r="AA122" s="23" t="str">
        <f t="shared" si="215"/>
        <v/>
      </c>
      <c r="AB122" s="23" t="str">
        <f t="shared" si="215"/>
        <v/>
      </c>
      <c r="AC122" s="23" t="str">
        <f t="shared" si="215"/>
        <v/>
      </c>
      <c r="AD122" s="23">
        <f t="shared" si="215"/>
        <v>0.23880597014925373</v>
      </c>
      <c r="AE122" s="23" t="str">
        <f t="shared" si="215"/>
        <v/>
      </c>
      <c r="AF122" s="23" t="str">
        <f t="shared" si="215"/>
        <v/>
      </c>
      <c r="AG122" s="23" t="str">
        <f t="shared" si="215"/>
        <v/>
      </c>
      <c r="AH122" s="23" t="str">
        <f t="shared" si="215"/>
        <v/>
      </c>
      <c r="AI122" s="23" t="str">
        <f t="shared" si="215"/>
        <v/>
      </c>
      <c r="AJ122" s="23" t="str">
        <f t="shared" si="215"/>
        <v/>
      </c>
      <c r="AK122" s="23" t="str">
        <f t="shared" si="215"/>
        <v/>
      </c>
      <c r="AL122" s="23" t="str">
        <f t="shared" si="215"/>
        <v/>
      </c>
      <c r="AM122" s="23" t="str">
        <f t="shared" si="215"/>
        <v/>
      </c>
      <c r="AN122" s="23" t="str">
        <f t="shared" ref="AN122:AS122" si="216">IF(AN121="","",IF(AN121=0,"",AN121/(AN118*100)))</f>
        <v/>
      </c>
      <c r="AO122" s="23" t="str">
        <f t="shared" si="216"/>
        <v/>
      </c>
      <c r="AP122" s="23" t="str">
        <f t="shared" si="216"/>
        <v/>
      </c>
      <c r="AQ122" s="23" t="str">
        <f t="shared" si="216"/>
        <v/>
      </c>
      <c r="AR122" s="23" t="str">
        <f t="shared" si="216"/>
        <v/>
      </c>
      <c r="AS122" s="23" t="str">
        <f t="shared" si="216"/>
        <v/>
      </c>
    </row>
    <row r="123" spans="1:45" s="93" customFormat="1" ht="11">
      <c r="A123" s="40" t="s">
        <v>113</v>
      </c>
      <c r="B123" s="39" t="s">
        <v>2</v>
      </c>
      <c r="C123" s="66">
        <v>27639</v>
      </c>
      <c r="D123" s="38">
        <f>IF(D$3="","",C123)</f>
        <v>27639</v>
      </c>
      <c r="E123" s="38">
        <v>27721</v>
      </c>
      <c r="F123" s="127">
        <f>IF(F$3="","",E123)</f>
        <v>27721</v>
      </c>
      <c r="G123" s="38">
        <f>IF(G$3="","",F123)</f>
        <v>27721</v>
      </c>
      <c r="H123" s="38">
        <v>27852</v>
      </c>
      <c r="I123" s="127">
        <f t="shared" ref="I123:K124" si="217">IF(I$3="","",H123)</f>
        <v>27852</v>
      </c>
      <c r="J123" s="38">
        <f t="shared" si="217"/>
        <v>27852</v>
      </c>
      <c r="K123" s="38">
        <f t="shared" si="217"/>
        <v>27852</v>
      </c>
      <c r="L123" s="38">
        <v>28072</v>
      </c>
      <c r="M123" s="38">
        <f>IF(M$3="","",L123)</f>
        <v>28072</v>
      </c>
      <c r="N123" s="38">
        <f>IF(N$3="","",M123)</f>
        <v>28072</v>
      </c>
      <c r="O123" s="38">
        <v>28234</v>
      </c>
      <c r="P123" s="38">
        <f t="shared" ref="P123:AM123" si="218">IF(P$3="","",O123)</f>
        <v>28234</v>
      </c>
      <c r="Q123" s="38">
        <f t="shared" si="218"/>
        <v>28234</v>
      </c>
      <c r="R123" s="38">
        <f t="shared" si="218"/>
        <v>28234</v>
      </c>
      <c r="S123" s="38">
        <v>28399</v>
      </c>
      <c r="T123" s="38">
        <f t="shared" si="218"/>
        <v>28399</v>
      </c>
      <c r="U123" s="38">
        <f t="shared" si="218"/>
        <v>28399</v>
      </c>
      <c r="V123" s="38">
        <v>28603</v>
      </c>
      <c r="W123" s="38">
        <f t="shared" si="218"/>
        <v>28603</v>
      </c>
      <c r="X123" s="38">
        <f t="shared" si="218"/>
        <v>28603</v>
      </c>
      <c r="Y123" s="38">
        <f t="shared" si="218"/>
        <v>28603</v>
      </c>
      <c r="Z123" s="38">
        <v>28702</v>
      </c>
      <c r="AA123" s="38">
        <f t="shared" si="218"/>
        <v>28702</v>
      </c>
      <c r="AB123" s="38">
        <f t="shared" si="218"/>
        <v>28702</v>
      </c>
      <c r="AC123" s="38">
        <f t="shared" si="218"/>
        <v>28702</v>
      </c>
      <c r="AD123" s="38">
        <v>28886</v>
      </c>
      <c r="AE123" s="38" t="str">
        <f t="shared" si="218"/>
        <v/>
      </c>
      <c r="AF123" s="38" t="str">
        <f t="shared" si="218"/>
        <v/>
      </c>
      <c r="AG123" s="38" t="str">
        <f t="shared" si="218"/>
        <v/>
      </c>
      <c r="AH123" s="38" t="str">
        <f t="shared" si="218"/>
        <v/>
      </c>
      <c r="AI123" s="38" t="str">
        <f t="shared" si="218"/>
        <v/>
      </c>
      <c r="AJ123" s="38" t="str">
        <f t="shared" si="218"/>
        <v/>
      </c>
      <c r="AK123" s="38" t="str">
        <f t="shared" si="218"/>
        <v/>
      </c>
      <c r="AL123" s="38" t="str">
        <f t="shared" si="218"/>
        <v/>
      </c>
      <c r="AM123" s="38" t="str">
        <f t="shared" si="218"/>
        <v/>
      </c>
      <c r="AN123" s="38" t="str">
        <f t="shared" ref="AN123:AS123" si="219">IF(AN$3="","",AM123)</f>
        <v/>
      </c>
      <c r="AO123" s="38" t="str">
        <f t="shared" si="219"/>
        <v/>
      </c>
      <c r="AP123" s="38" t="str">
        <f t="shared" si="219"/>
        <v/>
      </c>
      <c r="AQ123" s="38" t="str">
        <f t="shared" si="219"/>
        <v/>
      </c>
      <c r="AR123" s="38" t="str">
        <f t="shared" si="219"/>
        <v/>
      </c>
      <c r="AS123" s="38" t="str">
        <f t="shared" si="219"/>
        <v/>
      </c>
    </row>
    <row r="124" spans="1:45" s="93" customFormat="1" ht="11">
      <c r="A124" s="37" t="s">
        <v>121</v>
      </c>
      <c r="B124" s="30" t="s">
        <v>4</v>
      </c>
      <c r="C124" s="65">
        <v>1293</v>
      </c>
      <c r="D124" s="29">
        <f>IF(D$3="","",C124)</f>
        <v>1293</v>
      </c>
      <c r="E124" s="29">
        <v>1294</v>
      </c>
      <c r="F124" s="54">
        <f>IF(F$3="","",E124)</f>
        <v>1294</v>
      </c>
      <c r="G124" s="29">
        <f>IF(G$3="","",F124)</f>
        <v>1294</v>
      </c>
      <c r="H124" s="29">
        <v>1295</v>
      </c>
      <c r="I124" s="54">
        <f t="shared" si="217"/>
        <v>1295</v>
      </c>
      <c r="J124" s="29">
        <f t="shared" si="217"/>
        <v>1295</v>
      </c>
      <c r="K124" s="29">
        <f t="shared" si="217"/>
        <v>1295</v>
      </c>
      <c r="L124" s="29">
        <v>1297</v>
      </c>
      <c r="M124" s="29">
        <f>IF(M$3="","",L124)</f>
        <v>1297</v>
      </c>
      <c r="N124" s="29">
        <f>IF(N$3="","",M124)</f>
        <v>1297</v>
      </c>
      <c r="O124" s="29">
        <v>1300</v>
      </c>
      <c r="P124" s="29">
        <f t="shared" ref="P124:AM124" si="220">IF(P$3="","",O124)</f>
        <v>1300</v>
      </c>
      <c r="Q124" s="29">
        <f t="shared" si="220"/>
        <v>1300</v>
      </c>
      <c r="R124" s="29">
        <f t="shared" si="220"/>
        <v>1300</v>
      </c>
      <c r="S124" s="29">
        <v>1306</v>
      </c>
      <c r="T124" s="29">
        <f t="shared" si="220"/>
        <v>1306</v>
      </c>
      <c r="U124" s="29">
        <f t="shared" si="220"/>
        <v>1306</v>
      </c>
      <c r="V124" s="29">
        <v>1309</v>
      </c>
      <c r="W124" s="29">
        <f t="shared" si="220"/>
        <v>1309</v>
      </c>
      <c r="X124" s="29">
        <f t="shared" si="220"/>
        <v>1309</v>
      </c>
      <c r="Y124" s="29">
        <f t="shared" si="220"/>
        <v>1309</v>
      </c>
      <c r="Z124" s="29">
        <v>1311</v>
      </c>
      <c r="AA124" s="29">
        <f t="shared" si="220"/>
        <v>1311</v>
      </c>
      <c r="AB124" s="29">
        <f t="shared" si="220"/>
        <v>1311</v>
      </c>
      <c r="AC124" s="29">
        <f t="shared" si="220"/>
        <v>1311</v>
      </c>
      <c r="AD124" s="29">
        <v>1316</v>
      </c>
      <c r="AE124" s="29" t="str">
        <f t="shared" si="220"/>
        <v/>
      </c>
      <c r="AF124" s="29" t="str">
        <f t="shared" si="220"/>
        <v/>
      </c>
      <c r="AG124" s="29" t="str">
        <f t="shared" si="220"/>
        <v/>
      </c>
      <c r="AH124" s="29" t="str">
        <f t="shared" si="220"/>
        <v/>
      </c>
      <c r="AI124" s="29" t="str">
        <f t="shared" si="220"/>
        <v/>
      </c>
      <c r="AJ124" s="29" t="str">
        <f t="shared" si="220"/>
        <v/>
      </c>
      <c r="AK124" s="29" t="str">
        <f t="shared" si="220"/>
        <v/>
      </c>
      <c r="AL124" s="29" t="str">
        <f t="shared" si="220"/>
        <v/>
      </c>
      <c r="AM124" s="29" t="str">
        <f t="shared" si="220"/>
        <v/>
      </c>
      <c r="AN124" s="29" t="str">
        <f t="shared" ref="AN124:AS124" si="221">IF(AN$3="","",AM124)</f>
        <v/>
      </c>
      <c r="AO124" s="29" t="str">
        <f t="shared" si="221"/>
        <v/>
      </c>
      <c r="AP124" s="29" t="str">
        <f t="shared" si="221"/>
        <v/>
      </c>
      <c r="AQ124" s="29" t="str">
        <f t="shared" si="221"/>
        <v/>
      </c>
      <c r="AR124" s="29" t="str">
        <f t="shared" si="221"/>
        <v/>
      </c>
      <c r="AS124" s="29" t="str">
        <f t="shared" si="221"/>
        <v/>
      </c>
    </row>
    <row r="125" spans="1:45" s="93" customFormat="1" ht="11">
      <c r="A125" s="34"/>
      <c r="B125" s="30" t="s">
        <v>5</v>
      </c>
      <c r="C125" s="65">
        <v>16</v>
      </c>
      <c r="D125" s="29">
        <f>IF(D123="","",(C125+C126))</f>
        <v>16</v>
      </c>
      <c r="E125" s="29">
        <v>15</v>
      </c>
      <c r="F125" s="54">
        <f>IF(F123="","",(E125+E126))</f>
        <v>15</v>
      </c>
      <c r="G125" s="29">
        <f>IF(G123="","",(F125+F126))</f>
        <v>15</v>
      </c>
      <c r="H125" s="29">
        <v>14</v>
      </c>
      <c r="I125" s="54">
        <f>IF(I123="","",(H125+H126))</f>
        <v>14</v>
      </c>
      <c r="J125" s="29">
        <f>IF(J123="","",(I125+I126))</f>
        <v>14</v>
      </c>
      <c r="K125" s="29">
        <f>IF(K123="","",(J125+J126))</f>
        <v>14</v>
      </c>
      <c r="L125" s="29">
        <v>12</v>
      </c>
      <c r="M125" s="29">
        <f>IF(M123="","",(L125+L126))</f>
        <v>18</v>
      </c>
      <c r="N125" s="29">
        <f>IF(N123="","",(M125+M126))</f>
        <v>18</v>
      </c>
      <c r="O125" s="29">
        <v>15</v>
      </c>
      <c r="P125" s="29">
        <f t="shared" ref="P125:AM125" si="222">IF(P123="","",(O125+O126))</f>
        <v>27</v>
      </c>
      <c r="Q125" s="29">
        <f t="shared" si="222"/>
        <v>27</v>
      </c>
      <c r="R125" s="29">
        <f t="shared" si="222"/>
        <v>27</v>
      </c>
      <c r="S125" s="29">
        <v>21</v>
      </c>
      <c r="T125" s="29">
        <f t="shared" si="222"/>
        <v>21</v>
      </c>
      <c r="U125" s="29">
        <f t="shared" si="222"/>
        <v>21</v>
      </c>
      <c r="V125" s="29">
        <v>18</v>
      </c>
      <c r="W125" s="29">
        <f t="shared" si="222"/>
        <v>23</v>
      </c>
      <c r="X125" s="29">
        <f t="shared" si="222"/>
        <v>23</v>
      </c>
      <c r="Y125" s="29">
        <f t="shared" si="222"/>
        <v>23</v>
      </c>
      <c r="Z125" s="29">
        <f t="shared" si="222"/>
        <v>23</v>
      </c>
      <c r="AA125" s="29">
        <f t="shared" si="222"/>
        <v>23</v>
      </c>
      <c r="AB125" s="29">
        <f t="shared" si="222"/>
        <v>23</v>
      </c>
      <c r="AC125" s="29">
        <f t="shared" si="222"/>
        <v>23</v>
      </c>
      <c r="AD125" s="29">
        <v>18</v>
      </c>
      <c r="AE125" s="29" t="str">
        <f t="shared" si="222"/>
        <v/>
      </c>
      <c r="AF125" s="29" t="str">
        <f t="shared" si="222"/>
        <v/>
      </c>
      <c r="AG125" s="29" t="str">
        <f t="shared" si="222"/>
        <v/>
      </c>
      <c r="AH125" s="29" t="str">
        <f t="shared" si="222"/>
        <v/>
      </c>
      <c r="AI125" s="29" t="str">
        <f t="shared" si="222"/>
        <v/>
      </c>
      <c r="AJ125" s="29" t="str">
        <f t="shared" si="222"/>
        <v/>
      </c>
      <c r="AK125" s="29" t="str">
        <f t="shared" si="222"/>
        <v/>
      </c>
      <c r="AL125" s="29" t="str">
        <f t="shared" si="222"/>
        <v/>
      </c>
      <c r="AM125" s="29" t="str">
        <f t="shared" si="222"/>
        <v/>
      </c>
      <c r="AN125" s="29" t="str">
        <f t="shared" ref="AN125:AS125" si="223">IF(AN123="","",(AM125+AM126))</f>
        <v/>
      </c>
      <c r="AO125" s="29" t="str">
        <f t="shared" si="223"/>
        <v/>
      </c>
      <c r="AP125" s="29" t="str">
        <f t="shared" si="223"/>
        <v/>
      </c>
      <c r="AQ125" s="29" t="str">
        <f t="shared" si="223"/>
        <v/>
      </c>
      <c r="AR125" s="29" t="str">
        <f t="shared" si="223"/>
        <v/>
      </c>
      <c r="AS125" s="29" t="str">
        <f t="shared" si="223"/>
        <v/>
      </c>
    </row>
    <row r="126" spans="1:45" s="93" customFormat="1" ht="11">
      <c r="A126" s="14"/>
      <c r="B126" s="30" t="s">
        <v>7</v>
      </c>
      <c r="C126" s="65"/>
      <c r="D126" s="29"/>
      <c r="E126" s="29"/>
      <c r="F126" s="54"/>
      <c r="G126" s="29"/>
      <c r="H126" s="29"/>
      <c r="I126" s="54"/>
      <c r="J126" s="29"/>
      <c r="K126" s="29"/>
      <c r="L126" s="29">
        <v>6</v>
      </c>
      <c r="M126" s="29"/>
      <c r="N126" s="29"/>
      <c r="O126" s="29">
        <v>12</v>
      </c>
      <c r="P126" s="29"/>
      <c r="Q126" s="29"/>
      <c r="R126" s="29"/>
      <c r="S126" s="29"/>
      <c r="T126" s="29"/>
      <c r="U126" s="29"/>
      <c r="V126" s="29">
        <v>5</v>
      </c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 spans="1:45" s="93" customFormat="1" ht="11">
      <c r="A127" s="7"/>
      <c r="B127" s="30" t="s">
        <v>8</v>
      </c>
      <c r="C127" s="64">
        <v>715</v>
      </c>
      <c r="D127" s="35">
        <f t="shared" ref="D127:AM127" si="224">IF(D123="","",C127)</f>
        <v>715</v>
      </c>
      <c r="E127" s="35">
        <f t="shared" si="224"/>
        <v>715</v>
      </c>
      <c r="F127" s="128">
        <f t="shared" si="224"/>
        <v>715</v>
      </c>
      <c r="G127" s="35">
        <f t="shared" si="224"/>
        <v>715</v>
      </c>
      <c r="H127" s="35">
        <f t="shared" si="224"/>
        <v>715</v>
      </c>
      <c r="I127" s="128">
        <f t="shared" si="224"/>
        <v>715</v>
      </c>
      <c r="J127" s="35">
        <f t="shared" si="224"/>
        <v>715</v>
      </c>
      <c r="K127" s="35">
        <f t="shared" si="224"/>
        <v>715</v>
      </c>
      <c r="L127" s="35">
        <f t="shared" si="224"/>
        <v>715</v>
      </c>
      <c r="M127" s="35">
        <f t="shared" si="224"/>
        <v>715</v>
      </c>
      <c r="N127" s="35">
        <f t="shared" si="224"/>
        <v>715</v>
      </c>
      <c r="O127" s="35">
        <f t="shared" si="224"/>
        <v>715</v>
      </c>
      <c r="P127" s="35">
        <f t="shared" si="224"/>
        <v>715</v>
      </c>
      <c r="Q127" s="35">
        <f t="shared" si="224"/>
        <v>715</v>
      </c>
      <c r="R127" s="35">
        <f t="shared" si="224"/>
        <v>715</v>
      </c>
      <c r="S127" s="35">
        <f t="shared" si="224"/>
        <v>715</v>
      </c>
      <c r="T127" s="35">
        <f t="shared" si="224"/>
        <v>715</v>
      </c>
      <c r="U127" s="35">
        <f t="shared" si="224"/>
        <v>715</v>
      </c>
      <c r="V127" s="35">
        <f t="shared" si="224"/>
        <v>715</v>
      </c>
      <c r="W127" s="35">
        <f t="shared" si="224"/>
        <v>715</v>
      </c>
      <c r="X127" s="35">
        <f t="shared" si="224"/>
        <v>715</v>
      </c>
      <c r="Y127" s="35">
        <f t="shared" si="224"/>
        <v>715</v>
      </c>
      <c r="Z127" s="35">
        <f t="shared" si="224"/>
        <v>715</v>
      </c>
      <c r="AA127" s="35">
        <f t="shared" si="224"/>
        <v>715</v>
      </c>
      <c r="AB127" s="35">
        <f t="shared" si="224"/>
        <v>715</v>
      </c>
      <c r="AC127" s="35">
        <f t="shared" si="224"/>
        <v>715</v>
      </c>
      <c r="AD127" s="35">
        <f t="shared" si="224"/>
        <v>715</v>
      </c>
      <c r="AE127" s="35" t="str">
        <f t="shared" si="224"/>
        <v/>
      </c>
      <c r="AF127" s="35" t="str">
        <f t="shared" si="224"/>
        <v/>
      </c>
      <c r="AG127" s="35" t="str">
        <f t="shared" si="224"/>
        <v/>
      </c>
      <c r="AH127" s="35" t="str">
        <f t="shared" si="224"/>
        <v/>
      </c>
      <c r="AI127" s="35" t="str">
        <f t="shared" si="224"/>
        <v/>
      </c>
      <c r="AJ127" s="35" t="str">
        <f t="shared" si="224"/>
        <v/>
      </c>
      <c r="AK127" s="35" t="str">
        <f t="shared" si="224"/>
        <v/>
      </c>
      <c r="AL127" s="35" t="str">
        <f t="shared" si="224"/>
        <v/>
      </c>
      <c r="AM127" s="35" t="str">
        <f t="shared" si="224"/>
        <v/>
      </c>
      <c r="AN127" s="35" t="str">
        <f t="shared" ref="AN127:AS127" si="225">IF(AN123="","",AM127)</f>
        <v/>
      </c>
      <c r="AO127" s="35" t="str">
        <f t="shared" si="225"/>
        <v/>
      </c>
      <c r="AP127" s="35" t="str">
        <f t="shared" si="225"/>
        <v/>
      </c>
      <c r="AQ127" s="35" t="str">
        <f t="shared" si="225"/>
        <v/>
      </c>
      <c r="AR127" s="35" t="str">
        <f t="shared" si="225"/>
        <v/>
      </c>
      <c r="AS127" s="35" t="str">
        <f t="shared" si="225"/>
        <v/>
      </c>
    </row>
    <row r="128" spans="1:45" s="94" customFormat="1" ht="11">
      <c r="A128" s="14" t="s">
        <v>9</v>
      </c>
      <c r="B128" s="33" t="s">
        <v>10</v>
      </c>
      <c r="C128" s="63" t="s">
        <v>75</v>
      </c>
      <c r="D128" s="32" t="str">
        <f t="shared" ref="D128:AM128" si="226">IF(D123="","",C128)</f>
        <v>ルララ</v>
      </c>
      <c r="E128" s="32" t="str">
        <f t="shared" si="226"/>
        <v>ルララ</v>
      </c>
      <c r="F128" s="129" t="str">
        <f t="shared" si="226"/>
        <v>ルララ</v>
      </c>
      <c r="G128" s="32" t="str">
        <f t="shared" si="226"/>
        <v>ルララ</v>
      </c>
      <c r="H128" s="32" t="str">
        <f t="shared" si="226"/>
        <v>ルララ</v>
      </c>
      <c r="I128" s="129" t="str">
        <f t="shared" si="226"/>
        <v>ルララ</v>
      </c>
      <c r="J128" s="32" t="str">
        <f t="shared" si="226"/>
        <v>ルララ</v>
      </c>
      <c r="K128" s="32" t="str">
        <f t="shared" si="226"/>
        <v>ルララ</v>
      </c>
      <c r="L128" s="32" t="str">
        <f t="shared" si="226"/>
        <v>ルララ</v>
      </c>
      <c r="M128" s="32" t="str">
        <f t="shared" si="226"/>
        <v>ルララ</v>
      </c>
      <c r="N128" s="32" t="str">
        <f t="shared" si="226"/>
        <v>ルララ</v>
      </c>
      <c r="O128" s="32" t="str">
        <f t="shared" si="226"/>
        <v>ルララ</v>
      </c>
      <c r="P128" s="32" t="str">
        <f t="shared" si="226"/>
        <v>ルララ</v>
      </c>
      <c r="Q128" s="32" t="str">
        <f t="shared" si="226"/>
        <v>ルララ</v>
      </c>
      <c r="R128" s="32" t="str">
        <f t="shared" si="226"/>
        <v>ルララ</v>
      </c>
      <c r="S128" s="32" t="str">
        <f t="shared" si="226"/>
        <v>ルララ</v>
      </c>
      <c r="T128" s="32" t="str">
        <f t="shared" si="226"/>
        <v>ルララ</v>
      </c>
      <c r="U128" s="32" t="str">
        <f t="shared" si="226"/>
        <v>ルララ</v>
      </c>
      <c r="V128" s="32" t="str">
        <f t="shared" si="226"/>
        <v>ルララ</v>
      </c>
      <c r="W128" s="32" t="str">
        <f t="shared" si="226"/>
        <v>ルララ</v>
      </c>
      <c r="X128" s="32" t="str">
        <f t="shared" si="226"/>
        <v>ルララ</v>
      </c>
      <c r="Y128" s="32" t="str">
        <f t="shared" si="226"/>
        <v>ルララ</v>
      </c>
      <c r="Z128" s="32" t="str">
        <f t="shared" si="226"/>
        <v>ルララ</v>
      </c>
      <c r="AA128" s="32" t="str">
        <f t="shared" si="226"/>
        <v>ルララ</v>
      </c>
      <c r="AB128" s="32" t="str">
        <f t="shared" si="226"/>
        <v>ルララ</v>
      </c>
      <c r="AC128" s="32" t="str">
        <f t="shared" si="226"/>
        <v>ルララ</v>
      </c>
      <c r="AD128" s="32" t="str">
        <f t="shared" si="226"/>
        <v>ルララ</v>
      </c>
      <c r="AE128" s="32" t="str">
        <f t="shared" si="226"/>
        <v/>
      </c>
      <c r="AF128" s="32" t="str">
        <f t="shared" si="226"/>
        <v/>
      </c>
      <c r="AG128" s="32" t="str">
        <f t="shared" si="226"/>
        <v/>
      </c>
      <c r="AH128" s="32" t="str">
        <f t="shared" si="226"/>
        <v/>
      </c>
      <c r="AI128" s="32" t="str">
        <f t="shared" si="226"/>
        <v/>
      </c>
      <c r="AJ128" s="32" t="str">
        <f t="shared" si="226"/>
        <v/>
      </c>
      <c r="AK128" s="32" t="str">
        <f t="shared" si="226"/>
        <v/>
      </c>
      <c r="AL128" s="32" t="str">
        <f t="shared" si="226"/>
        <v/>
      </c>
      <c r="AM128" s="32" t="str">
        <f t="shared" si="226"/>
        <v/>
      </c>
      <c r="AN128" s="32" t="str">
        <f t="shared" ref="AN128:AS128" si="227">IF(AN123="","",AM128)</f>
        <v/>
      </c>
      <c r="AO128" s="32" t="str">
        <f t="shared" si="227"/>
        <v/>
      </c>
      <c r="AP128" s="32" t="str">
        <f t="shared" si="227"/>
        <v/>
      </c>
      <c r="AQ128" s="32" t="str">
        <f t="shared" si="227"/>
        <v/>
      </c>
      <c r="AR128" s="32" t="str">
        <f t="shared" si="227"/>
        <v/>
      </c>
      <c r="AS128" s="32" t="str">
        <f t="shared" si="227"/>
        <v/>
      </c>
    </row>
    <row r="129" spans="1:45" s="93" customFormat="1" ht="11">
      <c r="A129" s="7">
        <f>AVERAGE(C130:AS130)*30*100</f>
        <v>133607.14285714284</v>
      </c>
      <c r="B129" s="30" t="s">
        <v>14</v>
      </c>
      <c r="C129" s="65"/>
      <c r="D129" s="29"/>
      <c r="E129" s="29"/>
      <c r="F129" s="54"/>
      <c r="G129" s="29"/>
      <c r="H129" s="29"/>
      <c r="I129" s="54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 spans="1:45" s="93" customFormat="1" ht="11">
      <c r="A130" s="7">
        <f>SUM(C130:AS130)</f>
        <v>1247</v>
      </c>
      <c r="B130" s="27" t="s">
        <v>15</v>
      </c>
      <c r="C130" s="65">
        <v>0</v>
      </c>
      <c r="D130" s="26">
        <f t="shared" ref="D130:AM130" si="228">IF(D123="","",D123-C123)</f>
        <v>0</v>
      </c>
      <c r="E130" s="26">
        <f t="shared" si="228"/>
        <v>82</v>
      </c>
      <c r="F130" s="54">
        <f t="shared" si="228"/>
        <v>0</v>
      </c>
      <c r="G130" s="26">
        <f t="shared" si="228"/>
        <v>0</v>
      </c>
      <c r="H130" s="26">
        <f t="shared" si="228"/>
        <v>131</v>
      </c>
      <c r="I130" s="54">
        <f t="shared" si="228"/>
        <v>0</v>
      </c>
      <c r="J130" s="26">
        <f t="shared" si="228"/>
        <v>0</v>
      </c>
      <c r="K130" s="26">
        <f t="shared" si="228"/>
        <v>0</v>
      </c>
      <c r="L130" s="26">
        <f t="shared" si="228"/>
        <v>220</v>
      </c>
      <c r="M130" s="26">
        <f t="shared" si="228"/>
        <v>0</v>
      </c>
      <c r="N130" s="26">
        <f t="shared" si="228"/>
        <v>0</v>
      </c>
      <c r="O130" s="26">
        <f t="shared" si="228"/>
        <v>162</v>
      </c>
      <c r="P130" s="26">
        <f t="shared" si="228"/>
        <v>0</v>
      </c>
      <c r="Q130" s="26">
        <f t="shared" si="228"/>
        <v>0</v>
      </c>
      <c r="R130" s="26">
        <f t="shared" si="228"/>
        <v>0</v>
      </c>
      <c r="S130" s="26">
        <f t="shared" si="228"/>
        <v>165</v>
      </c>
      <c r="T130" s="26">
        <f t="shared" si="228"/>
        <v>0</v>
      </c>
      <c r="U130" s="26">
        <f t="shared" si="228"/>
        <v>0</v>
      </c>
      <c r="V130" s="26">
        <f t="shared" si="228"/>
        <v>204</v>
      </c>
      <c r="W130" s="26">
        <f t="shared" si="228"/>
        <v>0</v>
      </c>
      <c r="X130" s="26">
        <f t="shared" si="228"/>
        <v>0</v>
      </c>
      <c r="Y130" s="26">
        <f t="shared" si="228"/>
        <v>0</v>
      </c>
      <c r="Z130" s="26">
        <f t="shared" si="228"/>
        <v>99</v>
      </c>
      <c r="AA130" s="26">
        <f t="shared" si="228"/>
        <v>0</v>
      </c>
      <c r="AB130" s="26">
        <f t="shared" si="228"/>
        <v>0</v>
      </c>
      <c r="AC130" s="26">
        <f t="shared" si="228"/>
        <v>0</v>
      </c>
      <c r="AD130" s="26">
        <f t="shared" si="228"/>
        <v>184</v>
      </c>
      <c r="AE130" s="26" t="str">
        <f t="shared" si="228"/>
        <v/>
      </c>
      <c r="AF130" s="26" t="str">
        <f t="shared" si="228"/>
        <v/>
      </c>
      <c r="AG130" s="26" t="str">
        <f t="shared" si="228"/>
        <v/>
      </c>
      <c r="AH130" s="26" t="str">
        <f t="shared" si="228"/>
        <v/>
      </c>
      <c r="AI130" s="26" t="str">
        <f t="shared" si="228"/>
        <v/>
      </c>
      <c r="AJ130" s="26" t="str">
        <f t="shared" si="228"/>
        <v/>
      </c>
      <c r="AK130" s="26" t="str">
        <f t="shared" si="228"/>
        <v/>
      </c>
      <c r="AL130" s="26" t="str">
        <f t="shared" si="228"/>
        <v/>
      </c>
      <c r="AM130" s="26" t="str">
        <f t="shared" si="228"/>
        <v/>
      </c>
      <c r="AN130" s="26" t="str">
        <f t="shared" ref="AN130:AS130" si="229">IF(AN123="","",AN123-AM123)</f>
        <v/>
      </c>
      <c r="AO130" s="26" t="str">
        <f t="shared" si="229"/>
        <v/>
      </c>
      <c r="AP130" s="26" t="str">
        <f t="shared" si="229"/>
        <v/>
      </c>
      <c r="AQ130" s="26" t="str">
        <f t="shared" si="229"/>
        <v/>
      </c>
      <c r="AR130" s="26" t="str">
        <f t="shared" si="229"/>
        <v/>
      </c>
      <c r="AS130" s="26" t="str">
        <f t="shared" si="229"/>
        <v/>
      </c>
    </row>
    <row r="131" spans="1:45" s="93" customFormat="1" ht="11">
      <c r="A131" s="7">
        <f>SUM(C131:AS131)</f>
        <v>23</v>
      </c>
      <c r="B131" s="27" t="s">
        <v>16</v>
      </c>
      <c r="C131" s="65">
        <v>0</v>
      </c>
      <c r="D131" s="26">
        <f t="shared" ref="D131:AM131" si="230">IF(D124="","",D124-C124)</f>
        <v>0</v>
      </c>
      <c r="E131" s="26">
        <f t="shared" si="230"/>
        <v>1</v>
      </c>
      <c r="F131" s="54">
        <f t="shared" si="230"/>
        <v>0</v>
      </c>
      <c r="G131" s="26">
        <f t="shared" si="230"/>
        <v>0</v>
      </c>
      <c r="H131" s="26">
        <f t="shared" si="230"/>
        <v>1</v>
      </c>
      <c r="I131" s="54">
        <f t="shared" si="230"/>
        <v>0</v>
      </c>
      <c r="J131" s="26">
        <f t="shared" si="230"/>
        <v>0</v>
      </c>
      <c r="K131" s="26">
        <f t="shared" si="230"/>
        <v>0</v>
      </c>
      <c r="L131" s="26">
        <f t="shared" si="230"/>
        <v>2</v>
      </c>
      <c r="M131" s="26">
        <f t="shared" si="230"/>
        <v>0</v>
      </c>
      <c r="N131" s="26">
        <f t="shared" si="230"/>
        <v>0</v>
      </c>
      <c r="O131" s="26">
        <f t="shared" si="230"/>
        <v>3</v>
      </c>
      <c r="P131" s="26">
        <f t="shared" si="230"/>
        <v>0</v>
      </c>
      <c r="Q131" s="26">
        <f t="shared" si="230"/>
        <v>0</v>
      </c>
      <c r="R131" s="26">
        <f t="shared" si="230"/>
        <v>0</v>
      </c>
      <c r="S131" s="26">
        <f t="shared" si="230"/>
        <v>6</v>
      </c>
      <c r="T131" s="26">
        <f t="shared" si="230"/>
        <v>0</v>
      </c>
      <c r="U131" s="26">
        <f t="shared" si="230"/>
        <v>0</v>
      </c>
      <c r="V131" s="26">
        <f t="shared" si="230"/>
        <v>3</v>
      </c>
      <c r="W131" s="26">
        <f t="shared" si="230"/>
        <v>0</v>
      </c>
      <c r="X131" s="26">
        <f t="shared" si="230"/>
        <v>0</v>
      </c>
      <c r="Y131" s="26">
        <f t="shared" si="230"/>
        <v>0</v>
      </c>
      <c r="Z131" s="26">
        <f t="shared" si="230"/>
        <v>2</v>
      </c>
      <c r="AA131" s="26">
        <f t="shared" si="230"/>
        <v>0</v>
      </c>
      <c r="AB131" s="26">
        <f t="shared" si="230"/>
        <v>0</v>
      </c>
      <c r="AC131" s="26">
        <f t="shared" si="230"/>
        <v>0</v>
      </c>
      <c r="AD131" s="26">
        <f t="shared" si="230"/>
        <v>5</v>
      </c>
      <c r="AE131" s="26" t="str">
        <f t="shared" si="230"/>
        <v/>
      </c>
      <c r="AF131" s="26" t="str">
        <f t="shared" si="230"/>
        <v/>
      </c>
      <c r="AG131" s="26" t="str">
        <f t="shared" si="230"/>
        <v/>
      </c>
      <c r="AH131" s="26" t="str">
        <f t="shared" si="230"/>
        <v/>
      </c>
      <c r="AI131" s="26" t="str">
        <f t="shared" si="230"/>
        <v/>
      </c>
      <c r="AJ131" s="26" t="str">
        <f t="shared" si="230"/>
        <v/>
      </c>
      <c r="AK131" s="26" t="str">
        <f t="shared" si="230"/>
        <v/>
      </c>
      <c r="AL131" s="26" t="str">
        <f t="shared" si="230"/>
        <v/>
      </c>
      <c r="AM131" s="26" t="str">
        <f t="shared" si="230"/>
        <v/>
      </c>
      <c r="AN131" s="26" t="str">
        <f t="shared" ref="AN131:AS131" si="231">IF(AN124="","",AN124-AM124)</f>
        <v/>
      </c>
      <c r="AO131" s="26" t="str">
        <f t="shared" si="231"/>
        <v/>
      </c>
      <c r="AP131" s="26" t="str">
        <f t="shared" si="231"/>
        <v/>
      </c>
      <c r="AQ131" s="26" t="str">
        <f t="shared" si="231"/>
        <v/>
      </c>
      <c r="AR131" s="26" t="str">
        <f t="shared" si="231"/>
        <v/>
      </c>
      <c r="AS131" s="26" t="str">
        <f t="shared" si="231"/>
        <v/>
      </c>
    </row>
    <row r="132" spans="1:45" s="93" customFormat="1" ht="11">
      <c r="A132" s="7">
        <f>SUM(C132:AS132)</f>
        <v>21</v>
      </c>
      <c r="B132" s="27" t="s">
        <v>17</v>
      </c>
      <c r="C132" s="65">
        <v>0</v>
      </c>
      <c r="D132" s="26">
        <f t="shared" ref="D132:AM132" si="232">IF(D125="","",C125+C126-D125)</f>
        <v>0</v>
      </c>
      <c r="E132" s="26">
        <f t="shared" si="232"/>
        <v>1</v>
      </c>
      <c r="F132" s="54">
        <f t="shared" si="232"/>
        <v>0</v>
      </c>
      <c r="G132" s="26">
        <f t="shared" si="232"/>
        <v>0</v>
      </c>
      <c r="H132" s="26">
        <f t="shared" si="232"/>
        <v>1</v>
      </c>
      <c r="I132" s="54">
        <f t="shared" si="232"/>
        <v>0</v>
      </c>
      <c r="J132" s="26">
        <f t="shared" si="232"/>
        <v>0</v>
      </c>
      <c r="K132" s="26">
        <f t="shared" si="232"/>
        <v>0</v>
      </c>
      <c r="L132" s="26">
        <f t="shared" si="232"/>
        <v>2</v>
      </c>
      <c r="M132" s="26">
        <f t="shared" si="232"/>
        <v>0</v>
      </c>
      <c r="N132" s="26">
        <f t="shared" si="232"/>
        <v>0</v>
      </c>
      <c r="O132" s="26">
        <f t="shared" si="232"/>
        <v>3</v>
      </c>
      <c r="P132" s="26">
        <f t="shared" si="232"/>
        <v>0</v>
      </c>
      <c r="Q132" s="26">
        <f t="shared" si="232"/>
        <v>0</v>
      </c>
      <c r="R132" s="26">
        <f t="shared" si="232"/>
        <v>0</v>
      </c>
      <c r="S132" s="26">
        <f t="shared" si="232"/>
        <v>6</v>
      </c>
      <c r="T132" s="26">
        <f t="shared" si="232"/>
        <v>0</v>
      </c>
      <c r="U132" s="26">
        <f t="shared" si="232"/>
        <v>0</v>
      </c>
      <c r="V132" s="26">
        <f t="shared" si="232"/>
        <v>3</v>
      </c>
      <c r="W132" s="26">
        <f t="shared" si="232"/>
        <v>0</v>
      </c>
      <c r="X132" s="26">
        <f t="shared" si="232"/>
        <v>0</v>
      </c>
      <c r="Y132" s="26">
        <f t="shared" si="232"/>
        <v>0</v>
      </c>
      <c r="Z132" s="26">
        <f t="shared" si="232"/>
        <v>0</v>
      </c>
      <c r="AA132" s="26">
        <f t="shared" si="232"/>
        <v>0</v>
      </c>
      <c r="AB132" s="26">
        <f t="shared" si="232"/>
        <v>0</v>
      </c>
      <c r="AC132" s="26">
        <f t="shared" si="232"/>
        <v>0</v>
      </c>
      <c r="AD132" s="26">
        <f t="shared" si="232"/>
        <v>5</v>
      </c>
      <c r="AE132" s="26" t="str">
        <f t="shared" si="232"/>
        <v/>
      </c>
      <c r="AF132" s="26" t="str">
        <f t="shared" si="232"/>
        <v/>
      </c>
      <c r="AG132" s="26" t="str">
        <f t="shared" si="232"/>
        <v/>
      </c>
      <c r="AH132" s="26" t="str">
        <f t="shared" si="232"/>
        <v/>
      </c>
      <c r="AI132" s="26" t="str">
        <f t="shared" si="232"/>
        <v/>
      </c>
      <c r="AJ132" s="26" t="str">
        <f t="shared" si="232"/>
        <v/>
      </c>
      <c r="AK132" s="26" t="str">
        <f t="shared" si="232"/>
        <v/>
      </c>
      <c r="AL132" s="26" t="str">
        <f t="shared" si="232"/>
        <v/>
      </c>
      <c r="AM132" s="26" t="str">
        <f t="shared" si="232"/>
        <v/>
      </c>
      <c r="AN132" s="26" t="str">
        <f t="shared" ref="AN132:AS132" si="233">IF(AN125="","",AM125+AM126-AN125)</f>
        <v/>
      </c>
      <c r="AO132" s="26" t="str">
        <f t="shared" si="233"/>
        <v/>
      </c>
      <c r="AP132" s="26" t="str">
        <f t="shared" si="233"/>
        <v/>
      </c>
      <c r="AQ132" s="26" t="str">
        <f t="shared" si="233"/>
        <v/>
      </c>
      <c r="AR132" s="26" t="str">
        <f t="shared" si="233"/>
        <v/>
      </c>
      <c r="AS132" s="26" t="str">
        <f t="shared" si="233"/>
        <v/>
      </c>
    </row>
    <row r="133" spans="1:45" s="93" customFormat="1" ht="11">
      <c r="A133" s="7">
        <f>SUM(C133:AS133)</f>
        <v>15015</v>
      </c>
      <c r="B133" s="27" t="s">
        <v>18</v>
      </c>
      <c r="C133" s="65">
        <v>0</v>
      </c>
      <c r="D133" s="26">
        <f t="shared" ref="D133:AM133" si="234">IF(D123="","",D132*D127)</f>
        <v>0</v>
      </c>
      <c r="E133" s="26">
        <f t="shared" si="234"/>
        <v>715</v>
      </c>
      <c r="F133" s="54">
        <f t="shared" si="234"/>
        <v>0</v>
      </c>
      <c r="G133" s="26">
        <f t="shared" si="234"/>
        <v>0</v>
      </c>
      <c r="H133" s="26">
        <f t="shared" si="234"/>
        <v>715</v>
      </c>
      <c r="I133" s="54">
        <f t="shared" si="234"/>
        <v>0</v>
      </c>
      <c r="J133" s="26">
        <f t="shared" si="234"/>
        <v>0</v>
      </c>
      <c r="K133" s="26">
        <f t="shared" si="234"/>
        <v>0</v>
      </c>
      <c r="L133" s="26">
        <f t="shared" si="234"/>
        <v>1430</v>
      </c>
      <c r="M133" s="26">
        <f t="shared" si="234"/>
        <v>0</v>
      </c>
      <c r="N133" s="26">
        <f t="shared" si="234"/>
        <v>0</v>
      </c>
      <c r="O133" s="26">
        <f t="shared" si="234"/>
        <v>2145</v>
      </c>
      <c r="P133" s="26">
        <f t="shared" si="234"/>
        <v>0</v>
      </c>
      <c r="Q133" s="26">
        <f t="shared" si="234"/>
        <v>0</v>
      </c>
      <c r="R133" s="26">
        <f t="shared" si="234"/>
        <v>0</v>
      </c>
      <c r="S133" s="26">
        <f t="shared" si="234"/>
        <v>4290</v>
      </c>
      <c r="T133" s="26">
        <f t="shared" si="234"/>
        <v>0</v>
      </c>
      <c r="U133" s="26">
        <f t="shared" si="234"/>
        <v>0</v>
      </c>
      <c r="V133" s="26">
        <f t="shared" si="234"/>
        <v>2145</v>
      </c>
      <c r="W133" s="26">
        <f t="shared" si="234"/>
        <v>0</v>
      </c>
      <c r="X133" s="26">
        <f t="shared" si="234"/>
        <v>0</v>
      </c>
      <c r="Y133" s="26">
        <f t="shared" si="234"/>
        <v>0</v>
      </c>
      <c r="Z133" s="26">
        <f t="shared" si="234"/>
        <v>0</v>
      </c>
      <c r="AA133" s="26">
        <f t="shared" si="234"/>
        <v>0</v>
      </c>
      <c r="AB133" s="26">
        <f t="shared" si="234"/>
        <v>0</v>
      </c>
      <c r="AC133" s="26">
        <f t="shared" si="234"/>
        <v>0</v>
      </c>
      <c r="AD133" s="26">
        <f t="shared" si="234"/>
        <v>3575</v>
      </c>
      <c r="AE133" s="26" t="str">
        <f t="shared" si="234"/>
        <v/>
      </c>
      <c r="AF133" s="26" t="str">
        <f t="shared" si="234"/>
        <v/>
      </c>
      <c r="AG133" s="26" t="str">
        <f t="shared" si="234"/>
        <v/>
      </c>
      <c r="AH133" s="26" t="str">
        <f t="shared" si="234"/>
        <v/>
      </c>
      <c r="AI133" s="26" t="str">
        <f t="shared" si="234"/>
        <v/>
      </c>
      <c r="AJ133" s="26" t="str">
        <f t="shared" si="234"/>
        <v/>
      </c>
      <c r="AK133" s="26" t="str">
        <f t="shared" si="234"/>
        <v/>
      </c>
      <c r="AL133" s="26" t="str">
        <f t="shared" si="234"/>
        <v/>
      </c>
      <c r="AM133" s="26" t="str">
        <f t="shared" si="234"/>
        <v/>
      </c>
      <c r="AN133" s="26" t="str">
        <f t="shared" ref="AN133:AS133" si="235">IF(AN123="","",AN132*AN127)</f>
        <v/>
      </c>
      <c r="AO133" s="26" t="str">
        <f t="shared" si="235"/>
        <v/>
      </c>
      <c r="AP133" s="26" t="str">
        <f t="shared" si="235"/>
        <v/>
      </c>
      <c r="AQ133" s="26" t="str">
        <f t="shared" si="235"/>
        <v/>
      </c>
      <c r="AR133" s="26" t="str">
        <f t="shared" si="235"/>
        <v/>
      </c>
      <c r="AS133" s="26" t="str">
        <f t="shared" si="235"/>
        <v/>
      </c>
    </row>
    <row r="134" spans="1:45" s="93" customFormat="1" ht="12" thickBot="1">
      <c r="A134" s="4">
        <f>IF(A133="","",A133/(A130*100))</f>
        <v>0.12040898155573376</v>
      </c>
      <c r="B134" s="24" t="s">
        <v>20</v>
      </c>
      <c r="C134" s="67" t="s">
        <v>21</v>
      </c>
      <c r="D134" s="23" t="str">
        <f t="shared" ref="D134:AM134" si="236">IF(D133="","",IF(D133=0,"",D133/(D130*100)))</f>
        <v/>
      </c>
      <c r="E134" s="23">
        <f t="shared" si="236"/>
        <v>8.7195121951219506E-2</v>
      </c>
      <c r="F134" s="52" t="str">
        <f t="shared" si="236"/>
        <v/>
      </c>
      <c r="G134" s="23" t="str">
        <f t="shared" si="236"/>
        <v/>
      </c>
      <c r="H134" s="23">
        <f t="shared" si="236"/>
        <v>5.4580152671755727E-2</v>
      </c>
      <c r="I134" s="52" t="str">
        <f t="shared" si="236"/>
        <v/>
      </c>
      <c r="J134" s="23" t="str">
        <f t="shared" si="236"/>
        <v/>
      </c>
      <c r="K134" s="23" t="str">
        <f t="shared" si="236"/>
        <v/>
      </c>
      <c r="L134" s="23">
        <f t="shared" si="236"/>
        <v>6.5000000000000002E-2</v>
      </c>
      <c r="M134" s="23" t="str">
        <f t="shared" si="236"/>
        <v/>
      </c>
      <c r="N134" s="23" t="str">
        <f t="shared" si="236"/>
        <v/>
      </c>
      <c r="O134" s="23">
        <f t="shared" si="236"/>
        <v>0.13240740740740742</v>
      </c>
      <c r="P134" s="23" t="str">
        <f t="shared" si="236"/>
        <v/>
      </c>
      <c r="Q134" s="23" t="str">
        <f t="shared" si="236"/>
        <v/>
      </c>
      <c r="R134" s="23" t="str">
        <f t="shared" si="236"/>
        <v/>
      </c>
      <c r="S134" s="23">
        <f t="shared" si="236"/>
        <v>0.26</v>
      </c>
      <c r="T134" s="23" t="str">
        <f t="shared" si="236"/>
        <v/>
      </c>
      <c r="U134" s="23" t="str">
        <f t="shared" si="236"/>
        <v/>
      </c>
      <c r="V134" s="23">
        <f t="shared" si="236"/>
        <v>0.10514705882352941</v>
      </c>
      <c r="W134" s="23" t="str">
        <f t="shared" si="236"/>
        <v/>
      </c>
      <c r="X134" s="23" t="str">
        <f t="shared" si="236"/>
        <v/>
      </c>
      <c r="Y134" s="23" t="str">
        <f t="shared" si="236"/>
        <v/>
      </c>
      <c r="Z134" s="23" t="str">
        <f t="shared" si="236"/>
        <v/>
      </c>
      <c r="AA134" s="23" t="str">
        <f t="shared" si="236"/>
        <v/>
      </c>
      <c r="AB134" s="23" t="str">
        <f t="shared" si="236"/>
        <v/>
      </c>
      <c r="AC134" s="23" t="str">
        <f t="shared" si="236"/>
        <v/>
      </c>
      <c r="AD134" s="23">
        <f t="shared" si="236"/>
        <v>0.19429347826086957</v>
      </c>
      <c r="AE134" s="23" t="str">
        <f t="shared" si="236"/>
        <v/>
      </c>
      <c r="AF134" s="23" t="str">
        <f t="shared" si="236"/>
        <v/>
      </c>
      <c r="AG134" s="23" t="str">
        <f t="shared" si="236"/>
        <v/>
      </c>
      <c r="AH134" s="23" t="str">
        <f t="shared" si="236"/>
        <v/>
      </c>
      <c r="AI134" s="23" t="str">
        <f t="shared" si="236"/>
        <v/>
      </c>
      <c r="AJ134" s="23" t="str">
        <f t="shared" si="236"/>
        <v/>
      </c>
      <c r="AK134" s="23" t="str">
        <f t="shared" si="236"/>
        <v/>
      </c>
      <c r="AL134" s="23" t="str">
        <f t="shared" si="236"/>
        <v/>
      </c>
      <c r="AM134" s="23" t="str">
        <f t="shared" si="236"/>
        <v/>
      </c>
      <c r="AN134" s="23" t="str">
        <f t="shared" ref="AN134:AS134" si="237">IF(AN133="","",IF(AN133=0,"",AN133/(AN130*100)))</f>
        <v/>
      </c>
      <c r="AO134" s="23" t="str">
        <f t="shared" si="237"/>
        <v/>
      </c>
      <c r="AP134" s="23" t="str">
        <f t="shared" si="237"/>
        <v/>
      </c>
      <c r="AQ134" s="23" t="str">
        <f t="shared" si="237"/>
        <v/>
      </c>
      <c r="AR134" s="23" t="str">
        <f t="shared" si="237"/>
        <v/>
      </c>
      <c r="AS134" s="23" t="str">
        <f t="shared" si="237"/>
        <v/>
      </c>
    </row>
    <row r="135" spans="1:45" s="1" customFormat="1" ht="11">
      <c r="A135" s="17" t="s">
        <v>113</v>
      </c>
      <c r="B135" s="39" t="s">
        <v>2</v>
      </c>
      <c r="C135" s="66">
        <v>4458</v>
      </c>
      <c r="D135" s="38">
        <f>IF(D$3="","",C135)</f>
        <v>4458</v>
      </c>
      <c r="E135" s="38">
        <v>4537</v>
      </c>
      <c r="F135" s="127">
        <f>IF(F$3="","",E135)</f>
        <v>4537</v>
      </c>
      <c r="G135" s="38">
        <f>IF(G$3="","",F135)</f>
        <v>4537</v>
      </c>
      <c r="H135" s="38">
        <v>4676</v>
      </c>
      <c r="I135" s="127">
        <f t="shared" ref="I135:K136" si="238">IF(I$3="","",H135)</f>
        <v>4676</v>
      </c>
      <c r="J135" s="38">
        <f t="shared" si="238"/>
        <v>4676</v>
      </c>
      <c r="K135" s="38">
        <f t="shared" si="238"/>
        <v>4676</v>
      </c>
      <c r="L135" s="38">
        <v>4726</v>
      </c>
      <c r="M135" s="38">
        <f>IF(M$3="","",L135)</f>
        <v>4726</v>
      </c>
      <c r="N135" s="38">
        <f>IF(N$3="","",M135)</f>
        <v>4726</v>
      </c>
      <c r="O135" s="38">
        <v>4801</v>
      </c>
      <c r="P135" s="38">
        <f t="shared" ref="P135:AM135" si="239">IF(P$3="","",O135)</f>
        <v>4801</v>
      </c>
      <c r="Q135" s="38">
        <f t="shared" si="239"/>
        <v>4801</v>
      </c>
      <c r="R135" s="38">
        <f t="shared" si="239"/>
        <v>4801</v>
      </c>
      <c r="S135" s="38">
        <v>4883</v>
      </c>
      <c r="T135" s="38">
        <f t="shared" si="239"/>
        <v>4883</v>
      </c>
      <c r="U135" s="38">
        <f t="shared" si="239"/>
        <v>4883</v>
      </c>
      <c r="V135" s="38">
        <v>5040</v>
      </c>
      <c r="W135" s="38">
        <f t="shared" si="239"/>
        <v>5040</v>
      </c>
      <c r="X135" s="38">
        <f t="shared" si="239"/>
        <v>5040</v>
      </c>
      <c r="Y135" s="38">
        <f t="shared" si="239"/>
        <v>5040</v>
      </c>
      <c r="Z135" s="38">
        <f t="shared" si="239"/>
        <v>5040</v>
      </c>
      <c r="AA135" s="38">
        <f t="shared" si="239"/>
        <v>5040</v>
      </c>
      <c r="AB135" s="38">
        <f t="shared" si="239"/>
        <v>5040</v>
      </c>
      <c r="AC135" s="38">
        <f t="shared" si="239"/>
        <v>5040</v>
      </c>
      <c r="AD135" s="38">
        <v>5203</v>
      </c>
      <c r="AE135" s="38" t="str">
        <f t="shared" si="239"/>
        <v/>
      </c>
      <c r="AF135" s="38" t="str">
        <f t="shared" si="239"/>
        <v/>
      </c>
      <c r="AG135" s="38" t="str">
        <f t="shared" si="239"/>
        <v/>
      </c>
      <c r="AH135" s="38" t="str">
        <f t="shared" si="239"/>
        <v/>
      </c>
      <c r="AI135" s="38" t="str">
        <f t="shared" si="239"/>
        <v/>
      </c>
      <c r="AJ135" s="38" t="str">
        <f t="shared" si="239"/>
        <v/>
      </c>
      <c r="AK135" s="38" t="str">
        <f t="shared" si="239"/>
        <v/>
      </c>
      <c r="AL135" s="38" t="str">
        <f t="shared" si="239"/>
        <v/>
      </c>
      <c r="AM135" s="38" t="str">
        <f t="shared" si="239"/>
        <v/>
      </c>
      <c r="AN135" s="38" t="str">
        <f t="shared" ref="AN135:AS135" si="240">IF(AN$3="","",AM135)</f>
        <v/>
      </c>
      <c r="AO135" s="38" t="str">
        <f t="shared" si="240"/>
        <v/>
      </c>
      <c r="AP135" s="38" t="str">
        <f t="shared" si="240"/>
        <v/>
      </c>
      <c r="AQ135" s="38" t="str">
        <f t="shared" si="240"/>
        <v/>
      </c>
      <c r="AR135" s="38" t="str">
        <f t="shared" si="240"/>
        <v/>
      </c>
      <c r="AS135" s="38" t="str">
        <f t="shared" si="240"/>
        <v/>
      </c>
    </row>
    <row r="136" spans="1:45" s="1" customFormat="1" ht="11">
      <c r="A136" s="16" t="s">
        <v>51</v>
      </c>
      <c r="B136" s="30" t="s">
        <v>4</v>
      </c>
      <c r="C136" s="65">
        <v>101</v>
      </c>
      <c r="D136" s="29">
        <f>IF(D$3="","",C136)</f>
        <v>101</v>
      </c>
      <c r="E136" s="29">
        <v>103</v>
      </c>
      <c r="F136" s="54">
        <f>IF(F$3="","",E136)</f>
        <v>103</v>
      </c>
      <c r="G136" s="29">
        <f>IF(G$3="","",F136)</f>
        <v>103</v>
      </c>
      <c r="H136" s="29">
        <v>104</v>
      </c>
      <c r="I136" s="54">
        <f t="shared" si="238"/>
        <v>104</v>
      </c>
      <c r="J136" s="29">
        <f t="shared" si="238"/>
        <v>104</v>
      </c>
      <c r="K136" s="29">
        <f t="shared" si="238"/>
        <v>104</v>
      </c>
      <c r="L136" s="29">
        <v>105</v>
      </c>
      <c r="M136" s="29">
        <f>IF(M$3="","",L136)</f>
        <v>105</v>
      </c>
      <c r="N136" s="29">
        <f>IF(N$3="","",M136)</f>
        <v>105</v>
      </c>
      <c r="O136" s="29">
        <v>106</v>
      </c>
      <c r="P136" s="29">
        <f t="shared" ref="P136:AM136" si="241">IF(P$3="","",O136)</f>
        <v>106</v>
      </c>
      <c r="Q136" s="29">
        <f t="shared" si="241"/>
        <v>106</v>
      </c>
      <c r="R136" s="29">
        <f t="shared" si="241"/>
        <v>106</v>
      </c>
      <c r="S136" s="29">
        <f t="shared" si="241"/>
        <v>106</v>
      </c>
      <c r="T136" s="29">
        <f t="shared" si="241"/>
        <v>106</v>
      </c>
      <c r="U136" s="29">
        <f t="shared" si="241"/>
        <v>106</v>
      </c>
      <c r="V136" s="29">
        <v>107</v>
      </c>
      <c r="W136" s="29">
        <f t="shared" si="241"/>
        <v>107</v>
      </c>
      <c r="X136" s="29">
        <f t="shared" si="241"/>
        <v>107</v>
      </c>
      <c r="Y136" s="29">
        <f t="shared" si="241"/>
        <v>107</v>
      </c>
      <c r="Z136" s="29">
        <f t="shared" si="241"/>
        <v>107</v>
      </c>
      <c r="AA136" s="29">
        <f t="shared" si="241"/>
        <v>107</v>
      </c>
      <c r="AB136" s="29">
        <f t="shared" si="241"/>
        <v>107</v>
      </c>
      <c r="AC136" s="29">
        <f t="shared" si="241"/>
        <v>107</v>
      </c>
      <c r="AD136" s="29">
        <v>109</v>
      </c>
      <c r="AE136" s="29" t="str">
        <f t="shared" si="241"/>
        <v/>
      </c>
      <c r="AF136" s="29" t="str">
        <f t="shared" si="241"/>
        <v/>
      </c>
      <c r="AG136" s="29" t="str">
        <f t="shared" si="241"/>
        <v/>
      </c>
      <c r="AH136" s="29" t="str">
        <f t="shared" si="241"/>
        <v/>
      </c>
      <c r="AI136" s="29" t="str">
        <f t="shared" si="241"/>
        <v/>
      </c>
      <c r="AJ136" s="29" t="str">
        <f t="shared" si="241"/>
        <v/>
      </c>
      <c r="AK136" s="29" t="str">
        <f t="shared" si="241"/>
        <v/>
      </c>
      <c r="AL136" s="29" t="str">
        <f t="shared" si="241"/>
        <v/>
      </c>
      <c r="AM136" s="29" t="str">
        <f t="shared" si="241"/>
        <v/>
      </c>
      <c r="AN136" s="29" t="str">
        <f t="shared" ref="AN136:AS136" si="242">IF(AN$3="","",AM136)</f>
        <v/>
      </c>
      <c r="AO136" s="29" t="str">
        <f t="shared" si="242"/>
        <v/>
      </c>
      <c r="AP136" s="29" t="str">
        <f t="shared" si="242"/>
        <v/>
      </c>
      <c r="AQ136" s="29" t="str">
        <f t="shared" si="242"/>
        <v/>
      </c>
      <c r="AR136" s="29" t="str">
        <f t="shared" si="242"/>
        <v/>
      </c>
      <c r="AS136" s="29" t="str">
        <f t="shared" si="242"/>
        <v/>
      </c>
    </row>
    <row r="137" spans="1:45" s="1" customFormat="1" ht="11">
      <c r="A137" s="15">
        <v>1</v>
      </c>
      <c r="B137" s="30" t="s">
        <v>5</v>
      </c>
      <c r="C137" s="65">
        <v>7</v>
      </c>
      <c r="D137" s="29">
        <f>IF(D$3="","",(C137+C138))</f>
        <v>7</v>
      </c>
      <c r="E137" s="29">
        <v>5</v>
      </c>
      <c r="F137" s="54">
        <f t="shared" ref="F137:K137" si="243">IF(F$3="","",(E137+E138))</f>
        <v>7</v>
      </c>
      <c r="G137" s="29">
        <f t="shared" si="243"/>
        <v>7</v>
      </c>
      <c r="H137" s="29">
        <f t="shared" si="243"/>
        <v>7</v>
      </c>
      <c r="I137" s="54">
        <f t="shared" si="243"/>
        <v>7</v>
      </c>
      <c r="J137" s="29">
        <f t="shared" si="243"/>
        <v>7</v>
      </c>
      <c r="K137" s="29">
        <f t="shared" si="243"/>
        <v>7</v>
      </c>
      <c r="L137" s="29">
        <v>6</v>
      </c>
      <c r="M137" s="29">
        <f>IF(M$3="","",(L137+L138))</f>
        <v>6</v>
      </c>
      <c r="N137" s="29">
        <f>IF(N$3="","",(M137+M138))</f>
        <v>6</v>
      </c>
      <c r="O137" s="29">
        <v>5</v>
      </c>
      <c r="P137" s="29">
        <f t="shared" ref="P137:AM137" si="244">IF(P$3="","",(O137+O138))</f>
        <v>6</v>
      </c>
      <c r="Q137" s="29">
        <f t="shared" si="244"/>
        <v>6</v>
      </c>
      <c r="R137" s="29">
        <f t="shared" si="244"/>
        <v>6</v>
      </c>
      <c r="S137" s="29">
        <f t="shared" si="244"/>
        <v>6</v>
      </c>
      <c r="T137" s="29">
        <f t="shared" si="244"/>
        <v>6</v>
      </c>
      <c r="U137" s="29">
        <f t="shared" si="244"/>
        <v>6</v>
      </c>
      <c r="V137" s="29">
        <v>3</v>
      </c>
      <c r="W137" s="29">
        <f t="shared" si="244"/>
        <v>8</v>
      </c>
      <c r="X137" s="29">
        <f t="shared" si="244"/>
        <v>8</v>
      </c>
      <c r="Y137" s="29">
        <f t="shared" si="244"/>
        <v>8</v>
      </c>
      <c r="Z137" s="29">
        <f t="shared" si="244"/>
        <v>8</v>
      </c>
      <c r="AA137" s="29">
        <f t="shared" si="244"/>
        <v>8</v>
      </c>
      <c r="AB137" s="29">
        <f t="shared" si="244"/>
        <v>8</v>
      </c>
      <c r="AC137" s="29">
        <f t="shared" si="244"/>
        <v>8</v>
      </c>
      <c r="AD137" s="29">
        <f t="shared" si="244"/>
        <v>8</v>
      </c>
      <c r="AE137" s="29" t="str">
        <f t="shared" si="244"/>
        <v/>
      </c>
      <c r="AF137" s="29" t="str">
        <f t="shared" si="244"/>
        <v/>
      </c>
      <c r="AG137" s="29" t="str">
        <f t="shared" si="244"/>
        <v/>
      </c>
      <c r="AH137" s="29" t="str">
        <f t="shared" si="244"/>
        <v/>
      </c>
      <c r="AI137" s="29" t="str">
        <f t="shared" si="244"/>
        <v/>
      </c>
      <c r="AJ137" s="29" t="str">
        <f t="shared" si="244"/>
        <v/>
      </c>
      <c r="AK137" s="29" t="str">
        <f t="shared" si="244"/>
        <v/>
      </c>
      <c r="AL137" s="29" t="str">
        <f t="shared" si="244"/>
        <v/>
      </c>
      <c r="AM137" s="29" t="str">
        <f t="shared" si="244"/>
        <v/>
      </c>
      <c r="AN137" s="29" t="str">
        <f t="shared" ref="AN137:AS137" si="245">IF(AN$3="","",(AM137+AM138))</f>
        <v/>
      </c>
      <c r="AO137" s="29" t="str">
        <f t="shared" si="245"/>
        <v/>
      </c>
      <c r="AP137" s="29" t="str">
        <f t="shared" si="245"/>
        <v/>
      </c>
      <c r="AQ137" s="29" t="str">
        <f t="shared" si="245"/>
        <v/>
      </c>
      <c r="AR137" s="29" t="str">
        <f t="shared" si="245"/>
        <v/>
      </c>
      <c r="AS137" s="29" t="str">
        <f t="shared" si="245"/>
        <v/>
      </c>
    </row>
    <row r="138" spans="1:45" s="1" customFormat="1" ht="11">
      <c r="A138" s="101" t="s">
        <v>6</v>
      </c>
      <c r="B138" s="30" t="s">
        <v>7</v>
      </c>
      <c r="C138" s="65"/>
      <c r="D138" s="29"/>
      <c r="E138" s="29">
        <v>2</v>
      </c>
      <c r="F138" s="54"/>
      <c r="G138" s="29"/>
      <c r="H138" s="29"/>
      <c r="I138" s="54"/>
      <c r="J138" s="29"/>
      <c r="K138" s="29"/>
      <c r="L138" s="29"/>
      <c r="M138" s="29"/>
      <c r="N138" s="29"/>
      <c r="O138" s="29">
        <v>1</v>
      </c>
      <c r="P138" s="29"/>
      <c r="Q138" s="29"/>
      <c r="R138" s="29"/>
      <c r="S138" s="29"/>
      <c r="T138" s="29"/>
      <c r="U138" s="29"/>
      <c r="V138" s="29">
        <v>5</v>
      </c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 spans="1:45" s="1" customFormat="1" ht="11">
      <c r="A139" s="102">
        <f>+(A142+A154+A166+A178)*100</f>
        <v>244500</v>
      </c>
      <c r="B139" s="30" t="s">
        <v>8</v>
      </c>
      <c r="C139" s="64">
        <v>800</v>
      </c>
      <c r="D139" s="35">
        <f t="shared" ref="D139:AM139" si="246">IF(D$3="","",C139)</f>
        <v>800</v>
      </c>
      <c r="E139" s="35">
        <f t="shared" si="246"/>
        <v>800</v>
      </c>
      <c r="F139" s="128">
        <f t="shared" si="246"/>
        <v>800</v>
      </c>
      <c r="G139" s="35">
        <f t="shared" si="246"/>
        <v>800</v>
      </c>
      <c r="H139" s="35">
        <f t="shared" si="246"/>
        <v>800</v>
      </c>
      <c r="I139" s="128">
        <f t="shared" si="246"/>
        <v>800</v>
      </c>
      <c r="J139" s="35">
        <f t="shared" si="246"/>
        <v>800</v>
      </c>
      <c r="K139" s="35">
        <f t="shared" si="246"/>
        <v>800</v>
      </c>
      <c r="L139" s="35">
        <f t="shared" si="246"/>
        <v>800</v>
      </c>
      <c r="M139" s="35">
        <f t="shared" si="246"/>
        <v>800</v>
      </c>
      <c r="N139" s="35">
        <f t="shared" si="246"/>
        <v>800</v>
      </c>
      <c r="O139" s="35">
        <f t="shared" si="246"/>
        <v>800</v>
      </c>
      <c r="P139" s="35">
        <f t="shared" si="246"/>
        <v>800</v>
      </c>
      <c r="Q139" s="35">
        <f t="shared" si="246"/>
        <v>800</v>
      </c>
      <c r="R139" s="35">
        <f t="shared" si="246"/>
        <v>800</v>
      </c>
      <c r="S139" s="35">
        <f t="shared" si="246"/>
        <v>800</v>
      </c>
      <c r="T139" s="35">
        <f t="shared" si="246"/>
        <v>800</v>
      </c>
      <c r="U139" s="35">
        <f t="shared" si="246"/>
        <v>800</v>
      </c>
      <c r="V139" s="35">
        <f t="shared" si="246"/>
        <v>800</v>
      </c>
      <c r="W139" s="35">
        <f t="shared" si="246"/>
        <v>800</v>
      </c>
      <c r="X139" s="35">
        <f t="shared" si="246"/>
        <v>800</v>
      </c>
      <c r="Y139" s="35">
        <f t="shared" si="246"/>
        <v>800</v>
      </c>
      <c r="Z139" s="35">
        <f t="shared" si="246"/>
        <v>800</v>
      </c>
      <c r="AA139" s="35">
        <f t="shared" si="246"/>
        <v>800</v>
      </c>
      <c r="AB139" s="35">
        <f t="shared" si="246"/>
        <v>800</v>
      </c>
      <c r="AC139" s="35">
        <f t="shared" si="246"/>
        <v>800</v>
      </c>
      <c r="AD139" s="35">
        <f t="shared" si="246"/>
        <v>800</v>
      </c>
      <c r="AE139" s="35" t="str">
        <f t="shared" si="246"/>
        <v/>
      </c>
      <c r="AF139" s="35" t="str">
        <f t="shared" si="246"/>
        <v/>
      </c>
      <c r="AG139" s="35" t="str">
        <f t="shared" si="246"/>
        <v/>
      </c>
      <c r="AH139" s="35" t="str">
        <f t="shared" si="246"/>
        <v/>
      </c>
      <c r="AI139" s="35" t="str">
        <f t="shared" si="246"/>
        <v/>
      </c>
      <c r="AJ139" s="35" t="str">
        <f t="shared" si="246"/>
        <v/>
      </c>
      <c r="AK139" s="35" t="str">
        <f t="shared" si="246"/>
        <v/>
      </c>
      <c r="AL139" s="35" t="str">
        <f t="shared" si="246"/>
        <v/>
      </c>
      <c r="AM139" s="35" t="str">
        <f t="shared" si="246"/>
        <v/>
      </c>
      <c r="AN139" s="35" t="str">
        <f t="shared" ref="AN139:AS139" si="247">IF(AN$3="","",AM139)</f>
        <v/>
      </c>
      <c r="AO139" s="35" t="str">
        <f t="shared" si="247"/>
        <v/>
      </c>
      <c r="AP139" s="35" t="str">
        <f t="shared" si="247"/>
        <v/>
      </c>
      <c r="AQ139" s="35" t="str">
        <f t="shared" si="247"/>
        <v/>
      </c>
      <c r="AR139" s="35" t="str">
        <f t="shared" si="247"/>
        <v/>
      </c>
      <c r="AS139" s="35" t="str">
        <f t="shared" si="247"/>
        <v/>
      </c>
    </row>
    <row r="140" spans="1:45" s="94" customFormat="1" ht="11">
      <c r="A140" s="14" t="s">
        <v>9</v>
      </c>
      <c r="B140" s="33" t="s">
        <v>10</v>
      </c>
      <c r="C140" s="63" t="s">
        <v>38</v>
      </c>
      <c r="D140" s="32" t="str">
        <f t="shared" ref="D140:AM140" si="248">IF(D$3="","",C140)</f>
        <v>PRO4</v>
      </c>
      <c r="E140" s="32" t="str">
        <f t="shared" si="248"/>
        <v>PRO4</v>
      </c>
      <c r="F140" s="129" t="str">
        <f t="shared" si="248"/>
        <v>PRO4</v>
      </c>
      <c r="G140" s="32" t="str">
        <f t="shared" si="248"/>
        <v>PRO4</v>
      </c>
      <c r="H140" s="32" t="str">
        <f t="shared" si="248"/>
        <v>PRO4</v>
      </c>
      <c r="I140" s="129" t="str">
        <f t="shared" si="248"/>
        <v>PRO4</v>
      </c>
      <c r="J140" s="32" t="str">
        <f t="shared" si="248"/>
        <v>PRO4</v>
      </c>
      <c r="K140" s="32" t="str">
        <f t="shared" si="248"/>
        <v>PRO4</v>
      </c>
      <c r="L140" s="32" t="str">
        <f t="shared" si="248"/>
        <v>PRO4</v>
      </c>
      <c r="M140" s="32" t="str">
        <f t="shared" si="248"/>
        <v>PRO4</v>
      </c>
      <c r="N140" s="32" t="str">
        <f t="shared" si="248"/>
        <v>PRO4</v>
      </c>
      <c r="O140" s="32" t="str">
        <f t="shared" si="248"/>
        <v>PRO4</v>
      </c>
      <c r="P140" s="32" t="str">
        <f t="shared" si="248"/>
        <v>PRO4</v>
      </c>
      <c r="Q140" s="32" t="str">
        <f t="shared" si="248"/>
        <v>PRO4</v>
      </c>
      <c r="R140" s="32" t="str">
        <f t="shared" si="248"/>
        <v>PRO4</v>
      </c>
      <c r="S140" s="32" t="str">
        <f t="shared" si="248"/>
        <v>PRO4</v>
      </c>
      <c r="T140" s="32" t="str">
        <f t="shared" si="248"/>
        <v>PRO4</v>
      </c>
      <c r="U140" s="32" t="str">
        <f t="shared" si="248"/>
        <v>PRO4</v>
      </c>
      <c r="V140" s="32" t="str">
        <f t="shared" si="248"/>
        <v>PRO4</v>
      </c>
      <c r="W140" s="32" t="str">
        <f t="shared" si="248"/>
        <v>PRO4</v>
      </c>
      <c r="X140" s="32" t="str">
        <f t="shared" si="248"/>
        <v>PRO4</v>
      </c>
      <c r="Y140" s="32" t="str">
        <f t="shared" si="248"/>
        <v>PRO4</v>
      </c>
      <c r="Z140" s="32" t="str">
        <f t="shared" si="248"/>
        <v>PRO4</v>
      </c>
      <c r="AA140" s="32" t="str">
        <f t="shared" si="248"/>
        <v>PRO4</v>
      </c>
      <c r="AB140" s="32" t="str">
        <f t="shared" si="248"/>
        <v>PRO4</v>
      </c>
      <c r="AC140" s="32" t="str">
        <f t="shared" si="248"/>
        <v>PRO4</v>
      </c>
      <c r="AD140" s="32" t="str">
        <f t="shared" si="248"/>
        <v>PRO4</v>
      </c>
      <c r="AE140" s="32" t="str">
        <f t="shared" si="248"/>
        <v/>
      </c>
      <c r="AF140" s="32" t="str">
        <f t="shared" si="248"/>
        <v/>
      </c>
      <c r="AG140" s="32" t="str">
        <f t="shared" si="248"/>
        <v/>
      </c>
      <c r="AH140" s="32" t="str">
        <f t="shared" si="248"/>
        <v/>
      </c>
      <c r="AI140" s="32" t="str">
        <f t="shared" si="248"/>
        <v/>
      </c>
      <c r="AJ140" s="32" t="str">
        <f t="shared" si="248"/>
        <v/>
      </c>
      <c r="AK140" s="32" t="str">
        <f t="shared" si="248"/>
        <v/>
      </c>
      <c r="AL140" s="32" t="str">
        <f t="shared" si="248"/>
        <v/>
      </c>
      <c r="AM140" s="32" t="str">
        <f t="shared" si="248"/>
        <v/>
      </c>
      <c r="AN140" s="32" t="str">
        <f t="shared" ref="AN140:AS140" si="249">IF(AN$3="","",AM140)</f>
        <v/>
      </c>
      <c r="AO140" s="32" t="str">
        <f t="shared" si="249"/>
        <v/>
      </c>
      <c r="AP140" s="32" t="str">
        <f t="shared" si="249"/>
        <v/>
      </c>
      <c r="AQ140" s="32" t="str">
        <f t="shared" si="249"/>
        <v/>
      </c>
      <c r="AR140" s="32" t="str">
        <f t="shared" si="249"/>
        <v/>
      </c>
      <c r="AS140" s="32" t="str">
        <f t="shared" si="249"/>
        <v/>
      </c>
    </row>
    <row r="141" spans="1:45" s="1" customFormat="1" ht="11">
      <c r="A141" s="7">
        <f>AVERAGE(C142:AS142)*30*100</f>
        <v>79821.42857142858</v>
      </c>
      <c r="B141" s="30" t="s">
        <v>14</v>
      </c>
      <c r="C141" s="65"/>
      <c r="D141" s="29"/>
      <c r="E141" s="29"/>
      <c r="F141" s="54"/>
      <c r="G141" s="29"/>
      <c r="H141" s="29"/>
      <c r="I141" s="54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 spans="1:45" s="1" customFormat="1" ht="11">
      <c r="A142" s="7">
        <f>SUM(C142:AS142)</f>
        <v>745</v>
      </c>
      <c r="B142" s="27" t="s">
        <v>15</v>
      </c>
      <c r="C142" s="65">
        <v>0</v>
      </c>
      <c r="D142" s="26">
        <f t="shared" ref="D142:AM142" si="250">IF(D$3="","",D135-C135)</f>
        <v>0</v>
      </c>
      <c r="E142" s="26">
        <f t="shared" si="250"/>
        <v>79</v>
      </c>
      <c r="F142" s="54">
        <f t="shared" si="250"/>
        <v>0</v>
      </c>
      <c r="G142" s="26">
        <f t="shared" si="250"/>
        <v>0</v>
      </c>
      <c r="H142" s="26">
        <f t="shared" si="250"/>
        <v>139</v>
      </c>
      <c r="I142" s="54">
        <f t="shared" si="250"/>
        <v>0</v>
      </c>
      <c r="J142" s="26">
        <f t="shared" si="250"/>
        <v>0</v>
      </c>
      <c r="K142" s="26">
        <f t="shared" si="250"/>
        <v>0</v>
      </c>
      <c r="L142" s="26">
        <f t="shared" si="250"/>
        <v>50</v>
      </c>
      <c r="M142" s="26">
        <f t="shared" si="250"/>
        <v>0</v>
      </c>
      <c r="N142" s="26">
        <f t="shared" si="250"/>
        <v>0</v>
      </c>
      <c r="O142" s="26">
        <f t="shared" si="250"/>
        <v>75</v>
      </c>
      <c r="P142" s="26">
        <f t="shared" si="250"/>
        <v>0</v>
      </c>
      <c r="Q142" s="26">
        <f t="shared" si="250"/>
        <v>0</v>
      </c>
      <c r="R142" s="26">
        <f t="shared" si="250"/>
        <v>0</v>
      </c>
      <c r="S142" s="26">
        <f t="shared" si="250"/>
        <v>82</v>
      </c>
      <c r="T142" s="26">
        <f t="shared" si="250"/>
        <v>0</v>
      </c>
      <c r="U142" s="26">
        <f t="shared" si="250"/>
        <v>0</v>
      </c>
      <c r="V142" s="26">
        <f t="shared" si="250"/>
        <v>157</v>
      </c>
      <c r="W142" s="26">
        <f t="shared" si="250"/>
        <v>0</v>
      </c>
      <c r="X142" s="26">
        <f t="shared" si="250"/>
        <v>0</v>
      </c>
      <c r="Y142" s="26">
        <f t="shared" si="250"/>
        <v>0</v>
      </c>
      <c r="Z142" s="26">
        <f t="shared" si="250"/>
        <v>0</v>
      </c>
      <c r="AA142" s="26">
        <f t="shared" si="250"/>
        <v>0</v>
      </c>
      <c r="AB142" s="26">
        <f t="shared" si="250"/>
        <v>0</v>
      </c>
      <c r="AC142" s="26">
        <f t="shared" si="250"/>
        <v>0</v>
      </c>
      <c r="AD142" s="26">
        <f t="shared" si="250"/>
        <v>163</v>
      </c>
      <c r="AE142" s="26" t="str">
        <f t="shared" si="250"/>
        <v/>
      </c>
      <c r="AF142" s="26" t="str">
        <f t="shared" si="250"/>
        <v/>
      </c>
      <c r="AG142" s="26" t="str">
        <f t="shared" si="250"/>
        <v/>
      </c>
      <c r="AH142" s="26" t="str">
        <f t="shared" si="250"/>
        <v/>
      </c>
      <c r="AI142" s="26" t="str">
        <f t="shared" si="250"/>
        <v/>
      </c>
      <c r="AJ142" s="26" t="str">
        <f t="shared" si="250"/>
        <v/>
      </c>
      <c r="AK142" s="26" t="str">
        <f t="shared" si="250"/>
        <v/>
      </c>
      <c r="AL142" s="26" t="str">
        <f t="shared" si="250"/>
        <v/>
      </c>
      <c r="AM142" s="26" t="str">
        <f t="shared" si="250"/>
        <v/>
      </c>
      <c r="AN142" s="26" t="str">
        <f t="shared" ref="AN142:AS142" si="251">IF(AN$3="","",AN135-AM135)</f>
        <v/>
      </c>
      <c r="AO142" s="26" t="str">
        <f t="shared" si="251"/>
        <v/>
      </c>
      <c r="AP142" s="26" t="str">
        <f t="shared" si="251"/>
        <v/>
      </c>
      <c r="AQ142" s="26" t="str">
        <f t="shared" si="251"/>
        <v/>
      </c>
      <c r="AR142" s="26" t="str">
        <f t="shared" si="251"/>
        <v/>
      </c>
      <c r="AS142" s="26" t="str">
        <f t="shared" si="251"/>
        <v/>
      </c>
    </row>
    <row r="143" spans="1:45" s="1" customFormat="1" ht="11">
      <c r="A143" s="7">
        <f>SUM(C143:AS143)</f>
        <v>8</v>
      </c>
      <c r="B143" s="27" t="s">
        <v>16</v>
      </c>
      <c r="C143" s="65">
        <v>0</v>
      </c>
      <c r="D143" s="26">
        <f t="shared" ref="D143:AM143" si="252">IF(D$3="","",D136-C136)</f>
        <v>0</v>
      </c>
      <c r="E143" s="26">
        <f t="shared" si="252"/>
        <v>2</v>
      </c>
      <c r="F143" s="54">
        <f t="shared" si="252"/>
        <v>0</v>
      </c>
      <c r="G143" s="26">
        <f t="shared" si="252"/>
        <v>0</v>
      </c>
      <c r="H143" s="26">
        <f t="shared" si="252"/>
        <v>1</v>
      </c>
      <c r="I143" s="54">
        <f t="shared" si="252"/>
        <v>0</v>
      </c>
      <c r="J143" s="26">
        <f t="shared" si="252"/>
        <v>0</v>
      </c>
      <c r="K143" s="26">
        <f t="shared" si="252"/>
        <v>0</v>
      </c>
      <c r="L143" s="26">
        <f t="shared" si="252"/>
        <v>1</v>
      </c>
      <c r="M143" s="26">
        <f t="shared" si="252"/>
        <v>0</v>
      </c>
      <c r="N143" s="26">
        <f t="shared" si="252"/>
        <v>0</v>
      </c>
      <c r="O143" s="26">
        <f t="shared" si="252"/>
        <v>1</v>
      </c>
      <c r="P143" s="26">
        <f t="shared" si="252"/>
        <v>0</v>
      </c>
      <c r="Q143" s="26">
        <f t="shared" si="252"/>
        <v>0</v>
      </c>
      <c r="R143" s="26">
        <f t="shared" si="252"/>
        <v>0</v>
      </c>
      <c r="S143" s="26">
        <f t="shared" si="252"/>
        <v>0</v>
      </c>
      <c r="T143" s="26">
        <f t="shared" si="252"/>
        <v>0</v>
      </c>
      <c r="U143" s="26">
        <f t="shared" si="252"/>
        <v>0</v>
      </c>
      <c r="V143" s="26">
        <f t="shared" si="252"/>
        <v>1</v>
      </c>
      <c r="W143" s="26">
        <f t="shared" si="252"/>
        <v>0</v>
      </c>
      <c r="X143" s="26">
        <f t="shared" si="252"/>
        <v>0</v>
      </c>
      <c r="Y143" s="26">
        <f t="shared" si="252"/>
        <v>0</v>
      </c>
      <c r="Z143" s="26">
        <f t="shared" si="252"/>
        <v>0</v>
      </c>
      <c r="AA143" s="26">
        <f t="shared" si="252"/>
        <v>0</v>
      </c>
      <c r="AB143" s="26">
        <f t="shared" si="252"/>
        <v>0</v>
      </c>
      <c r="AC143" s="26">
        <f t="shared" si="252"/>
        <v>0</v>
      </c>
      <c r="AD143" s="26">
        <f t="shared" si="252"/>
        <v>2</v>
      </c>
      <c r="AE143" s="26" t="str">
        <f t="shared" si="252"/>
        <v/>
      </c>
      <c r="AF143" s="26" t="str">
        <f t="shared" si="252"/>
        <v/>
      </c>
      <c r="AG143" s="26" t="str">
        <f t="shared" si="252"/>
        <v/>
      </c>
      <c r="AH143" s="26" t="str">
        <f t="shared" si="252"/>
        <v/>
      </c>
      <c r="AI143" s="26" t="str">
        <f t="shared" si="252"/>
        <v/>
      </c>
      <c r="AJ143" s="26" t="str">
        <f t="shared" si="252"/>
        <v/>
      </c>
      <c r="AK143" s="26" t="str">
        <f t="shared" si="252"/>
        <v/>
      </c>
      <c r="AL143" s="26" t="str">
        <f t="shared" si="252"/>
        <v/>
      </c>
      <c r="AM143" s="26" t="str">
        <f t="shared" si="252"/>
        <v/>
      </c>
      <c r="AN143" s="26" t="str">
        <f t="shared" ref="AN143:AS143" si="253">IF(AN$3="","",AN136-AM136)</f>
        <v/>
      </c>
      <c r="AO143" s="26" t="str">
        <f t="shared" si="253"/>
        <v/>
      </c>
      <c r="AP143" s="26" t="str">
        <f t="shared" si="253"/>
        <v/>
      </c>
      <c r="AQ143" s="26" t="str">
        <f t="shared" si="253"/>
        <v/>
      </c>
      <c r="AR143" s="26" t="str">
        <f t="shared" si="253"/>
        <v/>
      </c>
      <c r="AS143" s="26" t="str">
        <f t="shared" si="253"/>
        <v/>
      </c>
    </row>
    <row r="144" spans="1:45" s="1" customFormat="1" ht="11">
      <c r="A144" s="7">
        <f>SUM(C144:AS144)</f>
        <v>7</v>
      </c>
      <c r="B144" s="27" t="s">
        <v>17</v>
      </c>
      <c r="C144" s="65">
        <v>0</v>
      </c>
      <c r="D144" s="26">
        <f t="shared" ref="D144:AM144" si="254">IF(D$3="","",C137+C138-D137)</f>
        <v>0</v>
      </c>
      <c r="E144" s="26">
        <f t="shared" si="254"/>
        <v>2</v>
      </c>
      <c r="F144" s="54">
        <f t="shared" si="254"/>
        <v>0</v>
      </c>
      <c r="G144" s="26">
        <f t="shared" si="254"/>
        <v>0</v>
      </c>
      <c r="H144" s="26">
        <f t="shared" si="254"/>
        <v>0</v>
      </c>
      <c r="I144" s="54">
        <f t="shared" si="254"/>
        <v>0</v>
      </c>
      <c r="J144" s="26">
        <f t="shared" si="254"/>
        <v>0</v>
      </c>
      <c r="K144" s="26">
        <f t="shared" si="254"/>
        <v>0</v>
      </c>
      <c r="L144" s="26">
        <f t="shared" si="254"/>
        <v>1</v>
      </c>
      <c r="M144" s="26">
        <f t="shared" si="254"/>
        <v>0</v>
      </c>
      <c r="N144" s="26">
        <f t="shared" si="254"/>
        <v>0</v>
      </c>
      <c r="O144" s="26">
        <f t="shared" si="254"/>
        <v>1</v>
      </c>
      <c r="P144" s="26">
        <f t="shared" si="254"/>
        <v>0</v>
      </c>
      <c r="Q144" s="26">
        <f t="shared" si="254"/>
        <v>0</v>
      </c>
      <c r="R144" s="26">
        <f t="shared" si="254"/>
        <v>0</v>
      </c>
      <c r="S144" s="26">
        <f t="shared" si="254"/>
        <v>0</v>
      </c>
      <c r="T144" s="26">
        <f t="shared" si="254"/>
        <v>0</v>
      </c>
      <c r="U144" s="26">
        <f t="shared" si="254"/>
        <v>0</v>
      </c>
      <c r="V144" s="26">
        <f t="shared" si="254"/>
        <v>3</v>
      </c>
      <c r="W144" s="26">
        <f t="shared" si="254"/>
        <v>0</v>
      </c>
      <c r="X144" s="26">
        <f t="shared" si="254"/>
        <v>0</v>
      </c>
      <c r="Y144" s="26">
        <f t="shared" si="254"/>
        <v>0</v>
      </c>
      <c r="Z144" s="26">
        <f t="shared" si="254"/>
        <v>0</v>
      </c>
      <c r="AA144" s="26">
        <f t="shared" si="254"/>
        <v>0</v>
      </c>
      <c r="AB144" s="26">
        <f t="shared" si="254"/>
        <v>0</v>
      </c>
      <c r="AC144" s="26">
        <f t="shared" si="254"/>
        <v>0</v>
      </c>
      <c r="AD144" s="26">
        <f t="shared" si="254"/>
        <v>0</v>
      </c>
      <c r="AE144" s="26" t="str">
        <f t="shared" si="254"/>
        <v/>
      </c>
      <c r="AF144" s="26" t="str">
        <f t="shared" si="254"/>
        <v/>
      </c>
      <c r="AG144" s="26" t="str">
        <f t="shared" si="254"/>
        <v/>
      </c>
      <c r="AH144" s="26" t="str">
        <f t="shared" si="254"/>
        <v/>
      </c>
      <c r="AI144" s="26" t="str">
        <f t="shared" si="254"/>
        <v/>
      </c>
      <c r="AJ144" s="26" t="str">
        <f t="shared" si="254"/>
        <v/>
      </c>
      <c r="AK144" s="26" t="str">
        <f t="shared" si="254"/>
        <v/>
      </c>
      <c r="AL144" s="26" t="str">
        <f t="shared" si="254"/>
        <v/>
      </c>
      <c r="AM144" s="26" t="str">
        <f t="shared" si="254"/>
        <v/>
      </c>
      <c r="AN144" s="26" t="str">
        <f t="shared" ref="AN144:AS144" si="255">IF(AN$3="","",AM137+AM138-AN137)</f>
        <v/>
      </c>
      <c r="AO144" s="26" t="str">
        <f t="shared" si="255"/>
        <v/>
      </c>
      <c r="AP144" s="26" t="str">
        <f t="shared" si="255"/>
        <v/>
      </c>
      <c r="AQ144" s="26" t="str">
        <f t="shared" si="255"/>
        <v/>
      </c>
      <c r="AR144" s="26" t="str">
        <f t="shared" si="255"/>
        <v/>
      </c>
      <c r="AS144" s="26" t="str">
        <f t="shared" si="255"/>
        <v/>
      </c>
    </row>
    <row r="145" spans="1:45" s="1" customFormat="1" ht="11">
      <c r="A145" s="7">
        <f>SUM(C145:AS145)</f>
        <v>5600</v>
      </c>
      <c r="B145" s="27" t="s">
        <v>18</v>
      </c>
      <c r="C145" s="65">
        <v>0</v>
      </c>
      <c r="D145" s="26">
        <f t="shared" ref="D145:AM145" si="256">IF(D$3="","",D144*D139)</f>
        <v>0</v>
      </c>
      <c r="E145" s="26">
        <f t="shared" si="256"/>
        <v>1600</v>
      </c>
      <c r="F145" s="54">
        <f t="shared" si="256"/>
        <v>0</v>
      </c>
      <c r="G145" s="26">
        <f t="shared" si="256"/>
        <v>0</v>
      </c>
      <c r="H145" s="26">
        <f t="shared" si="256"/>
        <v>0</v>
      </c>
      <c r="I145" s="54">
        <f t="shared" si="256"/>
        <v>0</v>
      </c>
      <c r="J145" s="26">
        <f t="shared" si="256"/>
        <v>0</v>
      </c>
      <c r="K145" s="26">
        <f t="shared" si="256"/>
        <v>0</v>
      </c>
      <c r="L145" s="26">
        <f t="shared" si="256"/>
        <v>800</v>
      </c>
      <c r="M145" s="26">
        <f t="shared" si="256"/>
        <v>0</v>
      </c>
      <c r="N145" s="26">
        <f t="shared" si="256"/>
        <v>0</v>
      </c>
      <c r="O145" s="26">
        <f t="shared" si="256"/>
        <v>800</v>
      </c>
      <c r="P145" s="26">
        <f t="shared" si="256"/>
        <v>0</v>
      </c>
      <c r="Q145" s="26">
        <f t="shared" si="256"/>
        <v>0</v>
      </c>
      <c r="R145" s="26">
        <f t="shared" si="256"/>
        <v>0</v>
      </c>
      <c r="S145" s="26">
        <f t="shared" si="256"/>
        <v>0</v>
      </c>
      <c r="T145" s="26">
        <f t="shared" si="256"/>
        <v>0</v>
      </c>
      <c r="U145" s="26">
        <f t="shared" si="256"/>
        <v>0</v>
      </c>
      <c r="V145" s="26">
        <f t="shared" si="256"/>
        <v>2400</v>
      </c>
      <c r="W145" s="26">
        <f t="shared" si="256"/>
        <v>0</v>
      </c>
      <c r="X145" s="26">
        <f t="shared" si="256"/>
        <v>0</v>
      </c>
      <c r="Y145" s="26">
        <f t="shared" si="256"/>
        <v>0</v>
      </c>
      <c r="Z145" s="26">
        <f t="shared" si="256"/>
        <v>0</v>
      </c>
      <c r="AA145" s="26">
        <f t="shared" si="256"/>
        <v>0</v>
      </c>
      <c r="AB145" s="26">
        <f t="shared" si="256"/>
        <v>0</v>
      </c>
      <c r="AC145" s="26">
        <f t="shared" si="256"/>
        <v>0</v>
      </c>
      <c r="AD145" s="26">
        <f t="shared" si="256"/>
        <v>0</v>
      </c>
      <c r="AE145" s="26" t="str">
        <f t="shared" si="256"/>
        <v/>
      </c>
      <c r="AF145" s="26" t="str">
        <f t="shared" si="256"/>
        <v/>
      </c>
      <c r="AG145" s="26" t="str">
        <f t="shared" si="256"/>
        <v/>
      </c>
      <c r="AH145" s="26" t="str">
        <f t="shared" si="256"/>
        <v/>
      </c>
      <c r="AI145" s="26" t="str">
        <f t="shared" si="256"/>
        <v/>
      </c>
      <c r="AJ145" s="26" t="str">
        <f t="shared" si="256"/>
        <v/>
      </c>
      <c r="AK145" s="26" t="str">
        <f t="shared" si="256"/>
        <v/>
      </c>
      <c r="AL145" s="26" t="str">
        <f t="shared" si="256"/>
        <v/>
      </c>
      <c r="AM145" s="26" t="str">
        <f t="shared" si="256"/>
        <v/>
      </c>
      <c r="AN145" s="26" t="str">
        <f t="shared" ref="AN145:AS145" si="257">IF(AN$3="","",AN144*AN139)</f>
        <v/>
      </c>
      <c r="AO145" s="26" t="str">
        <f t="shared" si="257"/>
        <v/>
      </c>
      <c r="AP145" s="26" t="str">
        <f t="shared" si="257"/>
        <v/>
      </c>
      <c r="AQ145" s="26" t="str">
        <f t="shared" si="257"/>
        <v/>
      </c>
      <c r="AR145" s="26" t="str">
        <f t="shared" si="257"/>
        <v/>
      </c>
      <c r="AS145" s="26" t="str">
        <f t="shared" si="257"/>
        <v/>
      </c>
    </row>
    <row r="146" spans="1:45" s="1" customFormat="1" ht="12" thickBot="1">
      <c r="A146" s="4">
        <f>IF(A145="","",A145/(A142*100))</f>
        <v>7.5167785234899323E-2</v>
      </c>
      <c r="B146" s="27" t="s">
        <v>20</v>
      </c>
      <c r="C146" s="68" t="s">
        <v>21</v>
      </c>
      <c r="D146" s="44" t="str">
        <f t="shared" ref="D146:AM146" si="258">IF(D$3="","",IF(D145=0,"",D145/(D142*100)))</f>
        <v/>
      </c>
      <c r="E146" s="44">
        <f t="shared" si="258"/>
        <v>0.20253164556962025</v>
      </c>
      <c r="F146" s="132" t="str">
        <f t="shared" si="258"/>
        <v/>
      </c>
      <c r="G146" s="44" t="str">
        <f t="shared" si="258"/>
        <v/>
      </c>
      <c r="H146" s="44" t="str">
        <f t="shared" si="258"/>
        <v/>
      </c>
      <c r="I146" s="132" t="str">
        <f t="shared" si="258"/>
        <v/>
      </c>
      <c r="J146" s="44" t="str">
        <f t="shared" si="258"/>
        <v/>
      </c>
      <c r="K146" s="44" t="str">
        <f t="shared" si="258"/>
        <v/>
      </c>
      <c r="L146" s="44">
        <f t="shared" si="258"/>
        <v>0.16</v>
      </c>
      <c r="M146" s="44" t="str">
        <f t="shared" si="258"/>
        <v/>
      </c>
      <c r="N146" s="44" t="str">
        <f t="shared" si="258"/>
        <v/>
      </c>
      <c r="O146" s="44">
        <f t="shared" si="258"/>
        <v>0.10666666666666667</v>
      </c>
      <c r="P146" s="44" t="str">
        <f t="shared" si="258"/>
        <v/>
      </c>
      <c r="Q146" s="44" t="str">
        <f t="shared" si="258"/>
        <v/>
      </c>
      <c r="R146" s="44" t="str">
        <f t="shared" si="258"/>
        <v/>
      </c>
      <c r="S146" s="44" t="str">
        <f t="shared" si="258"/>
        <v/>
      </c>
      <c r="T146" s="44" t="str">
        <f t="shared" si="258"/>
        <v/>
      </c>
      <c r="U146" s="44" t="str">
        <f t="shared" si="258"/>
        <v/>
      </c>
      <c r="V146" s="44">
        <f t="shared" si="258"/>
        <v>0.15286624203821655</v>
      </c>
      <c r="W146" s="44" t="str">
        <f t="shared" si="258"/>
        <v/>
      </c>
      <c r="X146" s="44" t="str">
        <f t="shared" si="258"/>
        <v/>
      </c>
      <c r="Y146" s="44" t="str">
        <f t="shared" si="258"/>
        <v/>
      </c>
      <c r="Z146" s="44" t="str">
        <f t="shared" si="258"/>
        <v/>
      </c>
      <c r="AA146" s="44" t="str">
        <f t="shared" si="258"/>
        <v/>
      </c>
      <c r="AB146" s="44" t="str">
        <f t="shared" si="258"/>
        <v/>
      </c>
      <c r="AC146" s="44" t="str">
        <f t="shared" si="258"/>
        <v/>
      </c>
      <c r="AD146" s="44" t="str">
        <f t="shared" si="258"/>
        <v/>
      </c>
      <c r="AE146" s="44" t="str">
        <f t="shared" si="258"/>
        <v/>
      </c>
      <c r="AF146" s="44" t="str">
        <f t="shared" si="258"/>
        <v/>
      </c>
      <c r="AG146" s="44" t="str">
        <f t="shared" si="258"/>
        <v/>
      </c>
      <c r="AH146" s="44" t="str">
        <f t="shared" si="258"/>
        <v/>
      </c>
      <c r="AI146" s="44" t="str">
        <f t="shared" si="258"/>
        <v/>
      </c>
      <c r="AJ146" s="44" t="str">
        <f t="shared" si="258"/>
        <v/>
      </c>
      <c r="AK146" s="44" t="str">
        <f t="shared" si="258"/>
        <v/>
      </c>
      <c r="AL146" s="44" t="str">
        <f t="shared" si="258"/>
        <v/>
      </c>
      <c r="AM146" s="44" t="str">
        <f t="shared" si="258"/>
        <v/>
      </c>
      <c r="AN146" s="44" t="str">
        <f t="shared" ref="AN146:AS146" si="259">IF(AN$3="","",IF(AN145=0,"",AN145/(AN142*100)))</f>
        <v/>
      </c>
      <c r="AO146" s="44" t="str">
        <f t="shared" si="259"/>
        <v/>
      </c>
      <c r="AP146" s="44" t="str">
        <f t="shared" si="259"/>
        <v/>
      </c>
      <c r="AQ146" s="44" t="str">
        <f t="shared" si="259"/>
        <v/>
      </c>
      <c r="AR146" s="44" t="str">
        <f t="shared" si="259"/>
        <v/>
      </c>
      <c r="AS146" s="44" t="str">
        <f t="shared" si="259"/>
        <v/>
      </c>
    </row>
    <row r="147" spans="1:45" s="1" customFormat="1" ht="11">
      <c r="A147" s="17" t="s">
        <v>113</v>
      </c>
      <c r="B147" s="42" t="s">
        <v>2</v>
      </c>
      <c r="C147" s="64">
        <v>3231</v>
      </c>
      <c r="D147" s="35">
        <f>IF(D$3="","",C147)</f>
        <v>3231</v>
      </c>
      <c r="E147" s="35">
        <v>3285</v>
      </c>
      <c r="F147" s="128">
        <f>IF(F$3="","",E147)</f>
        <v>3285</v>
      </c>
      <c r="G147" s="35">
        <f>IF(G$3="","",F147)</f>
        <v>3285</v>
      </c>
      <c r="H147" s="35">
        <v>3408</v>
      </c>
      <c r="I147" s="128">
        <f t="shared" ref="I147:K148" si="260">IF(I$3="","",H147)</f>
        <v>3408</v>
      </c>
      <c r="J147" s="35">
        <f t="shared" si="260"/>
        <v>3408</v>
      </c>
      <c r="K147" s="35">
        <f t="shared" si="260"/>
        <v>3408</v>
      </c>
      <c r="L147" s="35">
        <v>3473</v>
      </c>
      <c r="M147" s="35">
        <f>IF(M$3="","",L147)</f>
        <v>3473</v>
      </c>
      <c r="N147" s="35">
        <f>IF(N$3="","",M147)</f>
        <v>3473</v>
      </c>
      <c r="O147" s="35">
        <v>3527</v>
      </c>
      <c r="P147" s="35">
        <f t="shared" ref="P147:AM147" si="261">IF(P$3="","",O147)</f>
        <v>3527</v>
      </c>
      <c r="Q147" s="35">
        <f t="shared" si="261"/>
        <v>3527</v>
      </c>
      <c r="R147" s="35">
        <f t="shared" si="261"/>
        <v>3527</v>
      </c>
      <c r="S147" s="35">
        <v>3584</v>
      </c>
      <c r="T147" s="35">
        <f t="shared" si="261"/>
        <v>3584</v>
      </c>
      <c r="U147" s="35">
        <f t="shared" si="261"/>
        <v>3584</v>
      </c>
      <c r="V147" s="35">
        <v>3656</v>
      </c>
      <c r="W147" s="35">
        <f t="shared" si="261"/>
        <v>3656</v>
      </c>
      <c r="X147" s="35">
        <f t="shared" si="261"/>
        <v>3656</v>
      </c>
      <c r="Y147" s="35">
        <f t="shared" si="261"/>
        <v>3656</v>
      </c>
      <c r="Z147" s="35">
        <f t="shared" si="261"/>
        <v>3656</v>
      </c>
      <c r="AA147" s="35">
        <f t="shared" si="261"/>
        <v>3656</v>
      </c>
      <c r="AB147" s="35">
        <f t="shared" si="261"/>
        <v>3656</v>
      </c>
      <c r="AC147" s="35">
        <f t="shared" si="261"/>
        <v>3656</v>
      </c>
      <c r="AD147" s="35">
        <v>3903</v>
      </c>
      <c r="AE147" s="35" t="str">
        <f t="shared" si="261"/>
        <v/>
      </c>
      <c r="AF147" s="35" t="str">
        <f t="shared" si="261"/>
        <v/>
      </c>
      <c r="AG147" s="35" t="str">
        <f t="shared" si="261"/>
        <v/>
      </c>
      <c r="AH147" s="35" t="str">
        <f t="shared" si="261"/>
        <v/>
      </c>
      <c r="AI147" s="35" t="str">
        <f t="shared" si="261"/>
        <v/>
      </c>
      <c r="AJ147" s="35" t="str">
        <f t="shared" si="261"/>
        <v/>
      </c>
      <c r="AK147" s="35" t="str">
        <f t="shared" si="261"/>
        <v/>
      </c>
      <c r="AL147" s="35" t="str">
        <f t="shared" si="261"/>
        <v/>
      </c>
      <c r="AM147" s="35" t="str">
        <f t="shared" si="261"/>
        <v/>
      </c>
      <c r="AN147" s="35" t="str">
        <f t="shared" ref="AN147:AS147" si="262">IF(AN$3="","",AM147)</f>
        <v/>
      </c>
      <c r="AO147" s="35" t="str">
        <f t="shared" si="262"/>
        <v/>
      </c>
      <c r="AP147" s="35" t="str">
        <f t="shared" si="262"/>
        <v/>
      </c>
      <c r="AQ147" s="35" t="str">
        <f t="shared" si="262"/>
        <v/>
      </c>
      <c r="AR147" s="35" t="str">
        <f t="shared" si="262"/>
        <v/>
      </c>
      <c r="AS147" s="35" t="str">
        <f t="shared" si="262"/>
        <v/>
      </c>
    </row>
    <row r="148" spans="1:45" s="1" customFormat="1" ht="11">
      <c r="A148" s="16" t="s">
        <v>53</v>
      </c>
      <c r="B148" s="30" t="s">
        <v>4</v>
      </c>
      <c r="C148" s="65">
        <v>114</v>
      </c>
      <c r="D148" s="29">
        <f>IF(D$3="","",C148)</f>
        <v>114</v>
      </c>
      <c r="E148" s="29">
        <v>115</v>
      </c>
      <c r="F148" s="54">
        <f>IF(F$3="","",E148)</f>
        <v>115</v>
      </c>
      <c r="G148" s="29">
        <f>IF(G$3="","",F148)</f>
        <v>115</v>
      </c>
      <c r="H148" s="29">
        <v>119</v>
      </c>
      <c r="I148" s="54">
        <f t="shared" si="260"/>
        <v>119</v>
      </c>
      <c r="J148" s="29">
        <f t="shared" si="260"/>
        <v>119</v>
      </c>
      <c r="K148" s="29">
        <f t="shared" si="260"/>
        <v>119</v>
      </c>
      <c r="L148" s="29">
        <v>120</v>
      </c>
      <c r="M148" s="29">
        <f>IF(M$3="","",L148)</f>
        <v>120</v>
      </c>
      <c r="N148" s="29">
        <f>IF(N$3="","",M148)</f>
        <v>120</v>
      </c>
      <c r="O148" s="29">
        <f>IF(O$3="","",N148)</f>
        <v>120</v>
      </c>
      <c r="P148" s="29">
        <f t="shared" ref="P148:AM148" si="263">IF(P$3="","",O148)</f>
        <v>120</v>
      </c>
      <c r="Q148" s="29">
        <f t="shared" si="263"/>
        <v>120</v>
      </c>
      <c r="R148" s="29">
        <f t="shared" si="263"/>
        <v>120</v>
      </c>
      <c r="S148" s="29">
        <v>121</v>
      </c>
      <c r="T148" s="29">
        <f t="shared" si="263"/>
        <v>121</v>
      </c>
      <c r="U148" s="29">
        <f t="shared" si="263"/>
        <v>121</v>
      </c>
      <c r="V148" s="29">
        <v>122</v>
      </c>
      <c r="W148" s="29">
        <f t="shared" si="263"/>
        <v>122</v>
      </c>
      <c r="X148" s="29">
        <f t="shared" si="263"/>
        <v>122</v>
      </c>
      <c r="Y148" s="29">
        <f t="shared" si="263"/>
        <v>122</v>
      </c>
      <c r="Z148" s="29">
        <f t="shared" si="263"/>
        <v>122</v>
      </c>
      <c r="AA148" s="29">
        <f t="shared" si="263"/>
        <v>122</v>
      </c>
      <c r="AB148" s="29">
        <f t="shared" si="263"/>
        <v>122</v>
      </c>
      <c r="AC148" s="29">
        <f t="shared" si="263"/>
        <v>122</v>
      </c>
      <c r="AD148" s="29">
        <v>127</v>
      </c>
      <c r="AE148" s="29" t="str">
        <f t="shared" si="263"/>
        <v/>
      </c>
      <c r="AF148" s="29" t="str">
        <f t="shared" si="263"/>
        <v/>
      </c>
      <c r="AG148" s="29" t="str">
        <f t="shared" si="263"/>
        <v/>
      </c>
      <c r="AH148" s="29" t="str">
        <f t="shared" si="263"/>
        <v/>
      </c>
      <c r="AI148" s="29" t="str">
        <f t="shared" si="263"/>
        <v/>
      </c>
      <c r="AJ148" s="29" t="str">
        <f t="shared" si="263"/>
        <v/>
      </c>
      <c r="AK148" s="29" t="str">
        <f t="shared" si="263"/>
        <v/>
      </c>
      <c r="AL148" s="29" t="str">
        <f t="shared" si="263"/>
        <v/>
      </c>
      <c r="AM148" s="29" t="str">
        <f t="shared" si="263"/>
        <v/>
      </c>
      <c r="AN148" s="29" t="str">
        <f t="shared" ref="AN148:AS148" si="264">IF(AN$3="","",AM148)</f>
        <v/>
      </c>
      <c r="AO148" s="29" t="str">
        <f t="shared" si="264"/>
        <v/>
      </c>
      <c r="AP148" s="29" t="str">
        <f t="shared" si="264"/>
        <v/>
      </c>
      <c r="AQ148" s="29" t="str">
        <f t="shared" si="264"/>
        <v/>
      </c>
      <c r="AR148" s="29" t="str">
        <f t="shared" si="264"/>
        <v/>
      </c>
      <c r="AS148" s="29" t="str">
        <f t="shared" si="264"/>
        <v/>
      </c>
    </row>
    <row r="149" spans="1:45" s="1" customFormat="1" ht="11">
      <c r="A149" s="15">
        <v>2</v>
      </c>
      <c r="B149" s="30" t="s">
        <v>5</v>
      </c>
      <c r="C149" s="65">
        <v>4</v>
      </c>
      <c r="D149" s="29">
        <f>IF(D$3="","",(C149+C150))</f>
        <v>4</v>
      </c>
      <c r="E149" s="29">
        <v>3</v>
      </c>
      <c r="F149" s="54">
        <f>IF(F$3="","",(E149+E150))</f>
        <v>4</v>
      </c>
      <c r="G149" s="29">
        <f>IF(G$3="","",(F149+F150))</f>
        <v>4</v>
      </c>
      <c r="H149" s="29">
        <v>0</v>
      </c>
      <c r="I149" s="54">
        <f>IF(I$3="","",(H149+H150))</f>
        <v>3</v>
      </c>
      <c r="J149" s="29">
        <f>IF(J$3="","",(I149+I150))</f>
        <v>3</v>
      </c>
      <c r="K149" s="29">
        <f>IF(K$3="","",(J149+J150))</f>
        <v>3</v>
      </c>
      <c r="L149" s="29">
        <v>2</v>
      </c>
      <c r="M149" s="29">
        <f t="shared" ref="M149:AM149" si="265">IF(M$3="","",(L149+L150))</f>
        <v>4</v>
      </c>
      <c r="N149" s="29">
        <f t="shared" si="265"/>
        <v>4</v>
      </c>
      <c r="O149" s="29">
        <f t="shared" si="265"/>
        <v>4</v>
      </c>
      <c r="P149" s="29">
        <f t="shared" si="265"/>
        <v>4</v>
      </c>
      <c r="Q149" s="29">
        <f t="shared" si="265"/>
        <v>4</v>
      </c>
      <c r="R149" s="29">
        <f t="shared" si="265"/>
        <v>4</v>
      </c>
      <c r="S149" s="29">
        <v>2</v>
      </c>
      <c r="T149" s="29">
        <f t="shared" si="265"/>
        <v>2</v>
      </c>
      <c r="U149" s="29">
        <f t="shared" si="265"/>
        <v>2</v>
      </c>
      <c r="V149" s="29">
        <f t="shared" si="265"/>
        <v>2</v>
      </c>
      <c r="W149" s="29">
        <f t="shared" si="265"/>
        <v>5</v>
      </c>
      <c r="X149" s="29">
        <f t="shared" si="265"/>
        <v>5</v>
      </c>
      <c r="Y149" s="29">
        <f t="shared" si="265"/>
        <v>5</v>
      </c>
      <c r="Z149" s="29">
        <f t="shared" si="265"/>
        <v>5</v>
      </c>
      <c r="AA149" s="29">
        <f t="shared" si="265"/>
        <v>5</v>
      </c>
      <c r="AB149" s="29">
        <f t="shared" si="265"/>
        <v>5</v>
      </c>
      <c r="AC149" s="29">
        <f t="shared" si="265"/>
        <v>5</v>
      </c>
      <c r="AD149" s="29">
        <f t="shared" si="265"/>
        <v>5</v>
      </c>
      <c r="AE149" s="29" t="str">
        <f t="shared" si="265"/>
        <v/>
      </c>
      <c r="AF149" s="29" t="str">
        <f t="shared" si="265"/>
        <v/>
      </c>
      <c r="AG149" s="29" t="str">
        <f t="shared" si="265"/>
        <v/>
      </c>
      <c r="AH149" s="29" t="str">
        <f t="shared" si="265"/>
        <v/>
      </c>
      <c r="AI149" s="29" t="str">
        <f t="shared" si="265"/>
        <v/>
      </c>
      <c r="AJ149" s="29" t="str">
        <f t="shared" si="265"/>
        <v/>
      </c>
      <c r="AK149" s="29" t="str">
        <f t="shared" si="265"/>
        <v/>
      </c>
      <c r="AL149" s="29" t="str">
        <f t="shared" si="265"/>
        <v/>
      </c>
      <c r="AM149" s="29" t="str">
        <f t="shared" si="265"/>
        <v/>
      </c>
      <c r="AN149" s="29" t="str">
        <f t="shared" ref="AN149:AS149" si="266">IF(AN$3="","",(AM149+AM150))</f>
        <v/>
      </c>
      <c r="AO149" s="29" t="str">
        <f t="shared" si="266"/>
        <v/>
      </c>
      <c r="AP149" s="29" t="str">
        <f t="shared" si="266"/>
        <v/>
      </c>
      <c r="AQ149" s="29" t="str">
        <f t="shared" si="266"/>
        <v/>
      </c>
      <c r="AR149" s="29" t="str">
        <f t="shared" si="266"/>
        <v/>
      </c>
      <c r="AS149" s="29" t="str">
        <f t="shared" si="266"/>
        <v/>
      </c>
    </row>
    <row r="150" spans="1:45" s="1" customFormat="1" ht="11">
      <c r="A150" s="14"/>
      <c r="B150" s="30" t="s">
        <v>7</v>
      </c>
      <c r="C150" s="65"/>
      <c r="D150" s="29"/>
      <c r="E150" s="29">
        <v>1</v>
      </c>
      <c r="F150" s="54"/>
      <c r="G150" s="29"/>
      <c r="H150" s="29">
        <v>3</v>
      </c>
      <c r="I150" s="54"/>
      <c r="J150" s="29"/>
      <c r="K150" s="29"/>
      <c r="L150" s="29">
        <v>2</v>
      </c>
      <c r="M150" s="29"/>
      <c r="N150" s="29"/>
      <c r="O150" s="29"/>
      <c r="P150" s="29"/>
      <c r="Q150" s="29"/>
      <c r="R150" s="29"/>
      <c r="S150" s="29"/>
      <c r="T150" s="29"/>
      <c r="U150" s="29"/>
      <c r="V150" s="29">
        <v>3</v>
      </c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 spans="1:45" s="1" customFormat="1" ht="11">
      <c r="A151" s="7"/>
      <c r="B151" s="30" t="s">
        <v>8</v>
      </c>
      <c r="C151" s="64">
        <v>0</v>
      </c>
      <c r="D151" s="35">
        <f t="shared" ref="D151:AM151" si="267">IF(D$3="","",C151)</f>
        <v>0</v>
      </c>
      <c r="E151" s="35">
        <f t="shared" si="267"/>
        <v>0</v>
      </c>
      <c r="F151" s="128">
        <f t="shared" si="267"/>
        <v>0</v>
      </c>
      <c r="G151" s="35">
        <f t="shared" si="267"/>
        <v>0</v>
      </c>
      <c r="H151" s="35">
        <f t="shared" si="267"/>
        <v>0</v>
      </c>
      <c r="I151" s="128">
        <f t="shared" si="267"/>
        <v>0</v>
      </c>
      <c r="J151" s="35">
        <f t="shared" si="267"/>
        <v>0</v>
      </c>
      <c r="K151" s="35">
        <f t="shared" si="267"/>
        <v>0</v>
      </c>
      <c r="L151" s="35">
        <f t="shared" si="267"/>
        <v>0</v>
      </c>
      <c r="M151" s="35">
        <f t="shared" si="267"/>
        <v>0</v>
      </c>
      <c r="N151" s="35">
        <f t="shared" si="267"/>
        <v>0</v>
      </c>
      <c r="O151" s="35">
        <f t="shared" si="267"/>
        <v>0</v>
      </c>
      <c r="P151" s="35">
        <f t="shared" si="267"/>
        <v>0</v>
      </c>
      <c r="Q151" s="35">
        <f t="shared" si="267"/>
        <v>0</v>
      </c>
      <c r="R151" s="35">
        <f t="shared" si="267"/>
        <v>0</v>
      </c>
      <c r="S151" s="35">
        <f t="shared" si="267"/>
        <v>0</v>
      </c>
      <c r="T151" s="35">
        <f t="shared" si="267"/>
        <v>0</v>
      </c>
      <c r="U151" s="35">
        <f t="shared" si="267"/>
        <v>0</v>
      </c>
      <c r="V151" s="35">
        <f t="shared" si="267"/>
        <v>0</v>
      </c>
      <c r="W151" s="35">
        <f t="shared" si="267"/>
        <v>0</v>
      </c>
      <c r="X151" s="35">
        <f t="shared" si="267"/>
        <v>0</v>
      </c>
      <c r="Y151" s="35">
        <f t="shared" si="267"/>
        <v>0</v>
      </c>
      <c r="Z151" s="35">
        <f t="shared" si="267"/>
        <v>0</v>
      </c>
      <c r="AA151" s="35">
        <f t="shared" si="267"/>
        <v>0</v>
      </c>
      <c r="AB151" s="35">
        <f t="shared" si="267"/>
        <v>0</v>
      </c>
      <c r="AC151" s="35">
        <f t="shared" si="267"/>
        <v>0</v>
      </c>
      <c r="AD151" s="35">
        <f t="shared" si="267"/>
        <v>0</v>
      </c>
      <c r="AE151" s="35" t="str">
        <f t="shared" si="267"/>
        <v/>
      </c>
      <c r="AF151" s="35" t="str">
        <f t="shared" si="267"/>
        <v/>
      </c>
      <c r="AG151" s="35" t="str">
        <f t="shared" si="267"/>
        <v/>
      </c>
      <c r="AH151" s="35" t="str">
        <f t="shared" si="267"/>
        <v/>
      </c>
      <c r="AI151" s="35" t="str">
        <f t="shared" si="267"/>
        <v/>
      </c>
      <c r="AJ151" s="35" t="str">
        <f t="shared" si="267"/>
        <v/>
      </c>
      <c r="AK151" s="35" t="str">
        <f t="shared" si="267"/>
        <v/>
      </c>
      <c r="AL151" s="35" t="str">
        <f t="shared" si="267"/>
        <v/>
      </c>
      <c r="AM151" s="35" t="str">
        <f t="shared" si="267"/>
        <v/>
      </c>
      <c r="AN151" s="35" t="str">
        <f t="shared" ref="AN151:AS151" si="268">IF(AN$3="","",AM151)</f>
        <v/>
      </c>
      <c r="AO151" s="35" t="str">
        <f t="shared" si="268"/>
        <v/>
      </c>
      <c r="AP151" s="35" t="str">
        <f t="shared" si="268"/>
        <v/>
      </c>
      <c r="AQ151" s="35" t="str">
        <f t="shared" si="268"/>
        <v/>
      </c>
      <c r="AR151" s="35" t="str">
        <f t="shared" si="268"/>
        <v/>
      </c>
      <c r="AS151" s="35" t="str">
        <f t="shared" si="268"/>
        <v/>
      </c>
    </row>
    <row r="152" spans="1:45" s="94" customFormat="1" ht="11">
      <c r="A152" s="14" t="s">
        <v>9</v>
      </c>
      <c r="B152" s="33" t="s">
        <v>10</v>
      </c>
      <c r="C152" s="63" t="s">
        <v>67</v>
      </c>
      <c r="D152" s="32" t="str">
        <f t="shared" ref="D152:AM152" si="269">IF(D$3="","",C152)</f>
        <v>キティバンスクリップ</v>
      </c>
      <c r="E152" s="32" t="str">
        <f t="shared" si="269"/>
        <v>キティバンスクリップ</v>
      </c>
      <c r="F152" s="129" t="str">
        <f t="shared" si="269"/>
        <v>キティバンスクリップ</v>
      </c>
      <c r="G152" s="32" t="str">
        <f t="shared" si="269"/>
        <v>キティバンスクリップ</v>
      </c>
      <c r="H152" s="32" t="str">
        <f t="shared" si="269"/>
        <v>キティバンスクリップ</v>
      </c>
      <c r="I152" s="129" t="str">
        <f t="shared" si="269"/>
        <v>キティバンスクリップ</v>
      </c>
      <c r="J152" s="32" t="str">
        <f t="shared" si="269"/>
        <v>キティバンスクリップ</v>
      </c>
      <c r="K152" s="32" t="str">
        <f t="shared" si="269"/>
        <v>キティバンスクリップ</v>
      </c>
      <c r="L152" s="32" t="str">
        <f t="shared" si="269"/>
        <v>キティバンスクリップ</v>
      </c>
      <c r="M152" s="32" t="str">
        <f t="shared" si="269"/>
        <v>キティバンスクリップ</v>
      </c>
      <c r="N152" s="32" t="str">
        <f t="shared" si="269"/>
        <v>キティバンスクリップ</v>
      </c>
      <c r="O152" s="32" t="str">
        <f t="shared" si="269"/>
        <v>キティバンスクリップ</v>
      </c>
      <c r="P152" s="32" t="str">
        <f t="shared" si="269"/>
        <v>キティバンスクリップ</v>
      </c>
      <c r="Q152" s="32" t="str">
        <f t="shared" si="269"/>
        <v>キティバンスクリップ</v>
      </c>
      <c r="R152" s="32" t="str">
        <f t="shared" si="269"/>
        <v>キティバンスクリップ</v>
      </c>
      <c r="S152" s="32" t="str">
        <f t="shared" si="269"/>
        <v>キティバンスクリップ</v>
      </c>
      <c r="T152" s="32" t="str">
        <f t="shared" si="269"/>
        <v>キティバンスクリップ</v>
      </c>
      <c r="U152" s="32" t="str">
        <f t="shared" si="269"/>
        <v>キティバンスクリップ</v>
      </c>
      <c r="V152" s="32" t="s">
        <v>410</v>
      </c>
      <c r="W152" s="32" t="str">
        <f t="shared" si="269"/>
        <v>バタースクイーズ</v>
      </c>
      <c r="X152" s="32" t="str">
        <f t="shared" si="269"/>
        <v>バタースクイーズ</v>
      </c>
      <c r="Y152" s="32" t="str">
        <f t="shared" si="269"/>
        <v>バタースクイーズ</v>
      </c>
      <c r="Z152" s="32" t="str">
        <f t="shared" si="269"/>
        <v>バタースクイーズ</v>
      </c>
      <c r="AA152" s="32" t="str">
        <f t="shared" si="269"/>
        <v>バタースクイーズ</v>
      </c>
      <c r="AB152" s="32" t="str">
        <f t="shared" si="269"/>
        <v>バタースクイーズ</v>
      </c>
      <c r="AC152" s="32" t="str">
        <f t="shared" si="269"/>
        <v>バタースクイーズ</v>
      </c>
      <c r="AD152" s="32" t="str">
        <f t="shared" si="269"/>
        <v>バタースクイーズ</v>
      </c>
      <c r="AE152" s="32" t="str">
        <f t="shared" si="269"/>
        <v/>
      </c>
      <c r="AF152" s="32" t="str">
        <f t="shared" si="269"/>
        <v/>
      </c>
      <c r="AG152" s="32" t="str">
        <f t="shared" si="269"/>
        <v/>
      </c>
      <c r="AH152" s="32" t="str">
        <f t="shared" si="269"/>
        <v/>
      </c>
      <c r="AI152" s="32" t="str">
        <f t="shared" si="269"/>
        <v/>
      </c>
      <c r="AJ152" s="32" t="str">
        <f t="shared" si="269"/>
        <v/>
      </c>
      <c r="AK152" s="32" t="str">
        <f t="shared" si="269"/>
        <v/>
      </c>
      <c r="AL152" s="32" t="str">
        <f t="shared" si="269"/>
        <v/>
      </c>
      <c r="AM152" s="32" t="str">
        <f t="shared" si="269"/>
        <v/>
      </c>
      <c r="AN152" s="32" t="str">
        <f t="shared" ref="AN152:AS152" si="270">IF(AN$3="","",AM152)</f>
        <v/>
      </c>
      <c r="AO152" s="32" t="str">
        <f t="shared" si="270"/>
        <v/>
      </c>
      <c r="AP152" s="32" t="str">
        <f t="shared" si="270"/>
        <v/>
      </c>
      <c r="AQ152" s="32" t="str">
        <f t="shared" si="270"/>
        <v/>
      </c>
      <c r="AR152" s="32" t="str">
        <f t="shared" si="270"/>
        <v/>
      </c>
      <c r="AS152" s="32" t="str">
        <f t="shared" si="270"/>
        <v/>
      </c>
    </row>
    <row r="153" spans="1:45" s="1" customFormat="1" ht="11">
      <c r="A153" s="7">
        <f>AVERAGE(C154:AS154)*30*100</f>
        <v>72000</v>
      </c>
      <c r="B153" s="30" t="s">
        <v>14</v>
      </c>
      <c r="C153" s="65"/>
      <c r="D153" s="29"/>
      <c r="E153" s="29"/>
      <c r="F153" s="54"/>
      <c r="G153" s="29"/>
      <c r="H153" s="29"/>
      <c r="I153" s="54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 spans="1:45" s="1" customFormat="1" ht="11">
      <c r="A154" s="7">
        <f>SUM(C154:AS154)</f>
        <v>672</v>
      </c>
      <c r="B154" s="27" t="s">
        <v>15</v>
      </c>
      <c r="C154" s="65">
        <v>0</v>
      </c>
      <c r="D154" s="26">
        <f t="shared" ref="D154:AM154" si="271">IF(D$3="","",D147-C147)</f>
        <v>0</v>
      </c>
      <c r="E154" s="26">
        <f t="shared" si="271"/>
        <v>54</v>
      </c>
      <c r="F154" s="54">
        <f t="shared" si="271"/>
        <v>0</v>
      </c>
      <c r="G154" s="26">
        <f t="shared" si="271"/>
        <v>0</v>
      </c>
      <c r="H154" s="26">
        <f t="shared" si="271"/>
        <v>123</v>
      </c>
      <c r="I154" s="54">
        <f t="shared" si="271"/>
        <v>0</v>
      </c>
      <c r="J154" s="26">
        <f t="shared" si="271"/>
        <v>0</v>
      </c>
      <c r="K154" s="26">
        <f t="shared" si="271"/>
        <v>0</v>
      </c>
      <c r="L154" s="26">
        <f t="shared" si="271"/>
        <v>65</v>
      </c>
      <c r="M154" s="26">
        <f t="shared" si="271"/>
        <v>0</v>
      </c>
      <c r="N154" s="26">
        <f t="shared" si="271"/>
        <v>0</v>
      </c>
      <c r="O154" s="26">
        <f t="shared" si="271"/>
        <v>54</v>
      </c>
      <c r="P154" s="26">
        <f t="shared" si="271"/>
        <v>0</v>
      </c>
      <c r="Q154" s="26">
        <f t="shared" si="271"/>
        <v>0</v>
      </c>
      <c r="R154" s="26">
        <f t="shared" si="271"/>
        <v>0</v>
      </c>
      <c r="S154" s="26">
        <f t="shared" si="271"/>
        <v>57</v>
      </c>
      <c r="T154" s="26">
        <f t="shared" si="271"/>
        <v>0</v>
      </c>
      <c r="U154" s="26">
        <f t="shared" si="271"/>
        <v>0</v>
      </c>
      <c r="V154" s="26">
        <f t="shared" si="271"/>
        <v>72</v>
      </c>
      <c r="W154" s="26">
        <f t="shared" si="271"/>
        <v>0</v>
      </c>
      <c r="X154" s="26">
        <f t="shared" si="271"/>
        <v>0</v>
      </c>
      <c r="Y154" s="26">
        <f t="shared" si="271"/>
        <v>0</v>
      </c>
      <c r="Z154" s="26">
        <f t="shared" si="271"/>
        <v>0</v>
      </c>
      <c r="AA154" s="26">
        <f t="shared" si="271"/>
        <v>0</v>
      </c>
      <c r="AB154" s="26">
        <f t="shared" si="271"/>
        <v>0</v>
      </c>
      <c r="AC154" s="26">
        <f t="shared" si="271"/>
        <v>0</v>
      </c>
      <c r="AD154" s="26">
        <f t="shared" si="271"/>
        <v>247</v>
      </c>
      <c r="AE154" s="26" t="str">
        <f t="shared" si="271"/>
        <v/>
      </c>
      <c r="AF154" s="26" t="str">
        <f t="shared" si="271"/>
        <v/>
      </c>
      <c r="AG154" s="26" t="str">
        <f t="shared" si="271"/>
        <v/>
      </c>
      <c r="AH154" s="26" t="str">
        <f t="shared" si="271"/>
        <v/>
      </c>
      <c r="AI154" s="26" t="str">
        <f t="shared" si="271"/>
        <v/>
      </c>
      <c r="AJ154" s="26" t="str">
        <f t="shared" si="271"/>
        <v/>
      </c>
      <c r="AK154" s="26" t="str">
        <f t="shared" si="271"/>
        <v/>
      </c>
      <c r="AL154" s="26" t="str">
        <f t="shared" si="271"/>
        <v/>
      </c>
      <c r="AM154" s="26" t="str">
        <f t="shared" si="271"/>
        <v/>
      </c>
      <c r="AN154" s="26" t="str">
        <f t="shared" ref="AN154:AS154" si="272">IF(AN$3="","",AN147-AM147)</f>
        <v/>
      </c>
      <c r="AO154" s="26" t="str">
        <f t="shared" si="272"/>
        <v/>
      </c>
      <c r="AP154" s="26" t="str">
        <f t="shared" si="272"/>
        <v/>
      </c>
      <c r="AQ154" s="26" t="str">
        <f t="shared" si="272"/>
        <v/>
      </c>
      <c r="AR154" s="26" t="str">
        <f t="shared" si="272"/>
        <v/>
      </c>
      <c r="AS154" s="26" t="str">
        <f t="shared" si="272"/>
        <v/>
      </c>
    </row>
    <row r="155" spans="1:45" s="1" customFormat="1" ht="11">
      <c r="A155" s="7">
        <f>SUM(C155:AS155)</f>
        <v>13</v>
      </c>
      <c r="B155" s="27" t="s">
        <v>16</v>
      </c>
      <c r="C155" s="65">
        <v>0</v>
      </c>
      <c r="D155" s="26">
        <f t="shared" ref="D155:AM155" si="273">IF(D$3="","",D148-C148)</f>
        <v>0</v>
      </c>
      <c r="E155" s="26">
        <f t="shared" si="273"/>
        <v>1</v>
      </c>
      <c r="F155" s="54">
        <f t="shared" si="273"/>
        <v>0</v>
      </c>
      <c r="G155" s="26">
        <f t="shared" si="273"/>
        <v>0</v>
      </c>
      <c r="H155" s="26">
        <f t="shared" si="273"/>
        <v>4</v>
      </c>
      <c r="I155" s="54">
        <f t="shared" si="273"/>
        <v>0</v>
      </c>
      <c r="J155" s="26">
        <f t="shared" si="273"/>
        <v>0</v>
      </c>
      <c r="K155" s="26">
        <f t="shared" si="273"/>
        <v>0</v>
      </c>
      <c r="L155" s="26">
        <f t="shared" si="273"/>
        <v>1</v>
      </c>
      <c r="M155" s="26">
        <f t="shared" si="273"/>
        <v>0</v>
      </c>
      <c r="N155" s="26">
        <f t="shared" si="273"/>
        <v>0</v>
      </c>
      <c r="O155" s="26">
        <f t="shared" si="273"/>
        <v>0</v>
      </c>
      <c r="P155" s="26">
        <f t="shared" si="273"/>
        <v>0</v>
      </c>
      <c r="Q155" s="26">
        <f t="shared" si="273"/>
        <v>0</v>
      </c>
      <c r="R155" s="26">
        <f t="shared" si="273"/>
        <v>0</v>
      </c>
      <c r="S155" s="26">
        <f t="shared" si="273"/>
        <v>1</v>
      </c>
      <c r="T155" s="26">
        <f t="shared" si="273"/>
        <v>0</v>
      </c>
      <c r="U155" s="26">
        <f t="shared" si="273"/>
        <v>0</v>
      </c>
      <c r="V155" s="26">
        <f t="shared" si="273"/>
        <v>1</v>
      </c>
      <c r="W155" s="26">
        <f t="shared" si="273"/>
        <v>0</v>
      </c>
      <c r="X155" s="26">
        <f t="shared" si="273"/>
        <v>0</v>
      </c>
      <c r="Y155" s="26">
        <f t="shared" si="273"/>
        <v>0</v>
      </c>
      <c r="Z155" s="26">
        <f t="shared" si="273"/>
        <v>0</v>
      </c>
      <c r="AA155" s="26">
        <f t="shared" si="273"/>
        <v>0</v>
      </c>
      <c r="AB155" s="26">
        <f t="shared" si="273"/>
        <v>0</v>
      </c>
      <c r="AC155" s="26">
        <f t="shared" si="273"/>
        <v>0</v>
      </c>
      <c r="AD155" s="26">
        <f t="shared" si="273"/>
        <v>5</v>
      </c>
      <c r="AE155" s="26" t="str">
        <f t="shared" si="273"/>
        <v/>
      </c>
      <c r="AF155" s="26" t="str">
        <f t="shared" si="273"/>
        <v/>
      </c>
      <c r="AG155" s="26" t="str">
        <f t="shared" si="273"/>
        <v/>
      </c>
      <c r="AH155" s="26" t="str">
        <f t="shared" si="273"/>
        <v/>
      </c>
      <c r="AI155" s="26" t="str">
        <f t="shared" si="273"/>
        <v/>
      </c>
      <c r="AJ155" s="26" t="str">
        <f t="shared" si="273"/>
        <v/>
      </c>
      <c r="AK155" s="26" t="str">
        <f t="shared" si="273"/>
        <v/>
      </c>
      <c r="AL155" s="26" t="str">
        <f t="shared" si="273"/>
        <v/>
      </c>
      <c r="AM155" s="26" t="str">
        <f t="shared" si="273"/>
        <v/>
      </c>
      <c r="AN155" s="26" t="str">
        <f t="shared" ref="AN155:AS155" si="274">IF(AN$3="","",AN148-AM148)</f>
        <v/>
      </c>
      <c r="AO155" s="26" t="str">
        <f t="shared" si="274"/>
        <v/>
      </c>
      <c r="AP155" s="26" t="str">
        <f t="shared" si="274"/>
        <v/>
      </c>
      <c r="AQ155" s="26" t="str">
        <f t="shared" si="274"/>
        <v/>
      </c>
      <c r="AR155" s="26" t="str">
        <f t="shared" si="274"/>
        <v/>
      </c>
      <c r="AS155" s="26" t="str">
        <f t="shared" si="274"/>
        <v/>
      </c>
    </row>
    <row r="156" spans="1:45" s="1" customFormat="1" ht="11">
      <c r="A156" s="7">
        <f>SUM(C156:AS156)</f>
        <v>8</v>
      </c>
      <c r="B156" s="27" t="s">
        <v>17</v>
      </c>
      <c r="C156" s="65">
        <v>0</v>
      </c>
      <c r="D156" s="26">
        <f t="shared" ref="D156:AM156" si="275">IF(D$3="","",C149+C150-D149)</f>
        <v>0</v>
      </c>
      <c r="E156" s="26">
        <f t="shared" si="275"/>
        <v>1</v>
      </c>
      <c r="F156" s="54">
        <f t="shared" si="275"/>
        <v>0</v>
      </c>
      <c r="G156" s="26">
        <f t="shared" si="275"/>
        <v>0</v>
      </c>
      <c r="H156" s="26">
        <f t="shared" si="275"/>
        <v>4</v>
      </c>
      <c r="I156" s="54">
        <f t="shared" si="275"/>
        <v>0</v>
      </c>
      <c r="J156" s="26">
        <f t="shared" si="275"/>
        <v>0</v>
      </c>
      <c r="K156" s="26">
        <f t="shared" si="275"/>
        <v>0</v>
      </c>
      <c r="L156" s="26">
        <f t="shared" si="275"/>
        <v>1</v>
      </c>
      <c r="M156" s="26">
        <f t="shared" si="275"/>
        <v>0</v>
      </c>
      <c r="N156" s="26">
        <f t="shared" si="275"/>
        <v>0</v>
      </c>
      <c r="O156" s="26">
        <f t="shared" si="275"/>
        <v>0</v>
      </c>
      <c r="P156" s="26">
        <f t="shared" si="275"/>
        <v>0</v>
      </c>
      <c r="Q156" s="26">
        <f t="shared" si="275"/>
        <v>0</v>
      </c>
      <c r="R156" s="26">
        <f t="shared" si="275"/>
        <v>0</v>
      </c>
      <c r="S156" s="26">
        <f t="shared" si="275"/>
        <v>2</v>
      </c>
      <c r="T156" s="26">
        <f t="shared" si="275"/>
        <v>0</v>
      </c>
      <c r="U156" s="26">
        <f t="shared" si="275"/>
        <v>0</v>
      </c>
      <c r="V156" s="26">
        <f t="shared" si="275"/>
        <v>0</v>
      </c>
      <c r="W156" s="26">
        <f t="shared" si="275"/>
        <v>0</v>
      </c>
      <c r="X156" s="26">
        <f t="shared" si="275"/>
        <v>0</v>
      </c>
      <c r="Y156" s="26">
        <f t="shared" si="275"/>
        <v>0</v>
      </c>
      <c r="Z156" s="26">
        <f t="shared" si="275"/>
        <v>0</v>
      </c>
      <c r="AA156" s="26">
        <f t="shared" si="275"/>
        <v>0</v>
      </c>
      <c r="AB156" s="26">
        <f t="shared" si="275"/>
        <v>0</v>
      </c>
      <c r="AC156" s="26">
        <f t="shared" si="275"/>
        <v>0</v>
      </c>
      <c r="AD156" s="26">
        <f t="shared" si="275"/>
        <v>0</v>
      </c>
      <c r="AE156" s="26" t="str">
        <f t="shared" si="275"/>
        <v/>
      </c>
      <c r="AF156" s="26" t="str">
        <f t="shared" si="275"/>
        <v/>
      </c>
      <c r="AG156" s="26" t="str">
        <f t="shared" si="275"/>
        <v/>
      </c>
      <c r="AH156" s="26" t="str">
        <f t="shared" si="275"/>
        <v/>
      </c>
      <c r="AI156" s="26" t="str">
        <f t="shared" si="275"/>
        <v/>
      </c>
      <c r="AJ156" s="26" t="str">
        <f t="shared" si="275"/>
        <v/>
      </c>
      <c r="AK156" s="26" t="str">
        <f t="shared" si="275"/>
        <v/>
      </c>
      <c r="AL156" s="26" t="str">
        <f t="shared" si="275"/>
        <v/>
      </c>
      <c r="AM156" s="26" t="str">
        <f t="shared" si="275"/>
        <v/>
      </c>
      <c r="AN156" s="26" t="str">
        <f t="shared" ref="AN156:AS156" si="276">IF(AN$3="","",AM149+AM150-AN149)</f>
        <v/>
      </c>
      <c r="AO156" s="26" t="str">
        <f t="shared" si="276"/>
        <v/>
      </c>
      <c r="AP156" s="26" t="str">
        <f t="shared" si="276"/>
        <v/>
      </c>
      <c r="AQ156" s="26" t="str">
        <f t="shared" si="276"/>
        <v/>
      </c>
      <c r="AR156" s="26" t="str">
        <f t="shared" si="276"/>
        <v/>
      </c>
      <c r="AS156" s="26" t="str">
        <f t="shared" si="276"/>
        <v/>
      </c>
    </row>
    <row r="157" spans="1:45" s="1" customFormat="1" ht="11">
      <c r="A157" s="7">
        <f>SUM(C157:AS157)</f>
        <v>0</v>
      </c>
      <c r="B157" s="27" t="s">
        <v>18</v>
      </c>
      <c r="C157" s="65">
        <v>0</v>
      </c>
      <c r="D157" s="26">
        <f t="shared" ref="D157:AM157" si="277">IF(D$3="","",D156*D151)</f>
        <v>0</v>
      </c>
      <c r="E157" s="26">
        <f t="shared" si="277"/>
        <v>0</v>
      </c>
      <c r="F157" s="54">
        <f t="shared" si="277"/>
        <v>0</v>
      </c>
      <c r="G157" s="26">
        <f t="shared" si="277"/>
        <v>0</v>
      </c>
      <c r="H157" s="26">
        <f t="shared" si="277"/>
        <v>0</v>
      </c>
      <c r="I157" s="54">
        <f t="shared" si="277"/>
        <v>0</v>
      </c>
      <c r="J157" s="26">
        <f t="shared" si="277"/>
        <v>0</v>
      </c>
      <c r="K157" s="26">
        <f t="shared" si="277"/>
        <v>0</v>
      </c>
      <c r="L157" s="26">
        <f t="shared" si="277"/>
        <v>0</v>
      </c>
      <c r="M157" s="26">
        <f t="shared" si="277"/>
        <v>0</v>
      </c>
      <c r="N157" s="26">
        <f t="shared" si="277"/>
        <v>0</v>
      </c>
      <c r="O157" s="26">
        <f t="shared" si="277"/>
        <v>0</v>
      </c>
      <c r="P157" s="26">
        <f t="shared" si="277"/>
        <v>0</v>
      </c>
      <c r="Q157" s="26">
        <f t="shared" si="277"/>
        <v>0</v>
      </c>
      <c r="R157" s="26">
        <f t="shared" si="277"/>
        <v>0</v>
      </c>
      <c r="S157" s="26">
        <f t="shared" si="277"/>
        <v>0</v>
      </c>
      <c r="T157" s="26">
        <f t="shared" si="277"/>
        <v>0</v>
      </c>
      <c r="U157" s="26">
        <f t="shared" si="277"/>
        <v>0</v>
      </c>
      <c r="V157" s="26">
        <f t="shared" si="277"/>
        <v>0</v>
      </c>
      <c r="W157" s="26">
        <f t="shared" si="277"/>
        <v>0</v>
      </c>
      <c r="X157" s="26">
        <f t="shared" si="277"/>
        <v>0</v>
      </c>
      <c r="Y157" s="26">
        <f t="shared" si="277"/>
        <v>0</v>
      </c>
      <c r="Z157" s="26">
        <f t="shared" si="277"/>
        <v>0</v>
      </c>
      <c r="AA157" s="26">
        <f t="shared" si="277"/>
        <v>0</v>
      </c>
      <c r="AB157" s="26">
        <f t="shared" si="277"/>
        <v>0</v>
      </c>
      <c r="AC157" s="26">
        <f t="shared" si="277"/>
        <v>0</v>
      </c>
      <c r="AD157" s="26">
        <f t="shared" si="277"/>
        <v>0</v>
      </c>
      <c r="AE157" s="26" t="str">
        <f t="shared" si="277"/>
        <v/>
      </c>
      <c r="AF157" s="26" t="str">
        <f t="shared" si="277"/>
        <v/>
      </c>
      <c r="AG157" s="26" t="str">
        <f t="shared" si="277"/>
        <v/>
      </c>
      <c r="AH157" s="26" t="str">
        <f t="shared" si="277"/>
        <v/>
      </c>
      <c r="AI157" s="26" t="str">
        <f t="shared" si="277"/>
        <v/>
      </c>
      <c r="AJ157" s="26" t="str">
        <f t="shared" si="277"/>
        <v/>
      </c>
      <c r="AK157" s="26" t="str">
        <f t="shared" si="277"/>
        <v/>
      </c>
      <c r="AL157" s="26" t="str">
        <f t="shared" si="277"/>
        <v/>
      </c>
      <c r="AM157" s="26" t="str">
        <f t="shared" si="277"/>
        <v/>
      </c>
      <c r="AN157" s="26" t="str">
        <f t="shared" ref="AN157:AS157" si="278">IF(AN$3="","",AN156*AN151)</f>
        <v/>
      </c>
      <c r="AO157" s="26" t="str">
        <f t="shared" si="278"/>
        <v/>
      </c>
      <c r="AP157" s="26" t="str">
        <f t="shared" si="278"/>
        <v/>
      </c>
      <c r="AQ157" s="26" t="str">
        <f t="shared" si="278"/>
        <v/>
      </c>
      <c r="AR157" s="26" t="str">
        <f t="shared" si="278"/>
        <v/>
      </c>
      <c r="AS157" s="26" t="str">
        <f t="shared" si="278"/>
        <v/>
      </c>
    </row>
    <row r="158" spans="1:45" s="1" customFormat="1" ht="12" thickBot="1">
      <c r="A158" s="4">
        <f>IF(A157="","",A157/(A154*100))</f>
        <v>0</v>
      </c>
      <c r="B158" s="27" t="s">
        <v>20</v>
      </c>
      <c r="C158" s="68" t="s">
        <v>21</v>
      </c>
      <c r="D158" s="44" t="str">
        <f t="shared" ref="D158:AM158" si="279">IF(D$3="","",IF(D157=0,"",D157/(D154*100)))</f>
        <v/>
      </c>
      <c r="E158" s="44" t="str">
        <f t="shared" si="279"/>
        <v/>
      </c>
      <c r="F158" s="132" t="str">
        <f t="shared" si="279"/>
        <v/>
      </c>
      <c r="G158" s="44" t="str">
        <f t="shared" si="279"/>
        <v/>
      </c>
      <c r="H158" s="44" t="str">
        <f t="shared" si="279"/>
        <v/>
      </c>
      <c r="I158" s="132" t="str">
        <f t="shared" si="279"/>
        <v/>
      </c>
      <c r="J158" s="44" t="str">
        <f t="shared" si="279"/>
        <v/>
      </c>
      <c r="K158" s="44" t="str">
        <f t="shared" si="279"/>
        <v/>
      </c>
      <c r="L158" s="44" t="str">
        <f t="shared" si="279"/>
        <v/>
      </c>
      <c r="M158" s="44" t="str">
        <f t="shared" si="279"/>
        <v/>
      </c>
      <c r="N158" s="44" t="str">
        <f t="shared" si="279"/>
        <v/>
      </c>
      <c r="O158" s="44" t="str">
        <f t="shared" si="279"/>
        <v/>
      </c>
      <c r="P158" s="44" t="str">
        <f t="shared" si="279"/>
        <v/>
      </c>
      <c r="Q158" s="44" t="str">
        <f t="shared" si="279"/>
        <v/>
      </c>
      <c r="R158" s="44" t="str">
        <f t="shared" si="279"/>
        <v/>
      </c>
      <c r="S158" s="44" t="str">
        <f t="shared" si="279"/>
        <v/>
      </c>
      <c r="T158" s="44" t="str">
        <f t="shared" si="279"/>
        <v/>
      </c>
      <c r="U158" s="44" t="str">
        <f t="shared" si="279"/>
        <v/>
      </c>
      <c r="V158" s="44" t="str">
        <f t="shared" si="279"/>
        <v/>
      </c>
      <c r="W158" s="44" t="str">
        <f t="shared" si="279"/>
        <v/>
      </c>
      <c r="X158" s="44" t="str">
        <f t="shared" si="279"/>
        <v/>
      </c>
      <c r="Y158" s="44" t="str">
        <f t="shared" si="279"/>
        <v/>
      </c>
      <c r="Z158" s="44" t="str">
        <f t="shared" si="279"/>
        <v/>
      </c>
      <c r="AA158" s="44" t="str">
        <f t="shared" si="279"/>
        <v/>
      </c>
      <c r="AB158" s="44" t="str">
        <f t="shared" si="279"/>
        <v/>
      </c>
      <c r="AC158" s="44" t="str">
        <f t="shared" si="279"/>
        <v/>
      </c>
      <c r="AD158" s="44" t="str">
        <f t="shared" si="279"/>
        <v/>
      </c>
      <c r="AE158" s="44" t="str">
        <f t="shared" si="279"/>
        <v/>
      </c>
      <c r="AF158" s="44" t="str">
        <f t="shared" si="279"/>
        <v/>
      </c>
      <c r="AG158" s="44" t="str">
        <f t="shared" si="279"/>
        <v/>
      </c>
      <c r="AH158" s="44" t="str">
        <f t="shared" si="279"/>
        <v/>
      </c>
      <c r="AI158" s="44" t="str">
        <f t="shared" si="279"/>
        <v/>
      </c>
      <c r="AJ158" s="44" t="str">
        <f t="shared" si="279"/>
        <v/>
      </c>
      <c r="AK158" s="44" t="str">
        <f t="shared" si="279"/>
        <v/>
      </c>
      <c r="AL158" s="44" t="str">
        <f t="shared" si="279"/>
        <v/>
      </c>
      <c r="AM158" s="44" t="str">
        <f t="shared" si="279"/>
        <v/>
      </c>
      <c r="AN158" s="44" t="str">
        <f t="shared" ref="AN158:AS158" si="280">IF(AN$3="","",IF(AN157=0,"",AN157/(AN154*100)))</f>
        <v/>
      </c>
      <c r="AO158" s="44" t="str">
        <f t="shared" si="280"/>
        <v/>
      </c>
      <c r="AP158" s="44" t="str">
        <f t="shared" si="280"/>
        <v/>
      </c>
      <c r="AQ158" s="44" t="str">
        <f t="shared" si="280"/>
        <v/>
      </c>
      <c r="AR158" s="44" t="str">
        <f t="shared" si="280"/>
        <v/>
      </c>
      <c r="AS158" s="44" t="str">
        <f t="shared" si="280"/>
        <v/>
      </c>
    </row>
    <row r="159" spans="1:45" s="1" customFormat="1" ht="11">
      <c r="A159" s="17" t="s">
        <v>113</v>
      </c>
      <c r="B159" s="42" t="s">
        <v>2</v>
      </c>
      <c r="C159" s="64">
        <v>3810</v>
      </c>
      <c r="D159" s="35">
        <f>IF(D$3="","",C159)</f>
        <v>3810</v>
      </c>
      <c r="E159" s="35">
        <v>3853</v>
      </c>
      <c r="F159" s="128">
        <f>IF(F$3="","",E159)</f>
        <v>3853</v>
      </c>
      <c r="G159" s="35">
        <f>IF(G$3="","",F159)</f>
        <v>3853</v>
      </c>
      <c r="H159" s="35">
        <v>3937</v>
      </c>
      <c r="I159" s="128">
        <f t="shared" ref="I159:K160" si="281">IF(I$3="","",H159)</f>
        <v>3937</v>
      </c>
      <c r="J159" s="35">
        <f t="shared" si="281"/>
        <v>3937</v>
      </c>
      <c r="K159" s="35">
        <f t="shared" si="281"/>
        <v>3937</v>
      </c>
      <c r="L159" s="35">
        <v>3968</v>
      </c>
      <c r="M159" s="35">
        <f>IF(M$3="","",L159)</f>
        <v>3968</v>
      </c>
      <c r="N159" s="35">
        <f>IF(N$3="","",M159)</f>
        <v>3968</v>
      </c>
      <c r="O159" s="35">
        <v>3988</v>
      </c>
      <c r="P159" s="35">
        <f t="shared" ref="P159:AM159" si="282">IF(P$3="","",O159)</f>
        <v>3988</v>
      </c>
      <c r="Q159" s="35">
        <f t="shared" si="282"/>
        <v>3988</v>
      </c>
      <c r="R159" s="35">
        <f t="shared" si="282"/>
        <v>3988</v>
      </c>
      <c r="S159" s="35">
        <v>4003</v>
      </c>
      <c r="T159" s="35">
        <f t="shared" si="282"/>
        <v>4003</v>
      </c>
      <c r="U159" s="35">
        <f t="shared" si="282"/>
        <v>4003</v>
      </c>
      <c r="V159" s="35">
        <v>4041</v>
      </c>
      <c r="W159" s="35">
        <f t="shared" si="282"/>
        <v>4041</v>
      </c>
      <c r="X159" s="35">
        <f t="shared" si="282"/>
        <v>4041</v>
      </c>
      <c r="Y159" s="35">
        <f t="shared" si="282"/>
        <v>4041</v>
      </c>
      <c r="Z159" s="35">
        <f t="shared" si="282"/>
        <v>4041</v>
      </c>
      <c r="AA159" s="35">
        <f t="shared" si="282"/>
        <v>4041</v>
      </c>
      <c r="AB159" s="35">
        <f t="shared" si="282"/>
        <v>4041</v>
      </c>
      <c r="AC159" s="35">
        <f t="shared" si="282"/>
        <v>4041</v>
      </c>
      <c r="AD159" s="35">
        <v>4098</v>
      </c>
      <c r="AE159" s="35" t="str">
        <f t="shared" si="282"/>
        <v/>
      </c>
      <c r="AF159" s="35" t="str">
        <f t="shared" si="282"/>
        <v/>
      </c>
      <c r="AG159" s="35" t="str">
        <f t="shared" si="282"/>
        <v/>
      </c>
      <c r="AH159" s="35" t="str">
        <f t="shared" si="282"/>
        <v/>
      </c>
      <c r="AI159" s="35" t="str">
        <f t="shared" si="282"/>
        <v/>
      </c>
      <c r="AJ159" s="35" t="str">
        <f t="shared" si="282"/>
        <v/>
      </c>
      <c r="AK159" s="35" t="str">
        <f t="shared" si="282"/>
        <v/>
      </c>
      <c r="AL159" s="35" t="str">
        <f t="shared" si="282"/>
        <v/>
      </c>
      <c r="AM159" s="35" t="str">
        <f t="shared" si="282"/>
        <v/>
      </c>
      <c r="AN159" s="35" t="str">
        <f t="shared" ref="AN159:AS159" si="283">IF(AN$3="","",AM159)</f>
        <v/>
      </c>
      <c r="AO159" s="35" t="str">
        <f t="shared" si="283"/>
        <v/>
      </c>
      <c r="AP159" s="35" t="str">
        <f t="shared" si="283"/>
        <v/>
      </c>
      <c r="AQ159" s="35" t="str">
        <f t="shared" si="283"/>
        <v/>
      </c>
      <c r="AR159" s="35" t="str">
        <f t="shared" si="283"/>
        <v/>
      </c>
      <c r="AS159" s="35" t="str">
        <f t="shared" si="283"/>
        <v/>
      </c>
    </row>
    <row r="160" spans="1:45" s="1" customFormat="1" ht="11">
      <c r="A160" s="16" t="s">
        <v>53</v>
      </c>
      <c r="B160" s="30" t="s">
        <v>4</v>
      </c>
      <c r="C160" s="65">
        <v>178</v>
      </c>
      <c r="D160" s="29">
        <f>IF(D$3="","",C160)</f>
        <v>178</v>
      </c>
      <c r="E160" s="29">
        <f>IF(E$3="","",D160)</f>
        <v>178</v>
      </c>
      <c r="F160" s="54">
        <f>IF(F$3="","",E160)</f>
        <v>178</v>
      </c>
      <c r="G160" s="29">
        <f>IF(G$3="","",F160)</f>
        <v>178</v>
      </c>
      <c r="H160" s="29">
        <f>IF(H$3="","",G160)</f>
        <v>178</v>
      </c>
      <c r="I160" s="54">
        <f t="shared" si="281"/>
        <v>178</v>
      </c>
      <c r="J160" s="29">
        <f t="shared" si="281"/>
        <v>178</v>
      </c>
      <c r="K160" s="29">
        <f t="shared" si="281"/>
        <v>178</v>
      </c>
      <c r="L160" s="29">
        <f>IF(L$3="","",K160)</f>
        <v>178</v>
      </c>
      <c r="M160" s="29">
        <f>IF(M$3="","",L160)</f>
        <v>178</v>
      </c>
      <c r="N160" s="29">
        <f>IF(N$3="","",M160)</f>
        <v>178</v>
      </c>
      <c r="O160" s="29">
        <f>IF(O$3="","",N160)</f>
        <v>178</v>
      </c>
      <c r="P160" s="29">
        <f t="shared" ref="P160:AM160" si="284">IF(P$3="","",O160)</f>
        <v>178</v>
      </c>
      <c r="Q160" s="29">
        <f t="shared" si="284"/>
        <v>178</v>
      </c>
      <c r="R160" s="29">
        <f t="shared" si="284"/>
        <v>178</v>
      </c>
      <c r="S160" s="29">
        <f t="shared" si="284"/>
        <v>178</v>
      </c>
      <c r="T160" s="29">
        <f t="shared" si="284"/>
        <v>178</v>
      </c>
      <c r="U160" s="29">
        <f t="shared" si="284"/>
        <v>178</v>
      </c>
      <c r="V160" s="29">
        <f t="shared" si="284"/>
        <v>178</v>
      </c>
      <c r="W160" s="29">
        <f t="shared" si="284"/>
        <v>178</v>
      </c>
      <c r="X160" s="29">
        <f t="shared" si="284"/>
        <v>178</v>
      </c>
      <c r="Y160" s="29">
        <f t="shared" si="284"/>
        <v>178</v>
      </c>
      <c r="Z160" s="29">
        <f t="shared" si="284"/>
        <v>178</v>
      </c>
      <c r="AA160" s="29">
        <f t="shared" si="284"/>
        <v>178</v>
      </c>
      <c r="AB160" s="29">
        <f t="shared" si="284"/>
        <v>178</v>
      </c>
      <c r="AC160" s="29">
        <f t="shared" si="284"/>
        <v>178</v>
      </c>
      <c r="AD160" s="29">
        <f t="shared" si="284"/>
        <v>178</v>
      </c>
      <c r="AE160" s="29" t="str">
        <f t="shared" si="284"/>
        <v/>
      </c>
      <c r="AF160" s="29" t="str">
        <f t="shared" si="284"/>
        <v/>
      </c>
      <c r="AG160" s="29" t="str">
        <f t="shared" si="284"/>
        <v/>
      </c>
      <c r="AH160" s="29" t="str">
        <f t="shared" si="284"/>
        <v/>
      </c>
      <c r="AI160" s="29" t="str">
        <f t="shared" si="284"/>
        <v/>
      </c>
      <c r="AJ160" s="29" t="str">
        <f t="shared" si="284"/>
        <v/>
      </c>
      <c r="AK160" s="29" t="str">
        <f t="shared" si="284"/>
        <v/>
      </c>
      <c r="AL160" s="29" t="str">
        <f t="shared" si="284"/>
        <v/>
      </c>
      <c r="AM160" s="29" t="str">
        <f t="shared" si="284"/>
        <v/>
      </c>
      <c r="AN160" s="29" t="str">
        <f t="shared" ref="AN160:AS160" si="285">IF(AN$3="","",AM160)</f>
        <v/>
      </c>
      <c r="AO160" s="29" t="str">
        <f t="shared" si="285"/>
        <v/>
      </c>
      <c r="AP160" s="29" t="str">
        <f t="shared" si="285"/>
        <v/>
      </c>
      <c r="AQ160" s="29" t="str">
        <f t="shared" si="285"/>
        <v/>
      </c>
      <c r="AR160" s="29" t="str">
        <f t="shared" si="285"/>
        <v/>
      </c>
      <c r="AS160" s="29" t="str">
        <f t="shared" si="285"/>
        <v/>
      </c>
    </row>
    <row r="161" spans="1:45" s="1" customFormat="1" ht="11">
      <c r="A161" s="15">
        <v>3</v>
      </c>
      <c r="B161" s="30" t="s">
        <v>5</v>
      </c>
      <c r="C161" s="65">
        <v>5</v>
      </c>
      <c r="D161" s="29">
        <f>IF(D$3="","",(C161+C162))</f>
        <v>5</v>
      </c>
      <c r="E161" s="29">
        <v>4</v>
      </c>
      <c r="F161" s="54">
        <f t="shared" ref="F161:AM161" si="286">IF(F$3="","",(E161+E162))</f>
        <v>4</v>
      </c>
      <c r="G161" s="29">
        <f t="shared" si="286"/>
        <v>4</v>
      </c>
      <c r="H161" s="29">
        <f t="shared" si="286"/>
        <v>4</v>
      </c>
      <c r="I161" s="54">
        <f t="shared" si="286"/>
        <v>4</v>
      </c>
      <c r="J161" s="29">
        <f t="shared" si="286"/>
        <v>4</v>
      </c>
      <c r="K161" s="29">
        <f t="shared" si="286"/>
        <v>4</v>
      </c>
      <c r="L161" s="29">
        <f t="shared" si="286"/>
        <v>4</v>
      </c>
      <c r="M161" s="29">
        <f t="shared" si="286"/>
        <v>4</v>
      </c>
      <c r="N161" s="29">
        <f t="shared" si="286"/>
        <v>4</v>
      </c>
      <c r="O161" s="29">
        <f t="shared" si="286"/>
        <v>4</v>
      </c>
      <c r="P161" s="29">
        <f t="shared" si="286"/>
        <v>4</v>
      </c>
      <c r="Q161" s="29">
        <f t="shared" si="286"/>
        <v>4</v>
      </c>
      <c r="R161" s="29">
        <f t="shared" si="286"/>
        <v>4</v>
      </c>
      <c r="S161" s="29">
        <v>3</v>
      </c>
      <c r="T161" s="29">
        <f t="shared" si="286"/>
        <v>7</v>
      </c>
      <c r="U161" s="29">
        <f t="shared" si="286"/>
        <v>7</v>
      </c>
      <c r="V161" s="29">
        <f t="shared" si="286"/>
        <v>7</v>
      </c>
      <c r="W161" s="29">
        <f t="shared" si="286"/>
        <v>7</v>
      </c>
      <c r="X161" s="29">
        <f t="shared" si="286"/>
        <v>7</v>
      </c>
      <c r="Y161" s="29">
        <f t="shared" si="286"/>
        <v>7</v>
      </c>
      <c r="Z161" s="29">
        <f t="shared" si="286"/>
        <v>7</v>
      </c>
      <c r="AA161" s="29">
        <f t="shared" si="286"/>
        <v>7</v>
      </c>
      <c r="AB161" s="29">
        <f t="shared" si="286"/>
        <v>7</v>
      </c>
      <c r="AC161" s="29">
        <f t="shared" si="286"/>
        <v>7</v>
      </c>
      <c r="AD161" s="29">
        <f t="shared" si="286"/>
        <v>7</v>
      </c>
      <c r="AE161" s="29" t="str">
        <f t="shared" si="286"/>
        <v/>
      </c>
      <c r="AF161" s="29" t="str">
        <f t="shared" si="286"/>
        <v/>
      </c>
      <c r="AG161" s="29" t="str">
        <f t="shared" si="286"/>
        <v/>
      </c>
      <c r="AH161" s="29" t="str">
        <f t="shared" si="286"/>
        <v/>
      </c>
      <c r="AI161" s="29" t="str">
        <f t="shared" si="286"/>
        <v/>
      </c>
      <c r="AJ161" s="29" t="str">
        <f t="shared" si="286"/>
        <v/>
      </c>
      <c r="AK161" s="29" t="str">
        <f t="shared" si="286"/>
        <v/>
      </c>
      <c r="AL161" s="29" t="str">
        <f t="shared" si="286"/>
        <v/>
      </c>
      <c r="AM161" s="29" t="str">
        <f t="shared" si="286"/>
        <v/>
      </c>
      <c r="AN161" s="29" t="str">
        <f t="shared" ref="AN161:AS161" si="287">IF(AN$3="","",(AM161+AM162))</f>
        <v/>
      </c>
      <c r="AO161" s="29" t="str">
        <f t="shared" si="287"/>
        <v/>
      </c>
      <c r="AP161" s="29" t="str">
        <f t="shared" si="287"/>
        <v/>
      </c>
      <c r="AQ161" s="29" t="str">
        <f t="shared" si="287"/>
        <v/>
      </c>
      <c r="AR161" s="29" t="str">
        <f t="shared" si="287"/>
        <v/>
      </c>
      <c r="AS161" s="29" t="str">
        <f t="shared" si="287"/>
        <v/>
      </c>
    </row>
    <row r="162" spans="1:45" s="1" customFormat="1" ht="11">
      <c r="A162" s="14"/>
      <c r="B162" s="30" t="s">
        <v>7</v>
      </c>
      <c r="C162" s="65"/>
      <c r="D162" s="29"/>
      <c r="E162" s="29"/>
      <c r="F162" s="54"/>
      <c r="G162" s="29"/>
      <c r="H162" s="29"/>
      <c r="I162" s="54"/>
      <c r="J162" s="29"/>
      <c r="K162" s="29"/>
      <c r="L162" s="29"/>
      <c r="M162" s="29"/>
      <c r="N162" s="29"/>
      <c r="O162" s="29"/>
      <c r="P162" s="29"/>
      <c r="Q162" s="29"/>
      <c r="R162" s="29"/>
      <c r="S162" s="29">
        <v>4</v>
      </c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 spans="1:45" s="1" customFormat="1" ht="11">
      <c r="A163" s="7"/>
      <c r="B163" s="30" t="s">
        <v>8</v>
      </c>
      <c r="C163" s="64">
        <v>0</v>
      </c>
      <c r="D163" s="35">
        <f t="shared" ref="D163:AM163" si="288">IF(D$3="","",C163)</f>
        <v>0</v>
      </c>
      <c r="E163" s="35">
        <f t="shared" si="288"/>
        <v>0</v>
      </c>
      <c r="F163" s="128">
        <f t="shared" si="288"/>
        <v>0</v>
      </c>
      <c r="G163" s="35">
        <f t="shared" si="288"/>
        <v>0</v>
      </c>
      <c r="H163" s="35">
        <f t="shared" si="288"/>
        <v>0</v>
      </c>
      <c r="I163" s="128">
        <f t="shared" si="288"/>
        <v>0</v>
      </c>
      <c r="J163" s="35">
        <f t="shared" si="288"/>
        <v>0</v>
      </c>
      <c r="K163" s="35">
        <f t="shared" si="288"/>
        <v>0</v>
      </c>
      <c r="L163" s="35">
        <f t="shared" si="288"/>
        <v>0</v>
      </c>
      <c r="M163" s="35">
        <f t="shared" si="288"/>
        <v>0</v>
      </c>
      <c r="N163" s="35">
        <f t="shared" si="288"/>
        <v>0</v>
      </c>
      <c r="O163" s="35">
        <f t="shared" si="288"/>
        <v>0</v>
      </c>
      <c r="P163" s="35">
        <f t="shared" si="288"/>
        <v>0</v>
      </c>
      <c r="Q163" s="35">
        <f t="shared" si="288"/>
        <v>0</v>
      </c>
      <c r="R163" s="35">
        <f t="shared" si="288"/>
        <v>0</v>
      </c>
      <c r="S163" s="35">
        <f t="shared" si="288"/>
        <v>0</v>
      </c>
      <c r="T163" s="35">
        <f t="shared" si="288"/>
        <v>0</v>
      </c>
      <c r="U163" s="35">
        <f t="shared" si="288"/>
        <v>0</v>
      </c>
      <c r="V163" s="35">
        <f t="shared" si="288"/>
        <v>0</v>
      </c>
      <c r="W163" s="35">
        <f t="shared" si="288"/>
        <v>0</v>
      </c>
      <c r="X163" s="35">
        <f t="shared" si="288"/>
        <v>0</v>
      </c>
      <c r="Y163" s="35">
        <f t="shared" si="288"/>
        <v>0</v>
      </c>
      <c r="Z163" s="35">
        <f t="shared" si="288"/>
        <v>0</v>
      </c>
      <c r="AA163" s="35">
        <f t="shared" si="288"/>
        <v>0</v>
      </c>
      <c r="AB163" s="35">
        <f t="shared" si="288"/>
        <v>0</v>
      </c>
      <c r="AC163" s="35">
        <f t="shared" si="288"/>
        <v>0</v>
      </c>
      <c r="AD163" s="35">
        <f t="shared" si="288"/>
        <v>0</v>
      </c>
      <c r="AE163" s="35" t="str">
        <f t="shared" si="288"/>
        <v/>
      </c>
      <c r="AF163" s="35" t="str">
        <f t="shared" si="288"/>
        <v/>
      </c>
      <c r="AG163" s="35" t="str">
        <f t="shared" si="288"/>
        <v/>
      </c>
      <c r="AH163" s="35" t="str">
        <f t="shared" si="288"/>
        <v/>
      </c>
      <c r="AI163" s="35" t="str">
        <f t="shared" si="288"/>
        <v/>
      </c>
      <c r="AJ163" s="35" t="str">
        <f t="shared" si="288"/>
        <v/>
      </c>
      <c r="AK163" s="35" t="str">
        <f t="shared" si="288"/>
        <v/>
      </c>
      <c r="AL163" s="35" t="str">
        <f t="shared" si="288"/>
        <v/>
      </c>
      <c r="AM163" s="35" t="str">
        <f t="shared" si="288"/>
        <v/>
      </c>
      <c r="AN163" s="35" t="str">
        <f t="shared" ref="AN163:AS163" si="289">IF(AN$3="","",AM163)</f>
        <v/>
      </c>
      <c r="AO163" s="35" t="str">
        <f t="shared" si="289"/>
        <v/>
      </c>
      <c r="AP163" s="35" t="str">
        <f t="shared" si="289"/>
        <v/>
      </c>
      <c r="AQ163" s="35" t="str">
        <f t="shared" si="289"/>
        <v/>
      </c>
      <c r="AR163" s="35" t="str">
        <f t="shared" si="289"/>
        <v/>
      </c>
      <c r="AS163" s="35" t="str">
        <f t="shared" si="289"/>
        <v/>
      </c>
    </row>
    <row r="164" spans="1:45" s="94" customFormat="1" ht="11">
      <c r="A164" s="14" t="s">
        <v>9</v>
      </c>
      <c r="B164" s="33" t="s">
        <v>10</v>
      </c>
      <c r="C164" s="63" t="s">
        <v>122</v>
      </c>
      <c r="D164" s="32" t="str">
        <f t="shared" ref="D164:AM164" si="290">IF(D$3="","",C164)</f>
        <v>サンリオがま口</v>
      </c>
      <c r="E164" s="32" t="str">
        <f t="shared" si="290"/>
        <v>サンリオがま口</v>
      </c>
      <c r="F164" s="129" t="str">
        <f t="shared" si="290"/>
        <v>サンリオがま口</v>
      </c>
      <c r="G164" s="32" t="str">
        <f t="shared" si="290"/>
        <v>サンリオがま口</v>
      </c>
      <c r="H164" s="32" t="str">
        <f t="shared" si="290"/>
        <v>サンリオがま口</v>
      </c>
      <c r="I164" s="129" t="str">
        <f t="shared" si="290"/>
        <v>サンリオがま口</v>
      </c>
      <c r="J164" s="32" t="str">
        <f t="shared" si="290"/>
        <v>サンリオがま口</v>
      </c>
      <c r="K164" s="32" t="str">
        <f t="shared" si="290"/>
        <v>サンリオがま口</v>
      </c>
      <c r="L164" s="32" t="str">
        <f t="shared" si="290"/>
        <v>サンリオがま口</v>
      </c>
      <c r="M164" s="32" t="str">
        <f t="shared" si="290"/>
        <v>サンリオがま口</v>
      </c>
      <c r="N164" s="32" t="str">
        <f t="shared" si="290"/>
        <v>サンリオがま口</v>
      </c>
      <c r="O164" s="32" t="str">
        <f t="shared" si="290"/>
        <v>サンリオがま口</v>
      </c>
      <c r="P164" s="32" t="str">
        <f t="shared" si="290"/>
        <v>サンリオがま口</v>
      </c>
      <c r="Q164" s="32" t="str">
        <f t="shared" si="290"/>
        <v>サンリオがま口</v>
      </c>
      <c r="R164" s="32" t="str">
        <f t="shared" si="290"/>
        <v>サンリオがま口</v>
      </c>
      <c r="S164" s="32" t="str">
        <f t="shared" si="290"/>
        <v>サンリオがま口</v>
      </c>
      <c r="T164" s="32" t="str">
        <f t="shared" si="290"/>
        <v>サンリオがま口</v>
      </c>
      <c r="U164" s="32" t="str">
        <f t="shared" si="290"/>
        <v>サンリオがま口</v>
      </c>
      <c r="V164" s="32" t="str">
        <f t="shared" si="290"/>
        <v>サンリオがま口</v>
      </c>
      <c r="W164" s="32" t="str">
        <f t="shared" si="290"/>
        <v>サンリオがま口</v>
      </c>
      <c r="X164" s="32" t="str">
        <f t="shared" si="290"/>
        <v>サンリオがま口</v>
      </c>
      <c r="Y164" s="32" t="str">
        <f t="shared" si="290"/>
        <v>サンリオがま口</v>
      </c>
      <c r="Z164" s="32" t="str">
        <f t="shared" si="290"/>
        <v>サンリオがま口</v>
      </c>
      <c r="AA164" s="32" t="str">
        <f t="shared" si="290"/>
        <v>サンリオがま口</v>
      </c>
      <c r="AB164" s="32" t="str">
        <f t="shared" si="290"/>
        <v>サンリオがま口</v>
      </c>
      <c r="AC164" s="32" t="str">
        <f t="shared" si="290"/>
        <v>サンリオがま口</v>
      </c>
      <c r="AD164" s="32" t="str">
        <f t="shared" si="290"/>
        <v>サンリオがま口</v>
      </c>
      <c r="AE164" s="32" t="str">
        <f t="shared" si="290"/>
        <v/>
      </c>
      <c r="AF164" s="32" t="str">
        <f t="shared" si="290"/>
        <v/>
      </c>
      <c r="AG164" s="32" t="str">
        <f t="shared" si="290"/>
        <v/>
      </c>
      <c r="AH164" s="32" t="str">
        <f t="shared" si="290"/>
        <v/>
      </c>
      <c r="AI164" s="32" t="str">
        <f t="shared" si="290"/>
        <v/>
      </c>
      <c r="AJ164" s="32" t="str">
        <f t="shared" si="290"/>
        <v/>
      </c>
      <c r="AK164" s="32" t="str">
        <f t="shared" si="290"/>
        <v/>
      </c>
      <c r="AL164" s="32" t="str">
        <f t="shared" si="290"/>
        <v/>
      </c>
      <c r="AM164" s="32" t="str">
        <f t="shared" si="290"/>
        <v/>
      </c>
      <c r="AN164" s="32" t="str">
        <f t="shared" ref="AN164:AS164" si="291">IF(AN$3="","",AM164)</f>
        <v/>
      </c>
      <c r="AO164" s="32" t="str">
        <f t="shared" si="291"/>
        <v/>
      </c>
      <c r="AP164" s="32" t="str">
        <f t="shared" si="291"/>
        <v/>
      </c>
      <c r="AQ164" s="32" t="str">
        <f t="shared" si="291"/>
        <v/>
      </c>
      <c r="AR164" s="32" t="str">
        <f t="shared" si="291"/>
        <v/>
      </c>
      <c r="AS164" s="32" t="str">
        <f t="shared" si="291"/>
        <v/>
      </c>
    </row>
    <row r="165" spans="1:45" s="1" customFormat="1" ht="11">
      <c r="A165" s="7">
        <f>AVERAGE(C166:AS166)*30*100</f>
        <v>30857.142857142862</v>
      </c>
      <c r="B165" s="30" t="s">
        <v>14</v>
      </c>
      <c r="C165" s="65"/>
      <c r="D165" s="29"/>
      <c r="E165" s="29"/>
      <c r="F165" s="54"/>
      <c r="G165" s="29"/>
      <c r="H165" s="29"/>
      <c r="I165" s="54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spans="1:45" s="1" customFormat="1" ht="11">
      <c r="A166" s="7">
        <f>SUM(C166:AS166)</f>
        <v>288</v>
      </c>
      <c r="B166" s="27" t="s">
        <v>15</v>
      </c>
      <c r="C166" s="65">
        <v>0</v>
      </c>
      <c r="D166" s="26">
        <f t="shared" ref="D166:AM166" si="292">IF(D$3="","",D159-C159)</f>
        <v>0</v>
      </c>
      <c r="E166" s="26">
        <f t="shared" si="292"/>
        <v>43</v>
      </c>
      <c r="F166" s="54">
        <f t="shared" si="292"/>
        <v>0</v>
      </c>
      <c r="G166" s="26">
        <f t="shared" si="292"/>
        <v>0</v>
      </c>
      <c r="H166" s="26">
        <f t="shared" si="292"/>
        <v>84</v>
      </c>
      <c r="I166" s="54">
        <f t="shared" si="292"/>
        <v>0</v>
      </c>
      <c r="J166" s="26">
        <f t="shared" si="292"/>
        <v>0</v>
      </c>
      <c r="K166" s="26">
        <f t="shared" si="292"/>
        <v>0</v>
      </c>
      <c r="L166" s="26">
        <f t="shared" si="292"/>
        <v>31</v>
      </c>
      <c r="M166" s="26">
        <f t="shared" si="292"/>
        <v>0</v>
      </c>
      <c r="N166" s="26">
        <f t="shared" si="292"/>
        <v>0</v>
      </c>
      <c r="O166" s="26">
        <f t="shared" si="292"/>
        <v>20</v>
      </c>
      <c r="P166" s="26">
        <f t="shared" si="292"/>
        <v>0</v>
      </c>
      <c r="Q166" s="26">
        <f t="shared" si="292"/>
        <v>0</v>
      </c>
      <c r="R166" s="26">
        <f t="shared" si="292"/>
        <v>0</v>
      </c>
      <c r="S166" s="26">
        <f t="shared" si="292"/>
        <v>15</v>
      </c>
      <c r="T166" s="26">
        <f t="shared" si="292"/>
        <v>0</v>
      </c>
      <c r="U166" s="26">
        <f t="shared" si="292"/>
        <v>0</v>
      </c>
      <c r="V166" s="26">
        <f t="shared" si="292"/>
        <v>38</v>
      </c>
      <c r="W166" s="26">
        <f t="shared" si="292"/>
        <v>0</v>
      </c>
      <c r="X166" s="26">
        <f t="shared" si="292"/>
        <v>0</v>
      </c>
      <c r="Y166" s="26">
        <f t="shared" si="292"/>
        <v>0</v>
      </c>
      <c r="Z166" s="26">
        <f t="shared" si="292"/>
        <v>0</v>
      </c>
      <c r="AA166" s="26">
        <f t="shared" si="292"/>
        <v>0</v>
      </c>
      <c r="AB166" s="26">
        <f t="shared" si="292"/>
        <v>0</v>
      </c>
      <c r="AC166" s="26">
        <f t="shared" si="292"/>
        <v>0</v>
      </c>
      <c r="AD166" s="26">
        <f t="shared" si="292"/>
        <v>57</v>
      </c>
      <c r="AE166" s="26" t="str">
        <f t="shared" si="292"/>
        <v/>
      </c>
      <c r="AF166" s="26" t="str">
        <f t="shared" si="292"/>
        <v/>
      </c>
      <c r="AG166" s="26" t="str">
        <f t="shared" si="292"/>
        <v/>
      </c>
      <c r="AH166" s="26" t="str">
        <f t="shared" si="292"/>
        <v/>
      </c>
      <c r="AI166" s="26" t="str">
        <f t="shared" si="292"/>
        <v/>
      </c>
      <c r="AJ166" s="26" t="str">
        <f t="shared" si="292"/>
        <v/>
      </c>
      <c r="AK166" s="26" t="str">
        <f t="shared" si="292"/>
        <v/>
      </c>
      <c r="AL166" s="26" t="str">
        <f t="shared" si="292"/>
        <v/>
      </c>
      <c r="AM166" s="26" t="str">
        <f t="shared" si="292"/>
        <v/>
      </c>
      <c r="AN166" s="26" t="str">
        <f t="shared" ref="AN166:AS166" si="293">IF(AN$3="","",AN159-AM159)</f>
        <v/>
      </c>
      <c r="AO166" s="26" t="str">
        <f t="shared" si="293"/>
        <v/>
      </c>
      <c r="AP166" s="26" t="str">
        <f t="shared" si="293"/>
        <v/>
      </c>
      <c r="AQ166" s="26" t="str">
        <f t="shared" si="293"/>
        <v/>
      </c>
      <c r="AR166" s="26" t="str">
        <f t="shared" si="293"/>
        <v/>
      </c>
      <c r="AS166" s="26" t="str">
        <f t="shared" si="293"/>
        <v/>
      </c>
    </row>
    <row r="167" spans="1:45" s="1" customFormat="1" ht="11">
      <c r="A167" s="7">
        <f>SUM(C167:AS167)</f>
        <v>0</v>
      </c>
      <c r="B167" s="27" t="s">
        <v>16</v>
      </c>
      <c r="C167" s="65">
        <v>0</v>
      </c>
      <c r="D167" s="26">
        <f t="shared" ref="D167:AM167" si="294">IF(D$3="","",D160-C160)</f>
        <v>0</v>
      </c>
      <c r="E167" s="26">
        <f t="shared" si="294"/>
        <v>0</v>
      </c>
      <c r="F167" s="54">
        <f t="shared" si="294"/>
        <v>0</v>
      </c>
      <c r="G167" s="26">
        <f t="shared" si="294"/>
        <v>0</v>
      </c>
      <c r="H167" s="26">
        <f t="shared" si="294"/>
        <v>0</v>
      </c>
      <c r="I167" s="54">
        <f t="shared" si="294"/>
        <v>0</v>
      </c>
      <c r="J167" s="26">
        <f t="shared" si="294"/>
        <v>0</v>
      </c>
      <c r="K167" s="26">
        <f t="shared" si="294"/>
        <v>0</v>
      </c>
      <c r="L167" s="26">
        <f t="shared" si="294"/>
        <v>0</v>
      </c>
      <c r="M167" s="26">
        <f t="shared" si="294"/>
        <v>0</v>
      </c>
      <c r="N167" s="26">
        <f t="shared" si="294"/>
        <v>0</v>
      </c>
      <c r="O167" s="26">
        <f t="shared" si="294"/>
        <v>0</v>
      </c>
      <c r="P167" s="26">
        <f t="shared" si="294"/>
        <v>0</v>
      </c>
      <c r="Q167" s="26">
        <f t="shared" si="294"/>
        <v>0</v>
      </c>
      <c r="R167" s="26">
        <f t="shared" si="294"/>
        <v>0</v>
      </c>
      <c r="S167" s="26">
        <f t="shared" si="294"/>
        <v>0</v>
      </c>
      <c r="T167" s="26">
        <f t="shared" si="294"/>
        <v>0</v>
      </c>
      <c r="U167" s="26">
        <f t="shared" si="294"/>
        <v>0</v>
      </c>
      <c r="V167" s="26">
        <f t="shared" si="294"/>
        <v>0</v>
      </c>
      <c r="W167" s="26">
        <f t="shared" si="294"/>
        <v>0</v>
      </c>
      <c r="X167" s="26">
        <f t="shared" si="294"/>
        <v>0</v>
      </c>
      <c r="Y167" s="26">
        <f t="shared" si="294"/>
        <v>0</v>
      </c>
      <c r="Z167" s="26">
        <f t="shared" si="294"/>
        <v>0</v>
      </c>
      <c r="AA167" s="26">
        <f t="shared" si="294"/>
        <v>0</v>
      </c>
      <c r="AB167" s="26">
        <f t="shared" si="294"/>
        <v>0</v>
      </c>
      <c r="AC167" s="26">
        <f t="shared" si="294"/>
        <v>0</v>
      </c>
      <c r="AD167" s="26">
        <f t="shared" si="294"/>
        <v>0</v>
      </c>
      <c r="AE167" s="26" t="str">
        <f t="shared" si="294"/>
        <v/>
      </c>
      <c r="AF167" s="26" t="str">
        <f t="shared" si="294"/>
        <v/>
      </c>
      <c r="AG167" s="26" t="str">
        <f t="shared" si="294"/>
        <v/>
      </c>
      <c r="AH167" s="26" t="str">
        <f t="shared" si="294"/>
        <v/>
      </c>
      <c r="AI167" s="26" t="str">
        <f t="shared" si="294"/>
        <v/>
      </c>
      <c r="AJ167" s="26" t="str">
        <f t="shared" si="294"/>
        <v/>
      </c>
      <c r="AK167" s="26" t="str">
        <f t="shared" si="294"/>
        <v/>
      </c>
      <c r="AL167" s="26" t="str">
        <f t="shared" si="294"/>
        <v/>
      </c>
      <c r="AM167" s="26" t="str">
        <f t="shared" si="294"/>
        <v/>
      </c>
      <c r="AN167" s="26" t="str">
        <f t="shared" ref="AN167:AS167" si="295">IF(AN$3="","",AN160-AM160)</f>
        <v/>
      </c>
      <c r="AO167" s="26" t="str">
        <f t="shared" si="295"/>
        <v/>
      </c>
      <c r="AP167" s="26" t="str">
        <f t="shared" si="295"/>
        <v/>
      </c>
      <c r="AQ167" s="26" t="str">
        <f t="shared" si="295"/>
        <v/>
      </c>
      <c r="AR167" s="26" t="str">
        <f t="shared" si="295"/>
        <v/>
      </c>
      <c r="AS167" s="26" t="str">
        <f t="shared" si="295"/>
        <v/>
      </c>
    </row>
    <row r="168" spans="1:45" s="1" customFormat="1" ht="11">
      <c r="A168" s="7">
        <f>SUM(C168:AS168)</f>
        <v>2</v>
      </c>
      <c r="B168" s="27" t="s">
        <v>17</v>
      </c>
      <c r="C168" s="65">
        <v>0</v>
      </c>
      <c r="D168" s="26">
        <f t="shared" ref="D168:AM168" si="296">IF(D$3="","",C161+C162-D161)</f>
        <v>0</v>
      </c>
      <c r="E168" s="26">
        <f t="shared" si="296"/>
        <v>1</v>
      </c>
      <c r="F168" s="54">
        <f t="shared" si="296"/>
        <v>0</v>
      </c>
      <c r="G168" s="26">
        <f t="shared" si="296"/>
        <v>0</v>
      </c>
      <c r="H168" s="26">
        <f t="shared" si="296"/>
        <v>0</v>
      </c>
      <c r="I168" s="54">
        <f t="shared" si="296"/>
        <v>0</v>
      </c>
      <c r="J168" s="26">
        <f t="shared" si="296"/>
        <v>0</v>
      </c>
      <c r="K168" s="26">
        <f t="shared" si="296"/>
        <v>0</v>
      </c>
      <c r="L168" s="26">
        <f t="shared" si="296"/>
        <v>0</v>
      </c>
      <c r="M168" s="26">
        <f t="shared" si="296"/>
        <v>0</v>
      </c>
      <c r="N168" s="26">
        <f t="shared" si="296"/>
        <v>0</v>
      </c>
      <c r="O168" s="26">
        <f t="shared" si="296"/>
        <v>0</v>
      </c>
      <c r="P168" s="26">
        <f t="shared" si="296"/>
        <v>0</v>
      </c>
      <c r="Q168" s="26">
        <f t="shared" si="296"/>
        <v>0</v>
      </c>
      <c r="R168" s="26">
        <f t="shared" si="296"/>
        <v>0</v>
      </c>
      <c r="S168" s="26">
        <f t="shared" si="296"/>
        <v>1</v>
      </c>
      <c r="T168" s="26">
        <f t="shared" si="296"/>
        <v>0</v>
      </c>
      <c r="U168" s="26">
        <f t="shared" si="296"/>
        <v>0</v>
      </c>
      <c r="V168" s="26">
        <f t="shared" si="296"/>
        <v>0</v>
      </c>
      <c r="W168" s="26">
        <f t="shared" si="296"/>
        <v>0</v>
      </c>
      <c r="X168" s="26">
        <f t="shared" si="296"/>
        <v>0</v>
      </c>
      <c r="Y168" s="26">
        <f t="shared" si="296"/>
        <v>0</v>
      </c>
      <c r="Z168" s="26">
        <f t="shared" si="296"/>
        <v>0</v>
      </c>
      <c r="AA168" s="26">
        <f t="shared" si="296"/>
        <v>0</v>
      </c>
      <c r="AB168" s="26">
        <f t="shared" si="296"/>
        <v>0</v>
      </c>
      <c r="AC168" s="26">
        <f t="shared" si="296"/>
        <v>0</v>
      </c>
      <c r="AD168" s="26">
        <f t="shared" si="296"/>
        <v>0</v>
      </c>
      <c r="AE168" s="26" t="str">
        <f t="shared" si="296"/>
        <v/>
      </c>
      <c r="AF168" s="26" t="str">
        <f t="shared" si="296"/>
        <v/>
      </c>
      <c r="AG168" s="26" t="str">
        <f t="shared" si="296"/>
        <v/>
      </c>
      <c r="AH168" s="26" t="str">
        <f t="shared" si="296"/>
        <v/>
      </c>
      <c r="AI168" s="26" t="str">
        <f t="shared" si="296"/>
        <v/>
      </c>
      <c r="AJ168" s="26" t="str">
        <f t="shared" si="296"/>
        <v/>
      </c>
      <c r="AK168" s="26" t="str">
        <f t="shared" si="296"/>
        <v/>
      </c>
      <c r="AL168" s="26" t="str">
        <f t="shared" si="296"/>
        <v/>
      </c>
      <c r="AM168" s="26" t="str">
        <f t="shared" si="296"/>
        <v/>
      </c>
      <c r="AN168" s="26" t="str">
        <f t="shared" ref="AN168:AS168" si="297">IF(AN$3="","",AM161+AM162-AN161)</f>
        <v/>
      </c>
      <c r="AO168" s="26" t="str">
        <f t="shared" si="297"/>
        <v/>
      </c>
      <c r="AP168" s="26" t="str">
        <f t="shared" si="297"/>
        <v/>
      </c>
      <c r="AQ168" s="26" t="str">
        <f t="shared" si="297"/>
        <v/>
      </c>
      <c r="AR168" s="26" t="str">
        <f t="shared" si="297"/>
        <v/>
      </c>
      <c r="AS168" s="26" t="str">
        <f t="shared" si="297"/>
        <v/>
      </c>
    </row>
    <row r="169" spans="1:45" s="1" customFormat="1" ht="11">
      <c r="A169" s="7">
        <f>SUM(C169:AS169)</f>
        <v>0</v>
      </c>
      <c r="B169" s="27" t="s">
        <v>18</v>
      </c>
      <c r="C169" s="65">
        <v>0</v>
      </c>
      <c r="D169" s="26">
        <f t="shared" ref="D169:AM169" si="298">IF(D$3="","",D168*D163)</f>
        <v>0</v>
      </c>
      <c r="E169" s="26">
        <f t="shared" si="298"/>
        <v>0</v>
      </c>
      <c r="F169" s="54">
        <f t="shared" si="298"/>
        <v>0</v>
      </c>
      <c r="G169" s="26">
        <f t="shared" si="298"/>
        <v>0</v>
      </c>
      <c r="H169" s="26">
        <f t="shared" si="298"/>
        <v>0</v>
      </c>
      <c r="I169" s="54">
        <f t="shared" si="298"/>
        <v>0</v>
      </c>
      <c r="J169" s="26">
        <f t="shared" si="298"/>
        <v>0</v>
      </c>
      <c r="K169" s="26">
        <f t="shared" si="298"/>
        <v>0</v>
      </c>
      <c r="L169" s="26">
        <f t="shared" si="298"/>
        <v>0</v>
      </c>
      <c r="M169" s="26">
        <f t="shared" si="298"/>
        <v>0</v>
      </c>
      <c r="N169" s="26">
        <f t="shared" si="298"/>
        <v>0</v>
      </c>
      <c r="O169" s="26">
        <f t="shared" si="298"/>
        <v>0</v>
      </c>
      <c r="P169" s="26">
        <f t="shared" si="298"/>
        <v>0</v>
      </c>
      <c r="Q169" s="26">
        <f t="shared" si="298"/>
        <v>0</v>
      </c>
      <c r="R169" s="26">
        <f t="shared" si="298"/>
        <v>0</v>
      </c>
      <c r="S169" s="26">
        <f t="shared" si="298"/>
        <v>0</v>
      </c>
      <c r="T169" s="26">
        <f t="shared" si="298"/>
        <v>0</v>
      </c>
      <c r="U169" s="26">
        <f t="shared" si="298"/>
        <v>0</v>
      </c>
      <c r="V169" s="26">
        <f t="shared" si="298"/>
        <v>0</v>
      </c>
      <c r="W169" s="26">
        <f t="shared" si="298"/>
        <v>0</v>
      </c>
      <c r="X169" s="26">
        <f t="shared" si="298"/>
        <v>0</v>
      </c>
      <c r="Y169" s="26">
        <f t="shared" si="298"/>
        <v>0</v>
      </c>
      <c r="Z169" s="26">
        <f t="shared" si="298"/>
        <v>0</v>
      </c>
      <c r="AA169" s="26">
        <f t="shared" si="298"/>
        <v>0</v>
      </c>
      <c r="AB169" s="26">
        <f t="shared" si="298"/>
        <v>0</v>
      </c>
      <c r="AC169" s="26">
        <f t="shared" si="298"/>
        <v>0</v>
      </c>
      <c r="AD169" s="26">
        <f t="shared" si="298"/>
        <v>0</v>
      </c>
      <c r="AE169" s="26" t="str">
        <f t="shared" si="298"/>
        <v/>
      </c>
      <c r="AF169" s="26" t="str">
        <f t="shared" si="298"/>
        <v/>
      </c>
      <c r="AG169" s="26" t="str">
        <f t="shared" si="298"/>
        <v/>
      </c>
      <c r="AH169" s="26" t="str">
        <f t="shared" si="298"/>
        <v/>
      </c>
      <c r="AI169" s="26" t="str">
        <f t="shared" si="298"/>
        <v/>
      </c>
      <c r="AJ169" s="26" t="str">
        <f t="shared" si="298"/>
        <v/>
      </c>
      <c r="AK169" s="26" t="str">
        <f t="shared" si="298"/>
        <v/>
      </c>
      <c r="AL169" s="26" t="str">
        <f t="shared" si="298"/>
        <v/>
      </c>
      <c r="AM169" s="26" t="str">
        <f t="shared" si="298"/>
        <v/>
      </c>
      <c r="AN169" s="26" t="str">
        <f t="shared" ref="AN169:AS169" si="299">IF(AN$3="","",AN168*AN163)</f>
        <v/>
      </c>
      <c r="AO169" s="26" t="str">
        <f t="shared" si="299"/>
        <v/>
      </c>
      <c r="AP169" s="26" t="str">
        <f t="shared" si="299"/>
        <v/>
      </c>
      <c r="AQ169" s="26" t="str">
        <f t="shared" si="299"/>
        <v/>
      </c>
      <c r="AR169" s="26" t="str">
        <f t="shared" si="299"/>
        <v/>
      </c>
      <c r="AS169" s="26" t="str">
        <f t="shared" si="299"/>
        <v/>
      </c>
    </row>
    <row r="170" spans="1:45" s="1" customFormat="1" ht="12" thickBot="1">
      <c r="A170" s="4">
        <f>IF(A169="","",A169/(A166*100))</f>
        <v>0</v>
      </c>
      <c r="B170" s="27" t="s">
        <v>20</v>
      </c>
      <c r="C170" s="68" t="s">
        <v>21</v>
      </c>
      <c r="D170" s="44" t="str">
        <f t="shared" ref="D170:AM170" si="300">IF(D$3="","",IF(D169=0,"",D169/(D166*100)))</f>
        <v/>
      </c>
      <c r="E170" s="44" t="str">
        <f t="shared" si="300"/>
        <v/>
      </c>
      <c r="F170" s="132" t="str">
        <f t="shared" si="300"/>
        <v/>
      </c>
      <c r="G170" s="44" t="str">
        <f t="shared" si="300"/>
        <v/>
      </c>
      <c r="H170" s="44" t="str">
        <f t="shared" si="300"/>
        <v/>
      </c>
      <c r="I170" s="132" t="str">
        <f t="shared" si="300"/>
        <v/>
      </c>
      <c r="J170" s="44" t="str">
        <f t="shared" si="300"/>
        <v/>
      </c>
      <c r="K170" s="44" t="str">
        <f t="shared" si="300"/>
        <v/>
      </c>
      <c r="L170" s="44" t="str">
        <f t="shared" si="300"/>
        <v/>
      </c>
      <c r="M170" s="44" t="str">
        <f t="shared" si="300"/>
        <v/>
      </c>
      <c r="N170" s="44" t="str">
        <f t="shared" si="300"/>
        <v/>
      </c>
      <c r="O170" s="44" t="str">
        <f t="shared" si="300"/>
        <v/>
      </c>
      <c r="P170" s="44" t="str">
        <f t="shared" si="300"/>
        <v/>
      </c>
      <c r="Q170" s="44" t="str">
        <f t="shared" si="300"/>
        <v/>
      </c>
      <c r="R170" s="44" t="str">
        <f t="shared" si="300"/>
        <v/>
      </c>
      <c r="S170" s="44" t="str">
        <f t="shared" si="300"/>
        <v/>
      </c>
      <c r="T170" s="44" t="str">
        <f t="shared" si="300"/>
        <v/>
      </c>
      <c r="U170" s="44" t="str">
        <f t="shared" si="300"/>
        <v/>
      </c>
      <c r="V170" s="44" t="str">
        <f t="shared" si="300"/>
        <v/>
      </c>
      <c r="W170" s="44" t="str">
        <f t="shared" si="300"/>
        <v/>
      </c>
      <c r="X170" s="44" t="str">
        <f t="shared" si="300"/>
        <v/>
      </c>
      <c r="Y170" s="44" t="str">
        <f t="shared" si="300"/>
        <v/>
      </c>
      <c r="Z170" s="44" t="str">
        <f t="shared" si="300"/>
        <v/>
      </c>
      <c r="AA170" s="44" t="str">
        <f t="shared" si="300"/>
        <v/>
      </c>
      <c r="AB170" s="44" t="str">
        <f t="shared" si="300"/>
        <v/>
      </c>
      <c r="AC170" s="44" t="str">
        <f t="shared" si="300"/>
        <v/>
      </c>
      <c r="AD170" s="44" t="str">
        <f t="shared" si="300"/>
        <v/>
      </c>
      <c r="AE170" s="44" t="str">
        <f t="shared" si="300"/>
        <v/>
      </c>
      <c r="AF170" s="44" t="str">
        <f t="shared" si="300"/>
        <v/>
      </c>
      <c r="AG170" s="44" t="str">
        <f t="shared" si="300"/>
        <v/>
      </c>
      <c r="AH170" s="44" t="str">
        <f t="shared" si="300"/>
        <v/>
      </c>
      <c r="AI170" s="44" t="str">
        <f t="shared" si="300"/>
        <v/>
      </c>
      <c r="AJ170" s="44" t="str">
        <f t="shared" si="300"/>
        <v/>
      </c>
      <c r="AK170" s="44" t="str">
        <f t="shared" si="300"/>
        <v/>
      </c>
      <c r="AL170" s="44" t="str">
        <f t="shared" si="300"/>
        <v/>
      </c>
      <c r="AM170" s="44" t="str">
        <f t="shared" si="300"/>
        <v/>
      </c>
      <c r="AN170" s="44" t="str">
        <f t="shared" ref="AN170:AS170" si="301">IF(AN$3="","",IF(AN169=0,"",AN169/(AN166*100)))</f>
        <v/>
      </c>
      <c r="AO170" s="44" t="str">
        <f t="shared" si="301"/>
        <v/>
      </c>
      <c r="AP170" s="44" t="str">
        <f t="shared" si="301"/>
        <v/>
      </c>
      <c r="AQ170" s="44" t="str">
        <f t="shared" si="301"/>
        <v/>
      </c>
      <c r="AR170" s="44" t="str">
        <f t="shared" si="301"/>
        <v/>
      </c>
      <c r="AS170" s="44" t="str">
        <f t="shared" si="301"/>
        <v/>
      </c>
    </row>
    <row r="171" spans="1:45" s="1" customFormat="1" ht="11">
      <c r="A171" s="17" t="s">
        <v>113</v>
      </c>
      <c r="B171" s="42" t="s">
        <v>2</v>
      </c>
      <c r="C171" s="64">
        <v>3085</v>
      </c>
      <c r="D171" s="35">
        <f>IF(D$3="","",C171)</f>
        <v>3085</v>
      </c>
      <c r="E171" s="35">
        <v>3157</v>
      </c>
      <c r="F171" s="128">
        <f>IF(F$3="","",E171)</f>
        <v>3157</v>
      </c>
      <c r="G171" s="35">
        <f>IF(G$3="","",F171)</f>
        <v>3157</v>
      </c>
      <c r="H171" s="35">
        <v>3286</v>
      </c>
      <c r="I171" s="128">
        <f t="shared" ref="I171:K172" si="302">IF(I$3="","",H171)</f>
        <v>3286</v>
      </c>
      <c r="J171" s="35">
        <f t="shared" si="302"/>
        <v>3286</v>
      </c>
      <c r="K171" s="35">
        <f t="shared" si="302"/>
        <v>3286</v>
      </c>
      <c r="L171" s="35">
        <v>3393</v>
      </c>
      <c r="M171" s="35">
        <f>IF(M$3="","",L171)</f>
        <v>3393</v>
      </c>
      <c r="N171" s="35">
        <f>IF(N$3="","",M171)</f>
        <v>3393</v>
      </c>
      <c r="O171" s="35">
        <v>3484</v>
      </c>
      <c r="P171" s="35">
        <f t="shared" ref="P171:AM171" si="303">IF(P$3="","",O171)</f>
        <v>3484</v>
      </c>
      <c r="Q171" s="35">
        <f t="shared" si="303"/>
        <v>3484</v>
      </c>
      <c r="R171" s="35">
        <f t="shared" si="303"/>
        <v>3484</v>
      </c>
      <c r="S171" s="35">
        <v>3567</v>
      </c>
      <c r="T171" s="35">
        <f t="shared" si="303"/>
        <v>3567</v>
      </c>
      <c r="U171" s="35">
        <f t="shared" si="303"/>
        <v>3567</v>
      </c>
      <c r="V171" s="35">
        <v>3596</v>
      </c>
      <c r="W171" s="35">
        <f t="shared" si="303"/>
        <v>3596</v>
      </c>
      <c r="X171" s="35">
        <f t="shared" si="303"/>
        <v>3596</v>
      </c>
      <c r="Y171" s="35">
        <f t="shared" si="303"/>
        <v>3596</v>
      </c>
      <c r="Z171" s="35">
        <f t="shared" si="303"/>
        <v>3596</v>
      </c>
      <c r="AA171" s="35">
        <f t="shared" si="303"/>
        <v>3596</v>
      </c>
      <c r="AB171" s="35">
        <f t="shared" si="303"/>
        <v>3596</v>
      </c>
      <c r="AC171" s="35">
        <f t="shared" si="303"/>
        <v>3596</v>
      </c>
      <c r="AD171" s="35">
        <v>3825</v>
      </c>
      <c r="AE171" s="35" t="str">
        <f t="shared" si="303"/>
        <v/>
      </c>
      <c r="AF171" s="35" t="str">
        <f t="shared" si="303"/>
        <v/>
      </c>
      <c r="AG171" s="35" t="str">
        <f t="shared" si="303"/>
        <v/>
      </c>
      <c r="AH171" s="35" t="str">
        <f t="shared" si="303"/>
        <v/>
      </c>
      <c r="AI171" s="35" t="str">
        <f t="shared" si="303"/>
        <v/>
      </c>
      <c r="AJ171" s="35" t="str">
        <f t="shared" si="303"/>
        <v/>
      </c>
      <c r="AK171" s="35" t="str">
        <f t="shared" si="303"/>
        <v/>
      </c>
      <c r="AL171" s="35" t="str">
        <f t="shared" si="303"/>
        <v/>
      </c>
      <c r="AM171" s="35" t="str">
        <f t="shared" si="303"/>
        <v/>
      </c>
      <c r="AN171" s="35" t="str">
        <f t="shared" ref="AN171:AS171" si="304">IF(AN$3="","",AM171)</f>
        <v/>
      </c>
      <c r="AO171" s="35" t="str">
        <f t="shared" si="304"/>
        <v/>
      </c>
      <c r="AP171" s="35" t="str">
        <f t="shared" si="304"/>
        <v/>
      </c>
      <c r="AQ171" s="35" t="str">
        <f t="shared" si="304"/>
        <v/>
      </c>
      <c r="AR171" s="35" t="str">
        <f t="shared" si="304"/>
        <v/>
      </c>
      <c r="AS171" s="35" t="str">
        <f t="shared" si="304"/>
        <v/>
      </c>
    </row>
    <row r="172" spans="1:45" s="1" customFormat="1" ht="11">
      <c r="A172" s="16" t="s">
        <v>53</v>
      </c>
      <c r="B172" s="30" t="s">
        <v>4</v>
      </c>
      <c r="C172" s="65">
        <v>109</v>
      </c>
      <c r="D172" s="29">
        <f>IF(D$3="","",C172)</f>
        <v>109</v>
      </c>
      <c r="E172" s="29">
        <v>112</v>
      </c>
      <c r="F172" s="54">
        <f>IF(F$3="","",E172)</f>
        <v>112</v>
      </c>
      <c r="G172" s="29">
        <f>IF(G$3="","",F172)</f>
        <v>112</v>
      </c>
      <c r="H172" s="29">
        <v>118</v>
      </c>
      <c r="I172" s="54">
        <f t="shared" si="302"/>
        <v>118</v>
      </c>
      <c r="J172" s="29">
        <f t="shared" si="302"/>
        <v>118</v>
      </c>
      <c r="K172" s="29">
        <f t="shared" si="302"/>
        <v>118</v>
      </c>
      <c r="L172" s="29">
        <v>122</v>
      </c>
      <c r="M172" s="29">
        <f>IF(M$3="","",L172)</f>
        <v>122</v>
      </c>
      <c r="N172" s="29">
        <f>IF(N$3="","",M172)</f>
        <v>122</v>
      </c>
      <c r="O172" s="29">
        <v>124</v>
      </c>
      <c r="P172" s="29">
        <f t="shared" ref="P172:AM172" si="305">IF(P$3="","",O172)</f>
        <v>124</v>
      </c>
      <c r="Q172" s="29">
        <f t="shared" si="305"/>
        <v>124</v>
      </c>
      <c r="R172" s="29">
        <f t="shared" si="305"/>
        <v>124</v>
      </c>
      <c r="S172" s="29">
        <f t="shared" si="305"/>
        <v>124</v>
      </c>
      <c r="T172" s="29">
        <f t="shared" si="305"/>
        <v>124</v>
      </c>
      <c r="U172" s="29">
        <f t="shared" si="305"/>
        <v>124</v>
      </c>
      <c r="V172" s="29">
        <v>125</v>
      </c>
      <c r="W172" s="29">
        <f t="shared" si="305"/>
        <v>125</v>
      </c>
      <c r="X172" s="29">
        <f t="shared" si="305"/>
        <v>125</v>
      </c>
      <c r="Y172" s="29">
        <f t="shared" si="305"/>
        <v>125</v>
      </c>
      <c r="Z172" s="29">
        <f t="shared" si="305"/>
        <v>125</v>
      </c>
      <c r="AA172" s="29">
        <f t="shared" si="305"/>
        <v>125</v>
      </c>
      <c r="AB172" s="29">
        <f t="shared" si="305"/>
        <v>125</v>
      </c>
      <c r="AC172" s="29">
        <f t="shared" si="305"/>
        <v>125</v>
      </c>
      <c r="AD172" s="29">
        <v>126</v>
      </c>
      <c r="AE172" s="29" t="str">
        <f t="shared" si="305"/>
        <v/>
      </c>
      <c r="AF172" s="29" t="str">
        <f t="shared" si="305"/>
        <v/>
      </c>
      <c r="AG172" s="29" t="str">
        <f t="shared" si="305"/>
        <v/>
      </c>
      <c r="AH172" s="29" t="str">
        <f t="shared" si="305"/>
        <v/>
      </c>
      <c r="AI172" s="29" t="str">
        <f t="shared" si="305"/>
        <v/>
      </c>
      <c r="AJ172" s="29" t="str">
        <f t="shared" si="305"/>
        <v/>
      </c>
      <c r="AK172" s="29" t="str">
        <f t="shared" si="305"/>
        <v/>
      </c>
      <c r="AL172" s="29" t="str">
        <f t="shared" si="305"/>
        <v/>
      </c>
      <c r="AM172" s="29" t="str">
        <f t="shared" si="305"/>
        <v/>
      </c>
      <c r="AN172" s="29" t="str">
        <f t="shared" ref="AN172:AS172" si="306">IF(AN$3="","",AM172)</f>
        <v/>
      </c>
      <c r="AO172" s="29" t="str">
        <f t="shared" si="306"/>
        <v/>
      </c>
      <c r="AP172" s="29" t="str">
        <f t="shared" si="306"/>
        <v/>
      </c>
      <c r="AQ172" s="29" t="str">
        <f t="shared" si="306"/>
        <v/>
      </c>
      <c r="AR172" s="29" t="str">
        <f t="shared" si="306"/>
        <v/>
      </c>
      <c r="AS172" s="29" t="str">
        <f t="shared" si="306"/>
        <v/>
      </c>
    </row>
    <row r="173" spans="1:45" s="1" customFormat="1" ht="11">
      <c r="A173" s="15">
        <v>4</v>
      </c>
      <c r="B173" s="30" t="s">
        <v>5</v>
      </c>
      <c r="C173" s="65">
        <v>2</v>
      </c>
      <c r="D173" s="29">
        <f>IF(D$3="","",(C173+C174))</f>
        <v>2</v>
      </c>
      <c r="E173" s="29">
        <v>1</v>
      </c>
      <c r="F173" s="54">
        <f>IF(F$3="","",(E173+E174))</f>
        <v>4</v>
      </c>
      <c r="G173" s="29">
        <f>IF(G$3="","",(F173+F174))</f>
        <v>4</v>
      </c>
      <c r="H173" s="29">
        <v>0</v>
      </c>
      <c r="I173" s="54">
        <f>IF(I$3="","",(H173+H174))</f>
        <v>6</v>
      </c>
      <c r="J173" s="29">
        <f>IF(J$3="","",(I173+I174))</f>
        <v>6</v>
      </c>
      <c r="K173" s="29">
        <f>IF(K$3="","",(J173+J174))</f>
        <v>6</v>
      </c>
      <c r="L173" s="29">
        <v>3</v>
      </c>
      <c r="M173" s="29">
        <f>IF(M$3="","",(L173+L174))</f>
        <v>4</v>
      </c>
      <c r="N173" s="29">
        <f>IF(N$3="","",(M173+M174))</f>
        <v>4</v>
      </c>
      <c r="O173" s="29">
        <v>2</v>
      </c>
      <c r="P173" s="29">
        <f t="shared" ref="P173:AM173" si="307">IF(P$3="","",(O173+O174))</f>
        <v>6</v>
      </c>
      <c r="Q173" s="29">
        <f t="shared" si="307"/>
        <v>6</v>
      </c>
      <c r="R173" s="29">
        <f t="shared" si="307"/>
        <v>6</v>
      </c>
      <c r="S173" s="29">
        <v>5</v>
      </c>
      <c r="T173" s="29">
        <f t="shared" si="307"/>
        <v>5</v>
      </c>
      <c r="U173" s="29">
        <f t="shared" si="307"/>
        <v>5</v>
      </c>
      <c r="V173" s="29">
        <v>4</v>
      </c>
      <c r="W173" s="29">
        <f t="shared" si="307"/>
        <v>5</v>
      </c>
      <c r="X173" s="29">
        <f t="shared" si="307"/>
        <v>5</v>
      </c>
      <c r="Y173" s="29">
        <f t="shared" si="307"/>
        <v>5</v>
      </c>
      <c r="Z173" s="29">
        <f t="shared" si="307"/>
        <v>5</v>
      </c>
      <c r="AA173" s="29">
        <f t="shared" si="307"/>
        <v>5</v>
      </c>
      <c r="AB173" s="29">
        <f t="shared" si="307"/>
        <v>5</v>
      </c>
      <c r="AC173" s="29">
        <f t="shared" si="307"/>
        <v>5</v>
      </c>
      <c r="AD173" s="29">
        <v>4</v>
      </c>
      <c r="AE173" s="29" t="str">
        <f t="shared" si="307"/>
        <v/>
      </c>
      <c r="AF173" s="29" t="str">
        <f t="shared" si="307"/>
        <v/>
      </c>
      <c r="AG173" s="29" t="str">
        <f t="shared" si="307"/>
        <v/>
      </c>
      <c r="AH173" s="29" t="str">
        <f t="shared" si="307"/>
        <v/>
      </c>
      <c r="AI173" s="29" t="str">
        <f t="shared" si="307"/>
        <v/>
      </c>
      <c r="AJ173" s="29" t="str">
        <f t="shared" si="307"/>
        <v/>
      </c>
      <c r="AK173" s="29" t="str">
        <f t="shared" si="307"/>
        <v/>
      </c>
      <c r="AL173" s="29" t="str">
        <f t="shared" si="307"/>
        <v/>
      </c>
      <c r="AM173" s="29" t="str">
        <f t="shared" si="307"/>
        <v/>
      </c>
      <c r="AN173" s="29" t="str">
        <f t="shared" ref="AN173:AS173" si="308">IF(AN$3="","",(AM173+AM174))</f>
        <v/>
      </c>
      <c r="AO173" s="29" t="str">
        <f t="shared" si="308"/>
        <v/>
      </c>
      <c r="AP173" s="29" t="str">
        <f t="shared" si="308"/>
        <v/>
      </c>
      <c r="AQ173" s="29" t="str">
        <f t="shared" si="308"/>
        <v/>
      </c>
      <c r="AR173" s="29" t="str">
        <f t="shared" si="308"/>
        <v/>
      </c>
      <c r="AS173" s="29" t="str">
        <f t="shared" si="308"/>
        <v/>
      </c>
    </row>
    <row r="174" spans="1:45" s="1" customFormat="1" ht="11">
      <c r="A174" s="14"/>
      <c r="B174" s="30" t="s">
        <v>7</v>
      </c>
      <c r="C174" s="65"/>
      <c r="D174" s="29"/>
      <c r="E174" s="29">
        <v>3</v>
      </c>
      <c r="F174" s="54"/>
      <c r="G174" s="29"/>
      <c r="H174" s="29">
        <v>6</v>
      </c>
      <c r="I174" s="54"/>
      <c r="J174" s="29"/>
      <c r="K174" s="29"/>
      <c r="L174" s="29">
        <v>1</v>
      </c>
      <c r="M174" s="29"/>
      <c r="N174" s="29"/>
      <c r="O174" s="29">
        <v>4</v>
      </c>
      <c r="P174" s="29"/>
      <c r="Q174" s="29"/>
      <c r="R174" s="29"/>
      <c r="S174" s="29"/>
      <c r="T174" s="29"/>
      <c r="U174" s="29"/>
      <c r="V174" s="29">
        <v>1</v>
      </c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 spans="1:45" s="1" customFormat="1" ht="11">
      <c r="A175" s="7"/>
      <c r="B175" s="30" t="s">
        <v>8</v>
      </c>
      <c r="C175" s="64">
        <v>400</v>
      </c>
      <c r="D175" s="35">
        <f t="shared" ref="D175:AM175" si="309">IF(D$3="","",C175)</f>
        <v>400</v>
      </c>
      <c r="E175" s="35">
        <f t="shared" si="309"/>
        <v>400</v>
      </c>
      <c r="F175" s="128">
        <f t="shared" si="309"/>
        <v>400</v>
      </c>
      <c r="G175" s="35">
        <f t="shared" si="309"/>
        <v>400</v>
      </c>
      <c r="H175" s="35">
        <f t="shared" si="309"/>
        <v>400</v>
      </c>
      <c r="I175" s="128">
        <f t="shared" si="309"/>
        <v>400</v>
      </c>
      <c r="J175" s="35">
        <f t="shared" si="309"/>
        <v>400</v>
      </c>
      <c r="K175" s="35">
        <f t="shared" si="309"/>
        <v>400</v>
      </c>
      <c r="L175" s="35">
        <f t="shared" si="309"/>
        <v>400</v>
      </c>
      <c r="M175" s="35">
        <f t="shared" si="309"/>
        <v>400</v>
      </c>
      <c r="N175" s="35">
        <f t="shared" si="309"/>
        <v>400</v>
      </c>
      <c r="O175" s="35">
        <f t="shared" si="309"/>
        <v>400</v>
      </c>
      <c r="P175" s="35">
        <f t="shared" si="309"/>
        <v>400</v>
      </c>
      <c r="Q175" s="35">
        <f t="shared" si="309"/>
        <v>400</v>
      </c>
      <c r="R175" s="35">
        <f t="shared" si="309"/>
        <v>400</v>
      </c>
      <c r="S175" s="35">
        <f t="shared" si="309"/>
        <v>400</v>
      </c>
      <c r="T175" s="35">
        <f t="shared" si="309"/>
        <v>400</v>
      </c>
      <c r="U175" s="35">
        <f t="shared" si="309"/>
        <v>400</v>
      </c>
      <c r="V175" s="35">
        <f t="shared" si="309"/>
        <v>400</v>
      </c>
      <c r="W175" s="35">
        <f t="shared" si="309"/>
        <v>400</v>
      </c>
      <c r="X175" s="35">
        <f t="shared" si="309"/>
        <v>400</v>
      </c>
      <c r="Y175" s="35">
        <f t="shared" si="309"/>
        <v>400</v>
      </c>
      <c r="Z175" s="35">
        <f t="shared" si="309"/>
        <v>400</v>
      </c>
      <c r="AA175" s="35">
        <f t="shared" si="309"/>
        <v>400</v>
      </c>
      <c r="AB175" s="35">
        <f t="shared" si="309"/>
        <v>400</v>
      </c>
      <c r="AC175" s="35">
        <f t="shared" si="309"/>
        <v>400</v>
      </c>
      <c r="AD175" s="35">
        <f t="shared" si="309"/>
        <v>400</v>
      </c>
      <c r="AE175" s="35" t="str">
        <f t="shared" si="309"/>
        <v/>
      </c>
      <c r="AF175" s="35" t="str">
        <f t="shared" si="309"/>
        <v/>
      </c>
      <c r="AG175" s="35" t="str">
        <f t="shared" si="309"/>
        <v/>
      </c>
      <c r="AH175" s="35" t="str">
        <f t="shared" si="309"/>
        <v/>
      </c>
      <c r="AI175" s="35" t="str">
        <f t="shared" si="309"/>
        <v/>
      </c>
      <c r="AJ175" s="35" t="str">
        <f t="shared" si="309"/>
        <v/>
      </c>
      <c r="AK175" s="35" t="str">
        <f t="shared" si="309"/>
        <v/>
      </c>
      <c r="AL175" s="35" t="str">
        <f t="shared" si="309"/>
        <v/>
      </c>
      <c r="AM175" s="35" t="str">
        <f t="shared" si="309"/>
        <v/>
      </c>
      <c r="AN175" s="35" t="str">
        <f t="shared" ref="AN175:AS175" si="310">IF(AN$3="","",AM175)</f>
        <v/>
      </c>
      <c r="AO175" s="35" t="str">
        <f t="shared" si="310"/>
        <v/>
      </c>
      <c r="AP175" s="35" t="str">
        <f t="shared" si="310"/>
        <v/>
      </c>
      <c r="AQ175" s="35" t="str">
        <f t="shared" si="310"/>
        <v/>
      </c>
      <c r="AR175" s="35" t="str">
        <f t="shared" si="310"/>
        <v/>
      </c>
      <c r="AS175" s="35" t="str">
        <f t="shared" si="310"/>
        <v/>
      </c>
    </row>
    <row r="176" spans="1:45" s="94" customFormat="1" ht="11">
      <c r="A176" s="14" t="s">
        <v>9</v>
      </c>
      <c r="B176" s="33" t="s">
        <v>10</v>
      </c>
      <c r="C176" s="63" t="s">
        <v>71</v>
      </c>
      <c r="D176" s="32" t="str">
        <f t="shared" ref="D176:AM176" si="311">IF(D$3="","",C176)</f>
        <v>ギャルキティフェイスポーチ</v>
      </c>
      <c r="E176" s="32" t="str">
        <f t="shared" si="311"/>
        <v>ギャルキティフェイスポーチ</v>
      </c>
      <c r="F176" s="129" t="str">
        <f t="shared" si="311"/>
        <v>ギャルキティフェイスポーチ</v>
      </c>
      <c r="G176" s="32" t="str">
        <f t="shared" si="311"/>
        <v>ギャルキティフェイスポーチ</v>
      </c>
      <c r="H176" s="32" t="str">
        <f t="shared" si="311"/>
        <v>ギャルキティフェイスポーチ</v>
      </c>
      <c r="I176" s="129" t="str">
        <f t="shared" si="311"/>
        <v>ギャルキティフェイスポーチ</v>
      </c>
      <c r="J176" s="32" t="str">
        <f t="shared" si="311"/>
        <v>ギャルキティフェイスポーチ</v>
      </c>
      <c r="K176" s="32" t="str">
        <f t="shared" si="311"/>
        <v>ギャルキティフェイスポーチ</v>
      </c>
      <c r="L176" s="32" t="str">
        <f t="shared" si="311"/>
        <v>ギャルキティフェイスポーチ</v>
      </c>
      <c r="M176" s="32" t="str">
        <f t="shared" si="311"/>
        <v>ギャルキティフェイスポーチ</v>
      </c>
      <c r="N176" s="32" t="str">
        <f t="shared" si="311"/>
        <v>ギャルキティフェイスポーチ</v>
      </c>
      <c r="O176" s="32" t="str">
        <f t="shared" si="311"/>
        <v>ギャルキティフェイスポーチ</v>
      </c>
      <c r="P176" s="32" t="str">
        <f t="shared" si="311"/>
        <v>ギャルキティフェイスポーチ</v>
      </c>
      <c r="Q176" s="32" t="str">
        <f t="shared" si="311"/>
        <v>ギャルキティフェイスポーチ</v>
      </c>
      <c r="R176" s="32" t="str">
        <f t="shared" si="311"/>
        <v>ギャルキティフェイスポーチ</v>
      </c>
      <c r="S176" s="32" t="str">
        <f t="shared" si="311"/>
        <v>ギャルキティフェイスポーチ</v>
      </c>
      <c r="T176" s="32" t="str">
        <f t="shared" si="311"/>
        <v>ギャルキティフェイスポーチ</v>
      </c>
      <c r="U176" s="32" t="str">
        <f t="shared" si="311"/>
        <v>ギャルキティフェイスポーチ</v>
      </c>
      <c r="V176" s="32" t="str">
        <f t="shared" si="311"/>
        <v>ギャルキティフェイスポーチ</v>
      </c>
      <c r="W176" s="32" t="str">
        <f t="shared" si="311"/>
        <v>ギャルキティフェイスポーチ</v>
      </c>
      <c r="X176" s="32" t="str">
        <f t="shared" si="311"/>
        <v>ギャルキティフェイスポーチ</v>
      </c>
      <c r="Y176" s="32" t="str">
        <f t="shared" si="311"/>
        <v>ギャルキティフェイスポーチ</v>
      </c>
      <c r="Z176" s="32" t="str">
        <f t="shared" si="311"/>
        <v>ギャルキティフェイスポーチ</v>
      </c>
      <c r="AA176" s="32" t="str">
        <f t="shared" si="311"/>
        <v>ギャルキティフェイスポーチ</v>
      </c>
      <c r="AB176" s="32" t="str">
        <f t="shared" si="311"/>
        <v>ギャルキティフェイスポーチ</v>
      </c>
      <c r="AC176" s="32" t="str">
        <f t="shared" si="311"/>
        <v>ギャルキティフェイスポーチ</v>
      </c>
      <c r="AD176" s="32" t="str">
        <f t="shared" si="311"/>
        <v>ギャルキティフェイスポーチ</v>
      </c>
      <c r="AE176" s="32" t="str">
        <f t="shared" si="311"/>
        <v/>
      </c>
      <c r="AF176" s="32" t="str">
        <f t="shared" si="311"/>
        <v/>
      </c>
      <c r="AG176" s="32" t="str">
        <f t="shared" si="311"/>
        <v/>
      </c>
      <c r="AH176" s="32" t="str">
        <f t="shared" si="311"/>
        <v/>
      </c>
      <c r="AI176" s="32" t="str">
        <f t="shared" si="311"/>
        <v/>
      </c>
      <c r="AJ176" s="32" t="str">
        <f t="shared" si="311"/>
        <v/>
      </c>
      <c r="AK176" s="32" t="str">
        <f t="shared" si="311"/>
        <v/>
      </c>
      <c r="AL176" s="32" t="str">
        <f t="shared" si="311"/>
        <v/>
      </c>
      <c r="AM176" s="32" t="str">
        <f t="shared" si="311"/>
        <v/>
      </c>
      <c r="AN176" s="32" t="str">
        <f t="shared" ref="AN176:AS176" si="312">IF(AN$3="","",AM176)</f>
        <v/>
      </c>
      <c r="AO176" s="32" t="str">
        <f t="shared" si="312"/>
        <v/>
      </c>
      <c r="AP176" s="32" t="str">
        <f t="shared" si="312"/>
        <v/>
      </c>
      <c r="AQ176" s="32" t="str">
        <f t="shared" si="312"/>
        <v/>
      </c>
      <c r="AR176" s="32" t="str">
        <f t="shared" si="312"/>
        <v/>
      </c>
      <c r="AS176" s="32" t="str">
        <f t="shared" si="312"/>
        <v/>
      </c>
    </row>
    <row r="177" spans="1:45" s="1" customFormat="1" ht="11">
      <c r="A177" s="7">
        <f>AVERAGE(C178:AS178)*30*100</f>
        <v>79285.714285714275</v>
      </c>
      <c r="B177" s="30" t="s">
        <v>14</v>
      </c>
      <c r="C177" s="65"/>
      <c r="D177" s="29"/>
      <c r="E177" s="29"/>
      <c r="F177" s="54"/>
      <c r="G177" s="29"/>
      <c r="H177" s="29"/>
      <c r="I177" s="54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 spans="1:45" s="1" customFormat="1" ht="11">
      <c r="A178" s="7">
        <f>SUM(C178:AS178)</f>
        <v>740</v>
      </c>
      <c r="B178" s="27" t="s">
        <v>15</v>
      </c>
      <c r="C178" s="65">
        <v>0</v>
      </c>
      <c r="D178" s="26">
        <f t="shared" ref="D178:AM178" si="313">IF(D$3="","",D171-C171)</f>
        <v>0</v>
      </c>
      <c r="E178" s="26">
        <f t="shared" si="313"/>
        <v>72</v>
      </c>
      <c r="F178" s="54">
        <f t="shared" si="313"/>
        <v>0</v>
      </c>
      <c r="G178" s="26">
        <f t="shared" si="313"/>
        <v>0</v>
      </c>
      <c r="H178" s="26">
        <f t="shared" si="313"/>
        <v>129</v>
      </c>
      <c r="I178" s="54">
        <f t="shared" si="313"/>
        <v>0</v>
      </c>
      <c r="J178" s="26">
        <f t="shared" si="313"/>
        <v>0</v>
      </c>
      <c r="K178" s="26">
        <f t="shared" si="313"/>
        <v>0</v>
      </c>
      <c r="L178" s="26">
        <f t="shared" si="313"/>
        <v>107</v>
      </c>
      <c r="M178" s="26">
        <f t="shared" si="313"/>
        <v>0</v>
      </c>
      <c r="N178" s="26">
        <f t="shared" si="313"/>
        <v>0</v>
      </c>
      <c r="O178" s="26">
        <f t="shared" si="313"/>
        <v>91</v>
      </c>
      <c r="P178" s="26">
        <f t="shared" si="313"/>
        <v>0</v>
      </c>
      <c r="Q178" s="26">
        <f t="shared" si="313"/>
        <v>0</v>
      </c>
      <c r="R178" s="26">
        <f t="shared" si="313"/>
        <v>0</v>
      </c>
      <c r="S178" s="26">
        <f t="shared" si="313"/>
        <v>83</v>
      </c>
      <c r="T178" s="26">
        <f t="shared" si="313"/>
        <v>0</v>
      </c>
      <c r="U178" s="26">
        <f t="shared" si="313"/>
        <v>0</v>
      </c>
      <c r="V178" s="26">
        <f t="shared" si="313"/>
        <v>29</v>
      </c>
      <c r="W178" s="26">
        <f t="shared" si="313"/>
        <v>0</v>
      </c>
      <c r="X178" s="26">
        <f t="shared" si="313"/>
        <v>0</v>
      </c>
      <c r="Y178" s="26">
        <f t="shared" si="313"/>
        <v>0</v>
      </c>
      <c r="Z178" s="26">
        <f t="shared" si="313"/>
        <v>0</v>
      </c>
      <c r="AA178" s="26">
        <f t="shared" si="313"/>
        <v>0</v>
      </c>
      <c r="AB178" s="26">
        <f t="shared" si="313"/>
        <v>0</v>
      </c>
      <c r="AC178" s="26">
        <f t="shared" si="313"/>
        <v>0</v>
      </c>
      <c r="AD178" s="26">
        <f t="shared" si="313"/>
        <v>229</v>
      </c>
      <c r="AE178" s="26" t="str">
        <f t="shared" si="313"/>
        <v/>
      </c>
      <c r="AF178" s="26" t="str">
        <f t="shared" si="313"/>
        <v/>
      </c>
      <c r="AG178" s="26" t="str">
        <f t="shared" si="313"/>
        <v/>
      </c>
      <c r="AH178" s="26" t="str">
        <f t="shared" si="313"/>
        <v/>
      </c>
      <c r="AI178" s="26" t="str">
        <f t="shared" si="313"/>
        <v/>
      </c>
      <c r="AJ178" s="26" t="str">
        <f t="shared" si="313"/>
        <v/>
      </c>
      <c r="AK178" s="26" t="str">
        <f t="shared" si="313"/>
        <v/>
      </c>
      <c r="AL178" s="26" t="str">
        <f t="shared" si="313"/>
        <v/>
      </c>
      <c r="AM178" s="26" t="str">
        <f t="shared" si="313"/>
        <v/>
      </c>
      <c r="AN178" s="26" t="str">
        <f t="shared" ref="AN178:AS178" si="314">IF(AN$3="","",AN171-AM171)</f>
        <v/>
      </c>
      <c r="AO178" s="26" t="str">
        <f t="shared" si="314"/>
        <v/>
      </c>
      <c r="AP178" s="26" t="str">
        <f t="shared" si="314"/>
        <v/>
      </c>
      <c r="AQ178" s="26" t="str">
        <f t="shared" si="314"/>
        <v/>
      </c>
      <c r="AR178" s="26" t="str">
        <f t="shared" si="314"/>
        <v/>
      </c>
      <c r="AS178" s="26" t="str">
        <f t="shared" si="314"/>
        <v/>
      </c>
    </row>
    <row r="179" spans="1:45" s="1" customFormat="1" ht="11">
      <c r="A179" s="7">
        <f>SUM(C179:AS179)</f>
        <v>17</v>
      </c>
      <c r="B179" s="27" t="s">
        <v>16</v>
      </c>
      <c r="C179" s="65">
        <v>0</v>
      </c>
      <c r="D179" s="26">
        <f t="shared" ref="D179:AM179" si="315">IF(D$3="","",D172-C172)</f>
        <v>0</v>
      </c>
      <c r="E179" s="26">
        <f t="shared" si="315"/>
        <v>3</v>
      </c>
      <c r="F179" s="54">
        <f t="shared" si="315"/>
        <v>0</v>
      </c>
      <c r="G179" s="26">
        <f t="shared" si="315"/>
        <v>0</v>
      </c>
      <c r="H179" s="26">
        <f t="shared" si="315"/>
        <v>6</v>
      </c>
      <c r="I179" s="54">
        <f t="shared" si="315"/>
        <v>0</v>
      </c>
      <c r="J179" s="26">
        <f t="shared" si="315"/>
        <v>0</v>
      </c>
      <c r="K179" s="26">
        <f t="shared" si="315"/>
        <v>0</v>
      </c>
      <c r="L179" s="26">
        <f t="shared" si="315"/>
        <v>4</v>
      </c>
      <c r="M179" s="26">
        <f t="shared" si="315"/>
        <v>0</v>
      </c>
      <c r="N179" s="26">
        <f t="shared" si="315"/>
        <v>0</v>
      </c>
      <c r="O179" s="26">
        <f t="shared" si="315"/>
        <v>2</v>
      </c>
      <c r="P179" s="26">
        <f t="shared" si="315"/>
        <v>0</v>
      </c>
      <c r="Q179" s="26">
        <f t="shared" si="315"/>
        <v>0</v>
      </c>
      <c r="R179" s="26">
        <f t="shared" si="315"/>
        <v>0</v>
      </c>
      <c r="S179" s="26">
        <f t="shared" si="315"/>
        <v>0</v>
      </c>
      <c r="T179" s="26">
        <f t="shared" si="315"/>
        <v>0</v>
      </c>
      <c r="U179" s="26">
        <f t="shared" si="315"/>
        <v>0</v>
      </c>
      <c r="V179" s="26">
        <f t="shared" si="315"/>
        <v>1</v>
      </c>
      <c r="W179" s="26">
        <f t="shared" si="315"/>
        <v>0</v>
      </c>
      <c r="X179" s="26">
        <f t="shared" si="315"/>
        <v>0</v>
      </c>
      <c r="Y179" s="26">
        <f t="shared" si="315"/>
        <v>0</v>
      </c>
      <c r="Z179" s="26">
        <f t="shared" si="315"/>
        <v>0</v>
      </c>
      <c r="AA179" s="26">
        <f t="shared" si="315"/>
        <v>0</v>
      </c>
      <c r="AB179" s="26">
        <f t="shared" si="315"/>
        <v>0</v>
      </c>
      <c r="AC179" s="26">
        <f t="shared" si="315"/>
        <v>0</v>
      </c>
      <c r="AD179" s="26">
        <f t="shared" si="315"/>
        <v>1</v>
      </c>
      <c r="AE179" s="26" t="str">
        <f t="shared" si="315"/>
        <v/>
      </c>
      <c r="AF179" s="26" t="str">
        <f t="shared" si="315"/>
        <v/>
      </c>
      <c r="AG179" s="26" t="str">
        <f t="shared" si="315"/>
        <v/>
      </c>
      <c r="AH179" s="26" t="str">
        <f t="shared" si="315"/>
        <v/>
      </c>
      <c r="AI179" s="26" t="str">
        <f t="shared" si="315"/>
        <v/>
      </c>
      <c r="AJ179" s="26" t="str">
        <f t="shared" si="315"/>
        <v/>
      </c>
      <c r="AK179" s="26" t="str">
        <f t="shared" si="315"/>
        <v/>
      </c>
      <c r="AL179" s="26" t="str">
        <f t="shared" si="315"/>
        <v/>
      </c>
      <c r="AM179" s="26" t="str">
        <f t="shared" si="315"/>
        <v/>
      </c>
      <c r="AN179" s="26" t="str">
        <f t="shared" ref="AN179:AS179" si="316">IF(AN$3="","",AN172-AM172)</f>
        <v/>
      </c>
      <c r="AO179" s="26" t="str">
        <f t="shared" si="316"/>
        <v/>
      </c>
      <c r="AP179" s="26" t="str">
        <f t="shared" si="316"/>
        <v/>
      </c>
      <c r="AQ179" s="26" t="str">
        <f t="shared" si="316"/>
        <v/>
      </c>
      <c r="AR179" s="26" t="str">
        <f t="shared" si="316"/>
        <v/>
      </c>
      <c r="AS179" s="26" t="str">
        <f t="shared" si="316"/>
        <v/>
      </c>
    </row>
    <row r="180" spans="1:45" s="1" customFormat="1" ht="11">
      <c r="A180" s="7">
        <f>SUM(C180:AS180)</f>
        <v>13</v>
      </c>
      <c r="B180" s="27" t="s">
        <v>17</v>
      </c>
      <c r="C180" s="65">
        <v>0</v>
      </c>
      <c r="D180" s="26">
        <f t="shared" ref="D180:AM180" si="317">IF(D$3="","",C173+C174-D173)</f>
        <v>0</v>
      </c>
      <c r="E180" s="26">
        <f t="shared" si="317"/>
        <v>1</v>
      </c>
      <c r="F180" s="54">
        <f t="shared" si="317"/>
        <v>0</v>
      </c>
      <c r="G180" s="26">
        <f t="shared" si="317"/>
        <v>0</v>
      </c>
      <c r="H180" s="26">
        <f t="shared" si="317"/>
        <v>4</v>
      </c>
      <c r="I180" s="54">
        <f t="shared" si="317"/>
        <v>0</v>
      </c>
      <c r="J180" s="26">
        <f t="shared" si="317"/>
        <v>0</v>
      </c>
      <c r="K180" s="26">
        <f t="shared" si="317"/>
        <v>0</v>
      </c>
      <c r="L180" s="26">
        <f t="shared" si="317"/>
        <v>3</v>
      </c>
      <c r="M180" s="26">
        <f t="shared" si="317"/>
        <v>0</v>
      </c>
      <c r="N180" s="26">
        <f t="shared" si="317"/>
        <v>0</v>
      </c>
      <c r="O180" s="26">
        <f t="shared" si="317"/>
        <v>2</v>
      </c>
      <c r="P180" s="26">
        <f t="shared" si="317"/>
        <v>0</v>
      </c>
      <c r="Q180" s="26">
        <f t="shared" si="317"/>
        <v>0</v>
      </c>
      <c r="R180" s="26">
        <f t="shared" si="317"/>
        <v>0</v>
      </c>
      <c r="S180" s="26">
        <f t="shared" si="317"/>
        <v>1</v>
      </c>
      <c r="T180" s="26">
        <f t="shared" si="317"/>
        <v>0</v>
      </c>
      <c r="U180" s="26">
        <f t="shared" si="317"/>
        <v>0</v>
      </c>
      <c r="V180" s="26">
        <f t="shared" si="317"/>
        <v>1</v>
      </c>
      <c r="W180" s="26">
        <f t="shared" si="317"/>
        <v>0</v>
      </c>
      <c r="X180" s="26">
        <f t="shared" si="317"/>
        <v>0</v>
      </c>
      <c r="Y180" s="26">
        <f t="shared" si="317"/>
        <v>0</v>
      </c>
      <c r="Z180" s="26">
        <f t="shared" si="317"/>
        <v>0</v>
      </c>
      <c r="AA180" s="26">
        <f t="shared" si="317"/>
        <v>0</v>
      </c>
      <c r="AB180" s="26">
        <f t="shared" si="317"/>
        <v>0</v>
      </c>
      <c r="AC180" s="26">
        <f t="shared" si="317"/>
        <v>0</v>
      </c>
      <c r="AD180" s="26">
        <f t="shared" si="317"/>
        <v>1</v>
      </c>
      <c r="AE180" s="26" t="str">
        <f t="shared" si="317"/>
        <v/>
      </c>
      <c r="AF180" s="26" t="str">
        <f t="shared" si="317"/>
        <v/>
      </c>
      <c r="AG180" s="26" t="str">
        <f t="shared" si="317"/>
        <v/>
      </c>
      <c r="AH180" s="26" t="str">
        <f t="shared" si="317"/>
        <v/>
      </c>
      <c r="AI180" s="26" t="str">
        <f t="shared" si="317"/>
        <v/>
      </c>
      <c r="AJ180" s="26" t="str">
        <f t="shared" si="317"/>
        <v/>
      </c>
      <c r="AK180" s="26" t="str">
        <f t="shared" si="317"/>
        <v/>
      </c>
      <c r="AL180" s="26" t="str">
        <f t="shared" si="317"/>
        <v/>
      </c>
      <c r="AM180" s="26" t="str">
        <f t="shared" si="317"/>
        <v/>
      </c>
      <c r="AN180" s="26" t="str">
        <f t="shared" ref="AN180:AS180" si="318">IF(AN$3="","",AM173+AM174-AN173)</f>
        <v/>
      </c>
      <c r="AO180" s="26" t="str">
        <f t="shared" si="318"/>
        <v/>
      </c>
      <c r="AP180" s="26" t="str">
        <f t="shared" si="318"/>
        <v/>
      </c>
      <c r="AQ180" s="26" t="str">
        <f t="shared" si="318"/>
        <v/>
      </c>
      <c r="AR180" s="26" t="str">
        <f t="shared" si="318"/>
        <v/>
      </c>
      <c r="AS180" s="26" t="str">
        <f t="shared" si="318"/>
        <v/>
      </c>
    </row>
    <row r="181" spans="1:45" s="1" customFormat="1" ht="11">
      <c r="A181" s="7">
        <f>SUM(C181:AS181)</f>
        <v>5200</v>
      </c>
      <c r="B181" s="27" t="s">
        <v>18</v>
      </c>
      <c r="C181" s="65">
        <v>0</v>
      </c>
      <c r="D181" s="26">
        <f t="shared" ref="D181:AM181" si="319">IF(D$3="","",D180*D175)</f>
        <v>0</v>
      </c>
      <c r="E181" s="26">
        <f t="shared" si="319"/>
        <v>400</v>
      </c>
      <c r="F181" s="54">
        <f t="shared" si="319"/>
        <v>0</v>
      </c>
      <c r="G181" s="26">
        <f t="shared" si="319"/>
        <v>0</v>
      </c>
      <c r="H181" s="26">
        <f t="shared" si="319"/>
        <v>1600</v>
      </c>
      <c r="I181" s="54">
        <f t="shared" si="319"/>
        <v>0</v>
      </c>
      <c r="J181" s="26">
        <f t="shared" si="319"/>
        <v>0</v>
      </c>
      <c r="K181" s="26">
        <f t="shared" si="319"/>
        <v>0</v>
      </c>
      <c r="L181" s="26">
        <f t="shared" si="319"/>
        <v>1200</v>
      </c>
      <c r="M181" s="26">
        <f t="shared" si="319"/>
        <v>0</v>
      </c>
      <c r="N181" s="26">
        <f t="shared" si="319"/>
        <v>0</v>
      </c>
      <c r="O181" s="26">
        <f t="shared" si="319"/>
        <v>800</v>
      </c>
      <c r="P181" s="26">
        <f t="shared" si="319"/>
        <v>0</v>
      </c>
      <c r="Q181" s="26">
        <f t="shared" si="319"/>
        <v>0</v>
      </c>
      <c r="R181" s="26">
        <f t="shared" si="319"/>
        <v>0</v>
      </c>
      <c r="S181" s="26">
        <f t="shared" si="319"/>
        <v>400</v>
      </c>
      <c r="T181" s="26">
        <f t="shared" si="319"/>
        <v>0</v>
      </c>
      <c r="U181" s="26">
        <f t="shared" si="319"/>
        <v>0</v>
      </c>
      <c r="V181" s="26">
        <f t="shared" si="319"/>
        <v>400</v>
      </c>
      <c r="W181" s="26">
        <f t="shared" si="319"/>
        <v>0</v>
      </c>
      <c r="X181" s="26">
        <f t="shared" si="319"/>
        <v>0</v>
      </c>
      <c r="Y181" s="26">
        <f t="shared" si="319"/>
        <v>0</v>
      </c>
      <c r="Z181" s="26">
        <f t="shared" si="319"/>
        <v>0</v>
      </c>
      <c r="AA181" s="26">
        <f t="shared" si="319"/>
        <v>0</v>
      </c>
      <c r="AB181" s="26">
        <f t="shared" si="319"/>
        <v>0</v>
      </c>
      <c r="AC181" s="26">
        <f t="shared" si="319"/>
        <v>0</v>
      </c>
      <c r="AD181" s="26">
        <f t="shared" si="319"/>
        <v>400</v>
      </c>
      <c r="AE181" s="26" t="str">
        <f t="shared" si="319"/>
        <v/>
      </c>
      <c r="AF181" s="26" t="str">
        <f t="shared" si="319"/>
        <v/>
      </c>
      <c r="AG181" s="26" t="str">
        <f t="shared" si="319"/>
        <v/>
      </c>
      <c r="AH181" s="26" t="str">
        <f t="shared" si="319"/>
        <v/>
      </c>
      <c r="AI181" s="26" t="str">
        <f t="shared" si="319"/>
        <v/>
      </c>
      <c r="AJ181" s="26" t="str">
        <f t="shared" si="319"/>
        <v/>
      </c>
      <c r="AK181" s="26" t="str">
        <f t="shared" si="319"/>
        <v/>
      </c>
      <c r="AL181" s="26" t="str">
        <f t="shared" si="319"/>
        <v/>
      </c>
      <c r="AM181" s="26" t="str">
        <f t="shared" si="319"/>
        <v/>
      </c>
      <c r="AN181" s="26" t="str">
        <f t="shared" ref="AN181:AS181" si="320">IF(AN$3="","",AN180*AN175)</f>
        <v/>
      </c>
      <c r="AO181" s="26" t="str">
        <f t="shared" si="320"/>
        <v/>
      </c>
      <c r="AP181" s="26" t="str">
        <f t="shared" si="320"/>
        <v/>
      </c>
      <c r="AQ181" s="26" t="str">
        <f t="shared" si="320"/>
        <v/>
      </c>
      <c r="AR181" s="26" t="str">
        <f t="shared" si="320"/>
        <v/>
      </c>
      <c r="AS181" s="26" t="str">
        <f t="shared" si="320"/>
        <v/>
      </c>
    </row>
    <row r="182" spans="1:45" s="1" customFormat="1" ht="12" thickBot="1">
      <c r="A182" s="4">
        <f>IF(A181="","",A181/(A178*100))</f>
        <v>7.0270270270270274E-2</v>
      </c>
      <c r="B182" s="24" t="s">
        <v>20</v>
      </c>
      <c r="C182" s="67" t="s">
        <v>21</v>
      </c>
      <c r="D182" s="23" t="str">
        <f t="shared" ref="D182:AM182" si="321">IF(D$3="","",IF(D181=0,"",D181/(D178*100)))</f>
        <v/>
      </c>
      <c r="E182" s="23">
        <f t="shared" si="321"/>
        <v>5.5555555555555552E-2</v>
      </c>
      <c r="F182" s="52" t="str">
        <f t="shared" si="321"/>
        <v/>
      </c>
      <c r="G182" s="23" t="str">
        <f t="shared" si="321"/>
        <v/>
      </c>
      <c r="H182" s="23">
        <f t="shared" si="321"/>
        <v>0.12403100775193798</v>
      </c>
      <c r="I182" s="52" t="str">
        <f t="shared" si="321"/>
        <v/>
      </c>
      <c r="J182" s="23" t="str">
        <f t="shared" si="321"/>
        <v/>
      </c>
      <c r="K182" s="23" t="str">
        <f t="shared" si="321"/>
        <v/>
      </c>
      <c r="L182" s="23">
        <f t="shared" si="321"/>
        <v>0.11214953271028037</v>
      </c>
      <c r="M182" s="23" t="str">
        <f t="shared" si="321"/>
        <v/>
      </c>
      <c r="N182" s="23" t="str">
        <f t="shared" si="321"/>
        <v/>
      </c>
      <c r="O182" s="23">
        <f t="shared" si="321"/>
        <v>8.7912087912087919E-2</v>
      </c>
      <c r="P182" s="23" t="str">
        <f t="shared" si="321"/>
        <v/>
      </c>
      <c r="Q182" s="23" t="str">
        <f t="shared" si="321"/>
        <v/>
      </c>
      <c r="R182" s="23" t="str">
        <f t="shared" si="321"/>
        <v/>
      </c>
      <c r="S182" s="23">
        <f t="shared" si="321"/>
        <v>4.8192771084337352E-2</v>
      </c>
      <c r="T182" s="23" t="str">
        <f t="shared" si="321"/>
        <v/>
      </c>
      <c r="U182" s="23" t="str">
        <f t="shared" si="321"/>
        <v/>
      </c>
      <c r="V182" s="23">
        <f t="shared" si="321"/>
        <v>0.13793103448275862</v>
      </c>
      <c r="W182" s="23" t="str">
        <f t="shared" si="321"/>
        <v/>
      </c>
      <c r="X182" s="23" t="str">
        <f t="shared" si="321"/>
        <v/>
      </c>
      <c r="Y182" s="23" t="str">
        <f t="shared" si="321"/>
        <v/>
      </c>
      <c r="Z182" s="23" t="str">
        <f t="shared" si="321"/>
        <v/>
      </c>
      <c r="AA182" s="23" t="str">
        <f t="shared" si="321"/>
        <v/>
      </c>
      <c r="AB182" s="23" t="str">
        <f t="shared" si="321"/>
        <v/>
      </c>
      <c r="AC182" s="23" t="str">
        <f t="shared" si="321"/>
        <v/>
      </c>
      <c r="AD182" s="23">
        <f t="shared" si="321"/>
        <v>1.7467248908296942E-2</v>
      </c>
      <c r="AE182" s="23" t="str">
        <f t="shared" si="321"/>
        <v/>
      </c>
      <c r="AF182" s="23" t="str">
        <f t="shared" si="321"/>
        <v/>
      </c>
      <c r="AG182" s="23" t="str">
        <f t="shared" si="321"/>
        <v/>
      </c>
      <c r="AH182" s="23" t="str">
        <f t="shared" si="321"/>
        <v/>
      </c>
      <c r="AI182" s="23" t="str">
        <f t="shared" si="321"/>
        <v/>
      </c>
      <c r="AJ182" s="23" t="str">
        <f t="shared" si="321"/>
        <v/>
      </c>
      <c r="AK182" s="23" t="str">
        <f t="shared" si="321"/>
        <v/>
      </c>
      <c r="AL182" s="23" t="str">
        <f t="shared" si="321"/>
        <v/>
      </c>
      <c r="AM182" s="23" t="str">
        <f t="shared" si="321"/>
        <v/>
      </c>
      <c r="AN182" s="23" t="str">
        <f t="shared" ref="AN182:AS182" si="322">IF(AN$3="","",IF(AN181=0,"",AN181/(AN178*100)))</f>
        <v/>
      </c>
      <c r="AO182" s="23" t="str">
        <f t="shared" si="322"/>
        <v/>
      </c>
      <c r="AP182" s="23" t="str">
        <f t="shared" si="322"/>
        <v/>
      </c>
      <c r="AQ182" s="23" t="str">
        <f t="shared" si="322"/>
        <v/>
      </c>
      <c r="AR182" s="23" t="str">
        <f t="shared" si="322"/>
        <v/>
      </c>
      <c r="AS182" s="23" t="str">
        <f t="shared" si="322"/>
        <v/>
      </c>
    </row>
    <row r="183" spans="1:45" s="1" customFormat="1" ht="11">
      <c r="A183" s="17" t="s">
        <v>113</v>
      </c>
      <c r="B183" s="39" t="s">
        <v>2</v>
      </c>
      <c r="C183" s="66">
        <v>5038</v>
      </c>
      <c r="D183" s="38">
        <f>IF(D$3="","",C183)</f>
        <v>5038</v>
      </c>
      <c r="E183" s="38">
        <v>5110</v>
      </c>
      <c r="F183" s="127">
        <f>IF(F$3="","",E183)</f>
        <v>5110</v>
      </c>
      <c r="G183" s="38">
        <f>IF(G$3="","",F183)</f>
        <v>5110</v>
      </c>
      <c r="H183" s="38">
        <v>5151</v>
      </c>
      <c r="I183" s="127">
        <f t="shared" ref="I183:K184" si="323">IF(I$3="","",H183)</f>
        <v>5151</v>
      </c>
      <c r="J183" s="38">
        <f t="shared" si="323"/>
        <v>5151</v>
      </c>
      <c r="K183" s="38">
        <f t="shared" si="323"/>
        <v>5151</v>
      </c>
      <c r="L183" s="38">
        <v>5199</v>
      </c>
      <c r="M183" s="38">
        <f>IF(M$3="","",L183)</f>
        <v>5199</v>
      </c>
      <c r="N183" s="38">
        <f>IF(N$3="","",M183)</f>
        <v>5199</v>
      </c>
      <c r="O183" s="38">
        <v>5229</v>
      </c>
      <c r="P183" s="38">
        <f t="shared" ref="P183:AM183" si="324">IF(P$3="","",O183)</f>
        <v>5229</v>
      </c>
      <c r="Q183" s="38">
        <f t="shared" si="324"/>
        <v>5229</v>
      </c>
      <c r="R183" s="38">
        <f t="shared" si="324"/>
        <v>5229</v>
      </c>
      <c r="S183" s="38">
        <v>5254</v>
      </c>
      <c r="T183" s="38">
        <f t="shared" si="324"/>
        <v>5254</v>
      </c>
      <c r="U183" s="38">
        <f t="shared" si="324"/>
        <v>5254</v>
      </c>
      <c r="V183" s="38">
        <v>5312</v>
      </c>
      <c r="W183" s="38">
        <f t="shared" si="324"/>
        <v>5312</v>
      </c>
      <c r="X183" s="38">
        <f t="shared" si="324"/>
        <v>5312</v>
      </c>
      <c r="Y183" s="38">
        <f t="shared" si="324"/>
        <v>5312</v>
      </c>
      <c r="Z183" s="38">
        <f t="shared" si="324"/>
        <v>5312</v>
      </c>
      <c r="AA183" s="38">
        <f t="shared" si="324"/>
        <v>5312</v>
      </c>
      <c r="AB183" s="38">
        <f t="shared" si="324"/>
        <v>5312</v>
      </c>
      <c r="AC183" s="38">
        <f t="shared" si="324"/>
        <v>5312</v>
      </c>
      <c r="AD183" s="38">
        <v>5390</v>
      </c>
      <c r="AE183" s="38" t="str">
        <f t="shared" si="324"/>
        <v/>
      </c>
      <c r="AF183" s="38" t="str">
        <f t="shared" si="324"/>
        <v/>
      </c>
      <c r="AG183" s="38" t="str">
        <f t="shared" si="324"/>
        <v/>
      </c>
      <c r="AH183" s="38" t="str">
        <f t="shared" si="324"/>
        <v/>
      </c>
      <c r="AI183" s="38" t="str">
        <f t="shared" si="324"/>
        <v/>
      </c>
      <c r="AJ183" s="38" t="str">
        <f t="shared" si="324"/>
        <v/>
      </c>
      <c r="AK183" s="38" t="str">
        <f t="shared" si="324"/>
        <v/>
      </c>
      <c r="AL183" s="38" t="str">
        <f t="shared" si="324"/>
        <v/>
      </c>
      <c r="AM183" s="38" t="str">
        <f t="shared" si="324"/>
        <v/>
      </c>
      <c r="AN183" s="38" t="str">
        <f t="shared" ref="AN183:AS183" si="325">IF(AN$3="","",AM183)</f>
        <v/>
      </c>
      <c r="AO183" s="38" t="str">
        <f t="shared" si="325"/>
        <v/>
      </c>
      <c r="AP183" s="38" t="str">
        <f t="shared" si="325"/>
        <v/>
      </c>
      <c r="AQ183" s="38" t="str">
        <f t="shared" si="325"/>
        <v/>
      </c>
      <c r="AR183" s="38" t="str">
        <f t="shared" si="325"/>
        <v/>
      </c>
      <c r="AS183" s="38" t="str">
        <f t="shared" si="325"/>
        <v/>
      </c>
    </row>
    <row r="184" spans="1:45" s="1" customFormat="1" ht="11">
      <c r="A184" s="16" t="s">
        <v>123</v>
      </c>
      <c r="B184" s="30" t="s">
        <v>4</v>
      </c>
      <c r="C184" s="65">
        <v>117</v>
      </c>
      <c r="D184" s="29">
        <f>IF(D$3="","",C184)</f>
        <v>117</v>
      </c>
      <c r="E184" s="29">
        <f>IF(E$3="","",D184)</f>
        <v>117</v>
      </c>
      <c r="F184" s="54">
        <f>IF(F$3="","",E184)</f>
        <v>117</v>
      </c>
      <c r="G184" s="29">
        <f>IF(G$3="","",F184)</f>
        <v>117</v>
      </c>
      <c r="H184" s="29">
        <v>118</v>
      </c>
      <c r="I184" s="54">
        <f t="shared" si="323"/>
        <v>118</v>
      </c>
      <c r="J184" s="29">
        <f t="shared" si="323"/>
        <v>118</v>
      </c>
      <c r="K184" s="29">
        <f t="shared" si="323"/>
        <v>118</v>
      </c>
      <c r="L184" s="29">
        <f>IF(L$3="","",K184)</f>
        <v>118</v>
      </c>
      <c r="M184" s="29">
        <f>IF(M$3="","",L184)</f>
        <v>118</v>
      </c>
      <c r="N184" s="29">
        <f>IF(N$3="","",M184)</f>
        <v>118</v>
      </c>
      <c r="O184" s="29">
        <f>IF(O$3="","",N184)</f>
        <v>118</v>
      </c>
      <c r="P184" s="29">
        <f t="shared" ref="P184:AM184" si="326">IF(P$3="","",O184)</f>
        <v>118</v>
      </c>
      <c r="Q184" s="29">
        <f t="shared" si="326"/>
        <v>118</v>
      </c>
      <c r="R184" s="29">
        <f t="shared" si="326"/>
        <v>118</v>
      </c>
      <c r="S184" s="29">
        <f t="shared" si="326"/>
        <v>118</v>
      </c>
      <c r="T184" s="29">
        <f t="shared" si="326"/>
        <v>118</v>
      </c>
      <c r="U184" s="29">
        <f t="shared" si="326"/>
        <v>118</v>
      </c>
      <c r="V184" s="29">
        <v>119</v>
      </c>
      <c r="W184" s="29">
        <f t="shared" si="326"/>
        <v>119</v>
      </c>
      <c r="X184" s="29">
        <f t="shared" si="326"/>
        <v>119</v>
      </c>
      <c r="Y184" s="29">
        <f t="shared" si="326"/>
        <v>119</v>
      </c>
      <c r="Z184" s="29">
        <f t="shared" si="326"/>
        <v>119</v>
      </c>
      <c r="AA184" s="29">
        <f t="shared" si="326"/>
        <v>119</v>
      </c>
      <c r="AB184" s="29">
        <f t="shared" si="326"/>
        <v>119</v>
      </c>
      <c r="AC184" s="29">
        <f t="shared" si="326"/>
        <v>119</v>
      </c>
      <c r="AD184" s="29">
        <v>120</v>
      </c>
      <c r="AE184" s="29" t="str">
        <f t="shared" si="326"/>
        <v/>
      </c>
      <c r="AF184" s="29" t="str">
        <f t="shared" si="326"/>
        <v/>
      </c>
      <c r="AG184" s="29" t="str">
        <f t="shared" si="326"/>
        <v/>
      </c>
      <c r="AH184" s="29" t="str">
        <f t="shared" si="326"/>
        <v/>
      </c>
      <c r="AI184" s="29" t="str">
        <f t="shared" si="326"/>
        <v/>
      </c>
      <c r="AJ184" s="29" t="str">
        <f t="shared" si="326"/>
        <v/>
      </c>
      <c r="AK184" s="29" t="str">
        <f t="shared" si="326"/>
        <v/>
      </c>
      <c r="AL184" s="29" t="str">
        <f t="shared" si="326"/>
        <v/>
      </c>
      <c r="AM184" s="29" t="str">
        <f t="shared" si="326"/>
        <v/>
      </c>
      <c r="AN184" s="29" t="str">
        <f t="shared" ref="AN184:AS184" si="327">IF(AN$3="","",AM184)</f>
        <v/>
      </c>
      <c r="AO184" s="29" t="str">
        <f t="shared" si="327"/>
        <v/>
      </c>
      <c r="AP184" s="29" t="str">
        <f t="shared" si="327"/>
        <v/>
      </c>
      <c r="AQ184" s="29" t="str">
        <f t="shared" si="327"/>
        <v/>
      </c>
      <c r="AR184" s="29" t="str">
        <f t="shared" si="327"/>
        <v/>
      </c>
      <c r="AS184" s="29" t="str">
        <f t="shared" si="327"/>
        <v/>
      </c>
    </row>
    <row r="185" spans="1:45" s="1" customFormat="1" ht="11">
      <c r="A185" s="15">
        <v>1</v>
      </c>
      <c r="B185" s="30" t="s">
        <v>5</v>
      </c>
      <c r="C185" s="65">
        <v>5</v>
      </c>
      <c r="D185" s="29">
        <f>IF(D$3="","",(C185+C186))</f>
        <v>5</v>
      </c>
      <c r="E185" s="29">
        <f>IF(E$3="","",(D185+D186))</f>
        <v>5</v>
      </c>
      <c r="F185" s="54">
        <f>IF(F$3="","",(E185+E186))</f>
        <v>5</v>
      </c>
      <c r="G185" s="29">
        <f>IF(G$3="","",(F185+F186))</f>
        <v>5</v>
      </c>
      <c r="H185" s="29">
        <v>4</v>
      </c>
      <c r="I185" s="54">
        <f t="shared" ref="I185:AM185" si="328">IF(I$3="","",(H185+H186))</f>
        <v>5</v>
      </c>
      <c r="J185" s="29">
        <f t="shared" si="328"/>
        <v>5</v>
      </c>
      <c r="K185" s="29">
        <f t="shared" si="328"/>
        <v>5</v>
      </c>
      <c r="L185" s="29">
        <f t="shared" si="328"/>
        <v>5</v>
      </c>
      <c r="M185" s="29">
        <f t="shared" si="328"/>
        <v>5</v>
      </c>
      <c r="N185" s="29">
        <f t="shared" si="328"/>
        <v>5</v>
      </c>
      <c r="O185" s="29">
        <f t="shared" si="328"/>
        <v>5</v>
      </c>
      <c r="P185" s="29">
        <f t="shared" si="328"/>
        <v>5</v>
      </c>
      <c r="Q185" s="29">
        <f t="shared" si="328"/>
        <v>5</v>
      </c>
      <c r="R185" s="29">
        <f t="shared" si="328"/>
        <v>5</v>
      </c>
      <c r="S185" s="29">
        <f t="shared" si="328"/>
        <v>5</v>
      </c>
      <c r="T185" s="29">
        <f t="shared" si="328"/>
        <v>5</v>
      </c>
      <c r="U185" s="29">
        <f t="shared" si="328"/>
        <v>5</v>
      </c>
      <c r="V185" s="29">
        <v>4</v>
      </c>
      <c r="W185" s="29">
        <f t="shared" si="328"/>
        <v>5</v>
      </c>
      <c r="X185" s="29">
        <f t="shared" si="328"/>
        <v>5</v>
      </c>
      <c r="Y185" s="29">
        <f t="shared" si="328"/>
        <v>5</v>
      </c>
      <c r="Z185" s="29">
        <f t="shared" si="328"/>
        <v>5</v>
      </c>
      <c r="AA185" s="29">
        <f t="shared" si="328"/>
        <v>5</v>
      </c>
      <c r="AB185" s="29">
        <f t="shared" si="328"/>
        <v>5</v>
      </c>
      <c r="AC185" s="29">
        <f t="shared" si="328"/>
        <v>5</v>
      </c>
      <c r="AD185" s="29">
        <f t="shared" si="328"/>
        <v>5</v>
      </c>
      <c r="AE185" s="29" t="str">
        <f t="shared" si="328"/>
        <v/>
      </c>
      <c r="AF185" s="29" t="str">
        <f t="shared" si="328"/>
        <v/>
      </c>
      <c r="AG185" s="29" t="str">
        <f t="shared" si="328"/>
        <v/>
      </c>
      <c r="AH185" s="29" t="str">
        <f t="shared" si="328"/>
        <v/>
      </c>
      <c r="AI185" s="29" t="str">
        <f t="shared" si="328"/>
        <v/>
      </c>
      <c r="AJ185" s="29" t="str">
        <f t="shared" si="328"/>
        <v/>
      </c>
      <c r="AK185" s="29" t="str">
        <f t="shared" si="328"/>
        <v/>
      </c>
      <c r="AL185" s="29" t="str">
        <f t="shared" si="328"/>
        <v/>
      </c>
      <c r="AM185" s="29" t="str">
        <f t="shared" si="328"/>
        <v/>
      </c>
      <c r="AN185" s="29" t="str">
        <f t="shared" ref="AN185:AS185" si="329">IF(AN$3="","",(AM185+AM186))</f>
        <v/>
      </c>
      <c r="AO185" s="29" t="str">
        <f t="shared" si="329"/>
        <v/>
      </c>
      <c r="AP185" s="29" t="str">
        <f t="shared" si="329"/>
        <v/>
      </c>
      <c r="AQ185" s="29" t="str">
        <f t="shared" si="329"/>
        <v/>
      </c>
      <c r="AR185" s="29" t="str">
        <f t="shared" si="329"/>
        <v/>
      </c>
      <c r="AS185" s="29" t="str">
        <f t="shared" si="329"/>
        <v/>
      </c>
    </row>
    <row r="186" spans="1:45" s="1" customFormat="1" ht="11">
      <c r="A186" s="101" t="s">
        <v>6</v>
      </c>
      <c r="B186" s="30" t="s">
        <v>7</v>
      </c>
      <c r="C186" s="65"/>
      <c r="D186" s="29"/>
      <c r="E186" s="29"/>
      <c r="F186" s="54"/>
      <c r="G186" s="29"/>
      <c r="H186" s="29">
        <v>1</v>
      </c>
      <c r="I186" s="54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>
        <v>1</v>
      </c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 spans="1:45" s="1" customFormat="1" ht="11">
      <c r="A187" s="102">
        <f>+(A190+A202+A214+A226)*100</f>
        <v>200400</v>
      </c>
      <c r="B187" s="30" t="s">
        <v>8</v>
      </c>
      <c r="C187" s="64">
        <v>800</v>
      </c>
      <c r="D187" s="35">
        <f t="shared" ref="D187:AM187" si="330">IF(D$3="","",C187)</f>
        <v>800</v>
      </c>
      <c r="E187" s="35">
        <f t="shared" si="330"/>
        <v>800</v>
      </c>
      <c r="F187" s="128">
        <f t="shared" si="330"/>
        <v>800</v>
      </c>
      <c r="G187" s="35">
        <f t="shared" si="330"/>
        <v>800</v>
      </c>
      <c r="H187" s="35">
        <f t="shared" si="330"/>
        <v>800</v>
      </c>
      <c r="I187" s="128">
        <f t="shared" si="330"/>
        <v>800</v>
      </c>
      <c r="J187" s="35">
        <f t="shared" si="330"/>
        <v>800</v>
      </c>
      <c r="K187" s="35">
        <f t="shared" si="330"/>
        <v>800</v>
      </c>
      <c r="L187" s="35">
        <f t="shared" si="330"/>
        <v>800</v>
      </c>
      <c r="M187" s="35">
        <f t="shared" si="330"/>
        <v>800</v>
      </c>
      <c r="N187" s="35">
        <f t="shared" si="330"/>
        <v>800</v>
      </c>
      <c r="O187" s="35">
        <f t="shared" si="330"/>
        <v>800</v>
      </c>
      <c r="P187" s="35">
        <f t="shared" si="330"/>
        <v>800</v>
      </c>
      <c r="Q187" s="35">
        <f t="shared" si="330"/>
        <v>800</v>
      </c>
      <c r="R187" s="35">
        <f t="shared" si="330"/>
        <v>800</v>
      </c>
      <c r="S187" s="35">
        <f t="shared" si="330"/>
        <v>800</v>
      </c>
      <c r="T187" s="35">
        <f t="shared" si="330"/>
        <v>800</v>
      </c>
      <c r="U187" s="35">
        <f t="shared" si="330"/>
        <v>800</v>
      </c>
      <c r="V187" s="35">
        <f t="shared" si="330"/>
        <v>800</v>
      </c>
      <c r="W187" s="35">
        <f t="shared" si="330"/>
        <v>800</v>
      </c>
      <c r="X187" s="35">
        <f t="shared" si="330"/>
        <v>800</v>
      </c>
      <c r="Y187" s="35">
        <f t="shared" si="330"/>
        <v>800</v>
      </c>
      <c r="Z187" s="35">
        <f t="shared" si="330"/>
        <v>800</v>
      </c>
      <c r="AA187" s="35">
        <f t="shared" si="330"/>
        <v>800</v>
      </c>
      <c r="AB187" s="35">
        <f t="shared" si="330"/>
        <v>800</v>
      </c>
      <c r="AC187" s="35">
        <f t="shared" si="330"/>
        <v>800</v>
      </c>
      <c r="AD187" s="35">
        <f t="shared" si="330"/>
        <v>800</v>
      </c>
      <c r="AE187" s="35" t="str">
        <f t="shared" si="330"/>
        <v/>
      </c>
      <c r="AF187" s="35" t="str">
        <f t="shared" si="330"/>
        <v/>
      </c>
      <c r="AG187" s="35" t="str">
        <f t="shared" si="330"/>
        <v/>
      </c>
      <c r="AH187" s="35" t="str">
        <f t="shared" si="330"/>
        <v/>
      </c>
      <c r="AI187" s="35" t="str">
        <f t="shared" si="330"/>
        <v/>
      </c>
      <c r="AJ187" s="35" t="str">
        <f t="shared" si="330"/>
        <v/>
      </c>
      <c r="AK187" s="35" t="str">
        <f t="shared" si="330"/>
        <v/>
      </c>
      <c r="AL187" s="35" t="str">
        <f t="shared" si="330"/>
        <v/>
      </c>
      <c r="AM187" s="35" t="str">
        <f t="shared" si="330"/>
        <v/>
      </c>
      <c r="AN187" s="35" t="str">
        <f t="shared" ref="AN187:AS187" si="331">IF(AN$3="","",AM187)</f>
        <v/>
      </c>
      <c r="AO187" s="35" t="str">
        <f t="shared" si="331"/>
        <v/>
      </c>
      <c r="AP187" s="35" t="str">
        <f t="shared" si="331"/>
        <v/>
      </c>
      <c r="AQ187" s="35" t="str">
        <f t="shared" si="331"/>
        <v/>
      </c>
      <c r="AR187" s="35" t="str">
        <f t="shared" si="331"/>
        <v/>
      </c>
      <c r="AS187" s="35" t="str">
        <f t="shared" si="331"/>
        <v/>
      </c>
    </row>
    <row r="188" spans="1:45" s="94" customFormat="1" ht="11">
      <c r="A188" s="14" t="s">
        <v>9</v>
      </c>
      <c r="B188" s="33" t="s">
        <v>10</v>
      </c>
      <c r="C188" s="63" t="s">
        <v>54</v>
      </c>
      <c r="D188" s="32" t="str">
        <f t="shared" ref="D188:AM188" si="332">IF(D$3="","",C188)</f>
        <v>サンリオバンズクリップ</v>
      </c>
      <c r="E188" s="32" t="str">
        <f t="shared" si="332"/>
        <v>サンリオバンズクリップ</v>
      </c>
      <c r="F188" s="129" t="str">
        <f t="shared" si="332"/>
        <v>サンリオバンズクリップ</v>
      </c>
      <c r="G188" s="32" t="str">
        <f t="shared" si="332"/>
        <v>サンリオバンズクリップ</v>
      </c>
      <c r="H188" s="32" t="str">
        <f t="shared" si="332"/>
        <v>サンリオバンズクリップ</v>
      </c>
      <c r="I188" s="129" t="str">
        <f t="shared" si="332"/>
        <v>サンリオバンズクリップ</v>
      </c>
      <c r="J188" s="32" t="str">
        <f t="shared" si="332"/>
        <v>サンリオバンズクリップ</v>
      </c>
      <c r="K188" s="32" t="str">
        <f t="shared" si="332"/>
        <v>サンリオバンズクリップ</v>
      </c>
      <c r="L188" s="32" t="str">
        <f t="shared" si="332"/>
        <v>サンリオバンズクリップ</v>
      </c>
      <c r="M188" s="32" t="str">
        <f t="shared" si="332"/>
        <v>サンリオバンズクリップ</v>
      </c>
      <c r="N188" s="32" t="str">
        <f t="shared" si="332"/>
        <v>サンリオバンズクリップ</v>
      </c>
      <c r="O188" s="32" t="str">
        <f t="shared" si="332"/>
        <v>サンリオバンズクリップ</v>
      </c>
      <c r="P188" s="32" t="str">
        <f t="shared" si="332"/>
        <v>サンリオバンズクリップ</v>
      </c>
      <c r="Q188" s="32" t="str">
        <f t="shared" si="332"/>
        <v>サンリオバンズクリップ</v>
      </c>
      <c r="R188" s="32" t="str">
        <f t="shared" si="332"/>
        <v>サンリオバンズクリップ</v>
      </c>
      <c r="S188" s="32" t="str">
        <f t="shared" si="332"/>
        <v>サンリオバンズクリップ</v>
      </c>
      <c r="T188" s="32" t="str">
        <f t="shared" si="332"/>
        <v>サンリオバンズクリップ</v>
      </c>
      <c r="U188" s="32" t="str">
        <f t="shared" si="332"/>
        <v>サンリオバンズクリップ</v>
      </c>
      <c r="V188" s="32" t="str">
        <f t="shared" si="332"/>
        <v>サンリオバンズクリップ</v>
      </c>
      <c r="W188" s="32" t="str">
        <f t="shared" si="332"/>
        <v>サンリオバンズクリップ</v>
      </c>
      <c r="X188" s="32" t="str">
        <f t="shared" si="332"/>
        <v>サンリオバンズクリップ</v>
      </c>
      <c r="Y188" s="32" t="str">
        <f t="shared" si="332"/>
        <v>サンリオバンズクリップ</v>
      </c>
      <c r="Z188" s="32" t="str">
        <f t="shared" si="332"/>
        <v>サンリオバンズクリップ</v>
      </c>
      <c r="AA188" s="32" t="str">
        <f t="shared" si="332"/>
        <v>サンリオバンズクリップ</v>
      </c>
      <c r="AB188" s="32" t="str">
        <f t="shared" si="332"/>
        <v>サンリオバンズクリップ</v>
      </c>
      <c r="AC188" s="32" t="str">
        <f t="shared" si="332"/>
        <v>サンリオバンズクリップ</v>
      </c>
      <c r="AD188" s="32" t="str">
        <f t="shared" si="332"/>
        <v>サンリオバンズクリップ</v>
      </c>
      <c r="AE188" s="32" t="str">
        <f t="shared" si="332"/>
        <v/>
      </c>
      <c r="AF188" s="32" t="str">
        <f t="shared" si="332"/>
        <v/>
      </c>
      <c r="AG188" s="32" t="str">
        <f t="shared" si="332"/>
        <v/>
      </c>
      <c r="AH188" s="32" t="str">
        <f t="shared" si="332"/>
        <v/>
      </c>
      <c r="AI188" s="32" t="str">
        <f t="shared" si="332"/>
        <v/>
      </c>
      <c r="AJ188" s="32" t="str">
        <f t="shared" si="332"/>
        <v/>
      </c>
      <c r="AK188" s="32" t="str">
        <f t="shared" si="332"/>
        <v/>
      </c>
      <c r="AL188" s="32" t="str">
        <f t="shared" si="332"/>
        <v/>
      </c>
      <c r="AM188" s="32" t="str">
        <f t="shared" si="332"/>
        <v/>
      </c>
      <c r="AN188" s="32" t="str">
        <f t="shared" ref="AN188:AS188" si="333">IF(AN$3="","",AM188)</f>
        <v/>
      </c>
      <c r="AO188" s="32" t="str">
        <f t="shared" si="333"/>
        <v/>
      </c>
      <c r="AP188" s="32" t="str">
        <f t="shared" si="333"/>
        <v/>
      </c>
      <c r="AQ188" s="32" t="str">
        <f t="shared" si="333"/>
        <v/>
      </c>
      <c r="AR188" s="32" t="str">
        <f t="shared" si="333"/>
        <v/>
      </c>
      <c r="AS188" s="32" t="str">
        <f t="shared" si="333"/>
        <v/>
      </c>
    </row>
    <row r="189" spans="1:45" s="1" customFormat="1" ht="11">
      <c r="A189" s="7">
        <f>AVERAGE(C190:AS190)*30*100</f>
        <v>37714.28571428571</v>
      </c>
      <c r="B189" s="30" t="s">
        <v>14</v>
      </c>
      <c r="C189" s="65"/>
      <c r="D189" s="29"/>
      <c r="E189" s="29"/>
      <c r="F189" s="54"/>
      <c r="G189" s="29"/>
      <c r="H189" s="29"/>
      <c r="I189" s="54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 spans="1:45" s="1" customFormat="1" ht="11">
      <c r="A190" s="7">
        <f>SUM(C190:AS190)</f>
        <v>352</v>
      </c>
      <c r="B190" s="27" t="s">
        <v>15</v>
      </c>
      <c r="C190" s="65">
        <v>0</v>
      </c>
      <c r="D190" s="26">
        <f t="shared" ref="D190:AM190" si="334">IF(D$3="","",D183-C183)</f>
        <v>0</v>
      </c>
      <c r="E190" s="26">
        <f t="shared" si="334"/>
        <v>72</v>
      </c>
      <c r="F190" s="54">
        <f t="shared" si="334"/>
        <v>0</v>
      </c>
      <c r="G190" s="26">
        <f t="shared" si="334"/>
        <v>0</v>
      </c>
      <c r="H190" s="26">
        <f t="shared" si="334"/>
        <v>41</v>
      </c>
      <c r="I190" s="54">
        <f t="shared" si="334"/>
        <v>0</v>
      </c>
      <c r="J190" s="26">
        <f t="shared" si="334"/>
        <v>0</v>
      </c>
      <c r="K190" s="26">
        <f t="shared" si="334"/>
        <v>0</v>
      </c>
      <c r="L190" s="26">
        <f t="shared" si="334"/>
        <v>48</v>
      </c>
      <c r="M190" s="26">
        <f t="shared" si="334"/>
        <v>0</v>
      </c>
      <c r="N190" s="26">
        <f t="shared" si="334"/>
        <v>0</v>
      </c>
      <c r="O190" s="26">
        <f t="shared" si="334"/>
        <v>30</v>
      </c>
      <c r="P190" s="26">
        <f t="shared" si="334"/>
        <v>0</v>
      </c>
      <c r="Q190" s="26">
        <f t="shared" si="334"/>
        <v>0</v>
      </c>
      <c r="R190" s="26">
        <f t="shared" si="334"/>
        <v>0</v>
      </c>
      <c r="S190" s="26">
        <f t="shared" si="334"/>
        <v>25</v>
      </c>
      <c r="T190" s="26">
        <f t="shared" si="334"/>
        <v>0</v>
      </c>
      <c r="U190" s="26">
        <f t="shared" si="334"/>
        <v>0</v>
      </c>
      <c r="V190" s="26">
        <f t="shared" si="334"/>
        <v>58</v>
      </c>
      <c r="W190" s="26">
        <f t="shared" si="334"/>
        <v>0</v>
      </c>
      <c r="X190" s="26">
        <f t="shared" si="334"/>
        <v>0</v>
      </c>
      <c r="Y190" s="26">
        <f t="shared" si="334"/>
        <v>0</v>
      </c>
      <c r="Z190" s="26">
        <f t="shared" si="334"/>
        <v>0</v>
      </c>
      <c r="AA190" s="26">
        <f t="shared" si="334"/>
        <v>0</v>
      </c>
      <c r="AB190" s="26">
        <f t="shared" si="334"/>
        <v>0</v>
      </c>
      <c r="AC190" s="26">
        <f t="shared" si="334"/>
        <v>0</v>
      </c>
      <c r="AD190" s="26">
        <f t="shared" si="334"/>
        <v>78</v>
      </c>
      <c r="AE190" s="26" t="str">
        <f t="shared" si="334"/>
        <v/>
      </c>
      <c r="AF190" s="26" t="str">
        <f t="shared" si="334"/>
        <v/>
      </c>
      <c r="AG190" s="26" t="str">
        <f t="shared" si="334"/>
        <v/>
      </c>
      <c r="AH190" s="26" t="str">
        <f t="shared" si="334"/>
        <v/>
      </c>
      <c r="AI190" s="26" t="str">
        <f t="shared" si="334"/>
        <v/>
      </c>
      <c r="AJ190" s="26" t="str">
        <f t="shared" si="334"/>
        <v/>
      </c>
      <c r="AK190" s="26" t="str">
        <f t="shared" si="334"/>
        <v/>
      </c>
      <c r="AL190" s="26" t="str">
        <f t="shared" si="334"/>
        <v/>
      </c>
      <c r="AM190" s="26" t="str">
        <f t="shared" si="334"/>
        <v/>
      </c>
      <c r="AN190" s="26" t="str">
        <f t="shared" ref="AN190:AS190" si="335">IF(AN$3="","",AN183-AM183)</f>
        <v/>
      </c>
      <c r="AO190" s="26" t="str">
        <f t="shared" si="335"/>
        <v/>
      </c>
      <c r="AP190" s="26" t="str">
        <f t="shared" si="335"/>
        <v/>
      </c>
      <c r="AQ190" s="26" t="str">
        <f t="shared" si="335"/>
        <v/>
      </c>
      <c r="AR190" s="26" t="str">
        <f t="shared" si="335"/>
        <v/>
      </c>
      <c r="AS190" s="26" t="str">
        <f t="shared" si="335"/>
        <v/>
      </c>
    </row>
    <row r="191" spans="1:45" s="1" customFormat="1" ht="11">
      <c r="A191" s="7">
        <f>SUM(C191:AS191)</f>
        <v>3</v>
      </c>
      <c r="B191" s="27" t="s">
        <v>16</v>
      </c>
      <c r="C191" s="65">
        <v>0</v>
      </c>
      <c r="D191" s="26">
        <f t="shared" ref="D191:AM191" si="336">IF(D$3="","",D184-C184)</f>
        <v>0</v>
      </c>
      <c r="E191" s="26">
        <f t="shared" si="336"/>
        <v>0</v>
      </c>
      <c r="F191" s="54">
        <f t="shared" si="336"/>
        <v>0</v>
      </c>
      <c r="G191" s="26">
        <f t="shared" si="336"/>
        <v>0</v>
      </c>
      <c r="H191" s="26">
        <f t="shared" si="336"/>
        <v>1</v>
      </c>
      <c r="I191" s="54">
        <f t="shared" si="336"/>
        <v>0</v>
      </c>
      <c r="J191" s="26">
        <f t="shared" si="336"/>
        <v>0</v>
      </c>
      <c r="K191" s="26">
        <f t="shared" si="336"/>
        <v>0</v>
      </c>
      <c r="L191" s="26">
        <f t="shared" si="336"/>
        <v>0</v>
      </c>
      <c r="M191" s="26">
        <f t="shared" si="336"/>
        <v>0</v>
      </c>
      <c r="N191" s="26">
        <f t="shared" si="336"/>
        <v>0</v>
      </c>
      <c r="O191" s="26">
        <f t="shared" si="336"/>
        <v>0</v>
      </c>
      <c r="P191" s="26">
        <f t="shared" si="336"/>
        <v>0</v>
      </c>
      <c r="Q191" s="26">
        <f t="shared" si="336"/>
        <v>0</v>
      </c>
      <c r="R191" s="26">
        <f t="shared" si="336"/>
        <v>0</v>
      </c>
      <c r="S191" s="26">
        <f t="shared" si="336"/>
        <v>0</v>
      </c>
      <c r="T191" s="26">
        <f t="shared" si="336"/>
        <v>0</v>
      </c>
      <c r="U191" s="26">
        <f t="shared" si="336"/>
        <v>0</v>
      </c>
      <c r="V191" s="26">
        <f t="shared" si="336"/>
        <v>1</v>
      </c>
      <c r="W191" s="26">
        <f t="shared" si="336"/>
        <v>0</v>
      </c>
      <c r="X191" s="26">
        <f t="shared" si="336"/>
        <v>0</v>
      </c>
      <c r="Y191" s="26">
        <f t="shared" si="336"/>
        <v>0</v>
      </c>
      <c r="Z191" s="26">
        <f t="shared" si="336"/>
        <v>0</v>
      </c>
      <c r="AA191" s="26">
        <f t="shared" si="336"/>
        <v>0</v>
      </c>
      <c r="AB191" s="26">
        <f t="shared" si="336"/>
        <v>0</v>
      </c>
      <c r="AC191" s="26">
        <f t="shared" si="336"/>
        <v>0</v>
      </c>
      <c r="AD191" s="26">
        <f t="shared" si="336"/>
        <v>1</v>
      </c>
      <c r="AE191" s="26" t="str">
        <f t="shared" si="336"/>
        <v/>
      </c>
      <c r="AF191" s="26" t="str">
        <f t="shared" si="336"/>
        <v/>
      </c>
      <c r="AG191" s="26" t="str">
        <f t="shared" si="336"/>
        <v/>
      </c>
      <c r="AH191" s="26" t="str">
        <f t="shared" si="336"/>
        <v/>
      </c>
      <c r="AI191" s="26" t="str">
        <f t="shared" si="336"/>
        <v/>
      </c>
      <c r="AJ191" s="26" t="str">
        <f t="shared" si="336"/>
        <v/>
      </c>
      <c r="AK191" s="26" t="str">
        <f t="shared" si="336"/>
        <v/>
      </c>
      <c r="AL191" s="26" t="str">
        <f t="shared" si="336"/>
        <v/>
      </c>
      <c r="AM191" s="26" t="str">
        <f t="shared" si="336"/>
        <v/>
      </c>
      <c r="AN191" s="26" t="str">
        <f t="shared" ref="AN191:AS191" si="337">IF(AN$3="","",AN184-AM184)</f>
        <v/>
      </c>
      <c r="AO191" s="26" t="str">
        <f t="shared" si="337"/>
        <v/>
      </c>
      <c r="AP191" s="26" t="str">
        <f t="shared" si="337"/>
        <v/>
      </c>
      <c r="AQ191" s="26" t="str">
        <f t="shared" si="337"/>
        <v/>
      </c>
      <c r="AR191" s="26" t="str">
        <f t="shared" si="337"/>
        <v/>
      </c>
      <c r="AS191" s="26" t="str">
        <f t="shared" si="337"/>
        <v/>
      </c>
    </row>
    <row r="192" spans="1:45" s="1" customFormat="1" ht="11">
      <c r="A192" s="7">
        <f>SUM(C192:AS192)</f>
        <v>2</v>
      </c>
      <c r="B192" s="27" t="s">
        <v>17</v>
      </c>
      <c r="C192" s="65">
        <v>0</v>
      </c>
      <c r="D192" s="26">
        <f t="shared" ref="D192:AM192" si="338">IF(D$3="","",C185+C186-D185)</f>
        <v>0</v>
      </c>
      <c r="E192" s="26">
        <f t="shared" si="338"/>
        <v>0</v>
      </c>
      <c r="F192" s="54">
        <f t="shared" si="338"/>
        <v>0</v>
      </c>
      <c r="G192" s="26">
        <f t="shared" si="338"/>
        <v>0</v>
      </c>
      <c r="H192" s="26">
        <f t="shared" si="338"/>
        <v>1</v>
      </c>
      <c r="I192" s="54">
        <f t="shared" si="338"/>
        <v>0</v>
      </c>
      <c r="J192" s="26">
        <f t="shared" si="338"/>
        <v>0</v>
      </c>
      <c r="K192" s="26">
        <f t="shared" si="338"/>
        <v>0</v>
      </c>
      <c r="L192" s="26">
        <f t="shared" si="338"/>
        <v>0</v>
      </c>
      <c r="M192" s="26">
        <f t="shared" si="338"/>
        <v>0</v>
      </c>
      <c r="N192" s="26">
        <f t="shared" si="338"/>
        <v>0</v>
      </c>
      <c r="O192" s="26">
        <f t="shared" si="338"/>
        <v>0</v>
      </c>
      <c r="P192" s="26">
        <f t="shared" si="338"/>
        <v>0</v>
      </c>
      <c r="Q192" s="26">
        <f t="shared" si="338"/>
        <v>0</v>
      </c>
      <c r="R192" s="26">
        <f t="shared" si="338"/>
        <v>0</v>
      </c>
      <c r="S192" s="26">
        <f t="shared" si="338"/>
        <v>0</v>
      </c>
      <c r="T192" s="26">
        <f t="shared" si="338"/>
        <v>0</v>
      </c>
      <c r="U192" s="26">
        <f t="shared" si="338"/>
        <v>0</v>
      </c>
      <c r="V192" s="26">
        <f t="shared" si="338"/>
        <v>1</v>
      </c>
      <c r="W192" s="26">
        <f t="shared" si="338"/>
        <v>0</v>
      </c>
      <c r="X192" s="26">
        <f t="shared" si="338"/>
        <v>0</v>
      </c>
      <c r="Y192" s="26">
        <f t="shared" si="338"/>
        <v>0</v>
      </c>
      <c r="Z192" s="26">
        <f t="shared" si="338"/>
        <v>0</v>
      </c>
      <c r="AA192" s="26">
        <f t="shared" si="338"/>
        <v>0</v>
      </c>
      <c r="AB192" s="26">
        <f t="shared" si="338"/>
        <v>0</v>
      </c>
      <c r="AC192" s="26">
        <f t="shared" si="338"/>
        <v>0</v>
      </c>
      <c r="AD192" s="26">
        <f t="shared" si="338"/>
        <v>0</v>
      </c>
      <c r="AE192" s="26" t="str">
        <f t="shared" si="338"/>
        <v/>
      </c>
      <c r="AF192" s="26" t="str">
        <f t="shared" si="338"/>
        <v/>
      </c>
      <c r="AG192" s="26" t="str">
        <f t="shared" si="338"/>
        <v/>
      </c>
      <c r="AH192" s="26" t="str">
        <f t="shared" si="338"/>
        <v/>
      </c>
      <c r="AI192" s="26" t="str">
        <f t="shared" si="338"/>
        <v/>
      </c>
      <c r="AJ192" s="26" t="str">
        <f t="shared" si="338"/>
        <v/>
      </c>
      <c r="AK192" s="26" t="str">
        <f t="shared" si="338"/>
        <v/>
      </c>
      <c r="AL192" s="26" t="str">
        <f t="shared" si="338"/>
        <v/>
      </c>
      <c r="AM192" s="26" t="str">
        <f t="shared" si="338"/>
        <v/>
      </c>
      <c r="AN192" s="26" t="str">
        <f t="shared" ref="AN192:AS192" si="339">IF(AN$3="","",AM185+AM186-AN185)</f>
        <v/>
      </c>
      <c r="AO192" s="26" t="str">
        <f t="shared" si="339"/>
        <v/>
      </c>
      <c r="AP192" s="26" t="str">
        <f t="shared" si="339"/>
        <v/>
      </c>
      <c r="AQ192" s="26" t="str">
        <f t="shared" si="339"/>
        <v/>
      </c>
      <c r="AR192" s="26" t="str">
        <f t="shared" si="339"/>
        <v/>
      </c>
      <c r="AS192" s="26" t="str">
        <f t="shared" si="339"/>
        <v/>
      </c>
    </row>
    <row r="193" spans="1:45" s="1" customFormat="1" ht="11">
      <c r="A193" s="7">
        <f>SUM(C193:AS193)</f>
        <v>1600</v>
      </c>
      <c r="B193" s="27" t="s">
        <v>18</v>
      </c>
      <c r="C193" s="65">
        <v>0</v>
      </c>
      <c r="D193" s="26">
        <f t="shared" ref="D193:AM193" si="340">IF(D$3="","",D192*D187)</f>
        <v>0</v>
      </c>
      <c r="E193" s="26">
        <f t="shared" si="340"/>
        <v>0</v>
      </c>
      <c r="F193" s="54">
        <f t="shared" si="340"/>
        <v>0</v>
      </c>
      <c r="G193" s="26">
        <f t="shared" si="340"/>
        <v>0</v>
      </c>
      <c r="H193" s="26">
        <f t="shared" si="340"/>
        <v>800</v>
      </c>
      <c r="I193" s="54">
        <f t="shared" si="340"/>
        <v>0</v>
      </c>
      <c r="J193" s="26">
        <f t="shared" si="340"/>
        <v>0</v>
      </c>
      <c r="K193" s="26">
        <f t="shared" si="340"/>
        <v>0</v>
      </c>
      <c r="L193" s="26">
        <f t="shared" si="340"/>
        <v>0</v>
      </c>
      <c r="M193" s="26">
        <f t="shared" si="340"/>
        <v>0</v>
      </c>
      <c r="N193" s="26">
        <f t="shared" si="340"/>
        <v>0</v>
      </c>
      <c r="O193" s="26">
        <f t="shared" si="340"/>
        <v>0</v>
      </c>
      <c r="P193" s="26">
        <f t="shared" si="340"/>
        <v>0</v>
      </c>
      <c r="Q193" s="26">
        <f t="shared" si="340"/>
        <v>0</v>
      </c>
      <c r="R193" s="26">
        <f t="shared" si="340"/>
        <v>0</v>
      </c>
      <c r="S193" s="26">
        <f t="shared" si="340"/>
        <v>0</v>
      </c>
      <c r="T193" s="26">
        <f t="shared" si="340"/>
        <v>0</v>
      </c>
      <c r="U193" s="26">
        <f t="shared" si="340"/>
        <v>0</v>
      </c>
      <c r="V193" s="26">
        <f t="shared" si="340"/>
        <v>800</v>
      </c>
      <c r="W193" s="26">
        <f t="shared" si="340"/>
        <v>0</v>
      </c>
      <c r="X193" s="26">
        <f t="shared" si="340"/>
        <v>0</v>
      </c>
      <c r="Y193" s="26">
        <f t="shared" si="340"/>
        <v>0</v>
      </c>
      <c r="Z193" s="26">
        <f t="shared" si="340"/>
        <v>0</v>
      </c>
      <c r="AA193" s="26">
        <f t="shared" si="340"/>
        <v>0</v>
      </c>
      <c r="AB193" s="26">
        <f t="shared" si="340"/>
        <v>0</v>
      </c>
      <c r="AC193" s="26">
        <f t="shared" si="340"/>
        <v>0</v>
      </c>
      <c r="AD193" s="26">
        <f t="shared" si="340"/>
        <v>0</v>
      </c>
      <c r="AE193" s="26" t="str">
        <f t="shared" si="340"/>
        <v/>
      </c>
      <c r="AF193" s="26" t="str">
        <f t="shared" si="340"/>
        <v/>
      </c>
      <c r="AG193" s="26" t="str">
        <f t="shared" si="340"/>
        <v/>
      </c>
      <c r="AH193" s="26" t="str">
        <f t="shared" si="340"/>
        <v/>
      </c>
      <c r="AI193" s="26" t="str">
        <f t="shared" si="340"/>
        <v/>
      </c>
      <c r="AJ193" s="26" t="str">
        <f t="shared" si="340"/>
        <v/>
      </c>
      <c r="AK193" s="26" t="str">
        <f t="shared" si="340"/>
        <v/>
      </c>
      <c r="AL193" s="26" t="str">
        <f t="shared" si="340"/>
        <v/>
      </c>
      <c r="AM193" s="26" t="str">
        <f t="shared" si="340"/>
        <v/>
      </c>
      <c r="AN193" s="26" t="str">
        <f t="shared" ref="AN193:AS193" si="341">IF(AN$3="","",AN192*AN187)</f>
        <v/>
      </c>
      <c r="AO193" s="26" t="str">
        <f t="shared" si="341"/>
        <v/>
      </c>
      <c r="AP193" s="26" t="str">
        <f t="shared" si="341"/>
        <v/>
      </c>
      <c r="AQ193" s="26" t="str">
        <f t="shared" si="341"/>
        <v/>
      </c>
      <c r="AR193" s="26" t="str">
        <f t="shared" si="341"/>
        <v/>
      </c>
      <c r="AS193" s="26" t="str">
        <f t="shared" si="341"/>
        <v/>
      </c>
    </row>
    <row r="194" spans="1:45" s="1" customFormat="1" ht="12" thickBot="1">
      <c r="A194" s="4">
        <f>IF(A193="","",A193/(A190*100))</f>
        <v>4.5454545454545456E-2</v>
      </c>
      <c r="B194" s="27" t="s">
        <v>20</v>
      </c>
      <c r="C194" s="68" t="s">
        <v>21</v>
      </c>
      <c r="D194" s="44" t="str">
        <f t="shared" ref="D194:AM194" si="342">IF(D$3="","",IF(D193=0,"",D193/(D190*100)))</f>
        <v/>
      </c>
      <c r="E194" s="44" t="str">
        <f t="shared" si="342"/>
        <v/>
      </c>
      <c r="F194" s="132" t="str">
        <f t="shared" si="342"/>
        <v/>
      </c>
      <c r="G194" s="44" t="str">
        <f t="shared" si="342"/>
        <v/>
      </c>
      <c r="H194" s="44">
        <f t="shared" si="342"/>
        <v>0.1951219512195122</v>
      </c>
      <c r="I194" s="132" t="str">
        <f t="shared" si="342"/>
        <v/>
      </c>
      <c r="J194" s="44" t="str">
        <f t="shared" si="342"/>
        <v/>
      </c>
      <c r="K194" s="44" t="str">
        <f t="shared" si="342"/>
        <v/>
      </c>
      <c r="L194" s="44" t="str">
        <f t="shared" si="342"/>
        <v/>
      </c>
      <c r="M194" s="44" t="str">
        <f t="shared" si="342"/>
        <v/>
      </c>
      <c r="N194" s="44" t="str">
        <f t="shared" si="342"/>
        <v/>
      </c>
      <c r="O194" s="44" t="str">
        <f t="shared" si="342"/>
        <v/>
      </c>
      <c r="P194" s="44" t="str">
        <f t="shared" si="342"/>
        <v/>
      </c>
      <c r="Q194" s="44" t="str">
        <f t="shared" si="342"/>
        <v/>
      </c>
      <c r="R194" s="44" t="str">
        <f t="shared" si="342"/>
        <v/>
      </c>
      <c r="S194" s="44" t="str">
        <f t="shared" si="342"/>
        <v/>
      </c>
      <c r="T194" s="44" t="str">
        <f t="shared" si="342"/>
        <v/>
      </c>
      <c r="U194" s="44" t="str">
        <f t="shared" si="342"/>
        <v/>
      </c>
      <c r="V194" s="44">
        <f t="shared" si="342"/>
        <v>0.13793103448275862</v>
      </c>
      <c r="W194" s="44" t="str">
        <f t="shared" si="342"/>
        <v/>
      </c>
      <c r="X194" s="44" t="str">
        <f t="shared" si="342"/>
        <v/>
      </c>
      <c r="Y194" s="44" t="str">
        <f t="shared" si="342"/>
        <v/>
      </c>
      <c r="Z194" s="44" t="str">
        <f t="shared" si="342"/>
        <v/>
      </c>
      <c r="AA194" s="44" t="str">
        <f t="shared" si="342"/>
        <v/>
      </c>
      <c r="AB194" s="44" t="str">
        <f t="shared" si="342"/>
        <v/>
      </c>
      <c r="AC194" s="44" t="str">
        <f t="shared" si="342"/>
        <v/>
      </c>
      <c r="AD194" s="44" t="str">
        <f t="shared" si="342"/>
        <v/>
      </c>
      <c r="AE194" s="44" t="str">
        <f t="shared" si="342"/>
        <v/>
      </c>
      <c r="AF194" s="44" t="str">
        <f t="shared" si="342"/>
        <v/>
      </c>
      <c r="AG194" s="44" t="str">
        <f t="shared" si="342"/>
        <v/>
      </c>
      <c r="AH194" s="44" t="str">
        <f t="shared" si="342"/>
        <v/>
      </c>
      <c r="AI194" s="44" t="str">
        <f t="shared" si="342"/>
        <v/>
      </c>
      <c r="AJ194" s="44" t="str">
        <f t="shared" si="342"/>
        <v/>
      </c>
      <c r="AK194" s="44" t="str">
        <f t="shared" si="342"/>
        <v/>
      </c>
      <c r="AL194" s="44" t="str">
        <f t="shared" si="342"/>
        <v/>
      </c>
      <c r="AM194" s="44" t="str">
        <f t="shared" si="342"/>
        <v/>
      </c>
      <c r="AN194" s="44" t="str">
        <f t="shared" ref="AN194:AS194" si="343">IF(AN$3="","",IF(AN193=0,"",AN193/(AN190*100)))</f>
        <v/>
      </c>
      <c r="AO194" s="44" t="str">
        <f t="shared" si="343"/>
        <v/>
      </c>
      <c r="AP194" s="44" t="str">
        <f t="shared" si="343"/>
        <v/>
      </c>
      <c r="AQ194" s="44" t="str">
        <f t="shared" si="343"/>
        <v/>
      </c>
      <c r="AR194" s="44" t="str">
        <f t="shared" si="343"/>
        <v/>
      </c>
      <c r="AS194" s="44" t="str">
        <f t="shared" si="343"/>
        <v/>
      </c>
    </row>
    <row r="195" spans="1:45" s="1" customFormat="1" ht="11">
      <c r="A195" s="17" t="s">
        <v>113</v>
      </c>
      <c r="B195" s="42" t="s">
        <v>2</v>
      </c>
      <c r="C195" s="64">
        <v>5281</v>
      </c>
      <c r="D195" s="35">
        <f>IF(D$3="","",C195)</f>
        <v>5281</v>
      </c>
      <c r="E195" s="35">
        <v>5287</v>
      </c>
      <c r="F195" s="128">
        <f>IF(F$3="","",E195)</f>
        <v>5287</v>
      </c>
      <c r="G195" s="35">
        <f>IF(G$3="","",F195)</f>
        <v>5287</v>
      </c>
      <c r="H195" s="35">
        <v>5306</v>
      </c>
      <c r="I195" s="128">
        <f t="shared" ref="I195:K196" si="344">IF(I$3="","",H195)</f>
        <v>5306</v>
      </c>
      <c r="J195" s="35">
        <f t="shared" si="344"/>
        <v>5306</v>
      </c>
      <c r="K195" s="35">
        <f t="shared" si="344"/>
        <v>5306</v>
      </c>
      <c r="L195" s="35">
        <v>5345</v>
      </c>
      <c r="M195" s="35">
        <f>IF(M$3="","",L195)</f>
        <v>5345</v>
      </c>
      <c r="N195" s="35">
        <f>IF(N$3="","",M195)</f>
        <v>5345</v>
      </c>
      <c r="O195" s="35">
        <v>5358</v>
      </c>
      <c r="P195" s="35">
        <f t="shared" ref="P195:AM195" si="345">IF(P$3="","",O195)</f>
        <v>5358</v>
      </c>
      <c r="Q195" s="35">
        <f t="shared" si="345"/>
        <v>5358</v>
      </c>
      <c r="R195" s="35">
        <f t="shared" si="345"/>
        <v>5358</v>
      </c>
      <c r="S195" s="35">
        <v>5384</v>
      </c>
      <c r="T195" s="35">
        <f t="shared" si="345"/>
        <v>5384</v>
      </c>
      <c r="U195" s="35">
        <f t="shared" si="345"/>
        <v>5384</v>
      </c>
      <c r="V195" s="35">
        <v>5410</v>
      </c>
      <c r="W195" s="35">
        <f t="shared" si="345"/>
        <v>5410</v>
      </c>
      <c r="X195" s="35">
        <f t="shared" si="345"/>
        <v>5410</v>
      </c>
      <c r="Y195" s="35">
        <f t="shared" si="345"/>
        <v>5410</v>
      </c>
      <c r="Z195" s="35">
        <f t="shared" si="345"/>
        <v>5410</v>
      </c>
      <c r="AA195" s="35">
        <f t="shared" si="345"/>
        <v>5410</v>
      </c>
      <c r="AB195" s="35">
        <f t="shared" si="345"/>
        <v>5410</v>
      </c>
      <c r="AC195" s="35">
        <f t="shared" si="345"/>
        <v>5410</v>
      </c>
      <c r="AD195" s="35">
        <v>5481</v>
      </c>
      <c r="AE195" s="35" t="str">
        <f t="shared" si="345"/>
        <v/>
      </c>
      <c r="AF195" s="35" t="str">
        <f t="shared" si="345"/>
        <v/>
      </c>
      <c r="AG195" s="35" t="str">
        <f t="shared" si="345"/>
        <v/>
      </c>
      <c r="AH195" s="35" t="str">
        <f t="shared" si="345"/>
        <v/>
      </c>
      <c r="AI195" s="35" t="str">
        <f t="shared" si="345"/>
        <v/>
      </c>
      <c r="AJ195" s="35" t="str">
        <f t="shared" si="345"/>
        <v/>
      </c>
      <c r="AK195" s="35" t="str">
        <f t="shared" si="345"/>
        <v/>
      </c>
      <c r="AL195" s="35" t="str">
        <f t="shared" si="345"/>
        <v/>
      </c>
      <c r="AM195" s="35" t="str">
        <f t="shared" si="345"/>
        <v/>
      </c>
      <c r="AN195" s="35" t="str">
        <f t="shared" ref="AN195:AS195" si="346">IF(AN$3="","",AM195)</f>
        <v/>
      </c>
      <c r="AO195" s="35" t="str">
        <f t="shared" si="346"/>
        <v/>
      </c>
      <c r="AP195" s="35" t="str">
        <f t="shared" si="346"/>
        <v/>
      </c>
      <c r="AQ195" s="35" t="str">
        <f t="shared" si="346"/>
        <v/>
      </c>
      <c r="AR195" s="35" t="str">
        <f t="shared" si="346"/>
        <v/>
      </c>
      <c r="AS195" s="35" t="str">
        <f t="shared" si="346"/>
        <v/>
      </c>
    </row>
    <row r="196" spans="1:45" s="1" customFormat="1" ht="11">
      <c r="A196" s="16" t="s">
        <v>123</v>
      </c>
      <c r="B196" s="30" t="s">
        <v>4</v>
      </c>
      <c r="C196" s="65">
        <v>116</v>
      </c>
      <c r="D196" s="29">
        <f>IF(D$3="","",C196)</f>
        <v>116</v>
      </c>
      <c r="E196" s="29">
        <f>IF(E$3="","",D196)</f>
        <v>116</v>
      </c>
      <c r="F196" s="54">
        <f>IF(F$3="","",E196)</f>
        <v>116</v>
      </c>
      <c r="G196" s="29">
        <f>IF(G$3="","",F196)</f>
        <v>116</v>
      </c>
      <c r="H196" s="29">
        <f>IF(H$3="","",G196)</f>
        <v>116</v>
      </c>
      <c r="I196" s="54">
        <f t="shared" si="344"/>
        <v>116</v>
      </c>
      <c r="J196" s="29">
        <f t="shared" si="344"/>
        <v>116</v>
      </c>
      <c r="K196" s="29">
        <f t="shared" si="344"/>
        <v>116</v>
      </c>
      <c r="L196" s="29">
        <v>118</v>
      </c>
      <c r="M196" s="29">
        <f>IF(M$3="","",L196)</f>
        <v>118</v>
      </c>
      <c r="N196" s="29">
        <f>IF(N$3="","",M196)</f>
        <v>118</v>
      </c>
      <c r="O196" s="29">
        <v>120</v>
      </c>
      <c r="P196" s="29">
        <f t="shared" ref="P196:AM196" si="347">IF(P$3="","",O196)</f>
        <v>120</v>
      </c>
      <c r="Q196" s="29">
        <f t="shared" si="347"/>
        <v>120</v>
      </c>
      <c r="R196" s="29">
        <f t="shared" si="347"/>
        <v>120</v>
      </c>
      <c r="S196" s="29">
        <f t="shared" si="347"/>
        <v>120</v>
      </c>
      <c r="T196" s="29">
        <f t="shared" si="347"/>
        <v>120</v>
      </c>
      <c r="U196" s="29">
        <f t="shared" si="347"/>
        <v>120</v>
      </c>
      <c r="V196" s="29">
        <v>121</v>
      </c>
      <c r="W196" s="29">
        <f t="shared" si="347"/>
        <v>121</v>
      </c>
      <c r="X196" s="29">
        <f t="shared" si="347"/>
        <v>121</v>
      </c>
      <c r="Y196" s="29">
        <f t="shared" si="347"/>
        <v>121</v>
      </c>
      <c r="Z196" s="29">
        <f t="shared" si="347"/>
        <v>121</v>
      </c>
      <c r="AA196" s="29">
        <f t="shared" si="347"/>
        <v>121</v>
      </c>
      <c r="AB196" s="29">
        <f t="shared" si="347"/>
        <v>121</v>
      </c>
      <c r="AC196" s="29">
        <f t="shared" si="347"/>
        <v>121</v>
      </c>
      <c r="AD196" s="29">
        <v>124</v>
      </c>
      <c r="AE196" s="29" t="str">
        <f t="shared" si="347"/>
        <v/>
      </c>
      <c r="AF196" s="29" t="str">
        <f t="shared" si="347"/>
        <v/>
      </c>
      <c r="AG196" s="29" t="str">
        <f t="shared" si="347"/>
        <v/>
      </c>
      <c r="AH196" s="29" t="str">
        <f t="shared" si="347"/>
        <v/>
      </c>
      <c r="AI196" s="29" t="str">
        <f t="shared" si="347"/>
        <v/>
      </c>
      <c r="AJ196" s="29" t="str">
        <f t="shared" si="347"/>
        <v/>
      </c>
      <c r="AK196" s="29" t="str">
        <f t="shared" si="347"/>
        <v/>
      </c>
      <c r="AL196" s="29" t="str">
        <f t="shared" si="347"/>
        <v/>
      </c>
      <c r="AM196" s="29" t="str">
        <f t="shared" si="347"/>
        <v/>
      </c>
      <c r="AN196" s="29" t="str">
        <f t="shared" ref="AN196:AS196" si="348">IF(AN$3="","",AM196)</f>
        <v/>
      </c>
      <c r="AO196" s="29" t="str">
        <f t="shared" si="348"/>
        <v/>
      </c>
      <c r="AP196" s="29" t="str">
        <f t="shared" si="348"/>
        <v/>
      </c>
      <c r="AQ196" s="29" t="str">
        <f t="shared" si="348"/>
        <v/>
      </c>
      <c r="AR196" s="29" t="str">
        <f t="shared" si="348"/>
        <v/>
      </c>
      <c r="AS196" s="29" t="str">
        <f t="shared" si="348"/>
        <v/>
      </c>
    </row>
    <row r="197" spans="1:45" s="1" customFormat="1" ht="11">
      <c r="A197" s="15">
        <v>2</v>
      </c>
      <c r="B197" s="30" t="s">
        <v>5</v>
      </c>
      <c r="C197" s="65">
        <v>7</v>
      </c>
      <c r="D197" s="29">
        <f t="shared" ref="D197:K197" si="349">IF(D$3="","",(C197+C198))</f>
        <v>7</v>
      </c>
      <c r="E197" s="29">
        <f t="shared" si="349"/>
        <v>7</v>
      </c>
      <c r="F197" s="54">
        <f t="shared" si="349"/>
        <v>4</v>
      </c>
      <c r="G197" s="29">
        <f t="shared" si="349"/>
        <v>4</v>
      </c>
      <c r="H197" s="29">
        <f t="shared" si="349"/>
        <v>4</v>
      </c>
      <c r="I197" s="54">
        <f t="shared" si="349"/>
        <v>9</v>
      </c>
      <c r="J197" s="29">
        <f t="shared" si="349"/>
        <v>9</v>
      </c>
      <c r="K197" s="29">
        <f t="shared" si="349"/>
        <v>9</v>
      </c>
      <c r="L197" s="29">
        <v>6</v>
      </c>
      <c r="M197" s="29">
        <f>IF(M$3="","",(L197+L198))</f>
        <v>6</v>
      </c>
      <c r="N197" s="29">
        <f>IF(N$3="","",(M197+M198))</f>
        <v>6</v>
      </c>
      <c r="O197" s="29">
        <v>5</v>
      </c>
      <c r="P197" s="29">
        <f t="shared" ref="P197:AM197" si="350">IF(P$3="","",(O197+O198))</f>
        <v>15</v>
      </c>
      <c r="Q197" s="29">
        <f t="shared" si="350"/>
        <v>15</v>
      </c>
      <c r="R197" s="29">
        <f t="shared" si="350"/>
        <v>15</v>
      </c>
      <c r="S197" s="29">
        <f t="shared" si="350"/>
        <v>15</v>
      </c>
      <c r="T197" s="29">
        <f t="shared" si="350"/>
        <v>15</v>
      </c>
      <c r="U197" s="29">
        <f t="shared" si="350"/>
        <v>15</v>
      </c>
      <c r="V197" s="29">
        <v>14</v>
      </c>
      <c r="W197" s="29">
        <f t="shared" si="350"/>
        <v>14</v>
      </c>
      <c r="X197" s="29">
        <f t="shared" si="350"/>
        <v>14</v>
      </c>
      <c r="Y197" s="29">
        <f t="shared" si="350"/>
        <v>14</v>
      </c>
      <c r="Z197" s="29">
        <f t="shared" si="350"/>
        <v>14</v>
      </c>
      <c r="AA197" s="29">
        <f t="shared" si="350"/>
        <v>14</v>
      </c>
      <c r="AB197" s="29">
        <f t="shared" si="350"/>
        <v>14</v>
      </c>
      <c r="AC197" s="29">
        <f t="shared" si="350"/>
        <v>14</v>
      </c>
      <c r="AD197" s="29">
        <f t="shared" si="350"/>
        <v>14</v>
      </c>
      <c r="AE197" s="29" t="str">
        <f t="shared" si="350"/>
        <v/>
      </c>
      <c r="AF197" s="29" t="str">
        <f t="shared" si="350"/>
        <v/>
      </c>
      <c r="AG197" s="29" t="str">
        <f t="shared" si="350"/>
        <v/>
      </c>
      <c r="AH197" s="29" t="str">
        <f t="shared" si="350"/>
        <v/>
      </c>
      <c r="AI197" s="29" t="str">
        <f t="shared" si="350"/>
        <v/>
      </c>
      <c r="AJ197" s="29" t="str">
        <f t="shared" si="350"/>
        <v/>
      </c>
      <c r="AK197" s="29" t="str">
        <f t="shared" si="350"/>
        <v/>
      </c>
      <c r="AL197" s="29" t="str">
        <f t="shared" si="350"/>
        <v/>
      </c>
      <c r="AM197" s="29" t="str">
        <f t="shared" si="350"/>
        <v/>
      </c>
      <c r="AN197" s="29" t="str">
        <f t="shared" ref="AN197:AS197" si="351">IF(AN$3="","",(AM197+AM198))</f>
        <v/>
      </c>
      <c r="AO197" s="29" t="str">
        <f t="shared" si="351"/>
        <v/>
      </c>
      <c r="AP197" s="29" t="str">
        <f t="shared" si="351"/>
        <v/>
      </c>
      <c r="AQ197" s="29" t="str">
        <f t="shared" si="351"/>
        <v/>
      </c>
      <c r="AR197" s="29" t="str">
        <f t="shared" si="351"/>
        <v/>
      </c>
      <c r="AS197" s="29" t="str">
        <f t="shared" si="351"/>
        <v/>
      </c>
    </row>
    <row r="198" spans="1:45" s="1" customFormat="1" ht="11">
      <c r="A198" s="14"/>
      <c r="B198" s="30" t="s">
        <v>7</v>
      </c>
      <c r="C198" s="65"/>
      <c r="D198" s="29"/>
      <c r="E198" s="29">
        <v>-3</v>
      </c>
      <c r="F198" s="54"/>
      <c r="G198" s="29"/>
      <c r="H198" s="29">
        <v>5</v>
      </c>
      <c r="I198" s="54"/>
      <c r="J198" s="29"/>
      <c r="K198" s="29"/>
      <c r="L198" s="29"/>
      <c r="M198" s="29"/>
      <c r="N198" s="29"/>
      <c r="O198" s="29">
        <v>10</v>
      </c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 spans="1:45" s="1" customFormat="1" ht="11">
      <c r="A199" s="7"/>
      <c r="B199" s="30" t="s">
        <v>8</v>
      </c>
      <c r="C199" s="64">
        <v>400</v>
      </c>
      <c r="D199" s="35">
        <f t="shared" ref="D199:AM199" si="352">IF(D$3="","",C199)</f>
        <v>400</v>
      </c>
      <c r="E199" s="35">
        <f t="shared" si="352"/>
        <v>400</v>
      </c>
      <c r="F199" s="128">
        <f t="shared" si="352"/>
        <v>400</v>
      </c>
      <c r="G199" s="35">
        <f t="shared" si="352"/>
        <v>400</v>
      </c>
      <c r="H199" s="35">
        <f t="shared" si="352"/>
        <v>400</v>
      </c>
      <c r="I199" s="128">
        <f t="shared" si="352"/>
        <v>400</v>
      </c>
      <c r="J199" s="35">
        <f t="shared" si="352"/>
        <v>400</v>
      </c>
      <c r="K199" s="35">
        <f t="shared" si="352"/>
        <v>400</v>
      </c>
      <c r="L199" s="35">
        <f t="shared" si="352"/>
        <v>400</v>
      </c>
      <c r="M199" s="35">
        <f t="shared" si="352"/>
        <v>400</v>
      </c>
      <c r="N199" s="35">
        <f t="shared" si="352"/>
        <v>400</v>
      </c>
      <c r="O199" s="35">
        <f t="shared" si="352"/>
        <v>400</v>
      </c>
      <c r="P199" s="35">
        <f t="shared" si="352"/>
        <v>400</v>
      </c>
      <c r="Q199" s="35">
        <f t="shared" si="352"/>
        <v>400</v>
      </c>
      <c r="R199" s="35">
        <f t="shared" si="352"/>
        <v>400</v>
      </c>
      <c r="S199" s="35">
        <f t="shared" si="352"/>
        <v>400</v>
      </c>
      <c r="T199" s="35">
        <f t="shared" si="352"/>
        <v>400</v>
      </c>
      <c r="U199" s="35">
        <f t="shared" si="352"/>
        <v>400</v>
      </c>
      <c r="V199" s="35">
        <f t="shared" si="352"/>
        <v>400</v>
      </c>
      <c r="W199" s="35">
        <f t="shared" si="352"/>
        <v>400</v>
      </c>
      <c r="X199" s="35">
        <f t="shared" si="352"/>
        <v>400</v>
      </c>
      <c r="Y199" s="35">
        <f t="shared" si="352"/>
        <v>400</v>
      </c>
      <c r="Z199" s="35">
        <f t="shared" si="352"/>
        <v>400</v>
      </c>
      <c r="AA199" s="35">
        <f t="shared" si="352"/>
        <v>400</v>
      </c>
      <c r="AB199" s="35">
        <f t="shared" si="352"/>
        <v>400</v>
      </c>
      <c r="AC199" s="35">
        <f t="shared" si="352"/>
        <v>400</v>
      </c>
      <c r="AD199" s="35">
        <f t="shared" si="352"/>
        <v>400</v>
      </c>
      <c r="AE199" s="35" t="str">
        <f t="shared" si="352"/>
        <v/>
      </c>
      <c r="AF199" s="35" t="str">
        <f t="shared" si="352"/>
        <v/>
      </c>
      <c r="AG199" s="35" t="str">
        <f t="shared" si="352"/>
        <v/>
      </c>
      <c r="AH199" s="35" t="str">
        <f t="shared" si="352"/>
        <v/>
      </c>
      <c r="AI199" s="35" t="str">
        <f t="shared" si="352"/>
        <v/>
      </c>
      <c r="AJ199" s="35" t="str">
        <f t="shared" si="352"/>
        <v/>
      </c>
      <c r="AK199" s="35" t="str">
        <f t="shared" si="352"/>
        <v/>
      </c>
      <c r="AL199" s="35" t="str">
        <f t="shared" si="352"/>
        <v/>
      </c>
      <c r="AM199" s="35" t="str">
        <f t="shared" si="352"/>
        <v/>
      </c>
      <c r="AN199" s="35" t="str">
        <f t="shared" ref="AN199:AS199" si="353">IF(AN$3="","",AM199)</f>
        <v/>
      </c>
      <c r="AO199" s="35" t="str">
        <f t="shared" si="353"/>
        <v/>
      </c>
      <c r="AP199" s="35" t="str">
        <f t="shared" si="353"/>
        <v/>
      </c>
      <c r="AQ199" s="35" t="str">
        <f t="shared" si="353"/>
        <v/>
      </c>
      <c r="AR199" s="35" t="str">
        <f t="shared" si="353"/>
        <v/>
      </c>
      <c r="AS199" s="35" t="str">
        <f t="shared" si="353"/>
        <v/>
      </c>
    </row>
    <row r="200" spans="1:45" s="94" customFormat="1" ht="11">
      <c r="A200" s="14" t="s">
        <v>9</v>
      </c>
      <c r="B200" s="33" t="s">
        <v>10</v>
      </c>
      <c r="C200" s="63" t="s">
        <v>124</v>
      </c>
      <c r="D200" s="32" t="str">
        <f>IF(D$3="","",C200)</f>
        <v>ラブブMCレインボー</v>
      </c>
      <c r="E200" s="32" t="s">
        <v>12</v>
      </c>
      <c r="F200" s="129" t="str">
        <f>IF(F$3="","",E200)</f>
        <v>ポメラニアン</v>
      </c>
      <c r="G200" s="32" t="str">
        <f>IF(G$3="","",F200)</f>
        <v>ポメラニアン</v>
      </c>
      <c r="H200" s="32" t="s">
        <v>125</v>
      </c>
      <c r="I200" s="129" t="str">
        <f t="shared" ref="I200:AM200" si="354">IF(I$3="","",H200)</f>
        <v>サンリオヘアクリップ</v>
      </c>
      <c r="J200" s="32" t="str">
        <f t="shared" si="354"/>
        <v>サンリオヘアクリップ</v>
      </c>
      <c r="K200" s="32" t="str">
        <f t="shared" si="354"/>
        <v>サンリオヘアクリップ</v>
      </c>
      <c r="L200" s="32" t="str">
        <f t="shared" si="354"/>
        <v>サンリオヘアクリップ</v>
      </c>
      <c r="M200" s="32" t="str">
        <f t="shared" si="354"/>
        <v>サンリオヘアクリップ</v>
      </c>
      <c r="N200" s="32" t="str">
        <f t="shared" si="354"/>
        <v>サンリオヘアクリップ</v>
      </c>
      <c r="O200" s="32" t="str">
        <f t="shared" si="354"/>
        <v>サンリオヘアクリップ</v>
      </c>
      <c r="P200" s="32" t="str">
        <f t="shared" si="354"/>
        <v>サンリオヘアクリップ</v>
      </c>
      <c r="Q200" s="32" t="str">
        <f t="shared" si="354"/>
        <v>サンリオヘアクリップ</v>
      </c>
      <c r="R200" s="32" t="str">
        <f t="shared" si="354"/>
        <v>サンリオヘアクリップ</v>
      </c>
      <c r="S200" s="32" t="str">
        <f t="shared" si="354"/>
        <v>サンリオヘアクリップ</v>
      </c>
      <c r="T200" s="32" t="str">
        <f t="shared" si="354"/>
        <v>サンリオヘアクリップ</v>
      </c>
      <c r="U200" s="32" t="str">
        <f t="shared" si="354"/>
        <v>サンリオヘアクリップ</v>
      </c>
      <c r="V200" s="32" t="str">
        <f t="shared" si="354"/>
        <v>サンリオヘアクリップ</v>
      </c>
      <c r="W200" s="32" t="str">
        <f t="shared" si="354"/>
        <v>サンリオヘアクリップ</v>
      </c>
      <c r="X200" s="32" t="str">
        <f t="shared" si="354"/>
        <v>サンリオヘアクリップ</v>
      </c>
      <c r="Y200" s="32" t="str">
        <f t="shared" si="354"/>
        <v>サンリオヘアクリップ</v>
      </c>
      <c r="Z200" s="32" t="str">
        <f t="shared" si="354"/>
        <v>サンリオヘアクリップ</v>
      </c>
      <c r="AA200" s="32" t="str">
        <f t="shared" si="354"/>
        <v>サンリオヘアクリップ</v>
      </c>
      <c r="AB200" s="32" t="str">
        <f t="shared" si="354"/>
        <v>サンリオヘアクリップ</v>
      </c>
      <c r="AC200" s="32" t="str">
        <f t="shared" si="354"/>
        <v>サンリオヘアクリップ</v>
      </c>
      <c r="AD200" s="32" t="str">
        <f t="shared" si="354"/>
        <v>サンリオヘアクリップ</v>
      </c>
      <c r="AE200" s="32" t="str">
        <f t="shared" si="354"/>
        <v/>
      </c>
      <c r="AF200" s="32" t="str">
        <f t="shared" si="354"/>
        <v/>
      </c>
      <c r="AG200" s="32" t="str">
        <f t="shared" si="354"/>
        <v/>
      </c>
      <c r="AH200" s="32" t="str">
        <f t="shared" si="354"/>
        <v/>
      </c>
      <c r="AI200" s="32" t="str">
        <f t="shared" si="354"/>
        <v/>
      </c>
      <c r="AJ200" s="32" t="str">
        <f t="shared" si="354"/>
        <v/>
      </c>
      <c r="AK200" s="32" t="str">
        <f t="shared" si="354"/>
        <v/>
      </c>
      <c r="AL200" s="32" t="str">
        <f t="shared" si="354"/>
        <v/>
      </c>
      <c r="AM200" s="32" t="str">
        <f t="shared" si="354"/>
        <v/>
      </c>
      <c r="AN200" s="32" t="str">
        <f t="shared" ref="AN200:AS200" si="355">IF(AN$3="","",AM200)</f>
        <v/>
      </c>
      <c r="AO200" s="32" t="str">
        <f t="shared" si="355"/>
        <v/>
      </c>
      <c r="AP200" s="32" t="str">
        <f t="shared" si="355"/>
        <v/>
      </c>
      <c r="AQ200" s="32" t="str">
        <f t="shared" si="355"/>
        <v/>
      </c>
      <c r="AR200" s="32" t="str">
        <f t="shared" si="355"/>
        <v/>
      </c>
      <c r="AS200" s="32" t="str">
        <f t="shared" si="355"/>
        <v/>
      </c>
    </row>
    <row r="201" spans="1:45" s="1" customFormat="1" ht="11">
      <c r="A201" s="7">
        <f>AVERAGE(C202:AS202)*30*100</f>
        <v>21428.571428571431</v>
      </c>
      <c r="B201" s="30" t="s">
        <v>14</v>
      </c>
      <c r="C201" s="65"/>
      <c r="D201" s="29"/>
      <c r="E201" s="29"/>
      <c r="F201" s="54"/>
      <c r="G201" s="29"/>
      <c r="H201" s="29"/>
      <c r="I201" s="54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 spans="1:45" s="1" customFormat="1" ht="11">
      <c r="A202" s="7">
        <f>SUM(C202:AS202)</f>
        <v>200</v>
      </c>
      <c r="B202" s="27" t="s">
        <v>15</v>
      </c>
      <c r="C202" s="65">
        <v>0</v>
      </c>
      <c r="D202" s="26">
        <f t="shared" ref="D202:AM202" si="356">IF(D$3="","",D195-C195)</f>
        <v>0</v>
      </c>
      <c r="E202" s="26">
        <f t="shared" si="356"/>
        <v>6</v>
      </c>
      <c r="F202" s="54">
        <f t="shared" si="356"/>
        <v>0</v>
      </c>
      <c r="G202" s="26">
        <f t="shared" si="356"/>
        <v>0</v>
      </c>
      <c r="H202" s="26">
        <f t="shared" si="356"/>
        <v>19</v>
      </c>
      <c r="I202" s="54">
        <f t="shared" si="356"/>
        <v>0</v>
      </c>
      <c r="J202" s="26">
        <f t="shared" si="356"/>
        <v>0</v>
      </c>
      <c r="K202" s="26">
        <f t="shared" si="356"/>
        <v>0</v>
      </c>
      <c r="L202" s="26">
        <f t="shared" si="356"/>
        <v>39</v>
      </c>
      <c r="M202" s="26">
        <f t="shared" si="356"/>
        <v>0</v>
      </c>
      <c r="N202" s="26">
        <f t="shared" si="356"/>
        <v>0</v>
      </c>
      <c r="O202" s="26">
        <f t="shared" si="356"/>
        <v>13</v>
      </c>
      <c r="P202" s="26">
        <f t="shared" si="356"/>
        <v>0</v>
      </c>
      <c r="Q202" s="26">
        <f t="shared" si="356"/>
        <v>0</v>
      </c>
      <c r="R202" s="26">
        <f t="shared" si="356"/>
        <v>0</v>
      </c>
      <c r="S202" s="26">
        <f t="shared" si="356"/>
        <v>26</v>
      </c>
      <c r="T202" s="26">
        <f t="shared" si="356"/>
        <v>0</v>
      </c>
      <c r="U202" s="26">
        <f t="shared" si="356"/>
        <v>0</v>
      </c>
      <c r="V202" s="26">
        <f t="shared" si="356"/>
        <v>26</v>
      </c>
      <c r="W202" s="26">
        <f t="shared" si="356"/>
        <v>0</v>
      </c>
      <c r="X202" s="26">
        <f t="shared" si="356"/>
        <v>0</v>
      </c>
      <c r="Y202" s="26">
        <f t="shared" si="356"/>
        <v>0</v>
      </c>
      <c r="Z202" s="26">
        <f t="shared" si="356"/>
        <v>0</v>
      </c>
      <c r="AA202" s="26">
        <f t="shared" si="356"/>
        <v>0</v>
      </c>
      <c r="AB202" s="26">
        <f t="shared" si="356"/>
        <v>0</v>
      </c>
      <c r="AC202" s="26">
        <f t="shared" si="356"/>
        <v>0</v>
      </c>
      <c r="AD202" s="26">
        <f t="shared" si="356"/>
        <v>71</v>
      </c>
      <c r="AE202" s="26" t="str">
        <f t="shared" si="356"/>
        <v/>
      </c>
      <c r="AF202" s="26" t="str">
        <f t="shared" si="356"/>
        <v/>
      </c>
      <c r="AG202" s="26" t="str">
        <f t="shared" si="356"/>
        <v/>
      </c>
      <c r="AH202" s="26" t="str">
        <f t="shared" si="356"/>
        <v/>
      </c>
      <c r="AI202" s="26" t="str">
        <f t="shared" si="356"/>
        <v/>
      </c>
      <c r="AJ202" s="26" t="str">
        <f t="shared" si="356"/>
        <v/>
      </c>
      <c r="AK202" s="26" t="str">
        <f t="shared" si="356"/>
        <v/>
      </c>
      <c r="AL202" s="26" t="str">
        <f t="shared" si="356"/>
        <v/>
      </c>
      <c r="AM202" s="26" t="str">
        <f t="shared" si="356"/>
        <v/>
      </c>
      <c r="AN202" s="26" t="str">
        <f t="shared" ref="AN202:AS202" si="357">IF(AN$3="","",AN195-AM195)</f>
        <v/>
      </c>
      <c r="AO202" s="26" t="str">
        <f t="shared" si="357"/>
        <v/>
      </c>
      <c r="AP202" s="26" t="str">
        <f t="shared" si="357"/>
        <v/>
      </c>
      <c r="AQ202" s="26" t="str">
        <f t="shared" si="357"/>
        <v/>
      </c>
      <c r="AR202" s="26" t="str">
        <f t="shared" si="357"/>
        <v/>
      </c>
      <c r="AS202" s="26" t="str">
        <f t="shared" si="357"/>
        <v/>
      </c>
    </row>
    <row r="203" spans="1:45" s="1" customFormat="1" ht="11">
      <c r="A203" s="7">
        <f>SUM(C203:AS203)</f>
        <v>8</v>
      </c>
      <c r="B203" s="27" t="s">
        <v>16</v>
      </c>
      <c r="C203" s="65">
        <v>0</v>
      </c>
      <c r="D203" s="26">
        <f t="shared" ref="D203:AM203" si="358">IF(D$3="","",D196-C196)</f>
        <v>0</v>
      </c>
      <c r="E203" s="26">
        <f t="shared" si="358"/>
        <v>0</v>
      </c>
      <c r="F203" s="54">
        <f t="shared" si="358"/>
        <v>0</v>
      </c>
      <c r="G203" s="26">
        <f t="shared" si="358"/>
        <v>0</v>
      </c>
      <c r="H203" s="26">
        <f t="shared" si="358"/>
        <v>0</v>
      </c>
      <c r="I203" s="54">
        <f t="shared" si="358"/>
        <v>0</v>
      </c>
      <c r="J203" s="26">
        <f t="shared" si="358"/>
        <v>0</v>
      </c>
      <c r="K203" s="26">
        <f t="shared" si="358"/>
        <v>0</v>
      </c>
      <c r="L203" s="26">
        <f t="shared" si="358"/>
        <v>2</v>
      </c>
      <c r="M203" s="26">
        <f t="shared" si="358"/>
        <v>0</v>
      </c>
      <c r="N203" s="26">
        <f t="shared" si="358"/>
        <v>0</v>
      </c>
      <c r="O203" s="26">
        <f t="shared" si="358"/>
        <v>2</v>
      </c>
      <c r="P203" s="26">
        <f t="shared" si="358"/>
        <v>0</v>
      </c>
      <c r="Q203" s="26">
        <f t="shared" si="358"/>
        <v>0</v>
      </c>
      <c r="R203" s="26">
        <f t="shared" si="358"/>
        <v>0</v>
      </c>
      <c r="S203" s="26">
        <f t="shared" si="358"/>
        <v>0</v>
      </c>
      <c r="T203" s="26">
        <f t="shared" si="358"/>
        <v>0</v>
      </c>
      <c r="U203" s="26">
        <f t="shared" si="358"/>
        <v>0</v>
      </c>
      <c r="V203" s="26">
        <f t="shared" si="358"/>
        <v>1</v>
      </c>
      <c r="W203" s="26">
        <f t="shared" si="358"/>
        <v>0</v>
      </c>
      <c r="X203" s="26">
        <f t="shared" si="358"/>
        <v>0</v>
      </c>
      <c r="Y203" s="26">
        <f t="shared" si="358"/>
        <v>0</v>
      </c>
      <c r="Z203" s="26">
        <f t="shared" si="358"/>
        <v>0</v>
      </c>
      <c r="AA203" s="26">
        <f t="shared" si="358"/>
        <v>0</v>
      </c>
      <c r="AB203" s="26">
        <f t="shared" si="358"/>
        <v>0</v>
      </c>
      <c r="AC203" s="26">
        <f t="shared" si="358"/>
        <v>0</v>
      </c>
      <c r="AD203" s="26">
        <f t="shared" si="358"/>
        <v>3</v>
      </c>
      <c r="AE203" s="26" t="str">
        <f t="shared" si="358"/>
        <v/>
      </c>
      <c r="AF203" s="26" t="str">
        <f t="shared" si="358"/>
        <v/>
      </c>
      <c r="AG203" s="26" t="str">
        <f t="shared" si="358"/>
        <v/>
      </c>
      <c r="AH203" s="26" t="str">
        <f t="shared" si="358"/>
        <v/>
      </c>
      <c r="AI203" s="26" t="str">
        <f t="shared" si="358"/>
        <v/>
      </c>
      <c r="AJ203" s="26" t="str">
        <f t="shared" si="358"/>
        <v/>
      </c>
      <c r="AK203" s="26" t="str">
        <f t="shared" si="358"/>
        <v/>
      </c>
      <c r="AL203" s="26" t="str">
        <f t="shared" si="358"/>
        <v/>
      </c>
      <c r="AM203" s="26" t="str">
        <f t="shared" si="358"/>
        <v/>
      </c>
      <c r="AN203" s="26" t="str">
        <f t="shared" ref="AN203:AS203" si="359">IF(AN$3="","",AN196-AM196)</f>
        <v/>
      </c>
      <c r="AO203" s="26" t="str">
        <f t="shared" si="359"/>
        <v/>
      </c>
      <c r="AP203" s="26" t="str">
        <f t="shared" si="359"/>
        <v/>
      </c>
      <c r="AQ203" s="26" t="str">
        <f t="shared" si="359"/>
        <v/>
      </c>
      <c r="AR203" s="26" t="str">
        <f t="shared" si="359"/>
        <v/>
      </c>
      <c r="AS203" s="26" t="str">
        <f t="shared" si="359"/>
        <v/>
      </c>
    </row>
    <row r="204" spans="1:45" s="1" customFormat="1" ht="11">
      <c r="A204" s="7">
        <f>SUM(C204:AS204)</f>
        <v>5</v>
      </c>
      <c r="B204" s="27" t="s">
        <v>17</v>
      </c>
      <c r="C204" s="65">
        <v>0</v>
      </c>
      <c r="D204" s="26">
        <f t="shared" ref="D204:AM204" si="360">IF(D$3="","",C197+C198-D197)</f>
        <v>0</v>
      </c>
      <c r="E204" s="26">
        <f t="shared" si="360"/>
        <v>0</v>
      </c>
      <c r="F204" s="54">
        <f t="shared" si="360"/>
        <v>0</v>
      </c>
      <c r="G204" s="26">
        <f t="shared" si="360"/>
        <v>0</v>
      </c>
      <c r="H204" s="26">
        <f t="shared" si="360"/>
        <v>0</v>
      </c>
      <c r="I204" s="54">
        <f t="shared" si="360"/>
        <v>0</v>
      </c>
      <c r="J204" s="26">
        <f t="shared" si="360"/>
        <v>0</v>
      </c>
      <c r="K204" s="26">
        <f t="shared" si="360"/>
        <v>0</v>
      </c>
      <c r="L204" s="26">
        <f t="shared" si="360"/>
        <v>3</v>
      </c>
      <c r="M204" s="26">
        <f t="shared" si="360"/>
        <v>0</v>
      </c>
      <c r="N204" s="26">
        <f t="shared" si="360"/>
        <v>0</v>
      </c>
      <c r="O204" s="26">
        <f t="shared" si="360"/>
        <v>1</v>
      </c>
      <c r="P204" s="26">
        <f t="shared" si="360"/>
        <v>0</v>
      </c>
      <c r="Q204" s="26">
        <f t="shared" si="360"/>
        <v>0</v>
      </c>
      <c r="R204" s="26">
        <f t="shared" si="360"/>
        <v>0</v>
      </c>
      <c r="S204" s="26">
        <f t="shared" si="360"/>
        <v>0</v>
      </c>
      <c r="T204" s="26">
        <f t="shared" si="360"/>
        <v>0</v>
      </c>
      <c r="U204" s="26">
        <f t="shared" si="360"/>
        <v>0</v>
      </c>
      <c r="V204" s="26">
        <f t="shared" si="360"/>
        <v>1</v>
      </c>
      <c r="W204" s="26">
        <f t="shared" si="360"/>
        <v>0</v>
      </c>
      <c r="X204" s="26">
        <f t="shared" si="360"/>
        <v>0</v>
      </c>
      <c r="Y204" s="26">
        <f t="shared" si="360"/>
        <v>0</v>
      </c>
      <c r="Z204" s="26">
        <f t="shared" si="360"/>
        <v>0</v>
      </c>
      <c r="AA204" s="26">
        <f t="shared" si="360"/>
        <v>0</v>
      </c>
      <c r="AB204" s="26">
        <f t="shared" si="360"/>
        <v>0</v>
      </c>
      <c r="AC204" s="26">
        <f t="shared" si="360"/>
        <v>0</v>
      </c>
      <c r="AD204" s="26">
        <f t="shared" si="360"/>
        <v>0</v>
      </c>
      <c r="AE204" s="26" t="str">
        <f t="shared" si="360"/>
        <v/>
      </c>
      <c r="AF204" s="26" t="str">
        <f t="shared" si="360"/>
        <v/>
      </c>
      <c r="AG204" s="26" t="str">
        <f t="shared" si="360"/>
        <v/>
      </c>
      <c r="AH204" s="26" t="str">
        <f t="shared" si="360"/>
        <v/>
      </c>
      <c r="AI204" s="26" t="str">
        <f t="shared" si="360"/>
        <v/>
      </c>
      <c r="AJ204" s="26" t="str">
        <f t="shared" si="360"/>
        <v/>
      </c>
      <c r="AK204" s="26" t="str">
        <f t="shared" si="360"/>
        <v/>
      </c>
      <c r="AL204" s="26" t="str">
        <f t="shared" si="360"/>
        <v/>
      </c>
      <c r="AM204" s="26" t="str">
        <f t="shared" si="360"/>
        <v/>
      </c>
      <c r="AN204" s="26" t="str">
        <f t="shared" ref="AN204:AS204" si="361">IF(AN$3="","",AM197+AM198-AN197)</f>
        <v/>
      </c>
      <c r="AO204" s="26" t="str">
        <f t="shared" si="361"/>
        <v/>
      </c>
      <c r="AP204" s="26" t="str">
        <f t="shared" si="361"/>
        <v/>
      </c>
      <c r="AQ204" s="26" t="str">
        <f t="shared" si="361"/>
        <v/>
      </c>
      <c r="AR204" s="26" t="str">
        <f t="shared" si="361"/>
        <v/>
      </c>
      <c r="AS204" s="26" t="str">
        <f t="shared" si="361"/>
        <v/>
      </c>
    </row>
    <row r="205" spans="1:45" s="1" customFormat="1" ht="11">
      <c r="A205" s="7">
        <f>SUM(C205:AS205)</f>
        <v>2000</v>
      </c>
      <c r="B205" s="27" t="s">
        <v>18</v>
      </c>
      <c r="C205" s="65">
        <v>0</v>
      </c>
      <c r="D205" s="26">
        <f t="shared" ref="D205:AM205" si="362">IF(D$3="","",D204*D199)</f>
        <v>0</v>
      </c>
      <c r="E205" s="26">
        <f t="shared" si="362"/>
        <v>0</v>
      </c>
      <c r="F205" s="54">
        <f t="shared" si="362"/>
        <v>0</v>
      </c>
      <c r="G205" s="26">
        <f t="shared" si="362"/>
        <v>0</v>
      </c>
      <c r="H205" s="26">
        <f t="shared" si="362"/>
        <v>0</v>
      </c>
      <c r="I205" s="54">
        <f t="shared" si="362"/>
        <v>0</v>
      </c>
      <c r="J205" s="26">
        <f t="shared" si="362"/>
        <v>0</v>
      </c>
      <c r="K205" s="26">
        <f t="shared" si="362"/>
        <v>0</v>
      </c>
      <c r="L205" s="26">
        <f t="shared" si="362"/>
        <v>1200</v>
      </c>
      <c r="M205" s="26">
        <f t="shared" si="362"/>
        <v>0</v>
      </c>
      <c r="N205" s="26">
        <f t="shared" si="362"/>
        <v>0</v>
      </c>
      <c r="O205" s="26">
        <f t="shared" si="362"/>
        <v>400</v>
      </c>
      <c r="P205" s="26">
        <f t="shared" si="362"/>
        <v>0</v>
      </c>
      <c r="Q205" s="26">
        <f t="shared" si="362"/>
        <v>0</v>
      </c>
      <c r="R205" s="26">
        <f t="shared" si="362"/>
        <v>0</v>
      </c>
      <c r="S205" s="26">
        <f t="shared" si="362"/>
        <v>0</v>
      </c>
      <c r="T205" s="26">
        <f t="shared" si="362"/>
        <v>0</v>
      </c>
      <c r="U205" s="26">
        <f t="shared" si="362"/>
        <v>0</v>
      </c>
      <c r="V205" s="26">
        <f t="shared" si="362"/>
        <v>400</v>
      </c>
      <c r="W205" s="26">
        <f t="shared" si="362"/>
        <v>0</v>
      </c>
      <c r="X205" s="26">
        <f t="shared" si="362"/>
        <v>0</v>
      </c>
      <c r="Y205" s="26">
        <f t="shared" si="362"/>
        <v>0</v>
      </c>
      <c r="Z205" s="26">
        <f t="shared" si="362"/>
        <v>0</v>
      </c>
      <c r="AA205" s="26">
        <f t="shared" si="362"/>
        <v>0</v>
      </c>
      <c r="AB205" s="26">
        <f t="shared" si="362"/>
        <v>0</v>
      </c>
      <c r="AC205" s="26">
        <f t="shared" si="362"/>
        <v>0</v>
      </c>
      <c r="AD205" s="26">
        <f t="shared" si="362"/>
        <v>0</v>
      </c>
      <c r="AE205" s="26" t="str">
        <f t="shared" si="362"/>
        <v/>
      </c>
      <c r="AF205" s="26" t="str">
        <f t="shared" si="362"/>
        <v/>
      </c>
      <c r="AG205" s="26" t="str">
        <f t="shared" si="362"/>
        <v/>
      </c>
      <c r="AH205" s="26" t="str">
        <f t="shared" si="362"/>
        <v/>
      </c>
      <c r="AI205" s="26" t="str">
        <f t="shared" si="362"/>
        <v/>
      </c>
      <c r="AJ205" s="26" t="str">
        <f t="shared" si="362"/>
        <v/>
      </c>
      <c r="AK205" s="26" t="str">
        <f t="shared" si="362"/>
        <v/>
      </c>
      <c r="AL205" s="26" t="str">
        <f t="shared" si="362"/>
        <v/>
      </c>
      <c r="AM205" s="26" t="str">
        <f t="shared" si="362"/>
        <v/>
      </c>
      <c r="AN205" s="26" t="str">
        <f t="shared" ref="AN205:AS205" si="363">IF(AN$3="","",AN204*AN199)</f>
        <v/>
      </c>
      <c r="AO205" s="26" t="str">
        <f t="shared" si="363"/>
        <v/>
      </c>
      <c r="AP205" s="26" t="str">
        <f t="shared" si="363"/>
        <v/>
      </c>
      <c r="AQ205" s="26" t="str">
        <f t="shared" si="363"/>
        <v/>
      </c>
      <c r="AR205" s="26" t="str">
        <f t="shared" si="363"/>
        <v/>
      </c>
      <c r="AS205" s="26" t="str">
        <f t="shared" si="363"/>
        <v/>
      </c>
    </row>
    <row r="206" spans="1:45" s="1" customFormat="1" ht="12" thickBot="1">
      <c r="A206" s="4">
        <f>IF(A205="","",A205/(A202*100))</f>
        <v>0.1</v>
      </c>
      <c r="B206" s="27" t="s">
        <v>20</v>
      </c>
      <c r="C206" s="68" t="s">
        <v>21</v>
      </c>
      <c r="D206" s="44" t="str">
        <f t="shared" ref="D206:AM206" si="364">IF(D$3="","",IF(D205=0,"",D205/(D202*100)))</f>
        <v/>
      </c>
      <c r="E206" s="44" t="str">
        <f t="shared" si="364"/>
        <v/>
      </c>
      <c r="F206" s="132" t="str">
        <f t="shared" si="364"/>
        <v/>
      </c>
      <c r="G206" s="44" t="str">
        <f t="shared" si="364"/>
        <v/>
      </c>
      <c r="H206" s="44" t="str">
        <f t="shared" si="364"/>
        <v/>
      </c>
      <c r="I206" s="132" t="str">
        <f t="shared" si="364"/>
        <v/>
      </c>
      <c r="J206" s="44" t="str">
        <f t="shared" si="364"/>
        <v/>
      </c>
      <c r="K206" s="44" t="str">
        <f t="shared" si="364"/>
        <v/>
      </c>
      <c r="L206" s="44">
        <f t="shared" si="364"/>
        <v>0.30769230769230771</v>
      </c>
      <c r="M206" s="132" t="str">
        <f t="shared" si="364"/>
        <v/>
      </c>
      <c r="N206" s="44" t="str">
        <f t="shared" si="364"/>
        <v/>
      </c>
      <c r="O206" s="44">
        <f t="shared" si="364"/>
        <v>0.30769230769230771</v>
      </c>
      <c r="P206" s="44" t="str">
        <f t="shared" si="364"/>
        <v/>
      </c>
      <c r="Q206" s="44" t="str">
        <f t="shared" si="364"/>
        <v/>
      </c>
      <c r="R206" s="44" t="str">
        <f t="shared" si="364"/>
        <v/>
      </c>
      <c r="S206" s="44" t="str">
        <f t="shared" si="364"/>
        <v/>
      </c>
      <c r="T206" s="44" t="str">
        <f t="shared" si="364"/>
        <v/>
      </c>
      <c r="U206" s="44" t="str">
        <f t="shared" si="364"/>
        <v/>
      </c>
      <c r="V206" s="44">
        <f t="shared" si="364"/>
        <v>0.15384615384615385</v>
      </c>
      <c r="W206" s="44" t="str">
        <f t="shared" si="364"/>
        <v/>
      </c>
      <c r="X206" s="44" t="str">
        <f t="shared" si="364"/>
        <v/>
      </c>
      <c r="Y206" s="44" t="str">
        <f t="shared" si="364"/>
        <v/>
      </c>
      <c r="Z206" s="44" t="str">
        <f t="shared" si="364"/>
        <v/>
      </c>
      <c r="AA206" s="44" t="str">
        <f t="shared" si="364"/>
        <v/>
      </c>
      <c r="AB206" s="44" t="str">
        <f t="shared" si="364"/>
        <v/>
      </c>
      <c r="AC206" s="44" t="str">
        <f t="shared" si="364"/>
        <v/>
      </c>
      <c r="AD206" s="44" t="str">
        <f t="shared" si="364"/>
        <v/>
      </c>
      <c r="AE206" s="44" t="str">
        <f t="shared" si="364"/>
        <v/>
      </c>
      <c r="AF206" s="44" t="str">
        <f t="shared" si="364"/>
        <v/>
      </c>
      <c r="AG206" s="44" t="str">
        <f t="shared" si="364"/>
        <v/>
      </c>
      <c r="AH206" s="44" t="str">
        <f t="shared" si="364"/>
        <v/>
      </c>
      <c r="AI206" s="44" t="str">
        <f t="shared" si="364"/>
        <v/>
      </c>
      <c r="AJ206" s="44" t="str">
        <f t="shared" si="364"/>
        <v/>
      </c>
      <c r="AK206" s="44" t="str">
        <f t="shared" si="364"/>
        <v/>
      </c>
      <c r="AL206" s="44" t="str">
        <f t="shared" si="364"/>
        <v/>
      </c>
      <c r="AM206" s="44" t="str">
        <f t="shared" si="364"/>
        <v/>
      </c>
      <c r="AN206" s="44" t="str">
        <f t="shared" ref="AN206:AS206" si="365">IF(AN$3="","",IF(AN205=0,"",AN205/(AN202*100)))</f>
        <v/>
      </c>
      <c r="AO206" s="44" t="str">
        <f t="shared" si="365"/>
        <v/>
      </c>
      <c r="AP206" s="44" t="str">
        <f t="shared" si="365"/>
        <v/>
      </c>
      <c r="AQ206" s="44" t="str">
        <f t="shared" si="365"/>
        <v/>
      </c>
      <c r="AR206" s="44" t="str">
        <f t="shared" si="365"/>
        <v/>
      </c>
      <c r="AS206" s="44" t="str">
        <f t="shared" si="365"/>
        <v/>
      </c>
    </row>
    <row r="207" spans="1:45" s="1" customFormat="1" ht="11">
      <c r="A207" s="17" t="s">
        <v>113</v>
      </c>
      <c r="B207" s="42" t="s">
        <v>2</v>
      </c>
      <c r="C207" s="64">
        <v>4441</v>
      </c>
      <c r="D207" s="35">
        <f>IF(D$3="","",C207)</f>
        <v>4441</v>
      </c>
      <c r="E207" s="35">
        <v>4471</v>
      </c>
      <c r="F207" s="128">
        <f>IF(F$3="","",E207)</f>
        <v>4471</v>
      </c>
      <c r="G207" s="35">
        <f>IF(G$3="","",F207)</f>
        <v>4471</v>
      </c>
      <c r="H207" s="35">
        <v>4560</v>
      </c>
      <c r="I207" s="128">
        <f t="shared" ref="I207:K208" si="366">IF(I$3="","",H207)</f>
        <v>4560</v>
      </c>
      <c r="J207" s="35">
        <f t="shared" si="366"/>
        <v>4560</v>
      </c>
      <c r="K207" s="35">
        <f t="shared" si="366"/>
        <v>4560</v>
      </c>
      <c r="L207" s="35">
        <v>4698</v>
      </c>
      <c r="M207" s="128">
        <f>IF(M$3="","",L207)</f>
        <v>4698</v>
      </c>
      <c r="N207" s="35">
        <f>IF(N$3="","",M207)</f>
        <v>4698</v>
      </c>
      <c r="O207" s="35">
        <v>4785</v>
      </c>
      <c r="P207" s="35">
        <f t="shared" ref="P207:AM207" si="367">IF(P$3="","",O207)</f>
        <v>4785</v>
      </c>
      <c r="Q207" s="35">
        <f t="shared" si="367"/>
        <v>4785</v>
      </c>
      <c r="R207" s="35">
        <f t="shared" si="367"/>
        <v>4785</v>
      </c>
      <c r="S207" s="35">
        <v>4832</v>
      </c>
      <c r="T207" s="35">
        <f t="shared" si="367"/>
        <v>4832</v>
      </c>
      <c r="U207" s="35">
        <f t="shared" si="367"/>
        <v>4832</v>
      </c>
      <c r="V207" s="35">
        <v>4943</v>
      </c>
      <c r="W207" s="35">
        <f t="shared" si="367"/>
        <v>4943</v>
      </c>
      <c r="X207" s="35">
        <f t="shared" si="367"/>
        <v>4943</v>
      </c>
      <c r="Y207" s="35">
        <f t="shared" si="367"/>
        <v>4943</v>
      </c>
      <c r="Z207" s="35">
        <f t="shared" si="367"/>
        <v>4943</v>
      </c>
      <c r="AA207" s="35">
        <f t="shared" si="367"/>
        <v>4943</v>
      </c>
      <c r="AB207" s="35">
        <f t="shared" si="367"/>
        <v>4943</v>
      </c>
      <c r="AC207" s="35">
        <f t="shared" si="367"/>
        <v>4943</v>
      </c>
      <c r="AD207" s="35">
        <v>5139</v>
      </c>
      <c r="AE207" s="35" t="str">
        <f t="shared" si="367"/>
        <v/>
      </c>
      <c r="AF207" s="35" t="str">
        <f t="shared" si="367"/>
        <v/>
      </c>
      <c r="AG207" s="35" t="str">
        <f t="shared" si="367"/>
        <v/>
      </c>
      <c r="AH207" s="35" t="str">
        <f t="shared" si="367"/>
        <v/>
      </c>
      <c r="AI207" s="35" t="str">
        <f t="shared" si="367"/>
        <v/>
      </c>
      <c r="AJ207" s="35" t="str">
        <f t="shared" si="367"/>
        <v/>
      </c>
      <c r="AK207" s="35" t="str">
        <f t="shared" si="367"/>
        <v/>
      </c>
      <c r="AL207" s="35" t="str">
        <f t="shared" si="367"/>
        <v/>
      </c>
      <c r="AM207" s="35" t="str">
        <f t="shared" si="367"/>
        <v/>
      </c>
      <c r="AN207" s="35" t="str">
        <f t="shared" ref="AN207:AS207" si="368">IF(AN$3="","",AM207)</f>
        <v/>
      </c>
      <c r="AO207" s="35" t="str">
        <f t="shared" si="368"/>
        <v/>
      </c>
      <c r="AP207" s="35" t="str">
        <f t="shared" si="368"/>
        <v/>
      </c>
      <c r="AQ207" s="35" t="str">
        <f t="shared" si="368"/>
        <v/>
      </c>
      <c r="AR207" s="35" t="str">
        <f t="shared" si="368"/>
        <v/>
      </c>
      <c r="AS207" s="35" t="str">
        <f t="shared" si="368"/>
        <v/>
      </c>
    </row>
    <row r="208" spans="1:45" s="1" customFormat="1" ht="11">
      <c r="A208" s="16" t="s">
        <v>123</v>
      </c>
      <c r="B208" s="30" t="s">
        <v>4</v>
      </c>
      <c r="C208" s="65">
        <v>141</v>
      </c>
      <c r="D208" s="29">
        <f>IF(D$3="","",C208)</f>
        <v>141</v>
      </c>
      <c r="E208" s="29">
        <f>IF(E$3="","",D208)</f>
        <v>141</v>
      </c>
      <c r="F208" s="54">
        <f>IF(F$3="","",E208)</f>
        <v>141</v>
      </c>
      <c r="G208" s="29">
        <f>IF(G$3="","",F208)</f>
        <v>141</v>
      </c>
      <c r="H208" s="29">
        <v>143</v>
      </c>
      <c r="I208" s="54">
        <f t="shared" si="366"/>
        <v>143</v>
      </c>
      <c r="J208" s="29">
        <f t="shared" si="366"/>
        <v>143</v>
      </c>
      <c r="K208" s="29">
        <f t="shared" si="366"/>
        <v>143</v>
      </c>
      <c r="L208" s="29">
        <v>144</v>
      </c>
      <c r="M208" s="54">
        <f>IF(M$3="","",L208)</f>
        <v>144</v>
      </c>
      <c r="N208" s="29">
        <f>IF(N$3="","",M208)</f>
        <v>144</v>
      </c>
      <c r="O208" s="29">
        <v>145</v>
      </c>
      <c r="P208" s="29">
        <f t="shared" ref="P208:AM208" si="369">IF(P$3="","",O208)</f>
        <v>145</v>
      </c>
      <c r="Q208" s="29">
        <f t="shared" si="369"/>
        <v>145</v>
      </c>
      <c r="R208" s="29">
        <f t="shared" si="369"/>
        <v>145</v>
      </c>
      <c r="S208" s="29">
        <f t="shared" si="369"/>
        <v>145</v>
      </c>
      <c r="T208" s="29">
        <f t="shared" si="369"/>
        <v>145</v>
      </c>
      <c r="U208" s="29">
        <f t="shared" si="369"/>
        <v>145</v>
      </c>
      <c r="V208" s="29">
        <f t="shared" si="369"/>
        <v>145</v>
      </c>
      <c r="W208" s="29">
        <f t="shared" si="369"/>
        <v>145</v>
      </c>
      <c r="X208" s="29">
        <f t="shared" si="369"/>
        <v>145</v>
      </c>
      <c r="Y208" s="29">
        <f t="shared" si="369"/>
        <v>145</v>
      </c>
      <c r="Z208" s="29">
        <f t="shared" si="369"/>
        <v>145</v>
      </c>
      <c r="AA208" s="29">
        <f t="shared" si="369"/>
        <v>145</v>
      </c>
      <c r="AB208" s="29">
        <f t="shared" si="369"/>
        <v>145</v>
      </c>
      <c r="AC208" s="29">
        <f t="shared" si="369"/>
        <v>145</v>
      </c>
      <c r="AD208" s="29">
        <v>147</v>
      </c>
      <c r="AE208" s="29" t="str">
        <f t="shared" si="369"/>
        <v/>
      </c>
      <c r="AF208" s="29" t="str">
        <f t="shared" si="369"/>
        <v/>
      </c>
      <c r="AG208" s="29" t="str">
        <f t="shared" si="369"/>
        <v/>
      </c>
      <c r="AH208" s="29" t="str">
        <f t="shared" si="369"/>
        <v/>
      </c>
      <c r="AI208" s="29" t="str">
        <f t="shared" si="369"/>
        <v/>
      </c>
      <c r="AJ208" s="29" t="str">
        <f t="shared" si="369"/>
        <v/>
      </c>
      <c r="AK208" s="29" t="str">
        <f t="shared" si="369"/>
        <v/>
      </c>
      <c r="AL208" s="29" t="str">
        <f t="shared" si="369"/>
        <v/>
      </c>
      <c r="AM208" s="29" t="str">
        <f t="shared" si="369"/>
        <v/>
      </c>
      <c r="AN208" s="29" t="str">
        <f t="shared" ref="AN208:AS208" si="370">IF(AN$3="","",AM208)</f>
        <v/>
      </c>
      <c r="AO208" s="29" t="str">
        <f t="shared" si="370"/>
        <v/>
      </c>
      <c r="AP208" s="29" t="str">
        <f t="shared" si="370"/>
        <v/>
      </c>
      <c r="AQ208" s="29" t="str">
        <f t="shared" si="370"/>
        <v/>
      </c>
      <c r="AR208" s="29" t="str">
        <f t="shared" si="370"/>
        <v/>
      </c>
      <c r="AS208" s="29" t="str">
        <f t="shared" si="370"/>
        <v/>
      </c>
    </row>
    <row r="209" spans="1:45" s="1" customFormat="1" ht="11">
      <c r="A209" s="15">
        <v>3</v>
      </c>
      <c r="B209" s="30" t="s">
        <v>5</v>
      </c>
      <c r="C209" s="65">
        <v>7</v>
      </c>
      <c r="D209" s="29">
        <f>IF(D$3="","",(C209+C210))</f>
        <v>7</v>
      </c>
      <c r="E209" s="29">
        <v>6</v>
      </c>
      <c r="F209" s="54">
        <f>IF(F$3="","",(E209+E210))</f>
        <v>10</v>
      </c>
      <c r="G209" s="29">
        <f>IF(G$3="","",(F209+F210))</f>
        <v>10</v>
      </c>
      <c r="H209" s="29">
        <v>7</v>
      </c>
      <c r="I209" s="54">
        <f>IF(I$3="","",(H209+H210))</f>
        <v>12</v>
      </c>
      <c r="J209" s="29">
        <f>IF(J$3="","",(I209+I210))</f>
        <v>12</v>
      </c>
      <c r="K209" s="29">
        <f>IF(K$3="","",(J209+J210))</f>
        <v>12</v>
      </c>
      <c r="L209" s="29">
        <v>11</v>
      </c>
      <c r="M209" s="54">
        <f>IF(M$3="","",(L209+L210))</f>
        <v>11</v>
      </c>
      <c r="N209" s="29">
        <f>IF(N$3="","",(M209+M210))</f>
        <v>11</v>
      </c>
      <c r="O209" s="29">
        <v>10</v>
      </c>
      <c r="P209" s="29">
        <f t="shared" ref="P209:AM209" si="371">IF(P$3="","",(O209+O210))</f>
        <v>10</v>
      </c>
      <c r="Q209" s="29">
        <f t="shared" si="371"/>
        <v>10</v>
      </c>
      <c r="R209" s="29">
        <f t="shared" si="371"/>
        <v>10</v>
      </c>
      <c r="S209" s="29">
        <f t="shared" si="371"/>
        <v>10</v>
      </c>
      <c r="T209" s="29">
        <f t="shared" si="371"/>
        <v>10</v>
      </c>
      <c r="U209" s="29">
        <f t="shared" si="371"/>
        <v>10</v>
      </c>
      <c r="V209" s="29">
        <v>8</v>
      </c>
      <c r="W209" s="29">
        <f t="shared" si="371"/>
        <v>13</v>
      </c>
      <c r="X209" s="29">
        <f t="shared" si="371"/>
        <v>13</v>
      </c>
      <c r="Y209" s="29">
        <f t="shared" si="371"/>
        <v>13</v>
      </c>
      <c r="Z209" s="29">
        <f t="shared" si="371"/>
        <v>13</v>
      </c>
      <c r="AA209" s="29">
        <f t="shared" si="371"/>
        <v>13</v>
      </c>
      <c r="AB209" s="29">
        <f t="shared" si="371"/>
        <v>13</v>
      </c>
      <c r="AC209" s="29">
        <f t="shared" si="371"/>
        <v>13</v>
      </c>
      <c r="AD209" s="29">
        <v>10</v>
      </c>
      <c r="AE209" s="29" t="str">
        <f t="shared" si="371"/>
        <v/>
      </c>
      <c r="AF209" s="29" t="str">
        <f t="shared" si="371"/>
        <v/>
      </c>
      <c r="AG209" s="29" t="str">
        <f t="shared" si="371"/>
        <v/>
      </c>
      <c r="AH209" s="29" t="str">
        <f t="shared" si="371"/>
        <v/>
      </c>
      <c r="AI209" s="29" t="str">
        <f t="shared" si="371"/>
        <v/>
      </c>
      <c r="AJ209" s="29" t="str">
        <f t="shared" si="371"/>
        <v/>
      </c>
      <c r="AK209" s="29" t="str">
        <f t="shared" si="371"/>
        <v/>
      </c>
      <c r="AL209" s="29" t="str">
        <f t="shared" si="371"/>
        <v/>
      </c>
      <c r="AM209" s="29" t="str">
        <f t="shared" si="371"/>
        <v/>
      </c>
      <c r="AN209" s="29" t="str">
        <f t="shared" ref="AN209:AS209" si="372">IF(AN$3="","",(AM209+AM210))</f>
        <v/>
      </c>
      <c r="AO209" s="29" t="str">
        <f t="shared" si="372"/>
        <v/>
      </c>
      <c r="AP209" s="29" t="str">
        <f t="shared" si="372"/>
        <v/>
      </c>
      <c r="AQ209" s="29" t="str">
        <f t="shared" si="372"/>
        <v/>
      </c>
      <c r="AR209" s="29" t="str">
        <f t="shared" si="372"/>
        <v/>
      </c>
      <c r="AS209" s="29" t="str">
        <f t="shared" si="372"/>
        <v/>
      </c>
    </row>
    <row r="210" spans="1:45" s="1" customFormat="1" ht="11">
      <c r="A210" s="14"/>
      <c r="B210" s="30" t="s">
        <v>7</v>
      </c>
      <c r="C210" s="65"/>
      <c r="D210" s="29"/>
      <c r="E210" s="29">
        <v>4</v>
      </c>
      <c r="F210" s="54"/>
      <c r="G210" s="29"/>
      <c r="H210" s="29">
        <v>5</v>
      </c>
      <c r="I210" s="54"/>
      <c r="J210" s="29"/>
      <c r="K210" s="29"/>
      <c r="L210" s="29"/>
      <c r="M210" s="54"/>
      <c r="N210" s="29"/>
      <c r="O210" s="29"/>
      <c r="P210" s="29"/>
      <c r="Q210" s="29"/>
      <c r="R210" s="29"/>
      <c r="S210" s="29"/>
      <c r="T210" s="29"/>
      <c r="U210" s="29"/>
      <c r="V210" s="29">
        <v>5</v>
      </c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 spans="1:45" s="1" customFormat="1" ht="11">
      <c r="A211" s="7"/>
      <c r="B211" s="30" t="s">
        <v>8</v>
      </c>
      <c r="C211" s="64">
        <v>400</v>
      </c>
      <c r="D211" s="35">
        <f t="shared" ref="D211:AM211" si="373">IF(D$3="","",C211)</f>
        <v>400</v>
      </c>
      <c r="E211" s="35">
        <f t="shared" si="373"/>
        <v>400</v>
      </c>
      <c r="F211" s="128">
        <f t="shared" si="373"/>
        <v>400</v>
      </c>
      <c r="G211" s="35">
        <f t="shared" si="373"/>
        <v>400</v>
      </c>
      <c r="H211" s="35">
        <f t="shared" si="373"/>
        <v>400</v>
      </c>
      <c r="I211" s="128">
        <f t="shared" si="373"/>
        <v>400</v>
      </c>
      <c r="J211" s="35">
        <f t="shared" si="373"/>
        <v>400</v>
      </c>
      <c r="K211" s="35">
        <f t="shared" si="373"/>
        <v>400</v>
      </c>
      <c r="L211" s="35">
        <f t="shared" si="373"/>
        <v>400</v>
      </c>
      <c r="M211" s="128">
        <f t="shared" si="373"/>
        <v>400</v>
      </c>
      <c r="N211" s="35">
        <f t="shared" si="373"/>
        <v>400</v>
      </c>
      <c r="O211" s="35">
        <f t="shared" si="373"/>
        <v>400</v>
      </c>
      <c r="P211" s="35">
        <f t="shared" si="373"/>
        <v>400</v>
      </c>
      <c r="Q211" s="35">
        <f t="shared" si="373"/>
        <v>400</v>
      </c>
      <c r="R211" s="35">
        <f t="shared" si="373"/>
        <v>400</v>
      </c>
      <c r="S211" s="35">
        <f t="shared" si="373"/>
        <v>400</v>
      </c>
      <c r="T211" s="35">
        <f t="shared" si="373"/>
        <v>400</v>
      </c>
      <c r="U211" s="35">
        <f t="shared" si="373"/>
        <v>400</v>
      </c>
      <c r="V211" s="35">
        <f t="shared" si="373"/>
        <v>400</v>
      </c>
      <c r="W211" s="35">
        <f t="shared" si="373"/>
        <v>400</v>
      </c>
      <c r="X211" s="35">
        <f t="shared" si="373"/>
        <v>400</v>
      </c>
      <c r="Y211" s="35">
        <f t="shared" si="373"/>
        <v>400</v>
      </c>
      <c r="Z211" s="35">
        <f t="shared" si="373"/>
        <v>400</v>
      </c>
      <c r="AA211" s="35">
        <f t="shared" si="373"/>
        <v>400</v>
      </c>
      <c r="AB211" s="35">
        <f t="shared" si="373"/>
        <v>400</v>
      </c>
      <c r="AC211" s="35">
        <f t="shared" si="373"/>
        <v>400</v>
      </c>
      <c r="AD211" s="35">
        <f t="shared" si="373"/>
        <v>400</v>
      </c>
      <c r="AE211" s="35" t="str">
        <f t="shared" si="373"/>
        <v/>
      </c>
      <c r="AF211" s="35" t="str">
        <f t="shared" si="373"/>
        <v/>
      </c>
      <c r="AG211" s="35" t="str">
        <f t="shared" si="373"/>
        <v/>
      </c>
      <c r="AH211" s="35" t="str">
        <f t="shared" si="373"/>
        <v/>
      </c>
      <c r="AI211" s="35" t="str">
        <f t="shared" si="373"/>
        <v/>
      </c>
      <c r="AJ211" s="35" t="str">
        <f t="shared" si="373"/>
        <v/>
      </c>
      <c r="AK211" s="35" t="str">
        <f t="shared" si="373"/>
        <v/>
      </c>
      <c r="AL211" s="35" t="str">
        <f t="shared" si="373"/>
        <v/>
      </c>
      <c r="AM211" s="35" t="str">
        <f t="shared" si="373"/>
        <v/>
      </c>
      <c r="AN211" s="35" t="str">
        <f t="shared" ref="AN211:AS211" si="374">IF(AN$3="","",AM211)</f>
        <v/>
      </c>
      <c r="AO211" s="35" t="str">
        <f t="shared" si="374"/>
        <v/>
      </c>
      <c r="AP211" s="35" t="str">
        <f t="shared" si="374"/>
        <v/>
      </c>
      <c r="AQ211" s="35" t="str">
        <f t="shared" si="374"/>
        <v/>
      </c>
      <c r="AR211" s="35" t="str">
        <f t="shared" si="374"/>
        <v/>
      </c>
      <c r="AS211" s="35" t="str">
        <f t="shared" si="374"/>
        <v/>
      </c>
    </row>
    <row r="212" spans="1:45" s="94" customFormat="1" ht="11">
      <c r="A212" s="14" t="s">
        <v>9</v>
      </c>
      <c r="B212" s="33" t="s">
        <v>10</v>
      </c>
      <c r="C212" s="63" t="s">
        <v>31</v>
      </c>
      <c r="D212" s="32" t="str">
        <f t="shared" ref="D212:AM212" si="375">IF(D$3="","",C212)</f>
        <v>柴犬たまご</v>
      </c>
      <c r="E212" s="32" t="str">
        <f t="shared" si="375"/>
        <v>柴犬たまご</v>
      </c>
      <c r="F212" s="129" t="str">
        <f t="shared" si="375"/>
        <v>柴犬たまご</v>
      </c>
      <c r="G212" s="32" t="str">
        <f t="shared" si="375"/>
        <v>柴犬たまご</v>
      </c>
      <c r="H212" s="32" t="str">
        <f t="shared" si="375"/>
        <v>柴犬たまご</v>
      </c>
      <c r="I212" s="129" t="str">
        <f t="shared" si="375"/>
        <v>柴犬たまご</v>
      </c>
      <c r="J212" s="32" t="str">
        <f t="shared" si="375"/>
        <v>柴犬たまご</v>
      </c>
      <c r="K212" s="32" t="str">
        <f t="shared" si="375"/>
        <v>柴犬たまご</v>
      </c>
      <c r="L212" s="32" t="str">
        <f t="shared" si="375"/>
        <v>柴犬たまご</v>
      </c>
      <c r="M212" s="129" t="str">
        <f t="shared" si="375"/>
        <v>柴犬たまご</v>
      </c>
      <c r="N212" s="32" t="str">
        <f t="shared" si="375"/>
        <v>柴犬たまご</v>
      </c>
      <c r="O212" s="32" t="str">
        <f t="shared" si="375"/>
        <v>柴犬たまご</v>
      </c>
      <c r="P212" s="32" t="str">
        <f t="shared" si="375"/>
        <v>柴犬たまご</v>
      </c>
      <c r="Q212" s="32" t="str">
        <f t="shared" si="375"/>
        <v>柴犬たまご</v>
      </c>
      <c r="R212" s="32" t="str">
        <f t="shared" si="375"/>
        <v>柴犬たまご</v>
      </c>
      <c r="S212" s="32" t="str">
        <f t="shared" si="375"/>
        <v>柴犬たまご</v>
      </c>
      <c r="T212" s="32" t="str">
        <f t="shared" si="375"/>
        <v>柴犬たまご</v>
      </c>
      <c r="U212" s="32" t="str">
        <f t="shared" si="375"/>
        <v>柴犬たまご</v>
      </c>
      <c r="V212" s="32" t="str">
        <f t="shared" si="375"/>
        <v>柴犬たまご</v>
      </c>
      <c r="W212" s="32" t="str">
        <f t="shared" si="375"/>
        <v>柴犬たまご</v>
      </c>
      <c r="X212" s="32" t="str">
        <f t="shared" si="375"/>
        <v>柴犬たまご</v>
      </c>
      <c r="Y212" s="32" t="str">
        <f t="shared" si="375"/>
        <v>柴犬たまご</v>
      </c>
      <c r="Z212" s="32" t="str">
        <f t="shared" si="375"/>
        <v>柴犬たまご</v>
      </c>
      <c r="AA212" s="32" t="str">
        <f t="shared" si="375"/>
        <v>柴犬たまご</v>
      </c>
      <c r="AB212" s="32" t="str">
        <f t="shared" si="375"/>
        <v>柴犬たまご</v>
      </c>
      <c r="AC212" s="32" t="str">
        <f t="shared" si="375"/>
        <v>柴犬たまご</v>
      </c>
      <c r="AD212" s="32" t="str">
        <f t="shared" si="375"/>
        <v>柴犬たまご</v>
      </c>
      <c r="AE212" s="32" t="str">
        <f t="shared" si="375"/>
        <v/>
      </c>
      <c r="AF212" s="32" t="str">
        <f t="shared" si="375"/>
        <v/>
      </c>
      <c r="AG212" s="32" t="str">
        <f t="shared" si="375"/>
        <v/>
      </c>
      <c r="AH212" s="32" t="str">
        <f t="shared" si="375"/>
        <v/>
      </c>
      <c r="AI212" s="32" t="str">
        <f t="shared" si="375"/>
        <v/>
      </c>
      <c r="AJ212" s="32" t="str">
        <f t="shared" si="375"/>
        <v/>
      </c>
      <c r="AK212" s="32" t="str">
        <f t="shared" si="375"/>
        <v/>
      </c>
      <c r="AL212" s="32" t="str">
        <f t="shared" si="375"/>
        <v/>
      </c>
      <c r="AM212" s="32" t="str">
        <f t="shared" si="375"/>
        <v/>
      </c>
      <c r="AN212" s="32" t="str">
        <f t="shared" ref="AN212:AS212" si="376">IF(AN$3="","",AM212)</f>
        <v/>
      </c>
      <c r="AO212" s="32" t="str">
        <f t="shared" si="376"/>
        <v/>
      </c>
      <c r="AP212" s="32" t="str">
        <f t="shared" si="376"/>
        <v/>
      </c>
      <c r="AQ212" s="32" t="str">
        <f t="shared" si="376"/>
        <v/>
      </c>
      <c r="AR212" s="32" t="str">
        <f t="shared" si="376"/>
        <v/>
      </c>
      <c r="AS212" s="32" t="str">
        <f t="shared" si="376"/>
        <v/>
      </c>
    </row>
    <row r="213" spans="1:45" s="1" customFormat="1" ht="11">
      <c r="A213" s="7">
        <f>AVERAGE(C214:AS214)*30*100</f>
        <v>74785.714285714275</v>
      </c>
      <c r="B213" s="30" t="s">
        <v>14</v>
      </c>
      <c r="C213" s="65"/>
      <c r="D213" s="29"/>
      <c r="E213" s="29"/>
      <c r="F213" s="54"/>
      <c r="G213" s="29"/>
      <c r="H213" s="29"/>
      <c r="I213" s="54"/>
      <c r="J213" s="29"/>
      <c r="K213" s="29"/>
      <c r="L213" s="29"/>
      <c r="M213" s="54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 spans="1:45" s="1" customFormat="1" ht="11">
      <c r="A214" s="7">
        <f>SUM(C214:AS214)</f>
        <v>698</v>
      </c>
      <c r="B214" s="27" t="s">
        <v>15</v>
      </c>
      <c r="C214" s="65">
        <v>0</v>
      </c>
      <c r="D214" s="26">
        <f t="shared" ref="D214:AM214" si="377">IF(D$3="","",D207-C207)</f>
        <v>0</v>
      </c>
      <c r="E214" s="26">
        <f t="shared" si="377"/>
        <v>30</v>
      </c>
      <c r="F214" s="54">
        <f t="shared" si="377"/>
        <v>0</v>
      </c>
      <c r="G214" s="26">
        <f t="shared" si="377"/>
        <v>0</v>
      </c>
      <c r="H214" s="26">
        <f t="shared" si="377"/>
        <v>89</v>
      </c>
      <c r="I214" s="54">
        <f t="shared" si="377"/>
        <v>0</v>
      </c>
      <c r="J214" s="26">
        <f t="shared" si="377"/>
        <v>0</v>
      </c>
      <c r="K214" s="26">
        <f t="shared" si="377"/>
        <v>0</v>
      </c>
      <c r="L214" s="26">
        <f t="shared" si="377"/>
        <v>138</v>
      </c>
      <c r="M214" s="54">
        <f t="shared" si="377"/>
        <v>0</v>
      </c>
      <c r="N214" s="26">
        <f t="shared" si="377"/>
        <v>0</v>
      </c>
      <c r="O214" s="26">
        <f t="shared" si="377"/>
        <v>87</v>
      </c>
      <c r="P214" s="26">
        <f t="shared" si="377"/>
        <v>0</v>
      </c>
      <c r="Q214" s="26">
        <f t="shared" si="377"/>
        <v>0</v>
      </c>
      <c r="R214" s="26">
        <f t="shared" si="377"/>
        <v>0</v>
      </c>
      <c r="S214" s="26">
        <f t="shared" si="377"/>
        <v>47</v>
      </c>
      <c r="T214" s="26">
        <f t="shared" si="377"/>
        <v>0</v>
      </c>
      <c r="U214" s="26">
        <f t="shared" si="377"/>
        <v>0</v>
      </c>
      <c r="V214" s="26">
        <f t="shared" si="377"/>
        <v>111</v>
      </c>
      <c r="W214" s="26">
        <f t="shared" si="377"/>
        <v>0</v>
      </c>
      <c r="X214" s="26">
        <f t="shared" si="377"/>
        <v>0</v>
      </c>
      <c r="Y214" s="26">
        <f t="shared" si="377"/>
        <v>0</v>
      </c>
      <c r="Z214" s="26">
        <f t="shared" si="377"/>
        <v>0</v>
      </c>
      <c r="AA214" s="26">
        <f t="shared" si="377"/>
        <v>0</v>
      </c>
      <c r="AB214" s="26">
        <f t="shared" si="377"/>
        <v>0</v>
      </c>
      <c r="AC214" s="26">
        <f t="shared" si="377"/>
        <v>0</v>
      </c>
      <c r="AD214" s="26">
        <f t="shared" si="377"/>
        <v>196</v>
      </c>
      <c r="AE214" s="26" t="str">
        <f t="shared" si="377"/>
        <v/>
      </c>
      <c r="AF214" s="26" t="str">
        <f t="shared" si="377"/>
        <v/>
      </c>
      <c r="AG214" s="26" t="str">
        <f t="shared" si="377"/>
        <v/>
      </c>
      <c r="AH214" s="26" t="str">
        <f t="shared" si="377"/>
        <v/>
      </c>
      <c r="AI214" s="26" t="str">
        <f t="shared" si="377"/>
        <v/>
      </c>
      <c r="AJ214" s="26" t="str">
        <f t="shared" si="377"/>
        <v/>
      </c>
      <c r="AK214" s="26" t="str">
        <f t="shared" si="377"/>
        <v/>
      </c>
      <c r="AL214" s="26" t="str">
        <f t="shared" si="377"/>
        <v/>
      </c>
      <c r="AM214" s="26" t="str">
        <f t="shared" si="377"/>
        <v/>
      </c>
      <c r="AN214" s="26" t="str">
        <f t="shared" ref="AN214:AS214" si="378">IF(AN$3="","",AN207-AM207)</f>
        <v/>
      </c>
      <c r="AO214" s="26" t="str">
        <f t="shared" si="378"/>
        <v/>
      </c>
      <c r="AP214" s="26" t="str">
        <f t="shared" si="378"/>
        <v/>
      </c>
      <c r="AQ214" s="26" t="str">
        <f t="shared" si="378"/>
        <v/>
      </c>
      <c r="AR214" s="26" t="str">
        <f t="shared" si="378"/>
        <v/>
      </c>
      <c r="AS214" s="26" t="str">
        <f t="shared" si="378"/>
        <v/>
      </c>
    </row>
    <row r="215" spans="1:45" s="1" customFormat="1" ht="11">
      <c r="A215" s="7">
        <f>SUM(C215:AS215)</f>
        <v>6</v>
      </c>
      <c r="B215" s="27" t="s">
        <v>16</v>
      </c>
      <c r="C215" s="65">
        <v>0</v>
      </c>
      <c r="D215" s="26">
        <f t="shared" ref="D215:AM215" si="379">IF(D$3="","",D208-C208)</f>
        <v>0</v>
      </c>
      <c r="E215" s="26">
        <f t="shared" si="379"/>
        <v>0</v>
      </c>
      <c r="F215" s="54">
        <f t="shared" si="379"/>
        <v>0</v>
      </c>
      <c r="G215" s="26">
        <f t="shared" si="379"/>
        <v>0</v>
      </c>
      <c r="H215" s="26">
        <f t="shared" si="379"/>
        <v>2</v>
      </c>
      <c r="I215" s="54">
        <f t="shared" si="379"/>
        <v>0</v>
      </c>
      <c r="J215" s="26">
        <f t="shared" si="379"/>
        <v>0</v>
      </c>
      <c r="K215" s="26">
        <f t="shared" si="379"/>
        <v>0</v>
      </c>
      <c r="L215" s="26">
        <f t="shared" si="379"/>
        <v>1</v>
      </c>
      <c r="M215" s="54">
        <f t="shared" si="379"/>
        <v>0</v>
      </c>
      <c r="N215" s="26">
        <f t="shared" si="379"/>
        <v>0</v>
      </c>
      <c r="O215" s="26">
        <f t="shared" si="379"/>
        <v>1</v>
      </c>
      <c r="P215" s="26">
        <f t="shared" si="379"/>
        <v>0</v>
      </c>
      <c r="Q215" s="26">
        <f t="shared" si="379"/>
        <v>0</v>
      </c>
      <c r="R215" s="26">
        <f t="shared" si="379"/>
        <v>0</v>
      </c>
      <c r="S215" s="26">
        <f t="shared" si="379"/>
        <v>0</v>
      </c>
      <c r="T215" s="26">
        <f t="shared" si="379"/>
        <v>0</v>
      </c>
      <c r="U215" s="26">
        <f t="shared" si="379"/>
        <v>0</v>
      </c>
      <c r="V215" s="26">
        <f t="shared" si="379"/>
        <v>0</v>
      </c>
      <c r="W215" s="26">
        <f t="shared" si="379"/>
        <v>0</v>
      </c>
      <c r="X215" s="26">
        <f t="shared" si="379"/>
        <v>0</v>
      </c>
      <c r="Y215" s="26">
        <f t="shared" si="379"/>
        <v>0</v>
      </c>
      <c r="Z215" s="26">
        <f t="shared" si="379"/>
        <v>0</v>
      </c>
      <c r="AA215" s="26">
        <f t="shared" si="379"/>
        <v>0</v>
      </c>
      <c r="AB215" s="26">
        <f t="shared" si="379"/>
        <v>0</v>
      </c>
      <c r="AC215" s="26">
        <f t="shared" si="379"/>
        <v>0</v>
      </c>
      <c r="AD215" s="26">
        <f t="shared" si="379"/>
        <v>2</v>
      </c>
      <c r="AE215" s="26" t="str">
        <f t="shared" si="379"/>
        <v/>
      </c>
      <c r="AF215" s="26" t="str">
        <f t="shared" si="379"/>
        <v/>
      </c>
      <c r="AG215" s="26" t="str">
        <f t="shared" si="379"/>
        <v/>
      </c>
      <c r="AH215" s="26" t="str">
        <f t="shared" si="379"/>
        <v/>
      </c>
      <c r="AI215" s="26" t="str">
        <f t="shared" si="379"/>
        <v/>
      </c>
      <c r="AJ215" s="26" t="str">
        <f t="shared" si="379"/>
        <v/>
      </c>
      <c r="AK215" s="26" t="str">
        <f t="shared" si="379"/>
        <v/>
      </c>
      <c r="AL215" s="26" t="str">
        <f t="shared" si="379"/>
        <v/>
      </c>
      <c r="AM215" s="26" t="str">
        <f t="shared" si="379"/>
        <v/>
      </c>
      <c r="AN215" s="26" t="str">
        <f t="shared" ref="AN215:AS215" si="380">IF(AN$3="","",AN208-AM208)</f>
        <v/>
      </c>
      <c r="AO215" s="26" t="str">
        <f t="shared" si="380"/>
        <v/>
      </c>
      <c r="AP215" s="26" t="str">
        <f t="shared" si="380"/>
        <v/>
      </c>
      <c r="AQ215" s="26" t="str">
        <f t="shared" si="380"/>
        <v/>
      </c>
      <c r="AR215" s="26" t="str">
        <f t="shared" si="380"/>
        <v/>
      </c>
      <c r="AS215" s="26" t="str">
        <f t="shared" si="380"/>
        <v/>
      </c>
    </row>
    <row r="216" spans="1:45" s="1" customFormat="1" ht="11">
      <c r="A216" s="7">
        <f>SUM(C216:AS216)</f>
        <v>11</v>
      </c>
      <c r="B216" s="27" t="s">
        <v>17</v>
      </c>
      <c r="C216" s="65">
        <v>0</v>
      </c>
      <c r="D216" s="26">
        <f t="shared" ref="D216:AM216" si="381">IF(D$3="","",C209+C210-D209)</f>
        <v>0</v>
      </c>
      <c r="E216" s="26">
        <f t="shared" si="381"/>
        <v>1</v>
      </c>
      <c r="F216" s="54">
        <f t="shared" si="381"/>
        <v>0</v>
      </c>
      <c r="G216" s="26">
        <f t="shared" si="381"/>
        <v>0</v>
      </c>
      <c r="H216" s="26">
        <f t="shared" si="381"/>
        <v>3</v>
      </c>
      <c r="I216" s="54">
        <f t="shared" si="381"/>
        <v>0</v>
      </c>
      <c r="J216" s="26">
        <f t="shared" si="381"/>
        <v>0</v>
      </c>
      <c r="K216" s="26">
        <f t="shared" si="381"/>
        <v>0</v>
      </c>
      <c r="L216" s="26">
        <f t="shared" si="381"/>
        <v>1</v>
      </c>
      <c r="M216" s="54">
        <f t="shared" si="381"/>
        <v>0</v>
      </c>
      <c r="N216" s="26">
        <f t="shared" si="381"/>
        <v>0</v>
      </c>
      <c r="O216" s="26">
        <f t="shared" si="381"/>
        <v>1</v>
      </c>
      <c r="P216" s="26">
        <f t="shared" si="381"/>
        <v>0</v>
      </c>
      <c r="Q216" s="26">
        <f t="shared" si="381"/>
        <v>0</v>
      </c>
      <c r="R216" s="26">
        <f t="shared" si="381"/>
        <v>0</v>
      </c>
      <c r="S216" s="26">
        <f t="shared" si="381"/>
        <v>0</v>
      </c>
      <c r="T216" s="26">
        <f t="shared" si="381"/>
        <v>0</v>
      </c>
      <c r="U216" s="26">
        <f t="shared" si="381"/>
        <v>0</v>
      </c>
      <c r="V216" s="26">
        <f t="shared" si="381"/>
        <v>2</v>
      </c>
      <c r="W216" s="26">
        <f t="shared" si="381"/>
        <v>0</v>
      </c>
      <c r="X216" s="26">
        <f t="shared" si="381"/>
        <v>0</v>
      </c>
      <c r="Y216" s="26">
        <f t="shared" si="381"/>
        <v>0</v>
      </c>
      <c r="Z216" s="26">
        <f t="shared" si="381"/>
        <v>0</v>
      </c>
      <c r="AA216" s="26">
        <f t="shared" si="381"/>
        <v>0</v>
      </c>
      <c r="AB216" s="26">
        <f t="shared" si="381"/>
        <v>0</v>
      </c>
      <c r="AC216" s="26">
        <f t="shared" si="381"/>
        <v>0</v>
      </c>
      <c r="AD216" s="26">
        <f t="shared" si="381"/>
        <v>3</v>
      </c>
      <c r="AE216" s="26" t="str">
        <f t="shared" si="381"/>
        <v/>
      </c>
      <c r="AF216" s="26" t="str">
        <f t="shared" si="381"/>
        <v/>
      </c>
      <c r="AG216" s="26" t="str">
        <f t="shared" si="381"/>
        <v/>
      </c>
      <c r="AH216" s="26" t="str">
        <f t="shared" si="381"/>
        <v/>
      </c>
      <c r="AI216" s="26" t="str">
        <f t="shared" si="381"/>
        <v/>
      </c>
      <c r="AJ216" s="26" t="str">
        <f t="shared" si="381"/>
        <v/>
      </c>
      <c r="AK216" s="26" t="str">
        <f t="shared" si="381"/>
        <v/>
      </c>
      <c r="AL216" s="26" t="str">
        <f t="shared" si="381"/>
        <v/>
      </c>
      <c r="AM216" s="26" t="str">
        <f t="shared" si="381"/>
        <v/>
      </c>
      <c r="AN216" s="26" t="str">
        <f t="shared" ref="AN216:AS216" si="382">IF(AN$3="","",AM209+AM210-AN209)</f>
        <v/>
      </c>
      <c r="AO216" s="26" t="str">
        <f t="shared" si="382"/>
        <v/>
      </c>
      <c r="AP216" s="26" t="str">
        <f t="shared" si="382"/>
        <v/>
      </c>
      <c r="AQ216" s="26" t="str">
        <f t="shared" si="382"/>
        <v/>
      </c>
      <c r="AR216" s="26" t="str">
        <f t="shared" si="382"/>
        <v/>
      </c>
      <c r="AS216" s="26" t="str">
        <f t="shared" si="382"/>
        <v/>
      </c>
    </row>
    <row r="217" spans="1:45" s="1" customFormat="1" ht="11">
      <c r="A217" s="7">
        <f>SUM(C217:AS217)</f>
        <v>4400</v>
      </c>
      <c r="B217" s="27" t="s">
        <v>18</v>
      </c>
      <c r="C217" s="65">
        <v>0</v>
      </c>
      <c r="D217" s="26">
        <f t="shared" ref="D217:AM217" si="383">IF(D$3="","",D216*D211)</f>
        <v>0</v>
      </c>
      <c r="E217" s="26">
        <f t="shared" si="383"/>
        <v>400</v>
      </c>
      <c r="F217" s="54">
        <f t="shared" si="383"/>
        <v>0</v>
      </c>
      <c r="G217" s="26">
        <f t="shared" si="383"/>
        <v>0</v>
      </c>
      <c r="H217" s="26">
        <f t="shared" si="383"/>
        <v>1200</v>
      </c>
      <c r="I217" s="54">
        <f t="shared" si="383"/>
        <v>0</v>
      </c>
      <c r="J217" s="26">
        <f t="shared" si="383"/>
        <v>0</v>
      </c>
      <c r="K217" s="26">
        <f t="shared" si="383"/>
        <v>0</v>
      </c>
      <c r="L217" s="26">
        <f t="shared" si="383"/>
        <v>400</v>
      </c>
      <c r="M217" s="54">
        <f t="shared" si="383"/>
        <v>0</v>
      </c>
      <c r="N217" s="26">
        <f t="shared" si="383"/>
        <v>0</v>
      </c>
      <c r="O217" s="26">
        <f t="shared" si="383"/>
        <v>400</v>
      </c>
      <c r="P217" s="26">
        <f t="shared" si="383"/>
        <v>0</v>
      </c>
      <c r="Q217" s="26">
        <f t="shared" si="383"/>
        <v>0</v>
      </c>
      <c r="R217" s="26">
        <f t="shared" si="383"/>
        <v>0</v>
      </c>
      <c r="S217" s="26">
        <f t="shared" si="383"/>
        <v>0</v>
      </c>
      <c r="T217" s="26">
        <f t="shared" si="383"/>
        <v>0</v>
      </c>
      <c r="U217" s="26">
        <f t="shared" si="383"/>
        <v>0</v>
      </c>
      <c r="V217" s="26">
        <f t="shared" si="383"/>
        <v>800</v>
      </c>
      <c r="W217" s="26">
        <f t="shared" si="383"/>
        <v>0</v>
      </c>
      <c r="X217" s="26">
        <f t="shared" si="383"/>
        <v>0</v>
      </c>
      <c r="Y217" s="26">
        <f t="shared" si="383"/>
        <v>0</v>
      </c>
      <c r="Z217" s="26">
        <f t="shared" si="383"/>
        <v>0</v>
      </c>
      <c r="AA217" s="26">
        <f t="shared" si="383"/>
        <v>0</v>
      </c>
      <c r="AB217" s="26">
        <f t="shared" si="383"/>
        <v>0</v>
      </c>
      <c r="AC217" s="26">
        <f t="shared" si="383"/>
        <v>0</v>
      </c>
      <c r="AD217" s="26">
        <f t="shared" si="383"/>
        <v>1200</v>
      </c>
      <c r="AE217" s="26" t="str">
        <f t="shared" si="383"/>
        <v/>
      </c>
      <c r="AF217" s="26" t="str">
        <f t="shared" si="383"/>
        <v/>
      </c>
      <c r="AG217" s="26" t="str">
        <f t="shared" si="383"/>
        <v/>
      </c>
      <c r="AH217" s="26" t="str">
        <f t="shared" si="383"/>
        <v/>
      </c>
      <c r="AI217" s="26" t="str">
        <f t="shared" si="383"/>
        <v/>
      </c>
      <c r="AJ217" s="26" t="str">
        <f t="shared" si="383"/>
        <v/>
      </c>
      <c r="AK217" s="26" t="str">
        <f t="shared" si="383"/>
        <v/>
      </c>
      <c r="AL217" s="26" t="str">
        <f t="shared" si="383"/>
        <v/>
      </c>
      <c r="AM217" s="26" t="str">
        <f t="shared" si="383"/>
        <v/>
      </c>
      <c r="AN217" s="26" t="str">
        <f t="shared" ref="AN217:AS217" si="384">IF(AN$3="","",AN216*AN211)</f>
        <v/>
      </c>
      <c r="AO217" s="26" t="str">
        <f t="shared" si="384"/>
        <v/>
      </c>
      <c r="AP217" s="26" t="str">
        <f t="shared" si="384"/>
        <v/>
      </c>
      <c r="AQ217" s="26" t="str">
        <f t="shared" si="384"/>
        <v/>
      </c>
      <c r="AR217" s="26" t="str">
        <f t="shared" si="384"/>
        <v/>
      </c>
      <c r="AS217" s="26" t="str">
        <f t="shared" si="384"/>
        <v/>
      </c>
    </row>
    <row r="218" spans="1:45" s="1" customFormat="1" ht="12" thickBot="1">
      <c r="A218" s="4">
        <f>IF(A217="","",A217/(A214*100))</f>
        <v>6.3037249283667621E-2</v>
      </c>
      <c r="B218" s="27" t="s">
        <v>20</v>
      </c>
      <c r="C218" s="68" t="s">
        <v>21</v>
      </c>
      <c r="D218" s="44" t="str">
        <f t="shared" ref="D218:AM218" si="385">IF(D$3="","",IF(D217=0,"",D217/(D214*100)))</f>
        <v/>
      </c>
      <c r="E218" s="44">
        <f t="shared" si="385"/>
        <v>0.13333333333333333</v>
      </c>
      <c r="F218" s="132" t="str">
        <f t="shared" si="385"/>
        <v/>
      </c>
      <c r="G218" s="44" t="str">
        <f t="shared" si="385"/>
        <v/>
      </c>
      <c r="H218" s="44">
        <f t="shared" si="385"/>
        <v>0.1348314606741573</v>
      </c>
      <c r="I218" s="132" t="str">
        <f t="shared" si="385"/>
        <v/>
      </c>
      <c r="J218" s="44" t="str">
        <f t="shared" si="385"/>
        <v/>
      </c>
      <c r="K218" s="44" t="str">
        <f t="shared" si="385"/>
        <v/>
      </c>
      <c r="L218" s="44">
        <f t="shared" si="385"/>
        <v>2.8985507246376812E-2</v>
      </c>
      <c r="M218" s="132" t="str">
        <f t="shared" si="385"/>
        <v/>
      </c>
      <c r="N218" s="44" t="str">
        <f t="shared" si="385"/>
        <v/>
      </c>
      <c r="O218" s="44">
        <f t="shared" si="385"/>
        <v>4.5977011494252873E-2</v>
      </c>
      <c r="P218" s="44" t="str">
        <f t="shared" si="385"/>
        <v/>
      </c>
      <c r="Q218" s="44" t="str">
        <f t="shared" si="385"/>
        <v/>
      </c>
      <c r="R218" s="44" t="str">
        <f t="shared" si="385"/>
        <v/>
      </c>
      <c r="S218" s="44" t="str">
        <f t="shared" si="385"/>
        <v/>
      </c>
      <c r="T218" s="44" t="str">
        <f t="shared" si="385"/>
        <v/>
      </c>
      <c r="U218" s="44" t="str">
        <f t="shared" si="385"/>
        <v/>
      </c>
      <c r="V218" s="44">
        <f t="shared" si="385"/>
        <v>7.2072072072072071E-2</v>
      </c>
      <c r="W218" s="44" t="str">
        <f t="shared" si="385"/>
        <v/>
      </c>
      <c r="X218" s="44" t="str">
        <f t="shared" si="385"/>
        <v/>
      </c>
      <c r="Y218" s="44" t="str">
        <f t="shared" si="385"/>
        <v/>
      </c>
      <c r="Z218" s="44" t="str">
        <f t="shared" si="385"/>
        <v/>
      </c>
      <c r="AA218" s="44" t="str">
        <f t="shared" si="385"/>
        <v/>
      </c>
      <c r="AB218" s="44" t="str">
        <f t="shared" si="385"/>
        <v/>
      </c>
      <c r="AC218" s="44" t="str">
        <f t="shared" si="385"/>
        <v/>
      </c>
      <c r="AD218" s="44">
        <f t="shared" si="385"/>
        <v>6.1224489795918366E-2</v>
      </c>
      <c r="AE218" s="44" t="str">
        <f t="shared" si="385"/>
        <v/>
      </c>
      <c r="AF218" s="44" t="str">
        <f t="shared" si="385"/>
        <v/>
      </c>
      <c r="AG218" s="44" t="str">
        <f t="shared" si="385"/>
        <v/>
      </c>
      <c r="AH218" s="44" t="str">
        <f t="shared" si="385"/>
        <v/>
      </c>
      <c r="AI218" s="44" t="str">
        <f t="shared" si="385"/>
        <v/>
      </c>
      <c r="AJ218" s="44" t="str">
        <f t="shared" si="385"/>
        <v/>
      </c>
      <c r="AK218" s="44" t="str">
        <f t="shared" si="385"/>
        <v/>
      </c>
      <c r="AL218" s="44" t="str">
        <f t="shared" si="385"/>
        <v/>
      </c>
      <c r="AM218" s="44" t="str">
        <f t="shared" si="385"/>
        <v/>
      </c>
      <c r="AN218" s="44" t="str">
        <f t="shared" ref="AN218:AS218" si="386">IF(AN$3="","",IF(AN217=0,"",AN217/(AN214*100)))</f>
        <v/>
      </c>
      <c r="AO218" s="44" t="str">
        <f t="shared" si="386"/>
        <v/>
      </c>
      <c r="AP218" s="44" t="str">
        <f t="shared" si="386"/>
        <v/>
      </c>
      <c r="AQ218" s="44" t="str">
        <f t="shared" si="386"/>
        <v/>
      </c>
      <c r="AR218" s="44" t="str">
        <f t="shared" si="386"/>
        <v/>
      </c>
      <c r="AS218" s="44" t="str">
        <f t="shared" si="386"/>
        <v/>
      </c>
    </row>
    <row r="219" spans="1:45" s="1" customFormat="1" ht="11">
      <c r="A219" s="17" t="s">
        <v>113</v>
      </c>
      <c r="B219" s="42" t="s">
        <v>2</v>
      </c>
      <c r="C219" s="64">
        <v>4102</v>
      </c>
      <c r="D219" s="35">
        <f>IF(D$3="","",C219)</f>
        <v>4102</v>
      </c>
      <c r="E219" s="35">
        <v>4120</v>
      </c>
      <c r="F219" s="128">
        <f>IF(F$3="","",E219)</f>
        <v>4120</v>
      </c>
      <c r="G219" s="35">
        <f>IF(G$3="","",F219)</f>
        <v>4120</v>
      </c>
      <c r="H219" s="35">
        <v>4249</v>
      </c>
      <c r="I219" s="128">
        <f t="shared" ref="I219:K220" si="387">IF(I$3="","",H219)</f>
        <v>4249</v>
      </c>
      <c r="J219" s="35">
        <f t="shared" si="387"/>
        <v>4249</v>
      </c>
      <c r="K219" s="35">
        <f t="shared" si="387"/>
        <v>4249</v>
      </c>
      <c r="L219" s="35">
        <v>4360</v>
      </c>
      <c r="M219" s="128">
        <f>IF(M$3="","",L219)</f>
        <v>4360</v>
      </c>
      <c r="N219" s="35">
        <f>IF(N$3="","",M219)</f>
        <v>4360</v>
      </c>
      <c r="O219" s="35">
        <v>4471</v>
      </c>
      <c r="P219" s="35">
        <f t="shared" ref="P219:AM219" si="388">IF(P$3="","",O219)</f>
        <v>4471</v>
      </c>
      <c r="Q219" s="35">
        <f t="shared" si="388"/>
        <v>4471</v>
      </c>
      <c r="R219" s="35">
        <f t="shared" si="388"/>
        <v>4471</v>
      </c>
      <c r="S219" s="35">
        <v>4545</v>
      </c>
      <c r="T219" s="35">
        <f t="shared" si="388"/>
        <v>4545</v>
      </c>
      <c r="U219" s="35">
        <f t="shared" si="388"/>
        <v>4545</v>
      </c>
      <c r="V219" s="35">
        <v>4619</v>
      </c>
      <c r="W219" s="35">
        <f t="shared" si="388"/>
        <v>4619</v>
      </c>
      <c r="X219" s="35">
        <f t="shared" si="388"/>
        <v>4619</v>
      </c>
      <c r="Y219" s="35">
        <f t="shared" si="388"/>
        <v>4619</v>
      </c>
      <c r="Z219" s="35">
        <f t="shared" si="388"/>
        <v>4619</v>
      </c>
      <c r="AA219" s="35">
        <f t="shared" si="388"/>
        <v>4619</v>
      </c>
      <c r="AB219" s="35">
        <f t="shared" si="388"/>
        <v>4619</v>
      </c>
      <c r="AC219" s="35">
        <f t="shared" si="388"/>
        <v>4619</v>
      </c>
      <c r="AD219" s="35">
        <v>4856</v>
      </c>
      <c r="AE219" s="35" t="str">
        <f t="shared" si="388"/>
        <v/>
      </c>
      <c r="AF219" s="35" t="str">
        <f t="shared" si="388"/>
        <v/>
      </c>
      <c r="AG219" s="35" t="str">
        <f t="shared" si="388"/>
        <v/>
      </c>
      <c r="AH219" s="35" t="str">
        <f t="shared" si="388"/>
        <v/>
      </c>
      <c r="AI219" s="35" t="str">
        <f t="shared" si="388"/>
        <v/>
      </c>
      <c r="AJ219" s="35" t="str">
        <f t="shared" si="388"/>
        <v/>
      </c>
      <c r="AK219" s="35" t="str">
        <f t="shared" si="388"/>
        <v/>
      </c>
      <c r="AL219" s="35" t="str">
        <f t="shared" si="388"/>
        <v/>
      </c>
      <c r="AM219" s="35" t="str">
        <f t="shared" si="388"/>
        <v/>
      </c>
      <c r="AN219" s="35" t="str">
        <f t="shared" ref="AN219:AS219" si="389">IF(AN$3="","",AM219)</f>
        <v/>
      </c>
      <c r="AO219" s="35" t="str">
        <f t="shared" si="389"/>
        <v/>
      </c>
      <c r="AP219" s="35" t="str">
        <f t="shared" si="389"/>
        <v/>
      </c>
      <c r="AQ219" s="35" t="str">
        <f t="shared" si="389"/>
        <v/>
      </c>
      <c r="AR219" s="35" t="str">
        <f t="shared" si="389"/>
        <v/>
      </c>
      <c r="AS219" s="35" t="str">
        <f t="shared" si="389"/>
        <v/>
      </c>
    </row>
    <row r="220" spans="1:45" s="1" customFormat="1" ht="11">
      <c r="A220" s="16" t="s">
        <v>123</v>
      </c>
      <c r="B220" s="30" t="s">
        <v>4</v>
      </c>
      <c r="C220" s="65">
        <v>145</v>
      </c>
      <c r="D220" s="29">
        <f>IF(D$3="","",C220)</f>
        <v>145</v>
      </c>
      <c r="E220" s="29">
        <v>146</v>
      </c>
      <c r="F220" s="54">
        <f>IF(F$3="","",E220)</f>
        <v>146</v>
      </c>
      <c r="G220" s="29">
        <f>IF(G$3="","",F220)</f>
        <v>146</v>
      </c>
      <c r="H220" s="29">
        <v>153</v>
      </c>
      <c r="I220" s="54">
        <f t="shared" si="387"/>
        <v>153</v>
      </c>
      <c r="J220" s="29">
        <f t="shared" si="387"/>
        <v>153</v>
      </c>
      <c r="K220" s="29">
        <f t="shared" si="387"/>
        <v>153</v>
      </c>
      <c r="L220" s="29">
        <v>157</v>
      </c>
      <c r="M220" s="54">
        <f>IF(M$3="","",L220)</f>
        <v>157</v>
      </c>
      <c r="N220" s="29">
        <f>IF(N$3="","",M220)</f>
        <v>157</v>
      </c>
      <c r="O220" s="29">
        <v>161</v>
      </c>
      <c r="P220" s="29">
        <f t="shared" ref="P220:AM220" si="390">IF(P$3="","",O220)</f>
        <v>161</v>
      </c>
      <c r="Q220" s="29">
        <f t="shared" si="390"/>
        <v>161</v>
      </c>
      <c r="R220" s="29">
        <f t="shared" si="390"/>
        <v>161</v>
      </c>
      <c r="S220" s="29">
        <v>166</v>
      </c>
      <c r="T220" s="29">
        <f t="shared" si="390"/>
        <v>166</v>
      </c>
      <c r="U220" s="29">
        <f t="shared" si="390"/>
        <v>166</v>
      </c>
      <c r="V220" s="29">
        <v>168</v>
      </c>
      <c r="W220" s="29">
        <f t="shared" si="390"/>
        <v>168</v>
      </c>
      <c r="X220" s="29">
        <f t="shared" si="390"/>
        <v>168</v>
      </c>
      <c r="Y220" s="29">
        <f t="shared" si="390"/>
        <v>168</v>
      </c>
      <c r="Z220" s="29">
        <f t="shared" si="390"/>
        <v>168</v>
      </c>
      <c r="AA220" s="29">
        <f t="shared" si="390"/>
        <v>168</v>
      </c>
      <c r="AB220" s="29">
        <f t="shared" si="390"/>
        <v>168</v>
      </c>
      <c r="AC220" s="29">
        <f t="shared" si="390"/>
        <v>168</v>
      </c>
      <c r="AD220" s="29">
        <v>183</v>
      </c>
      <c r="AE220" s="29" t="str">
        <f t="shared" si="390"/>
        <v/>
      </c>
      <c r="AF220" s="29" t="str">
        <f t="shared" si="390"/>
        <v/>
      </c>
      <c r="AG220" s="29" t="str">
        <f t="shared" si="390"/>
        <v/>
      </c>
      <c r="AH220" s="29" t="str">
        <f t="shared" si="390"/>
        <v/>
      </c>
      <c r="AI220" s="29" t="str">
        <f t="shared" si="390"/>
        <v/>
      </c>
      <c r="AJ220" s="29" t="str">
        <f t="shared" si="390"/>
        <v/>
      </c>
      <c r="AK220" s="29" t="str">
        <f t="shared" si="390"/>
        <v/>
      </c>
      <c r="AL220" s="29" t="str">
        <f t="shared" si="390"/>
        <v/>
      </c>
      <c r="AM220" s="29" t="str">
        <f t="shared" si="390"/>
        <v/>
      </c>
      <c r="AN220" s="29" t="str">
        <f t="shared" ref="AN220:AS220" si="391">IF(AN$3="","",AM220)</f>
        <v/>
      </c>
      <c r="AO220" s="29" t="str">
        <f t="shared" si="391"/>
        <v/>
      </c>
      <c r="AP220" s="29" t="str">
        <f t="shared" si="391"/>
        <v/>
      </c>
      <c r="AQ220" s="29" t="str">
        <f t="shared" si="391"/>
        <v/>
      </c>
      <c r="AR220" s="29" t="str">
        <f t="shared" si="391"/>
        <v/>
      </c>
      <c r="AS220" s="29" t="str">
        <f t="shared" si="391"/>
        <v/>
      </c>
    </row>
    <row r="221" spans="1:45" s="1" customFormat="1" ht="11">
      <c r="A221" s="15">
        <v>4</v>
      </c>
      <c r="B221" s="30" t="s">
        <v>5</v>
      </c>
      <c r="C221" s="65">
        <v>147</v>
      </c>
      <c r="D221" s="29">
        <f>IF(D$3="","",(C221+C222))</f>
        <v>147</v>
      </c>
      <c r="E221" s="29">
        <v>146</v>
      </c>
      <c r="F221" s="54">
        <f>IF(F$3="","",(E221+E222))</f>
        <v>196</v>
      </c>
      <c r="G221" s="29">
        <f>IF(G$3="","",(F221+F222))</f>
        <v>196</v>
      </c>
      <c r="H221" s="29">
        <v>189</v>
      </c>
      <c r="I221" s="54">
        <f>IF(I$3="","",(H221+H222))</f>
        <v>189</v>
      </c>
      <c r="J221" s="29">
        <f>IF(J$3="","",(I221+I222))</f>
        <v>189</v>
      </c>
      <c r="K221" s="29">
        <f>IF(K$3="","",(J221+J222))</f>
        <v>189</v>
      </c>
      <c r="L221" s="29">
        <v>185</v>
      </c>
      <c r="M221" s="54">
        <f>IF(M$3="","",(L221+L222))</f>
        <v>185</v>
      </c>
      <c r="N221" s="29">
        <f>IF(N$3="","",(M221+M222))</f>
        <v>185</v>
      </c>
      <c r="O221" s="29">
        <v>181</v>
      </c>
      <c r="P221" s="29">
        <f t="shared" ref="P221:AM221" si="392">IF(P$3="","",(O221+O222))</f>
        <v>181</v>
      </c>
      <c r="Q221" s="29">
        <f t="shared" si="392"/>
        <v>181</v>
      </c>
      <c r="R221" s="29">
        <f t="shared" si="392"/>
        <v>181</v>
      </c>
      <c r="S221" s="29">
        <v>176</v>
      </c>
      <c r="T221" s="29">
        <f t="shared" si="392"/>
        <v>176</v>
      </c>
      <c r="U221" s="29">
        <f t="shared" si="392"/>
        <v>176</v>
      </c>
      <c r="V221" s="29">
        <v>174</v>
      </c>
      <c r="W221" s="29">
        <f t="shared" si="392"/>
        <v>174</v>
      </c>
      <c r="X221" s="29">
        <f t="shared" si="392"/>
        <v>174</v>
      </c>
      <c r="Y221" s="29">
        <f t="shared" si="392"/>
        <v>174</v>
      </c>
      <c r="Z221" s="29">
        <f t="shared" si="392"/>
        <v>174</v>
      </c>
      <c r="AA221" s="29">
        <f t="shared" si="392"/>
        <v>174</v>
      </c>
      <c r="AB221" s="29">
        <f t="shared" si="392"/>
        <v>174</v>
      </c>
      <c r="AC221" s="29">
        <f t="shared" si="392"/>
        <v>174</v>
      </c>
      <c r="AD221" s="29">
        <v>159</v>
      </c>
      <c r="AE221" s="29" t="str">
        <f t="shared" si="392"/>
        <v/>
      </c>
      <c r="AF221" s="29" t="str">
        <f t="shared" si="392"/>
        <v/>
      </c>
      <c r="AG221" s="29" t="str">
        <f t="shared" si="392"/>
        <v/>
      </c>
      <c r="AH221" s="29" t="str">
        <f t="shared" si="392"/>
        <v/>
      </c>
      <c r="AI221" s="29" t="str">
        <f t="shared" si="392"/>
        <v/>
      </c>
      <c r="AJ221" s="29" t="str">
        <f t="shared" si="392"/>
        <v/>
      </c>
      <c r="AK221" s="29" t="str">
        <f t="shared" si="392"/>
        <v/>
      </c>
      <c r="AL221" s="29" t="str">
        <f t="shared" si="392"/>
        <v/>
      </c>
      <c r="AM221" s="29" t="str">
        <f t="shared" si="392"/>
        <v/>
      </c>
      <c r="AN221" s="29" t="str">
        <f t="shared" ref="AN221:AS221" si="393">IF(AN$3="","",(AM221+AM222))</f>
        <v/>
      </c>
      <c r="AO221" s="29" t="str">
        <f t="shared" si="393"/>
        <v/>
      </c>
      <c r="AP221" s="29" t="str">
        <f t="shared" si="393"/>
        <v/>
      </c>
      <c r="AQ221" s="29" t="str">
        <f t="shared" si="393"/>
        <v/>
      </c>
      <c r="AR221" s="29" t="str">
        <f t="shared" si="393"/>
        <v/>
      </c>
      <c r="AS221" s="29" t="str">
        <f t="shared" si="393"/>
        <v/>
      </c>
    </row>
    <row r="222" spans="1:45" s="1" customFormat="1" ht="11">
      <c r="A222" s="14"/>
      <c r="B222" s="30" t="s">
        <v>7</v>
      </c>
      <c r="C222" s="65"/>
      <c r="D222" s="29"/>
      <c r="E222" s="29">
        <v>50</v>
      </c>
      <c r="F222" s="54"/>
      <c r="G222" s="29"/>
      <c r="H222" s="29"/>
      <c r="I222" s="54"/>
      <c r="J222" s="29"/>
      <c r="K222" s="29"/>
      <c r="L222" s="29"/>
      <c r="M222" s="54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 spans="1:45" s="1" customFormat="1" ht="11">
      <c r="A223" s="7"/>
      <c r="B223" s="30" t="s">
        <v>8</v>
      </c>
      <c r="C223" s="64">
        <v>300</v>
      </c>
      <c r="D223" s="35">
        <f t="shared" ref="D223:AM223" si="394">IF(D$3="","",C223)</f>
        <v>300</v>
      </c>
      <c r="E223" s="35">
        <f t="shared" si="394"/>
        <v>300</v>
      </c>
      <c r="F223" s="128">
        <f t="shared" si="394"/>
        <v>300</v>
      </c>
      <c r="G223" s="35">
        <f t="shared" si="394"/>
        <v>300</v>
      </c>
      <c r="H223" s="35">
        <f t="shared" si="394"/>
        <v>300</v>
      </c>
      <c r="I223" s="128">
        <f t="shared" si="394"/>
        <v>300</v>
      </c>
      <c r="J223" s="35">
        <f t="shared" si="394"/>
        <v>300</v>
      </c>
      <c r="K223" s="35">
        <f t="shared" si="394"/>
        <v>300</v>
      </c>
      <c r="L223" s="35">
        <f t="shared" si="394"/>
        <v>300</v>
      </c>
      <c r="M223" s="128">
        <f t="shared" si="394"/>
        <v>300</v>
      </c>
      <c r="N223" s="35">
        <f t="shared" si="394"/>
        <v>300</v>
      </c>
      <c r="O223" s="35">
        <f t="shared" si="394"/>
        <v>300</v>
      </c>
      <c r="P223" s="35">
        <f t="shared" si="394"/>
        <v>300</v>
      </c>
      <c r="Q223" s="35">
        <f t="shared" si="394"/>
        <v>300</v>
      </c>
      <c r="R223" s="35">
        <f t="shared" si="394"/>
        <v>300</v>
      </c>
      <c r="S223" s="35">
        <f t="shared" si="394"/>
        <v>300</v>
      </c>
      <c r="T223" s="35">
        <f t="shared" si="394"/>
        <v>300</v>
      </c>
      <c r="U223" s="35">
        <f t="shared" si="394"/>
        <v>300</v>
      </c>
      <c r="V223" s="35">
        <f t="shared" si="394"/>
        <v>300</v>
      </c>
      <c r="W223" s="35">
        <f t="shared" si="394"/>
        <v>300</v>
      </c>
      <c r="X223" s="35">
        <f t="shared" si="394"/>
        <v>300</v>
      </c>
      <c r="Y223" s="35">
        <f t="shared" si="394"/>
        <v>300</v>
      </c>
      <c r="Z223" s="35">
        <f t="shared" si="394"/>
        <v>300</v>
      </c>
      <c r="AA223" s="35">
        <f t="shared" si="394"/>
        <v>300</v>
      </c>
      <c r="AB223" s="35">
        <f t="shared" si="394"/>
        <v>300</v>
      </c>
      <c r="AC223" s="35">
        <f t="shared" si="394"/>
        <v>300</v>
      </c>
      <c r="AD223" s="35">
        <f t="shared" si="394"/>
        <v>300</v>
      </c>
      <c r="AE223" s="35" t="str">
        <f t="shared" si="394"/>
        <v/>
      </c>
      <c r="AF223" s="35" t="str">
        <f t="shared" si="394"/>
        <v/>
      </c>
      <c r="AG223" s="35" t="str">
        <f t="shared" si="394"/>
        <v/>
      </c>
      <c r="AH223" s="35" t="str">
        <f t="shared" si="394"/>
        <v/>
      </c>
      <c r="AI223" s="35" t="str">
        <f t="shared" si="394"/>
        <v/>
      </c>
      <c r="AJ223" s="35" t="str">
        <f t="shared" si="394"/>
        <v/>
      </c>
      <c r="AK223" s="35" t="str">
        <f t="shared" si="394"/>
        <v/>
      </c>
      <c r="AL223" s="35" t="str">
        <f t="shared" si="394"/>
        <v/>
      </c>
      <c r="AM223" s="35" t="str">
        <f t="shared" si="394"/>
        <v/>
      </c>
      <c r="AN223" s="35" t="str">
        <f t="shared" ref="AN223:AS223" si="395">IF(AN$3="","",AM223)</f>
        <v/>
      </c>
      <c r="AO223" s="35" t="str">
        <f t="shared" si="395"/>
        <v/>
      </c>
      <c r="AP223" s="35" t="str">
        <f t="shared" si="395"/>
        <v/>
      </c>
      <c r="AQ223" s="35" t="str">
        <f t="shared" si="395"/>
        <v/>
      </c>
      <c r="AR223" s="35" t="str">
        <f t="shared" si="395"/>
        <v/>
      </c>
      <c r="AS223" s="35" t="str">
        <f t="shared" si="395"/>
        <v/>
      </c>
    </row>
    <row r="224" spans="1:45" s="94" customFormat="1" ht="11">
      <c r="A224" s="14" t="s">
        <v>9</v>
      </c>
      <c r="B224" s="33" t="s">
        <v>10</v>
      </c>
      <c r="C224" s="63" t="s">
        <v>103</v>
      </c>
      <c r="D224" s="32" t="str">
        <f t="shared" ref="D224:AM224" si="396">IF(D$3="","",C224)</f>
        <v>アングリーベア</v>
      </c>
      <c r="E224" s="32" t="str">
        <f t="shared" si="396"/>
        <v>アングリーベア</v>
      </c>
      <c r="F224" s="129" t="str">
        <f t="shared" si="396"/>
        <v>アングリーベア</v>
      </c>
      <c r="G224" s="32" t="str">
        <f t="shared" si="396"/>
        <v>アングリーベア</v>
      </c>
      <c r="H224" s="32" t="str">
        <f t="shared" si="396"/>
        <v>アングリーベア</v>
      </c>
      <c r="I224" s="129" t="str">
        <f t="shared" si="396"/>
        <v>アングリーベア</v>
      </c>
      <c r="J224" s="32" t="str">
        <f t="shared" si="396"/>
        <v>アングリーベア</v>
      </c>
      <c r="K224" s="32" t="str">
        <f t="shared" si="396"/>
        <v>アングリーベア</v>
      </c>
      <c r="L224" s="32" t="str">
        <f t="shared" si="396"/>
        <v>アングリーベア</v>
      </c>
      <c r="M224" s="129" t="str">
        <f t="shared" si="396"/>
        <v>アングリーベア</v>
      </c>
      <c r="N224" s="32" t="str">
        <f t="shared" si="396"/>
        <v>アングリーベア</v>
      </c>
      <c r="O224" s="32" t="str">
        <f t="shared" si="396"/>
        <v>アングリーベア</v>
      </c>
      <c r="P224" s="32" t="str">
        <f t="shared" si="396"/>
        <v>アングリーベア</v>
      </c>
      <c r="Q224" s="32" t="str">
        <f t="shared" si="396"/>
        <v>アングリーベア</v>
      </c>
      <c r="R224" s="32" t="str">
        <f t="shared" si="396"/>
        <v>アングリーベア</v>
      </c>
      <c r="S224" s="32" t="str">
        <f t="shared" si="396"/>
        <v>アングリーベア</v>
      </c>
      <c r="T224" s="32" t="str">
        <f t="shared" si="396"/>
        <v>アングリーベア</v>
      </c>
      <c r="U224" s="32" t="str">
        <f t="shared" si="396"/>
        <v>アングリーベア</v>
      </c>
      <c r="V224" s="32" t="str">
        <f t="shared" si="396"/>
        <v>アングリーベア</v>
      </c>
      <c r="W224" s="32" t="str">
        <f t="shared" si="396"/>
        <v>アングリーベア</v>
      </c>
      <c r="X224" s="32" t="str">
        <f t="shared" si="396"/>
        <v>アングリーベア</v>
      </c>
      <c r="Y224" s="32" t="str">
        <f t="shared" si="396"/>
        <v>アングリーベア</v>
      </c>
      <c r="Z224" s="32" t="str">
        <f t="shared" si="396"/>
        <v>アングリーベア</v>
      </c>
      <c r="AA224" s="32" t="str">
        <f t="shared" si="396"/>
        <v>アングリーベア</v>
      </c>
      <c r="AB224" s="32" t="str">
        <f t="shared" si="396"/>
        <v>アングリーベア</v>
      </c>
      <c r="AC224" s="32" t="str">
        <f t="shared" si="396"/>
        <v>アングリーベア</v>
      </c>
      <c r="AD224" s="32" t="str">
        <f t="shared" si="396"/>
        <v>アングリーベア</v>
      </c>
      <c r="AE224" s="32" t="str">
        <f t="shared" si="396"/>
        <v/>
      </c>
      <c r="AF224" s="32" t="str">
        <f t="shared" si="396"/>
        <v/>
      </c>
      <c r="AG224" s="32" t="str">
        <f t="shared" si="396"/>
        <v/>
      </c>
      <c r="AH224" s="32" t="str">
        <f t="shared" si="396"/>
        <v/>
      </c>
      <c r="AI224" s="32" t="str">
        <f t="shared" si="396"/>
        <v/>
      </c>
      <c r="AJ224" s="32" t="str">
        <f t="shared" si="396"/>
        <v/>
      </c>
      <c r="AK224" s="32" t="str">
        <f t="shared" si="396"/>
        <v/>
      </c>
      <c r="AL224" s="32" t="str">
        <f t="shared" si="396"/>
        <v/>
      </c>
      <c r="AM224" s="32" t="str">
        <f t="shared" si="396"/>
        <v/>
      </c>
      <c r="AN224" s="32" t="str">
        <f t="shared" ref="AN224:AS224" si="397">IF(AN$3="","",AM224)</f>
        <v/>
      </c>
      <c r="AO224" s="32" t="str">
        <f t="shared" si="397"/>
        <v/>
      </c>
      <c r="AP224" s="32" t="str">
        <f t="shared" si="397"/>
        <v/>
      </c>
      <c r="AQ224" s="32" t="str">
        <f t="shared" si="397"/>
        <v/>
      </c>
      <c r="AR224" s="32" t="str">
        <f t="shared" si="397"/>
        <v/>
      </c>
      <c r="AS224" s="32" t="str">
        <f t="shared" si="397"/>
        <v/>
      </c>
    </row>
    <row r="225" spans="1:45" s="1" customFormat="1" ht="11">
      <c r="A225" s="7">
        <f>AVERAGE(C226:AS226)*30*100</f>
        <v>80785.714285714275</v>
      </c>
      <c r="B225" s="30" t="s">
        <v>14</v>
      </c>
      <c r="C225" s="65"/>
      <c r="D225" s="29"/>
      <c r="E225" s="29"/>
      <c r="F225" s="54"/>
      <c r="G225" s="29"/>
      <c r="H225" s="29"/>
      <c r="I225" s="54"/>
      <c r="J225" s="29"/>
      <c r="K225" s="29"/>
      <c r="L225" s="29"/>
      <c r="M225" s="54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 spans="1:45" s="1" customFormat="1" ht="11">
      <c r="A226" s="7">
        <f>SUM(C226:AS226)</f>
        <v>754</v>
      </c>
      <c r="B226" s="27" t="s">
        <v>15</v>
      </c>
      <c r="C226" s="65">
        <v>0</v>
      </c>
      <c r="D226" s="26">
        <f t="shared" ref="D226:AM226" si="398">IF(D$3="","",D219-C219)</f>
        <v>0</v>
      </c>
      <c r="E226" s="26">
        <f t="shared" si="398"/>
        <v>18</v>
      </c>
      <c r="F226" s="54">
        <f t="shared" si="398"/>
        <v>0</v>
      </c>
      <c r="G226" s="26">
        <f t="shared" si="398"/>
        <v>0</v>
      </c>
      <c r="H226" s="26">
        <f t="shared" si="398"/>
        <v>129</v>
      </c>
      <c r="I226" s="54">
        <f t="shared" si="398"/>
        <v>0</v>
      </c>
      <c r="J226" s="26">
        <f t="shared" si="398"/>
        <v>0</v>
      </c>
      <c r="K226" s="26">
        <f t="shared" si="398"/>
        <v>0</v>
      </c>
      <c r="L226" s="26">
        <f t="shared" si="398"/>
        <v>111</v>
      </c>
      <c r="M226" s="54">
        <f t="shared" si="398"/>
        <v>0</v>
      </c>
      <c r="N226" s="26">
        <f t="shared" si="398"/>
        <v>0</v>
      </c>
      <c r="O226" s="26">
        <f t="shared" si="398"/>
        <v>111</v>
      </c>
      <c r="P226" s="26">
        <f t="shared" si="398"/>
        <v>0</v>
      </c>
      <c r="Q226" s="26">
        <f t="shared" si="398"/>
        <v>0</v>
      </c>
      <c r="R226" s="26">
        <f t="shared" si="398"/>
        <v>0</v>
      </c>
      <c r="S226" s="26">
        <f t="shared" si="398"/>
        <v>74</v>
      </c>
      <c r="T226" s="26">
        <f t="shared" si="398"/>
        <v>0</v>
      </c>
      <c r="U226" s="26">
        <f t="shared" si="398"/>
        <v>0</v>
      </c>
      <c r="V226" s="26">
        <f t="shared" si="398"/>
        <v>74</v>
      </c>
      <c r="W226" s="26">
        <f t="shared" si="398"/>
        <v>0</v>
      </c>
      <c r="X226" s="26">
        <f t="shared" si="398"/>
        <v>0</v>
      </c>
      <c r="Y226" s="26">
        <f t="shared" si="398"/>
        <v>0</v>
      </c>
      <c r="Z226" s="26">
        <f t="shared" si="398"/>
        <v>0</v>
      </c>
      <c r="AA226" s="26">
        <f t="shared" si="398"/>
        <v>0</v>
      </c>
      <c r="AB226" s="26">
        <f t="shared" si="398"/>
        <v>0</v>
      </c>
      <c r="AC226" s="26">
        <f t="shared" si="398"/>
        <v>0</v>
      </c>
      <c r="AD226" s="26">
        <f t="shared" si="398"/>
        <v>237</v>
      </c>
      <c r="AE226" s="26" t="str">
        <f t="shared" si="398"/>
        <v/>
      </c>
      <c r="AF226" s="26" t="str">
        <f t="shared" si="398"/>
        <v/>
      </c>
      <c r="AG226" s="26" t="str">
        <f t="shared" si="398"/>
        <v/>
      </c>
      <c r="AH226" s="26" t="str">
        <f t="shared" si="398"/>
        <v/>
      </c>
      <c r="AI226" s="26" t="str">
        <f t="shared" si="398"/>
        <v/>
      </c>
      <c r="AJ226" s="26" t="str">
        <f t="shared" si="398"/>
        <v/>
      </c>
      <c r="AK226" s="26" t="str">
        <f t="shared" si="398"/>
        <v/>
      </c>
      <c r="AL226" s="26" t="str">
        <f t="shared" si="398"/>
        <v/>
      </c>
      <c r="AM226" s="26" t="str">
        <f t="shared" si="398"/>
        <v/>
      </c>
      <c r="AN226" s="26" t="str">
        <f t="shared" ref="AN226:AS226" si="399">IF(AN$3="","",AN219-AM219)</f>
        <v/>
      </c>
      <c r="AO226" s="26" t="str">
        <f t="shared" si="399"/>
        <v/>
      </c>
      <c r="AP226" s="26" t="str">
        <f t="shared" si="399"/>
        <v/>
      </c>
      <c r="AQ226" s="26" t="str">
        <f t="shared" si="399"/>
        <v/>
      </c>
      <c r="AR226" s="26" t="str">
        <f t="shared" si="399"/>
        <v/>
      </c>
      <c r="AS226" s="26" t="str">
        <f t="shared" si="399"/>
        <v/>
      </c>
    </row>
    <row r="227" spans="1:45" s="1" customFormat="1" ht="11">
      <c r="A227" s="7">
        <f>SUM(C227:AS227)</f>
        <v>38</v>
      </c>
      <c r="B227" s="27" t="s">
        <v>16</v>
      </c>
      <c r="C227" s="65">
        <v>0</v>
      </c>
      <c r="D227" s="26">
        <f t="shared" ref="D227:AM227" si="400">IF(D$3="","",D220-C220)</f>
        <v>0</v>
      </c>
      <c r="E227" s="26">
        <f t="shared" si="400"/>
        <v>1</v>
      </c>
      <c r="F227" s="54">
        <f t="shared" si="400"/>
        <v>0</v>
      </c>
      <c r="G227" s="26">
        <f t="shared" si="400"/>
        <v>0</v>
      </c>
      <c r="H227" s="26">
        <f t="shared" si="400"/>
        <v>7</v>
      </c>
      <c r="I227" s="54">
        <f t="shared" si="400"/>
        <v>0</v>
      </c>
      <c r="J227" s="26">
        <f t="shared" si="400"/>
        <v>0</v>
      </c>
      <c r="K227" s="26">
        <f t="shared" si="400"/>
        <v>0</v>
      </c>
      <c r="L227" s="26">
        <f t="shared" si="400"/>
        <v>4</v>
      </c>
      <c r="M227" s="54">
        <f t="shared" si="400"/>
        <v>0</v>
      </c>
      <c r="N227" s="26">
        <f t="shared" si="400"/>
        <v>0</v>
      </c>
      <c r="O227" s="26">
        <f t="shared" si="400"/>
        <v>4</v>
      </c>
      <c r="P227" s="26">
        <f t="shared" si="400"/>
        <v>0</v>
      </c>
      <c r="Q227" s="26">
        <f t="shared" si="400"/>
        <v>0</v>
      </c>
      <c r="R227" s="26">
        <f t="shared" si="400"/>
        <v>0</v>
      </c>
      <c r="S227" s="26">
        <f t="shared" si="400"/>
        <v>5</v>
      </c>
      <c r="T227" s="26">
        <f t="shared" si="400"/>
        <v>0</v>
      </c>
      <c r="U227" s="26">
        <f t="shared" si="400"/>
        <v>0</v>
      </c>
      <c r="V227" s="26">
        <f t="shared" si="400"/>
        <v>2</v>
      </c>
      <c r="W227" s="26">
        <f t="shared" si="400"/>
        <v>0</v>
      </c>
      <c r="X227" s="26">
        <f t="shared" si="400"/>
        <v>0</v>
      </c>
      <c r="Y227" s="26">
        <f t="shared" si="400"/>
        <v>0</v>
      </c>
      <c r="Z227" s="26">
        <f t="shared" si="400"/>
        <v>0</v>
      </c>
      <c r="AA227" s="26">
        <f t="shared" si="400"/>
        <v>0</v>
      </c>
      <c r="AB227" s="26">
        <f t="shared" si="400"/>
        <v>0</v>
      </c>
      <c r="AC227" s="26">
        <f t="shared" si="400"/>
        <v>0</v>
      </c>
      <c r="AD227" s="26">
        <f t="shared" si="400"/>
        <v>15</v>
      </c>
      <c r="AE227" s="26" t="str">
        <f t="shared" si="400"/>
        <v/>
      </c>
      <c r="AF227" s="26" t="str">
        <f t="shared" si="400"/>
        <v/>
      </c>
      <c r="AG227" s="26" t="str">
        <f t="shared" si="400"/>
        <v/>
      </c>
      <c r="AH227" s="26" t="str">
        <f t="shared" si="400"/>
        <v/>
      </c>
      <c r="AI227" s="26" t="str">
        <f t="shared" si="400"/>
        <v/>
      </c>
      <c r="AJ227" s="26" t="str">
        <f t="shared" si="400"/>
        <v/>
      </c>
      <c r="AK227" s="26" t="str">
        <f t="shared" si="400"/>
        <v/>
      </c>
      <c r="AL227" s="26" t="str">
        <f t="shared" si="400"/>
        <v/>
      </c>
      <c r="AM227" s="26" t="str">
        <f t="shared" si="400"/>
        <v/>
      </c>
      <c r="AN227" s="26" t="str">
        <f t="shared" ref="AN227:AS227" si="401">IF(AN$3="","",AN220-AM220)</f>
        <v/>
      </c>
      <c r="AO227" s="26" t="str">
        <f t="shared" si="401"/>
        <v/>
      </c>
      <c r="AP227" s="26" t="str">
        <f t="shared" si="401"/>
        <v/>
      </c>
      <c r="AQ227" s="26" t="str">
        <f t="shared" si="401"/>
        <v/>
      </c>
      <c r="AR227" s="26" t="str">
        <f t="shared" si="401"/>
        <v/>
      </c>
      <c r="AS227" s="26" t="str">
        <f t="shared" si="401"/>
        <v/>
      </c>
    </row>
    <row r="228" spans="1:45" s="1" customFormat="1" ht="11">
      <c r="A228" s="7">
        <f>SUM(C228:AS228)</f>
        <v>38</v>
      </c>
      <c r="B228" s="27" t="s">
        <v>17</v>
      </c>
      <c r="C228" s="65">
        <v>0</v>
      </c>
      <c r="D228" s="26">
        <f t="shared" ref="D228:AM228" si="402">IF(D$3="","",C221+C222-D221)</f>
        <v>0</v>
      </c>
      <c r="E228" s="26">
        <f t="shared" si="402"/>
        <v>1</v>
      </c>
      <c r="F228" s="54">
        <f t="shared" si="402"/>
        <v>0</v>
      </c>
      <c r="G228" s="26">
        <f t="shared" si="402"/>
        <v>0</v>
      </c>
      <c r="H228" s="26">
        <f t="shared" si="402"/>
        <v>7</v>
      </c>
      <c r="I228" s="54">
        <f t="shared" si="402"/>
        <v>0</v>
      </c>
      <c r="J228" s="26">
        <f t="shared" si="402"/>
        <v>0</v>
      </c>
      <c r="K228" s="26">
        <f t="shared" si="402"/>
        <v>0</v>
      </c>
      <c r="L228" s="26">
        <f t="shared" si="402"/>
        <v>4</v>
      </c>
      <c r="M228" s="54">
        <f t="shared" si="402"/>
        <v>0</v>
      </c>
      <c r="N228" s="26">
        <f t="shared" si="402"/>
        <v>0</v>
      </c>
      <c r="O228" s="26">
        <f t="shared" si="402"/>
        <v>4</v>
      </c>
      <c r="P228" s="26">
        <f t="shared" si="402"/>
        <v>0</v>
      </c>
      <c r="Q228" s="26">
        <f t="shared" si="402"/>
        <v>0</v>
      </c>
      <c r="R228" s="26">
        <f t="shared" si="402"/>
        <v>0</v>
      </c>
      <c r="S228" s="26">
        <f t="shared" si="402"/>
        <v>5</v>
      </c>
      <c r="T228" s="26">
        <f t="shared" si="402"/>
        <v>0</v>
      </c>
      <c r="U228" s="26">
        <f t="shared" si="402"/>
        <v>0</v>
      </c>
      <c r="V228" s="26">
        <f t="shared" si="402"/>
        <v>2</v>
      </c>
      <c r="W228" s="26">
        <f t="shared" si="402"/>
        <v>0</v>
      </c>
      <c r="X228" s="26">
        <f t="shared" si="402"/>
        <v>0</v>
      </c>
      <c r="Y228" s="26">
        <f t="shared" si="402"/>
        <v>0</v>
      </c>
      <c r="Z228" s="26">
        <f t="shared" si="402"/>
        <v>0</v>
      </c>
      <c r="AA228" s="26">
        <f t="shared" si="402"/>
        <v>0</v>
      </c>
      <c r="AB228" s="26">
        <f t="shared" si="402"/>
        <v>0</v>
      </c>
      <c r="AC228" s="26">
        <f t="shared" si="402"/>
        <v>0</v>
      </c>
      <c r="AD228" s="26">
        <f t="shared" si="402"/>
        <v>15</v>
      </c>
      <c r="AE228" s="26" t="str">
        <f t="shared" si="402"/>
        <v/>
      </c>
      <c r="AF228" s="26" t="str">
        <f t="shared" si="402"/>
        <v/>
      </c>
      <c r="AG228" s="26" t="str">
        <f t="shared" si="402"/>
        <v/>
      </c>
      <c r="AH228" s="26" t="str">
        <f t="shared" si="402"/>
        <v/>
      </c>
      <c r="AI228" s="26" t="str">
        <f t="shared" si="402"/>
        <v/>
      </c>
      <c r="AJ228" s="26" t="str">
        <f t="shared" si="402"/>
        <v/>
      </c>
      <c r="AK228" s="26" t="str">
        <f t="shared" si="402"/>
        <v/>
      </c>
      <c r="AL228" s="26" t="str">
        <f t="shared" si="402"/>
        <v/>
      </c>
      <c r="AM228" s="26" t="str">
        <f t="shared" si="402"/>
        <v/>
      </c>
      <c r="AN228" s="26" t="str">
        <f t="shared" ref="AN228:AS228" si="403">IF(AN$3="","",AM221+AM222-AN221)</f>
        <v/>
      </c>
      <c r="AO228" s="26" t="str">
        <f t="shared" si="403"/>
        <v/>
      </c>
      <c r="AP228" s="26" t="str">
        <f t="shared" si="403"/>
        <v/>
      </c>
      <c r="AQ228" s="26" t="str">
        <f t="shared" si="403"/>
        <v/>
      </c>
      <c r="AR228" s="26" t="str">
        <f t="shared" si="403"/>
        <v/>
      </c>
      <c r="AS228" s="26" t="str">
        <f t="shared" si="403"/>
        <v/>
      </c>
    </row>
    <row r="229" spans="1:45" s="1" customFormat="1" ht="11">
      <c r="A229" s="7">
        <f>SUM(C229:AS229)</f>
        <v>11400</v>
      </c>
      <c r="B229" s="27" t="s">
        <v>18</v>
      </c>
      <c r="C229" s="65">
        <v>0</v>
      </c>
      <c r="D229" s="26">
        <f t="shared" ref="D229:AM229" si="404">IF(D$3="","",D228*D223)</f>
        <v>0</v>
      </c>
      <c r="E229" s="26">
        <f t="shared" si="404"/>
        <v>300</v>
      </c>
      <c r="F229" s="54">
        <f t="shared" si="404"/>
        <v>0</v>
      </c>
      <c r="G229" s="26">
        <f t="shared" si="404"/>
        <v>0</v>
      </c>
      <c r="H229" s="26">
        <f t="shared" si="404"/>
        <v>2100</v>
      </c>
      <c r="I229" s="54">
        <f t="shared" si="404"/>
        <v>0</v>
      </c>
      <c r="J229" s="26">
        <f t="shared" si="404"/>
        <v>0</v>
      </c>
      <c r="K229" s="26">
        <f t="shared" si="404"/>
        <v>0</v>
      </c>
      <c r="L229" s="26">
        <f t="shared" si="404"/>
        <v>1200</v>
      </c>
      <c r="M229" s="54">
        <f t="shared" si="404"/>
        <v>0</v>
      </c>
      <c r="N229" s="26">
        <f t="shared" si="404"/>
        <v>0</v>
      </c>
      <c r="O229" s="26">
        <f t="shared" si="404"/>
        <v>1200</v>
      </c>
      <c r="P229" s="26">
        <f t="shared" si="404"/>
        <v>0</v>
      </c>
      <c r="Q229" s="26">
        <f t="shared" si="404"/>
        <v>0</v>
      </c>
      <c r="R229" s="26">
        <f t="shared" si="404"/>
        <v>0</v>
      </c>
      <c r="S229" s="26">
        <f t="shared" si="404"/>
        <v>1500</v>
      </c>
      <c r="T229" s="26">
        <f t="shared" si="404"/>
        <v>0</v>
      </c>
      <c r="U229" s="26">
        <f t="shared" si="404"/>
        <v>0</v>
      </c>
      <c r="V229" s="26">
        <f t="shared" si="404"/>
        <v>600</v>
      </c>
      <c r="W229" s="26">
        <f t="shared" si="404"/>
        <v>0</v>
      </c>
      <c r="X229" s="26">
        <f t="shared" si="404"/>
        <v>0</v>
      </c>
      <c r="Y229" s="26">
        <f t="shared" si="404"/>
        <v>0</v>
      </c>
      <c r="Z229" s="26">
        <f t="shared" si="404"/>
        <v>0</v>
      </c>
      <c r="AA229" s="26">
        <f t="shared" si="404"/>
        <v>0</v>
      </c>
      <c r="AB229" s="26">
        <f t="shared" si="404"/>
        <v>0</v>
      </c>
      <c r="AC229" s="26">
        <f t="shared" si="404"/>
        <v>0</v>
      </c>
      <c r="AD229" s="26">
        <f t="shared" si="404"/>
        <v>4500</v>
      </c>
      <c r="AE229" s="26" t="str">
        <f t="shared" si="404"/>
        <v/>
      </c>
      <c r="AF229" s="26" t="str">
        <f t="shared" si="404"/>
        <v/>
      </c>
      <c r="AG229" s="26" t="str">
        <f t="shared" si="404"/>
        <v/>
      </c>
      <c r="AH229" s="26" t="str">
        <f t="shared" si="404"/>
        <v/>
      </c>
      <c r="AI229" s="26" t="str">
        <f t="shared" si="404"/>
        <v/>
      </c>
      <c r="AJ229" s="26" t="str">
        <f t="shared" si="404"/>
        <v/>
      </c>
      <c r="AK229" s="26" t="str">
        <f t="shared" si="404"/>
        <v/>
      </c>
      <c r="AL229" s="26" t="str">
        <f t="shared" si="404"/>
        <v/>
      </c>
      <c r="AM229" s="26" t="str">
        <f t="shared" si="404"/>
        <v/>
      </c>
      <c r="AN229" s="26" t="str">
        <f t="shared" ref="AN229:AS229" si="405">IF(AN$3="","",AN228*AN223)</f>
        <v/>
      </c>
      <c r="AO229" s="26" t="str">
        <f t="shared" si="405"/>
        <v/>
      </c>
      <c r="AP229" s="26" t="str">
        <f t="shared" si="405"/>
        <v/>
      </c>
      <c r="AQ229" s="26" t="str">
        <f t="shared" si="405"/>
        <v/>
      </c>
      <c r="AR229" s="26" t="str">
        <f t="shared" si="405"/>
        <v/>
      </c>
      <c r="AS229" s="26" t="str">
        <f t="shared" si="405"/>
        <v/>
      </c>
    </row>
    <row r="230" spans="1:45" s="1" customFormat="1" ht="12" thickBot="1">
      <c r="A230" s="4">
        <f>IF(A229="","",A229/(A226*100))</f>
        <v>0.15119363395225463</v>
      </c>
      <c r="B230" s="24" t="s">
        <v>20</v>
      </c>
      <c r="C230" s="67" t="s">
        <v>21</v>
      </c>
      <c r="D230" s="23" t="str">
        <f t="shared" ref="D230:AM230" si="406">IF(D$3="","",IF(D229=0,"",D229/(D226*100)))</f>
        <v/>
      </c>
      <c r="E230" s="23">
        <f t="shared" si="406"/>
        <v>0.16666666666666666</v>
      </c>
      <c r="F230" s="52" t="str">
        <f t="shared" si="406"/>
        <v/>
      </c>
      <c r="G230" s="23" t="str">
        <f t="shared" si="406"/>
        <v/>
      </c>
      <c r="H230" s="23">
        <f t="shared" si="406"/>
        <v>0.16279069767441862</v>
      </c>
      <c r="I230" s="52" t="str">
        <f t="shared" si="406"/>
        <v/>
      </c>
      <c r="J230" s="23" t="str">
        <f t="shared" si="406"/>
        <v/>
      </c>
      <c r="K230" s="23" t="str">
        <f t="shared" si="406"/>
        <v/>
      </c>
      <c r="L230" s="23">
        <f t="shared" si="406"/>
        <v>0.10810810810810811</v>
      </c>
      <c r="M230" s="52" t="str">
        <f t="shared" si="406"/>
        <v/>
      </c>
      <c r="N230" s="23" t="str">
        <f t="shared" si="406"/>
        <v/>
      </c>
      <c r="O230" s="23">
        <f t="shared" si="406"/>
        <v>0.10810810810810811</v>
      </c>
      <c r="P230" s="23" t="str">
        <f t="shared" si="406"/>
        <v/>
      </c>
      <c r="Q230" s="23" t="str">
        <f t="shared" si="406"/>
        <v/>
      </c>
      <c r="R230" s="23" t="str">
        <f t="shared" si="406"/>
        <v/>
      </c>
      <c r="S230" s="23">
        <f t="shared" si="406"/>
        <v>0.20270270270270271</v>
      </c>
      <c r="T230" s="23" t="str">
        <f t="shared" si="406"/>
        <v/>
      </c>
      <c r="U230" s="23" t="str">
        <f t="shared" si="406"/>
        <v/>
      </c>
      <c r="V230" s="23">
        <f t="shared" si="406"/>
        <v>8.1081081081081086E-2</v>
      </c>
      <c r="W230" s="23" t="str">
        <f t="shared" si="406"/>
        <v/>
      </c>
      <c r="X230" s="23" t="str">
        <f t="shared" si="406"/>
        <v/>
      </c>
      <c r="Y230" s="23" t="str">
        <f t="shared" si="406"/>
        <v/>
      </c>
      <c r="Z230" s="23" t="str">
        <f t="shared" si="406"/>
        <v/>
      </c>
      <c r="AA230" s="23" t="str">
        <f t="shared" si="406"/>
        <v/>
      </c>
      <c r="AB230" s="23" t="str">
        <f t="shared" si="406"/>
        <v/>
      </c>
      <c r="AC230" s="23" t="str">
        <f t="shared" si="406"/>
        <v/>
      </c>
      <c r="AD230" s="23">
        <f t="shared" si="406"/>
        <v>0.189873417721519</v>
      </c>
      <c r="AE230" s="23" t="str">
        <f t="shared" si="406"/>
        <v/>
      </c>
      <c r="AF230" s="23" t="str">
        <f t="shared" si="406"/>
        <v/>
      </c>
      <c r="AG230" s="23" t="str">
        <f t="shared" si="406"/>
        <v/>
      </c>
      <c r="AH230" s="23" t="str">
        <f t="shared" si="406"/>
        <v/>
      </c>
      <c r="AI230" s="23" t="str">
        <f t="shared" si="406"/>
        <v/>
      </c>
      <c r="AJ230" s="23" t="str">
        <f t="shared" si="406"/>
        <v/>
      </c>
      <c r="AK230" s="23" t="str">
        <f t="shared" si="406"/>
        <v/>
      </c>
      <c r="AL230" s="23" t="str">
        <f t="shared" si="406"/>
        <v/>
      </c>
      <c r="AM230" s="23" t="str">
        <f t="shared" si="406"/>
        <v/>
      </c>
      <c r="AN230" s="23" t="str">
        <f t="shared" ref="AN230:AS230" si="407">IF(AN$3="","",IF(AN229=0,"",AN229/(AN226*100)))</f>
        <v/>
      </c>
      <c r="AO230" s="23" t="str">
        <f t="shared" si="407"/>
        <v/>
      </c>
      <c r="AP230" s="23" t="str">
        <f t="shared" si="407"/>
        <v/>
      </c>
      <c r="AQ230" s="23" t="str">
        <f t="shared" si="407"/>
        <v/>
      </c>
      <c r="AR230" s="23" t="str">
        <f t="shared" si="407"/>
        <v/>
      </c>
      <c r="AS230" s="23" t="str">
        <f t="shared" si="407"/>
        <v/>
      </c>
    </row>
    <row r="231" spans="1:45" s="1" customFormat="1" ht="11">
      <c r="A231" s="17" t="s">
        <v>113</v>
      </c>
      <c r="B231" s="42" t="s">
        <v>126</v>
      </c>
      <c r="C231" s="64">
        <v>87407</v>
      </c>
      <c r="D231" s="35">
        <f>IF(D$3="","",C231)</f>
        <v>87407</v>
      </c>
      <c r="E231" s="35">
        <v>87850</v>
      </c>
      <c r="F231" s="128">
        <f>IF(F$3="","",E231)</f>
        <v>87850</v>
      </c>
      <c r="G231" s="35">
        <f>IF(G$3="","",F231)</f>
        <v>87850</v>
      </c>
      <c r="H231" s="35">
        <v>88454</v>
      </c>
      <c r="I231" s="128">
        <f t="shared" ref="I231:K232" si="408">IF(I$3="","",H231)</f>
        <v>88454</v>
      </c>
      <c r="J231" s="35">
        <f t="shared" si="408"/>
        <v>88454</v>
      </c>
      <c r="K231" s="35">
        <f t="shared" si="408"/>
        <v>88454</v>
      </c>
      <c r="L231" s="35">
        <v>88857</v>
      </c>
      <c r="M231" s="128">
        <f>IF(M$3="","",L231)</f>
        <v>88857</v>
      </c>
      <c r="N231" s="35">
        <f>IF(N$3="","",M231)</f>
        <v>88857</v>
      </c>
      <c r="O231" s="35">
        <v>89207</v>
      </c>
      <c r="P231" s="35">
        <f t="shared" ref="P231:AM231" si="409">IF(P$3="","",O231)</f>
        <v>89207</v>
      </c>
      <c r="Q231" s="35">
        <f t="shared" si="409"/>
        <v>89207</v>
      </c>
      <c r="R231" s="35">
        <f t="shared" si="409"/>
        <v>89207</v>
      </c>
      <c r="S231" s="35">
        <v>89549</v>
      </c>
      <c r="T231" s="35">
        <f t="shared" si="409"/>
        <v>89549</v>
      </c>
      <c r="U231" s="35">
        <f t="shared" si="409"/>
        <v>89549</v>
      </c>
      <c r="V231" s="35">
        <v>89777</v>
      </c>
      <c r="W231" s="35">
        <f t="shared" si="409"/>
        <v>89777</v>
      </c>
      <c r="X231" s="35">
        <f t="shared" si="409"/>
        <v>89777</v>
      </c>
      <c r="Y231" s="35">
        <f t="shared" si="409"/>
        <v>89777</v>
      </c>
      <c r="Z231" s="35">
        <v>89961</v>
      </c>
      <c r="AA231" s="35">
        <f t="shared" si="409"/>
        <v>89961</v>
      </c>
      <c r="AB231" s="35">
        <f t="shared" si="409"/>
        <v>89961</v>
      </c>
      <c r="AC231" s="35">
        <f t="shared" si="409"/>
        <v>89961</v>
      </c>
      <c r="AD231" s="35">
        <v>90219</v>
      </c>
      <c r="AE231" s="35" t="str">
        <f t="shared" si="409"/>
        <v/>
      </c>
      <c r="AF231" s="35" t="str">
        <f t="shared" si="409"/>
        <v/>
      </c>
      <c r="AG231" s="35" t="str">
        <f t="shared" si="409"/>
        <v/>
      </c>
      <c r="AH231" s="35" t="str">
        <f t="shared" si="409"/>
        <v/>
      </c>
      <c r="AI231" s="35" t="str">
        <f t="shared" si="409"/>
        <v/>
      </c>
      <c r="AJ231" s="35" t="str">
        <f t="shared" si="409"/>
        <v/>
      </c>
      <c r="AK231" s="35" t="str">
        <f t="shared" si="409"/>
        <v/>
      </c>
      <c r="AL231" s="35" t="str">
        <f t="shared" si="409"/>
        <v/>
      </c>
      <c r="AM231" s="35" t="str">
        <f t="shared" si="409"/>
        <v/>
      </c>
      <c r="AN231" s="35" t="str">
        <f t="shared" ref="AN231:AS231" si="410">IF(AN$3="","",AM231)</f>
        <v/>
      </c>
      <c r="AO231" s="35" t="str">
        <f t="shared" si="410"/>
        <v/>
      </c>
      <c r="AP231" s="35" t="str">
        <f t="shared" si="410"/>
        <v/>
      </c>
      <c r="AQ231" s="35" t="str">
        <f t="shared" si="410"/>
        <v/>
      </c>
      <c r="AR231" s="35" t="str">
        <f t="shared" si="410"/>
        <v/>
      </c>
      <c r="AS231" s="35" t="str">
        <f t="shared" si="410"/>
        <v/>
      </c>
    </row>
    <row r="232" spans="1:45" s="1" customFormat="1" ht="11">
      <c r="A232" s="16" t="s">
        <v>127</v>
      </c>
      <c r="B232" s="1" t="s">
        <v>128</v>
      </c>
      <c r="C232" s="65">
        <v>78390</v>
      </c>
      <c r="D232" s="29">
        <f>IF(D$3="","",C232)</f>
        <v>78390</v>
      </c>
      <c r="E232" s="29">
        <v>78668</v>
      </c>
      <c r="F232" s="54">
        <f>IF(F$3="","",E232)</f>
        <v>78668</v>
      </c>
      <c r="G232" s="29">
        <f>IF(G$3="","",F232)</f>
        <v>78668</v>
      </c>
      <c r="H232" s="29">
        <v>79093</v>
      </c>
      <c r="I232" s="54">
        <f t="shared" si="408"/>
        <v>79093</v>
      </c>
      <c r="J232" s="29">
        <f t="shared" si="408"/>
        <v>79093</v>
      </c>
      <c r="K232" s="29">
        <f t="shared" si="408"/>
        <v>79093</v>
      </c>
      <c r="L232" s="29">
        <v>79636</v>
      </c>
      <c r="M232" s="54">
        <f>IF(M$3="","",L232)</f>
        <v>79636</v>
      </c>
      <c r="N232" s="29">
        <f>IF(N$3="","",M232)</f>
        <v>79636</v>
      </c>
      <c r="O232" s="29">
        <v>80266</v>
      </c>
      <c r="P232" s="29">
        <f t="shared" ref="P232:AM232" si="411">IF(P$3="","",O232)</f>
        <v>80266</v>
      </c>
      <c r="Q232" s="29">
        <f t="shared" si="411"/>
        <v>80266</v>
      </c>
      <c r="R232" s="29">
        <f t="shared" si="411"/>
        <v>80266</v>
      </c>
      <c r="S232" s="29">
        <v>80744</v>
      </c>
      <c r="T232" s="29">
        <f t="shared" si="411"/>
        <v>80744</v>
      </c>
      <c r="U232" s="29">
        <f t="shared" si="411"/>
        <v>80744</v>
      </c>
      <c r="V232" s="29">
        <v>81198</v>
      </c>
      <c r="W232" s="29">
        <f t="shared" si="411"/>
        <v>81198</v>
      </c>
      <c r="X232" s="29">
        <f t="shared" si="411"/>
        <v>81198</v>
      </c>
      <c r="Y232" s="29">
        <f t="shared" si="411"/>
        <v>81198</v>
      </c>
      <c r="Z232" s="29">
        <v>81723</v>
      </c>
      <c r="AA232" s="29">
        <f t="shared" si="411"/>
        <v>81723</v>
      </c>
      <c r="AB232" s="29">
        <f t="shared" si="411"/>
        <v>81723</v>
      </c>
      <c r="AC232" s="29">
        <f t="shared" si="411"/>
        <v>81723</v>
      </c>
      <c r="AD232" s="29">
        <v>82055</v>
      </c>
      <c r="AE232" s="29" t="str">
        <f t="shared" si="411"/>
        <v/>
      </c>
      <c r="AF232" s="29" t="str">
        <f t="shared" si="411"/>
        <v/>
      </c>
      <c r="AG232" s="29" t="str">
        <f t="shared" si="411"/>
        <v/>
      </c>
      <c r="AH232" s="29" t="str">
        <f t="shared" si="411"/>
        <v/>
      </c>
      <c r="AI232" s="29" t="str">
        <f t="shared" si="411"/>
        <v/>
      </c>
      <c r="AJ232" s="29" t="str">
        <f t="shared" si="411"/>
        <v/>
      </c>
      <c r="AK232" s="29" t="str">
        <f t="shared" si="411"/>
        <v/>
      </c>
      <c r="AL232" s="29" t="str">
        <f t="shared" si="411"/>
        <v/>
      </c>
      <c r="AM232" s="29" t="str">
        <f t="shared" si="411"/>
        <v/>
      </c>
      <c r="AN232" s="29" t="str">
        <f t="shared" ref="AN232:AS232" si="412">IF(AN$3="","",AM232)</f>
        <v/>
      </c>
      <c r="AO232" s="29" t="str">
        <f t="shared" si="412"/>
        <v/>
      </c>
      <c r="AP232" s="29" t="str">
        <f t="shared" si="412"/>
        <v/>
      </c>
      <c r="AQ232" s="29" t="str">
        <f t="shared" si="412"/>
        <v/>
      </c>
      <c r="AR232" s="29" t="str">
        <f t="shared" si="412"/>
        <v/>
      </c>
      <c r="AS232" s="29" t="str">
        <f t="shared" si="412"/>
        <v/>
      </c>
    </row>
    <row r="233" spans="1:45" s="1" customFormat="1" ht="11">
      <c r="A233" s="15"/>
      <c r="B233" s="30" t="s">
        <v>129</v>
      </c>
      <c r="C233" s="65"/>
      <c r="D233" s="29"/>
      <c r="E233" s="29"/>
      <c r="F233" s="54"/>
      <c r="G233" s="29"/>
      <c r="H233" s="29"/>
      <c r="I233" s="54"/>
      <c r="J233" s="29"/>
      <c r="K233" s="29"/>
      <c r="L233" s="29"/>
      <c r="M233" s="54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r="234" spans="1:45" s="1" customFormat="1" ht="11">
      <c r="A234" s="15"/>
      <c r="B234" s="30" t="s">
        <v>4</v>
      </c>
      <c r="C234" s="65"/>
      <c r="D234" s="29"/>
      <c r="E234" s="29"/>
      <c r="F234" s="54"/>
      <c r="G234" s="29"/>
      <c r="H234" s="29"/>
      <c r="I234" s="54"/>
      <c r="J234" s="29"/>
      <c r="K234" s="29"/>
      <c r="L234" s="29"/>
      <c r="M234" s="54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 spans="1:45" s="1" customFormat="1" ht="11">
      <c r="A235" s="15"/>
      <c r="B235" s="30" t="s">
        <v>5</v>
      </c>
      <c r="C235" s="65">
        <v>6</v>
      </c>
      <c r="D235" s="29">
        <f>IF(D$3="","",(C235+C236))</f>
        <v>6</v>
      </c>
      <c r="E235" s="29">
        <v>1</v>
      </c>
      <c r="F235" s="54">
        <f>IF(F$3="","",(E235+E236))</f>
        <v>6</v>
      </c>
      <c r="G235" s="29">
        <f>IF(G$3="","",(F235+F236))</f>
        <v>6</v>
      </c>
      <c r="H235" s="29">
        <v>0</v>
      </c>
      <c r="I235" s="54">
        <f>IF(I$3="","",(H235+H236))</f>
        <v>5</v>
      </c>
      <c r="J235" s="29">
        <f>IF(J$3="","",(I235+I236))</f>
        <v>5</v>
      </c>
      <c r="K235" s="29">
        <f>IF(K$3="","",(J235+J236))</f>
        <v>5</v>
      </c>
      <c r="L235" s="29">
        <v>1</v>
      </c>
      <c r="M235" s="54">
        <f>IF(M$3="","",(L235+L236))</f>
        <v>6</v>
      </c>
      <c r="N235" s="29">
        <f>IF(N$3="","",(M235+M236))</f>
        <v>6</v>
      </c>
      <c r="O235" s="29">
        <v>2</v>
      </c>
      <c r="P235" s="29">
        <f t="shared" ref="P235:AM235" si="413">IF(P$3="","",(O235+O236))</f>
        <v>6</v>
      </c>
      <c r="Q235" s="29">
        <f t="shared" si="413"/>
        <v>6</v>
      </c>
      <c r="R235" s="29">
        <f t="shared" si="413"/>
        <v>6</v>
      </c>
      <c r="S235" s="29">
        <v>0</v>
      </c>
      <c r="T235" s="29">
        <f t="shared" si="413"/>
        <v>6</v>
      </c>
      <c r="U235" s="29">
        <f t="shared" si="413"/>
        <v>6</v>
      </c>
      <c r="V235" s="29">
        <v>0</v>
      </c>
      <c r="W235" s="29">
        <f t="shared" si="413"/>
        <v>5</v>
      </c>
      <c r="X235" s="29">
        <f t="shared" si="413"/>
        <v>5</v>
      </c>
      <c r="Y235" s="29">
        <f t="shared" si="413"/>
        <v>5</v>
      </c>
      <c r="Z235" s="29">
        <v>2</v>
      </c>
      <c r="AA235" s="29">
        <f t="shared" si="413"/>
        <v>2</v>
      </c>
      <c r="AB235" s="29">
        <f t="shared" si="413"/>
        <v>2</v>
      </c>
      <c r="AC235" s="29">
        <f t="shared" si="413"/>
        <v>2</v>
      </c>
      <c r="AD235" s="29">
        <f t="shared" si="413"/>
        <v>2</v>
      </c>
      <c r="AE235" s="29" t="str">
        <f t="shared" si="413"/>
        <v/>
      </c>
      <c r="AF235" s="29" t="str">
        <f t="shared" si="413"/>
        <v/>
      </c>
      <c r="AG235" s="29" t="str">
        <f t="shared" si="413"/>
        <v/>
      </c>
      <c r="AH235" s="29" t="str">
        <f t="shared" si="413"/>
        <v/>
      </c>
      <c r="AI235" s="29" t="str">
        <f t="shared" si="413"/>
        <v/>
      </c>
      <c r="AJ235" s="29" t="str">
        <f t="shared" si="413"/>
        <v/>
      </c>
      <c r="AK235" s="29" t="str">
        <f t="shared" si="413"/>
        <v/>
      </c>
      <c r="AL235" s="29" t="str">
        <f t="shared" si="413"/>
        <v/>
      </c>
      <c r="AM235" s="29" t="str">
        <f t="shared" si="413"/>
        <v/>
      </c>
      <c r="AN235" s="29" t="str">
        <f t="shared" ref="AN235:AS235" si="414">IF(AN$3="","",(AM235+AM236))</f>
        <v/>
      </c>
      <c r="AO235" s="29" t="str">
        <f t="shared" si="414"/>
        <v/>
      </c>
      <c r="AP235" s="29" t="str">
        <f t="shared" si="414"/>
        <v/>
      </c>
      <c r="AQ235" s="29" t="str">
        <f t="shared" si="414"/>
        <v/>
      </c>
      <c r="AR235" s="29" t="str">
        <f t="shared" si="414"/>
        <v/>
      </c>
      <c r="AS235" s="29" t="str">
        <f t="shared" si="414"/>
        <v/>
      </c>
    </row>
    <row r="236" spans="1:45" s="1" customFormat="1" ht="11">
      <c r="A236" s="14"/>
      <c r="B236" s="30" t="s">
        <v>7</v>
      </c>
      <c r="C236" s="65"/>
      <c r="D236" s="29"/>
      <c r="E236" s="29">
        <v>5</v>
      </c>
      <c r="F236" s="54"/>
      <c r="G236" s="29"/>
      <c r="H236" s="29">
        <v>5</v>
      </c>
      <c r="I236" s="54"/>
      <c r="J236" s="29"/>
      <c r="K236" s="29"/>
      <c r="L236" s="29">
        <v>5</v>
      </c>
      <c r="M236" s="54"/>
      <c r="N236" s="29"/>
      <c r="O236" s="29">
        <v>4</v>
      </c>
      <c r="P236" s="29"/>
      <c r="Q236" s="29"/>
      <c r="R236" s="29"/>
      <c r="S236" s="29">
        <v>6</v>
      </c>
      <c r="T236" s="29"/>
      <c r="U236" s="29"/>
      <c r="V236" s="29">
        <v>5</v>
      </c>
      <c r="W236" s="29"/>
      <c r="X236" s="29"/>
      <c r="Y236" s="29">
        <v>2</v>
      </c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r="237" spans="1:45" s="1" customFormat="1" ht="11">
      <c r="A237" s="7"/>
      <c r="B237" s="30" t="s">
        <v>8</v>
      </c>
      <c r="C237" s="64">
        <v>1500</v>
      </c>
      <c r="D237" s="35">
        <f t="shared" ref="D237:AM237" si="415">IF(D$3="","",C237)</f>
        <v>1500</v>
      </c>
      <c r="E237" s="35">
        <f t="shared" si="415"/>
        <v>1500</v>
      </c>
      <c r="F237" s="128">
        <f t="shared" si="415"/>
        <v>1500</v>
      </c>
      <c r="G237" s="35">
        <f t="shared" si="415"/>
        <v>1500</v>
      </c>
      <c r="H237" s="35">
        <f t="shared" si="415"/>
        <v>1500</v>
      </c>
      <c r="I237" s="128">
        <f t="shared" si="415"/>
        <v>1500</v>
      </c>
      <c r="J237" s="35">
        <f t="shared" si="415"/>
        <v>1500</v>
      </c>
      <c r="K237" s="35">
        <f t="shared" si="415"/>
        <v>1500</v>
      </c>
      <c r="L237" s="35">
        <f t="shared" si="415"/>
        <v>1500</v>
      </c>
      <c r="M237" s="128">
        <f t="shared" si="415"/>
        <v>1500</v>
      </c>
      <c r="N237" s="35">
        <f t="shared" si="415"/>
        <v>1500</v>
      </c>
      <c r="O237" s="35">
        <f t="shared" si="415"/>
        <v>1500</v>
      </c>
      <c r="P237" s="35">
        <f t="shared" si="415"/>
        <v>1500</v>
      </c>
      <c r="Q237" s="35">
        <f t="shared" si="415"/>
        <v>1500</v>
      </c>
      <c r="R237" s="35">
        <f t="shared" si="415"/>
        <v>1500</v>
      </c>
      <c r="S237" s="35">
        <f t="shared" si="415"/>
        <v>1500</v>
      </c>
      <c r="T237" s="35">
        <f t="shared" si="415"/>
        <v>1500</v>
      </c>
      <c r="U237" s="35">
        <f t="shared" si="415"/>
        <v>1500</v>
      </c>
      <c r="V237" s="35">
        <f t="shared" si="415"/>
        <v>1500</v>
      </c>
      <c r="W237" s="35">
        <f t="shared" si="415"/>
        <v>1500</v>
      </c>
      <c r="X237" s="35">
        <f t="shared" si="415"/>
        <v>1500</v>
      </c>
      <c r="Y237" s="35">
        <f t="shared" si="415"/>
        <v>1500</v>
      </c>
      <c r="Z237" s="35">
        <f t="shared" si="415"/>
        <v>1500</v>
      </c>
      <c r="AA237" s="35">
        <f t="shared" si="415"/>
        <v>1500</v>
      </c>
      <c r="AB237" s="35">
        <f t="shared" si="415"/>
        <v>1500</v>
      </c>
      <c r="AC237" s="35">
        <f t="shared" si="415"/>
        <v>1500</v>
      </c>
      <c r="AD237" s="35">
        <f t="shared" si="415"/>
        <v>1500</v>
      </c>
      <c r="AE237" s="35" t="str">
        <f t="shared" si="415"/>
        <v/>
      </c>
      <c r="AF237" s="35" t="str">
        <f t="shared" si="415"/>
        <v/>
      </c>
      <c r="AG237" s="35" t="str">
        <f t="shared" si="415"/>
        <v/>
      </c>
      <c r="AH237" s="35" t="str">
        <f t="shared" si="415"/>
        <v/>
      </c>
      <c r="AI237" s="35" t="str">
        <f t="shared" si="415"/>
        <v/>
      </c>
      <c r="AJ237" s="35" t="str">
        <f t="shared" si="415"/>
        <v/>
      </c>
      <c r="AK237" s="35" t="str">
        <f t="shared" si="415"/>
        <v/>
      </c>
      <c r="AL237" s="35" t="str">
        <f t="shared" si="415"/>
        <v/>
      </c>
      <c r="AM237" s="35" t="str">
        <f t="shared" si="415"/>
        <v/>
      </c>
      <c r="AN237" s="35" t="str">
        <f t="shared" ref="AN237:AS237" si="416">IF(AN$3="","",AM237)</f>
        <v/>
      </c>
      <c r="AO237" s="35" t="str">
        <f t="shared" si="416"/>
        <v/>
      </c>
      <c r="AP237" s="35" t="str">
        <f t="shared" si="416"/>
        <v/>
      </c>
      <c r="AQ237" s="35" t="str">
        <f t="shared" si="416"/>
        <v/>
      </c>
      <c r="AR237" s="35" t="str">
        <f t="shared" si="416"/>
        <v/>
      </c>
      <c r="AS237" s="35" t="str">
        <f t="shared" si="416"/>
        <v/>
      </c>
    </row>
    <row r="238" spans="1:45" s="94" customFormat="1" ht="11">
      <c r="A238" s="14" t="s">
        <v>9</v>
      </c>
      <c r="B238" s="33" t="s">
        <v>10</v>
      </c>
      <c r="C238" s="63" t="s">
        <v>77</v>
      </c>
      <c r="D238" s="32" t="str">
        <f t="shared" ref="D238:AM238" si="417">IF(D$3="","",C238)</f>
        <v>ボンドロ</v>
      </c>
      <c r="E238" s="32" t="str">
        <f t="shared" si="417"/>
        <v>ボンドロ</v>
      </c>
      <c r="F238" s="129" t="str">
        <f t="shared" si="417"/>
        <v>ボンドロ</v>
      </c>
      <c r="G238" s="32" t="str">
        <f t="shared" si="417"/>
        <v>ボンドロ</v>
      </c>
      <c r="H238" s="32" t="str">
        <f t="shared" si="417"/>
        <v>ボンドロ</v>
      </c>
      <c r="I238" s="129" t="str">
        <f t="shared" si="417"/>
        <v>ボンドロ</v>
      </c>
      <c r="J238" s="32" t="str">
        <f t="shared" si="417"/>
        <v>ボンドロ</v>
      </c>
      <c r="K238" s="32" t="str">
        <f t="shared" si="417"/>
        <v>ボンドロ</v>
      </c>
      <c r="L238" s="32" t="str">
        <f t="shared" si="417"/>
        <v>ボンドロ</v>
      </c>
      <c r="M238" s="129" t="str">
        <f t="shared" si="417"/>
        <v>ボンドロ</v>
      </c>
      <c r="N238" s="32" t="str">
        <f t="shared" si="417"/>
        <v>ボンドロ</v>
      </c>
      <c r="O238" s="32" t="str">
        <f t="shared" si="417"/>
        <v>ボンドロ</v>
      </c>
      <c r="P238" s="32" t="str">
        <f t="shared" si="417"/>
        <v>ボンドロ</v>
      </c>
      <c r="Q238" s="32" t="str">
        <f t="shared" si="417"/>
        <v>ボンドロ</v>
      </c>
      <c r="R238" s="32" t="str">
        <f t="shared" si="417"/>
        <v>ボンドロ</v>
      </c>
      <c r="S238" s="32" t="str">
        <f t="shared" si="417"/>
        <v>ボンドロ</v>
      </c>
      <c r="T238" s="32" t="str">
        <f t="shared" si="417"/>
        <v>ボンドロ</v>
      </c>
      <c r="U238" s="32" t="str">
        <f t="shared" si="417"/>
        <v>ボンドロ</v>
      </c>
      <c r="V238" s="32" t="str">
        <f t="shared" si="417"/>
        <v>ボンドロ</v>
      </c>
      <c r="W238" s="32" t="str">
        <f t="shared" si="417"/>
        <v>ボンドロ</v>
      </c>
      <c r="X238" s="32" t="str">
        <f t="shared" si="417"/>
        <v>ボンドロ</v>
      </c>
      <c r="Y238" s="32" t="str">
        <f t="shared" si="417"/>
        <v>ボンドロ</v>
      </c>
      <c r="Z238" s="32" t="str">
        <f t="shared" si="417"/>
        <v>ボンドロ</v>
      </c>
      <c r="AA238" s="32" t="str">
        <f t="shared" si="417"/>
        <v>ボンドロ</v>
      </c>
      <c r="AB238" s="32" t="str">
        <f t="shared" si="417"/>
        <v>ボンドロ</v>
      </c>
      <c r="AC238" s="32" t="str">
        <f t="shared" si="417"/>
        <v>ボンドロ</v>
      </c>
      <c r="AD238" s="32" t="str">
        <f t="shared" si="417"/>
        <v>ボンドロ</v>
      </c>
      <c r="AE238" s="32" t="str">
        <f t="shared" si="417"/>
        <v/>
      </c>
      <c r="AF238" s="32" t="str">
        <f t="shared" si="417"/>
        <v/>
      </c>
      <c r="AG238" s="32" t="str">
        <f t="shared" si="417"/>
        <v/>
      </c>
      <c r="AH238" s="32" t="str">
        <f t="shared" si="417"/>
        <v/>
      </c>
      <c r="AI238" s="32" t="str">
        <f t="shared" si="417"/>
        <v/>
      </c>
      <c r="AJ238" s="32" t="str">
        <f t="shared" si="417"/>
        <v/>
      </c>
      <c r="AK238" s="32" t="str">
        <f t="shared" si="417"/>
        <v/>
      </c>
      <c r="AL238" s="32" t="str">
        <f t="shared" si="417"/>
        <v/>
      </c>
      <c r="AM238" s="32" t="str">
        <f t="shared" si="417"/>
        <v/>
      </c>
      <c r="AN238" s="32" t="str">
        <f t="shared" ref="AN238:AS238" si="418">IF(AN$3="","",AM238)</f>
        <v/>
      </c>
      <c r="AO238" s="32" t="str">
        <f t="shared" si="418"/>
        <v/>
      </c>
      <c r="AP238" s="32" t="str">
        <f t="shared" si="418"/>
        <v/>
      </c>
      <c r="AQ238" s="32" t="str">
        <f t="shared" si="418"/>
        <v/>
      </c>
      <c r="AR238" s="32" t="str">
        <f t="shared" si="418"/>
        <v/>
      </c>
      <c r="AS238" s="32" t="str">
        <f t="shared" si="418"/>
        <v/>
      </c>
    </row>
    <row r="239" spans="1:45" s="1" customFormat="1" ht="11">
      <c r="A239" s="7">
        <f>AVERAGE(C240:AS240)*30*100</f>
        <v>693964.2857142858</v>
      </c>
      <c r="B239" s="30" t="s">
        <v>14</v>
      </c>
      <c r="C239" s="65"/>
      <c r="D239" s="29"/>
      <c r="E239" s="29"/>
      <c r="F239" s="54"/>
      <c r="G239" s="29"/>
      <c r="H239" s="29"/>
      <c r="I239" s="54"/>
      <c r="J239" s="29"/>
      <c r="K239" s="29"/>
      <c r="L239" s="29"/>
      <c r="M239" s="54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 spans="1:45" s="1" customFormat="1" ht="11">
      <c r="A240" s="7">
        <f>SUM(C240:AS240)</f>
        <v>6477</v>
      </c>
      <c r="B240" s="27" t="s">
        <v>15</v>
      </c>
      <c r="C240" s="65">
        <v>0</v>
      </c>
      <c r="D240" s="26">
        <f t="shared" ref="D240:AM240" si="419">IF(D$3="","",D231+D232-C232-C231)</f>
        <v>0</v>
      </c>
      <c r="E240" s="26">
        <f t="shared" si="419"/>
        <v>721</v>
      </c>
      <c r="F240" s="54">
        <f t="shared" si="419"/>
        <v>0</v>
      </c>
      <c r="G240" s="26">
        <f t="shared" si="419"/>
        <v>0</v>
      </c>
      <c r="H240" s="26">
        <f t="shared" si="419"/>
        <v>1029</v>
      </c>
      <c r="I240" s="54">
        <f t="shared" si="419"/>
        <v>0</v>
      </c>
      <c r="J240" s="26">
        <f t="shared" si="419"/>
        <v>0</v>
      </c>
      <c r="K240" s="26">
        <f t="shared" si="419"/>
        <v>0</v>
      </c>
      <c r="L240" s="26">
        <f t="shared" si="419"/>
        <v>946</v>
      </c>
      <c r="M240" s="54">
        <f t="shared" si="419"/>
        <v>0</v>
      </c>
      <c r="N240" s="26">
        <f t="shared" si="419"/>
        <v>0</v>
      </c>
      <c r="O240" s="26">
        <f t="shared" si="419"/>
        <v>980</v>
      </c>
      <c r="P240" s="26">
        <f t="shared" si="419"/>
        <v>0</v>
      </c>
      <c r="Q240" s="26">
        <f t="shared" si="419"/>
        <v>0</v>
      </c>
      <c r="R240" s="26">
        <f t="shared" si="419"/>
        <v>0</v>
      </c>
      <c r="S240" s="26">
        <f t="shared" si="419"/>
        <v>820</v>
      </c>
      <c r="T240" s="26">
        <f t="shared" si="419"/>
        <v>0</v>
      </c>
      <c r="U240" s="26">
        <f t="shared" si="419"/>
        <v>0</v>
      </c>
      <c r="V240" s="26">
        <f t="shared" si="419"/>
        <v>682</v>
      </c>
      <c r="W240" s="26">
        <f t="shared" si="419"/>
        <v>0</v>
      </c>
      <c r="X240" s="26">
        <f t="shared" si="419"/>
        <v>0</v>
      </c>
      <c r="Y240" s="26">
        <f t="shared" si="419"/>
        <v>0</v>
      </c>
      <c r="Z240" s="26">
        <f t="shared" si="419"/>
        <v>709</v>
      </c>
      <c r="AA240" s="26">
        <f t="shared" si="419"/>
        <v>0</v>
      </c>
      <c r="AB240" s="26">
        <f t="shared" si="419"/>
        <v>0</v>
      </c>
      <c r="AC240" s="26">
        <f t="shared" si="419"/>
        <v>0</v>
      </c>
      <c r="AD240" s="26">
        <f t="shared" si="419"/>
        <v>590</v>
      </c>
      <c r="AE240" s="26" t="str">
        <f t="shared" si="419"/>
        <v/>
      </c>
      <c r="AF240" s="26" t="str">
        <f t="shared" si="419"/>
        <v/>
      </c>
      <c r="AG240" s="26" t="str">
        <f t="shared" si="419"/>
        <v/>
      </c>
      <c r="AH240" s="26" t="str">
        <f t="shared" si="419"/>
        <v/>
      </c>
      <c r="AI240" s="26" t="str">
        <f t="shared" si="419"/>
        <v/>
      </c>
      <c r="AJ240" s="26" t="str">
        <f t="shared" si="419"/>
        <v/>
      </c>
      <c r="AK240" s="26" t="str">
        <f t="shared" si="419"/>
        <v/>
      </c>
      <c r="AL240" s="26" t="str">
        <f t="shared" si="419"/>
        <v/>
      </c>
      <c r="AM240" s="26" t="str">
        <f t="shared" si="419"/>
        <v/>
      </c>
      <c r="AN240" s="26" t="str">
        <f t="shared" ref="AN240:AS240" si="420">IF(AN$3="","",AN231+AN232-AM232-AM231)</f>
        <v/>
      </c>
      <c r="AO240" s="26" t="str">
        <f t="shared" si="420"/>
        <v/>
      </c>
      <c r="AP240" s="26" t="str">
        <f t="shared" si="420"/>
        <v/>
      </c>
      <c r="AQ240" s="26" t="str">
        <f t="shared" si="420"/>
        <v/>
      </c>
      <c r="AR240" s="26" t="str">
        <f t="shared" si="420"/>
        <v/>
      </c>
      <c r="AS240" s="26" t="str">
        <f t="shared" si="420"/>
        <v/>
      </c>
    </row>
    <row r="241" spans="1:45" s="1" customFormat="1" ht="11">
      <c r="A241" s="7">
        <f>SUM(C241:AS241)</f>
        <v>0</v>
      </c>
      <c r="B241" s="27" t="s">
        <v>16</v>
      </c>
      <c r="C241" s="65">
        <v>0</v>
      </c>
      <c r="D241" s="26">
        <f t="shared" ref="D241:AM241" si="421">IF(D$3="","",D234-C234)</f>
        <v>0</v>
      </c>
      <c r="E241" s="26">
        <f t="shared" si="421"/>
        <v>0</v>
      </c>
      <c r="F241" s="54">
        <f t="shared" si="421"/>
        <v>0</v>
      </c>
      <c r="G241" s="26">
        <f t="shared" si="421"/>
        <v>0</v>
      </c>
      <c r="H241" s="26">
        <f t="shared" si="421"/>
        <v>0</v>
      </c>
      <c r="I241" s="54">
        <f t="shared" si="421"/>
        <v>0</v>
      </c>
      <c r="J241" s="26">
        <f t="shared" si="421"/>
        <v>0</v>
      </c>
      <c r="K241" s="26">
        <f t="shared" si="421"/>
        <v>0</v>
      </c>
      <c r="L241" s="26">
        <f t="shared" si="421"/>
        <v>0</v>
      </c>
      <c r="M241" s="54">
        <f t="shared" si="421"/>
        <v>0</v>
      </c>
      <c r="N241" s="26">
        <f t="shared" si="421"/>
        <v>0</v>
      </c>
      <c r="O241" s="26">
        <f t="shared" si="421"/>
        <v>0</v>
      </c>
      <c r="P241" s="26">
        <f t="shared" si="421"/>
        <v>0</v>
      </c>
      <c r="Q241" s="26">
        <f t="shared" si="421"/>
        <v>0</v>
      </c>
      <c r="R241" s="26">
        <f t="shared" si="421"/>
        <v>0</v>
      </c>
      <c r="S241" s="26">
        <f t="shared" si="421"/>
        <v>0</v>
      </c>
      <c r="T241" s="26">
        <f t="shared" si="421"/>
        <v>0</v>
      </c>
      <c r="U241" s="26">
        <f t="shared" si="421"/>
        <v>0</v>
      </c>
      <c r="V241" s="26">
        <f t="shared" si="421"/>
        <v>0</v>
      </c>
      <c r="W241" s="26">
        <f t="shared" si="421"/>
        <v>0</v>
      </c>
      <c r="X241" s="26">
        <f t="shared" si="421"/>
        <v>0</v>
      </c>
      <c r="Y241" s="26">
        <f t="shared" si="421"/>
        <v>0</v>
      </c>
      <c r="Z241" s="26">
        <f t="shared" si="421"/>
        <v>0</v>
      </c>
      <c r="AA241" s="26">
        <f t="shared" si="421"/>
        <v>0</v>
      </c>
      <c r="AB241" s="26">
        <f t="shared" si="421"/>
        <v>0</v>
      </c>
      <c r="AC241" s="26">
        <f t="shared" si="421"/>
        <v>0</v>
      </c>
      <c r="AD241" s="26">
        <f t="shared" si="421"/>
        <v>0</v>
      </c>
      <c r="AE241" s="26" t="str">
        <f t="shared" si="421"/>
        <v/>
      </c>
      <c r="AF241" s="26" t="str">
        <f t="shared" si="421"/>
        <v/>
      </c>
      <c r="AG241" s="26" t="str">
        <f t="shared" si="421"/>
        <v/>
      </c>
      <c r="AH241" s="26" t="str">
        <f t="shared" si="421"/>
        <v/>
      </c>
      <c r="AI241" s="26" t="str">
        <f t="shared" si="421"/>
        <v/>
      </c>
      <c r="AJ241" s="26" t="str">
        <f t="shared" si="421"/>
        <v/>
      </c>
      <c r="AK241" s="26" t="str">
        <f t="shared" si="421"/>
        <v/>
      </c>
      <c r="AL241" s="26" t="str">
        <f t="shared" si="421"/>
        <v/>
      </c>
      <c r="AM241" s="26" t="str">
        <f t="shared" si="421"/>
        <v/>
      </c>
      <c r="AN241" s="26" t="str">
        <f t="shared" ref="AN241:AS241" si="422">IF(AN$3="","",AN234-AM234)</f>
        <v/>
      </c>
      <c r="AO241" s="26" t="str">
        <f t="shared" si="422"/>
        <v/>
      </c>
      <c r="AP241" s="26" t="str">
        <f t="shared" si="422"/>
        <v/>
      </c>
      <c r="AQ241" s="26" t="str">
        <f t="shared" si="422"/>
        <v/>
      </c>
      <c r="AR241" s="26" t="str">
        <f t="shared" si="422"/>
        <v/>
      </c>
      <c r="AS241" s="26" t="str">
        <f t="shared" si="422"/>
        <v/>
      </c>
    </row>
    <row r="242" spans="1:45" s="1" customFormat="1" ht="11">
      <c r="A242" s="7">
        <f>SUM(C242:AS242)</f>
        <v>36</v>
      </c>
      <c r="B242" s="27" t="s">
        <v>17</v>
      </c>
      <c r="C242" s="65">
        <v>0</v>
      </c>
      <c r="D242" s="26">
        <f t="shared" ref="D242:AM242" si="423">IF(D$3="","",C235+C236-D235)</f>
        <v>0</v>
      </c>
      <c r="E242" s="26">
        <f t="shared" si="423"/>
        <v>5</v>
      </c>
      <c r="F242" s="54">
        <f t="shared" si="423"/>
        <v>0</v>
      </c>
      <c r="G242" s="26">
        <f t="shared" si="423"/>
        <v>0</v>
      </c>
      <c r="H242" s="26">
        <f t="shared" si="423"/>
        <v>6</v>
      </c>
      <c r="I242" s="54">
        <f t="shared" si="423"/>
        <v>0</v>
      </c>
      <c r="J242" s="26">
        <f t="shared" si="423"/>
        <v>0</v>
      </c>
      <c r="K242" s="26">
        <f t="shared" si="423"/>
        <v>0</v>
      </c>
      <c r="L242" s="26">
        <f t="shared" si="423"/>
        <v>4</v>
      </c>
      <c r="M242" s="54">
        <f t="shared" si="423"/>
        <v>0</v>
      </c>
      <c r="N242" s="26">
        <f t="shared" si="423"/>
        <v>0</v>
      </c>
      <c r="O242" s="26">
        <f t="shared" si="423"/>
        <v>4</v>
      </c>
      <c r="P242" s="26">
        <f t="shared" si="423"/>
        <v>0</v>
      </c>
      <c r="Q242" s="26">
        <f t="shared" si="423"/>
        <v>0</v>
      </c>
      <c r="R242" s="26">
        <f t="shared" si="423"/>
        <v>0</v>
      </c>
      <c r="S242" s="26">
        <f t="shared" si="423"/>
        <v>6</v>
      </c>
      <c r="T242" s="26">
        <f t="shared" si="423"/>
        <v>0</v>
      </c>
      <c r="U242" s="26">
        <f t="shared" si="423"/>
        <v>0</v>
      </c>
      <c r="V242" s="26">
        <f t="shared" si="423"/>
        <v>6</v>
      </c>
      <c r="W242" s="26">
        <f t="shared" si="423"/>
        <v>0</v>
      </c>
      <c r="X242" s="26">
        <f t="shared" si="423"/>
        <v>0</v>
      </c>
      <c r="Y242" s="26">
        <f t="shared" si="423"/>
        <v>0</v>
      </c>
      <c r="Z242" s="26">
        <f t="shared" si="423"/>
        <v>5</v>
      </c>
      <c r="AA242" s="26">
        <f t="shared" si="423"/>
        <v>0</v>
      </c>
      <c r="AB242" s="26">
        <f t="shared" si="423"/>
        <v>0</v>
      </c>
      <c r="AC242" s="26">
        <f t="shared" si="423"/>
        <v>0</v>
      </c>
      <c r="AD242" s="26">
        <f t="shared" si="423"/>
        <v>0</v>
      </c>
      <c r="AE242" s="26" t="str">
        <f t="shared" si="423"/>
        <v/>
      </c>
      <c r="AF242" s="26" t="str">
        <f t="shared" si="423"/>
        <v/>
      </c>
      <c r="AG242" s="26" t="str">
        <f t="shared" si="423"/>
        <v/>
      </c>
      <c r="AH242" s="26" t="str">
        <f t="shared" si="423"/>
        <v/>
      </c>
      <c r="AI242" s="26" t="str">
        <f t="shared" si="423"/>
        <v/>
      </c>
      <c r="AJ242" s="26" t="str">
        <f t="shared" si="423"/>
        <v/>
      </c>
      <c r="AK242" s="26" t="str">
        <f t="shared" si="423"/>
        <v/>
      </c>
      <c r="AL242" s="26" t="str">
        <f t="shared" si="423"/>
        <v/>
      </c>
      <c r="AM242" s="26" t="str">
        <f t="shared" si="423"/>
        <v/>
      </c>
      <c r="AN242" s="26" t="str">
        <f t="shared" ref="AN242:AS242" si="424">IF(AN$3="","",AM235+AM236-AN235)</f>
        <v/>
      </c>
      <c r="AO242" s="26" t="str">
        <f t="shared" si="424"/>
        <v/>
      </c>
      <c r="AP242" s="26" t="str">
        <f t="shared" si="424"/>
        <v/>
      </c>
      <c r="AQ242" s="26" t="str">
        <f t="shared" si="424"/>
        <v/>
      </c>
      <c r="AR242" s="26" t="str">
        <f t="shared" si="424"/>
        <v/>
      </c>
      <c r="AS242" s="26" t="str">
        <f t="shared" si="424"/>
        <v/>
      </c>
    </row>
    <row r="243" spans="1:45" s="1" customFormat="1" ht="11">
      <c r="A243" s="7">
        <f>SUM(C243:AS243)</f>
        <v>54000</v>
      </c>
      <c r="B243" s="27" t="s">
        <v>18</v>
      </c>
      <c r="C243" s="65">
        <v>0</v>
      </c>
      <c r="D243" s="26">
        <f t="shared" ref="D243:AM243" si="425">IF(D$3="","",D242*D237)</f>
        <v>0</v>
      </c>
      <c r="E243" s="26">
        <f t="shared" si="425"/>
        <v>7500</v>
      </c>
      <c r="F243" s="54">
        <f t="shared" si="425"/>
        <v>0</v>
      </c>
      <c r="G243" s="26">
        <f t="shared" si="425"/>
        <v>0</v>
      </c>
      <c r="H243" s="26">
        <f t="shared" si="425"/>
        <v>9000</v>
      </c>
      <c r="I243" s="54">
        <f t="shared" si="425"/>
        <v>0</v>
      </c>
      <c r="J243" s="26">
        <f t="shared" si="425"/>
        <v>0</v>
      </c>
      <c r="K243" s="26">
        <f t="shared" si="425"/>
        <v>0</v>
      </c>
      <c r="L243" s="26">
        <f t="shared" si="425"/>
        <v>6000</v>
      </c>
      <c r="M243" s="54">
        <f t="shared" si="425"/>
        <v>0</v>
      </c>
      <c r="N243" s="26">
        <f t="shared" si="425"/>
        <v>0</v>
      </c>
      <c r="O243" s="26">
        <f t="shared" si="425"/>
        <v>6000</v>
      </c>
      <c r="P243" s="26">
        <f t="shared" si="425"/>
        <v>0</v>
      </c>
      <c r="Q243" s="26">
        <f t="shared" si="425"/>
        <v>0</v>
      </c>
      <c r="R243" s="26">
        <f t="shared" si="425"/>
        <v>0</v>
      </c>
      <c r="S243" s="26">
        <f t="shared" si="425"/>
        <v>9000</v>
      </c>
      <c r="T243" s="26">
        <f t="shared" si="425"/>
        <v>0</v>
      </c>
      <c r="U243" s="26">
        <f t="shared" si="425"/>
        <v>0</v>
      </c>
      <c r="V243" s="26">
        <f t="shared" si="425"/>
        <v>9000</v>
      </c>
      <c r="W243" s="26">
        <f t="shared" si="425"/>
        <v>0</v>
      </c>
      <c r="X243" s="26">
        <f t="shared" si="425"/>
        <v>0</v>
      </c>
      <c r="Y243" s="26">
        <f t="shared" si="425"/>
        <v>0</v>
      </c>
      <c r="Z243" s="26">
        <f t="shared" si="425"/>
        <v>7500</v>
      </c>
      <c r="AA243" s="26">
        <f t="shared" si="425"/>
        <v>0</v>
      </c>
      <c r="AB243" s="26">
        <f t="shared" si="425"/>
        <v>0</v>
      </c>
      <c r="AC243" s="26">
        <f t="shared" si="425"/>
        <v>0</v>
      </c>
      <c r="AD243" s="26">
        <f t="shared" si="425"/>
        <v>0</v>
      </c>
      <c r="AE243" s="26" t="str">
        <f t="shared" si="425"/>
        <v/>
      </c>
      <c r="AF243" s="26" t="str">
        <f t="shared" si="425"/>
        <v/>
      </c>
      <c r="AG243" s="26" t="str">
        <f t="shared" si="425"/>
        <v/>
      </c>
      <c r="AH243" s="26" t="str">
        <f t="shared" si="425"/>
        <v/>
      </c>
      <c r="AI243" s="26" t="str">
        <f t="shared" si="425"/>
        <v/>
      </c>
      <c r="AJ243" s="26" t="str">
        <f t="shared" si="425"/>
        <v/>
      </c>
      <c r="AK243" s="26" t="str">
        <f t="shared" si="425"/>
        <v/>
      </c>
      <c r="AL243" s="26" t="str">
        <f t="shared" si="425"/>
        <v/>
      </c>
      <c r="AM243" s="26" t="str">
        <f t="shared" si="425"/>
        <v/>
      </c>
      <c r="AN243" s="26" t="str">
        <f t="shared" ref="AN243:AS243" si="426">IF(AN$3="","",AN242*AN237)</f>
        <v/>
      </c>
      <c r="AO243" s="26" t="str">
        <f t="shared" si="426"/>
        <v/>
      </c>
      <c r="AP243" s="26" t="str">
        <f t="shared" si="426"/>
        <v/>
      </c>
      <c r="AQ243" s="26" t="str">
        <f t="shared" si="426"/>
        <v/>
      </c>
      <c r="AR243" s="26" t="str">
        <f t="shared" si="426"/>
        <v/>
      </c>
      <c r="AS243" s="26" t="str">
        <f t="shared" si="426"/>
        <v/>
      </c>
    </row>
    <row r="244" spans="1:45" s="1" customFormat="1" ht="12" thickBot="1">
      <c r="A244" s="4">
        <f>IF(A243="","",A243/(A240*100))</f>
        <v>8.3371931449745251E-2</v>
      </c>
      <c r="B244" s="24" t="s">
        <v>20</v>
      </c>
      <c r="C244" s="67" t="s">
        <v>21</v>
      </c>
      <c r="D244" s="23" t="str">
        <f t="shared" ref="D244:AM244" si="427">IF(D$3="","",IF(D243=0,"",D243/(D240*100)))</f>
        <v/>
      </c>
      <c r="E244" s="23">
        <f t="shared" si="427"/>
        <v>0.10402219140083217</v>
      </c>
      <c r="F244" s="52" t="str">
        <f t="shared" si="427"/>
        <v/>
      </c>
      <c r="G244" s="23" t="str">
        <f t="shared" si="427"/>
        <v/>
      </c>
      <c r="H244" s="23">
        <f t="shared" si="427"/>
        <v>8.7463556851311949E-2</v>
      </c>
      <c r="I244" s="52" t="str">
        <f t="shared" si="427"/>
        <v/>
      </c>
      <c r="J244" s="23" t="str">
        <f t="shared" si="427"/>
        <v/>
      </c>
      <c r="K244" s="23" t="str">
        <f t="shared" si="427"/>
        <v/>
      </c>
      <c r="L244" s="23">
        <f t="shared" si="427"/>
        <v>6.3424947145877375E-2</v>
      </c>
      <c r="M244" s="52" t="str">
        <f t="shared" si="427"/>
        <v/>
      </c>
      <c r="N244" s="23" t="str">
        <f t="shared" si="427"/>
        <v/>
      </c>
      <c r="O244" s="23">
        <f t="shared" si="427"/>
        <v>6.1224489795918366E-2</v>
      </c>
      <c r="P244" s="23" t="str">
        <f t="shared" si="427"/>
        <v/>
      </c>
      <c r="Q244" s="23" t="str">
        <f t="shared" si="427"/>
        <v/>
      </c>
      <c r="R244" s="23" t="str">
        <f t="shared" si="427"/>
        <v/>
      </c>
      <c r="S244" s="23">
        <f t="shared" si="427"/>
        <v>0.10975609756097561</v>
      </c>
      <c r="T244" s="23" t="str">
        <f t="shared" si="427"/>
        <v/>
      </c>
      <c r="U244" s="23" t="str">
        <f t="shared" si="427"/>
        <v/>
      </c>
      <c r="V244" s="23">
        <f t="shared" si="427"/>
        <v>0.13196480938416422</v>
      </c>
      <c r="W244" s="23" t="str">
        <f t="shared" si="427"/>
        <v/>
      </c>
      <c r="X244" s="23" t="str">
        <f t="shared" si="427"/>
        <v/>
      </c>
      <c r="Y244" s="23" t="str">
        <f t="shared" si="427"/>
        <v/>
      </c>
      <c r="Z244" s="23">
        <f t="shared" si="427"/>
        <v>0.10578279266572638</v>
      </c>
      <c r="AA244" s="23" t="str">
        <f t="shared" si="427"/>
        <v/>
      </c>
      <c r="AB244" s="23" t="str">
        <f t="shared" si="427"/>
        <v/>
      </c>
      <c r="AC244" s="23" t="str">
        <f t="shared" si="427"/>
        <v/>
      </c>
      <c r="AD244" s="23" t="str">
        <f t="shared" si="427"/>
        <v/>
      </c>
      <c r="AE244" s="23" t="str">
        <f t="shared" si="427"/>
        <v/>
      </c>
      <c r="AF244" s="23" t="str">
        <f t="shared" si="427"/>
        <v/>
      </c>
      <c r="AG244" s="23" t="str">
        <f t="shared" si="427"/>
        <v/>
      </c>
      <c r="AH244" s="23" t="str">
        <f t="shared" si="427"/>
        <v/>
      </c>
      <c r="AI244" s="23" t="str">
        <f t="shared" si="427"/>
        <v/>
      </c>
      <c r="AJ244" s="23" t="str">
        <f t="shared" si="427"/>
        <v/>
      </c>
      <c r="AK244" s="23" t="str">
        <f t="shared" si="427"/>
        <v/>
      </c>
      <c r="AL244" s="23" t="str">
        <f t="shared" si="427"/>
        <v/>
      </c>
      <c r="AM244" s="23" t="str">
        <f t="shared" si="427"/>
        <v/>
      </c>
      <c r="AN244" s="23" t="str">
        <f t="shared" ref="AN244:AS244" si="428">IF(AN$3="","",IF(AN243=0,"",AN243/(AN240*100)))</f>
        <v/>
      </c>
      <c r="AO244" s="23" t="str">
        <f t="shared" si="428"/>
        <v/>
      </c>
      <c r="AP244" s="23" t="str">
        <f t="shared" si="428"/>
        <v/>
      </c>
      <c r="AQ244" s="23" t="str">
        <f t="shared" si="428"/>
        <v/>
      </c>
      <c r="AR244" s="23" t="str">
        <f t="shared" si="428"/>
        <v/>
      </c>
      <c r="AS244" s="23" t="str">
        <f t="shared" si="428"/>
        <v/>
      </c>
    </row>
    <row r="245" spans="1:45">
      <c r="A245" s="436" t="s">
        <v>430</v>
      </c>
      <c r="B245" s="437"/>
      <c r="C245" s="437">
        <v>1</v>
      </c>
      <c r="AE245">
        <v>1</v>
      </c>
    </row>
  </sheetData>
  <phoneticPr fontId="2"/>
  <conditionalFormatting sqref="A14">
    <cfRule type="cellIs" dxfId="65" priority="13" operator="greaterThan">
      <formula>0.25</formula>
    </cfRule>
  </conditionalFormatting>
  <conditionalFormatting sqref="A26">
    <cfRule type="cellIs" dxfId="64" priority="12" operator="greaterThan">
      <formula>0.25</formula>
    </cfRule>
  </conditionalFormatting>
  <conditionalFormatting sqref="A38">
    <cfRule type="cellIs" dxfId="63" priority="11" operator="greaterThan">
      <formula>0.25</formula>
    </cfRule>
  </conditionalFormatting>
  <conditionalFormatting sqref="A50">
    <cfRule type="cellIs" dxfId="62" priority="10" operator="greaterThan">
      <formula>0.25</formula>
    </cfRule>
  </conditionalFormatting>
  <conditionalFormatting sqref="A62">
    <cfRule type="cellIs" dxfId="61" priority="9" operator="greaterThan">
      <formula>0.25</formula>
    </cfRule>
  </conditionalFormatting>
  <conditionalFormatting sqref="A74">
    <cfRule type="cellIs" dxfId="60" priority="14" operator="greaterThan">
      <formula>0.25</formula>
    </cfRule>
  </conditionalFormatting>
  <conditionalFormatting sqref="A86">
    <cfRule type="cellIs" dxfId="59" priority="15" operator="greaterThan">
      <formula>0.25</formula>
    </cfRule>
  </conditionalFormatting>
  <conditionalFormatting sqref="A98">
    <cfRule type="cellIs" dxfId="58" priority="16" operator="greaterThan">
      <formula>0.25</formula>
    </cfRule>
  </conditionalFormatting>
  <conditionalFormatting sqref="A110">
    <cfRule type="cellIs" dxfId="57" priority="17" operator="greaterThan">
      <formula>0.25</formula>
    </cfRule>
  </conditionalFormatting>
  <conditionalFormatting sqref="A122">
    <cfRule type="cellIs" dxfId="56" priority="18" operator="greaterThan">
      <formula>0.25</formula>
    </cfRule>
  </conditionalFormatting>
  <conditionalFormatting sqref="A134">
    <cfRule type="cellIs" dxfId="55" priority="19" operator="greaterThan">
      <formula>0.25</formula>
    </cfRule>
  </conditionalFormatting>
  <conditionalFormatting sqref="A146">
    <cfRule type="cellIs" dxfId="54" priority="1" operator="greaterThan">
      <formula>0.25</formula>
    </cfRule>
  </conditionalFormatting>
  <conditionalFormatting sqref="A158">
    <cfRule type="cellIs" dxfId="53" priority="3" operator="greaterThan">
      <formula>0.25</formula>
    </cfRule>
  </conditionalFormatting>
  <conditionalFormatting sqref="A170">
    <cfRule type="cellIs" dxfId="52" priority="4" operator="greaterThan">
      <formula>0.25</formula>
    </cfRule>
  </conditionalFormatting>
  <conditionalFormatting sqref="A182">
    <cfRule type="cellIs" dxfId="51" priority="5" operator="greaterThan">
      <formula>0.25</formula>
    </cfRule>
  </conditionalFormatting>
  <conditionalFormatting sqref="A194">
    <cfRule type="cellIs" dxfId="50" priority="2" operator="greaterThan">
      <formula>0.25</formula>
    </cfRule>
  </conditionalFormatting>
  <conditionalFormatting sqref="A206">
    <cfRule type="cellIs" dxfId="49" priority="6" operator="greaterThan">
      <formula>0.25</formula>
    </cfRule>
  </conditionalFormatting>
  <conditionalFormatting sqref="A218">
    <cfRule type="cellIs" dxfId="48" priority="7" operator="greaterThan">
      <formula>0.25</formula>
    </cfRule>
  </conditionalFormatting>
  <conditionalFormatting sqref="A230 A244">
    <cfRule type="cellIs" dxfId="47" priority="8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CDFE-1BC4-41CF-9EB9-3B708CDB8D27}">
  <dimension ref="A1:AS111"/>
  <sheetViews>
    <sheetView zoomScaleNormal="60" zoomScaleSheetLayoutView="100" workbookViewId="0">
      <pane xSplit="2" ySplit="2" topLeftCell="Z39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baseColWidth="10" defaultColWidth="8.83203125" defaultRowHeight="15"/>
  <cols>
    <col min="3" max="45" width="9.1640625" bestFit="1" customWidth="1"/>
  </cols>
  <sheetData>
    <row r="1" spans="1:45" s="93" customFormat="1" ht="11">
      <c r="A1" s="416">
        <f>SUM(A57,A69,A81,A93,A9,A21,A33,A45,A105)</f>
        <v>509555.55555555562</v>
      </c>
      <c r="B1" s="49" t="s">
        <v>0</v>
      </c>
      <c r="C1" s="48">
        <v>46071</v>
      </c>
      <c r="D1" s="48">
        <f t="shared" ref="D1:AN1" si="0">C1+1</f>
        <v>46072</v>
      </c>
      <c r="E1" s="48">
        <f t="shared" si="0"/>
        <v>46073</v>
      </c>
      <c r="F1" s="48">
        <f t="shared" si="0"/>
        <v>46074</v>
      </c>
      <c r="G1" s="48">
        <f t="shared" si="0"/>
        <v>46075</v>
      </c>
      <c r="H1" s="48">
        <f t="shared" si="0"/>
        <v>46076</v>
      </c>
      <c r="I1" s="48">
        <f t="shared" si="0"/>
        <v>46077</v>
      </c>
      <c r="J1" s="48">
        <f t="shared" si="0"/>
        <v>46078</v>
      </c>
      <c r="K1" s="48">
        <f t="shared" si="0"/>
        <v>46079</v>
      </c>
      <c r="L1" s="48">
        <f t="shared" si="0"/>
        <v>46080</v>
      </c>
      <c r="M1" s="48">
        <f t="shared" si="0"/>
        <v>46081</v>
      </c>
      <c r="N1" s="48">
        <f t="shared" si="0"/>
        <v>46082</v>
      </c>
      <c r="O1" s="48">
        <f t="shared" si="0"/>
        <v>46083</v>
      </c>
      <c r="P1" s="48">
        <f t="shared" si="0"/>
        <v>46084</v>
      </c>
      <c r="Q1" s="48">
        <f t="shared" si="0"/>
        <v>46085</v>
      </c>
      <c r="R1" s="48">
        <f t="shared" si="0"/>
        <v>46086</v>
      </c>
      <c r="S1" s="48">
        <f t="shared" si="0"/>
        <v>46087</v>
      </c>
      <c r="T1" s="48">
        <f t="shared" si="0"/>
        <v>46088</v>
      </c>
      <c r="U1" s="48">
        <f t="shared" si="0"/>
        <v>46089</v>
      </c>
      <c r="V1" s="48">
        <f t="shared" si="0"/>
        <v>46090</v>
      </c>
      <c r="W1" s="48">
        <f t="shared" si="0"/>
        <v>46091</v>
      </c>
      <c r="X1" s="48">
        <f t="shared" si="0"/>
        <v>46092</v>
      </c>
      <c r="Y1" s="48">
        <f t="shared" si="0"/>
        <v>46093</v>
      </c>
      <c r="Z1" s="48">
        <f t="shared" si="0"/>
        <v>46094</v>
      </c>
      <c r="AA1" s="48">
        <f t="shared" si="0"/>
        <v>46095</v>
      </c>
      <c r="AB1" s="48">
        <f t="shared" si="0"/>
        <v>46096</v>
      </c>
      <c r="AC1" s="48">
        <f t="shared" si="0"/>
        <v>46097</v>
      </c>
      <c r="AD1" s="48">
        <f t="shared" si="0"/>
        <v>46098</v>
      </c>
      <c r="AE1" s="48">
        <f t="shared" si="0"/>
        <v>46099</v>
      </c>
      <c r="AF1" s="48">
        <f t="shared" si="0"/>
        <v>46100</v>
      </c>
      <c r="AG1" s="48">
        <f t="shared" si="0"/>
        <v>46101</v>
      </c>
      <c r="AH1" s="48">
        <f t="shared" si="0"/>
        <v>46102</v>
      </c>
      <c r="AI1" s="48">
        <f t="shared" si="0"/>
        <v>46103</v>
      </c>
      <c r="AJ1" s="48">
        <f t="shared" si="0"/>
        <v>46104</v>
      </c>
      <c r="AK1" s="48">
        <f t="shared" si="0"/>
        <v>46105</v>
      </c>
      <c r="AL1" s="48">
        <f t="shared" si="0"/>
        <v>46106</v>
      </c>
      <c r="AM1" s="48">
        <f t="shared" si="0"/>
        <v>46107</v>
      </c>
      <c r="AN1" s="48">
        <f t="shared" si="0"/>
        <v>46108</v>
      </c>
      <c r="AO1" s="48">
        <f t="shared" ref="AO1:AS1" si="1">AN1+1</f>
        <v>46109</v>
      </c>
      <c r="AP1" s="48">
        <f t="shared" si="1"/>
        <v>46110</v>
      </c>
      <c r="AQ1" s="48">
        <f t="shared" si="1"/>
        <v>46111</v>
      </c>
      <c r="AR1" s="48">
        <f t="shared" si="1"/>
        <v>46112</v>
      </c>
      <c r="AS1" s="48">
        <f t="shared" si="1"/>
        <v>46113</v>
      </c>
    </row>
    <row r="2" spans="1:45" s="93" customFormat="1" ht="12" thickBot="1">
      <c r="A2" s="47"/>
      <c r="B2" s="46">
        <f>SUM(C2:AO2)</f>
        <v>4586</v>
      </c>
      <c r="C2" s="115">
        <v>0</v>
      </c>
      <c r="D2" s="45">
        <f t="shared" ref="D2:AN2" si="2">SUM(D10,D22,D34,D46,D58,D70,D82,D94,D106)</f>
        <v>0</v>
      </c>
      <c r="E2" s="45">
        <f t="shared" si="2"/>
        <v>618</v>
      </c>
      <c r="F2" s="126">
        <f t="shared" si="2"/>
        <v>0</v>
      </c>
      <c r="G2" s="45">
        <f t="shared" si="2"/>
        <v>0</v>
      </c>
      <c r="H2" s="45">
        <f t="shared" si="2"/>
        <v>855</v>
      </c>
      <c r="I2" s="126">
        <f t="shared" si="2"/>
        <v>0</v>
      </c>
      <c r="J2" s="45">
        <f t="shared" si="2"/>
        <v>0</v>
      </c>
      <c r="K2" s="45">
        <f t="shared" si="2"/>
        <v>0</v>
      </c>
      <c r="L2" s="45">
        <f t="shared" si="2"/>
        <v>437</v>
      </c>
      <c r="M2" s="126">
        <f t="shared" si="2"/>
        <v>0</v>
      </c>
      <c r="N2" s="45">
        <f t="shared" si="2"/>
        <v>0</v>
      </c>
      <c r="O2" s="45">
        <f t="shared" si="2"/>
        <v>537</v>
      </c>
      <c r="P2" s="45">
        <f t="shared" si="2"/>
        <v>0</v>
      </c>
      <c r="Q2" s="45">
        <f t="shared" si="2"/>
        <v>0</v>
      </c>
      <c r="R2" s="45">
        <f t="shared" si="2"/>
        <v>0</v>
      </c>
      <c r="S2" s="45">
        <f t="shared" si="2"/>
        <v>0</v>
      </c>
      <c r="T2" s="45">
        <f t="shared" si="2"/>
        <v>541</v>
      </c>
      <c r="U2" s="45">
        <f t="shared" si="2"/>
        <v>0</v>
      </c>
      <c r="V2" s="45">
        <f t="shared" si="2"/>
        <v>603</v>
      </c>
      <c r="W2" s="45">
        <f t="shared" si="2"/>
        <v>0</v>
      </c>
      <c r="X2" s="45">
        <f t="shared" si="2"/>
        <v>0</v>
      </c>
      <c r="Y2" s="45">
        <f t="shared" si="2"/>
        <v>0</v>
      </c>
      <c r="Z2" s="45">
        <f t="shared" si="2"/>
        <v>467</v>
      </c>
      <c r="AA2" s="45">
        <f t="shared" si="2"/>
        <v>0</v>
      </c>
      <c r="AB2" s="45">
        <f t="shared" si="2"/>
        <v>0</v>
      </c>
      <c r="AC2" s="45">
        <f t="shared" si="2"/>
        <v>528</v>
      </c>
      <c r="AD2" s="45">
        <f t="shared" si="2"/>
        <v>0</v>
      </c>
      <c r="AE2" s="45">
        <f t="shared" si="2"/>
        <v>0</v>
      </c>
      <c r="AF2" s="45">
        <f t="shared" si="2"/>
        <v>0</v>
      </c>
      <c r="AG2" s="45">
        <f t="shared" si="2"/>
        <v>0</v>
      </c>
      <c r="AH2" s="45">
        <f t="shared" si="2"/>
        <v>0</v>
      </c>
      <c r="AI2" s="45">
        <f t="shared" si="2"/>
        <v>0</v>
      </c>
      <c r="AJ2" s="45">
        <f t="shared" si="2"/>
        <v>0</v>
      </c>
      <c r="AK2" s="45">
        <f t="shared" si="2"/>
        <v>0</v>
      </c>
      <c r="AL2" s="45">
        <f t="shared" si="2"/>
        <v>0</v>
      </c>
      <c r="AM2" s="45">
        <f t="shared" si="2"/>
        <v>0</v>
      </c>
      <c r="AN2" s="45">
        <f t="shared" si="2"/>
        <v>0</v>
      </c>
      <c r="AO2" s="45">
        <f t="shared" ref="AO2:AS2" si="3">SUM(AO10,AO22,AO34,AO46,AO58,AO70,AO82,AO94,AO106)</f>
        <v>0</v>
      </c>
      <c r="AP2" s="45">
        <f t="shared" si="3"/>
        <v>0</v>
      </c>
      <c r="AQ2" s="45">
        <f t="shared" si="3"/>
        <v>0</v>
      </c>
      <c r="AR2" s="45">
        <f t="shared" si="3"/>
        <v>0</v>
      </c>
      <c r="AS2" s="45">
        <f t="shared" si="3"/>
        <v>0</v>
      </c>
    </row>
    <row r="3" spans="1:45" s="93" customFormat="1" ht="11">
      <c r="A3" s="22" t="s">
        <v>130</v>
      </c>
      <c r="B3" s="21" t="s">
        <v>2</v>
      </c>
      <c r="C3" s="73">
        <v>93</v>
      </c>
      <c r="D3" s="20">
        <v>93</v>
      </c>
      <c r="E3" s="20">
        <v>112</v>
      </c>
      <c r="F3" s="20">
        <v>112</v>
      </c>
      <c r="G3" s="20">
        <v>112</v>
      </c>
      <c r="H3" s="20">
        <v>148</v>
      </c>
      <c r="I3" s="20">
        <v>148</v>
      </c>
      <c r="J3" s="20">
        <v>148</v>
      </c>
      <c r="K3" s="20">
        <v>148</v>
      </c>
      <c r="L3" s="20">
        <v>161</v>
      </c>
      <c r="M3" s="20">
        <v>161</v>
      </c>
      <c r="N3" s="20">
        <v>161</v>
      </c>
      <c r="O3" s="20">
        <v>179</v>
      </c>
      <c r="P3" s="20">
        <v>179</v>
      </c>
      <c r="Q3" s="20">
        <v>179</v>
      </c>
      <c r="R3" s="20">
        <v>179</v>
      </c>
      <c r="S3" s="20">
        <v>179</v>
      </c>
      <c r="T3" s="20">
        <v>202</v>
      </c>
      <c r="U3" s="20">
        <v>202</v>
      </c>
      <c r="V3" s="20">
        <v>226</v>
      </c>
      <c r="W3" s="20">
        <v>226</v>
      </c>
      <c r="X3" s="20">
        <v>226</v>
      </c>
      <c r="Y3" s="20">
        <v>226</v>
      </c>
      <c r="Z3" s="20">
        <v>235</v>
      </c>
      <c r="AA3" s="20">
        <v>235</v>
      </c>
      <c r="AB3" s="20">
        <v>235</v>
      </c>
      <c r="AC3" s="20">
        <v>250</v>
      </c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s="93" customFormat="1" ht="11">
      <c r="A4" s="16" t="s">
        <v>131</v>
      </c>
      <c r="B4" s="9" t="s">
        <v>4</v>
      </c>
      <c r="C4" s="74">
        <v>0</v>
      </c>
      <c r="D4" s="8">
        <f>IF(天文館!D$3="","",C4)</f>
        <v>0</v>
      </c>
      <c r="E4" s="8">
        <v>1</v>
      </c>
      <c r="F4" s="59">
        <f t="shared" ref="F4:AO4" si="4">IF(F$3="","",E4)</f>
        <v>1</v>
      </c>
      <c r="G4" s="8">
        <f t="shared" si="4"/>
        <v>1</v>
      </c>
      <c r="H4" s="8">
        <f t="shared" si="4"/>
        <v>1</v>
      </c>
      <c r="I4" s="59">
        <f t="shared" si="4"/>
        <v>1</v>
      </c>
      <c r="J4" s="8">
        <f t="shared" si="4"/>
        <v>1</v>
      </c>
      <c r="K4" s="8">
        <f t="shared" si="4"/>
        <v>1</v>
      </c>
      <c r="L4" s="8">
        <f t="shared" si="4"/>
        <v>1</v>
      </c>
      <c r="M4" s="59">
        <f t="shared" si="4"/>
        <v>1</v>
      </c>
      <c r="N4" s="8">
        <f t="shared" si="4"/>
        <v>1</v>
      </c>
      <c r="O4" s="8">
        <f t="shared" si="4"/>
        <v>1</v>
      </c>
      <c r="P4" s="8">
        <f t="shared" si="4"/>
        <v>1</v>
      </c>
      <c r="Q4" s="8">
        <f t="shared" si="4"/>
        <v>1</v>
      </c>
      <c r="R4" s="8">
        <f t="shared" si="4"/>
        <v>1</v>
      </c>
      <c r="S4" s="8">
        <f t="shared" si="4"/>
        <v>1</v>
      </c>
      <c r="T4" s="8">
        <v>2</v>
      </c>
      <c r="U4" s="8">
        <f t="shared" si="4"/>
        <v>2</v>
      </c>
      <c r="V4" s="8">
        <f>IF(V$3="","",U4)</f>
        <v>2</v>
      </c>
      <c r="W4" s="8">
        <f t="shared" si="4"/>
        <v>2</v>
      </c>
      <c r="X4" s="8">
        <f t="shared" si="4"/>
        <v>2</v>
      </c>
      <c r="Y4" s="8">
        <f t="shared" si="4"/>
        <v>2</v>
      </c>
      <c r="Z4" s="8">
        <f t="shared" si="4"/>
        <v>2</v>
      </c>
      <c r="AA4" s="8">
        <f t="shared" si="4"/>
        <v>2</v>
      </c>
      <c r="AB4" s="8">
        <f t="shared" si="4"/>
        <v>2</v>
      </c>
      <c r="AC4" s="8">
        <f t="shared" si="4"/>
        <v>2</v>
      </c>
      <c r="AD4" s="8" t="str">
        <f t="shared" si="4"/>
        <v/>
      </c>
      <c r="AE4" s="8" t="str">
        <f t="shared" si="4"/>
        <v/>
      </c>
      <c r="AF4" s="8" t="str">
        <f t="shared" si="4"/>
        <v/>
      </c>
      <c r="AG4" s="8" t="str">
        <f t="shared" si="4"/>
        <v/>
      </c>
      <c r="AH4" s="8" t="str">
        <f t="shared" si="4"/>
        <v/>
      </c>
      <c r="AI4" s="8" t="str">
        <f t="shared" si="4"/>
        <v/>
      </c>
      <c r="AJ4" s="8" t="str">
        <f t="shared" si="4"/>
        <v/>
      </c>
      <c r="AK4" s="8" t="str">
        <f t="shared" si="4"/>
        <v/>
      </c>
      <c r="AL4" s="8" t="str">
        <f t="shared" si="4"/>
        <v/>
      </c>
      <c r="AM4" s="8" t="str">
        <f t="shared" si="4"/>
        <v/>
      </c>
      <c r="AN4" s="8" t="str">
        <f t="shared" si="4"/>
        <v/>
      </c>
      <c r="AO4" s="8" t="str">
        <f t="shared" si="4"/>
        <v/>
      </c>
      <c r="AP4" s="8" t="str">
        <f>IF(天文館!AP$3="","",AO4)</f>
        <v/>
      </c>
      <c r="AQ4" s="8" t="str">
        <f>IF(天文館!AQ$3="","",AP4)</f>
        <v/>
      </c>
      <c r="AR4" s="8" t="str">
        <f>IF(天文館!AR$3="","",AQ4)</f>
        <v/>
      </c>
      <c r="AS4" s="8" t="str">
        <f>IF(天文館!AS$3="","",AR4)</f>
        <v/>
      </c>
    </row>
    <row r="5" spans="1:45" s="93" customFormat="1" ht="11">
      <c r="A5" s="15">
        <v>1</v>
      </c>
      <c r="B5" s="9" t="s">
        <v>5</v>
      </c>
      <c r="C5" s="74">
        <v>9</v>
      </c>
      <c r="D5" s="8">
        <f>IF(D3="","",(C5+C6))</f>
        <v>9</v>
      </c>
      <c r="E5" s="8">
        <v>8</v>
      </c>
      <c r="F5" s="59">
        <f t="shared" ref="F5:AN5" si="5">IF(F3="","",(E5+E6))</f>
        <v>8</v>
      </c>
      <c r="G5" s="8">
        <f t="shared" si="5"/>
        <v>8</v>
      </c>
      <c r="H5" s="8">
        <f t="shared" si="5"/>
        <v>8</v>
      </c>
      <c r="I5" s="59">
        <f t="shared" si="5"/>
        <v>8</v>
      </c>
      <c r="J5" s="8">
        <f t="shared" si="5"/>
        <v>8</v>
      </c>
      <c r="K5" s="8">
        <f t="shared" si="5"/>
        <v>8</v>
      </c>
      <c r="L5" s="8">
        <f t="shared" si="5"/>
        <v>8</v>
      </c>
      <c r="M5" s="59">
        <f t="shared" si="5"/>
        <v>8</v>
      </c>
      <c r="N5" s="8">
        <f t="shared" si="5"/>
        <v>8</v>
      </c>
      <c r="O5" s="8">
        <f t="shared" si="5"/>
        <v>8</v>
      </c>
      <c r="P5" s="8">
        <f t="shared" si="5"/>
        <v>8</v>
      </c>
      <c r="Q5" s="8">
        <f t="shared" si="5"/>
        <v>8</v>
      </c>
      <c r="R5" s="8">
        <f t="shared" si="5"/>
        <v>8</v>
      </c>
      <c r="S5" s="8">
        <f t="shared" si="5"/>
        <v>8</v>
      </c>
      <c r="T5" s="8">
        <v>7</v>
      </c>
      <c r="U5" s="8">
        <f t="shared" si="5"/>
        <v>7</v>
      </c>
      <c r="V5" s="8">
        <f t="shared" si="5"/>
        <v>7</v>
      </c>
      <c r="W5" s="8">
        <f t="shared" si="5"/>
        <v>9</v>
      </c>
      <c r="X5" s="8">
        <f t="shared" si="5"/>
        <v>9</v>
      </c>
      <c r="Y5" s="8">
        <f t="shared" si="5"/>
        <v>9</v>
      </c>
      <c r="Z5" s="8">
        <f t="shared" si="5"/>
        <v>9</v>
      </c>
      <c r="AA5" s="8">
        <f t="shared" si="5"/>
        <v>9</v>
      </c>
      <c r="AB5" s="8">
        <f t="shared" si="5"/>
        <v>9</v>
      </c>
      <c r="AC5" s="8">
        <f t="shared" si="5"/>
        <v>9</v>
      </c>
      <c r="AD5" s="8" t="str">
        <f t="shared" si="5"/>
        <v/>
      </c>
      <c r="AE5" s="8" t="str">
        <f t="shared" si="5"/>
        <v/>
      </c>
      <c r="AF5" s="8" t="str">
        <f t="shared" si="5"/>
        <v/>
      </c>
      <c r="AG5" s="8" t="str">
        <f t="shared" si="5"/>
        <v/>
      </c>
      <c r="AH5" s="8" t="str">
        <f t="shared" si="5"/>
        <v/>
      </c>
      <c r="AI5" s="8" t="str">
        <f t="shared" si="5"/>
        <v/>
      </c>
      <c r="AJ5" s="8" t="str">
        <f t="shared" si="5"/>
        <v/>
      </c>
      <c r="AK5" s="8" t="str">
        <f t="shared" si="5"/>
        <v/>
      </c>
      <c r="AL5" s="8" t="str">
        <f t="shared" si="5"/>
        <v/>
      </c>
      <c r="AM5" s="8" t="str">
        <f t="shared" si="5"/>
        <v/>
      </c>
      <c r="AN5" s="8" t="str">
        <f t="shared" si="5"/>
        <v/>
      </c>
      <c r="AO5" s="8" t="str">
        <f t="shared" ref="AO5:AS5" si="6">IF(AO3="","",(AN5+AN6))</f>
        <v/>
      </c>
      <c r="AP5" s="8" t="str">
        <f t="shared" si="6"/>
        <v/>
      </c>
      <c r="AQ5" s="8" t="str">
        <f t="shared" si="6"/>
        <v/>
      </c>
      <c r="AR5" s="8" t="str">
        <f t="shared" si="6"/>
        <v/>
      </c>
      <c r="AS5" s="8" t="str">
        <f t="shared" si="6"/>
        <v/>
      </c>
    </row>
    <row r="6" spans="1:45" s="93" customFormat="1" ht="11">
      <c r="A6" s="101" t="s">
        <v>6</v>
      </c>
      <c r="B6" s="9" t="s">
        <v>7</v>
      </c>
      <c r="C6" s="74"/>
      <c r="D6" s="8"/>
      <c r="E6" s="8"/>
      <c r="F6" s="59"/>
      <c r="G6" s="8"/>
      <c r="H6" s="8"/>
      <c r="I6" s="59"/>
      <c r="J6" s="8"/>
      <c r="K6" s="8"/>
      <c r="L6" s="8"/>
      <c r="M6" s="59"/>
      <c r="N6" s="8"/>
      <c r="O6" s="8"/>
      <c r="P6" s="8"/>
      <c r="Q6" s="8"/>
      <c r="R6" s="8"/>
      <c r="S6" s="8"/>
      <c r="T6" s="8"/>
      <c r="U6" s="8"/>
      <c r="V6" s="8">
        <v>2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s="93" customFormat="1" ht="11">
      <c r="A7" s="102">
        <f>+(A10+A22+A34+A46)*100</f>
        <v>124100</v>
      </c>
      <c r="B7" s="9" t="s">
        <v>8</v>
      </c>
      <c r="C7" s="74">
        <v>900</v>
      </c>
      <c r="D7" s="8">
        <f t="shared" ref="D7:AN7" si="7">IF(D3="","",C7)</f>
        <v>900</v>
      </c>
      <c r="E7" s="8">
        <f t="shared" si="7"/>
        <v>900</v>
      </c>
      <c r="F7" s="59">
        <f t="shared" si="7"/>
        <v>900</v>
      </c>
      <c r="G7" s="8">
        <f t="shared" si="7"/>
        <v>900</v>
      </c>
      <c r="H7" s="8">
        <f t="shared" si="7"/>
        <v>900</v>
      </c>
      <c r="I7" s="59">
        <f t="shared" si="7"/>
        <v>900</v>
      </c>
      <c r="J7" s="8">
        <f t="shared" si="7"/>
        <v>900</v>
      </c>
      <c r="K7" s="8">
        <f t="shared" si="7"/>
        <v>900</v>
      </c>
      <c r="L7" s="8">
        <f t="shared" si="7"/>
        <v>900</v>
      </c>
      <c r="M7" s="59">
        <f t="shared" si="7"/>
        <v>900</v>
      </c>
      <c r="N7" s="8">
        <f t="shared" si="7"/>
        <v>900</v>
      </c>
      <c r="O7" s="8">
        <f t="shared" si="7"/>
        <v>900</v>
      </c>
      <c r="P7" s="8">
        <f t="shared" si="7"/>
        <v>900</v>
      </c>
      <c r="Q7" s="8">
        <f t="shared" si="7"/>
        <v>900</v>
      </c>
      <c r="R7" s="8">
        <f t="shared" si="7"/>
        <v>900</v>
      </c>
      <c r="S7" s="8">
        <f t="shared" si="7"/>
        <v>900</v>
      </c>
      <c r="T7" s="8">
        <f t="shared" si="7"/>
        <v>900</v>
      </c>
      <c r="U7" s="8">
        <f t="shared" si="7"/>
        <v>900</v>
      </c>
      <c r="V7" s="8">
        <f t="shared" si="7"/>
        <v>900</v>
      </c>
      <c r="W7" s="8">
        <f t="shared" si="7"/>
        <v>900</v>
      </c>
      <c r="X7" s="8">
        <f t="shared" si="7"/>
        <v>900</v>
      </c>
      <c r="Y7" s="8">
        <f t="shared" si="7"/>
        <v>900</v>
      </c>
      <c r="Z7" s="8">
        <f t="shared" si="7"/>
        <v>900</v>
      </c>
      <c r="AA7" s="8">
        <f t="shared" si="7"/>
        <v>900</v>
      </c>
      <c r="AB7" s="8">
        <f t="shared" si="7"/>
        <v>900</v>
      </c>
      <c r="AC7" s="8">
        <f t="shared" si="7"/>
        <v>900</v>
      </c>
      <c r="AD7" s="8" t="str">
        <f t="shared" si="7"/>
        <v/>
      </c>
      <c r="AE7" s="8" t="str">
        <f t="shared" si="7"/>
        <v/>
      </c>
      <c r="AF7" s="8" t="str">
        <f t="shared" si="7"/>
        <v/>
      </c>
      <c r="AG7" s="8" t="str">
        <f t="shared" si="7"/>
        <v/>
      </c>
      <c r="AH7" s="8" t="str">
        <f t="shared" si="7"/>
        <v/>
      </c>
      <c r="AI7" s="8" t="str">
        <f t="shared" si="7"/>
        <v/>
      </c>
      <c r="AJ7" s="8" t="str">
        <f t="shared" si="7"/>
        <v/>
      </c>
      <c r="AK7" s="8" t="str">
        <f t="shared" si="7"/>
        <v/>
      </c>
      <c r="AL7" s="8" t="str">
        <f t="shared" si="7"/>
        <v/>
      </c>
      <c r="AM7" s="8" t="str">
        <f t="shared" si="7"/>
        <v/>
      </c>
      <c r="AN7" s="8" t="str">
        <f t="shared" si="7"/>
        <v/>
      </c>
      <c r="AO7" s="8" t="str">
        <f t="shared" ref="AO7:AS7" si="8">IF(AO3="","",AN7)</f>
        <v/>
      </c>
      <c r="AP7" s="8" t="str">
        <f t="shared" si="8"/>
        <v/>
      </c>
      <c r="AQ7" s="8" t="str">
        <f t="shared" si="8"/>
        <v/>
      </c>
      <c r="AR7" s="8" t="str">
        <f t="shared" si="8"/>
        <v/>
      </c>
      <c r="AS7" s="8" t="str">
        <f t="shared" si="8"/>
        <v/>
      </c>
    </row>
    <row r="8" spans="1:45" s="94" customFormat="1" ht="11">
      <c r="A8" s="14" t="s">
        <v>9</v>
      </c>
      <c r="B8" s="13" t="s">
        <v>10</v>
      </c>
      <c r="C8" s="75" t="s">
        <v>45</v>
      </c>
      <c r="D8" s="12" t="str">
        <f t="shared" ref="D8:AN8" si="9">IF(D3="","",C8)</f>
        <v>ギャルキティマスコット</v>
      </c>
      <c r="E8" s="12" t="str">
        <f t="shared" si="9"/>
        <v>ギャルキティマスコット</v>
      </c>
      <c r="F8" s="131" t="str">
        <f t="shared" si="9"/>
        <v>ギャルキティマスコット</v>
      </c>
      <c r="G8" s="12" t="str">
        <f t="shared" si="9"/>
        <v>ギャルキティマスコット</v>
      </c>
      <c r="H8" s="12" t="str">
        <f t="shared" si="9"/>
        <v>ギャルキティマスコット</v>
      </c>
      <c r="I8" s="131" t="str">
        <f t="shared" si="9"/>
        <v>ギャルキティマスコット</v>
      </c>
      <c r="J8" s="12" t="str">
        <f t="shared" si="9"/>
        <v>ギャルキティマスコット</v>
      </c>
      <c r="K8" s="12" t="str">
        <f t="shared" si="9"/>
        <v>ギャルキティマスコット</v>
      </c>
      <c r="L8" s="12" t="str">
        <f t="shared" si="9"/>
        <v>ギャルキティマスコット</v>
      </c>
      <c r="M8" s="131" t="str">
        <f t="shared" si="9"/>
        <v>ギャルキティマスコット</v>
      </c>
      <c r="N8" s="12" t="str">
        <f t="shared" si="9"/>
        <v>ギャルキティマスコット</v>
      </c>
      <c r="O8" s="12" t="str">
        <f t="shared" si="9"/>
        <v>ギャルキティマスコット</v>
      </c>
      <c r="P8" s="12" t="str">
        <f t="shared" si="9"/>
        <v>ギャルキティマスコット</v>
      </c>
      <c r="Q8" s="12" t="str">
        <f t="shared" si="9"/>
        <v>ギャルキティマスコット</v>
      </c>
      <c r="R8" s="12" t="str">
        <f t="shared" si="9"/>
        <v>ギャルキティマスコット</v>
      </c>
      <c r="S8" s="12" t="str">
        <f t="shared" si="9"/>
        <v>ギャルキティマスコット</v>
      </c>
      <c r="T8" s="12" t="str">
        <f t="shared" si="9"/>
        <v>ギャルキティマスコット</v>
      </c>
      <c r="U8" s="12" t="str">
        <f t="shared" si="9"/>
        <v>ギャルキティマスコット</v>
      </c>
      <c r="V8" s="12" t="str">
        <f t="shared" si="9"/>
        <v>ギャルキティマスコット</v>
      </c>
      <c r="W8" s="12" t="str">
        <f t="shared" si="9"/>
        <v>ギャルキティマスコット</v>
      </c>
      <c r="X8" s="12" t="str">
        <f t="shared" si="9"/>
        <v>ギャルキティマスコット</v>
      </c>
      <c r="Y8" s="12" t="str">
        <f t="shared" si="9"/>
        <v>ギャルキティマスコット</v>
      </c>
      <c r="Z8" s="12" t="str">
        <f t="shared" si="9"/>
        <v>ギャルキティマスコット</v>
      </c>
      <c r="AA8" s="12" t="str">
        <f t="shared" si="9"/>
        <v>ギャルキティマスコット</v>
      </c>
      <c r="AB8" s="12" t="str">
        <f t="shared" si="9"/>
        <v>ギャルキティマスコット</v>
      </c>
      <c r="AC8" s="12" t="str">
        <f t="shared" si="9"/>
        <v>ギャルキティマスコット</v>
      </c>
      <c r="AD8" s="12" t="str">
        <f t="shared" si="9"/>
        <v/>
      </c>
      <c r="AE8" s="12" t="str">
        <f t="shared" si="9"/>
        <v/>
      </c>
      <c r="AF8" s="12" t="str">
        <f t="shared" si="9"/>
        <v/>
      </c>
      <c r="AG8" s="12" t="str">
        <f t="shared" si="9"/>
        <v/>
      </c>
      <c r="AH8" s="12" t="str">
        <f t="shared" si="9"/>
        <v/>
      </c>
      <c r="AI8" s="12" t="str">
        <f t="shared" si="9"/>
        <v/>
      </c>
      <c r="AJ8" s="12" t="str">
        <f t="shared" si="9"/>
        <v/>
      </c>
      <c r="AK8" s="12" t="str">
        <f t="shared" si="9"/>
        <v/>
      </c>
      <c r="AL8" s="12" t="str">
        <f t="shared" si="9"/>
        <v/>
      </c>
      <c r="AM8" s="12" t="str">
        <f t="shared" si="9"/>
        <v/>
      </c>
      <c r="AN8" s="12" t="str">
        <f t="shared" si="9"/>
        <v/>
      </c>
      <c r="AO8" s="12" t="str">
        <f t="shared" ref="AO8:AS8" si="10">IF(AO3="","",AN8)</f>
        <v/>
      </c>
      <c r="AP8" s="12" t="str">
        <f t="shared" si="10"/>
        <v/>
      </c>
      <c r="AQ8" s="12" t="str">
        <f t="shared" si="10"/>
        <v/>
      </c>
      <c r="AR8" s="12" t="str">
        <f t="shared" si="10"/>
        <v/>
      </c>
      <c r="AS8" s="12" t="str">
        <f t="shared" si="10"/>
        <v/>
      </c>
    </row>
    <row r="9" spans="1:45" s="93" customFormat="1" ht="11">
      <c r="A9" s="7">
        <f>AVERAGE(C10:AS10)*30*100</f>
        <v>17444.444444444445</v>
      </c>
      <c r="B9" s="9" t="s">
        <v>14</v>
      </c>
      <c r="C9" s="74"/>
      <c r="D9" s="8"/>
      <c r="E9" s="8"/>
      <c r="F9" s="59"/>
      <c r="G9" s="8"/>
      <c r="H9" s="8"/>
      <c r="I9" s="59"/>
      <c r="J9" s="8"/>
      <c r="K9" s="8"/>
      <c r="L9" s="8"/>
      <c r="M9" s="5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s="93" customFormat="1" ht="11">
      <c r="A10" s="7">
        <f>SUM(C10:AS10)</f>
        <v>157</v>
      </c>
      <c r="B10" s="6" t="s">
        <v>15</v>
      </c>
      <c r="C10" s="74">
        <v>0</v>
      </c>
      <c r="D10" s="5">
        <f t="shared" ref="D10:AN10" si="11">IF(D3="","",D3-C3)</f>
        <v>0</v>
      </c>
      <c r="E10" s="5">
        <f t="shared" si="11"/>
        <v>19</v>
      </c>
      <c r="F10" s="59">
        <f t="shared" si="11"/>
        <v>0</v>
      </c>
      <c r="G10" s="5">
        <f t="shared" si="11"/>
        <v>0</v>
      </c>
      <c r="H10" s="5">
        <f t="shared" si="11"/>
        <v>36</v>
      </c>
      <c r="I10" s="59">
        <f t="shared" si="11"/>
        <v>0</v>
      </c>
      <c r="J10" s="5">
        <f t="shared" si="11"/>
        <v>0</v>
      </c>
      <c r="K10" s="5">
        <f t="shared" si="11"/>
        <v>0</v>
      </c>
      <c r="L10" s="5">
        <f t="shared" si="11"/>
        <v>13</v>
      </c>
      <c r="M10" s="59">
        <f t="shared" si="11"/>
        <v>0</v>
      </c>
      <c r="N10" s="5">
        <f t="shared" si="11"/>
        <v>0</v>
      </c>
      <c r="O10" s="5">
        <f t="shared" si="11"/>
        <v>18</v>
      </c>
      <c r="P10" s="5">
        <f t="shared" si="11"/>
        <v>0</v>
      </c>
      <c r="Q10" s="5">
        <f t="shared" si="11"/>
        <v>0</v>
      </c>
      <c r="R10" s="5">
        <f t="shared" si="11"/>
        <v>0</v>
      </c>
      <c r="S10" s="5">
        <f t="shared" si="11"/>
        <v>0</v>
      </c>
      <c r="T10" s="5">
        <f t="shared" si="11"/>
        <v>23</v>
      </c>
      <c r="U10" s="5">
        <f t="shared" si="11"/>
        <v>0</v>
      </c>
      <c r="V10" s="5">
        <f t="shared" si="11"/>
        <v>24</v>
      </c>
      <c r="W10" s="5">
        <f t="shared" si="11"/>
        <v>0</v>
      </c>
      <c r="X10" s="5">
        <f t="shared" si="11"/>
        <v>0</v>
      </c>
      <c r="Y10" s="5">
        <f t="shared" si="11"/>
        <v>0</v>
      </c>
      <c r="Z10" s="5">
        <f t="shared" si="11"/>
        <v>9</v>
      </c>
      <c r="AA10" s="5">
        <f t="shared" si="11"/>
        <v>0</v>
      </c>
      <c r="AB10" s="5">
        <f t="shared" si="11"/>
        <v>0</v>
      </c>
      <c r="AC10" s="5">
        <f t="shared" si="11"/>
        <v>15</v>
      </c>
      <c r="AD10" s="5" t="str">
        <f t="shared" si="11"/>
        <v/>
      </c>
      <c r="AE10" s="5" t="str">
        <f t="shared" si="11"/>
        <v/>
      </c>
      <c r="AF10" s="5" t="str">
        <f t="shared" si="11"/>
        <v/>
      </c>
      <c r="AG10" s="5" t="str">
        <f t="shared" si="11"/>
        <v/>
      </c>
      <c r="AH10" s="5" t="str">
        <f t="shared" si="11"/>
        <v/>
      </c>
      <c r="AI10" s="5" t="str">
        <f t="shared" si="11"/>
        <v/>
      </c>
      <c r="AJ10" s="5" t="str">
        <f t="shared" si="11"/>
        <v/>
      </c>
      <c r="AK10" s="5" t="str">
        <f t="shared" si="11"/>
        <v/>
      </c>
      <c r="AL10" s="5" t="str">
        <f t="shared" si="11"/>
        <v/>
      </c>
      <c r="AM10" s="5" t="str">
        <f t="shared" si="11"/>
        <v/>
      </c>
      <c r="AN10" s="5" t="str">
        <f t="shared" si="11"/>
        <v/>
      </c>
      <c r="AO10" s="5" t="str">
        <f t="shared" ref="AO10:AS10" si="12">IF(AO3="","",AO3-AN3)</f>
        <v/>
      </c>
      <c r="AP10" s="5" t="str">
        <f t="shared" si="12"/>
        <v/>
      </c>
      <c r="AQ10" s="5" t="str">
        <f t="shared" si="12"/>
        <v/>
      </c>
      <c r="AR10" s="5" t="str">
        <f t="shared" si="12"/>
        <v/>
      </c>
      <c r="AS10" s="5" t="str">
        <f t="shared" si="12"/>
        <v/>
      </c>
    </row>
    <row r="11" spans="1:45" s="93" customFormat="1" ht="11">
      <c r="A11" s="7">
        <f>SUM(C11:AS11)</f>
        <v>2</v>
      </c>
      <c r="B11" s="6" t="s">
        <v>16</v>
      </c>
      <c r="C11" s="74">
        <v>0</v>
      </c>
      <c r="D11" s="5">
        <f t="shared" ref="D11:AN11" si="13">IF(D4="","",D4-C4)</f>
        <v>0</v>
      </c>
      <c r="E11" s="5">
        <f t="shared" si="13"/>
        <v>1</v>
      </c>
      <c r="F11" s="59">
        <f t="shared" si="13"/>
        <v>0</v>
      </c>
      <c r="G11" s="5">
        <f t="shared" si="13"/>
        <v>0</v>
      </c>
      <c r="H11" s="5">
        <f t="shared" si="13"/>
        <v>0</v>
      </c>
      <c r="I11" s="59">
        <f t="shared" si="13"/>
        <v>0</v>
      </c>
      <c r="J11" s="5">
        <f t="shared" si="13"/>
        <v>0</v>
      </c>
      <c r="K11" s="5">
        <f t="shared" si="13"/>
        <v>0</v>
      </c>
      <c r="L11" s="5">
        <f t="shared" si="13"/>
        <v>0</v>
      </c>
      <c r="M11" s="59">
        <f t="shared" si="13"/>
        <v>0</v>
      </c>
      <c r="N11" s="5">
        <f t="shared" si="13"/>
        <v>0</v>
      </c>
      <c r="O11" s="5">
        <f t="shared" si="13"/>
        <v>0</v>
      </c>
      <c r="P11" s="5">
        <f t="shared" si="13"/>
        <v>0</v>
      </c>
      <c r="Q11" s="5">
        <f t="shared" si="13"/>
        <v>0</v>
      </c>
      <c r="R11" s="5">
        <f t="shared" si="13"/>
        <v>0</v>
      </c>
      <c r="S11" s="5">
        <f t="shared" si="13"/>
        <v>0</v>
      </c>
      <c r="T11" s="5">
        <f t="shared" si="13"/>
        <v>1</v>
      </c>
      <c r="U11" s="5">
        <f t="shared" si="13"/>
        <v>0</v>
      </c>
      <c r="V11" s="5">
        <f t="shared" si="13"/>
        <v>0</v>
      </c>
      <c r="W11" s="5">
        <f t="shared" si="13"/>
        <v>0</v>
      </c>
      <c r="X11" s="5">
        <f t="shared" si="13"/>
        <v>0</v>
      </c>
      <c r="Y11" s="5">
        <f t="shared" si="13"/>
        <v>0</v>
      </c>
      <c r="Z11" s="5">
        <f t="shared" si="13"/>
        <v>0</v>
      </c>
      <c r="AA11" s="5">
        <f t="shared" si="13"/>
        <v>0</v>
      </c>
      <c r="AB11" s="5">
        <f t="shared" si="13"/>
        <v>0</v>
      </c>
      <c r="AC11" s="5">
        <f t="shared" si="13"/>
        <v>0</v>
      </c>
      <c r="AD11" s="5" t="str">
        <f t="shared" si="13"/>
        <v/>
      </c>
      <c r="AE11" s="5" t="str">
        <f t="shared" si="13"/>
        <v/>
      </c>
      <c r="AF11" s="5" t="str">
        <f t="shared" si="13"/>
        <v/>
      </c>
      <c r="AG11" s="5" t="str">
        <f t="shared" si="13"/>
        <v/>
      </c>
      <c r="AH11" s="5" t="str">
        <f t="shared" si="13"/>
        <v/>
      </c>
      <c r="AI11" s="5" t="str">
        <f t="shared" si="13"/>
        <v/>
      </c>
      <c r="AJ11" s="5" t="str">
        <f t="shared" si="13"/>
        <v/>
      </c>
      <c r="AK11" s="5" t="str">
        <f t="shared" si="13"/>
        <v/>
      </c>
      <c r="AL11" s="5" t="str">
        <f t="shared" si="13"/>
        <v/>
      </c>
      <c r="AM11" s="5" t="str">
        <f t="shared" si="13"/>
        <v/>
      </c>
      <c r="AN11" s="5" t="str">
        <f t="shared" si="13"/>
        <v/>
      </c>
      <c r="AO11" s="5" t="str">
        <f t="shared" ref="AO11:AS11" si="14">IF(AO4="","",AO4-AN4)</f>
        <v/>
      </c>
      <c r="AP11" s="5" t="str">
        <f t="shared" si="14"/>
        <v/>
      </c>
      <c r="AQ11" s="5" t="str">
        <f t="shared" si="14"/>
        <v/>
      </c>
      <c r="AR11" s="5" t="str">
        <f t="shared" si="14"/>
        <v/>
      </c>
      <c r="AS11" s="5" t="str">
        <f t="shared" si="14"/>
        <v/>
      </c>
    </row>
    <row r="12" spans="1:45" s="93" customFormat="1" ht="11">
      <c r="A12" s="7">
        <f>SUM(C12:AS12)</f>
        <v>2</v>
      </c>
      <c r="B12" s="6" t="s">
        <v>17</v>
      </c>
      <c r="C12" s="74">
        <v>0</v>
      </c>
      <c r="D12" s="5">
        <f t="shared" ref="D12:AN12" si="15">IF(D5="","",C5+C6-D5)</f>
        <v>0</v>
      </c>
      <c r="E12" s="5">
        <f t="shared" si="15"/>
        <v>1</v>
      </c>
      <c r="F12" s="59">
        <f t="shared" si="15"/>
        <v>0</v>
      </c>
      <c r="G12" s="5">
        <f t="shared" si="15"/>
        <v>0</v>
      </c>
      <c r="H12" s="5">
        <f t="shared" si="15"/>
        <v>0</v>
      </c>
      <c r="I12" s="59">
        <f t="shared" si="15"/>
        <v>0</v>
      </c>
      <c r="J12" s="5">
        <f t="shared" si="15"/>
        <v>0</v>
      </c>
      <c r="K12" s="5">
        <f t="shared" si="15"/>
        <v>0</v>
      </c>
      <c r="L12" s="5">
        <f t="shared" si="15"/>
        <v>0</v>
      </c>
      <c r="M12" s="59">
        <f t="shared" si="15"/>
        <v>0</v>
      </c>
      <c r="N12" s="5">
        <f t="shared" si="15"/>
        <v>0</v>
      </c>
      <c r="O12" s="5">
        <f t="shared" si="15"/>
        <v>0</v>
      </c>
      <c r="P12" s="5">
        <f t="shared" si="15"/>
        <v>0</v>
      </c>
      <c r="Q12" s="5">
        <f t="shared" si="15"/>
        <v>0</v>
      </c>
      <c r="R12" s="5">
        <f t="shared" si="15"/>
        <v>0</v>
      </c>
      <c r="S12" s="5">
        <f t="shared" si="15"/>
        <v>0</v>
      </c>
      <c r="T12" s="5">
        <f t="shared" si="15"/>
        <v>1</v>
      </c>
      <c r="U12" s="5">
        <f t="shared" si="15"/>
        <v>0</v>
      </c>
      <c r="V12" s="5">
        <f t="shared" si="15"/>
        <v>0</v>
      </c>
      <c r="W12" s="5">
        <f t="shared" si="15"/>
        <v>0</v>
      </c>
      <c r="X12" s="5">
        <f t="shared" si="15"/>
        <v>0</v>
      </c>
      <c r="Y12" s="5">
        <f t="shared" si="15"/>
        <v>0</v>
      </c>
      <c r="Z12" s="5">
        <f t="shared" si="15"/>
        <v>0</v>
      </c>
      <c r="AA12" s="5">
        <f t="shared" si="15"/>
        <v>0</v>
      </c>
      <c r="AB12" s="5">
        <f t="shared" si="15"/>
        <v>0</v>
      </c>
      <c r="AC12" s="5">
        <f t="shared" si="15"/>
        <v>0</v>
      </c>
      <c r="AD12" s="5" t="str">
        <f t="shared" si="15"/>
        <v/>
      </c>
      <c r="AE12" s="5" t="str">
        <f t="shared" si="15"/>
        <v/>
      </c>
      <c r="AF12" s="5" t="str">
        <f t="shared" si="15"/>
        <v/>
      </c>
      <c r="AG12" s="5" t="str">
        <f t="shared" si="15"/>
        <v/>
      </c>
      <c r="AH12" s="5" t="str">
        <f t="shared" si="15"/>
        <v/>
      </c>
      <c r="AI12" s="5" t="str">
        <f t="shared" si="15"/>
        <v/>
      </c>
      <c r="AJ12" s="5" t="str">
        <f t="shared" si="15"/>
        <v/>
      </c>
      <c r="AK12" s="5" t="str">
        <f t="shared" si="15"/>
        <v/>
      </c>
      <c r="AL12" s="5" t="str">
        <f t="shared" si="15"/>
        <v/>
      </c>
      <c r="AM12" s="5" t="str">
        <f t="shared" si="15"/>
        <v/>
      </c>
      <c r="AN12" s="5" t="str">
        <f t="shared" si="15"/>
        <v/>
      </c>
      <c r="AO12" s="5" t="str">
        <f t="shared" ref="AO12:AS12" si="16">IF(AO5="","",AN5+AN6-AO5)</f>
        <v/>
      </c>
      <c r="AP12" s="5" t="str">
        <f t="shared" si="16"/>
        <v/>
      </c>
      <c r="AQ12" s="5" t="str">
        <f t="shared" si="16"/>
        <v/>
      </c>
      <c r="AR12" s="5" t="str">
        <f t="shared" si="16"/>
        <v/>
      </c>
      <c r="AS12" s="5" t="str">
        <f t="shared" si="16"/>
        <v/>
      </c>
    </row>
    <row r="13" spans="1:45" s="93" customFormat="1" ht="11">
      <c r="A13" s="7">
        <f>SUM(C13:AS13)</f>
        <v>1800</v>
      </c>
      <c r="B13" s="6" t="s">
        <v>18</v>
      </c>
      <c r="C13" s="74">
        <v>0</v>
      </c>
      <c r="D13" s="5">
        <f t="shared" ref="D13:AN13" si="17">IF(D3="","",D12*D7)</f>
        <v>0</v>
      </c>
      <c r="E13" s="5">
        <f t="shared" si="17"/>
        <v>900</v>
      </c>
      <c r="F13" s="59">
        <f t="shared" si="17"/>
        <v>0</v>
      </c>
      <c r="G13" s="5">
        <f t="shared" si="17"/>
        <v>0</v>
      </c>
      <c r="H13" s="5">
        <f t="shared" si="17"/>
        <v>0</v>
      </c>
      <c r="I13" s="59">
        <f t="shared" si="17"/>
        <v>0</v>
      </c>
      <c r="J13" s="5">
        <f t="shared" si="17"/>
        <v>0</v>
      </c>
      <c r="K13" s="5">
        <f t="shared" si="17"/>
        <v>0</v>
      </c>
      <c r="L13" s="5">
        <f t="shared" si="17"/>
        <v>0</v>
      </c>
      <c r="M13" s="59">
        <f t="shared" si="17"/>
        <v>0</v>
      </c>
      <c r="N13" s="5">
        <f t="shared" si="17"/>
        <v>0</v>
      </c>
      <c r="O13" s="5">
        <f t="shared" si="17"/>
        <v>0</v>
      </c>
      <c r="P13" s="5">
        <f t="shared" si="17"/>
        <v>0</v>
      </c>
      <c r="Q13" s="5">
        <f t="shared" si="17"/>
        <v>0</v>
      </c>
      <c r="R13" s="5">
        <f t="shared" si="17"/>
        <v>0</v>
      </c>
      <c r="S13" s="5">
        <f t="shared" si="17"/>
        <v>0</v>
      </c>
      <c r="T13" s="5">
        <f t="shared" si="17"/>
        <v>900</v>
      </c>
      <c r="U13" s="5">
        <f t="shared" si="17"/>
        <v>0</v>
      </c>
      <c r="V13" s="5">
        <f t="shared" si="17"/>
        <v>0</v>
      </c>
      <c r="W13" s="5">
        <f t="shared" si="17"/>
        <v>0</v>
      </c>
      <c r="X13" s="5">
        <f t="shared" si="17"/>
        <v>0</v>
      </c>
      <c r="Y13" s="5">
        <f t="shared" si="17"/>
        <v>0</v>
      </c>
      <c r="Z13" s="5">
        <f t="shared" si="17"/>
        <v>0</v>
      </c>
      <c r="AA13" s="5">
        <f t="shared" si="17"/>
        <v>0</v>
      </c>
      <c r="AB13" s="5">
        <f t="shared" si="17"/>
        <v>0</v>
      </c>
      <c r="AC13" s="5">
        <f t="shared" si="17"/>
        <v>0</v>
      </c>
      <c r="AD13" s="5" t="str">
        <f t="shared" si="17"/>
        <v/>
      </c>
      <c r="AE13" s="5" t="str">
        <f t="shared" si="17"/>
        <v/>
      </c>
      <c r="AF13" s="5" t="str">
        <f t="shared" si="17"/>
        <v/>
      </c>
      <c r="AG13" s="5" t="str">
        <f t="shared" si="17"/>
        <v/>
      </c>
      <c r="AH13" s="5" t="str">
        <f t="shared" si="17"/>
        <v/>
      </c>
      <c r="AI13" s="5" t="str">
        <f t="shared" si="17"/>
        <v/>
      </c>
      <c r="AJ13" s="5" t="str">
        <f t="shared" si="17"/>
        <v/>
      </c>
      <c r="AK13" s="5" t="str">
        <f t="shared" si="17"/>
        <v/>
      </c>
      <c r="AL13" s="5" t="str">
        <f t="shared" si="17"/>
        <v/>
      </c>
      <c r="AM13" s="5" t="str">
        <f t="shared" si="17"/>
        <v/>
      </c>
      <c r="AN13" s="5" t="str">
        <f t="shared" si="17"/>
        <v/>
      </c>
      <c r="AO13" s="5" t="str">
        <f t="shared" ref="AO13:AS13" si="18">IF(AO3="","",AO12*AO7)</f>
        <v/>
      </c>
      <c r="AP13" s="5" t="str">
        <f t="shared" si="18"/>
        <v/>
      </c>
      <c r="AQ13" s="5" t="str">
        <f t="shared" si="18"/>
        <v/>
      </c>
      <c r="AR13" s="5" t="str">
        <f t="shared" si="18"/>
        <v/>
      </c>
      <c r="AS13" s="5" t="str">
        <f t="shared" si="18"/>
        <v/>
      </c>
    </row>
    <row r="14" spans="1:45" s="93" customFormat="1" ht="12" thickBot="1">
      <c r="A14" s="4">
        <f>IF(A13="","",A13/(A10*100))</f>
        <v>0.11464968152866242</v>
      </c>
      <c r="B14" s="6" t="s">
        <v>20</v>
      </c>
      <c r="C14" s="76" t="s">
        <v>21</v>
      </c>
      <c r="D14" s="18" t="str">
        <f t="shared" ref="D14:AN14" si="19">IF(D13="","",IF(D13=0,"",D13/(D10*100)))</f>
        <v/>
      </c>
      <c r="E14" s="18">
        <f t="shared" si="19"/>
        <v>0.47368421052631576</v>
      </c>
      <c r="F14" s="62" t="str">
        <f t="shared" si="19"/>
        <v/>
      </c>
      <c r="G14" s="18" t="str">
        <f t="shared" si="19"/>
        <v/>
      </c>
      <c r="H14" s="18" t="str">
        <f t="shared" si="19"/>
        <v/>
      </c>
      <c r="I14" s="62" t="str">
        <f t="shared" si="19"/>
        <v/>
      </c>
      <c r="J14" s="18" t="str">
        <f t="shared" si="19"/>
        <v/>
      </c>
      <c r="K14" s="18" t="str">
        <f t="shared" si="19"/>
        <v/>
      </c>
      <c r="L14" s="18" t="str">
        <f t="shared" si="19"/>
        <v/>
      </c>
      <c r="M14" s="62" t="str">
        <f t="shared" si="19"/>
        <v/>
      </c>
      <c r="N14" s="18" t="str">
        <f t="shared" si="19"/>
        <v/>
      </c>
      <c r="O14" s="18" t="str">
        <f t="shared" si="19"/>
        <v/>
      </c>
      <c r="P14" s="18" t="str">
        <f t="shared" si="19"/>
        <v/>
      </c>
      <c r="Q14" s="18" t="str">
        <f t="shared" si="19"/>
        <v/>
      </c>
      <c r="R14" s="18" t="str">
        <f t="shared" si="19"/>
        <v/>
      </c>
      <c r="S14" s="18" t="str">
        <f t="shared" si="19"/>
        <v/>
      </c>
      <c r="T14" s="18">
        <f t="shared" si="19"/>
        <v>0.39130434782608697</v>
      </c>
      <c r="U14" s="18" t="str">
        <f t="shared" si="19"/>
        <v/>
      </c>
      <c r="V14" s="18" t="str">
        <f t="shared" si="19"/>
        <v/>
      </c>
      <c r="W14" s="18" t="str">
        <f t="shared" si="19"/>
        <v/>
      </c>
      <c r="X14" s="18" t="str">
        <f t="shared" si="19"/>
        <v/>
      </c>
      <c r="Y14" s="18" t="str">
        <f t="shared" si="19"/>
        <v/>
      </c>
      <c r="Z14" s="18" t="str">
        <f t="shared" si="19"/>
        <v/>
      </c>
      <c r="AA14" s="18" t="str">
        <f t="shared" si="19"/>
        <v/>
      </c>
      <c r="AB14" s="18" t="str">
        <f t="shared" si="19"/>
        <v/>
      </c>
      <c r="AC14" s="18" t="str">
        <f t="shared" si="19"/>
        <v/>
      </c>
      <c r="AD14" s="18" t="str">
        <f t="shared" si="19"/>
        <v/>
      </c>
      <c r="AE14" s="18" t="str">
        <f t="shared" si="19"/>
        <v/>
      </c>
      <c r="AF14" s="18" t="str">
        <f t="shared" si="19"/>
        <v/>
      </c>
      <c r="AG14" s="18" t="str">
        <f t="shared" si="19"/>
        <v/>
      </c>
      <c r="AH14" s="18" t="str">
        <f t="shared" si="19"/>
        <v/>
      </c>
      <c r="AI14" s="18" t="str">
        <f t="shared" si="19"/>
        <v/>
      </c>
      <c r="AJ14" s="18" t="str">
        <f t="shared" si="19"/>
        <v/>
      </c>
      <c r="AK14" s="18" t="str">
        <f t="shared" si="19"/>
        <v/>
      </c>
      <c r="AL14" s="18" t="str">
        <f t="shared" si="19"/>
        <v/>
      </c>
      <c r="AM14" s="18" t="str">
        <f t="shared" si="19"/>
        <v/>
      </c>
      <c r="AN14" s="18" t="str">
        <f t="shared" si="19"/>
        <v/>
      </c>
      <c r="AO14" s="18" t="str">
        <f t="shared" ref="AO14:AS14" si="20">IF(AO13="","",IF(AO13=0,"",AO13/(AO10*100)))</f>
        <v/>
      </c>
      <c r="AP14" s="18" t="str">
        <f t="shared" si="20"/>
        <v/>
      </c>
      <c r="AQ14" s="18" t="str">
        <f t="shared" si="20"/>
        <v/>
      </c>
      <c r="AR14" s="18" t="str">
        <f t="shared" si="20"/>
        <v/>
      </c>
      <c r="AS14" s="18" t="str">
        <f t="shared" si="20"/>
        <v/>
      </c>
    </row>
    <row r="15" spans="1:45" s="93" customFormat="1" ht="11">
      <c r="A15" s="17" t="s">
        <v>130</v>
      </c>
      <c r="B15" s="9" t="s">
        <v>2</v>
      </c>
      <c r="C15" s="74">
        <v>278</v>
      </c>
      <c r="D15" s="8">
        <f>IF(D$3="","",C15)</f>
        <v>278</v>
      </c>
      <c r="E15" s="8">
        <v>412</v>
      </c>
      <c r="F15" s="59">
        <f>IF(F$3="","",E15)</f>
        <v>412</v>
      </c>
      <c r="G15" s="8">
        <f>IF(G$3="","",F15)</f>
        <v>412</v>
      </c>
      <c r="H15" s="8">
        <v>425</v>
      </c>
      <c r="I15" s="59">
        <f t="shared" ref="I15:K16" si="21">IF(I$3="","",H15)</f>
        <v>425</v>
      </c>
      <c r="J15" s="8">
        <f t="shared" si="21"/>
        <v>425</v>
      </c>
      <c r="K15" s="8">
        <f t="shared" si="21"/>
        <v>425</v>
      </c>
      <c r="L15" s="8">
        <v>452</v>
      </c>
      <c r="M15" s="59">
        <f>IF(M$3="","",L15)</f>
        <v>452</v>
      </c>
      <c r="N15" s="8">
        <f>IF(N$3="","",M15)</f>
        <v>452</v>
      </c>
      <c r="O15" s="8">
        <v>461</v>
      </c>
      <c r="P15" s="8">
        <f t="shared" ref="P15:AN15" si="22">IF(P$3="","",O15)</f>
        <v>461</v>
      </c>
      <c r="Q15" s="8">
        <f t="shared" si="22"/>
        <v>461</v>
      </c>
      <c r="R15" s="8">
        <f t="shared" si="22"/>
        <v>461</v>
      </c>
      <c r="S15" s="8">
        <f t="shared" si="22"/>
        <v>461</v>
      </c>
      <c r="T15" s="8">
        <v>475</v>
      </c>
      <c r="U15" s="8">
        <f t="shared" si="22"/>
        <v>475</v>
      </c>
      <c r="V15" s="8">
        <v>485</v>
      </c>
      <c r="W15" s="8">
        <f t="shared" si="22"/>
        <v>485</v>
      </c>
      <c r="X15" s="8">
        <f t="shared" si="22"/>
        <v>485</v>
      </c>
      <c r="Y15" s="8">
        <f t="shared" si="22"/>
        <v>485</v>
      </c>
      <c r="Z15" s="8">
        <v>515</v>
      </c>
      <c r="AA15" s="8">
        <f t="shared" si="22"/>
        <v>515</v>
      </c>
      <c r="AB15" s="8">
        <f t="shared" si="22"/>
        <v>515</v>
      </c>
      <c r="AC15" s="8">
        <v>541</v>
      </c>
      <c r="AD15" s="8" t="str">
        <f t="shared" si="22"/>
        <v/>
      </c>
      <c r="AE15" s="8" t="str">
        <f t="shared" si="22"/>
        <v/>
      </c>
      <c r="AF15" s="8" t="str">
        <f t="shared" si="22"/>
        <v/>
      </c>
      <c r="AG15" s="8" t="str">
        <f t="shared" si="22"/>
        <v/>
      </c>
      <c r="AH15" s="8" t="str">
        <f t="shared" si="22"/>
        <v/>
      </c>
      <c r="AI15" s="8" t="str">
        <f t="shared" si="22"/>
        <v/>
      </c>
      <c r="AJ15" s="8" t="str">
        <f t="shared" si="22"/>
        <v/>
      </c>
      <c r="AK15" s="8" t="str">
        <f t="shared" si="22"/>
        <v/>
      </c>
      <c r="AL15" s="8" t="str">
        <f t="shared" si="22"/>
        <v/>
      </c>
      <c r="AM15" s="8" t="str">
        <f t="shared" si="22"/>
        <v/>
      </c>
      <c r="AN15" s="8" t="str">
        <f t="shared" si="22"/>
        <v/>
      </c>
      <c r="AO15" s="8" t="str">
        <f t="shared" ref="AO15:AS15" si="23">IF(AO$3="","",AN15)</f>
        <v/>
      </c>
      <c r="AP15" s="8" t="str">
        <f t="shared" si="23"/>
        <v/>
      </c>
      <c r="AQ15" s="8" t="str">
        <f t="shared" si="23"/>
        <v/>
      </c>
      <c r="AR15" s="8" t="str">
        <f t="shared" si="23"/>
        <v/>
      </c>
      <c r="AS15" s="8" t="str">
        <f t="shared" si="23"/>
        <v/>
      </c>
    </row>
    <row r="16" spans="1:45" s="93" customFormat="1" ht="11">
      <c r="A16" s="16" t="str">
        <f>A4</f>
        <v>BUZZ＃1</v>
      </c>
      <c r="B16" s="9" t="s">
        <v>4</v>
      </c>
      <c r="C16" s="74">
        <v>3</v>
      </c>
      <c r="D16" s="8">
        <f>IF(天文館!D$3="","",C16)</f>
        <v>3</v>
      </c>
      <c r="E16" s="8">
        <v>5</v>
      </c>
      <c r="F16" s="59">
        <f>IF(F$3="","",E16)</f>
        <v>5</v>
      </c>
      <c r="G16" s="8">
        <f>IF(G$3="","",F16)</f>
        <v>5</v>
      </c>
      <c r="H16" s="8">
        <f>IF(H$3="","",G16)</f>
        <v>5</v>
      </c>
      <c r="I16" s="59">
        <f t="shared" si="21"/>
        <v>5</v>
      </c>
      <c r="J16" s="8">
        <f t="shared" si="21"/>
        <v>5</v>
      </c>
      <c r="K16" s="8">
        <f t="shared" si="21"/>
        <v>5</v>
      </c>
      <c r="L16" s="8">
        <f>IF(L$3="","",K16)</f>
        <v>5</v>
      </c>
      <c r="M16" s="59">
        <f>IF(M$3="","",L16)</f>
        <v>5</v>
      </c>
      <c r="N16" s="8">
        <f>IF(N$3="","",M16)</f>
        <v>5</v>
      </c>
      <c r="O16" s="8">
        <f>IF(O$3="","",N16)</f>
        <v>5</v>
      </c>
      <c r="P16" s="8">
        <f t="shared" ref="P16:AN16" si="24">IF(P$3="","",O16)</f>
        <v>5</v>
      </c>
      <c r="Q16" s="8">
        <f t="shared" si="24"/>
        <v>5</v>
      </c>
      <c r="R16" s="8">
        <f t="shared" si="24"/>
        <v>5</v>
      </c>
      <c r="S16" s="8">
        <f t="shared" si="24"/>
        <v>5</v>
      </c>
      <c r="T16" s="8">
        <v>6</v>
      </c>
      <c r="U16" s="8">
        <f t="shared" si="24"/>
        <v>6</v>
      </c>
      <c r="V16" s="8">
        <v>8</v>
      </c>
      <c r="W16" s="8">
        <f t="shared" si="24"/>
        <v>8</v>
      </c>
      <c r="X16" s="8">
        <f t="shared" si="24"/>
        <v>8</v>
      </c>
      <c r="Y16" s="8">
        <f t="shared" si="24"/>
        <v>8</v>
      </c>
      <c r="Z16" s="8">
        <v>9</v>
      </c>
      <c r="AA16" s="8">
        <f t="shared" si="24"/>
        <v>9</v>
      </c>
      <c r="AB16" s="8">
        <f t="shared" si="24"/>
        <v>9</v>
      </c>
      <c r="AC16" s="8">
        <v>10</v>
      </c>
      <c r="AD16" s="8" t="str">
        <f t="shared" si="24"/>
        <v/>
      </c>
      <c r="AE16" s="8" t="str">
        <f t="shared" si="24"/>
        <v/>
      </c>
      <c r="AF16" s="8" t="str">
        <f t="shared" si="24"/>
        <v/>
      </c>
      <c r="AG16" s="8" t="str">
        <f t="shared" si="24"/>
        <v/>
      </c>
      <c r="AH16" s="8" t="str">
        <f t="shared" si="24"/>
        <v/>
      </c>
      <c r="AI16" s="8" t="str">
        <f t="shared" si="24"/>
        <v/>
      </c>
      <c r="AJ16" s="8" t="str">
        <f t="shared" si="24"/>
        <v/>
      </c>
      <c r="AK16" s="8" t="str">
        <f t="shared" si="24"/>
        <v/>
      </c>
      <c r="AL16" s="8" t="str">
        <f t="shared" si="24"/>
        <v/>
      </c>
      <c r="AM16" s="8" t="str">
        <f t="shared" si="24"/>
        <v/>
      </c>
      <c r="AN16" s="8" t="str">
        <f t="shared" si="24"/>
        <v/>
      </c>
      <c r="AO16" s="8" t="str">
        <f>IF(AO$3="","",AN16)</f>
        <v/>
      </c>
      <c r="AP16" s="8" t="str">
        <f>IF(天文館!AP$3="","",AO16)</f>
        <v/>
      </c>
      <c r="AQ16" s="8" t="str">
        <f>IF(天文館!AQ$3="","",AP16)</f>
        <v/>
      </c>
      <c r="AR16" s="8" t="str">
        <f>IF(天文館!AR$3="","",AQ16)</f>
        <v/>
      </c>
      <c r="AS16" s="8" t="str">
        <f>IF(天文館!AS$3="","",AR16)</f>
        <v/>
      </c>
    </row>
    <row r="17" spans="1:45" s="93" customFormat="1" ht="11">
      <c r="A17" s="15">
        <v>2</v>
      </c>
      <c r="B17" s="9" t="s">
        <v>5</v>
      </c>
      <c r="C17" s="74">
        <v>6</v>
      </c>
      <c r="D17" s="8">
        <f>IF(D15="","",(C17+C18))</f>
        <v>6</v>
      </c>
      <c r="E17" s="8">
        <v>4</v>
      </c>
      <c r="F17" s="59">
        <f t="shared" ref="F17:AN17" si="25">IF(F15="","",(E17+E18))</f>
        <v>4</v>
      </c>
      <c r="G17" s="8">
        <f t="shared" si="25"/>
        <v>4</v>
      </c>
      <c r="H17" s="8">
        <f t="shared" si="25"/>
        <v>4</v>
      </c>
      <c r="I17" s="59">
        <f t="shared" si="25"/>
        <v>2</v>
      </c>
      <c r="J17" s="8">
        <f t="shared" si="25"/>
        <v>2</v>
      </c>
      <c r="K17" s="8">
        <f t="shared" si="25"/>
        <v>2</v>
      </c>
      <c r="L17" s="8">
        <f t="shared" si="25"/>
        <v>2</v>
      </c>
      <c r="M17" s="59">
        <f t="shared" si="25"/>
        <v>2</v>
      </c>
      <c r="N17" s="8">
        <f t="shared" si="25"/>
        <v>2</v>
      </c>
      <c r="O17" s="8">
        <f t="shared" si="25"/>
        <v>2</v>
      </c>
      <c r="P17" s="8">
        <f t="shared" si="25"/>
        <v>10</v>
      </c>
      <c r="Q17" s="8">
        <f t="shared" si="25"/>
        <v>10</v>
      </c>
      <c r="R17" s="8">
        <f t="shared" si="25"/>
        <v>10</v>
      </c>
      <c r="S17" s="8">
        <f t="shared" si="25"/>
        <v>10</v>
      </c>
      <c r="T17" s="8">
        <v>9</v>
      </c>
      <c r="U17" s="8">
        <f t="shared" si="25"/>
        <v>9</v>
      </c>
      <c r="V17" s="8">
        <v>7</v>
      </c>
      <c r="W17" s="8">
        <f t="shared" si="25"/>
        <v>18</v>
      </c>
      <c r="X17" s="8">
        <f t="shared" si="25"/>
        <v>18</v>
      </c>
      <c r="Y17" s="8">
        <f t="shared" si="25"/>
        <v>18</v>
      </c>
      <c r="Z17" s="8">
        <v>17</v>
      </c>
      <c r="AA17" s="8">
        <f t="shared" si="25"/>
        <v>17</v>
      </c>
      <c r="AB17" s="8">
        <f t="shared" si="25"/>
        <v>17</v>
      </c>
      <c r="AC17" s="8">
        <v>16</v>
      </c>
      <c r="AD17" s="8" t="str">
        <f t="shared" si="25"/>
        <v/>
      </c>
      <c r="AE17" s="8" t="str">
        <f t="shared" si="25"/>
        <v/>
      </c>
      <c r="AF17" s="8" t="str">
        <f t="shared" si="25"/>
        <v/>
      </c>
      <c r="AG17" s="8" t="str">
        <f t="shared" si="25"/>
        <v/>
      </c>
      <c r="AH17" s="8" t="str">
        <f t="shared" si="25"/>
        <v/>
      </c>
      <c r="AI17" s="8" t="str">
        <f t="shared" si="25"/>
        <v/>
      </c>
      <c r="AJ17" s="8" t="str">
        <f t="shared" si="25"/>
        <v/>
      </c>
      <c r="AK17" s="8" t="str">
        <f t="shared" si="25"/>
        <v/>
      </c>
      <c r="AL17" s="8" t="str">
        <f t="shared" si="25"/>
        <v/>
      </c>
      <c r="AM17" s="8" t="str">
        <f t="shared" si="25"/>
        <v/>
      </c>
      <c r="AN17" s="8" t="str">
        <f t="shared" si="25"/>
        <v/>
      </c>
      <c r="AO17" s="8" t="str">
        <f t="shared" ref="AO17:AS17" si="26">IF(AO15="","",(AN17+AN18))</f>
        <v/>
      </c>
      <c r="AP17" s="8" t="str">
        <f t="shared" si="26"/>
        <v/>
      </c>
      <c r="AQ17" s="8" t="str">
        <f t="shared" si="26"/>
        <v/>
      </c>
      <c r="AR17" s="8" t="str">
        <f t="shared" si="26"/>
        <v/>
      </c>
      <c r="AS17" s="8" t="str">
        <f t="shared" si="26"/>
        <v/>
      </c>
    </row>
    <row r="18" spans="1:45" s="93" customFormat="1" ht="11">
      <c r="A18" s="14"/>
      <c r="B18" s="9" t="s">
        <v>7</v>
      </c>
      <c r="C18" s="74"/>
      <c r="D18" s="8"/>
      <c r="E18" s="8"/>
      <c r="F18" s="59"/>
      <c r="G18" s="8"/>
      <c r="H18" s="8">
        <v>-2</v>
      </c>
      <c r="I18" s="59"/>
      <c r="J18" s="8"/>
      <c r="K18" s="8"/>
      <c r="L18" s="8"/>
      <c r="M18" s="59"/>
      <c r="N18" s="8"/>
      <c r="O18" s="8">
        <v>8</v>
      </c>
      <c r="P18" s="8"/>
      <c r="Q18" s="8"/>
      <c r="R18" s="8"/>
      <c r="S18" s="8"/>
      <c r="T18" s="8"/>
      <c r="U18" s="8"/>
      <c r="V18" s="8">
        <v>11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s="93" customFormat="1" ht="11">
      <c r="A19" s="7"/>
      <c r="B19" s="9" t="s">
        <v>8</v>
      </c>
      <c r="C19" s="74">
        <v>750</v>
      </c>
      <c r="D19" s="8">
        <f t="shared" ref="D19:AN19" si="27">IF(D15="","",C19)</f>
        <v>750</v>
      </c>
      <c r="E19" s="8">
        <f t="shared" si="27"/>
        <v>750</v>
      </c>
      <c r="F19" s="59">
        <f t="shared" si="27"/>
        <v>750</v>
      </c>
      <c r="G19" s="8">
        <f t="shared" si="27"/>
        <v>750</v>
      </c>
      <c r="H19" s="8">
        <f t="shared" si="27"/>
        <v>750</v>
      </c>
      <c r="I19" s="59">
        <f t="shared" si="27"/>
        <v>750</v>
      </c>
      <c r="J19" s="8">
        <f t="shared" si="27"/>
        <v>750</v>
      </c>
      <c r="K19" s="8">
        <f t="shared" si="27"/>
        <v>750</v>
      </c>
      <c r="L19" s="8">
        <f t="shared" si="27"/>
        <v>750</v>
      </c>
      <c r="M19" s="59">
        <f t="shared" si="27"/>
        <v>750</v>
      </c>
      <c r="N19" s="8">
        <f t="shared" si="27"/>
        <v>750</v>
      </c>
      <c r="O19" s="8">
        <f t="shared" si="27"/>
        <v>750</v>
      </c>
      <c r="P19" s="8">
        <f t="shared" si="27"/>
        <v>750</v>
      </c>
      <c r="Q19" s="8">
        <f t="shared" si="27"/>
        <v>750</v>
      </c>
      <c r="R19" s="8">
        <f t="shared" si="27"/>
        <v>750</v>
      </c>
      <c r="S19" s="8">
        <f t="shared" si="27"/>
        <v>750</v>
      </c>
      <c r="T19" s="8">
        <f t="shared" si="27"/>
        <v>750</v>
      </c>
      <c r="U19" s="8">
        <f t="shared" si="27"/>
        <v>750</v>
      </c>
      <c r="V19" s="8">
        <f t="shared" si="27"/>
        <v>750</v>
      </c>
      <c r="W19" s="8">
        <f t="shared" si="27"/>
        <v>750</v>
      </c>
      <c r="X19" s="8">
        <f t="shared" si="27"/>
        <v>750</v>
      </c>
      <c r="Y19" s="8">
        <f t="shared" si="27"/>
        <v>750</v>
      </c>
      <c r="Z19" s="8">
        <f t="shared" si="27"/>
        <v>750</v>
      </c>
      <c r="AA19" s="8">
        <f t="shared" si="27"/>
        <v>750</v>
      </c>
      <c r="AB19" s="8">
        <f t="shared" si="27"/>
        <v>750</v>
      </c>
      <c r="AC19" s="8">
        <f t="shared" si="27"/>
        <v>750</v>
      </c>
      <c r="AD19" s="8" t="str">
        <f t="shared" si="27"/>
        <v/>
      </c>
      <c r="AE19" s="8" t="str">
        <f t="shared" si="27"/>
        <v/>
      </c>
      <c r="AF19" s="8" t="str">
        <f t="shared" si="27"/>
        <v/>
      </c>
      <c r="AG19" s="8" t="str">
        <f t="shared" si="27"/>
        <v/>
      </c>
      <c r="AH19" s="8" t="str">
        <f t="shared" si="27"/>
        <v/>
      </c>
      <c r="AI19" s="8" t="str">
        <f t="shared" si="27"/>
        <v/>
      </c>
      <c r="AJ19" s="8" t="str">
        <f t="shared" si="27"/>
        <v/>
      </c>
      <c r="AK19" s="8" t="str">
        <f t="shared" si="27"/>
        <v/>
      </c>
      <c r="AL19" s="8" t="str">
        <f t="shared" si="27"/>
        <v/>
      </c>
      <c r="AM19" s="8" t="str">
        <f t="shared" si="27"/>
        <v/>
      </c>
      <c r="AN19" s="8" t="str">
        <f t="shared" si="27"/>
        <v/>
      </c>
      <c r="AO19" s="8" t="str">
        <f t="shared" ref="AO19:AS19" si="28">IF(AO15="","",AN19)</f>
        <v/>
      </c>
      <c r="AP19" s="8" t="str">
        <f t="shared" si="28"/>
        <v/>
      </c>
      <c r="AQ19" s="8" t="str">
        <f t="shared" si="28"/>
        <v/>
      </c>
      <c r="AR19" s="8" t="str">
        <f t="shared" si="28"/>
        <v/>
      </c>
      <c r="AS19" s="8" t="str">
        <f t="shared" si="28"/>
        <v/>
      </c>
    </row>
    <row r="20" spans="1:45" s="94" customFormat="1" ht="11">
      <c r="A20" s="14" t="s">
        <v>9</v>
      </c>
      <c r="B20" s="13" t="s">
        <v>10</v>
      </c>
      <c r="C20" s="75" t="s">
        <v>67</v>
      </c>
      <c r="D20" s="12" t="str">
        <f>IF(D15="","",C20)</f>
        <v>キティバンスクリップ</v>
      </c>
      <c r="E20" s="12" t="str">
        <f>IF(E15="","",D20)</f>
        <v>キティバンスクリップ</v>
      </c>
      <c r="F20" s="131" t="str">
        <f>IF(F15="","",E20)</f>
        <v>キティバンスクリップ</v>
      </c>
      <c r="G20" s="12" t="str">
        <f>IF(G15="","",F20)</f>
        <v>キティバンスクリップ</v>
      </c>
      <c r="H20" s="12" t="s">
        <v>24</v>
      </c>
      <c r="I20" s="131" t="str">
        <f t="shared" ref="I20:N20" si="29">IF(I15="","",H20)</f>
        <v>スンスンフェイスポーチ</v>
      </c>
      <c r="J20" s="12" t="str">
        <f t="shared" si="29"/>
        <v>スンスンフェイスポーチ</v>
      </c>
      <c r="K20" s="12" t="str">
        <f t="shared" si="29"/>
        <v>スンスンフェイスポーチ</v>
      </c>
      <c r="L20" s="12" t="str">
        <f t="shared" si="29"/>
        <v>スンスンフェイスポーチ</v>
      </c>
      <c r="M20" s="131" t="str">
        <f t="shared" si="29"/>
        <v>スンスンフェイスポーチ</v>
      </c>
      <c r="N20" s="12" t="str">
        <f t="shared" si="29"/>
        <v>スンスンフェイスポーチ</v>
      </c>
      <c r="O20" s="12" t="s">
        <v>13</v>
      </c>
      <c r="P20" s="12" t="str">
        <f t="shared" ref="P20:AN20" si="30">IF(P15="","",O20)</f>
        <v>電ブル</v>
      </c>
      <c r="Q20" s="12" t="str">
        <f t="shared" si="30"/>
        <v>電ブル</v>
      </c>
      <c r="R20" s="12" t="str">
        <f t="shared" si="30"/>
        <v>電ブル</v>
      </c>
      <c r="S20" s="12" t="str">
        <f t="shared" si="30"/>
        <v>電ブル</v>
      </c>
      <c r="T20" s="12" t="str">
        <f t="shared" si="30"/>
        <v>電ブル</v>
      </c>
      <c r="U20" s="12" t="str">
        <f t="shared" si="30"/>
        <v>電ブル</v>
      </c>
      <c r="V20" s="12" t="str">
        <f t="shared" si="30"/>
        <v>電ブル</v>
      </c>
      <c r="W20" s="12" t="str">
        <f t="shared" si="30"/>
        <v>電ブル</v>
      </c>
      <c r="X20" s="12" t="str">
        <f t="shared" si="30"/>
        <v>電ブル</v>
      </c>
      <c r="Y20" s="12" t="str">
        <f t="shared" si="30"/>
        <v>電ブル</v>
      </c>
      <c r="Z20" s="12" t="str">
        <f t="shared" si="30"/>
        <v>電ブル</v>
      </c>
      <c r="AA20" s="12" t="str">
        <f t="shared" si="30"/>
        <v>電ブル</v>
      </c>
      <c r="AB20" s="12" t="str">
        <f t="shared" si="30"/>
        <v>電ブル</v>
      </c>
      <c r="AC20" s="12" t="str">
        <f t="shared" si="30"/>
        <v>電ブル</v>
      </c>
      <c r="AD20" s="12" t="str">
        <f t="shared" si="30"/>
        <v/>
      </c>
      <c r="AE20" s="12" t="str">
        <f t="shared" si="30"/>
        <v/>
      </c>
      <c r="AF20" s="12" t="str">
        <f t="shared" si="30"/>
        <v/>
      </c>
      <c r="AG20" s="12" t="str">
        <f t="shared" si="30"/>
        <v/>
      </c>
      <c r="AH20" s="12" t="str">
        <f t="shared" si="30"/>
        <v/>
      </c>
      <c r="AI20" s="12" t="str">
        <f t="shared" si="30"/>
        <v/>
      </c>
      <c r="AJ20" s="12" t="str">
        <f t="shared" si="30"/>
        <v/>
      </c>
      <c r="AK20" s="12" t="str">
        <f t="shared" si="30"/>
        <v/>
      </c>
      <c r="AL20" s="12" t="str">
        <f t="shared" si="30"/>
        <v/>
      </c>
      <c r="AM20" s="12" t="str">
        <f t="shared" si="30"/>
        <v/>
      </c>
      <c r="AN20" s="12" t="str">
        <f t="shared" si="30"/>
        <v/>
      </c>
      <c r="AO20" s="12" t="str">
        <f t="shared" ref="AO20:AS20" si="31">IF(AO15="","",AN20)</f>
        <v/>
      </c>
      <c r="AP20" s="12" t="str">
        <f t="shared" si="31"/>
        <v/>
      </c>
      <c r="AQ20" s="12" t="str">
        <f t="shared" si="31"/>
        <v/>
      </c>
      <c r="AR20" s="12" t="str">
        <f t="shared" si="31"/>
        <v/>
      </c>
      <c r="AS20" s="12" t="str">
        <f t="shared" si="31"/>
        <v/>
      </c>
    </row>
    <row r="21" spans="1:45" s="93" customFormat="1" ht="11">
      <c r="A21" s="7">
        <f>AVERAGE(C22:AS22)*30*100</f>
        <v>29222.222222222223</v>
      </c>
      <c r="B21" s="9" t="s">
        <v>14</v>
      </c>
      <c r="C21" s="74"/>
      <c r="D21" s="8"/>
      <c r="E21" s="8"/>
      <c r="F21" s="59"/>
      <c r="G21" s="8"/>
      <c r="H21" s="8"/>
      <c r="I21" s="59"/>
      <c r="J21" s="8"/>
      <c r="K21" s="8"/>
      <c r="L21" s="8"/>
      <c r="M21" s="5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s="93" customFormat="1" ht="11">
      <c r="A22" s="7">
        <f>SUM(C22:AS22)</f>
        <v>263</v>
      </c>
      <c r="B22" s="6" t="s">
        <v>15</v>
      </c>
      <c r="C22" s="74">
        <v>0</v>
      </c>
      <c r="D22" s="5">
        <f t="shared" ref="D22:AN22" si="32">IF(D15="","",D15-C15)</f>
        <v>0</v>
      </c>
      <c r="E22" s="5">
        <f t="shared" si="32"/>
        <v>134</v>
      </c>
      <c r="F22" s="59">
        <f t="shared" si="32"/>
        <v>0</v>
      </c>
      <c r="G22" s="5">
        <f t="shared" si="32"/>
        <v>0</v>
      </c>
      <c r="H22" s="5">
        <f t="shared" si="32"/>
        <v>13</v>
      </c>
      <c r="I22" s="59">
        <f t="shared" si="32"/>
        <v>0</v>
      </c>
      <c r="J22" s="5">
        <f t="shared" si="32"/>
        <v>0</v>
      </c>
      <c r="K22" s="5">
        <f t="shared" si="32"/>
        <v>0</v>
      </c>
      <c r="L22" s="5">
        <f t="shared" si="32"/>
        <v>27</v>
      </c>
      <c r="M22" s="59">
        <f t="shared" si="32"/>
        <v>0</v>
      </c>
      <c r="N22" s="5">
        <f t="shared" si="32"/>
        <v>0</v>
      </c>
      <c r="O22" s="5">
        <f t="shared" si="32"/>
        <v>9</v>
      </c>
      <c r="P22" s="5">
        <f t="shared" si="32"/>
        <v>0</v>
      </c>
      <c r="Q22" s="5">
        <f t="shared" si="32"/>
        <v>0</v>
      </c>
      <c r="R22" s="5">
        <f t="shared" si="32"/>
        <v>0</v>
      </c>
      <c r="S22" s="5">
        <f t="shared" si="32"/>
        <v>0</v>
      </c>
      <c r="T22" s="5">
        <f t="shared" si="32"/>
        <v>14</v>
      </c>
      <c r="U22" s="5">
        <f t="shared" si="32"/>
        <v>0</v>
      </c>
      <c r="V22" s="5">
        <f t="shared" si="32"/>
        <v>10</v>
      </c>
      <c r="W22" s="5">
        <f t="shared" si="32"/>
        <v>0</v>
      </c>
      <c r="X22" s="5">
        <f t="shared" si="32"/>
        <v>0</v>
      </c>
      <c r="Y22" s="5">
        <f t="shared" si="32"/>
        <v>0</v>
      </c>
      <c r="Z22" s="5">
        <f t="shared" si="32"/>
        <v>30</v>
      </c>
      <c r="AA22" s="5">
        <f t="shared" si="32"/>
        <v>0</v>
      </c>
      <c r="AB22" s="5">
        <f t="shared" si="32"/>
        <v>0</v>
      </c>
      <c r="AC22" s="5">
        <f t="shared" si="32"/>
        <v>26</v>
      </c>
      <c r="AD22" s="5" t="str">
        <f t="shared" si="32"/>
        <v/>
      </c>
      <c r="AE22" s="5" t="str">
        <f t="shared" si="32"/>
        <v/>
      </c>
      <c r="AF22" s="5" t="str">
        <f t="shared" si="32"/>
        <v/>
      </c>
      <c r="AG22" s="5" t="str">
        <f t="shared" si="32"/>
        <v/>
      </c>
      <c r="AH22" s="5" t="str">
        <f t="shared" si="32"/>
        <v/>
      </c>
      <c r="AI22" s="5" t="str">
        <f t="shared" si="32"/>
        <v/>
      </c>
      <c r="AJ22" s="5" t="str">
        <f t="shared" si="32"/>
        <v/>
      </c>
      <c r="AK22" s="5" t="str">
        <f t="shared" si="32"/>
        <v/>
      </c>
      <c r="AL22" s="5" t="str">
        <f t="shared" si="32"/>
        <v/>
      </c>
      <c r="AM22" s="5" t="str">
        <f t="shared" si="32"/>
        <v/>
      </c>
      <c r="AN22" s="5" t="str">
        <f t="shared" si="32"/>
        <v/>
      </c>
      <c r="AO22" s="5" t="str">
        <f t="shared" ref="AO22:AS22" si="33">IF(AO15="","",AO15-AN15)</f>
        <v/>
      </c>
      <c r="AP22" s="5" t="str">
        <f t="shared" si="33"/>
        <v/>
      </c>
      <c r="AQ22" s="5" t="str">
        <f t="shared" si="33"/>
        <v/>
      </c>
      <c r="AR22" s="5" t="str">
        <f t="shared" si="33"/>
        <v/>
      </c>
      <c r="AS22" s="5" t="str">
        <f t="shared" si="33"/>
        <v/>
      </c>
    </row>
    <row r="23" spans="1:45" s="93" customFormat="1" ht="11">
      <c r="A23" s="7">
        <f>SUM(C23:AS23)</f>
        <v>7</v>
      </c>
      <c r="B23" s="6" t="s">
        <v>16</v>
      </c>
      <c r="C23" s="74">
        <v>0</v>
      </c>
      <c r="D23" s="5">
        <f t="shared" ref="D23:AN23" si="34">IF(D16="","",D16-C16)</f>
        <v>0</v>
      </c>
      <c r="E23" s="5">
        <f t="shared" si="34"/>
        <v>2</v>
      </c>
      <c r="F23" s="59">
        <f t="shared" si="34"/>
        <v>0</v>
      </c>
      <c r="G23" s="5">
        <f t="shared" si="34"/>
        <v>0</v>
      </c>
      <c r="H23" s="5">
        <f t="shared" si="34"/>
        <v>0</v>
      </c>
      <c r="I23" s="59">
        <f t="shared" si="34"/>
        <v>0</v>
      </c>
      <c r="J23" s="5">
        <f t="shared" si="34"/>
        <v>0</v>
      </c>
      <c r="K23" s="5">
        <f t="shared" si="34"/>
        <v>0</v>
      </c>
      <c r="L23" s="5">
        <f t="shared" si="34"/>
        <v>0</v>
      </c>
      <c r="M23" s="59">
        <f t="shared" si="34"/>
        <v>0</v>
      </c>
      <c r="N23" s="5">
        <f t="shared" si="34"/>
        <v>0</v>
      </c>
      <c r="O23" s="5">
        <f t="shared" si="34"/>
        <v>0</v>
      </c>
      <c r="P23" s="5">
        <f t="shared" si="34"/>
        <v>0</v>
      </c>
      <c r="Q23" s="5">
        <f t="shared" si="34"/>
        <v>0</v>
      </c>
      <c r="R23" s="5">
        <f t="shared" si="34"/>
        <v>0</v>
      </c>
      <c r="S23" s="5">
        <f t="shared" si="34"/>
        <v>0</v>
      </c>
      <c r="T23" s="5">
        <f t="shared" si="34"/>
        <v>1</v>
      </c>
      <c r="U23" s="5">
        <f t="shared" si="34"/>
        <v>0</v>
      </c>
      <c r="V23" s="5">
        <f t="shared" si="34"/>
        <v>2</v>
      </c>
      <c r="W23" s="5">
        <f t="shared" si="34"/>
        <v>0</v>
      </c>
      <c r="X23" s="5">
        <f t="shared" si="34"/>
        <v>0</v>
      </c>
      <c r="Y23" s="5">
        <f t="shared" si="34"/>
        <v>0</v>
      </c>
      <c r="Z23" s="5">
        <f t="shared" si="34"/>
        <v>1</v>
      </c>
      <c r="AA23" s="5">
        <f t="shared" si="34"/>
        <v>0</v>
      </c>
      <c r="AB23" s="5">
        <f t="shared" si="34"/>
        <v>0</v>
      </c>
      <c r="AC23" s="5">
        <f t="shared" si="34"/>
        <v>1</v>
      </c>
      <c r="AD23" s="5" t="str">
        <f t="shared" si="34"/>
        <v/>
      </c>
      <c r="AE23" s="5" t="str">
        <f t="shared" si="34"/>
        <v/>
      </c>
      <c r="AF23" s="5" t="str">
        <f t="shared" si="34"/>
        <v/>
      </c>
      <c r="AG23" s="5" t="str">
        <f t="shared" si="34"/>
        <v/>
      </c>
      <c r="AH23" s="5" t="str">
        <f t="shared" si="34"/>
        <v/>
      </c>
      <c r="AI23" s="5" t="str">
        <f t="shared" si="34"/>
        <v/>
      </c>
      <c r="AJ23" s="5" t="str">
        <f t="shared" si="34"/>
        <v/>
      </c>
      <c r="AK23" s="5" t="str">
        <f t="shared" si="34"/>
        <v/>
      </c>
      <c r="AL23" s="5" t="str">
        <f t="shared" si="34"/>
        <v/>
      </c>
      <c r="AM23" s="5" t="str">
        <f t="shared" si="34"/>
        <v/>
      </c>
      <c r="AN23" s="5" t="str">
        <f t="shared" si="34"/>
        <v/>
      </c>
      <c r="AO23" s="5" t="str">
        <f t="shared" ref="AO23:AS23" si="35">IF(AO16="","",AO16-AN16)</f>
        <v/>
      </c>
      <c r="AP23" s="5" t="str">
        <f t="shared" si="35"/>
        <v/>
      </c>
      <c r="AQ23" s="5" t="str">
        <f t="shared" si="35"/>
        <v/>
      </c>
      <c r="AR23" s="5" t="str">
        <f t="shared" si="35"/>
        <v/>
      </c>
      <c r="AS23" s="5" t="str">
        <f t="shared" si="35"/>
        <v/>
      </c>
    </row>
    <row r="24" spans="1:45" s="93" customFormat="1" ht="11">
      <c r="A24" s="7">
        <f>SUM(C24:AS24)</f>
        <v>7</v>
      </c>
      <c r="B24" s="6" t="s">
        <v>17</v>
      </c>
      <c r="C24" s="74">
        <v>0</v>
      </c>
      <c r="D24" s="5">
        <f t="shared" ref="D24:AN24" si="36">IF(D17="","",C17+C18-D17)</f>
        <v>0</v>
      </c>
      <c r="E24" s="5">
        <f t="shared" si="36"/>
        <v>2</v>
      </c>
      <c r="F24" s="59">
        <f t="shared" si="36"/>
        <v>0</v>
      </c>
      <c r="G24" s="5">
        <f t="shared" si="36"/>
        <v>0</v>
      </c>
      <c r="H24" s="5">
        <f t="shared" si="36"/>
        <v>0</v>
      </c>
      <c r="I24" s="59">
        <f t="shared" si="36"/>
        <v>0</v>
      </c>
      <c r="J24" s="5">
        <f t="shared" si="36"/>
        <v>0</v>
      </c>
      <c r="K24" s="5">
        <f t="shared" si="36"/>
        <v>0</v>
      </c>
      <c r="L24" s="5">
        <f t="shared" si="36"/>
        <v>0</v>
      </c>
      <c r="M24" s="59">
        <f t="shared" si="36"/>
        <v>0</v>
      </c>
      <c r="N24" s="5">
        <f t="shared" si="36"/>
        <v>0</v>
      </c>
      <c r="O24" s="5">
        <f t="shared" si="36"/>
        <v>0</v>
      </c>
      <c r="P24" s="5">
        <f t="shared" si="36"/>
        <v>0</v>
      </c>
      <c r="Q24" s="5">
        <f t="shared" si="36"/>
        <v>0</v>
      </c>
      <c r="R24" s="5">
        <f t="shared" si="36"/>
        <v>0</v>
      </c>
      <c r="S24" s="5">
        <f t="shared" si="36"/>
        <v>0</v>
      </c>
      <c r="T24" s="5">
        <f t="shared" si="36"/>
        <v>1</v>
      </c>
      <c r="U24" s="5">
        <f t="shared" si="36"/>
        <v>0</v>
      </c>
      <c r="V24" s="5">
        <f t="shared" si="36"/>
        <v>2</v>
      </c>
      <c r="W24" s="5">
        <f t="shared" si="36"/>
        <v>0</v>
      </c>
      <c r="X24" s="5">
        <f t="shared" si="36"/>
        <v>0</v>
      </c>
      <c r="Y24" s="5">
        <f t="shared" si="36"/>
        <v>0</v>
      </c>
      <c r="Z24" s="5">
        <f t="shared" si="36"/>
        <v>1</v>
      </c>
      <c r="AA24" s="5">
        <f t="shared" si="36"/>
        <v>0</v>
      </c>
      <c r="AB24" s="5">
        <f t="shared" si="36"/>
        <v>0</v>
      </c>
      <c r="AC24" s="5">
        <f t="shared" si="36"/>
        <v>1</v>
      </c>
      <c r="AD24" s="5" t="str">
        <f t="shared" si="36"/>
        <v/>
      </c>
      <c r="AE24" s="5" t="str">
        <f t="shared" si="36"/>
        <v/>
      </c>
      <c r="AF24" s="5" t="str">
        <f t="shared" si="36"/>
        <v/>
      </c>
      <c r="AG24" s="5" t="str">
        <f t="shared" si="36"/>
        <v/>
      </c>
      <c r="AH24" s="5" t="str">
        <f t="shared" si="36"/>
        <v/>
      </c>
      <c r="AI24" s="5" t="str">
        <f t="shared" si="36"/>
        <v/>
      </c>
      <c r="AJ24" s="5" t="str">
        <f t="shared" si="36"/>
        <v/>
      </c>
      <c r="AK24" s="5" t="str">
        <f t="shared" si="36"/>
        <v/>
      </c>
      <c r="AL24" s="5" t="str">
        <f t="shared" si="36"/>
        <v/>
      </c>
      <c r="AM24" s="5" t="str">
        <f t="shared" si="36"/>
        <v/>
      </c>
      <c r="AN24" s="5" t="str">
        <f t="shared" si="36"/>
        <v/>
      </c>
      <c r="AO24" s="5" t="str">
        <f t="shared" ref="AO24:AS24" si="37">IF(AO17="","",AN17+AN18-AO17)</f>
        <v/>
      </c>
      <c r="AP24" s="5" t="str">
        <f t="shared" si="37"/>
        <v/>
      </c>
      <c r="AQ24" s="5" t="str">
        <f t="shared" si="37"/>
        <v/>
      </c>
      <c r="AR24" s="5" t="str">
        <f t="shared" si="37"/>
        <v/>
      </c>
      <c r="AS24" s="5" t="str">
        <f t="shared" si="37"/>
        <v/>
      </c>
    </row>
    <row r="25" spans="1:45" s="93" customFormat="1" ht="11">
      <c r="A25" s="7">
        <f>SUM(C25:AS25)</f>
        <v>5250</v>
      </c>
      <c r="B25" s="6" t="s">
        <v>18</v>
      </c>
      <c r="C25" s="74">
        <v>0</v>
      </c>
      <c r="D25" s="5">
        <f t="shared" ref="D25:AN25" si="38">IF(D15="","",D24*D19)</f>
        <v>0</v>
      </c>
      <c r="E25" s="5">
        <f t="shared" si="38"/>
        <v>1500</v>
      </c>
      <c r="F25" s="59">
        <f t="shared" si="38"/>
        <v>0</v>
      </c>
      <c r="G25" s="5">
        <f t="shared" si="38"/>
        <v>0</v>
      </c>
      <c r="H25" s="5">
        <f t="shared" si="38"/>
        <v>0</v>
      </c>
      <c r="I25" s="59">
        <f t="shared" si="38"/>
        <v>0</v>
      </c>
      <c r="J25" s="5">
        <f t="shared" si="38"/>
        <v>0</v>
      </c>
      <c r="K25" s="5">
        <f t="shared" si="38"/>
        <v>0</v>
      </c>
      <c r="L25" s="5">
        <f t="shared" si="38"/>
        <v>0</v>
      </c>
      <c r="M25" s="59">
        <f t="shared" si="38"/>
        <v>0</v>
      </c>
      <c r="N25" s="5">
        <f t="shared" si="38"/>
        <v>0</v>
      </c>
      <c r="O25" s="5">
        <f t="shared" si="38"/>
        <v>0</v>
      </c>
      <c r="P25" s="5">
        <f t="shared" si="38"/>
        <v>0</v>
      </c>
      <c r="Q25" s="5">
        <f t="shared" si="38"/>
        <v>0</v>
      </c>
      <c r="R25" s="5">
        <f t="shared" si="38"/>
        <v>0</v>
      </c>
      <c r="S25" s="5">
        <f t="shared" si="38"/>
        <v>0</v>
      </c>
      <c r="T25" s="5">
        <f t="shared" si="38"/>
        <v>750</v>
      </c>
      <c r="U25" s="5">
        <f t="shared" si="38"/>
        <v>0</v>
      </c>
      <c r="V25" s="5">
        <f t="shared" si="38"/>
        <v>1500</v>
      </c>
      <c r="W25" s="5">
        <f t="shared" si="38"/>
        <v>0</v>
      </c>
      <c r="X25" s="5">
        <f t="shared" si="38"/>
        <v>0</v>
      </c>
      <c r="Y25" s="5">
        <f t="shared" si="38"/>
        <v>0</v>
      </c>
      <c r="Z25" s="5">
        <f t="shared" si="38"/>
        <v>750</v>
      </c>
      <c r="AA25" s="5">
        <f t="shared" si="38"/>
        <v>0</v>
      </c>
      <c r="AB25" s="5">
        <f t="shared" si="38"/>
        <v>0</v>
      </c>
      <c r="AC25" s="5">
        <f t="shared" si="38"/>
        <v>750</v>
      </c>
      <c r="AD25" s="5" t="str">
        <f t="shared" si="38"/>
        <v/>
      </c>
      <c r="AE25" s="5" t="str">
        <f t="shared" si="38"/>
        <v/>
      </c>
      <c r="AF25" s="5" t="str">
        <f t="shared" si="38"/>
        <v/>
      </c>
      <c r="AG25" s="5" t="str">
        <f t="shared" si="38"/>
        <v/>
      </c>
      <c r="AH25" s="5" t="str">
        <f t="shared" si="38"/>
        <v/>
      </c>
      <c r="AI25" s="5" t="str">
        <f t="shared" si="38"/>
        <v/>
      </c>
      <c r="AJ25" s="5" t="str">
        <f t="shared" si="38"/>
        <v/>
      </c>
      <c r="AK25" s="5" t="str">
        <f t="shared" si="38"/>
        <v/>
      </c>
      <c r="AL25" s="5" t="str">
        <f t="shared" si="38"/>
        <v/>
      </c>
      <c r="AM25" s="5" t="str">
        <f t="shared" si="38"/>
        <v/>
      </c>
      <c r="AN25" s="5" t="str">
        <f t="shared" si="38"/>
        <v/>
      </c>
      <c r="AO25" s="5" t="str">
        <f t="shared" ref="AO25:AS25" si="39">IF(AO15="","",AO24*AO19)</f>
        <v/>
      </c>
      <c r="AP25" s="5" t="str">
        <f t="shared" si="39"/>
        <v/>
      </c>
      <c r="AQ25" s="5" t="str">
        <f t="shared" si="39"/>
        <v/>
      </c>
      <c r="AR25" s="5" t="str">
        <f t="shared" si="39"/>
        <v/>
      </c>
      <c r="AS25" s="5" t="str">
        <f t="shared" si="39"/>
        <v/>
      </c>
    </row>
    <row r="26" spans="1:45" s="93" customFormat="1" ht="12" thickBot="1">
      <c r="A26" s="4">
        <f>IF(A25="","",A25/(A22*100))</f>
        <v>0.19961977186311788</v>
      </c>
      <c r="B26" s="6" t="s">
        <v>20</v>
      </c>
      <c r="C26" s="76" t="s">
        <v>21</v>
      </c>
      <c r="D26" s="18" t="str">
        <f t="shared" ref="D26:AN26" si="40">IF(D25="","",IF(D25=0,"",D25/(D22*100)))</f>
        <v/>
      </c>
      <c r="E26" s="18">
        <f t="shared" si="40"/>
        <v>0.11194029850746269</v>
      </c>
      <c r="F26" s="62" t="str">
        <f t="shared" si="40"/>
        <v/>
      </c>
      <c r="G26" s="18" t="str">
        <f t="shared" si="40"/>
        <v/>
      </c>
      <c r="H26" s="18" t="str">
        <f t="shared" si="40"/>
        <v/>
      </c>
      <c r="I26" s="62" t="str">
        <f t="shared" si="40"/>
        <v/>
      </c>
      <c r="J26" s="18" t="str">
        <f t="shared" si="40"/>
        <v/>
      </c>
      <c r="K26" s="18" t="str">
        <f t="shared" si="40"/>
        <v/>
      </c>
      <c r="L26" s="18" t="str">
        <f t="shared" si="40"/>
        <v/>
      </c>
      <c r="M26" s="62" t="str">
        <f t="shared" si="40"/>
        <v/>
      </c>
      <c r="N26" s="18" t="str">
        <f t="shared" si="40"/>
        <v/>
      </c>
      <c r="O26" s="18" t="str">
        <f t="shared" si="40"/>
        <v/>
      </c>
      <c r="P26" s="18" t="str">
        <f t="shared" si="40"/>
        <v/>
      </c>
      <c r="Q26" s="18" t="str">
        <f t="shared" si="40"/>
        <v/>
      </c>
      <c r="R26" s="18" t="str">
        <f t="shared" si="40"/>
        <v/>
      </c>
      <c r="S26" s="18" t="str">
        <f t="shared" si="40"/>
        <v/>
      </c>
      <c r="T26" s="18">
        <f t="shared" si="40"/>
        <v>0.5357142857142857</v>
      </c>
      <c r="U26" s="18" t="str">
        <f t="shared" si="40"/>
        <v/>
      </c>
      <c r="V26" s="18">
        <f t="shared" si="40"/>
        <v>1.5</v>
      </c>
      <c r="W26" s="18" t="str">
        <f t="shared" si="40"/>
        <v/>
      </c>
      <c r="X26" s="18" t="str">
        <f t="shared" si="40"/>
        <v/>
      </c>
      <c r="Y26" s="18" t="str">
        <f t="shared" si="40"/>
        <v/>
      </c>
      <c r="Z26" s="18">
        <f t="shared" si="40"/>
        <v>0.25</v>
      </c>
      <c r="AA26" s="18" t="str">
        <f t="shared" si="40"/>
        <v/>
      </c>
      <c r="AB26" s="18" t="str">
        <f t="shared" si="40"/>
        <v/>
      </c>
      <c r="AC26" s="18">
        <f t="shared" si="40"/>
        <v>0.28846153846153844</v>
      </c>
      <c r="AD26" s="18" t="str">
        <f t="shared" si="40"/>
        <v/>
      </c>
      <c r="AE26" s="18" t="str">
        <f t="shared" si="40"/>
        <v/>
      </c>
      <c r="AF26" s="18" t="str">
        <f t="shared" si="40"/>
        <v/>
      </c>
      <c r="AG26" s="18" t="str">
        <f t="shared" si="40"/>
        <v/>
      </c>
      <c r="AH26" s="18" t="str">
        <f t="shared" si="40"/>
        <v/>
      </c>
      <c r="AI26" s="18" t="str">
        <f t="shared" si="40"/>
        <v/>
      </c>
      <c r="AJ26" s="18" t="str">
        <f t="shared" si="40"/>
        <v/>
      </c>
      <c r="AK26" s="18" t="str">
        <f t="shared" si="40"/>
        <v/>
      </c>
      <c r="AL26" s="18" t="str">
        <f t="shared" si="40"/>
        <v/>
      </c>
      <c r="AM26" s="18" t="str">
        <f t="shared" si="40"/>
        <v/>
      </c>
      <c r="AN26" s="18" t="str">
        <f t="shared" si="40"/>
        <v/>
      </c>
      <c r="AO26" s="18" t="str">
        <f t="shared" ref="AO26:AS26" si="41">IF(AO25="","",IF(AO25=0,"",AO25/(AO22*100)))</f>
        <v/>
      </c>
      <c r="AP26" s="18" t="str">
        <f t="shared" si="41"/>
        <v/>
      </c>
      <c r="AQ26" s="18" t="str">
        <f t="shared" si="41"/>
        <v/>
      </c>
      <c r="AR26" s="18" t="str">
        <f t="shared" si="41"/>
        <v/>
      </c>
      <c r="AS26" s="18" t="str">
        <f t="shared" si="41"/>
        <v/>
      </c>
    </row>
    <row r="27" spans="1:45" s="93" customFormat="1" ht="11">
      <c r="A27" s="17" t="s">
        <v>130</v>
      </c>
      <c r="B27" s="9" t="s">
        <v>2</v>
      </c>
      <c r="C27" s="74">
        <v>127</v>
      </c>
      <c r="D27" s="8">
        <f>IF(D$3="","",C27)</f>
        <v>127</v>
      </c>
      <c r="E27" s="8">
        <v>156</v>
      </c>
      <c r="F27" s="59">
        <f>IF(F$3="","",E27)</f>
        <v>156</v>
      </c>
      <c r="G27" s="8">
        <f>IF(G$3="","",F27)</f>
        <v>156</v>
      </c>
      <c r="H27" s="8">
        <v>174</v>
      </c>
      <c r="I27" s="59">
        <f t="shared" ref="I27:K28" si="42">IF(I$3="","",H27)</f>
        <v>174</v>
      </c>
      <c r="J27" s="8">
        <f t="shared" si="42"/>
        <v>174</v>
      </c>
      <c r="K27" s="8">
        <f t="shared" si="42"/>
        <v>174</v>
      </c>
      <c r="L27" s="8">
        <v>249</v>
      </c>
      <c r="M27" s="59">
        <f>IF(M$3="","",L27)</f>
        <v>249</v>
      </c>
      <c r="N27" s="8">
        <f>IF(N$3="","",M27)</f>
        <v>249</v>
      </c>
      <c r="O27" s="8">
        <v>275</v>
      </c>
      <c r="P27" s="8">
        <f t="shared" ref="P27:AN27" si="43">IF(P$3="","",O27)</f>
        <v>275</v>
      </c>
      <c r="Q27" s="8">
        <f t="shared" si="43"/>
        <v>275</v>
      </c>
      <c r="R27" s="8">
        <f t="shared" si="43"/>
        <v>275</v>
      </c>
      <c r="S27" s="8">
        <f t="shared" si="43"/>
        <v>275</v>
      </c>
      <c r="T27" s="8">
        <v>309</v>
      </c>
      <c r="U27" s="8">
        <f t="shared" si="43"/>
        <v>309</v>
      </c>
      <c r="V27" s="8">
        <v>356</v>
      </c>
      <c r="W27" s="8">
        <f t="shared" si="43"/>
        <v>356</v>
      </c>
      <c r="X27" s="8">
        <f t="shared" si="43"/>
        <v>356</v>
      </c>
      <c r="Y27" s="8">
        <f t="shared" si="43"/>
        <v>356</v>
      </c>
      <c r="Z27" s="8">
        <v>442</v>
      </c>
      <c r="AA27" s="8">
        <f t="shared" si="43"/>
        <v>442</v>
      </c>
      <c r="AB27" s="8">
        <f t="shared" si="43"/>
        <v>442</v>
      </c>
      <c r="AC27" s="8">
        <v>495</v>
      </c>
      <c r="AD27" s="8" t="str">
        <f t="shared" si="43"/>
        <v/>
      </c>
      <c r="AE27" s="8" t="str">
        <f t="shared" si="43"/>
        <v/>
      </c>
      <c r="AF27" s="8" t="str">
        <f t="shared" si="43"/>
        <v/>
      </c>
      <c r="AG27" s="8" t="str">
        <f t="shared" si="43"/>
        <v/>
      </c>
      <c r="AH27" s="8" t="str">
        <f t="shared" si="43"/>
        <v/>
      </c>
      <c r="AI27" s="8" t="str">
        <f t="shared" si="43"/>
        <v/>
      </c>
      <c r="AJ27" s="8" t="str">
        <f t="shared" si="43"/>
        <v/>
      </c>
      <c r="AK27" s="8" t="str">
        <f t="shared" si="43"/>
        <v/>
      </c>
      <c r="AL27" s="8" t="str">
        <f t="shared" si="43"/>
        <v/>
      </c>
      <c r="AM27" s="8" t="str">
        <f t="shared" si="43"/>
        <v/>
      </c>
      <c r="AN27" s="8" t="str">
        <f t="shared" si="43"/>
        <v/>
      </c>
      <c r="AO27" s="8" t="str">
        <f t="shared" ref="AO27:AS27" si="44">IF(AO$3="","",AN27)</f>
        <v/>
      </c>
      <c r="AP27" s="8" t="str">
        <f t="shared" si="44"/>
        <v/>
      </c>
      <c r="AQ27" s="8" t="str">
        <f t="shared" si="44"/>
        <v/>
      </c>
      <c r="AR27" s="8" t="str">
        <f t="shared" si="44"/>
        <v/>
      </c>
      <c r="AS27" s="8" t="str">
        <f t="shared" si="44"/>
        <v/>
      </c>
    </row>
    <row r="28" spans="1:45" s="93" customFormat="1" ht="11">
      <c r="A28" s="16" t="str">
        <f>A16</f>
        <v>BUZZ＃1</v>
      </c>
      <c r="B28" s="9" t="s">
        <v>4</v>
      </c>
      <c r="C28" s="74">
        <v>1</v>
      </c>
      <c r="D28" s="8">
        <f>IF(天文館!D$3="","",C28)</f>
        <v>1</v>
      </c>
      <c r="E28" s="8">
        <v>3</v>
      </c>
      <c r="F28" s="59">
        <f>IF(F$3="","",E28)</f>
        <v>3</v>
      </c>
      <c r="G28" s="8">
        <f>IF(G$3="","",F28)</f>
        <v>3</v>
      </c>
      <c r="H28" s="8">
        <f>IF(H$3="","",G28)</f>
        <v>3</v>
      </c>
      <c r="I28" s="59">
        <f t="shared" si="42"/>
        <v>3</v>
      </c>
      <c r="J28" s="8">
        <f t="shared" si="42"/>
        <v>3</v>
      </c>
      <c r="K28" s="8">
        <f t="shared" si="42"/>
        <v>3</v>
      </c>
      <c r="L28" s="8">
        <f>IF(L$3="","",K28)</f>
        <v>3</v>
      </c>
      <c r="M28" s="59">
        <f>IF(M$3="","",L28)</f>
        <v>3</v>
      </c>
      <c r="N28" s="8">
        <f>IF(N$3="","",M28)</f>
        <v>3</v>
      </c>
      <c r="O28" s="8">
        <f>IF(O$3="","",N28)</f>
        <v>3</v>
      </c>
      <c r="P28" s="8">
        <f t="shared" ref="P28:AN28" si="45">IF(P$3="","",O28)</f>
        <v>3</v>
      </c>
      <c r="Q28" s="8">
        <f t="shared" si="45"/>
        <v>3</v>
      </c>
      <c r="R28" s="8">
        <f t="shared" si="45"/>
        <v>3</v>
      </c>
      <c r="S28" s="8">
        <f t="shared" si="45"/>
        <v>3</v>
      </c>
      <c r="T28" s="8">
        <f t="shared" si="45"/>
        <v>3</v>
      </c>
      <c r="U28" s="8">
        <f t="shared" si="45"/>
        <v>3</v>
      </c>
      <c r="V28" s="8">
        <v>4</v>
      </c>
      <c r="W28" s="8">
        <f t="shared" si="45"/>
        <v>4</v>
      </c>
      <c r="X28" s="8">
        <f t="shared" si="45"/>
        <v>4</v>
      </c>
      <c r="Y28" s="8">
        <f t="shared" si="45"/>
        <v>4</v>
      </c>
      <c r="Z28" s="8">
        <f t="shared" si="45"/>
        <v>4</v>
      </c>
      <c r="AA28" s="8">
        <f t="shared" si="45"/>
        <v>4</v>
      </c>
      <c r="AB28" s="8">
        <f t="shared" si="45"/>
        <v>4</v>
      </c>
      <c r="AC28" s="8">
        <v>5</v>
      </c>
      <c r="AD28" s="8" t="str">
        <f t="shared" si="45"/>
        <v/>
      </c>
      <c r="AE28" s="8" t="str">
        <f t="shared" si="45"/>
        <v/>
      </c>
      <c r="AF28" s="8" t="str">
        <f t="shared" si="45"/>
        <v/>
      </c>
      <c r="AG28" s="8" t="str">
        <f t="shared" si="45"/>
        <v/>
      </c>
      <c r="AH28" s="8" t="str">
        <f t="shared" si="45"/>
        <v/>
      </c>
      <c r="AI28" s="8" t="str">
        <f t="shared" si="45"/>
        <v/>
      </c>
      <c r="AJ28" s="8" t="str">
        <f t="shared" si="45"/>
        <v/>
      </c>
      <c r="AK28" s="8" t="str">
        <f t="shared" si="45"/>
        <v/>
      </c>
      <c r="AL28" s="8" t="str">
        <f t="shared" si="45"/>
        <v/>
      </c>
      <c r="AM28" s="8" t="str">
        <f t="shared" si="45"/>
        <v/>
      </c>
      <c r="AN28" s="8" t="str">
        <f t="shared" si="45"/>
        <v/>
      </c>
      <c r="AO28" s="8" t="str">
        <f>IF(AO$3="","",AN28)</f>
        <v/>
      </c>
      <c r="AP28" s="8" t="str">
        <f>IF(天文館!AP$3="","",AO28)</f>
        <v/>
      </c>
      <c r="AQ28" s="8" t="str">
        <f>IF(天文館!AQ$3="","",AP28)</f>
        <v/>
      </c>
      <c r="AR28" s="8" t="str">
        <f>IF(天文館!AR$3="","",AQ28)</f>
        <v/>
      </c>
      <c r="AS28" s="8" t="str">
        <f>IF(天文館!AS$3="","",AR28)</f>
        <v/>
      </c>
    </row>
    <row r="29" spans="1:45" s="93" customFormat="1" ht="11">
      <c r="A29" s="15">
        <v>3</v>
      </c>
      <c r="B29" s="9" t="s">
        <v>5</v>
      </c>
      <c r="C29" s="74">
        <v>10</v>
      </c>
      <c r="D29" s="8">
        <f>IF(D27="","",(C29+C30))</f>
        <v>10</v>
      </c>
      <c r="E29" s="8">
        <v>8</v>
      </c>
      <c r="F29" s="59">
        <f t="shared" ref="F29:AN29" si="46">IF(F27="","",(E29+E30))</f>
        <v>8</v>
      </c>
      <c r="G29" s="8">
        <f t="shared" si="46"/>
        <v>8</v>
      </c>
      <c r="H29" s="8">
        <f t="shared" si="46"/>
        <v>8</v>
      </c>
      <c r="I29" s="59">
        <f t="shared" si="46"/>
        <v>9</v>
      </c>
      <c r="J29" s="8">
        <f t="shared" si="46"/>
        <v>9</v>
      </c>
      <c r="K29" s="8">
        <f t="shared" si="46"/>
        <v>9</v>
      </c>
      <c r="L29" s="8">
        <f t="shared" si="46"/>
        <v>9</v>
      </c>
      <c r="M29" s="59">
        <f t="shared" si="46"/>
        <v>5</v>
      </c>
      <c r="N29" s="8">
        <f t="shared" si="46"/>
        <v>5</v>
      </c>
      <c r="O29" s="8">
        <f t="shared" si="46"/>
        <v>5</v>
      </c>
      <c r="P29" s="8">
        <f t="shared" si="46"/>
        <v>5</v>
      </c>
      <c r="Q29" s="8">
        <f t="shared" si="46"/>
        <v>5</v>
      </c>
      <c r="R29" s="8">
        <f t="shared" si="46"/>
        <v>5</v>
      </c>
      <c r="S29" s="8">
        <f t="shared" si="46"/>
        <v>5</v>
      </c>
      <c r="T29" s="8">
        <f t="shared" si="46"/>
        <v>5</v>
      </c>
      <c r="U29" s="8">
        <f t="shared" si="46"/>
        <v>5</v>
      </c>
      <c r="V29" s="8">
        <v>4</v>
      </c>
      <c r="W29" s="8">
        <f t="shared" si="46"/>
        <v>8</v>
      </c>
      <c r="X29" s="8">
        <f t="shared" si="46"/>
        <v>8</v>
      </c>
      <c r="Y29" s="8">
        <f t="shared" si="46"/>
        <v>8</v>
      </c>
      <c r="Z29" s="8">
        <f t="shared" si="46"/>
        <v>8</v>
      </c>
      <c r="AA29" s="8">
        <f t="shared" si="46"/>
        <v>8</v>
      </c>
      <c r="AB29" s="8">
        <f t="shared" si="46"/>
        <v>8</v>
      </c>
      <c r="AC29" s="8">
        <v>7</v>
      </c>
      <c r="AD29" s="8" t="str">
        <f t="shared" si="46"/>
        <v/>
      </c>
      <c r="AE29" s="8" t="str">
        <f t="shared" si="46"/>
        <v/>
      </c>
      <c r="AF29" s="8" t="str">
        <f t="shared" si="46"/>
        <v/>
      </c>
      <c r="AG29" s="8" t="str">
        <f t="shared" si="46"/>
        <v/>
      </c>
      <c r="AH29" s="8" t="str">
        <f t="shared" si="46"/>
        <v/>
      </c>
      <c r="AI29" s="8" t="str">
        <f t="shared" si="46"/>
        <v/>
      </c>
      <c r="AJ29" s="8" t="str">
        <f t="shared" si="46"/>
        <v/>
      </c>
      <c r="AK29" s="8" t="str">
        <f t="shared" si="46"/>
        <v/>
      </c>
      <c r="AL29" s="8" t="str">
        <f t="shared" si="46"/>
        <v/>
      </c>
      <c r="AM29" s="8" t="str">
        <f t="shared" si="46"/>
        <v/>
      </c>
      <c r="AN29" s="8" t="str">
        <f t="shared" si="46"/>
        <v/>
      </c>
      <c r="AO29" s="8" t="str">
        <f t="shared" ref="AO29:AS29" si="47">IF(AO27="","",(AN29+AN30))</f>
        <v/>
      </c>
      <c r="AP29" s="8" t="str">
        <f t="shared" si="47"/>
        <v/>
      </c>
      <c r="AQ29" s="8" t="str">
        <f t="shared" si="47"/>
        <v/>
      </c>
      <c r="AR29" s="8" t="str">
        <f t="shared" si="47"/>
        <v/>
      </c>
      <c r="AS29" s="8" t="str">
        <f t="shared" si="47"/>
        <v/>
      </c>
    </row>
    <row r="30" spans="1:45" s="93" customFormat="1" ht="11">
      <c r="A30" s="14"/>
      <c r="B30" s="9" t="s">
        <v>7</v>
      </c>
      <c r="C30" s="74"/>
      <c r="D30" s="8"/>
      <c r="E30" s="8"/>
      <c r="F30" s="59"/>
      <c r="G30" s="8"/>
      <c r="H30" s="8">
        <v>1</v>
      </c>
      <c r="I30" s="59"/>
      <c r="J30" s="8"/>
      <c r="K30" s="8"/>
      <c r="L30" s="8">
        <v>-4</v>
      </c>
      <c r="M30" s="59"/>
      <c r="N30" s="8"/>
      <c r="O30" s="8"/>
      <c r="P30" s="8"/>
      <c r="Q30" s="8"/>
      <c r="R30" s="8"/>
      <c r="S30" s="8"/>
      <c r="T30" s="8"/>
      <c r="U30" s="8"/>
      <c r="V30" s="8">
        <v>4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s="93" customFormat="1" ht="11">
      <c r="A31" s="7"/>
      <c r="B31" s="9" t="s">
        <v>8</v>
      </c>
      <c r="C31" s="74">
        <v>400</v>
      </c>
      <c r="D31" s="8">
        <f t="shared" ref="D31:AN31" si="48">IF(D27="","",C31)</f>
        <v>400</v>
      </c>
      <c r="E31" s="8">
        <f t="shared" si="48"/>
        <v>400</v>
      </c>
      <c r="F31" s="59">
        <f t="shared" si="48"/>
        <v>400</v>
      </c>
      <c r="G31" s="8">
        <f t="shared" si="48"/>
        <v>400</v>
      </c>
      <c r="H31" s="8">
        <f t="shared" si="48"/>
        <v>400</v>
      </c>
      <c r="I31" s="59">
        <f t="shared" si="48"/>
        <v>400</v>
      </c>
      <c r="J31" s="8">
        <f t="shared" si="48"/>
        <v>400</v>
      </c>
      <c r="K31" s="8">
        <f t="shared" si="48"/>
        <v>400</v>
      </c>
      <c r="L31" s="8">
        <f t="shared" si="48"/>
        <v>400</v>
      </c>
      <c r="M31" s="59">
        <f t="shared" si="48"/>
        <v>400</v>
      </c>
      <c r="N31" s="8">
        <f t="shared" si="48"/>
        <v>400</v>
      </c>
      <c r="O31" s="8">
        <f t="shared" si="48"/>
        <v>400</v>
      </c>
      <c r="P31" s="8">
        <f t="shared" si="48"/>
        <v>400</v>
      </c>
      <c r="Q31" s="8">
        <f t="shared" si="48"/>
        <v>400</v>
      </c>
      <c r="R31" s="8">
        <f t="shared" si="48"/>
        <v>400</v>
      </c>
      <c r="S31" s="8">
        <f t="shared" si="48"/>
        <v>400</v>
      </c>
      <c r="T31" s="8">
        <f t="shared" si="48"/>
        <v>400</v>
      </c>
      <c r="U31" s="8">
        <f t="shared" si="48"/>
        <v>400</v>
      </c>
      <c r="V31" s="8">
        <f t="shared" si="48"/>
        <v>400</v>
      </c>
      <c r="W31" s="8">
        <f t="shared" si="48"/>
        <v>400</v>
      </c>
      <c r="X31" s="8">
        <f t="shared" si="48"/>
        <v>400</v>
      </c>
      <c r="Y31" s="8">
        <f t="shared" si="48"/>
        <v>400</v>
      </c>
      <c r="Z31" s="8">
        <f t="shared" si="48"/>
        <v>400</v>
      </c>
      <c r="AA31" s="8">
        <f t="shared" si="48"/>
        <v>400</v>
      </c>
      <c r="AB31" s="8">
        <f t="shared" si="48"/>
        <v>400</v>
      </c>
      <c r="AC31" s="8">
        <f t="shared" si="48"/>
        <v>400</v>
      </c>
      <c r="AD31" s="8" t="str">
        <f t="shared" si="48"/>
        <v/>
      </c>
      <c r="AE31" s="8" t="str">
        <f t="shared" si="48"/>
        <v/>
      </c>
      <c r="AF31" s="8" t="str">
        <f t="shared" si="48"/>
        <v/>
      </c>
      <c r="AG31" s="8" t="str">
        <f t="shared" si="48"/>
        <v/>
      </c>
      <c r="AH31" s="8" t="str">
        <f t="shared" si="48"/>
        <v/>
      </c>
      <c r="AI31" s="8" t="str">
        <f t="shared" si="48"/>
        <v/>
      </c>
      <c r="AJ31" s="8" t="str">
        <f t="shared" si="48"/>
        <v/>
      </c>
      <c r="AK31" s="8" t="str">
        <f t="shared" si="48"/>
        <v/>
      </c>
      <c r="AL31" s="8" t="str">
        <f t="shared" si="48"/>
        <v/>
      </c>
      <c r="AM31" s="8" t="str">
        <f t="shared" si="48"/>
        <v/>
      </c>
      <c r="AN31" s="8" t="str">
        <f t="shared" si="48"/>
        <v/>
      </c>
      <c r="AO31" s="8" t="str">
        <f t="shared" ref="AO31:AS31" si="49">IF(AO27="","",AN31)</f>
        <v/>
      </c>
      <c r="AP31" s="8" t="str">
        <f t="shared" si="49"/>
        <v/>
      </c>
      <c r="AQ31" s="8" t="str">
        <f t="shared" si="49"/>
        <v/>
      </c>
      <c r="AR31" s="8" t="str">
        <f t="shared" si="49"/>
        <v/>
      </c>
      <c r="AS31" s="8" t="str">
        <f t="shared" si="49"/>
        <v/>
      </c>
    </row>
    <row r="32" spans="1:45" s="94" customFormat="1" ht="11">
      <c r="A32" s="14" t="s">
        <v>9</v>
      </c>
      <c r="B32" s="13" t="s">
        <v>10</v>
      </c>
      <c r="C32" s="75" t="s">
        <v>68</v>
      </c>
      <c r="D32" s="12" t="str">
        <f>IF(D27="","",C32)</f>
        <v>ラブブマスコット</v>
      </c>
      <c r="E32" s="12" t="str">
        <f>IF(E27="","",D32)</f>
        <v>ラブブマスコット</v>
      </c>
      <c r="F32" s="131" t="str">
        <f>IF(F27="","",E32)</f>
        <v>ラブブマスコット</v>
      </c>
      <c r="G32" s="12" t="str">
        <f>IF(G27="","",F32)</f>
        <v>ラブブマスコット</v>
      </c>
      <c r="H32" s="12" t="s">
        <v>26</v>
      </c>
      <c r="I32" s="131" t="str">
        <f t="shared" ref="I32:AN32" si="50">IF(I27="","",H32)</f>
        <v>たまごっちマスコット</v>
      </c>
      <c r="J32" s="12" t="str">
        <f t="shared" si="50"/>
        <v>たまごっちマスコット</v>
      </c>
      <c r="K32" s="12" t="str">
        <f t="shared" si="50"/>
        <v>たまごっちマスコット</v>
      </c>
      <c r="L32" s="12" t="str">
        <f t="shared" si="50"/>
        <v>たまごっちマスコット</v>
      </c>
      <c r="M32" s="131" t="str">
        <f t="shared" si="50"/>
        <v>たまごっちマスコット</v>
      </c>
      <c r="N32" s="12" t="str">
        <f t="shared" si="50"/>
        <v>たまごっちマスコット</v>
      </c>
      <c r="O32" s="12" t="str">
        <f t="shared" si="50"/>
        <v>たまごっちマスコット</v>
      </c>
      <c r="P32" s="12" t="str">
        <f t="shared" si="50"/>
        <v>たまごっちマスコット</v>
      </c>
      <c r="Q32" s="12" t="str">
        <f t="shared" si="50"/>
        <v>たまごっちマスコット</v>
      </c>
      <c r="R32" s="12" t="str">
        <f t="shared" si="50"/>
        <v>たまごっちマスコット</v>
      </c>
      <c r="S32" s="12" t="str">
        <f t="shared" si="50"/>
        <v>たまごっちマスコット</v>
      </c>
      <c r="T32" s="12" t="str">
        <f t="shared" si="50"/>
        <v>たまごっちマスコット</v>
      </c>
      <c r="U32" s="12" t="str">
        <f t="shared" si="50"/>
        <v>たまごっちマスコット</v>
      </c>
      <c r="V32" s="12" t="str">
        <f t="shared" si="50"/>
        <v>たまごっちマスコット</v>
      </c>
      <c r="W32" s="12" t="str">
        <f t="shared" si="50"/>
        <v>たまごっちマスコット</v>
      </c>
      <c r="X32" s="12" t="str">
        <f t="shared" si="50"/>
        <v>たまごっちマスコット</v>
      </c>
      <c r="Y32" s="12" t="str">
        <f t="shared" si="50"/>
        <v>たまごっちマスコット</v>
      </c>
      <c r="Z32" s="12" t="str">
        <f t="shared" si="50"/>
        <v>たまごっちマスコット</v>
      </c>
      <c r="AA32" s="12" t="str">
        <f t="shared" si="50"/>
        <v>たまごっちマスコット</v>
      </c>
      <c r="AB32" s="12" t="str">
        <f t="shared" si="50"/>
        <v>たまごっちマスコット</v>
      </c>
      <c r="AC32" s="12" t="str">
        <f t="shared" si="50"/>
        <v>たまごっちマスコット</v>
      </c>
      <c r="AD32" s="12" t="str">
        <f t="shared" si="50"/>
        <v/>
      </c>
      <c r="AE32" s="12" t="str">
        <f t="shared" si="50"/>
        <v/>
      </c>
      <c r="AF32" s="12" t="str">
        <f t="shared" si="50"/>
        <v/>
      </c>
      <c r="AG32" s="12" t="str">
        <f t="shared" si="50"/>
        <v/>
      </c>
      <c r="AH32" s="12" t="str">
        <f t="shared" si="50"/>
        <v/>
      </c>
      <c r="AI32" s="12" t="str">
        <f t="shared" si="50"/>
        <v/>
      </c>
      <c r="AJ32" s="12" t="str">
        <f t="shared" si="50"/>
        <v/>
      </c>
      <c r="AK32" s="12" t="str">
        <f t="shared" si="50"/>
        <v/>
      </c>
      <c r="AL32" s="12" t="str">
        <f t="shared" si="50"/>
        <v/>
      </c>
      <c r="AM32" s="12" t="str">
        <f t="shared" si="50"/>
        <v/>
      </c>
      <c r="AN32" s="12" t="str">
        <f t="shared" si="50"/>
        <v/>
      </c>
      <c r="AO32" s="12" t="str">
        <f t="shared" ref="AO32:AS32" si="51">IF(AO27="","",AN32)</f>
        <v/>
      </c>
      <c r="AP32" s="12" t="str">
        <f t="shared" si="51"/>
        <v/>
      </c>
      <c r="AQ32" s="12" t="str">
        <f t="shared" si="51"/>
        <v/>
      </c>
      <c r="AR32" s="12" t="str">
        <f t="shared" si="51"/>
        <v/>
      </c>
      <c r="AS32" s="12" t="str">
        <f t="shared" si="51"/>
        <v/>
      </c>
    </row>
    <row r="33" spans="1:45" s="93" customFormat="1" ht="11">
      <c r="A33" s="7">
        <f>AVERAGE(C34:AS34)*30*100</f>
        <v>40888.888888888891</v>
      </c>
      <c r="B33" s="9" t="s">
        <v>14</v>
      </c>
      <c r="C33" s="74"/>
      <c r="D33" s="8"/>
      <c r="E33" s="8"/>
      <c r="F33" s="59"/>
      <c r="G33" s="8"/>
      <c r="H33" s="8"/>
      <c r="I33" s="59"/>
      <c r="J33" s="8"/>
      <c r="K33" s="8"/>
      <c r="L33" s="8"/>
      <c r="M33" s="59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s="93" customFormat="1" ht="11">
      <c r="A34" s="7">
        <f>SUM(C34:AS34)</f>
        <v>368</v>
      </c>
      <c r="B34" s="6" t="s">
        <v>15</v>
      </c>
      <c r="C34" s="74">
        <v>0</v>
      </c>
      <c r="D34" s="5">
        <f t="shared" ref="D34:AN34" si="52">IF(D27="","",D27-C27)</f>
        <v>0</v>
      </c>
      <c r="E34" s="5">
        <f t="shared" si="52"/>
        <v>29</v>
      </c>
      <c r="F34" s="59">
        <f t="shared" si="52"/>
        <v>0</v>
      </c>
      <c r="G34" s="5">
        <f t="shared" si="52"/>
        <v>0</v>
      </c>
      <c r="H34" s="5">
        <f t="shared" si="52"/>
        <v>18</v>
      </c>
      <c r="I34" s="59">
        <f t="shared" si="52"/>
        <v>0</v>
      </c>
      <c r="J34" s="5">
        <f t="shared" si="52"/>
        <v>0</v>
      </c>
      <c r="K34" s="5">
        <f t="shared" si="52"/>
        <v>0</v>
      </c>
      <c r="L34" s="5">
        <f t="shared" si="52"/>
        <v>75</v>
      </c>
      <c r="M34" s="59">
        <f t="shared" si="52"/>
        <v>0</v>
      </c>
      <c r="N34" s="5">
        <f t="shared" si="52"/>
        <v>0</v>
      </c>
      <c r="O34" s="5">
        <f t="shared" si="52"/>
        <v>26</v>
      </c>
      <c r="P34" s="5">
        <f t="shared" si="52"/>
        <v>0</v>
      </c>
      <c r="Q34" s="5">
        <f t="shared" si="52"/>
        <v>0</v>
      </c>
      <c r="R34" s="5">
        <f t="shared" si="52"/>
        <v>0</v>
      </c>
      <c r="S34" s="5">
        <f t="shared" si="52"/>
        <v>0</v>
      </c>
      <c r="T34" s="5">
        <f t="shared" si="52"/>
        <v>34</v>
      </c>
      <c r="U34" s="5">
        <f t="shared" si="52"/>
        <v>0</v>
      </c>
      <c r="V34" s="5">
        <f t="shared" si="52"/>
        <v>47</v>
      </c>
      <c r="W34" s="5">
        <f t="shared" si="52"/>
        <v>0</v>
      </c>
      <c r="X34" s="5">
        <f t="shared" si="52"/>
        <v>0</v>
      </c>
      <c r="Y34" s="5">
        <f t="shared" si="52"/>
        <v>0</v>
      </c>
      <c r="Z34" s="5">
        <f t="shared" si="52"/>
        <v>86</v>
      </c>
      <c r="AA34" s="5">
        <f t="shared" si="52"/>
        <v>0</v>
      </c>
      <c r="AB34" s="5">
        <f t="shared" si="52"/>
        <v>0</v>
      </c>
      <c r="AC34" s="5">
        <f t="shared" si="52"/>
        <v>53</v>
      </c>
      <c r="AD34" s="5" t="str">
        <f t="shared" si="52"/>
        <v/>
      </c>
      <c r="AE34" s="5" t="str">
        <f t="shared" si="52"/>
        <v/>
      </c>
      <c r="AF34" s="5" t="str">
        <f t="shared" si="52"/>
        <v/>
      </c>
      <c r="AG34" s="5" t="str">
        <f t="shared" si="52"/>
        <v/>
      </c>
      <c r="AH34" s="5" t="str">
        <f t="shared" si="52"/>
        <v/>
      </c>
      <c r="AI34" s="5" t="str">
        <f t="shared" si="52"/>
        <v/>
      </c>
      <c r="AJ34" s="5" t="str">
        <f t="shared" si="52"/>
        <v/>
      </c>
      <c r="AK34" s="5" t="str">
        <f t="shared" si="52"/>
        <v/>
      </c>
      <c r="AL34" s="5" t="str">
        <f t="shared" si="52"/>
        <v/>
      </c>
      <c r="AM34" s="5" t="str">
        <f t="shared" si="52"/>
        <v/>
      </c>
      <c r="AN34" s="5" t="str">
        <f t="shared" si="52"/>
        <v/>
      </c>
      <c r="AO34" s="5" t="str">
        <f t="shared" ref="AO34:AS34" si="53">IF(AO27="","",AO27-AN27)</f>
        <v/>
      </c>
      <c r="AP34" s="5" t="str">
        <f t="shared" si="53"/>
        <v/>
      </c>
      <c r="AQ34" s="5" t="str">
        <f t="shared" si="53"/>
        <v/>
      </c>
      <c r="AR34" s="5" t="str">
        <f t="shared" si="53"/>
        <v/>
      </c>
      <c r="AS34" s="5" t="str">
        <f t="shared" si="53"/>
        <v/>
      </c>
    </row>
    <row r="35" spans="1:45" s="93" customFormat="1" ht="11">
      <c r="A35" s="7">
        <f>SUM(C35:AS35)</f>
        <v>4</v>
      </c>
      <c r="B35" s="6" t="s">
        <v>16</v>
      </c>
      <c r="C35" s="74">
        <v>0</v>
      </c>
      <c r="D35" s="5">
        <f t="shared" ref="D35:AN35" si="54">IF(D28="","",D28-C28)</f>
        <v>0</v>
      </c>
      <c r="E35" s="5">
        <f t="shared" si="54"/>
        <v>2</v>
      </c>
      <c r="F35" s="59">
        <f t="shared" si="54"/>
        <v>0</v>
      </c>
      <c r="G35" s="5">
        <f t="shared" si="54"/>
        <v>0</v>
      </c>
      <c r="H35" s="5">
        <f t="shared" si="54"/>
        <v>0</v>
      </c>
      <c r="I35" s="59">
        <f t="shared" si="54"/>
        <v>0</v>
      </c>
      <c r="J35" s="5">
        <f t="shared" si="54"/>
        <v>0</v>
      </c>
      <c r="K35" s="5">
        <f t="shared" si="54"/>
        <v>0</v>
      </c>
      <c r="L35" s="5">
        <f t="shared" si="54"/>
        <v>0</v>
      </c>
      <c r="M35" s="59">
        <f t="shared" si="54"/>
        <v>0</v>
      </c>
      <c r="N35" s="5">
        <f t="shared" si="54"/>
        <v>0</v>
      </c>
      <c r="O35" s="5">
        <f t="shared" si="54"/>
        <v>0</v>
      </c>
      <c r="P35" s="5">
        <f t="shared" si="54"/>
        <v>0</v>
      </c>
      <c r="Q35" s="5">
        <f t="shared" si="54"/>
        <v>0</v>
      </c>
      <c r="R35" s="5">
        <f t="shared" si="54"/>
        <v>0</v>
      </c>
      <c r="S35" s="5">
        <f t="shared" si="54"/>
        <v>0</v>
      </c>
      <c r="T35" s="5">
        <f t="shared" si="54"/>
        <v>0</v>
      </c>
      <c r="U35" s="5">
        <f t="shared" si="54"/>
        <v>0</v>
      </c>
      <c r="V35" s="5">
        <f t="shared" si="54"/>
        <v>1</v>
      </c>
      <c r="W35" s="5">
        <f t="shared" si="54"/>
        <v>0</v>
      </c>
      <c r="X35" s="5">
        <f t="shared" si="54"/>
        <v>0</v>
      </c>
      <c r="Y35" s="5">
        <f t="shared" si="54"/>
        <v>0</v>
      </c>
      <c r="Z35" s="5">
        <f t="shared" si="54"/>
        <v>0</v>
      </c>
      <c r="AA35" s="5">
        <f t="shared" si="54"/>
        <v>0</v>
      </c>
      <c r="AB35" s="5">
        <f t="shared" si="54"/>
        <v>0</v>
      </c>
      <c r="AC35" s="5">
        <f t="shared" si="54"/>
        <v>1</v>
      </c>
      <c r="AD35" s="5" t="str">
        <f t="shared" si="54"/>
        <v/>
      </c>
      <c r="AE35" s="5" t="str">
        <f t="shared" si="54"/>
        <v/>
      </c>
      <c r="AF35" s="5" t="str">
        <f t="shared" si="54"/>
        <v/>
      </c>
      <c r="AG35" s="5" t="str">
        <f t="shared" si="54"/>
        <v/>
      </c>
      <c r="AH35" s="5" t="str">
        <f t="shared" si="54"/>
        <v/>
      </c>
      <c r="AI35" s="5" t="str">
        <f t="shared" si="54"/>
        <v/>
      </c>
      <c r="AJ35" s="5" t="str">
        <f t="shared" si="54"/>
        <v/>
      </c>
      <c r="AK35" s="5" t="str">
        <f t="shared" si="54"/>
        <v/>
      </c>
      <c r="AL35" s="5" t="str">
        <f t="shared" si="54"/>
        <v/>
      </c>
      <c r="AM35" s="5" t="str">
        <f t="shared" si="54"/>
        <v/>
      </c>
      <c r="AN35" s="5" t="str">
        <f t="shared" si="54"/>
        <v/>
      </c>
      <c r="AO35" s="5" t="str">
        <f t="shared" ref="AO35:AS35" si="55">IF(AO28="","",AO28-AN28)</f>
        <v/>
      </c>
      <c r="AP35" s="5" t="str">
        <f t="shared" si="55"/>
        <v/>
      </c>
      <c r="AQ35" s="5" t="str">
        <f t="shared" si="55"/>
        <v/>
      </c>
      <c r="AR35" s="5" t="str">
        <f t="shared" si="55"/>
        <v/>
      </c>
      <c r="AS35" s="5" t="str">
        <f t="shared" si="55"/>
        <v/>
      </c>
    </row>
    <row r="36" spans="1:45" s="93" customFormat="1" ht="11">
      <c r="A36" s="7">
        <f>SUM(C36:AS36)</f>
        <v>4</v>
      </c>
      <c r="B36" s="6" t="s">
        <v>17</v>
      </c>
      <c r="C36" s="74">
        <v>0</v>
      </c>
      <c r="D36" s="5">
        <f t="shared" ref="D36:AN36" si="56">IF(D29="","",C29+C30-D29)</f>
        <v>0</v>
      </c>
      <c r="E36" s="5">
        <f t="shared" si="56"/>
        <v>2</v>
      </c>
      <c r="F36" s="59">
        <f t="shared" si="56"/>
        <v>0</v>
      </c>
      <c r="G36" s="5">
        <f t="shared" si="56"/>
        <v>0</v>
      </c>
      <c r="H36" s="5">
        <f t="shared" si="56"/>
        <v>0</v>
      </c>
      <c r="I36" s="59">
        <f t="shared" si="56"/>
        <v>0</v>
      </c>
      <c r="J36" s="5">
        <f t="shared" si="56"/>
        <v>0</v>
      </c>
      <c r="K36" s="5">
        <f t="shared" si="56"/>
        <v>0</v>
      </c>
      <c r="L36" s="5">
        <f t="shared" si="56"/>
        <v>0</v>
      </c>
      <c r="M36" s="59">
        <f t="shared" si="56"/>
        <v>0</v>
      </c>
      <c r="N36" s="5">
        <f t="shared" si="56"/>
        <v>0</v>
      </c>
      <c r="O36" s="5">
        <f t="shared" si="56"/>
        <v>0</v>
      </c>
      <c r="P36" s="5">
        <f t="shared" si="56"/>
        <v>0</v>
      </c>
      <c r="Q36" s="5">
        <f t="shared" si="56"/>
        <v>0</v>
      </c>
      <c r="R36" s="5">
        <f t="shared" si="56"/>
        <v>0</v>
      </c>
      <c r="S36" s="5">
        <f t="shared" si="56"/>
        <v>0</v>
      </c>
      <c r="T36" s="5">
        <f t="shared" si="56"/>
        <v>0</v>
      </c>
      <c r="U36" s="5">
        <f t="shared" si="56"/>
        <v>0</v>
      </c>
      <c r="V36" s="5">
        <f t="shared" si="56"/>
        <v>1</v>
      </c>
      <c r="W36" s="5">
        <f t="shared" si="56"/>
        <v>0</v>
      </c>
      <c r="X36" s="5">
        <f t="shared" si="56"/>
        <v>0</v>
      </c>
      <c r="Y36" s="5">
        <f t="shared" si="56"/>
        <v>0</v>
      </c>
      <c r="Z36" s="5">
        <f t="shared" si="56"/>
        <v>0</v>
      </c>
      <c r="AA36" s="5">
        <f t="shared" si="56"/>
        <v>0</v>
      </c>
      <c r="AB36" s="5">
        <f t="shared" si="56"/>
        <v>0</v>
      </c>
      <c r="AC36" s="5">
        <f t="shared" si="56"/>
        <v>1</v>
      </c>
      <c r="AD36" s="5" t="str">
        <f t="shared" si="56"/>
        <v/>
      </c>
      <c r="AE36" s="5" t="str">
        <f t="shared" si="56"/>
        <v/>
      </c>
      <c r="AF36" s="5" t="str">
        <f t="shared" si="56"/>
        <v/>
      </c>
      <c r="AG36" s="5" t="str">
        <f t="shared" si="56"/>
        <v/>
      </c>
      <c r="AH36" s="5" t="str">
        <f t="shared" si="56"/>
        <v/>
      </c>
      <c r="AI36" s="5" t="str">
        <f t="shared" si="56"/>
        <v/>
      </c>
      <c r="AJ36" s="5" t="str">
        <f t="shared" si="56"/>
        <v/>
      </c>
      <c r="AK36" s="5" t="str">
        <f t="shared" si="56"/>
        <v/>
      </c>
      <c r="AL36" s="5" t="str">
        <f t="shared" si="56"/>
        <v/>
      </c>
      <c r="AM36" s="5" t="str">
        <f t="shared" si="56"/>
        <v/>
      </c>
      <c r="AN36" s="5" t="str">
        <f t="shared" si="56"/>
        <v/>
      </c>
      <c r="AO36" s="5" t="str">
        <f t="shared" ref="AO36:AS36" si="57">IF(AO29="","",AN29+AN30-AO29)</f>
        <v/>
      </c>
      <c r="AP36" s="5" t="str">
        <f t="shared" si="57"/>
        <v/>
      </c>
      <c r="AQ36" s="5" t="str">
        <f t="shared" si="57"/>
        <v/>
      </c>
      <c r="AR36" s="5" t="str">
        <f t="shared" si="57"/>
        <v/>
      </c>
      <c r="AS36" s="5" t="str">
        <f t="shared" si="57"/>
        <v/>
      </c>
    </row>
    <row r="37" spans="1:45" s="93" customFormat="1" ht="11">
      <c r="A37" s="7">
        <f>SUM(C37:AS37)</f>
        <v>1600</v>
      </c>
      <c r="B37" s="6" t="s">
        <v>18</v>
      </c>
      <c r="C37" s="74">
        <v>0</v>
      </c>
      <c r="D37" s="5">
        <f t="shared" ref="D37:AN37" si="58">IF(D27="","",D36*D31)</f>
        <v>0</v>
      </c>
      <c r="E37" s="5">
        <f t="shared" si="58"/>
        <v>800</v>
      </c>
      <c r="F37" s="59">
        <f t="shared" si="58"/>
        <v>0</v>
      </c>
      <c r="G37" s="5">
        <f t="shared" si="58"/>
        <v>0</v>
      </c>
      <c r="H37" s="5">
        <f t="shared" si="58"/>
        <v>0</v>
      </c>
      <c r="I37" s="59">
        <f t="shared" si="58"/>
        <v>0</v>
      </c>
      <c r="J37" s="5">
        <f t="shared" si="58"/>
        <v>0</v>
      </c>
      <c r="K37" s="5">
        <f t="shared" si="58"/>
        <v>0</v>
      </c>
      <c r="L37" s="5">
        <f t="shared" si="58"/>
        <v>0</v>
      </c>
      <c r="M37" s="59">
        <f t="shared" si="58"/>
        <v>0</v>
      </c>
      <c r="N37" s="5">
        <f t="shared" si="58"/>
        <v>0</v>
      </c>
      <c r="O37" s="5">
        <f t="shared" si="58"/>
        <v>0</v>
      </c>
      <c r="P37" s="5">
        <f t="shared" si="58"/>
        <v>0</v>
      </c>
      <c r="Q37" s="5">
        <f t="shared" si="58"/>
        <v>0</v>
      </c>
      <c r="R37" s="5">
        <f t="shared" si="58"/>
        <v>0</v>
      </c>
      <c r="S37" s="5">
        <f t="shared" si="58"/>
        <v>0</v>
      </c>
      <c r="T37" s="5">
        <f t="shared" si="58"/>
        <v>0</v>
      </c>
      <c r="U37" s="5">
        <f t="shared" si="58"/>
        <v>0</v>
      </c>
      <c r="V37" s="5">
        <f t="shared" si="58"/>
        <v>400</v>
      </c>
      <c r="W37" s="5">
        <f t="shared" si="58"/>
        <v>0</v>
      </c>
      <c r="X37" s="5">
        <f t="shared" si="58"/>
        <v>0</v>
      </c>
      <c r="Y37" s="5">
        <f t="shared" si="58"/>
        <v>0</v>
      </c>
      <c r="Z37" s="5">
        <f t="shared" si="58"/>
        <v>0</v>
      </c>
      <c r="AA37" s="5">
        <f t="shared" si="58"/>
        <v>0</v>
      </c>
      <c r="AB37" s="5">
        <f t="shared" si="58"/>
        <v>0</v>
      </c>
      <c r="AC37" s="5">
        <f t="shared" si="58"/>
        <v>400</v>
      </c>
      <c r="AD37" s="5" t="str">
        <f t="shared" si="58"/>
        <v/>
      </c>
      <c r="AE37" s="5" t="str">
        <f t="shared" si="58"/>
        <v/>
      </c>
      <c r="AF37" s="5" t="str">
        <f t="shared" si="58"/>
        <v/>
      </c>
      <c r="AG37" s="5" t="str">
        <f t="shared" si="58"/>
        <v/>
      </c>
      <c r="AH37" s="5" t="str">
        <f t="shared" si="58"/>
        <v/>
      </c>
      <c r="AI37" s="5" t="str">
        <f t="shared" si="58"/>
        <v/>
      </c>
      <c r="AJ37" s="5" t="str">
        <f t="shared" si="58"/>
        <v/>
      </c>
      <c r="AK37" s="5" t="str">
        <f t="shared" si="58"/>
        <v/>
      </c>
      <c r="AL37" s="5" t="str">
        <f t="shared" si="58"/>
        <v/>
      </c>
      <c r="AM37" s="5" t="str">
        <f t="shared" si="58"/>
        <v/>
      </c>
      <c r="AN37" s="5" t="str">
        <f t="shared" si="58"/>
        <v/>
      </c>
      <c r="AO37" s="5" t="str">
        <f t="shared" ref="AO37:AS37" si="59">IF(AO27="","",AO36*AO31)</f>
        <v/>
      </c>
      <c r="AP37" s="5" t="str">
        <f t="shared" si="59"/>
        <v/>
      </c>
      <c r="AQ37" s="5" t="str">
        <f t="shared" si="59"/>
        <v/>
      </c>
      <c r="AR37" s="5" t="str">
        <f t="shared" si="59"/>
        <v/>
      </c>
      <c r="AS37" s="5" t="str">
        <f t="shared" si="59"/>
        <v/>
      </c>
    </row>
    <row r="38" spans="1:45" s="93" customFormat="1" ht="12" thickBot="1">
      <c r="A38" s="4">
        <f>IF(A37="","",A37/(A34*100))</f>
        <v>4.3478260869565216E-2</v>
      </c>
      <c r="B38" s="6" t="s">
        <v>20</v>
      </c>
      <c r="C38" s="76" t="s">
        <v>21</v>
      </c>
      <c r="D38" s="18" t="str">
        <f t="shared" ref="D38:AN38" si="60">IF(D37="","",IF(D37=0,"",D37/(D34*100)))</f>
        <v/>
      </c>
      <c r="E38" s="18">
        <f t="shared" si="60"/>
        <v>0.27586206896551724</v>
      </c>
      <c r="F38" s="62" t="str">
        <f t="shared" si="60"/>
        <v/>
      </c>
      <c r="G38" s="18" t="str">
        <f t="shared" si="60"/>
        <v/>
      </c>
      <c r="H38" s="18" t="str">
        <f t="shared" si="60"/>
        <v/>
      </c>
      <c r="I38" s="62" t="str">
        <f t="shared" si="60"/>
        <v/>
      </c>
      <c r="J38" s="18" t="str">
        <f t="shared" si="60"/>
        <v/>
      </c>
      <c r="K38" s="18" t="str">
        <f t="shared" si="60"/>
        <v/>
      </c>
      <c r="L38" s="18" t="str">
        <f t="shared" si="60"/>
        <v/>
      </c>
      <c r="M38" s="62" t="str">
        <f t="shared" si="60"/>
        <v/>
      </c>
      <c r="N38" s="18" t="str">
        <f t="shared" si="60"/>
        <v/>
      </c>
      <c r="O38" s="18" t="str">
        <f t="shared" si="60"/>
        <v/>
      </c>
      <c r="P38" s="18" t="str">
        <f t="shared" si="60"/>
        <v/>
      </c>
      <c r="Q38" s="18" t="str">
        <f t="shared" si="60"/>
        <v/>
      </c>
      <c r="R38" s="18" t="str">
        <f t="shared" si="60"/>
        <v/>
      </c>
      <c r="S38" s="18" t="str">
        <f t="shared" si="60"/>
        <v/>
      </c>
      <c r="T38" s="18" t="str">
        <f t="shared" si="60"/>
        <v/>
      </c>
      <c r="U38" s="18" t="str">
        <f t="shared" si="60"/>
        <v/>
      </c>
      <c r="V38" s="18">
        <f t="shared" si="60"/>
        <v>8.5106382978723402E-2</v>
      </c>
      <c r="W38" s="18" t="str">
        <f t="shared" si="60"/>
        <v/>
      </c>
      <c r="X38" s="18" t="str">
        <f t="shared" si="60"/>
        <v/>
      </c>
      <c r="Y38" s="18" t="str">
        <f t="shared" si="60"/>
        <v/>
      </c>
      <c r="Z38" s="18" t="str">
        <f t="shared" si="60"/>
        <v/>
      </c>
      <c r="AA38" s="18" t="str">
        <f t="shared" si="60"/>
        <v/>
      </c>
      <c r="AB38" s="18" t="str">
        <f t="shared" si="60"/>
        <v/>
      </c>
      <c r="AC38" s="18">
        <f t="shared" si="60"/>
        <v>7.5471698113207544E-2</v>
      </c>
      <c r="AD38" s="18" t="str">
        <f t="shared" si="60"/>
        <v/>
      </c>
      <c r="AE38" s="18" t="str">
        <f t="shared" si="60"/>
        <v/>
      </c>
      <c r="AF38" s="18" t="str">
        <f t="shared" si="60"/>
        <v/>
      </c>
      <c r="AG38" s="18" t="str">
        <f t="shared" si="60"/>
        <v/>
      </c>
      <c r="AH38" s="18" t="str">
        <f t="shared" si="60"/>
        <v/>
      </c>
      <c r="AI38" s="18" t="str">
        <f t="shared" si="60"/>
        <v/>
      </c>
      <c r="AJ38" s="18" t="str">
        <f t="shared" si="60"/>
        <v/>
      </c>
      <c r="AK38" s="18" t="str">
        <f t="shared" si="60"/>
        <v/>
      </c>
      <c r="AL38" s="18" t="str">
        <f t="shared" si="60"/>
        <v/>
      </c>
      <c r="AM38" s="18" t="str">
        <f t="shared" si="60"/>
        <v/>
      </c>
      <c r="AN38" s="18" t="str">
        <f t="shared" si="60"/>
        <v/>
      </c>
      <c r="AO38" s="18" t="str">
        <f t="shared" ref="AO38:AS38" si="61">IF(AO37="","",IF(AO37=0,"",AO37/(AO34*100)))</f>
        <v/>
      </c>
      <c r="AP38" s="18" t="str">
        <f t="shared" si="61"/>
        <v/>
      </c>
      <c r="AQ38" s="18" t="str">
        <f t="shared" si="61"/>
        <v/>
      </c>
      <c r="AR38" s="18" t="str">
        <f t="shared" si="61"/>
        <v/>
      </c>
      <c r="AS38" s="18" t="str">
        <f t="shared" si="61"/>
        <v/>
      </c>
    </row>
    <row r="39" spans="1:45" s="93" customFormat="1" ht="11">
      <c r="A39" s="17" t="s">
        <v>130</v>
      </c>
      <c r="B39" s="9" t="s">
        <v>2</v>
      </c>
      <c r="C39" s="74">
        <v>124</v>
      </c>
      <c r="D39" s="8">
        <f>IF(D$3="","",C39)</f>
        <v>124</v>
      </c>
      <c r="E39" s="8">
        <v>191</v>
      </c>
      <c r="F39" s="59">
        <f>IF(F$3="","",E39)</f>
        <v>191</v>
      </c>
      <c r="G39" s="8">
        <f>IF(G$3="","",F39)</f>
        <v>191</v>
      </c>
      <c r="H39" s="8">
        <v>305</v>
      </c>
      <c r="I39" s="59">
        <f t="shared" ref="I39:K40" si="62">IF(I$3="","",H39)</f>
        <v>305</v>
      </c>
      <c r="J39" s="8">
        <f t="shared" si="62"/>
        <v>305</v>
      </c>
      <c r="K39" s="8">
        <f t="shared" si="62"/>
        <v>305</v>
      </c>
      <c r="L39" s="8">
        <v>334</v>
      </c>
      <c r="M39" s="59">
        <f>IF(M$3="","",L39)</f>
        <v>334</v>
      </c>
      <c r="N39" s="8">
        <f>IF(N$3="","",M39)</f>
        <v>334</v>
      </c>
      <c r="O39" s="8">
        <v>392</v>
      </c>
      <c r="P39" s="8">
        <f t="shared" ref="P39:AN39" si="63">IF(P$3="","",O39)</f>
        <v>392</v>
      </c>
      <c r="Q39" s="8">
        <f t="shared" si="63"/>
        <v>392</v>
      </c>
      <c r="R39" s="8">
        <f t="shared" si="63"/>
        <v>392</v>
      </c>
      <c r="S39" s="8">
        <f t="shared" si="63"/>
        <v>392</v>
      </c>
      <c r="T39" s="8">
        <v>475</v>
      </c>
      <c r="U39" s="8">
        <f t="shared" si="63"/>
        <v>475</v>
      </c>
      <c r="V39" s="8">
        <v>565</v>
      </c>
      <c r="W39" s="8">
        <f t="shared" si="63"/>
        <v>565</v>
      </c>
      <c r="X39" s="8">
        <f t="shared" si="63"/>
        <v>565</v>
      </c>
      <c r="Y39" s="8">
        <f t="shared" si="63"/>
        <v>565</v>
      </c>
      <c r="Z39" s="8">
        <v>572</v>
      </c>
      <c r="AA39" s="8">
        <f t="shared" si="63"/>
        <v>572</v>
      </c>
      <c r="AB39" s="8">
        <f t="shared" si="63"/>
        <v>572</v>
      </c>
      <c r="AC39" s="8">
        <v>577</v>
      </c>
      <c r="AD39" s="8" t="str">
        <f t="shared" si="63"/>
        <v/>
      </c>
      <c r="AE39" s="8" t="str">
        <f t="shared" si="63"/>
        <v/>
      </c>
      <c r="AF39" s="8" t="str">
        <f t="shared" si="63"/>
        <v/>
      </c>
      <c r="AG39" s="8" t="str">
        <f t="shared" si="63"/>
        <v/>
      </c>
      <c r="AH39" s="8" t="str">
        <f t="shared" si="63"/>
        <v/>
      </c>
      <c r="AI39" s="8" t="str">
        <f t="shared" si="63"/>
        <v/>
      </c>
      <c r="AJ39" s="8" t="str">
        <f t="shared" si="63"/>
        <v/>
      </c>
      <c r="AK39" s="8" t="str">
        <f t="shared" si="63"/>
        <v/>
      </c>
      <c r="AL39" s="8" t="str">
        <f t="shared" si="63"/>
        <v/>
      </c>
      <c r="AM39" s="8" t="str">
        <f t="shared" si="63"/>
        <v/>
      </c>
      <c r="AN39" s="8" t="str">
        <f t="shared" si="63"/>
        <v/>
      </c>
      <c r="AO39" s="8" t="str">
        <f t="shared" ref="AO39:AS39" si="64">IF(AO$3="","",AN39)</f>
        <v/>
      </c>
      <c r="AP39" s="8" t="str">
        <f t="shared" si="64"/>
        <v/>
      </c>
      <c r="AQ39" s="8" t="str">
        <f t="shared" si="64"/>
        <v/>
      </c>
      <c r="AR39" s="8" t="str">
        <f t="shared" si="64"/>
        <v/>
      </c>
      <c r="AS39" s="8" t="str">
        <f t="shared" si="64"/>
        <v/>
      </c>
    </row>
    <row r="40" spans="1:45" s="93" customFormat="1" ht="11">
      <c r="A40" s="16" t="str">
        <f>A28</f>
        <v>BUZZ＃1</v>
      </c>
      <c r="B40" s="9" t="s">
        <v>4</v>
      </c>
      <c r="C40" s="74">
        <v>2</v>
      </c>
      <c r="D40" s="8">
        <f>IF(天文館!D$3="","",C40)</f>
        <v>2</v>
      </c>
      <c r="E40" s="8">
        <v>3</v>
      </c>
      <c r="F40" s="59">
        <f>IF(F$3="","",E40)</f>
        <v>3</v>
      </c>
      <c r="G40" s="8">
        <f>IF(G$3="","",F40)</f>
        <v>3</v>
      </c>
      <c r="H40" s="8">
        <v>4</v>
      </c>
      <c r="I40" s="59">
        <f t="shared" si="62"/>
        <v>4</v>
      </c>
      <c r="J40" s="8">
        <f t="shared" si="62"/>
        <v>4</v>
      </c>
      <c r="K40" s="8">
        <f t="shared" si="62"/>
        <v>4</v>
      </c>
      <c r="L40" s="8">
        <v>5</v>
      </c>
      <c r="M40" s="59">
        <f>IF(M$3="","",L40)</f>
        <v>5</v>
      </c>
      <c r="N40" s="8">
        <f>IF(N$3="","",M40)</f>
        <v>5</v>
      </c>
      <c r="O40" s="8">
        <v>6</v>
      </c>
      <c r="P40" s="8">
        <f t="shared" ref="P40:AN40" si="65">IF(P$3="","",O40)</f>
        <v>6</v>
      </c>
      <c r="Q40" s="8">
        <f t="shared" si="65"/>
        <v>6</v>
      </c>
      <c r="R40" s="8">
        <f t="shared" si="65"/>
        <v>6</v>
      </c>
      <c r="S40" s="8">
        <f t="shared" si="65"/>
        <v>6</v>
      </c>
      <c r="T40" s="8">
        <v>7</v>
      </c>
      <c r="U40" s="8">
        <f t="shared" si="65"/>
        <v>7</v>
      </c>
      <c r="V40" s="8">
        <f t="shared" si="65"/>
        <v>7</v>
      </c>
      <c r="W40" s="8">
        <f t="shared" si="65"/>
        <v>7</v>
      </c>
      <c r="X40" s="8">
        <f t="shared" si="65"/>
        <v>7</v>
      </c>
      <c r="Y40" s="8">
        <f t="shared" si="65"/>
        <v>7</v>
      </c>
      <c r="Z40" s="8">
        <v>8</v>
      </c>
      <c r="AA40" s="8">
        <f t="shared" si="65"/>
        <v>8</v>
      </c>
      <c r="AB40" s="8">
        <f t="shared" si="65"/>
        <v>8</v>
      </c>
      <c r="AC40" s="8">
        <f t="shared" si="65"/>
        <v>8</v>
      </c>
      <c r="AD40" s="8" t="str">
        <f t="shared" si="65"/>
        <v/>
      </c>
      <c r="AE40" s="8" t="str">
        <f t="shared" si="65"/>
        <v/>
      </c>
      <c r="AF40" s="8" t="str">
        <f t="shared" si="65"/>
        <v/>
      </c>
      <c r="AG40" s="8" t="str">
        <f t="shared" si="65"/>
        <v/>
      </c>
      <c r="AH40" s="8" t="str">
        <f t="shared" si="65"/>
        <v/>
      </c>
      <c r="AI40" s="8" t="str">
        <f t="shared" si="65"/>
        <v/>
      </c>
      <c r="AJ40" s="8" t="str">
        <f t="shared" si="65"/>
        <v/>
      </c>
      <c r="AK40" s="8" t="str">
        <f t="shared" si="65"/>
        <v/>
      </c>
      <c r="AL40" s="8" t="str">
        <f t="shared" si="65"/>
        <v/>
      </c>
      <c r="AM40" s="8" t="str">
        <f t="shared" si="65"/>
        <v/>
      </c>
      <c r="AN40" s="8" t="str">
        <f t="shared" si="65"/>
        <v/>
      </c>
      <c r="AO40" s="8" t="str">
        <f>IF(AO$3="","",AN40)</f>
        <v/>
      </c>
      <c r="AP40" s="8" t="str">
        <f>IF(天文館!AP$3="","",AO40)</f>
        <v/>
      </c>
      <c r="AQ40" s="8" t="str">
        <f>IF(天文館!AQ$3="","",AP40)</f>
        <v/>
      </c>
      <c r="AR40" s="8" t="str">
        <f>IF(天文館!AR$3="","",AQ40)</f>
        <v/>
      </c>
      <c r="AS40" s="8" t="str">
        <f>IF(天文館!AS$3="","",AR40)</f>
        <v/>
      </c>
    </row>
    <row r="41" spans="1:45" s="93" customFormat="1" ht="11">
      <c r="A41" s="15">
        <v>4</v>
      </c>
      <c r="B41" s="9" t="s">
        <v>5</v>
      </c>
      <c r="C41" s="74">
        <v>7</v>
      </c>
      <c r="D41" s="8">
        <f>IF(D39="","",(C41+C42))</f>
        <v>7</v>
      </c>
      <c r="E41" s="8">
        <v>6</v>
      </c>
      <c r="F41" s="59">
        <f>IF(F39="","",(E41+E42))</f>
        <v>6</v>
      </c>
      <c r="G41" s="8">
        <f>IF(G39="","",(F41+F42))</f>
        <v>6</v>
      </c>
      <c r="H41" s="8">
        <v>5</v>
      </c>
      <c r="I41" s="59">
        <f>IF(I39="","",(H41+H42))</f>
        <v>3</v>
      </c>
      <c r="J41" s="8">
        <f>IF(J39="","",(I41+I42))</f>
        <v>3</v>
      </c>
      <c r="K41" s="8">
        <f>IF(K39="","",(J41+J42))</f>
        <v>3</v>
      </c>
      <c r="L41" s="8">
        <v>1</v>
      </c>
      <c r="M41" s="59">
        <f>IF(M39="","",(L41+L42))</f>
        <v>4</v>
      </c>
      <c r="N41" s="8">
        <f>IF(N39="","",(M41+M42))</f>
        <v>4</v>
      </c>
      <c r="O41" s="8">
        <v>3</v>
      </c>
      <c r="P41" s="8">
        <f t="shared" ref="P41:AN41" si="66">IF(P39="","",(O41+O42))</f>
        <v>4</v>
      </c>
      <c r="Q41" s="8">
        <f t="shared" si="66"/>
        <v>4</v>
      </c>
      <c r="R41" s="8">
        <f t="shared" si="66"/>
        <v>4</v>
      </c>
      <c r="S41" s="8">
        <f t="shared" si="66"/>
        <v>4</v>
      </c>
      <c r="T41" s="8">
        <v>3</v>
      </c>
      <c r="U41" s="8">
        <f t="shared" si="66"/>
        <v>3</v>
      </c>
      <c r="V41" s="8">
        <f t="shared" si="66"/>
        <v>3</v>
      </c>
      <c r="W41" s="8">
        <f t="shared" si="66"/>
        <v>22</v>
      </c>
      <c r="X41" s="8">
        <f t="shared" si="66"/>
        <v>22</v>
      </c>
      <c r="Y41" s="8">
        <f t="shared" si="66"/>
        <v>22</v>
      </c>
      <c r="Z41" s="8">
        <v>21</v>
      </c>
      <c r="AA41" s="8">
        <f t="shared" si="66"/>
        <v>21</v>
      </c>
      <c r="AB41" s="8">
        <f t="shared" si="66"/>
        <v>21</v>
      </c>
      <c r="AC41" s="8">
        <f t="shared" si="66"/>
        <v>21</v>
      </c>
      <c r="AD41" s="8" t="str">
        <f t="shared" si="66"/>
        <v/>
      </c>
      <c r="AE41" s="8" t="str">
        <f t="shared" si="66"/>
        <v/>
      </c>
      <c r="AF41" s="8" t="str">
        <f t="shared" si="66"/>
        <v/>
      </c>
      <c r="AG41" s="8" t="str">
        <f t="shared" si="66"/>
        <v/>
      </c>
      <c r="AH41" s="8" t="str">
        <f t="shared" si="66"/>
        <v/>
      </c>
      <c r="AI41" s="8" t="str">
        <f t="shared" si="66"/>
        <v/>
      </c>
      <c r="AJ41" s="8" t="str">
        <f t="shared" si="66"/>
        <v/>
      </c>
      <c r="AK41" s="8" t="str">
        <f t="shared" si="66"/>
        <v/>
      </c>
      <c r="AL41" s="8" t="str">
        <f t="shared" si="66"/>
        <v/>
      </c>
      <c r="AM41" s="8" t="str">
        <f t="shared" si="66"/>
        <v/>
      </c>
      <c r="AN41" s="8" t="str">
        <f t="shared" si="66"/>
        <v/>
      </c>
      <c r="AO41" s="8" t="str">
        <f t="shared" ref="AO41:AS41" si="67">IF(AO39="","",(AN41+AN42))</f>
        <v/>
      </c>
      <c r="AP41" s="8" t="str">
        <f t="shared" si="67"/>
        <v/>
      </c>
      <c r="AQ41" s="8" t="str">
        <f t="shared" si="67"/>
        <v/>
      </c>
      <c r="AR41" s="8" t="str">
        <f t="shared" si="67"/>
        <v/>
      </c>
      <c r="AS41" s="8" t="str">
        <f t="shared" si="67"/>
        <v/>
      </c>
    </row>
    <row r="42" spans="1:45" s="93" customFormat="1" ht="11">
      <c r="A42" s="14"/>
      <c r="B42" s="9" t="s">
        <v>7</v>
      </c>
      <c r="C42" s="74"/>
      <c r="D42" s="8"/>
      <c r="E42" s="8"/>
      <c r="F42" s="59"/>
      <c r="G42" s="8"/>
      <c r="H42" s="8">
        <v>-2</v>
      </c>
      <c r="I42" s="59"/>
      <c r="J42" s="8"/>
      <c r="K42" s="8"/>
      <c r="L42" s="8">
        <v>3</v>
      </c>
      <c r="M42" s="59"/>
      <c r="N42" s="8"/>
      <c r="O42" s="8">
        <v>1</v>
      </c>
      <c r="P42" s="8"/>
      <c r="Q42" s="8"/>
      <c r="R42" s="8"/>
      <c r="S42" s="8"/>
      <c r="T42" s="8"/>
      <c r="U42" s="8"/>
      <c r="V42" s="8">
        <v>19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s="93" customFormat="1" ht="11">
      <c r="A43" s="7"/>
      <c r="B43" s="9" t="s">
        <v>8</v>
      </c>
      <c r="C43" s="74">
        <v>820</v>
      </c>
      <c r="D43" s="8">
        <f t="shared" ref="D43:AN43" si="68">IF(D39="","",C43)</f>
        <v>820</v>
      </c>
      <c r="E43" s="8">
        <f t="shared" si="68"/>
        <v>820</v>
      </c>
      <c r="F43" s="59">
        <f t="shared" si="68"/>
        <v>820</v>
      </c>
      <c r="G43" s="8">
        <f t="shared" si="68"/>
        <v>820</v>
      </c>
      <c r="H43" s="8">
        <f t="shared" si="68"/>
        <v>820</v>
      </c>
      <c r="I43" s="59">
        <f t="shared" si="68"/>
        <v>820</v>
      </c>
      <c r="J43" s="8">
        <f t="shared" si="68"/>
        <v>820</v>
      </c>
      <c r="K43" s="8">
        <f t="shared" si="68"/>
        <v>820</v>
      </c>
      <c r="L43" s="8">
        <f t="shared" si="68"/>
        <v>820</v>
      </c>
      <c r="M43" s="59">
        <f t="shared" si="68"/>
        <v>820</v>
      </c>
      <c r="N43" s="8">
        <f t="shared" si="68"/>
        <v>820</v>
      </c>
      <c r="O43" s="8">
        <f t="shared" si="68"/>
        <v>820</v>
      </c>
      <c r="P43" s="8">
        <f t="shared" si="68"/>
        <v>820</v>
      </c>
      <c r="Q43" s="8">
        <f t="shared" si="68"/>
        <v>820</v>
      </c>
      <c r="R43" s="8">
        <f t="shared" si="68"/>
        <v>820</v>
      </c>
      <c r="S43" s="8">
        <f t="shared" si="68"/>
        <v>820</v>
      </c>
      <c r="T43" s="8">
        <f t="shared" si="68"/>
        <v>820</v>
      </c>
      <c r="U43" s="8">
        <f t="shared" si="68"/>
        <v>820</v>
      </c>
      <c r="V43" s="8">
        <f t="shared" si="68"/>
        <v>820</v>
      </c>
      <c r="W43" s="8">
        <f t="shared" si="68"/>
        <v>820</v>
      </c>
      <c r="X43" s="8">
        <f t="shared" si="68"/>
        <v>820</v>
      </c>
      <c r="Y43" s="8">
        <f t="shared" si="68"/>
        <v>820</v>
      </c>
      <c r="Z43" s="8">
        <f t="shared" si="68"/>
        <v>820</v>
      </c>
      <c r="AA43" s="8">
        <f t="shared" si="68"/>
        <v>820</v>
      </c>
      <c r="AB43" s="8">
        <f t="shared" si="68"/>
        <v>820</v>
      </c>
      <c r="AC43" s="8">
        <f t="shared" si="68"/>
        <v>820</v>
      </c>
      <c r="AD43" s="8" t="str">
        <f t="shared" si="68"/>
        <v/>
      </c>
      <c r="AE43" s="8" t="str">
        <f t="shared" si="68"/>
        <v/>
      </c>
      <c r="AF43" s="8" t="str">
        <f t="shared" si="68"/>
        <v/>
      </c>
      <c r="AG43" s="8" t="str">
        <f t="shared" si="68"/>
        <v/>
      </c>
      <c r="AH43" s="8" t="str">
        <f t="shared" si="68"/>
        <v/>
      </c>
      <c r="AI43" s="8" t="str">
        <f t="shared" si="68"/>
        <v/>
      </c>
      <c r="AJ43" s="8" t="str">
        <f t="shared" si="68"/>
        <v/>
      </c>
      <c r="AK43" s="8" t="str">
        <f t="shared" si="68"/>
        <v/>
      </c>
      <c r="AL43" s="8" t="str">
        <f t="shared" si="68"/>
        <v/>
      </c>
      <c r="AM43" s="8" t="str">
        <f t="shared" si="68"/>
        <v/>
      </c>
      <c r="AN43" s="8" t="str">
        <f t="shared" si="68"/>
        <v/>
      </c>
      <c r="AO43" s="8" t="str">
        <f t="shared" ref="AO43:AS43" si="69">IF(AO39="","",AN43)</f>
        <v/>
      </c>
      <c r="AP43" s="8" t="str">
        <f t="shared" si="69"/>
        <v/>
      </c>
      <c r="AQ43" s="8" t="str">
        <f t="shared" si="69"/>
        <v/>
      </c>
      <c r="AR43" s="8" t="str">
        <f t="shared" si="69"/>
        <v/>
      </c>
      <c r="AS43" s="8" t="str">
        <f t="shared" si="69"/>
        <v/>
      </c>
    </row>
    <row r="44" spans="1:45" s="94" customFormat="1" ht="11">
      <c r="A44" s="14" t="s">
        <v>9</v>
      </c>
      <c r="B44" s="13" t="s">
        <v>10</v>
      </c>
      <c r="C44" s="75" t="s">
        <v>26</v>
      </c>
      <c r="D44" s="12" t="str">
        <f>IF(D39="","",C44)</f>
        <v>たまごっちマスコット</v>
      </c>
      <c r="E44" s="12" t="str">
        <f>IF(E39="","",D44)</f>
        <v>たまごっちマスコット</v>
      </c>
      <c r="F44" s="131" t="str">
        <f>IF(F39="","",E44)</f>
        <v>たまごっちマスコット</v>
      </c>
      <c r="G44" s="12" t="str">
        <f>IF(G39="","",F44)</f>
        <v>たまごっちマスコット</v>
      </c>
      <c r="H44" s="12" t="s">
        <v>33</v>
      </c>
      <c r="I44" s="131" t="str">
        <f>IF(I39="","",H44)</f>
        <v>パステルケーキ</v>
      </c>
      <c r="J44" s="12" t="str">
        <f>IF(J39="","",I44)</f>
        <v>パステルケーキ</v>
      </c>
      <c r="K44" s="12" t="str">
        <f>IF(K39="","",J44)</f>
        <v>パステルケーキ</v>
      </c>
      <c r="L44" s="12" t="s">
        <v>26</v>
      </c>
      <c r="M44" s="131" t="str">
        <f t="shared" ref="M44:AN44" si="70">IF(M39="","",L44)</f>
        <v>たまごっちマスコット</v>
      </c>
      <c r="N44" s="12" t="str">
        <f t="shared" si="70"/>
        <v>たまごっちマスコット</v>
      </c>
      <c r="O44" s="12" t="str">
        <f t="shared" si="70"/>
        <v>たまごっちマスコット</v>
      </c>
      <c r="P44" s="12" t="str">
        <f t="shared" si="70"/>
        <v>たまごっちマスコット</v>
      </c>
      <c r="Q44" s="12" t="str">
        <f t="shared" si="70"/>
        <v>たまごっちマスコット</v>
      </c>
      <c r="R44" s="12" t="str">
        <f t="shared" si="70"/>
        <v>たまごっちマスコット</v>
      </c>
      <c r="S44" s="12" t="str">
        <f t="shared" si="70"/>
        <v>たまごっちマスコット</v>
      </c>
      <c r="T44" s="12" t="str">
        <f t="shared" si="70"/>
        <v>たまごっちマスコット</v>
      </c>
      <c r="U44" s="12" t="str">
        <f t="shared" si="70"/>
        <v>たまごっちマスコット</v>
      </c>
      <c r="V44" s="12" t="s">
        <v>132</v>
      </c>
      <c r="W44" s="12" t="str">
        <f t="shared" si="70"/>
        <v>サンリオスイーツ</v>
      </c>
      <c r="X44" s="12" t="str">
        <f t="shared" si="70"/>
        <v>サンリオスイーツ</v>
      </c>
      <c r="Y44" s="12" t="str">
        <f t="shared" si="70"/>
        <v>サンリオスイーツ</v>
      </c>
      <c r="Z44" s="12" t="str">
        <f t="shared" si="70"/>
        <v>サンリオスイーツ</v>
      </c>
      <c r="AA44" s="12" t="str">
        <f t="shared" si="70"/>
        <v>サンリオスイーツ</v>
      </c>
      <c r="AB44" s="12" t="str">
        <f t="shared" si="70"/>
        <v>サンリオスイーツ</v>
      </c>
      <c r="AC44" s="12" t="str">
        <f t="shared" si="70"/>
        <v>サンリオスイーツ</v>
      </c>
      <c r="AD44" s="12" t="str">
        <f t="shared" si="70"/>
        <v/>
      </c>
      <c r="AE44" s="12" t="str">
        <f t="shared" si="70"/>
        <v/>
      </c>
      <c r="AF44" s="12" t="str">
        <f t="shared" si="70"/>
        <v/>
      </c>
      <c r="AG44" s="12" t="str">
        <f t="shared" si="70"/>
        <v/>
      </c>
      <c r="AH44" s="12" t="str">
        <f t="shared" si="70"/>
        <v/>
      </c>
      <c r="AI44" s="12" t="str">
        <f t="shared" si="70"/>
        <v/>
      </c>
      <c r="AJ44" s="12" t="str">
        <f t="shared" si="70"/>
        <v/>
      </c>
      <c r="AK44" s="12" t="str">
        <f t="shared" si="70"/>
        <v/>
      </c>
      <c r="AL44" s="12" t="str">
        <f t="shared" si="70"/>
        <v/>
      </c>
      <c r="AM44" s="12" t="str">
        <f t="shared" si="70"/>
        <v/>
      </c>
      <c r="AN44" s="12" t="str">
        <f t="shared" si="70"/>
        <v/>
      </c>
      <c r="AO44" s="12" t="str">
        <f t="shared" ref="AO44:AS44" si="71">IF(AO39="","",AN44)</f>
        <v/>
      </c>
      <c r="AP44" s="12" t="str">
        <f t="shared" si="71"/>
        <v/>
      </c>
      <c r="AQ44" s="12" t="str">
        <f t="shared" si="71"/>
        <v/>
      </c>
      <c r="AR44" s="12" t="str">
        <f t="shared" si="71"/>
        <v/>
      </c>
      <c r="AS44" s="12" t="str">
        <f t="shared" si="71"/>
        <v/>
      </c>
    </row>
    <row r="45" spans="1:45" s="93" customFormat="1" ht="11">
      <c r="A45" s="7">
        <f>AVERAGE(C46:AS46)*30*100</f>
        <v>50333.333333333336</v>
      </c>
      <c r="B45" s="9" t="s">
        <v>14</v>
      </c>
      <c r="C45" s="74"/>
      <c r="D45" s="8"/>
      <c r="E45" s="8"/>
      <c r="F45" s="59"/>
      <c r="G45" s="8"/>
      <c r="H45" s="8"/>
      <c r="I45" s="59"/>
      <c r="J45" s="8"/>
      <c r="K45" s="8"/>
      <c r="L45" s="8"/>
      <c r="M45" s="5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s="93" customFormat="1" ht="11">
      <c r="A46" s="7">
        <f>SUM(C46:AS46)</f>
        <v>453</v>
      </c>
      <c r="B46" s="6" t="s">
        <v>15</v>
      </c>
      <c r="C46" s="74">
        <v>0</v>
      </c>
      <c r="D46" s="5">
        <f t="shared" ref="D46:AN46" si="72">IF(D39="","",D39-C39)</f>
        <v>0</v>
      </c>
      <c r="E46" s="5">
        <f t="shared" si="72"/>
        <v>67</v>
      </c>
      <c r="F46" s="59">
        <f t="shared" si="72"/>
        <v>0</v>
      </c>
      <c r="G46" s="5">
        <f t="shared" si="72"/>
        <v>0</v>
      </c>
      <c r="H46" s="5">
        <f t="shared" si="72"/>
        <v>114</v>
      </c>
      <c r="I46" s="59">
        <f t="shared" si="72"/>
        <v>0</v>
      </c>
      <c r="J46" s="5">
        <f t="shared" si="72"/>
        <v>0</v>
      </c>
      <c r="K46" s="5">
        <f t="shared" si="72"/>
        <v>0</v>
      </c>
      <c r="L46" s="5">
        <f t="shared" si="72"/>
        <v>29</v>
      </c>
      <c r="M46" s="59">
        <f t="shared" si="72"/>
        <v>0</v>
      </c>
      <c r="N46" s="5">
        <f t="shared" si="72"/>
        <v>0</v>
      </c>
      <c r="O46" s="5">
        <f t="shared" si="72"/>
        <v>58</v>
      </c>
      <c r="P46" s="5">
        <f t="shared" si="72"/>
        <v>0</v>
      </c>
      <c r="Q46" s="5">
        <f t="shared" si="72"/>
        <v>0</v>
      </c>
      <c r="R46" s="5">
        <f t="shared" si="72"/>
        <v>0</v>
      </c>
      <c r="S46" s="5">
        <f t="shared" si="72"/>
        <v>0</v>
      </c>
      <c r="T46" s="5">
        <f t="shared" si="72"/>
        <v>83</v>
      </c>
      <c r="U46" s="5">
        <f t="shared" si="72"/>
        <v>0</v>
      </c>
      <c r="V46" s="5">
        <f t="shared" si="72"/>
        <v>90</v>
      </c>
      <c r="W46" s="5">
        <f t="shared" si="72"/>
        <v>0</v>
      </c>
      <c r="X46" s="5">
        <f t="shared" si="72"/>
        <v>0</v>
      </c>
      <c r="Y46" s="5">
        <f t="shared" si="72"/>
        <v>0</v>
      </c>
      <c r="Z46" s="5">
        <f t="shared" si="72"/>
        <v>7</v>
      </c>
      <c r="AA46" s="5">
        <f t="shared" si="72"/>
        <v>0</v>
      </c>
      <c r="AB46" s="5">
        <f t="shared" si="72"/>
        <v>0</v>
      </c>
      <c r="AC46" s="5">
        <f t="shared" si="72"/>
        <v>5</v>
      </c>
      <c r="AD46" s="5" t="str">
        <f t="shared" si="72"/>
        <v/>
      </c>
      <c r="AE46" s="5" t="str">
        <f t="shared" si="72"/>
        <v/>
      </c>
      <c r="AF46" s="5" t="str">
        <f t="shared" si="72"/>
        <v/>
      </c>
      <c r="AG46" s="5" t="str">
        <f t="shared" si="72"/>
        <v/>
      </c>
      <c r="AH46" s="5" t="str">
        <f t="shared" si="72"/>
        <v/>
      </c>
      <c r="AI46" s="5" t="str">
        <f t="shared" si="72"/>
        <v/>
      </c>
      <c r="AJ46" s="5" t="str">
        <f t="shared" si="72"/>
        <v/>
      </c>
      <c r="AK46" s="5" t="str">
        <f t="shared" si="72"/>
        <v/>
      </c>
      <c r="AL46" s="5" t="str">
        <f t="shared" si="72"/>
        <v/>
      </c>
      <c r="AM46" s="5" t="str">
        <f t="shared" si="72"/>
        <v/>
      </c>
      <c r="AN46" s="5" t="str">
        <f t="shared" si="72"/>
        <v/>
      </c>
      <c r="AO46" s="5" t="str">
        <f t="shared" ref="AO46:AS46" si="73">IF(AO39="","",AO39-AN39)</f>
        <v/>
      </c>
      <c r="AP46" s="5" t="str">
        <f t="shared" si="73"/>
        <v/>
      </c>
      <c r="AQ46" s="5" t="str">
        <f t="shared" si="73"/>
        <v/>
      </c>
      <c r="AR46" s="5" t="str">
        <f t="shared" si="73"/>
        <v/>
      </c>
      <c r="AS46" s="5" t="str">
        <f t="shared" si="73"/>
        <v/>
      </c>
    </row>
    <row r="47" spans="1:45" s="93" customFormat="1" ht="11">
      <c r="A47" s="7">
        <f>SUM(C47:AS47)</f>
        <v>6</v>
      </c>
      <c r="B47" s="6" t="s">
        <v>16</v>
      </c>
      <c r="C47" s="74">
        <v>0</v>
      </c>
      <c r="D47" s="5">
        <f t="shared" ref="D47:AN47" si="74">IF(D40="","",D40-C40)</f>
        <v>0</v>
      </c>
      <c r="E47" s="5">
        <f t="shared" si="74"/>
        <v>1</v>
      </c>
      <c r="F47" s="59">
        <f t="shared" si="74"/>
        <v>0</v>
      </c>
      <c r="G47" s="5">
        <f t="shared" si="74"/>
        <v>0</v>
      </c>
      <c r="H47" s="5">
        <f t="shared" si="74"/>
        <v>1</v>
      </c>
      <c r="I47" s="59">
        <f t="shared" si="74"/>
        <v>0</v>
      </c>
      <c r="J47" s="5">
        <f t="shared" si="74"/>
        <v>0</v>
      </c>
      <c r="K47" s="5">
        <f t="shared" si="74"/>
        <v>0</v>
      </c>
      <c r="L47" s="5">
        <f t="shared" si="74"/>
        <v>1</v>
      </c>
      <c r="M47" s="59">
        <f t="shared" si="74"/>
        <v>0</v>
      </c>
      <c r="N47" s="5">
        <f t="shared" si="74"/>
        <v>0</v>
      </c>
      <c r="O47" s="5">
        <f t="shared" si="74"/>
        <v>1</v>
      </c>
      <c r="P47" s="5">
        <f t="shared" si="74"/>
        <v>0</v>
      </c>
      <c r="Q47" s="5">
        <f t="shared" si="74"/>
        <v>0</v>
      </c>
      <c r="R47" s="5">
        <f t="shared" si="74"/>
        <v>0</v>
      </c>
      <c r="S47" s="5">
        <f t="shared" si="74"/>
        <v>0</v>
      </c>
      <c r="T47" s="5">
        <f t="shared" si="74"/>
        <v>1</v>
      </c>
      <c r="U47" s="5">
        <f t="shared" si="74"/>
        <v>0</v>
      </c>
      <c r="V47" s="5">
        <f t="shared" si="74"/>
        <v>0</v>
      </c>
      <c r="W47" s="5">
        <f t="shared" si="74"/>
        <v>0</v>
      </c>
      <c r="X47" s="5">
        <f t="shared" si="74"/>
        <v>0</v>
      </c>
      <c r="Y47" s="5">
        <f t="shared" si="74"/>
        <v>0</v>
      </c>
      <c r="Z47" s="5">
        <f t="shared" si="74"/>
        <v>1</v>
      </c>
      <c r="AA47" s="5">
        <f t="shared" si="74"/>
        <v>0</v>
      </c>
      <c r="AB47" s="5">
        <f t="shared" si="74"/>
        <v>0</v>
      </c>
      <c r="AC47" s="5">
        <f t="shared" si="74"/>
        <v>0</v>
      </c>
      <c r="AD47" s="5" t="str">
        <f t="shared" si="74"/>
        <v/>
      </c>
      <c r="AE47" s="5" t="str">
        <f t="shared" si="74"/>
        <v/>
      </c>
      <c r="AF47" s="5" t="str">
        <f t="shared" si="74"/>
        <v/>
      </c>
      <c r="AG47" s="5" t="str">
        <f t="shared" si="74"/>
        <v/>
      </c>
      <c r="AH47" s="5" t="str">
        <f t="shared" si="74"/>
        <v/>
      </c>
      <c r="AI47" s="5" t="str">
        <f t="shared" si="74"/>
        <v/>
      </c>
      <c r="AJ47" s="5" t="str">
        <f t="shared" si="74"/>
        <v/>
      </c>
      <c r="AK47" s="5" t="str">
        <f t="shared" si="74"/>
        <v/>
      </c>
      <c r="AL47" s="5" t="str">
        <f t="shared" si="74"/>
        <v/>
      </c>
      <c r="AM47" s="5" t="str">
        <f t="shared" si="74"/>
        <v/>
      </c>
      <c r="AN47" s="5" t="str">
        <f t="shared" si="74"/>
        <v/>
      </c>
      <c r="AO47" s="5" t="str">
        <f t="shared" ref="AO47:AS47" si="75">IF(AO40="","",AO40-AN40)</f>
        <v/>
      </c>
      <c r="AP47" s="5" t="str">
        <f t="shared" si="75"/>
        <v/>
      </c>
      <c r="AQ47" s="5" t="str">
        <f t="shared" si="75"/>
        <v/>
      </c>
      <c r="AR47" s="5" t="str">
        <f t="shared" si="75"/>
        <v/>
      </c>
      <c r="AS47" s="5" t="str">
        <f t="shared" si="75"/>
        <v/>
      </c>
    </row>
    <row r="48" spans="1:45" s="93" customFormat="1" ht="11">
      <c r="A48" s="7">
        <f>SUM(C48:AS48)</f>
        <v>7</v>
      </c>
      <c r="B48" s="6" t="s">
        <v>17</v>
      </c>
      <c r="C48" s="74">
        <v>0</v>
      </c>
      <c r="D48" s="5">
        <f t="shared" ref="D48:AN48" si="76">IF(D41="","",C41+C42-D41)</f>
        <v>0</v>
      </c>
      <c r="E48" s="5">
        <f t="shared" si="76"/>
        <v>1</v>
      </c>
      <c r="F48" s="59">
        <f t="shared" si="76"/>
        <v>0</v>
      </c>
      <c r="G48" s="5">
        <f t="shared" si="76"/>
        <v>0</v>
      </c>
      <c r="H48" s="5">
        <f t="shared" si="76"/>
        <v>1</v>
      </c>
      <c r="I48" s="59">
        <f t="shared" si="76"/>
        <v>0</v>
      </c>
      <c r="J48" s="5">
        <f t="shared" si="76"/>
        <v>0</v>
      </c>
      <c r="K48" s="5">
        <f t="shared" si="76"/>
        <v>0</v>
      </c>
      <c r="L48" s="5">
        <f t="shared" si="76"/>
        <v>2</v>
      </c>
      <c r="M48" s="59">
        <f t="shared" si="76"/>
        <v>0</v>
      </c>
      <c r="N48" s="5">
        <f t="shared" si="76"/>
        <v>0</v>
      </c>
      <c r="O48" s="5">
        <f t="shared" si="76"/>
        <v>1</v>
      </c>
      <c r="P48" s="5">
        <f t="shared" si="76"/>
        <v>0</v>
      </c>
      <c r="Q48" s="5">
        <f t="shared" si="76"/>
        <v>0</v>
      </c>
      <c r="R48" s="5">
        <f t="shared" si="76"/>
        <v>0</v>
      </c>
      <c r="S48" s="5">
        <f t="shared" si="76"/>
        <v>0</v>
      </c>
      <c r="T48" s="5">
        <f t="shared" si="76"/>
        <v>1</v>
      </c>
      <c r="U48" s="5">
        <f t="shared" si="76"/>
        <v>0</v>
      </c>
      <c r="V48" s="5">
        <f t="shared" si="76"/>
        <v>0</v>
      </c>
      <c r="W48" s="5">
        <f t="shared" si="76"/>
        <v>0</v>
      </c>
      <c r="X48" s="5">
        <f t="shared" si="76"/>
        <v>0</v>
      </c>
      <c r="Y48" s="5">
        <f t="shared" si="76"/>
        <v>0</v>
      </c>
      <c r="Z48" s="5">
        <f t="shared" si="76"/>
        <v>1</v>
      </c>
      <c r="AA48" s="5">
        <f t="shared" si="76"/>
        <v>0</v>
      </c>
      <c r="AB48" s="5">
        <f t="shared" si="76"/>
        <v>0</v>
      </c>
      <c r="AC48" s="5">
        <f t="shared" si="76"/>
        <v>0</v>
      </c>
      <c r="AD48" s="5" t="str">
        <f t="shared" si="76"/>
        <v/>
      </c>
      <c r="AE48" s="5" t="str">
        <f t="shared" si="76"/>
        <v/>
      </c>
      <c r="AF48" s="5" t="str">
        <f t="shared" si="76"/>
        <v/>
      </c>
      <c r="AG48" s="5" t="str">
        <f t="shared" si="76"/>
        <v/>
      </c>
      <c r="AH48" s="5" t="str">
        <f t="shared" si="76"/>
        <v/>
      </c>
      <c r="AI48" s="5" t="str">
        <f t="shared" si="76"/>
        <v/>
      </c>
      <c r="AJ48" s="5" t="str">
        <f t="shared" si="76"/>
        <v/>
      </c>
      <c r="AK48" s="5" t="str">
        <f t="shared" si="76"/>
        <v/>
      </c>
      <c r="AL48" s="5" t="str">
        <f t="shared" si="76"/>
        <v/>
      </c>
      <c r="AM48" s="5" t="str">
        <f t="shared" si="76"/>
        <v/>
      </c>
      <c r="AN48" s="5" t="str">
        <f t="shared" si="76"/>
        <v/>
      </c>
      <c r="AO48" s="5" t="str">
        <f t="shared" ref="AO48:AS48" si="77">IF(AO41="","",AN41+AN42-AO41)</f>
        <v/>
      </c>
      <c r="AP48" s="5" t="str">
        <f t="shared" si="77"/>
        <v/>
      </c>
      <c r="AQ48" s="5" t="str">
        <f t="shared" si="77"/>
        <v/>
      </c>
      <c r="AR48" s="5" t="str">
        <f t="shared" si="77"/>
        <v/>
      </c>
      <c r="AS48" s="5" t="str">
        <f t="shared" si="77"/>
        <v/>
      </c>
    </row>
    <row r="49" spans="1:45" s="93" customFormat="1" ht="11">
      <c r="A49" s="7">
        <f>SUM(C49:AS49)</f>
        <v>5740</v>
      </c>
      <c r="B49" s="6" t="s">
        <v>18</v>
      </c>
      <c r="C49" s="74">
        <v>0</v>
      </c>
      <c r="D49" s="5">
        <f t="shared" ref="D49:AN49" si="78">IF(D39="","",D48*D43)</f>
        <v>0</v>
      </c>
      <c r="E49" s="5">
        <f t="shared" si="78"/>
        <v>820</v>
      </c>
      <c r="F49" s="59">
        <f t="shared" si="78"/>
        <v>0</v>
      </c>
      <c r="G49" s="5">
        <f t="shared" si="78"/>
        <v>0</v>
      </c>
      <c r="H49" s="5">
        <f t="shared" si="78"/>
        <v>820</v>
      </c>
      <c r="I49" s="59">
        <f t="shared" si="78"/>
        <v>0</v>
      </c>
      <c r="J49" s="5">
        <f t="shared" si="78"/>
        <v>0</v>
      </c>
      <c r="K49" s="5">
        <f t="shared" si="78"/>
        <v>0</v>
      </c>
      <c r="L49" s="5">
        <f t="shared" si="78"/>
        <v>1640</v>
      </c>
      <c r="M49" s="59">
        <f t="shared" si="78"/>
        <v>0</v>
      </c>
      <c r="N49" s="5">
        <f t="shared" si="78"/>
        <v>0</v>
      </c>
      <c r="O49" s="5">
        <f t="shared" si="78"/>
        <v>820</v>
      </c>
      <c r="P49" s="5">
        <f t="shared" si="78"/>
        <v>0</v>
      </c>
      <c r="Q49" s="5">
        <f t="shared" si="78"/>
        <v>0</v>
      </c>
      <c r="R49" s="5">
        <f t="shared" si="78"/>
        <v>0</v>
      </c>
      <c r="S49" s="5">
        <f t="shared" si="78"/>
        <v>0</v>
      </c>
      <c r="T49" s="5">
        <f t="shared" si="78"/>
        <v>820</v>
      </c>
      <c r="U49" s="5">
        <f t="shared" si="78"/>
        <v>0</v>
      </c>
      <c r="V49" s="5">
        <f t="shared" si="78"/>
        <v>0</v>
      </c>
      <c r="W49" s="5">
        <f t="shared" si="78"/>
        <v>0</v>
      </c>
      <c r="X49" s="5">
        <f t="shared" si="78"/>
        <v>0</v>
      </c>
      <c r="Y49" s="5">
        <f t="shared" si="78"/>
        <v>0</v>
      </c>
      <c r="Z49" s="5">
        <f t="shared" si="78"/>
        <v>820</v>
      </c>
      <c r="AA49" s="5">
        <f t="shared" si="78"/>
        <v>0</v>
      </c>
      <c r="AB49" s="5">
        <f t="shared" si="78"/>
        <v>0</v>
      </c>
      <c r="AC49" s="5">
        <f t="shared" si="78"/>
        <v>0</v>
      </c>
      <c r="AD49" s="5" t="str">
        <f t="shared" si="78"/>
        <v/>
      </c>
      <c r="AE49" s="5" t="str">
        <f t="shared" si="78"/>
        <v/>
      </c>
      <c r="AF49" s="5" t="str">
        <f t="shared" si="78"/>
        <v/>
      </c>
      <c r="AG49" s="5" t="str">
        <f t="shared" si="78"/>
        <v/>
      </c>
      <c r="AH49" s="5" t="str">
        <f t="shared" si="78"/>
        <v/>
      </c>
      <c r="AI49" s="5" t="str">
        <f t="shared" si="78"/>
        <v/>
      </c>
      <c r="AJ49" s="5" t="str">
        <f t="shared" si="78"/>
        <v/>
      </c>
      <c r="AK49" s="5" t="str">
        <f t="shared" si="78"/>
        <v/>
      </c>
      <c r="AL49" s="5" t="str">
        <f t="shared" si="78"/>
        <v/>
      </c>
      <c r="AM49" s="5" t="str">
        <f t="shared" si="78"/>
        <v/>
      </c>
      <c r="AN49" s="5" t="str">
        <f t="shared" si="78"/>
        <v/>
      </c>
      <c r="AO49" s="5" t="str">
        <f t="shared" ref="AO49:AS49" si="79">IF(AO39="","",AO48*AO43)</f>
        <v/>
      </c>
      <c r="AP49" s="5" t="str">
        <f t="shared" si="79"/>
        <v/>
      </c>
      <c r="AQ49" s="5" t="str">
        <f t="shared" si="79"/>
        <v/>
      </c>
      <c r="AR49" s="5" t="str">
        <f t="shared" si="79"/>
        <v/>
      </c>
      <c r="AS49" s="5" t="str">
        <f t="shared" si="79"/>
        <v/>
      </c>
    </row>
    <row r="50" spans="1:45" s="93" customFormat="1" ht="12" thickBot="1">
      <c r="A50" s="4">
        <f>IF(A49="","",A49/(A46*100))</f>
        <v>0.12671081677704193</v>
      </c>
      <c r="B50" s="3" t="s">
        <v>20</v>
      </c>
      <c r="C50" s="77" t="s">
        <v>21</v>
      </c>
      <c r="D50" s="2" t="str">
        <f t="shared" ref="D50:AN50" si="80">IF(D49="","",IF(D49=0,"",D49/(D46*100)))</f>
        <v/>
      </c>
      <c r="E50" s="2">
        <f t="shared" si="80"/>
        <v>0.12238805970149254</v>
      </c>
      <c r="F50" s="57" t="str">
        <f t="shared" si="80"/>
        <v/>
      </c>
      <c r="G50" s="2" t="str">
        <f t="shared" si="80"/>
        <v/>
      </c>
      <c r="H50" s="2">
        <f t="shared" si="80"/>
        <v>7.192982456140351E-2</v>
      </c>
      <c r="I50" s="57" t="str">
        <f t="shared" si="80"/>
        <v/>
      </c>
      <c r="J50" s="2" t="str">
        <f t="shared" si="80"/>
        <v/>
      </c>
      <c r="K50" s="2" t="str">
        <f t="shared" si="80"/>
        <v/>
      </c>
      <c r="L50" s="2">
        <f t="shared" si="80"/>
        <v>0.56551724137931036</v>
      </c>
      <c r="M50" s="57" t="str">
        <f t="shared" si="80"/>
        <v/>
      </c>
      <c r="N50" s="2" t="str">
        <f t="shared" si="80"/>
        <v/>
      </c>
      <c r="O50" s="2">
        <f t="shared" si="80"/>
        <v>0.14137931034482759</v>
      </c>
      <c r="P50" s="2" t="str">
        <f t="shared" si="80"/>
        <v/>
      </c>
      <c r="Q50" s="2" t="str">
        <f t="shared" si="80"/>
        <v/>
      </c>
      <c r="R50" s="2" t="str">
        <f t="shared" si="80"/>
        <v/>
      </c>
      <c r="S50" s="2" t="str">
        <f t="shared" si="80"/>
        <v/>
      </c>
      <c r="T50" s="2">
        <f t="shared" si="80"/>
        <v>9.8795180722891562E-2</v>
      </c>
      <c r="U50" s="2" t="str">
        <f t="shared" si="80"/>
        <v/>
      </c>
      <c r="V50" s="2" t="str">
        <f t="shared" si="80"/>
        <v/>
      </c>
      <c r="W50" s="2" t="str">
        <f t="shared" si="80"/>
        <v/>
      </c>
      <c r="X50" s="2" t="str">
        <f t="shared" si="80"/>
        <v/>
      </c>
      <c r="Y50" s="2" t="str">
        <f t="shared" si="80"/>
        <v/>
      </c>
      <c r="Z50" s="2">
        <f t="shared" si="80"/>
        <v>1.1714285714285715</v>
      </c>
      <c r="AA50" s="2" t="str">
        <f t="shared" si="80"/>
        <v/>
      </c>
      <c r="AB50" s="2" t="str">
        <f t="shared" si="80"/>
        <v/>
      </c>
      <c r="AC50" s="2" t="str">
        <f t="shared" si="80"/>
        <v/>
      </c>
      <c r="AD50" s="2" t="str">
        <f t="shared" si="80"/>
        <v/>
      </c>
      <c r="AE50" s="2" t="str">
        <f t="shared" si="80"/>
        <v/>
      </c>
      <c r="AF50" s="2" t="str">
        <f t="shared" si="80"/>
        <v/>
      </c>
      <c r="AG50" s="2" t="str">
        <f t="shared" si="80"/>
        <v/>
      </c>
      <c r="AH50" s="2" t="str">
        <f t="shared" si="80"/>
        <v/>
      </c>
      <c r="AI50" s="2" t="str">
        <f t="shared" si="80"/>
        <v/>
      </c>
      <c r="AJ50" s="2" t="str">
        <f t="shared" si="80"/>
        <v/>
      </c>
      <c r="AK50" s="2" t="str">
        <f t="shared" si="80"/>
        <v/>
      </c>
      <c r="AL50" s="2" t="str">
        <f t="shared" si="80"/>
        <v/>
      </c>
      <c r="AM50" s="2" t="str">
        <f t="shared" si="80"/>
        <v/>
      </c>
      <c r="AN50" s="2" t="str">
        <f t="shared" si="80"/>
        <v/>
      </c>
      <c r="AO50" s="2" t="str">
        <f t="shared" ref="AO50:AS50" si="81">IF(AO49="","",IF(AO49=0,"",AO49/(AO46*100)))</f>
        <v/>
      </c>
      <c r="AP50" s="2" t="str">
        <f t="shared" si="81"/>
        <v/>
      </c>
      <c r="AQ50" s="2" t="str">
        <f t="shared" si="81"/>
        <v/>
      </c>
      <c r="AR50" s="2" t="str">
        <f t="shared" si="81"/>
        <v/>
      </c>
      <c r="AS50" s="2" t="str">
        <f t="shared" si="81"/>
        <v/>
      </c>
    </row>
    <row r="51" spans="1:45" s="93" customFormat="1" ht="11">
      <c r="A51" s="22" t="s">
        <v>130</v>
      </c>
      <c r="B51" s="21" t="s">
        <v>2</v>
      </c>
      <c r="C51" s="73">
        <v>67</v>
      </c>
      <c r="D51" s="20">
        <f>IF(D$3="","",C51)</f>
        <v>67</v>
      </c>
      <c r="E51" s="20">
        <v>89</v>
      </c>
      <c r="F51" s="130">
        <f>IF(F$3="","",E51)</f>
        <v>89</v>
      </c>
      <c r="G51" s="20">
        <f>IF(G$3="","",F51)</f>
        <v>89</v>
      </c>
      <c r="H51" s="20">
        <v>118</v>
      </c>
      <c r="I51" s="130">
        <f t="shared" ref="I51:K52" si="82">IF(I$3="","",H51)</f>
        <v>118</v>
      </c>
      <c r="J51" s="20">
        <f t="shared" si="82"/>
        <v>118</v>
      </c>
      <c r="K51" s="20">
        <f t="shared" si="82"/>
        <v>118</v>
      </c>
      <c r="L51" s="20">
        <v>137</v>
      </c>
      <c r="M51" s="130">
        <f>IF(M$3="","",L51)</f>
        <v>137</v>
      </c>
      <c r="N51" s="20">
        <f>IF(N$3="","",M51)</f>
        <v>137</v>
      </c>
      <c r="O51" s="20">
        <v>158</v>
      </c>
      <c r="P51" s="20">
        <f t="shared" ref="P51:AN51" si="83">IF(P$3="","",O51)</f>
        <v>158</v>
      </c>
      <c r="Q51" s="20">
        <f t="shared" si="83"/>
        <v>158</v>
      </c>
      <c r="R51" s="20">
        <f t="shared" si="83"/>
        <v>158</v>
      </c>
      <c r="S51" s="20">
        <f t="shared" si="83"/>
        <v>158</v>
      </c>
      <c r="T51" s="20">
        <v>168</v>
      </c>
      <c r="U51" s="20">
        <f t="shared" si="83"/>
        <v>168</v>
      </c>
      <c r="V51" s="20">
        <v>198</v>
      </c>
      <c r="W51" s="20">
        <f t="shared" si="83"/>
        <v>198</v>
      </c>
      <c r="X51" s="20">
        <f t="shared" si="83"/>
        <v>198</v>
      </c>
      <c r="Y51" s="20">
        <f t="shared" si="83"/>
        <v>198</v>
      </c>
      <c r="Z51" s="20">
        <v>232</v>
      </c>
      <c r="AA51" s="20">
        <f t="shared" si="83"/>
        <v>232</v>
      </c>
      <c r="AB51" s="20">
        <f t="shared" si="83"/>
        <v>232</v>
      </c>
      <c r="AC51" s="20">
        <v>248</v>
      </c>
      <c r="AD51" s="20" t="str">
        <f t="shared" si="83"/>
        <v/>
      </c>
      <c r="AE51" s="20" t="str">
        <f t="shared" si="83"/>
        <v/>
      </c>
      <c r="AF51" s="20" t="str">
        <f t="shared" si="83"/>
        <v/>
      </c>
      <c r="AG51" s="20" t="str">
        <f t="shared" si="83"/>
        <v/>
      </c>
      <c r="AH51" s="20" t="str">
        <f t="shared" si="83"/>
        <v/>
      </c>
      <c r="AI51" s="20" t="str">
        <f t="shared" si="83"/>
        <v/>
      </c>
      <c r="AJ51" s="20" t="str">
        <f t="shared" si="83"/>
        <v/>
      </c>
      <c r="AK51" s="20" t="str">
        <f t="shared" si="83"/>
        <v/>
      </c>
      <c r="AL51" s="20" t="str">
        <f t="shared" si="83"/>
        <v/>
      </c>
      <c r="AM51" s="20" t="str">
        <f t="shared" si="83"/>
        <v/>
      </c>
      <c r="AN51" s="20" t="str">
        <f t="shared" si="83"/>
        <v/>
      </c>
      <c r="AO51" s="20" t="str">
        <f t="shared" ref="AO51:AS51" si="84">IF(AO$3="","",AN51)</f>
        <v/>
      </c>
      <c r="AP51" s="20" t="str">
        <f t="shared" si="84"/>
        <v/>
      </c>
      <c r="AQ51" s="20" t="str">
        <f t="shared" si="84"/>
        <v/>
      </c>
      <c r="AR51" s="20" t="str">
        <f t="shared" si="84"/>
        <v/>
      </c>
      <c r="AS51" s="20" t="str">
        <f t="shared" si="84"/>
        <v/>
      </c>
    </row>
    <row r="52" spans="1:45" s="93" customFormat="1" ht="11">
      <c r="A52" s="16" t="s">
        <v>28</v>
      </c>
      <c r="B52" s="9" t="s">
        <v>4</v>
      </c>
      <c r="C52" s="74">
        <v>0</v>
      </c>
      <c r="D52" s="8">
        <f>IF(天文館!D$3="","",C52)</f>
        <v>0</v>
      </c>
      <c r="E52" s="8">
        <f>IF(天文館!E$3="","",D52)</f>
        <v>0</v>
      </c>
      <c r="F52" s="59">
        <f>IF(F$3="","",E52)</f>
        <v>0</v>
      </c>
      <c r="G52" s="8">
        <f>IF(G$3="","",F52)</f>
        <v>0</v>
      </c>
      <c r="H52" s="8">
        <f>IF(H$3="","",G52)</f>
        <v>0</v>
      </c>
      <c r="I52" s="59">
        <f t="shared" si="82"/>
        <v>0</v>
      </c>
      <c r="J52" s="8">
        <f t="shared" si="82"/>
        <v>0</v>
      </c>
      <c r="K52" s="8">
        <f t="shared" si="82"/>
        <v>0</v>
      </c>
      <c r="L52" s="8">
        <f>IF(L$3="","",K52)</f>
        <v>0</v>
      </c>
      <c r="M52" s="59">
        <f>IF(M$3="","",L52)</f>
        <v>0</v>
      </c>
      <c r="N52" s="8">
        <f>IF(N$3="","",M52)</f>
        <v>0</v>
      </c>
      <c r="O52" s="8">
        <f>IF(O$3="","",N52)</f>
        <v>0</v>
      </c>
      <c r="P52" s="8">
        <f t="shared" ref="P52:AN52" si="85">IF(P$3="","",O52)</f>
        <v>0</v>
      </c>
      <c r="Q52" s="8">
        <f t="shared" si="85"/>
        <v>0</v>
      </c>
      <c r="R52" s="8">
        <f t="shared" si="85"/>
        <v>0</v>
      </c>
      <c r="S52" s="8">
        <f t="shared" si="85"/>
        <v>0</v>
      </c>
      <c r="T52" s="8">
        <f t="shared" si="85"/>
        <v>0</v>
      </c>
      <c r="U52" s="8">
        <f t="shared" si="85"/>
        <v>0</v>
      </c>
      <c r="V52" s="8">
        <f t="shared" si="85"/>
        <v>0</v>
      </c>
      <c r="W52" s="8">
        <f t="shared" si="85"/>
        <v>0</v>
      </c>
      <c r="X52" s="8">
        <f t="shared" si="85"/>
        <v>0</v>
      </c>
      <c r="Y52" s="8">
        <f t="shared" si="85"/>
        <v>0</v>
      </c>
      <c r="Z52" s="8">
        <f t="shared" si="85"/>
        <v>0</v>
      </c>
      <c r="AA52" s="8">
        <f t="shared" si="85"/>
        <v>0</v>
      </c>
      <c r="AB52" s="8">
        <f t="shared" si="85"/>
        <v>0</v>
      </c>
      <c r="AC52" s="8">
        <v>1</v>
      </c>
      <c r="AD52" s="8" t="str">
        <f t="shared" si="85"/>
        <v/>
      </c>
      <c r="AE52" s="8" t="str">
        <f t="shared" si="85"/>
        <v/>
      </c>
      <c r="AF52" s="8" t="str">
        <f t="shared" si="85"/>
        <v/>
      </c>
      <c r="AG52" s="8" t="str">
        <f t="shared" si="85"/>
        <v/>
      </c>
      <c r="AH52" s="8" t="str">
        <f t="shared" si="85"/>
        <v/>
      </c>
      <c r="AI52" s="8" t="str">
        <f t="shared" si="85"/>
        <v/>
      </c>
      <c r="AJ52" s="8" t="str">
        <f t="shared" si="85"/>
        <v/>
      </c>
      <c r="AK52" s="8" t="str">
        <f t="shared" si="85"/>
        <v/>
      </c>
      <c r="AL52" s="8" t="str">
        <f t="shared" si="85"/>
        <v/>
      </c>
      <c r="AM52" s="8" t="str">
        <f t="shared" si="85"/>
        <v/>
      </c>
      <c r="AN52" s="8" t="str">
        <f t="shared" si="85"/>
        <v/>
      </c>
      <c r="AO52" s="8" t="str">
        <f>IF(AO$3="","",AN52)</f>
        <v/>
      </c>
      <c r="AP52" s="8" t="str">
        <f>IF(天文館!AP$3="","",AO52)</f>
        <v/>
      </c>
      <c r="AQ52" s="8" t="str">
        <f>IF(天文館!AQ$3="","",AP52)</f>
        <v/>
      </c>
      <c r="AR52" s="8" t="str">
        <f>IF(天文館!AR$3="","",AQ52)</f>
        <v/>
      </c>
      <c r="AS52" s="8" t="str">
        <f>IF(天文館!AS$3="","",AR52)</f>
        <v/>
      </c>
    </row>
    <row r="53" spans="1:45" s="93" customFormat="1" ht="11">
      <c r="A53" s="15">
        <v>1</v>
      </c>
      <c r="B53" s="9" t="s">
        <v>5</v>
      </c>
      <c r="C53" s="74">
        <v>10</v>
      </c>
      <c r="D53" s="8">
        <f t="shared" ref="D53:AN53" si="86">IF(D51="","",(C53+C54))</f>
        <v>10</v>
      </c>
      <c r="E53" s="8">
        <f t="shared" si="86"/>
        <v>10</v>
      </c>
      <c r="F53" s="59">
        <f t="shared" si="86"/>
        <v>10</v>
      </c>
      <c r="G53" s="8">
        <f t="shared" si="86"/>
        <v>10</v>
      </c>
      <c r="H53" s="8">
        <f t="shared" si="86"/>
        <v>10</v>
      </c>
      <c r="I53" s="59">
        <f t="shared" si="86"/>
        <v>10</v>
      </c>
      <c r="J53" s="8">
        <f t="shared" si="86"/>
        <v>10</v>
      </c>
      <c r="K53" s="8">
        <f t="shared" si="86"/>
        <v>10</v>
      </c>
      <c r="L53" s="8">
        <f t="shared" si="86"/>
        <v>10</v>
      </c>
      <c r="M53" s="59">
        <f t="shared" si="86"/>
        <v>10</v>
      </c>
      <c r="N53" s="8">
        <f t="shared" si="86"/>
        <v>10</v>
      </c>
      <c r="O53" s="8">
        <f t="shared" si="86"/>
        <v>10</v>
      </c>
      <c r="P53" s="8">
        <f t="shared" si="86"/>
        <v>10</v>
      </c>
      <c r="Q53" s="8">
        <f t="shared" si="86"/>
        <v>10</v>
      </c>
      <c r="R53" s="8">
        <f t="shared" si="86"/>
        <v>10</v>
      </c>
      <c r="S53" s="8">
        <f t="shared" si="86"/>
        <v>10</v>
      </c>
      <c r="T53" s="8">
        <f t="shared" si="86"/>
        <v>10</v>
      </c>
      <c r="U53" s="8">
        <f t="shared" si="86"/>
        <v>10</v>
      </c>
      <c r="V53" s="8">
        <f t="shared" si="86"/>
        <v>10</v>
      </c>
      <c r="W53" s="8">
        <f t="shared" si="86"/>
        <v>10</v>
      </c>
      <c r="X53" s="8">
        <f t="shared" si="86"/>
        <v>10</v>
      </c>
      <c r="Y53" s="8">
        <f t="shared" si="86"/>
        <v>10</v>
      </c>
      <c r="Z53" s="8">
        <f t="shared" si="86"/>
        <v>10</v>
      </c>
      <c r="AA53" s="8">
        <f t="shared" si="86"/>
        <v>10</v>
      </c>
      <c r="AB53" s="8">
        <f t="shared" si="86"/>
        <v>10</v>
      </c>
      <c r="AC53" s="8">
        <v>9</v>
      </c>
      <c r="AD53" s="8" t="str">
        <f t="shared" si="86"/>
        <v/>
      </c>
      <c r="AE53" s="8" t="str">
        <f t="shared" si="86"/>
        <v/>
      </c>
      <c r="AF53" s="8" t="str">
        <f t="shared" si="86"/>
        <v/>
      </c>
      <c r="AG53" s="8" t="str">
        <f t="shared" si="86"/>
        <v/>
      </c>
      <c r="AH53" s="8" t="str">
        <f t="shared" si="86"/>
        <v/>
      </c>
      <c r="AI53" s="8" t="str">
        <f t="shared" si="86"/>
        <v/>
      </c>
      <c r="AJ53" s="8" t="str">
        <f t="shared" si="86"/>
        <v/>
      </c>
      <c r="AK53" s="8" t="str">
        <f t="shared" si="86"/>
        <v/>
      </c>
      <c r="AL53" s="8" t="str">
        <f t="shared" si="86"/>
        <v/>
      </c>
      <c r="AM53" s="8" t="str">
        <f t="shared" si="86"/>
        <v/>
      </c>
      <c r="AN53" s="8" t="str">
        <f t="shared" si="86"/>
        <v/>
      </c>
      <c r="AO53" s="8" t="str">
        <f t="shared" ref="AO53:AS53" si="87">IF(AO51="","",(AN53+AN54))</f>
        <v/>
      </c>
      <c r="AP53" s="8" t="str">
        <f t="shared" si="87"/>
        <v/>
      </c>
      <c r="AQ53" s="8" t="str">
        <f t="shared" si="87"/>
        <v/>
      </c>
      <c r="AR53" s="8" t="str">
        <f t="shared" si="87"/>
        <v/>
      </c>
      <c r="AS53" s="8" t="str">
        <f t="shared" si="87"/>
        <v/>
      </c>
    </row>
    <row r="54" spans="1:45" s="93" customFormat="1" ht="11">
      <c r="A54" s="101" t="s">
        <v>6</v>
      </c>
      <c r="B54" s="9" t="s">
        <v>7</v>
      </c>
      <c r="C54" s="74"/>
      <c r="D54" s="8"/>
      <c r="E54" s="8"/>
      <c r="F54" s="59"/>
      <c r="G54" s="8"/>
      <c r="H54" s="8"/>
      <c r="I54" s="59"/>
      <c r="J54" s="8"/>
      <c r="K54" s="8"/>
      <c r="L54" s="8"/>
      <c r="M54" s="5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s="93" customFormat="1" ht="11">
      <c r="A55" s="102">
        <f>+(A58+A70+A82+A94)*100</f>
        <v>78400</v>
      </c>
      <c r="B55" s="9" t="s">
        <v>8</v>
      </c>
      <c r="C55" s="74">
        <v>750</v>
      </c>
      <c r="D55" s="8">
        <f t="shared" ref="D55:AN55" si="88">IF(D51="","",C55)</f>
        <v>750</v>
      </c>
      <c r="E55" s="8">
        <f t="shared" si="88"/>
        <v>750</v>
      </c>
      <c r="F55" s="59">
        <f t="shared" si="88"/>
        <v>750</v>
      </c>
      <c r="G55" s="8">
        <f t="shared" si="88"/>
        <v>750</v>
      </c>
      <c r="H55" s="8">
        <f t="shared" si="88"/>
        <v>750</v>
      </c>
      <c r="I55" s="59">
        <f t="shared" si="88"/>
        <v>750</v>
      </c>
      <c r="J55" s="8">
        <f t="shared" si="88"/>
        <v>750</v>
      </c>
      <c r="K55" s="8">
        <f t="shared" si="88"/>
        <v>750</v>
      </c>
      <c r="L55" s="8">
        <f t="shared" si="88"/>
        <v>750</v>
      </c>
      <c r="M55" s="59">
        <f t="shared" si="88"/>
        <v>750</v>
      </c>
      <c r="N55" s="8">
        <f t="shared" si="88"/>
        <v>750</v>
      </c>
      <c r="O55" s="8">
        <f t="shared" si="88"/>
        <v>750</v>
      </c>
      <c r="P55" s="8">
        <f t="shared" si="88"/>
        <v>750</v>
      </c>
      <c r="Q55" s="8">
        <f t="shared" si="88"/>
        <v>750</v>
      </c>
      <c r="R55" s="8">
        <f t="shared" si="88"/>
        <v>750</v>
      </c>
      <c r="S55" s="8">
        <f t="shared" si="88"/>
        <v>750</v>
      </c>
      <c r="T55" s="8">
        <f t="shared" si="88"/>
        <v>750</v>
      </c>
      <c r="U55" s="8">
        <f t="shared" si="88"/>
        <v>750</v>
      </c>
      <c r="V55" s="8">
        <f t="shared" si="88"/>
        <v>750</v>
      </c>
      <c r="W55" s="8">
        <f t="shared" si="88"/>
        <v>750</v>
      </c>
      <c r="X55" s="8">
        <f t="shared" si="88"/>
        <v>750</v>
      </c>
      <c r="Y55" s="8">
        <f t="shared" si="88"/>
        <v>750</v>
      </c>
      <c r="Z55" s="8">
        <f t="shared" si="88"/>
        <v>750</v>
      </c>
      <c r="AA55" s="8">
        <f t="shared" si="88"/>
        <v>750</v>
      </c>
      <c r="AB55" s="8">
        <f t="shared" si="88"/>
        <v>750</v>
      </c>
      <c r="AC55" s="8">
        <f t="shared" si="88"/>
        <v>750</v>
      </c>
      <c r="AD55" s="8" t="str">
        <f t="shared" si="88"/>
        <v/>
      </c>
      <c r="AE55" s="8" t="str">
        <f t="shared" si="88"/>
        <v/>
      </c>
      <c r="AF55" s="8" t="str">
        <f t="shared" si="88"/>
        <v/>
      </c>
      <c r="AG55" s="8" t="str">
        <f t="shared" si="88"/>
        <v/>
      </c>
      <c r="AH55" s="8" t="str">
        <f t="shared" si="88"/>
        <v/>
      </c>
      <c r="AI55" s="8" t="str">
        <f t="shared" si="88"/>
        <v/>
      </c>
      <c r="AJ55" s="8" t="str">
        <f t="shared" si="88"/>
        <v/>
      </c>
      <c r="AK55" s="8" t="str">
        <f t="shared" si="88"/>
        <v/>
      </c>
      <c r="AL55" s="8" t="str">
        <f t="shared" si="88"/>
        <v/>
      </c>
      <c r="AM55" s="8" t="str">
        <f t="shared" si="88"/>
        <v/>
      </c>
      <c r="AN55" s="8" t="str">
        <f t="shared" si="88"/>
        <v/>
      </c>
      <c r="AO55" s="8" t="str">
        <f t="shared" ref="AO55:AS55" si="89">IF(AO51="","",AN55)</f>
        <v/>
      </c>
      <c r="AP55" s="8" t="str">
        <f t="shared" si="89"/>
        <v/>
      </c>
      <c r="AQ55" s="8" t="str">
        <f t="shared" si="89"/>
        <v/>
      </c>
      <c r="AR55" s="8" t="str">
        <f t="shared" si="89"/>
        <v/>
      </c>
      <c r="AS55" s="8" t="str">
        <f t="shared" si="89"/>
        <v/>
      </c>
    </row>
    <row r="56" spans="1:45" s="94" customFormat="1" ht="11">
      <c r="A56" s="14" t="s">
        <v>9</v>
      </c>
      <c r="B56" s="13" t="s">
        <v>10</v>
      </c>
      <c r="C56" s="75" t="s">
        <v>47</v>
      </c>
      <c r="D56" s="12" t="str">
        <f t="shared" ref="D56:AN56" si="90">IF(D51="","",C56)</f>
        <v>サンリオボアキーケース</v>
      </c>
      <c r="E56" s="12" t="str">
        <f t="shared" si="90"/>
        <v>サンリオボアキーケース</v>
      </c>
      <c r="F56" s="131" t="str">
        <f t="shared" si="90"/>
        <v>サンリオボアキーケース</v>
      </c>
      <c r="G56" s="12" t="str">
        <f t="shared" si="90"/>
        <v>サンリオボアキーケース</v>
      </c>
      <c r="H56" s="12" t="str">
        <f t="shared" si="90"/>
        <v>サンリオボアキーケース</v>
      </c>
      <c r="I56" s="131" t="str">
        <f t="shared" si="90"/>
        <v>サンリオボアキーケース</v>
      </c>
      <c r="J56" s="12" t="str">
        <f t="shared" si="90"/>
        <v>サンリオボアキーケース</v>
      </c>
      <c r="K56" s="12" t="str">
        <f t="shared" si="90"/>
        <v>サンリオボアキーケース</v>
      </c>
      <c r="L56" s="12" t="str">
        <f t="shared" si="90"/>
        <v>サンリオボアキーケース</v>
      </c>
      <c r="M56" s="131" t="str">
        <f t="shared" si="90"/>
        <v>サンリオボアキーケース</v>
      </c>
      <c r="N56" s="12" t="str">
        <f t="shared" si="90"/>
        <v>サンリオボアキーケース</v>
      </c>
      <c r="O56" s="12" t="str">
        <f t="shared" si="90"/>
        <v>サンリオボアキーケース</v>
      </c>
      <c r="P56" s="12" t="str">
        <f t="shared" si="90"/>
        <v>サンリオボアキーケース</v>
      </c>
      <c r="Q56" s="12" t="str">
        <f t="shared" si="90"/>
        <v>サンリオボアキーケース</v>
      </c>
      <c r="R56" s="12" t="str">
        <f t="shared" si="90"/>
        <v>サンリオボアキーケース</v>
      </c>
      <c r="S56" s="12" t="str">
        <f t="shared" si="90"/>
        <v>サンリオボアキーケース</v>
      </c>
      <c r="T56" s="12" t="str">
        <f t="shared" si="90"/>
        <v>サンリオボアキーケース</v>
      </c>
      <c r="U56" s="12" t="str">
        <f t="shared" si="90"/>
        <v>サンリオボアキーケース</v>
      </c>
      <c r="V56" s="12" t="str">
        <f t="shared" si="90"/>
        <v>サンリオボアキーケース</v>
      </c>
      <c r="W56" s="12" t="str">
        <f t="shared" si="90"/>
        <v>サンリオボアキーケース</v>
      </c>
      <c r="X56" s="12" t="str">
        <f t="shared" si="90"/>
        <v>サンリオボアキーケース</v>
      </c>
      <c r="Y56" s="12" t="str">
        <f t="shared" si="90"/>
        <v>サンリオボアキーケース</v>
      </c>
      <c r="Z56" s="12" t="str">
        <f t="shared" si="90"/>
        <v>サンリオボアキーケース</v>
      </c>
      <c r="AA56" s="12" t="str">
        <f t="shared" si="90"/>
        <v>サンリオボアキーケース</v>
      </c>
      <c r="AB56" s="12" t="str">
        <f t="shared" si="90"/>
        <v>サンリオボアキーケース</v>
      </c>
      <c r="AC56" s="12" t="str">
        <f t="shared" si="90"/>
        <v>サンリオボアキーケース</v>
      </c>
      <c r="AD56" s="12" t="str">
        <f t="shared" si="90"/>
        <v/>
      </c>
      <c r="AE56" s="12" t="str">
        <f t="shared" si="90"/>
        <v/>
      </c>
      <c r="AF56" s="12" t="str">
        <f t="shared" si="90"/>
        <v/>
      </c>
      <c r="AG56" s="12" t="str">
        <f t="shared" si="90"/>
        <v/>
      </c>
      <c r="AH56" s="12" t="str">
        <f t="shared" si="90"/>
        <v/>
      </c>
      <c r="AI56" s="12" t="str">
        <f t="shared" si="90"/>
        <v/>
      </c>
      <c r="AJ56" s="12" t="str">
        <f t="shared" si="90"/>
        <v/>
      </c>
      <c r="AK56" s="12" t="str">
        <f t="shared" si="90"/>
        <v/>
      </c>
      <c r="AL56" s="12" t="str">
        <f t="shared" si="90"/>
        <v/>
      </c>
      <c r="AM56" s="12" t="str">
        <f t="shared" si="90"/>
        <v/>
      </c>
      <c r="AN56" s="12" t="str">
        <f t="shared" si="90"/>
        <v/>
      </c>
      <c r="AO56" s="12" t="str">
        <f t="shared" ref="AO56:AS56" si="91">IF(AO51="","",AN56)</f>
        <v/>
      </c>
      <c r="AP56" s="12" t="str">
        <f t="shared" si="91"/>
        <v/>
      </c>
      <c r="AQ56" s="12" t="str">
        <f t="shared" si="91"/>
        <v/>
      </c>
      <c r="AR56" s="12" t="str">
        <f t="shared" si="91"/>
        <v/>
      </c>
      <c r="AS56" s="12" t="str">
        <f t="shared" si="91"/>
        <v/>
      </c>
    </row>
    <row r="57" spans="1:45" s="93" customFormat="1" ht="11">
      <c r="A57" s="7">
        <f>AVERAGE(C58:AS58)*30*100</f>
        <v>20111.111111111109</v>
      </c>
      <c r="B57" s="9" t="s">
        <v>14</v>
      </c>
      <c r="C57" s="74"/>
      <c r="D57" s="8"/>
      <c r="E57" s="8"/>
      <c r="F57" s="59"/>
      <c r="G57" s="8"/>
      <c r="H57" s="8"/>
      <c r="I57" s="59"/>
      <c r="J57" s="8"/>
      <c r="K57" s="8"/>
      <c r="L57" s="8"/>
      <c r="M57" s="59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s="93" customFormat="1" ht="11">
      <c r="A58" s="7">
        <f>SUM(C58:AS58)</f>
        <v>181</v>
      </c>
      <c r="B58" s="6" t="s">
        <v>15</v>
      </c>
      <c r="C58" s="74">
        <v>0</v>
      </c>
      <c r="D58" s="5">
        <f t="shared" ref="D58:AN58" si="92">IF(D51="","",D51-C51)</f>
        <v>0</v>
      </c>
      <c r="E58" s="5">
        <f t="shared" si="92"/>
        <v>22</v>
      </c>
      <c r="F58" s="59">
        <f t="shared" si="92"/>
        <v>0</v>
      </c>
      <c r="G58" s="5">
        <f t="shared" si="92"/>
        <v>0</v>
      </c>
      <c r="H58" s="5">
        <f t="shared" si="92"/>
        <v>29</v>
      </c>
      <c r="I58" s="59">
        <f t="shared" si="92"/>
        <v>0</v>
      </c>
      <c r="J58" s="5">
        <f t="shared" si="92"/>
        <v>0</v>
      </c>
      <c r="K58" s="5">
        <f t="shared" si="92"/>
        <v>0</v>
      </c>
      <c r="L58" s="5">
        <f t="shared" si="92"/>
        <v>19</v>
      </c>
      <c r="M58" s="59">
        <f t="shared" si="92"/>
        <v>0</v>
      </c>
      <c r="N58" s="5">
        <f t="shared" si="92"/>
        <v>0</v>
      </c>
      <c r="O58" s="5">
        <f t="shared" si="92"/>
        <v>21</v>
      </c>
      <c r="P58" s="5">
        <f t="shared" si="92"/>
        <v>0</v>
      </c>
      <c r="Q58" s="5">
        <f t="shared" si="92"/>
        <v>0</v>
      </c>
      <c r="R58" s="5">
        <f t="shared" si="92"/>
        <v>0</v>
      </c>
      <c r="S58" s="5">
        <f t="shared" si="92"/>
        <v>0</v>
      </c>
      <c r="T58" s="5">
        <f t="shared" si="92"/>
        <v>10</v>
      </c>
      <c r="U58" s="5">
        <f t="shared" si="92"/>
        <v>0</v>
      </c>
      <c r="V58" s="5">
        <f t="shared" si="92"/>
        <v>30</v>
      </c>
      <c r="W58" s="5">
        <f t="shared" si="92"/>
        <v>0</v>
      </c>
      <c r="X58" s="5">
        <f t="shared" si="92"/>
        <v>0</v>
      </c>
      <c r="Y58" s="5">
        <f t="shared" si="92"/>
        <v>0</v>
      </c>
      <c r="Z58" s="5">
        <f t="shared" si="92"/>
        <v>34</v>
      </c>
      <c r="AA58" s="5">
        <f t="shared" si="92"/>
        <v>0</v>
      </c>
      <c r="AB58" s="5">
        <f t="shared" si="92"/>
        <v>0</v>
      </c>
      <c r="AC58" s="5">
        <f t="shared" si="92"/>
        <v>16</v>
      </c>
      <c r="AD58" s="5" t="str">
        <f t="shared" si="92"/>
        <v/>
      </c>
      <c r="AE58" s="5" t="str">
        <f t="shared" si="92"/>
        <v/>
      </c>
      <c r="AF58" s="5" t="str">
        <f t="shared" si="92"/>
        <v/>
      </c>
      <c r="AG58" s="5" t="str">
        <f t="shared" si="92"/>
        <v/>
      </c>
      <c r="AH58" s="5" t="str">
        <f t="shared" si="92"/>
        <v/>
      </c>
      <c r="AI58" s="5" t="str">
        <f t="shared" si="92"/>
        <v/>
      </c>
      <c r="AJ58" s="5" t="str">
        <f t="shared" si="92"/>
        <v/>
      </c>
      <c r="AK58" s="5" t="str">
        <f t="shared" si="92"/>
        <v/>
      </c>
      <c r="AL58" s="5" t="str">
        <f t="shared" si="92"/>
        <v/>
      </c>
      <c r="AM58" s="5" t="str">
        <f t="shared" si="92"/>
        <v/>
      </c>
      <c r="AN58" s="5" t="str">
        <f t="shared" si="92"/>
        <v/>
      </c>
      <c r="AO58" s="5" t="str">
        <f t="shared" ref="AO58:AS58" si="93">IF(AO51="","",AO51-AN51)</f>
        <v/>
      </c>
      <c r="AP58" s="5" t="str">
        <f t="shared" si="93"/>
        <v/>
      </c>
      <c r="AQ58" s="5" t="str">
        <f t="shared" si="93"/>
        <v/>
      </c>
      <c r="AR58" s="5" t="str">
        <f t="shared" si="93"/>
        <v/>
      </c>
      <c r="AS58" s="5" t="str">
        <f t="shared" si="93"/>
        <v/>
      </c>
    </row>
    <row r="59" spans="1:45" s="93" customFormat="1" ht="11">
      <c r="A59" s="7">
        <f>SUM(C59:AS59)</f>
        <v>1</v>
      </c>
      <c r="B59" s="6" t="s">
        <v>16</v>
      </c>
      <c r="C59" s="74">
        <v>0</v>
      </c>
      <c r="D59" s="5">
        <f t="shared" ref="D59:AN59" si="94">IF(D52="","",D52-C52)</f>
        <v>0</v>
      </c>
      <c r="E59" s="5">
        <f t="shared" si="94"/>
        <v>0</v>
      </c>
      <c r="F59" s="59">
        <f t="shared" si="94"/>
        <v>0</v>
      </c>
      <c r="G59" s="5">
        <f t="shared" si="94"/>
        <v>0</v>
      </c>
      <c r="H59" s="5">
        <f t="shared" si="94"/>
        <v>0</v>
      </c>
      <c r="I59" s="59">
        <f t="shared" si="94"/>
        <v>0</v>
      </c>
      <c r="J59" s="5">
        <f t="shared" si="94"/>
        <v>0</v>
      </c>
      <c r="K59" s="5">
        <f t="shared" si="94"/>
        <v>0</v>
      </c>
      <c r="L59" s="5">
        <f t="shared" si="94"/>
        <v>0</v>
      </c>
      <c r="M59" s="59">
        <f t="shared" si="94"/>
        <v>0</v>
      </c>
      <c r="N59" s="5">
        <f t="shared" si="94"/>
        <v>0</v>
      </c>
      <c r="O59" s="5">
        <f t="shared" si="94"/>
        <v>0</v>
      </c>
      <c r="P59" s="5">
        <f t="shared" si="94"/>
        <v>0</v>
      </c>
      <c r="Q59" s="5">
        <f t="shared" si="94"/>
        <v>0</v>
      </c>
      <c r="R59" s="5">
        <f t="shared" si="94"/>
        <v>0</v>
      </c>
      <c r="S59" s="5">
        <f t="shared" si="94"/>
        <v>0</v>
      </c>
      <c r="T59" s="5">
        <f t="shared" si="94"/>
        <v>0</v>
      </c>
      <c r="U59" s="5">
        <f t="shared" si="94"/>
        <v>0</v>
      </c>
      <c r="V59" s="5">
        <f t="shared" si="94"/>
        <v>0</v>
      </c>
      <c r="W59" s="5">
        <f t="shared" si="94"/>
        <v>0</v>
      </c>
      <c r="X59" s="5">
        <f t="shared" si="94"/>
        <v>0</v>
      </c>
      <c r="Y59" s="5">
        <f t="shared" si="94"/>
        <v>0</v>
      </c>
      <c r="Z59" s="5">
        <f t="shared" si="94"/>
        <v>0</v>
      </c>
      <c r="AA59" s="5">
        <f t="shared" si="94"/>
        <v>0</v>
      </c>
      <c r="AB59" s="5">
        <f t="shared" si="94"/>
        <v>0</v>
      </c>
      <c r="AC59" s="5">
        <f t="shared" si="94"/>
        <v>1</v>
      </c>
      <c r="AD59" s="5" t="str">
        <f t="shared" si="94"/>
        <v/>
      </c>
      <c r="AE59" s="5" t="str">
        <f t="shared" si="94"/>
        <v/>
      </c>
      <c r="AF59" s="5" t="str">
        <f t="shared" si="94"/>
        <v/>
      </c>
      <c r="AG59" s="5" t="str">
        <f t="shared" si="94"/>
        <v/>
      </c>
      <c r="AH59" s="5" t="str">
        <f t="shared" si="94"/>
        <v/>
      </c>
      <c r="AI59" s="5" t="str">
        <f t="shared" si="94"/>
        <v/>
      </c>
      <c r="AJ59" s="5" t="str">
        <f t="shared" si="94"/>
        <v/>
      </c>
      <c r="AK59" s="5" t="str">
        <f t="shared" si="94"/>
        <v/>
      </c>
      <c r="AL59" s="5" t="str">
        <f t="shared" si="94"/>
        <v/>
      </c>
      <c r="AM59" s="5" t="str">
        <f t="shared" si="94"/>
        <v/>
      </c>
      <c r="AN59" s="5" t="str">
        <f t="shared" si="94"/>
        <v/>
      </c>
      <c r="AO59" s="5" t="str">
        <f t="shared" ref="AO59:AS59" si="95">IF(AO52="","",AO52-AN52)</f>
        <v/>
      </c>
      <c r="AP59" s="5" t="str">
        <f t="shared" si="95"/>
        <v/>
      </c>
      <c r="AQ59" s="5" t="str">
        <f t="shared" si="95"/>
        <v/>
      </c>
      <c r="AR59" s="5" t="str">
        <f t="shared" si="95"/>
        <v/>
      </c>
      <c r="AS59" s="5" t="str">
        <f t="shared" si="95"/>
        <v/>
      </c>
    </row>
    <row r="60" spans="1:45" s="93" customFormat="1" ht="11">
      <c r="A60" s="7">
        <f>SUM(C60:AS60)</f>
        <v>1</v>
      </c>
      <c r="B60" s="6" t="s">
        <v>17</v>
      </c>
      <c r="C60" s="74">
        <v>0</v>
      </c>
      <c r="D60" s="5">
        <f t="shared" ref="D60:AN60" si="96">IF(D53="","",C53+C54-D53)</f>
        <v>0</v>
      </c>
      <c r="E60" s="5">
        <f t="shared" si="96"/>
        <v>0</v>
      </c>
      <c r="F60" s="59">
        <f t="shared" si="96"/>
        <v>0</v>
      </c>
      <c r="G60" s="5">
        <f t="shared" si="96"/>
        <v>0</v>
      </c>
      <c r="H60" s="5">
        <f t="shared" si="96"/>
        <v>0</v>
      </c>
      <c r="I60" s="59">
        <f t="shared" si="96"/>
        <v>0</v>
      </c>
      <c r="J60" s="5">
        <f t="shared" si="96"/>
        <v>0</v>
      </c>
      <c r="K60" s="5">
        <f t="shared" si="96"/>
        <v>0</v>
      </c>
      <c r="L60" s="5">
        <f t="shared" si="96"/>
        <v>0</v>
      </c>
      <c r="M60" s="59">
        <f t="shared" si="96"/>
        <v>0</v>
      </c>
      <c r="N60" s="5">
        <f t="shared" si="96"/>
        <v>0</v>
      </c>
      <c r="O60" s="5">
        <f t="shared" si="96"/>
        <v>0</v>
      </c>
      <c r="P60" s="5">
        <f t="shared" si="96"/>
        <v>0</v>
      </c>
      <c r="Q60" s="5">
        <f t="shared" si="96"/>
        <v>0</v>
      </c>
      <c r="R60" s="5">
        <f t="shared" si="96"/>
        <v>0</v>
      </c>
      <c r="S60" s="5">
        <f t="shared" si="96"/>
        <v>0</v>
      </c>
      <c r="T60" s="5">
        <f t="shared" si="96"/>
        <v>0</v>
      </c>
      <c r="U60" s="5">
        <f t="shared" si="96"/>
        <v>0</v>
      </c>
      <c r="V60" s="5">
        <f t="shared" si="96"/>
        <v>0</v>
      </c>
      <c r="W60" s="5">
        <f t="shared" si="96"/>
        <v>0</v>
      </c>
      <c r="X60" s="5">
        <f t="shared" si="96"/>
        <v>0</v>
      </c>
      <c r="Y60" s="5">
        <f t="shared" si="96"/>
        <v>0</v>
      </c>
      <c r="Z60" s="5">
        <f t="shared" si="96"/>
        <v>0</v>
      </c>
      <c r="AA60" s="5">
        <f t="shared" si="96"/>
        <v>0</v>
      </c>
      <c r="AB60" s="5">
        <f t="shared" si="96"/>
        <v>0</v>
      </c>
      <c r="AC60" s="5">
        <f t="shared" si="96"/>
        <v>1</v>
      </c>
      <c r="AD60" s="5" t="str">
        <f t="shared" si="96"/>
        <v/>
      </c>
      <c r="AE60" s="5" t="str">
        <f t="shared" si="96"/>
        <v/>
      </c>
      <c r="AF60" s="5" t="str">
        <f t="shared" si="96"/>
        <v/>
      </c>
      <c r="AG60" s="5" t="str">
        <f t="shared" si="96"/>
        <v/>
      </c>
      <c r="AH60" s="5" t="str">
        <f t="shared" si="96"/>
        <v/>
      </c>
      <c r="AI60" s="5" t="str">
        <f t="shared" si="96"/>
        <v/>
      </c>
      <c r="AJ60" s="5" t="str">
        <f t="shared" si="96"/>
        <v/>
      </c>
      <c r="AK60" s="5" t="str">
        <f t="shared" si="96"/>
        <v/>
      </c>
      <c r="AL60" s="5" t="str">
        <f t="shared" si="96"/>
        <v/>
      </c>
      <c r="AM60" s="5" t="str">
        <f t="shared" si="96"/>
        <v/>
      </c>
      <c r="AN60" s="5" t="str">
        <f t="shared" si="96"/>
        <v/>
      </c>
      <c r="AO60" s="5" t="str">
        <f t="shared" ref="AO60:AS60" si="97">IF(AO53="","",AN53+AN54-AO53)</f>
        <v/>
      </c>
      <c r="AP60" s="5" t="str">
        <f t="shared" si="97"/>
        <v/>
      </c>
      <c r="AQ60" s="5" t="str">
        <f t="shared" si="97"/>
        <v/>
      </c>
      <c r="AR60" s="5" t="str">
        <f t="shared" si="97"/>
        <v/>
      </c>
      <c r="AS60" s="5" t="str">
        <f t="shared" si="97"/>
        <v/>
      </c>
    </row>
    <row r="61" spans="1:45" s="93" customFormat="1" ht="11">
      <c r="A61" s="7">
        <f>SUM(C61:AS61)</f>
        <v>750</v>
      </c>
      <c r="B61" s="6" t="s">
        <v>18</v>
      </c>
      <c r="C61" s="74">
        <v>0</v>
      </c>
      <c r="D61" s="5">
        <f t="shared" ref="D61:AN61" si="98">IF(D51="","",D60*D55)</f>
        <v>0</v>
      </c>
      <c r="E61" s="5">
        <f t="shared" si="98"/>
        <v>0</v>
      </c>
      <c r="F61" s="59">
        <f t="shared" si="98"/>
        <v>0</v>
      </c>
      <c r="G61" s="5">
        <f t="shared" si="98"/>
        <v>0</v>
      </c>
      <c r="H61" s="5">
        <f t="shared" si="98"/>
        <v>0</v>
      </c>
      <c r="I61" s="59">
        <f t="shared" si="98"/>
        <v>0</v>
      </c>
      <c r="J61" s="5">
        <f t="shared" si="98"/>
        <v>0</v>
      </c>
      <c r="K61" s="5">
        <f t="shared" si="98"/>
        <v>0</v>
      </c>
      <c r="L61" s="5">
        <f t="shared" si="98"/>
        <v>0</v>
      </c>
      <c r="M61" s="59">
        <f t="shared" si="98"/>
        <v>0</v>
      </c>
      <c r="N61" s="5">
        <f t="shared" si="98"/>
        <v>0</v>
      </c>
      <c r="O61" s="5">
        <f t="shared" si="98"/>
        <v>0</v>
      </c>
      <c r="P61" s="5">
        <f t="shared" si="98"/>
        <v>0</v>
      </c>
      <c r="Q61" s="5">
        <f t="shared" si="98"/>
        <v>0</v>
      </c>
      <c r="R61" s="5">
        <f t="shared" si="98"/>
        <v>0</v>
      </c>
      <c r="S61" s="5">
        <f t="shared" si="98"/>
        <v>0</v>
      </c>
      <c r="T61" s="5">
        <f t="shared" si="98"/>
        <v>0</v>
      </c>
      <c r="U61" s="5">
        <f t="shared" si="98"/>
        <v>0</v>
      </c>
      <c r="V61" s="5">
        <f t="shared" si="98"/>
        <v>0</v>
      </c>
      <c r="W61" s="5">
        <f t="shared" si="98"/>
        <v>0</v>
      </c>
      <c r="X61" s="5">
        <f t="shared" si="98"/>
        <v>0</v>
      </c>
      <c r="Y61" s="5">
        <f t="shared" si="98"/>
        <v>0</v>
      </c>
      <c r="Z61" s="5">
        <f t="shared" si="98"/>
        <v>0</v>
      </c>
      <c r="AA61" s="5">
        <f t="shared" si="98"/>
        <v>0</v>
      </c>
      <c r="AB61" s="5">
        <f t="shared" si="98"/>
        <v>0</v>
      </c>
      <c r="AC61" s="5">
        <f t="shared" si="98"/>
        <v>750</v>
      </c>
      <c r="AD61" s="5" t="str">
        <f t="shared" si="98"/>
        <v/>
      </c>
      <c r="AE61" s="5" t="str">
        <f t="shared" si="98"/>
        <v/>
      </c>
      <c r="AF61" s="5" t="str">
        <f t="shared" si="98"/>
        <v/>
      </c>
      <c r="AG61" s="5" t="str">
        <f t="shared" si="98"/>
        <v/>
      </c>
      <c r="AH61" s="5" t="str">
        <f t="shared" si="98"/>
        <v/>
      </c>
      <c r="AI61" s="5" t="str">
        <f t="shared" si="98"/>
        <v/>
      </c>
      <c r="AJ61" s="5" t="str">
        <f t="shared" si="98"/>
        <v/>
      </c>
      <c r="AK61" s="5" t="str">
        <f t="shared" si="98"/>
        <v/>
      </c>
      <c r="AL61" s="5" t="str">
        <f t="shared" si="98"/>
        <v/>
      </c>
      <c r="AM61" s="5" t="str">
        <f t="shared" si="98"/>
        <v/>
      </c>
      <c r="AN61" s="5" t="str">
        <f t="shared" si="98"/>
        <v/>
      </c>
      <c r="AO61" s="5" t="str">
        <f t="shared" ref="AO61:AS61" si="99">IF(AO51="","",AO60*AO55)</f>
        <v/>
      </c>
      <c r="AP61" s="5" t="str">
        <f t="shared" si="99"/>
        <v/>
      </c>
      <c r="AQ61" s="5" t="str">
        <f t="shared" si="99"/>
        <v/>
      </c>
      <c r="AR61" s="5" t="str">
        <f t="shared" si="99"/>
        <v/>
      </c>
      <c r="AS61" s="5" t="str">
        <f t="shared" si="99"/>
        <v/>
      </c>
    </row>
    <row r="62" spans="1:45" s="93" customFormat="1" ht="12" thickBot="1">
      <c r="A62" s="4">
        <f>IF(A61="","",A61/(A58*100))</f>
        <v>4.1436464088397788E-2</v>
      </c>
      <c r="B62" s="6" t="s">
        <v>20</v>
      </c>
      <c r="C62" s="76" t="s">
        <v>21</v>
      </c>
      <c r="D62" s="18" t="str">
        <f t="shared" ref="D62:AN62" si="100">IF(D61="","",IF(D61=0,"",D61/(D58*100)))</f>
        <v/>
      </c>
      <c r="E62" s="18" t="str">
        <f t="shared" si="100"/>
        <v/>
      </c>
      <c r="F62" s="62" t="str">
        <f t="shared" si="100"/>
        <v/>
      </c>
      <c r="G62" s="18" t="str">
        <f t="shared" si="100"/>
        <v/>
      </c>
      <c r="H62" s="18" t="str">
        <f t="shared" si="100"/>
        <v/>
      </c>
      <c r="I62" s="62" t="str">
        <f t="shared" si="100"/>
        <v/>
      </c>
      <c r="J62" s="18" t="str">
        <f t="shared" si="100"/>
        <v/>
      </c>
      <c r="K62" s="18" t="str">
        <f t="shared" si="100"/>
        <v/>
      </c>
      <c r="L62" s="18" t="str">
        <f t="shared" si="100"/>
        <v/>
      </c>
      <c r="M62" s="62" t="str">
        <f t="shared" si="100"/>
        <v/>
      </c>
      <c r="N62" s="18" t="str">
        <f t="shared" si="100"/>
        <v/>
      </c>
      <c r="O62" s="18" t="str">
        <f t="shared" si="100"/>
        <v/>
      </c>
      <c r="P62" s="18" t="str">
        <f t="shared" si="100"/>
        <v/>
      </c>
      <c r="Q62" s="18" t="str">
        <f t="shared" si="100"/>
        <v/>
      </c>
      <c r="R62" s="18" t="str">
        <f t="shared" si="100"/>
        <v/>
      </c>
      <c r="S62" s="18" t="str">
        <f t="shared" si="100"/>
        <v/>
      </c>
      <c r="T62" s="18" t="str">
        <f t="shared" si="100"/>
        <v/>
      </c>
      <c r="U62" s="18" t="str">
        <f t="shared" si="100"/>
        <v/>
      </c>
      <c r="V62" s="18" t="str">
        <f t="shared" si="100"/>
        <v/>
      </c>
      <c r="W62" s="18" t="str">
        <f t="shared" si="100"/>
        <v/>
      </c>
      <c r="X62" s="18" t="str">
        <f t="shared" si="100"/>
        <v/>
      </c>
      <c r="Y62" s="18" t="str">
        <f t="shared" si="100"/>
        <v/>
      </c>
      <c r="Z62" s="18" t="str">
        <f t="shared" si="100"/>
        <v/>
      </c>
      <c r="AA62" s="18" t="str">
        <f t="shared" si="100"/>
        <v/>
      </c>
      <c r="AB62" s="18" t="str">
        <f t="shared" si="100"/>
        <v/>
      </c>
      <c r="AC62" s="18">
        <f t="shared" si="100"/>
        <v>0.46875</v>
      </c>
      <c r="AD62" s="18" t="str">
        <f t="shared" si="100"/>
        <v/>
      </c>
      <c r="AE62" s="18" t="str">
        <f t="shared" si="100"/>
        <v/>
      </c>
      <c r="AF62" s="18" t="str">
        <f t="shared" si="100"/>
        <v/>
      </c>
      <c r="AG62" s="18" t="str">
        <f t="shared" si="100"/>
        <v/>
      </c>
      <c r="AH62" s="18" t="str">
        <f t="shared" si="100"/>
        <v/>
      </c>
      <c r="AI62" s="18" t="str">
        <f t="shared" si="100"/>
        <v/>
      </c>
      <c r="AJ62" s="18" t="str">
        <f t="shared" si="100"/>
        <v/>
      </c>
      <c r="AK62" s="18" t="str">
        <f t="shared" si="100"/>
        <v/>
      </c>
      <c r="AL62" s="18" t="str">
        <f t="shared" si="100"/>
        <v/>
      </c>
      <c r="AM62" s="18" t="str">
        <f t="shared" si="100"/>
        <v/>
      </c>
      <c r="AN62" s="18" t="str">
        <f t="shared" si="100"/>
        <v/>
      </c>
      <c r="AO62" s="18" t="str">
        <f t="shared" ref="AO62:AS62" si="101">IF(AO61="","",IF(AO61=0,"",AO61/(AO58*100)))</f>
        <v/>
      </c>
      <c r="AP62" s="18" t="str">
        <f t="shared" si="101"/>
        <v/>
      </c>
      <c r="AQ62" s="18" t="str">
        <f t="shared" si="101"/>
        <v/>
      </c>
      <c r="AR62" s="18" t="str">
        <f t="shared" si="101"/>
        <v/>
      </c>
      <c r="AS62" s="18" t="str">
        <f t="shared" si="101"/>
        <v/>
      </c>
    </row>
    <row r="63" spans="1:45" s="93" customFormat="1" ht="11">
      <c r="A63" s="17" t="s">
        <v>130</v>
      </c>
      <c r="B63" s="9" t="s">
        <v>2</v>
      </c>
      <c r="C63" s="74">
        <v>59</v>
      </c>
      <c r="D63" s="8">
        <f>IF(D$3="","",C63)</f>
        <v>59</v>
      </c>
      <c r="E63" s="8">
        <v>64</v>
      </c>
      <c r="F63" s="59">
        <f>IF(F$3="","",E63)</f>
        <v>64</v>
      </c>
      <c r="G63" s="8">
        <f>IF(G$3="","",F63)</f>
        <v>64</v>
      </c>
      <c r="H63" s="8">
        <v>120</v>
      </c>
      <c r="I63" s="59">
        <f t="shared" ref="I63:K64" si="102">IF(I$3="","",H63)</f>
        <v>120</v>
      </c>
      <c r="J63" s="8">
        <f t="shared" si="102"/>
        <v>120</v>
      </c>
      <c r="K63" s="8">
        <f t="shared" si="102"/>
        <v>120</v>
      </c>
      <c r="L63" s="8">
        <v>146</v>
      </c>
      <c r="M63" s="59">
        <f>IF(M$3="","",L63)</f>
        <v>146</v>
      </c>
      <c r="N63" s="8">
        <f>IF(N$3="","",M63)</f>
        <v>146</v>
      </c>
      <c r="O63" s="8">
        <v>149</v>
      </c>
      <c r="P63" s="8">
        <f t="shared" ref="P63:AN63" si="103">IF(P$3="","",O63)</f>
        <v>149</v>
      </c>
      <c r="Q63" s="8">
        <f t="shared" si="103"/>
        <v>149</v>
      </c>
      <c r="R63" s="8">
        <f t="shared" si="103"/>
        <v>149</v>
      </c>
      <c r="S63" s="8">
        <f t="shared" si="103"/>
        <v>149</v>
      </c>
      <c r="T63" s="8">
        <v>167</v>
      </c>
      <c r="U63" s="8">
        <f t="shared" si="103"/>
        <v>167</v>
      </c>
      <c r="V63" s="8">
        <v>173</v>
      </c>
      <c r="W63" s="8">
        <f t="shared" si="103"/>
        <v>173</v>
      </c>
      <c r="X63" s="8">
        <f t="shared" si="103"/>
        <v>173</v>
      </c>
      <c r="Y63" s="8">
        <f t="shared" si="103"/>
        <v>173</v>
      </c>
      <c r="Z63" s="8">
        <v>175</v>
      </c>
      <c r="AA63" s="8">
        <f t="shared" si="103"/>
        <v>175</v>
      </c>
      <c r="AB63" s="8">
        <f t="shared" si="103"/>
        <v>175</v>
      </c>
      <c r="AC63" s="8">
        <v>232</v>
      </c>
      <c r="AD63" s="8" t="str">
        <f t="shared" si="103"/>
        <v/>
      </c>
      <c r="AE63" s="8" t="str">
        <f t="shared" si="103"/>
        <v/>
      </c>
      <c r="AF63" s="8" t="str">
        <f t="shared" si="103"/>
        <v/>
      </c>
      <c r="AG63" s="8" t="str">
        <f t="shared" si="103"/>
        <v/>
      </c>
      <c r="AH63" s="8" t="str">
        <f t="shared" si="103"/>
        <v/>
      </c>
      <c r="AI63" s="8" t="str">
        <f t="shared" si="103"/>
        <v/>
      </c>
      <c r="AJ63" s="8" t="str">
        <f t="shared" si="103"/>
        <v/>
      </c>
      <c r="AK63" s="8" t="str">
        <f t="shared" si="103"/>
        <v/>
      </c>
      <c r="AL63" s="8" t="str">
        <f t="shared" si="103"/>
        <v/>
      </c>
      <c r="AM63" s="8" t="str">
        <f t="shared" si="103"/>
        <v/>
      </c>
      <c r="AN63" s="8" t="str">
        <f t="shared" si="103"/>
        <v/>
      </c>
      <c r="AO63" s="8" t="str">
        <f t="shared" ref="AO63:AS63" si="104">IF(AO$3="","",AN63)</f>
        <v/>
      </c>
      <c r="AP63" s="8" t="str">
        <f t="shared" si="104"/>
        <v/>
      </c>
      <c r="AQ63" s="8" t="str">
        <f t="shared" si="104"/>
        <v/>
      </c>
      <c r="AR63" s="8" t="str">
        <f t="shared" si="104"/>
        <v/>
      </c>
      <c r="AS63" s="8" t="str">
        <f t="shared" si="104"/>
        <v/>
      </c>
    </row>
    <row r="64" spans="1:45" s="93" customFormat="1" ht="11">
      <c r="A64" s="16" t="str">
        <f>A52</f>
        <v>BUZZ＃2</v>
      </c>
      <c r="B64" s="9" t="s">
        <v>4</v>
      </c>
      <c r="C64" s="74">
        <v>2</v>
      </c>
      <c r="D64" s="8">
        <f>IF(天文館!D$3="","",C64)</f>
        <v>2</v>
      </c>
      <c r="E64" s="8">
        <f>IF(天文館!E$3="","",D64)</f>
        <v>2</v>
      </c>
      <c r="F64" s="59">
        <f>IF(F$3="","",E64)</f>
        <v>2</v>
      </c>
      <c r="G64" s="8">
        <f>IF(G$3="","",F64)</f>
        <v>2</v>
      </c>
      <c r="H64" s="8">
        <f>IF(H$3="","",G64)</f>
        <v>2</v>
      </c>
      <c r="I64" s="59">
        <f t="shared" si="102"/>
        <v>2</v>
      </c>
      <c r="J64" s="8">
        <f t="shared" si="102"/>
        <v>2</v>
      </c>
      <c r="K64" s="8">
        <f t="shared" si="102"/>
        <v>2</v>
      </c>
      <c r="L64" s="8">
        <f>IF(L$3="","",K64)</f>
        <v>2</v>
      </c>
      <c r="M64" s="59">
        <f>IF(M$3="","",L64)</f>
        <v>2</v>
      </c>
      <c r="N64" s="8">
        <f>IF(N$3="","",M64)</f>
        <v>2</v>
      </c>
      <c r="O64" s="8">
        <f>IF(O$3="","",N64)</f>
        <v>2</v>
      </c>
      <c r="P64" s="8">
        <f t="shared" ref="P64:AN64" si="105">IF(P$3="","",O64)</f>
        <v>2</v>
      </c>
      <c r="Q64" s="8">
        <f t="shared" si="105"/>
        <v>2</v>
      </c>
      <c r="R64" s="8">
        <f t="shared" si="105"/>
        <v>2</v>
      </c>
      <c r="S64" s="8">
        <f t="shared" si="105"/>
        <v>2</v>
      </c>
      <c r="T64" s="8">
        <f t="shared" si="105"/>
        <v>2</v>
      </c>
      <c r="U64" s="8">
        <f t="shared" si="105"/>
        <v>2</v>
      </c>
      <c r="V64" s="8">
        <v>3</v>
      </c>
      <c r="W64" s="8">
        <f t="shared" si="105"/>
        <v>3</v>
      </c>
      <c r="X64" s="8">
        <f t="shared" si="105"/>
        <v>3</v>
      </c>
      <c r="Y64" s="8">
        <f t="shared" si="105"/>
        <v>3</v>
      </c>
      <c r="Z64" s="8">
        <f t="shared" si="105"/>
        <v>3</v>
      </c>
      <c r="AA64" s="8">
        <f t="shared" si="105"/>
        <v>3</v>
      </c>
      <c r="AB64" s="8">
        <f t="shared" si="105"/>
        <v>3</v>
      </c>
      <c r="AC64" s="8">
        <v>4</v>
      </c>
      <c r="AD64" s="8" t="str">
        <f t="shared" si="105"/>
        <v/>
      </c>
      <c r="AE64" s="8" t="str">
        <f t="shared" si="105"/>
        <v/>
      </c>
      <c r="AF64" s="8" t="str">
        <f t="shared" si="105"/>
        <v/>
      </c>
      <c r="AG64" s="8" t="str">
        <f t="shared" si="105"/>
        <v/>
      </c>
      <c r="AH64" s="8" t="str">
        <f t="shared" si="105"/>
        <v/>
      </c>
      <c r="AI64" s="8" t="str">
        <f t="shared" si="105"/>
        <v/>
      </c>
      <c r="AJ64" s="8" t="str">
        <f t="shared" si="105"/>
        <v/>
      </c>
      <c r="AK64" s="8" t="str">
        <f t="shared" si="105"/>
        <v/>
      </c>
      <c r="AL64" s="8" t="str">
        <f t="shared" si="105"/>
        <v/>
      </c>
      <c r="AM64" s="8" t="str">
        <f t="shared" si="105"/>
        <v/>
      </c>
      <c r="AN64" s="8" t="str">
        <f t="shared" si="105"/>
        <v/>
      </c>
      <c r="AO64" s="8" t="str">
        <f>IF(AO$3="","",AN64)</f>
        <v/>
      </c>
      <c r="AP64" s="8" t="str">
        <f>IF(天文館!AP$3="","",AO64)</f>
        <v/>
      </c>
      <c r="AQ64" s="8" t="str">
        <f>IF(天文館!AQ$3="","",AP64)</f>
        <v/>
      </c>
      <c r="AR64" s="8" t="str">
        <f>IF(天文館!AR$3="","",AQ64)</f>
        <v/>
      </c>
      <c r="AS64" s="8" t="str">
        <f>IF(天文館!AS$3="","",AR64)</f>
        <v/>
      </c>
    </row>
    <row r="65" spans="1:45" s="93" customFormat="1" ht="11">
      <c r="A65" s="15">
        <v>2</v>
      </c>
      <c r="B65" s="9" t="s">
        <v>5</v>
      </c>
      <c r="C65" s="74">
        <v>9</v>
      </c>
      <c r="D65" s="8">
        <f t="shared" ref="D65:AN65" si="106">IF(D63="","",(C65+C66))</f>
        <v>9</v>
      </c>
      <c r="E65" s="8">
        <f t="shared" si="106"/>
        <v>9</v>
      </c>
      <c r="F65" s="59">
        <f t="shared" si="106"/>
        <v>9</v>
      </c>
      <c r="G65" s="8">
        <f t="shared" si="106"/>
        <v>9</v>
      </c>
      <c r="H65" s="8">
        <f t="shared" si="106"/>
        <v>9</v>
      </c>
      <c r="I65" s="59">
        <f t="shared" si="106"/>
        <v>9</v>
      </c>
      <c r="J65" s="8">
        <f t="shared" si="106"/>
        <v>9</v>
      </c>
      <c r="K65" s="8">
        <f t="shared" si="106"/>
        <v>9</v>
      </c>
      <c r="L65" s="8">
        <f t="shared" si="106"/>
        <v>9</v>
      </c>
      <c r="M65" s="59">
        <f t="shared" si="106"/>
        <v>9</v>
      </c>
      <c r="N65" s="8">
        <f t="shared" si="106"/>
        <v>9</v>
      </c>
      <c r="O65" s="8">
        <f t="shared" si="106"/>
        <v>9</v>
      </c>
      <c r="P65" s="8">
        <f t="shared" si="106"/>
        <v>9</v>
      </c>
      <c r="Q65" s="8">
        <f t="shared" si="106"/>
        <v>9</v>
      </c>
      <c r="R65" s="8">
        <f t="shared" si="106"/>
        <v>9</v>
      </c>
      <c r="S65" s="8">
        <f t="shared" si="106"/>
        <v>9</v>
      </c>
      <c r="T65" s="8">
        <f t="shared" si="106"/>
        <v>9</v>
      </c>
      <c r="U65" s="8">
        <f t="shared" si="106"/>
        <v>9</v>
      </c>
      <c r="V65" s="8">
        <v>8</v>
      </c>
      <c r="W65" s="8">
        <f t="shared" si="106"/>
        <v>8</v>
      </c>
      <c r="X65" s="8">
        <f t="shared" si="106"/>
        <v>8</v>
      </c>
      <c r="Y65" s="8">
        <f t="shared" si="106"/>
        <v>8</v>
      </c>
      <c r="Z65" s="8">
        <f t="shared" si="106"/>
        <v>8</v>
      </c>
      <c r="AA65" s="8">
        <f t="shared" si="106"/>
        <v>3</v>
      </c>
      <c r="AB65" s="8">
        <f t="shared" si="106"/>
        <v>3</v>
      </c>
      <c r="AC65" s="8">
        <v>2</v>
      </c>
      <c r="AD65" s="8" t="str">
        <f t="shared" si="106"/>
        <v/>
      </c>
      <c r="AE65" s="8" t="str">
        <f t="shared" si="106"/>
        <v/>
      </c>
      <c r="AF65" s="8" t="str">
        <f t="shared" si="106"/>
        <v/>
      </c>
      <c r="AG65" s="8" t="str">
        <f t="shared" si="106"/>
        <v/>
      </c>
      <c r="AH65" s="8" t="str">
        <f t="shared" si="106"/>
        <v/>
      </c>
      <c r="AI65" s="8" t="str">
        <f t="shared" si="106"/>
        <v/>
      </c>
      <c r="AJ65" s="8" t="str">
        <f t="shared" si="106"/>
        <v/>
      </c>
      <c r="AK65" s="8" t="str">
        <f t="shared" si="106"/>
        <v/>
      </c>
      <c r="AL65" s="8" t="str">
        <f t="shared" si="106"/>
        <v/>
      </c>
      <c r="AM65" s="8" t="str">
        <f t="shared" si="106"/>
        <v/>
      </c>
      <c r="AN65" s="8" t="str">
        <f t="shared" si="106"/>
        <v/>
      </c>
      <c r="AO65" s="8" t="str">
        <f t="shared" ref="AO65:AS65" si="107">IF(AO63="","",(AN65+AN66))</f>
        <v/>
      </c>
      <c r="AP65" s="8" t="str">
        <f t="shared" si="107"/>
        <v/>
      </c>
      <c r="AQ65" s="8" t="str">
        <f t="shared" si="107"/>
        <v/>
      </c>
      <c r="AR65" s="8" t="str">
        <f t="shared" si="107"/>
        <v/>
      </c>
      <c r="AS65" s="8" t="str">
        <f t="shared" si="107"/>
        <v/>
      </c>
    </row>
    <row r="66" spans="1:45" s="93" customFormat="1" ht="11">
      <c r="A66" s="14"/>
      <c r="B66" s="9" t="s">
        <v>7</v>
      </c>
      <c r="C66" s="74"/>
      <c r="D66" s="8"/>
      <c r="E66" s="8"/>
      <c r="F66" s="59"/>
      <c r="G66" s="8"/>
      <c r="H66" s="8"/>
      <c r="I66" s="59"/>
      <c r="J66" s="8"/>
      <c r="K66" s="8"/>
      <c r="L66" s="8"/>
      <c r="M66" s="59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>
        <v>-5</v>
      </c>
      <c r="AA66" s="8"/>
      <c r="AB66" s="8"/>
      <c r="AC66" s="8">
        <v>2</v>
      </c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s="93" customFormat="1" ht="11">
      <c r="A67" s="7"/>
      <c r="B67" s="9" t="s">
        <v>8</v>
      </c>
      <c r="C67" s="74">
        <v>800</v>
      </c>
      <c r="D67" s="8">
        <f t="shared" ref="D67:AN67" si="108">IF(D63="","",C67)</f>
        <v>800</v>
      </c>
      <c r="E67" s="8">
        <f t="shared" si="108"/>
        <v>800</v>
      </c>
      <c r="F67" s="59">
        <f t="shared" si="108"/>
        <v>800</v>
      </c>
      <c r="G67" s="8">
        <f t="shared" si="108"/>
        <v>800</v>
      </c>
      <c r="H67" s="8">
        <f t="shared" si="108"/>
        <v>800</v>
      </c>
      <c r="I67" s="59">
        <f t="shared" si="108"/>
        <v>800</v>
      </c>
      <c r="J67" s="8">
        <f t="shared" si="108"/>
        <v>800</v>
      </c>
      <c r="K67" s="8">
        <f t="shared" si="108"/>
        <v>800</v>
      </c>
      <c r="L67" s="8">
        <f t="shared" si="108"/>
        <v>800</v>
      </c>
      <c r="M67" s="59">
        <f t="shared" si="108"/>
        <v>800</v>
      </c>
      <c r="N67" s="8">
        <f t="shared" si="108"/>
        <v>800</v>
      </c>
      <c r="O67" s="8">
        <f t="shared" si="108"/>
        <v>800</v>
      </c>
      <c r="P67" s="8">
        <f t="shared" si="108"/>
        <v>800</v>
      </c>
      <c r="Q67" s="8">
        <f t="shared" si="108"/>
        <v>800</v>
      </c>
      <c r="R67" s="8">
        <f t="shared" si="108"/>
        <v>800</v>
      </c>
      <c r="S67" s="8">
        <f t="shared" si="108"/>
        <v>800</v>
      </c>
      <c r="T67" s="8">
        <f t="shared" si="108"/>
        <v>800</v>
      </c>
      <c r="U67" s="8">
        <f t="shared" si="108"/>
        <v>800</v>
      </c>
      <c r="V67" s="8">
        <f t="shared" si="108"/>
        <v>800</v>
      </c>
      <c r="W67" s="8">
        <f t="shared" si="108"/>
        <v>800</v>
      </c>
      <c r="X67" s="8">
        <f t="shared" si="108"/>
        <v>800</v>
      </c>
      <c r="Y67" s="8">
        <f t="shared" si="108"/>
        <v>800</v>
      </c>
      <c r="Z67" s="8">
        <f t="shared" si="108"/>
        <v>800</v>
      </c>
      <c r="AA67" s="8">
        <f t="shared" si="108"/>
        <v>800</v>
      </c>
      <c r="AB67" s="8">
        <f t="shared" si="108"/>
        <v>800</v>
      </c>
      <c r="AC67" s="8">
        <f t="shared" si="108"/>
        <v>800</v>
      </c>
      <c r="AD67" s="8" t="str">
        <f t="shared" si="108"/>
        <v/>
      </c>
      <c r="AE67" s="8" t="str">
        <f t="shared" si="108"/>
        <v/>
      </c>
      <c r="AF67" s="8" t="str">
        <f t="shared" si="108"/>
        <v/>
      </c>
      <c r="AG67" s="8" t="str">
        <f t="shared" si="108"/>
        <v/>
      </c>
      <c r="AH67" s="8" t="str">
        <f t="shared" si="108"/>
        <v/>
      </c>
      <c r="AI67" s="8" t="str">
        <f t="shared" si="108"/>
        <v/>
      </c>
      <c r="AJ67" s="8" t="str">
        <f t="shared" si="108"/>
        <v/>
      </c>
      <c r="AK67" s="8" t="str">
        <f t="shared" si="108"/>
        <v/>
      </c>
      <c r="AL67" s="8" t="str">
        <f t="shared" si="108"/>
        <v/>
      </c>
      <c r="AM67" s="8" t="str">
        <f t="shared" si="108"/>
        <v/>
      </c>
      <c r="AN67" s="8" t="str">
        <f t="shared" si="108"/>
        <v/>
      </c>
      <c r="AO67" s="8" t="str">
        <f t="shared" ref="AO67:AS67" si="109">IF(AO63="","",AN67)</f>
        <v/>
      </c>
      <c r="AP67" s="8" t="str">
        <f t="shared" si="109"/>
        <v/>
      </c>
      <c r="AQ67" s="8" t="str">
        <f t="shared" si="109"/>
        <v/>
      </c>
      <c r="AR67" s="8" t="str">
        <f t="shared" si="109"/>
        <v/>
      </c>
      <c r="AS67" s="8" t="str">
        <f t="shared" si="109"/>
        <v/>
      </c>
    </row>
    <row r="68" spans="1:45" s="94" customFormat="1" ht="11">
      <c r="A68" s="14" t="s">
        <v>9</v>
      </c>
      <c r="B68" s="13" t="s">
        <v>10</v>
      </c>
      <c r="C68" s="75" t="s">
        <v>22</v>
      </c>
      <c r="D68" s="12" t="str">
        <f t="shared" ref="D68:AN68" si="110">IF(D63="","",C68)</f>
        <v>ジャグラーボタン</v>
      </c>
      <c r="E68" s="12" t="str">
        <f t="shared" si="110"/>
        <v>ジャグラーボタン</v>
      </c>
      <c r="F68" s="131" t="str">
        <f t="shared" si="110"/>
        <v>ジャグラーボタン</v>
      </c>
      <c r="G68" s="12" t="str">
        <f t="shared" si="110"/>
        <v>ジャグラーボタン</v>
      </c>
      <c r="H68" s="12" t="str">
        <f t="shared" si="110"/>
        <v>ジャグラーボタン</v>
      </c>
      <c r="I68" s="131" t="str">
        <f t="shared" si="110"/>
        <v>ジャグラーボタン</v>
      </c>
      <c r="J68" s="12" t="str">
        <f t="shared" si="110"/>
        <v>ジャグラーボタン</v>
      </c>
      <c r="K68" s="12" t="str">
        <f t="shared" si="110"/>
        <v>ジャグラーボタン</v>
      </c>
      <c r="L68" s="12" t="str">
        <f t="shared" si="110"/>
        <v>ジャグラーボタン</v>
      </c>
      <c r="M68" s="131" t="str">
        <f t="shared" si="110"/>
        <v>ジャグラーボタン</v>
      </c>
      <c r="N68" s="12" t="str">
        <f t="shared" si="110"/>
        <v>ジャグラーボタン</v>
      </c>
      <c r="O68" s="12" t="str">
        <f t="shared" si="110"/>
        <v>ジャグラーボタン</v>
      </c>
      <c r="P68" s="12" t="str">
        <f t="shared" si="110"/>
        <v>ジャグラーボタン</v>
      </c>
      <c r="Q68" s="12" t="str">
        <f t="shared" si="110"/>
        <v>ジャグラーボタン</v>
      </c>
      <c r="R68" s="12" t="str">
        <f t="shared" si="110"/>
        <v>ジャグラーボタン</v>
      </c>
      <c r="S68" s="12" t="str">
        <f t="shared" si="110"/>
        <v>ジャグラーボタン</v>
      </c>
      <c r="T68" s="12" t="str">
        <f t="shared" si="110"/>
        <v>ジャグラーボタン</v>
      </c>
      <c r="U68" s="12" t="str">
        <f t="shared" si="110"/>
        <v>ジャグラーボタン</v>
      </c>
      <c r="V68" s="12" t="str">
        <f t="shared" si="110"/>
        <v>ジャグラーボタン</v>
      </c>
      <c r="W68" s="12" t="str">
        <f t="shared" si="110"/>
        <v>ジャグラーボタン</v>
      </c>
      <c r="X68" s="12" t="str">
        <f t="shared" si="110"/>
        <v>ジャグラーボタン</v>
      </c>
      <c r="Y68" s="12" t="str">
        <f t="shared" si="110"/>
        <v>ジャグラーボタン</v>
      </c>
      <c r="Z68" s="12" t="s">
        <v>410</v>
      </c>
      <c r="AA68" s="12" t="str">
        <f t="shared" si="110"/>
        <v>バタースクイーズ</v>
      </c>
      <c r="AB68" s="12" t="str">
        <f t="shared" si="110"/>
        <v>バタースクイーズ</v>
      </c>
      <c r="AC68" s="12" t="str">
        <f t="shared" si="110"/>
        <v>バタースクイーズ</v>
      </c>
      <c r="AD68" s="12" t="str">
        <f t="shared" si="110"/>
        <v/>
      </c>
      <c r="AE68" s="12" t="str">
        <f t="shared" si="110"/>
        <v/>
      </c>
      <c r="AF68" s="12" t="str">
        <f t="shared" si="110"/>
        <v/>
      </c>
      <c r="AG68" s="12" t="str">
        <f t="shared" si="110"/>
        <v/>
      </c>
      <c r="AH68" s="12" t="str">
        <f t="shared" si="110"/>
        <v/>
      </c>
      <c r="AI68" s="12" t="str">
        <f t="shared" si="110"/>
        <v/>
      </c>
      <c r="AJ68" s="12" t="str">
        <f t="shared" si="110"/>
        <v/>
      </c>
      <c r="AK68" s="12" t="str">
        <f t="shared" si="110"/>
        <v/>
      </c>
      <c r="AL68" s="12" t="str">
        <f t="shared" si="110"/>
        <v/>
      </c>
      <c r="AM68" s="12" t="str">
        <f t="shared" si="110"/>
        <v/>
      </c>
      <c r="AN68" s="12" t="str">
        <f t="shared" si="110"/>
        <v/>
      </c>
      <c r="AO68" s="12" t="str">
        <f t="shared" ref="AO68:AS68" si="111">IF(AO63="","",AN68)</f>
        <v/>
      </c>
      <c r="AP68" s="12" t="str">
        <f t="shared" si="111"/>
        <v/>
      </c>
      <c r="AQ68" s="12" t="str">
        <f t="shared" si="111"/>
        <v/>
      </c>
      <c r="AR68" s="12" t="str">
        <f t="shared" si="111"/>
        <v/>
      </c>
      <c r="AS68" s="12" t="str">
        <f t="shared" si="111"/>
        <v/>
      </c>
    </row>
    <row r="69" spans="1:45" s="93" customFormat="1" ht="11">
      <c r="A69" s="7">
        <f>AVERAGE(C70:AS70)*30*100</f>
        <v>19222.222222222223</v>
      </c>
      <c r="B69" s="9" t="s">
        <v>14</v>
      </c>
      <c r="C69" s="74"/>
      <c r="D69" s="8"/>
      <c r="E69" s="8"/>
      <c r="F69" s="59"/>
      <c r="G69" s="8"/>
      <c r="H69" s="8"/>
      <c r="I69" s="59"/>
      <c r="J69" s="8"/>
      <c r="K69" s="8"/>
      <c r="L69" s="8"/>
      <c r="M69" s="59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s="93" customFormat="1" ht="11">
      <c r="A70" s="7">
        <f>SUM(C70:AS70)</f>
        <v>173</v>
      </c>
      <c r="B70" s="6" t="s">
        <v>15</v>
      </c>
      <c r="C70" s="74">
        <v>0</v>
      </c>
      <c r="D70" s="5">
        <f t="shared" ref="D70:AN70" si="112">IF(D63="","",D63-C63)</f>
        <v>0</v>
      </c>
      <c r="E70" s="5">
        <f t="shared" si="112"/>
        <v>5</v>
      </c>
      <c r="F70" s="59">
        <f t="shared" si="112"/>
        <v>0</v>
      </c>
      <c r="G70" s="5">
        <f t="shared" si="112"/>
        <v>0</v>
      </c>
      <c r="H70" s="5">
        <f t="shared" si="112"/>
        <v>56</v>
      </c>
      <c r="I70" s="59">
        <f t="shared" si="112"/>
        <v>0</v>
      </c>
      <c r="J70" s="5">
        <f t="shared" si="112"/>
        <v>0</v>
      </c>
      <c r="K70" s="5">
        <f t="shared" si="112"/>
        <v>0</v>
      </c>
      <c r="L70" s="5">
        <f t="shared" si="112"/>
        <v>26</v>
      </c>
      <c r="M70" s="59">
        <f t="shared" si="112"/>
        <v>0</v>
      </c>
      <c r="N70" s="5">
        <f t="shared" si="112"/>
        <v>0</v>
      </c>
      <c r="O70" s="5">
        <f t="shared" si="112"/>
        <v>3</v>
      </c>
      <c r="P70" s="5">
        <f t="shared" si="112"/>
        <v>0</v>
      </c>
      <c r="Q70" s="5">
        <f t="shared" si="112"/>
        <v>0</v>
      </c>
      <c r="R70" s="5">
        <f t="shared" si="112"/>
        <v>0</v>
      </c>
      <c r="S70" s="5">
        <f t="shared" si="112"/>
        <v>0</v>
      </c>
      <c r="T70" s="5">
        <f t="shared" si="112"/>
        <v>18</v>
      </c>
      <c r="U70" s="5">
        <f t="shared" si="112"/>
        <v>0</v>
      </c>
      <c r="V70" s="5">
        <f t="shared" si="112"/>
        <v>6</v>
      </c>
      <c r="W70" s="5">
        <f t="shared" si="112"/>
        <v>0</v>
      </c>
      <c r="X70" s="5">
        <f t="shared" si="112"/>
        <v>0</v>
      </c>
      <c r="Y70" s="5">
        <f t="shared" si="112"/>
        <v>0</v>
      </c>
      <c r="Z70" s="5">
        <f t="shared" si="112"/>
        <v>2</v>
      </c>
      <c r="AA70" s="5">
        <f t="shared" si="112"/>
        <v>0</v>
      </c>
      <c r="AB70" s="5">
        <f t="shared" si="112"/>
        <v>0</v>
      </c>
      <c r="AC70" s="5">
        <f t="shared" si="112"/>
        <v>57</v>
      </c>
      <c r="AD70" s="5" t="str">
        <f t="shared" si="112"/>
        <v/>
      </c>
      <c r="AE70" s="5" t="str">
        <f t="shared" si="112"/>
        <v/>
      </c>
      <c r="AF70" s="5" t="str">
        <f t="shared" si="112"/>
        <v/>
      </c>
      <c r="AG70" s="5" t="str">
        <f t="shared" si="112"/>
        <v/>
      </c>
      <c r="AH70" s="5" t="str">
        <f t="shared" si="112"/>
        <v/>
      </c>
      <c r="AI70" s="5" t="str">
        <f t="shared" si="112"/>
        <v/>
      </c>
      <c r="AJ70" s="5" t="str">
        <f t="shared" si="112"/>
        <v/>
      </c>
      <c r="AK70" s="5" t="str">
        <f t="shared" si="112"/>
        <v/>
      </c>
      <c r="AL70" s="5" t="str">
        <f t="shared" si="112"/>
        <v/>
      </c>
      <c r="AM70" s="5" t="str">
        <f t="shared" si="112"/>
        <v/>
      </c>
      <c r="AN70" s="5" t="str">
        <f t="shared" si="112"/>
        <v/>
      </c>
      <c r="AO70" s="5" t="str">
        <f t="shared" ref="AO70:AS70" si="113">IF(AO63="","",AO63-AN63)</f>
        <v/>
      </c>
      <c r="AP70" s="5" t="str">
        <f t="shared" si="113"/>
        <v/>
      </c>
      <c r="AQ70" s="5" t="str">
        <f t="shared" si="113"/>
        <v/>
      </c>
      <c r="AR70" s="5" t="str">
        <f t="shared" si="113"/>
        <v/>
      </c>
      <c r="AS70" s="5" t="str">
        <f t="shared" si="113"/>
        <v/>
      </c>
    </row>
    <row r="71" spans="1:45" s="93" customFormat="1" ht="11">
      <c r="A71" s="7">
        <f>SUM(C71:AS71)</f>
        <v>2</v>
      </c>
      <c r="B71" s="6" t="s">
        <v>16</v>
      </c>
      <c r="C71" s="74">
        <v>0</v>
      </c>
      <c r="D71" s="5">
        <f t="shared" ref="D71:AN71" si="114">IF(D64="","",D64-C64)</f>
        <v>0</v>
      </c>
      <c r="E71" s="5">
        <f t="shared" si="114"/>
        <v>0</v>
      </c>
      <c r="F71" s="59">
        <f t="shared" si="114"/>
        <v>0</v>
      </c>
      <c r="G71" s="5">
        <f t="shared" si="114"/>
        <v>0</v>
      </c>
      <c r="H71" s="5">
        <f t="shared" si="114"/>
        <v>0</v>
      </c>
      <c r="I71" s="59">
        <f t="shared" si="114"/>
        <v>0</v>
      </c>
      <c r="J71" s="5">
        <f t="shared" si="114"/>
        <v>0</v>
      </c>
      <c r="K71" s="5">
        <f t="shared" si="114"/>
        <v>0</v>
      </c>
      <c r="L71" s="5">
        <f t="shared" si="114"/>
        <v>0</v>
      </c>
      <c r="M71" s="59">
        <f t="shared" si="114"/>
        <v>0</v>
      </c>
      <c r="N71" s="5">
        <f t="shared" si="114"/>
        <v>0</v>
      </c>
      <c r="O71" s="5">
        <f t="shared" si="114"/>
        <v>0</v>
      </c>
      <c r="P71" s="5">
        <f t="shared" si="114"/>
        <v>0</v>
      </c>
      <c r="Q71" s="5">
        <f t="shared" si="114"/>
        <v>0</v>
      </c>
      <c r="R71" s="5">
        <f t="shared" si="114"/>
        <v>0</v>
      </c>
      <c r="S71" s="5">
        <f t="shared" si="114"/>
        <v>0</v>
      </c>
      <c r="T71" s="5">
        <f t="shared" si="114"/>
        <v>0</v>
      </c>
      <c r="U71" s="5">
        <f t="shared" si="114"/>
        <v>0</v>
      </c>
      <c r="V71" s="5">
        <f t="shared" si="114"/>
        <v>1</v>
      </c>
      <c r="W71" s="5">
        <f t="shared" si="114"/>
        <v>0</v>
      </c>
      <c r="X71" s="5">
        <f t="shared" si="114"/>
        <v>0</v>
      </c>
      <c r="Y71" s="5">
        <f t="shared" si="114"/>
        <v>0</v>
      </c>
      <c r="Z71" s="5">
        <f t="shared" si="114"/>
        <v>0</v>
      </c>
      <c r="AA71" s="5">
        <f t="shared" si="114"/>
        <v>0</v>
      </c>
      <c r="AB71" s="5">
        <f t="shared" si="114"/>
        <v>0</v>
      </c>
      <c r="AC71" s="5">
        <f t="shared" si="114"/>
        <v>1</v>
      </c>
      <c r="AD71" s="5" t="str">
        <f t="shared" si="114"/>
        <v/>
      </c>
      <c r="AE71" s="5" t="str">
        <f t="shared" si="114"/>
        <v/>
      </c>
      <c r="AF71" s="5" t="str">
        <f t="shared" si="114"/>
        <v/>
      </c>
      <c r="AG71" s="5" t="str">
        <f t="shared" si="114"/>
        <v/>
      </c>
      <c r="AH71" s="5" t="str">
        <f t="shared" si="114"/>
        <v/>
      </c>
      <c r="AI71" s="5" t="str">
        <f t="shared" si="114"/>
        <v/>
      </c>
      <c r="AJ71" s="5" t="str">
        <f t="shared" si="114"/>
        <v/>
      </c>
      <c r="AK71" s="5" t="str">
        <f t="shared" si="114"/>
        <v/>
      </c>
      <c r="AL71" s="5" t="str">
        <f t="shared" si="114"/>
        <v/>
      </c>
      <c r="AM71" s="5" t="str">
        <f t="shared" si="114"/>
        <v/>
      </c>
      <c r="AN71" s="5" t="str">
        <f t="shared" si="114"/>
        <v/>
      </c>
      <c r="AO71" s="5" t="str">
        <f t="shared" ref="AO71:AS71" si="115">IF(AO64="","",AO64-AN64)</f>
        <v/>
      </c>
      <c r="AP71" s="5" t="str">
        <f t="shared" si="115"/>
        <v/>
      </c>
      <c r="AQ71" s="5" t="str">
        <f t="shared" si="115"/>
        <v/>
      </c>
      <c r="AR71" s="5" t="str">
        <f t="shared" si="115"/>
        <v/>
      </c>
      <c r="AS71" s="5" t="str">
        <f t="shared" si="115"/>
        <v/>
      </c>
    </row>
    <row r="72" spans="1:45" s="93" customFormat="1" ht="11">
      <c r="A72" s="7">
        <f>SUM(C72:AS72)</f>
        <v>2</v>
      </c>
      <c r="B72" s="6" t="s">
        <v>17</v>
      </c>
      <c r="C72" s="74">
        <v>0</v>
      </c>
      <c r="D72" s="5">
        <f t="shared" ref="D72:AN72" si="116">IF(D65="","",C65+C66-D65)</f>
        <v>0</v>
      </c>
      <c r="E72" s="5">
        <f t="shared" si="116"/>
        <v>0</v>
      </c>
      <c r="F72" s="59">
        <f t="shared" si="116"/>
        <v>0</v>
      </c>
      <c r="G72" s="5">
        <f t="shared" si="116"/>
        <v>0</v>
      </c>
      <c r="H72" s="5">
        <f t="shared" si="116"/>
        <v>0</v>
      </c>
      <c r="I72" s="59">
        <f t="shared" si="116"/>
        <v>0</v>
      </c>
      <c r="J72" s="5">
        <f t="shared" si="116"/>
        <v>0</v>
      </c>
      <c r="K72" s="5">
        <f t="shared" si="116"/>
        <v>0</v>
      </c>
      <c r="L72" s="5">
        <f t="shared" si="116"/>
        <v>0</v>
      </c>
      <c r="M72" s="59">
        <f t="shared" si="116"/>
        <v>0</v>
      </c>
      <c r="N72" s="5">
        <f t="shared" si="116"/>
        <v>0</v>
      </c>
      <c r="O72" s="5">
        <f t="shared" si="116"/>
        <v>0</v>
      </c>
      <c r="P72" s="5">
        <f t="shared" si="116"/>
        <v>0</v>
      </c>
      <c r="Q72" s="5">
        <f t="shared" si="116"/>
        <v>0</v>
      </c>
      <c r="R72" s="5">
        <f t="shared" si="116"/>
        <v>0</v>
      </c>
      <c r="S72" s="5">
        <f t="shared" si="116"/>
        <v>0</v>
      </c>
      <c r="T72" s="5">
        <f t="shared" si="116"/>
        <v>0</v>
      </c>
      <c r="U72" s="5">
        <f t="shared" si="116"/>
        <v>0</v>
      </c>
      <c r="V72" s="5">
        <f t="shared" si="116"/>
        <v>1</v>
      </c>
      <c r="W72" s="5">
        <f t="shared" si="116"/>
        <v>0</v>
      </c>
      <c r="X72" s="5">
        <f t="shared" si="116"/>
        <v>0</v>
      </c>
      <c r="Y72" s="5">
        <f t="shared" si="116"/>
        <v>0</v>
      </c>
      <c r="Z72" s="5">
        <f t="shared" si="116"/>
        <v>0</v>
      </c>
      <c r="AA72" s="5">
        <f t="shared" si="116"/>
        <v>0</v>
      </c>
      <c r="AB72" s="5">
        <f t="shared" si="116"/>
        <v>0</v>
      </c>
      <c r="AC72" s="5">
        <f t="shared" si="116"/>
        <v>1</v>
      </c>
      <c r="AD72" s="5" t="str">
        <f t="shared" si="116"/>
        <v/>
      </c>
      <c r="AE72" s="5" t="str">
        <f t="shared" si="116"/>
        <v/>
      </c>
      <c r="AF72" s="5" t="str">
        <f t="shared" si="116"/>
        <v/>
      </c>
      <c r="AG72" s="5" t="str">
        <f t="shared" si="116"/>
        <v/>
      </c>
      <c r="AH72" s="5" t="str">
        <f t="shared" si="116"/>
        <v/>
      </c>
      <c r="AI72" s="5" t="str">
        <f t="shared" si="116"/>
        <v/>
      </c>
      <c r="AJ72" s="5" t="str">
        <f t="shared" si="116"/>
        <v/>
      </c>
      <c r="AK72" s="5" t="str">
        <f t="shared" si="116"/>
        <v/>
      </c>
      <c r="AL72" s="5" t="str">
        <f t="shared" si="116"/>
        <v/>
      </c>
      <c r="AM72" s="5" t="str">
        <f t="shared" si="116"/>
        <v/>
      </c>
      <c r="AN72" s="5" t="str">
        <f t="shared" si="116"/>
        <v/>
      </c>
      <c r="AO72" s="5" t="str">
        <f t="shared" ref="AO72:AS72" si="117">IF(AO65="","",AN65+AN66-AO65)</f>
        <v/>
      </c>
      <c r="AP72" s="5" t="str">
        <f t="shared" si="117"/>
        <v/>
      </c>
      <c r="AQ72" s="5" t="str">
        <f t="shared" si="117"/>
        <v/>
      </c>
      <c r="AR72" s="5" t="str">
        <f t="shared" si="117"/>
        <v/>
      </c>
      <c r="AS72" s="5" t="str">
        <f t="shared" si="117"/>
        <v/>
      </c>
    </row>
    <row r="73" spans="1:45" s="93" customFormat="1" ht="11">
      <c r="A73" s="7">
        <f>SUM(C73:AS73)</f>
        <v>1600</v>
      </c>
      <c r="B73" s="6" t="s">
        <v>18</v>
      </c>
      <c r="C73" s="74">
        <v>0</v>
      </c>
      <c r="D73" s="5">
        <f t="shared" ref="D73:AN73" si="118">IF(D63="","",D72*D67)</f>
        <v>0</v>
      </c>
      <c r="E73" s="5">
        <f t="shared" si="118"/>
        <v>0</v>
      </c>
      <c r="F73" s="59">
        <f t="shared" si="118"/>
        <v>0</v>
      </c>
      <c r="G73" s="5">
        <f t="shared" si="118"/>
        <v>0</v>
      </c>
      <c r="H73" s="5">
        <f t="shared" si="118"/>
        <v>0</v>
      </c>
      <c r="I73" s="59">
        <f t="shared" si="118"/>
        <v>0</v>
      </c>
      <c r="J73" s="5">
        <f t="shared" si="118"/>
        <v>0</v>
      </c>
      <c r="K73" s="5">
        <f t="shared" si="118"/>
        <v>0</v>
      </c>
      <c r="L73" s="5">
        <f t="shared" si="118"/>
        <v>0</v>
      </c>
      <c r="M73" s="59">
        <f t="shared" si="118"/>
        <v>0</v>
      </c>
      <c r="N73" s="5">
        <f t="shared" si="118"/>
        <v>0</v>
      </c>
      <c r="O73" s="5">
        <f t="shared" si="118"/>
        <v>0</v>
      </c>
      <c r="P73" s="5">
        <f t="shared" si="118"/>
        <v>0</v>
      </c>
      <c r="Q73" s="5">
        <f t="shared" si="118"/>
        <v>0</v>
      </c>
      <c r="R73" s="5">
        <f t="shared" si="118"/>
        <v>0</v>
      </c>
      <c r="S73" s="5">
        <f t="shared" si="118"/>
        <v>0</v>
      </c>
      <c r="T73" s="5">
        <f t="shared" si="118"/>
        <v>0</v>
      </c>
      <c r="U73" s="5">
        <f t="shared" si="118"/>
        <v>0</v>
      </c>
      <c r="V73" s="5">
        <f t="shared" si="118"/>
        <v>800</v>
      </c>
      <c r="W73" s="5">
        <f t="shared" si="118"/>
        <v>0</v>
      </c>
      <c r="X73" s="5">
        <f t="shared" si="118"/>
        <v>0</v>
      </c>
      <c r="Y73" s="5">
        <f t="shared" si="118"/>
        <v>0</v>
      </c>
      <c r="Z73" s="5">
        <f t="shared" si="118"/>
        <v>0</v>
      </c>
      <c r="AA73" s="5">
        <f t="shared" si="118"/>
        <v>0</v>
      </c>
      <c r="AB73" s="5">
        <f t="shared" si="118"/>
        <v>0</v>
      </c>
      <c r="AC73" s="5">
        <f t="shared" si="118"/>
        <v>800</v>
      </c>
      <c r="AD73" s="5" t="str">
        <f t="shared" si="118"/>
        <v/>
      </c>
      <c r="AE73" s="5" t="str">
        <f t="shared" si="118"/>
        <v/>
      </c>
      <c r="AF73" s="5" t="str">
        <f t="shared" si="118"/>
        <v/>
      </c>
      <c r="AG73" s="5" t="str">
        <f t="shared" si="118"/>
        <v/>
      </c>
      <c r="AH73" s="5" t="str">
        <f t="shared" si="118"/>
        <v/>
      </c>
      <c r="AI73" s="5" t="str">
        <f t="shared" si="118"/>
        <v/>
      </c>
      <c r="AJ73" s="5" t="str">
        <f t="shared" si="118"/>
        <v/>
      </c>
      <c r="AK73" s="5" t="str">
        <f t="shared" si="118"/>
        <v/>
      </c>
      <c r="AL73" s="5" t="str">
        <f t="shared" si="118"/>
        <v/>
      </c>
      <c r="AM73" s="5" t="str">
        <f t="shared" si="118"/>
        <v/>
      </c>
      <c r="AN73" s="5" t="str">
        <f t="shared" si="118"/>
        <v/>
      </c>
      <c r="AO73" s="5" t="str">
        <f t="shared" ref="AO73:AS73" si="119">IF(AO63="","",AO72*AO67)</f>
        <v/>
      </c>
      <c r="AP73" s="5" t="str">
        <f t="shared" si="119"/>
        <v/>
      </c>
      <c r="AQ73" s="5" t="str">
        <f t="shared" si="119"/>
        <v/>
      </c>
      <c r="AR73" s="5" t="str">
        <f t="shared" si="119"/>
        <v/>
      </c>
      <c r="AS73" s="5" t="str">
        <f t="shared" si="119"/>
        <v/>
      </c>
    </row>
    <row r="74" spans="1:45" s="93" customFormat="1" ht="12" thickBot="1">
      <c r="A74" s="4">
        <f>IF(A73="","",A73/(A70*100))</f>
        <v>9.2485549132947972E-2</v>
      </c>
      <c r="B74" s="6" t="s">
        <v>20</v>
      </c>
      <c r="C74" s="76" t="s">
        <v>21</v>
      </c>
      <c r="D74" s="18" t="str">
        <f t="shared" ref="D74:AN74" si="120">IF(D73="","",IF(D73=0,"",D73/(D70*100)))</f>
        <v/>
      </c>
      <c r="E74" s="18" t="str">
        <f t="shared" si="120"/>
        <v/>
      </c>
      <c r="F74" s="62" t="str">
        <f t="shared" si="120"/>
        <v/>
      </c>
      <c r="G74" s="18" t="str">
        <f t="shared" si="120"/>
        <v/>
      </c>
      <c r="H74" s="18" t="str">
        <f t="shared" si="120"/>
        <v/>
      </c>
      <c r="I74" s="62" t="str">
        <f t="shared" si="120"/>
        <v/>
      </c>
      <c r="J74" s="18" t="str">
        <f t="shared" si="120"/>
        <v/>
      </c>
      <c r="K74" s="18" t="str">
        <f t="shared" si="120"/>
        <v/>
      </c>
      <c r="L74" s="18" t="str">
        <f t="shared" si="120"/>
        <v/>
      </c>
      <c r="M74" s="62" t="str">
        <f t="shared" si="120"/>
        <v/>
      </c>
      <c r="N74" s="18" t="str">
        <f t="shared" si="120"/>
        <v/>
      </c>
      <c r="O74" s="18" t="str">
        <f t="shared" si="120"/>
        <v/>
      </c>
      <c r="P74" s="18" t="str">
        <f t="shared" si="120"/>
        <v/>
      </c>
      <c r="Q74" s="18" t="str">
        <f t="shared" si="120"/>
        <v/>
      </c>
      <c r="R74" s="18" t="str">
        <f t="shared" si="120"/>
        <v/>
      </c>
      <c r="S74" s="18" t="str">
        <f t="shared" si="120"/>
        <v/>
      </c>
      <c r="T74" s="18" t="str">
        <f t="shared" si="120"/>
        <v/>
      </c>
      <c r="U74" s="18" t="str">
        <f t="shared" si="120"/>
        <v/>
      </c>
      <c r="V74" s="18">
        <f t="shared" si="120"/>
        <v>1.3333333333333333</v>
      </c>
      <c r="W74" s="18" t="str">
        <f t="shared" si="120"/>
        <v/>
      </c>
      <c r="X74" s="18" t="str">
        <f t="shared" si="120"/>
        <v/>
      </c>
      <c r="Y74" s="18" t="str">
        <f t="shared" si="120"/>
        <v/>
      </c>
      <c r="Z74" s="18" t="str">
        <f t="shared" si="120"/>
        <v/>
      </c>
      <c r="AA74" s="18" t="str">
        <f t="shared" si="120"/>
        <v/>
      </c>
      <c r="AB74" s="18" t="str">
        <f t="shared" si="120"/>
        <v/>
      </c>
      <c r="AC74" s="18">
        <f t="shared" si="120"/>
        <v>0.14035087719298245</v>
      </c>
      <c r="AD74" s="18" t="str">
        <f t="shared" si="120"/>
        <v/>
      </c>
      <c r="AE74" s="18" t="str">
        <f t="shared" si="120"/>
        <v/>
      </c>
      <c r="AF74" s="18" t="str">
        <f t="shared" si="120"/>
        <v/>
      </c>
      <c r="AG74" s="18" t="str">
        <f t="shared" si="120"/>
        <v/>
      </c>
      <c r="AH74" s="18" t="str">
        <f t="shared" si="120"/>
        <v/>
      </c>
      <c r="AI74" s="18" t="str">
        <f t="shared" si="120"/>
        <v/>
      </c>
      <c r="AJ74" s="18" t="str">
        <f t="shared" si="120"/>
        <v/>
      </c>
      <c r="AK74" s="18" t="str">
        <f t="shared" si="120"/>
        <v/>
      </c>
      <c r="AL74" s="18" t="str">
        <f t="shared" si="120"/>
        <v/>
      </c>
      <c r="AM74" s="18" t="str">
        <f t="shared" si="120"/>
        <v/>
      </c>
      <c r="AN74" s="18" t="str">
        <f t="shared" si="120"/>
        <v/>
      </c>
      <c r="AO74" s="18" t="str">
        <f t="shared" ref="AO74:AS74" si="121">IF(AO73="","",IF(AO73=0,"",AO73/(AO70*100)))</f>
        <v/>
      </c>
      <c r="AP74" s="18" t="str">
        <f t="shared" si="121"/>
        <v/>
      </c>
      <c r="AQ74" s="18" t="str">
        <f t="shared" si="121"/>
        <v/>
      </c>
      <c r="AR74" s="18" t="str">
        <f t="shared" si="121"/>
        <v/>
      </c>
      <c r="AS74" s="18" t="str">
        <f t="shared" si="121"/>
        <v/>
      </c>
    </row>
    <row r="75" spans="1:45" s="93" customFormat="1" ht="11">
      <c r="A75" s="17" t="s">
        <v>130</v>
      </c>
      <c r="B75" s="9" t="s">
        <v>2</v>
      </c>
      <c r="C75" s="74">
        <v>155</v>
      </c>
      <c r="D75" s="8">
        <f>IF(D$3="","",C75)</f>
        <v>155</v>
      </c>
      <c r="E75" s="8">
        <v>169</v>
      </c>
      <c r="F75" s="59">
        <f>IF(F$3="","",E75)</f>
        <v>169</v>
      </c>
      <c r="G75" s="8">
        <f>IF(G$3="","",F75)</f>
        <v>169</v>
      </c>
      <c r="H75" s="8">
        <v>203</v>
      </c>
      <c r="I75" s="59">
        <f t="shared" ref="I75:K76" si="122">IF(I$3="","",H75)</f>
        <v>203</v>
      </c>
      <c r="J75" s="8">
        <f t="shared" si="122"/>
        <v>203</v>
      </c>
      <c r="K75" s="8">
        <f t="shared" si="122"/>
        <v>203</v>
      </c>
      <c r="L75" s="8">
        <v>211</v>
      </c>
      <c r="M75" s="59">
        <f>IF(M$3="","",L75)</f>
        <v>211</v>
      </c>
      <c r="N75" s="8">
        <f>IF(N$3="","",M75)</f>
        <v>211</v>
      </c>
      <c r="O75" s="8">
        <v>224</v>
      </c>
      <c r="P75" s="8">
        <f t="shared" ref="P75:AN75" si="123">IF(P$3="","",O75)</f>
        <v>224</v>
      </c>
      <c r="Q75" s="8">
        <f t="shared" si="123"/>
        <v>224</v>
      </c>
      <c r="R75" s="8">
        <f t="shared" si="123"/>
        <v>224</v>
      </c>
      <c r="S75" s="8">
        <f t="shared" si="123"/>
        <v>224</v>
      </c>
      <c r="T75" s="8">
        <v>250</v>
      </c>
      <c r="U75" s="8">
        <f t="shared" si="123"/>
        <v>250</v>
      </c>
      <c r="V75" s="8">
        <v>291</v>
      </c>
      <c r="W75" s="8">
        <f t="shared" si="123"/>
        <v>291</v>
      </c>
      <c r="X75" s="8">
        <f t="shared" si="123"/>
        <v>291</v>
      </c>
      <c r="Y75" s="8">
        <f t="shared" si="123"/>
        <v>291</v>
      </c>
      <c r="Z75" s="8">
        <v>314</v>
      </c>
      <c r="AA75" s="8">
        <f t="shared" si="123"/>
        <v>314</v>
      </c>
      <c r="AB75" s="8">
        <f t="shared" si="123"/>
        <v>314</v>
      </c>
      <c r="AC75" s="8">
        <v>330</v>
      </c>
      <c r="AD75" s="8" t="str">
        <f t="shared" si="123"/>
        <v/>
      </c>
      <c r="AE75" s="8" t="str">
        <f t="shared" si="123"/>
        <v/>
      </c>
      <c r="AF75" s="8" t="str">
        <f t="shared" si="123"/>
        <v/>
      </c>
      <c r="AG75" s="8" t="str">
        <f t="shared" si="123"/>
        <v/>
      </c>
      <c r="AH75" s="8" t="str">
        <f t="shared" si="123"/>
        <v/>
      </c>
      <c r="AI75" s="8" t="str">
        <f t="shared" si="123"/>
        <v/>
      </c>
      <c r="AJ75" s="8" t="str">
        <f t="shared" si="123"/>
        <v/>
      </c>
      <c r="AK75" s="8" t="str">
        <f t="shared" si="123"/>
        <v/>
      </c>
      <c r="AL75" s="8" t="str">
        <f t="shared" si="123"/>
        <v/>
      </c>
      <c r="AM75" s="8" t="str">
        <f t="shared" si="123"/>
        <v/>
      </c>
      <c r="AN75" s="8" t="str">
        <f t="shared" si="123"/>
        <v/>
      </c>
      <c r="AO75" s="8" t="str">
        <f t="shared" ref="AO75:AS75" si="124">IF(AO$3="","",AN75)</f>
        <v/>
      </c>
      <c r="AP75" s="8" t="str">
        <f t="shared" si="124"/>
        <v/>
      </c>
      <c r="AQ75" s="8" t="str">
        <f t="shared" si="124"/>
        <v/>
      </c>
      <c r="AR75" s="8" t="str">
        <f t="shared" si="124"/>
        <v/>
      </c>
      <c r="AS75" s="8" t="str">
        <f t="shared" si="124"/>
        <v/>
      </c>
    </row>
    <row r="76" spans="1:45" s="93" customFormat="1" ht="11">
      <c r="A76" s="16" t="str">
        <f>A64</f>
        <v>BUZZ＃2</v>
      </c>
      <c r="B76" s="9" t="s">
        <v>4</v>
      </c>
      <c r="C76" s="74">
        <v>2</v>
      </c>
      <c r="D76" s="8">
        <f>IF(天文館!D$3="","",C76)</f>
        <v>2</v>
      </c>
      <c r="E76" s="8">
        <f>IF(天文館!E$3="","",D76)</f>
        <v>2</v>
      </c>
      <c r="F76" s="59">
        <f>IF(F$3="","",E76)</f>
        <v>2</v>
      </c>
      <c r="G76" s="8">
        <f>IF(G$3="","",F76)</f>
        <v>2</v>
      </c>
      <c r="H76" s="8">
        <v>4</v>
      </c>
      <c r="I76" s="59">
        <f t="shared" si="122"/>
        <v>4</v>
      </c>
      <c r="J76" s="8">
        <f t="shared" si="122"/>
        <v>4</v>
      </c>
      <c r="K76" s="8">
        <f t="shared" si="122"/>
        <v>4</v>
      </c>
      <c r="L76" s="8">
        <v>5</v>
      </c>
      <c r="M76" s="59">
        <f>IF(M$3="","",L76)</f>
        <v>5</v>
      </c>
      <c r="N76" s="8">
        <f>IF(N$3="","",M76)</f>
        <v>5</v>
      </c>
      <c r="O76" s="8">
        <f>IF(O$3="","",N76)</f>
        <v>5</v>
      </c>
      <c r="P76" s="8">
        <f t="shared" ref="P76:AN76" si="125">IF(P$3="","",O76)</f>
        <v>5</v>
      </c>
      <c r="Q76" s="8">
        <f t="shared" si="125"/>
        <v>5</v>
      </c>
      <c r="R76" s="8">
        <f t="shared" si="125"/>
        <v>5</v>
      </c>
      <c r="S76" s="8">
        <f t="shared" si="125"/>
        <v>5</v>
      </c>
      <c r="T76" s="8">
        <v>6</v>
      </c>
      <c r="U76" s="8">
        <f t="shared" si="125"/>
        <v>6</v>
      </c>
      <c r="V76" s="8">
        <v>8</v>
      </c>
      <c r="W76" s="8">
        <f t="shared" si="125"/>
        <v>8</v>
      </c>
      <c r="X76" s="8">
        <f t="shared" si="125"/>
        <v>8</v>
      </c>
      <c r="Y76" s="8">
        <f t="shared" si="125"/>
        <v>8</v>
      </c>
      <c r="Z76" s="8">
        <v>9</v>
      </c>
      <c r="AA76" s="8">
        <f t="shared" si="125"/>
        <v>9</v>
      </c>
      <c r="AB76" s="8">
        <f t="shared" si="125"/>
        <v>9</v>
      </c>
      <c r="AC76" s="8">
        <v>11</v>
      </c>
      <c r="AD76" s="8" t="str">
        <f t="shared" si="125"/>
        <v/>
      </c>
      <c r="AE76" s="8" t="str">
        <f t="shared" si="125"/>
        <v/>
      </c>
      <c r="AF76" s="8" t="str">
        <f t="shared" si="125"/>
        <v/>
      </c>
      <c r="AG76" s="8" t="str">
        <f t="shared" si="125"/>
        <v/>
      </c>
      <c r="AH76" s="8" t="str">
        <f t="shared" si="125"/>
        <v/>
      </c>
      <c r="AI76" s="8" t="str">
        <f t="shared" si="125"/>
        <v/>
      </c>
      <c r="AJ76" s="8" t="str">
        <f t="shared" si="125"/>
        <v/>
      </c>
      <c r="AK76" s="8" t="str">
        <f t="shared" si="125"/>
        <v/>
      </c>
      <c r="AL76" s="8" t="str">
        <f t="shared" si="125"/>
        <v/>
      </c>
      <c r="AM76" s="8" t="str">
        <f t="shared" si="125"/>
        <v/>
      </c>
      <c r="AN76" s="8" t="str">
        <f t="shared" si="125"/>
        <v/>
      </c>
      <c r="AO76" s="8" t="str">
        <f>IF(AO$3="","",AN76)</f>
        <v/>
      </c>
      <c r="AP76" s="8" t="str">
        <f>IF(天文館!AP$3="","",AO76)</f>
        <v/>
      </c>
      <c r="AQ76" s="8" t="str">
        <f>IF(天文館!AQ$3="","",AP76)</f>
        <v/>
      </c>
      <c r="AR76" s="8" t="str">
        <f>IF(天文館!AR$3="","",AQ76)</f>
        <v/>
      </c>
      <c r="AS76" s="8" t="str">
        <f>IF(天文館!AS$3="","",AR76)</f>
        <v/>
      </c>
    </row>
    <row r="77" spans="1:45" s="93" customFormat="1" ht="11">
      <c r="A77" s="15">
        <v>3</v>
      </c>
      <c r="B77" s="9" t="s">
        <v>5</v>
      </c>
      <c r="C77" s="74">
        <v>7</v>
      </c>
      <c r="D77" s="8">
        <f>IF(D75="","",(C77+C78))</f>
        <v>7</v>
      </c>
      <c r="E77" s="8">
        <f>IF(E75="","",(D77+D78))</f>
        <v>7</v>
      </c>
      <c r="F77" s="59">
        <f>IF(F75="","",(E77+E78))</f>
        <v>7</v>
      </c>
      <c r="G77" s="8">
        <f>IF(G75="","",(F77+F78))</f>
        <v>7</v>
      </c>
      <c r="H77" s="8">
        <v>5</v>
      </c>
      <c r="I77" s="59">
        <f t="shared" ref="I77:N77" si="126">IF(I75="","",(H77+H78))</f>
        <v>7</v>
      </c>
      <c r="J77" s="8">
        <f t="shared" si="126"/>
        <v>7</v>
      </c>
      <c r="K77" s="8">
        <f t="shared" si="126"/>
        <v>7</v>
      </c>
      <c r="L77" s="8">
        <f t="shared" si="126"/>
        <v>7</v>
      </c>
      <c r="M77" s="59">
        <f t="shared" si="126"/>
        <v>7</v>
      </c>
      <c r="N77" s="8">
        <f t="shared" si="126"/>
        <v>7</v>
      </c>
      <c r="O77" s="8">
        <v>6</v>
      </c>
      <c r="P77" s="8">
        <f t="shared" ref="P77:AN77" si="127">IF(P75="","",(O77+O78))</f>
        <v>6</v>
      </c>
      <c r="Q77" s="8">
        <f t="shared" si="127"/>
        <v>6</v>
      </c>
      <c r="R77" s="8">
        <f t="shared" si="127"/>
        <v>6</v>
      </c>
      <c r="S77" s="8">
        <f t="shared" si="127"/>
        <v>6</v>
      </c>
      <c r="T77" s="8">
        <v>5</v>
      </c>
      <c r="U77" s="8">
        <f t="shared" si="127"/>
        <v>5</v>
      </c>
      <c r="V77" s="8">
        <v>2</v>
      </c>
      <c r="W77" s="8">
        <f t="shared" si="127"/>
        <v>8</v>
      </c>
      <c r="X77" s="8">
        <f t="shared" si="127"/>
        <v>8</v>
      </c>
      <c r="Y77" s="8">
        <f t="shared" si="127"/>
        <v>8</v>
      </c>
      <c r="Z77" s="8">
        <v>6</v>
      </c>
      <c r="AA77" s="8">
        <f t="shared" si="127"/>
        <v>6</v>
      </c>
      <c r="AB77" s="8">
        <f t="shared" si="127"/>
        <v>6</v>
      </c>
      <c r="AC77" s="8">
        <v>4</v>
      </c>
      <c r="AD77" s="8" t="str">
        <f t="shared" si="127"/>
        <v/>
      </c>
      <c r="AE77" s="8" t="str">
        <f t="shared" si="127"/>
        <v/>
      </c>
      <c r="AF77" s="8" t="str">
        <f t="shared" si="127"/>
        <v/>
      </c>
      <c r="AG77" s="8" t="str">
        <f t="shared" si="127"/>
        <v/>
      </c>
      <c r="AH77" s="8" t="str">
        <f t="shared" si="127"/>
        <v/>
      </c>
      <c r="AI77" s="8" t="str">
        <f t="shared" si="127"/>
        <v/>
      </c>
      <c r="AJ77" s="8" t="str">
        <f t="shared" si="127"/>
        <v/>
      </c>
      <c r="AK77" s="8" t="str">
        <f t="shared" si="127"/>
        <v/>
      </c>
      <c r="AL77" s="8" t="str">
        <f t="shared" si="127"/>
        <v/>
      </c>
      <c r="AM77" s="8" t="str">
        <f t="shared" si="127"/>
        <v/>
      </c>
      <c r="AN77" s="8" t="str">
        <f t="shared" si="127"/>
        <v/>
      </c>
      <c r="AO77" s="8" t="str">
        <f t="shared" ref="AO77:AS77" si="128">IF(AO75="","",(AN77+AN78))</f>
        <v/>
      </c>
      <c r="AP77" s="8" t="str">
        <f t="shared" si="128"/>
        <v/>
      </c>
      <c r="AQ77" s="8" t="str">
        <f t="shared" si="128"/>
        <v/>
      </c>
      <c r="AR77" s="8" t="str">
        <f t="shared" si="128"/>
        <v/>
      </c>
      <c r="AS77" s="8" t="str">
        <f t="shared" si="128"/>
        <v/>
      </c>
    </row>
    <row r="78" spans="1:45" s="93" customFormat="1" ht="11">
      <c r="A78" s="14"/>
      <c r="B78" s="9" t="s">
        <v>7</v>
      </c>
      <c r="C78" s="74"/>
      <c r="D78" s="8"/>
      <c r="E78" s="8"/>
      <c r="F78" s="59"/>
      <c r="G78" s="8"/>
      <c r="H78" s="8">
        <v>2</v>
      </c>
      <c r="I78" s="59"/>
      <c r="J78" s="8"/>
      <c r="K78" s="8"/>
      <c r="L78" s="8"/>
      <c r="M78" s="59"/>
      <c r="N78" s="8"/>
      <c r="O78" s="8"/>
      <c r="P78" s="8"/>
      <c r="Q78" s="8"/>
      <c r="R78" s="8"/>
      <c r="S78" s="8"/>
      <c r="T78" s="8"/>
      <c r="U78" s="8"/>
      <c r="V78" s="8">
        <v>6</v>
      </c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s="93" customFormat="1" ht="11">
      <c r="A79" s="7"/>
      <c r="B79" s="9" t="s">
        <v>8</v>
      </c>
      <c r="C79" s="74">
        <v>500</v>
      </c>
      <c r="D79" s="8">
        <f t="shared" ref="D79:AN79" si="129">IF(D75="","",C79)</f>
        <v>500</v>
      </c>
      <c r="E79" s="8">
        <f t="shared" si="129"/>
        <v>500</v>
      </c>
      <c r="F79" s="59">
        <f t="shared" si="129"/>
        <v>500</v>
      </c>
      <c r="G79" s="8">
        <f t="shared" si="129"/>
        <v>500</v>
      </c>
      <c r="H79" s="8">
        <f t="shared" si="129"/>
        <v>500</v>
      </c>
      <c r="I79" s="59">
        <f t="shared" si="129"/>
        <v>500</v>
      </c>
      <c r="J79" s="8">
        <f t="shared" si="129"/>
        <v>500</v>
      </c>
      <c r="K79" s="8">
        <f t="shared" si="129"/>
        <v>500</v>
      </c>
      <c r="L79" s="8">
        <f t="shared" si="129"/>
        <v>500</v>
      </c>
      <c r="M79" s="59">
        <f t="shared" si="129"/>
        <v>500</v>
      </c>
      <c r="N79" s="8">
        <f t="shared" si="129"/>
        <v>500</v>
      </c>
      <c r="O79" s="8">
        <f t="shared" si="129"/>
        <v>500</v>
      </c>
      <c r="P79" s="8">
        <f t="shared" si="129"/>
        <v>500</v>
      </c>
      <c r="Q79" s="8">
        <f t="shared" si="129"/>
        <v>500</v>
      </c>
      <c r="R79" s="8">
        <f t="shared" si="129"/>
        <v>500</v>
      </c>
      <c r="S79" s="8">
        <f t="shared" si="129"/>
        <v>500</v>
      </c>
      <c r="T79" s="8">
        <f t="shared" si="129"/>
        <v>500</v>
      </c>
      <c r="U79" s="8">
        <f t="shared" si="129"/>
        <v>500</v>
      </c>
      <c r="V79" s="8">
        <f t="shared" si="129"/>
        <v>500</v>
      </c>
      <c r="W79" s="8">
        <f t="shared" si="129"/>
        <v>500</v>
      </c>
      <c r="X79" s="8">
        <f t="shared" si="129"/>
        <v>500</v>
      </c>
      <c r="Y79" s="8">
        <f t="shared" si="129"/>
        <v>500</v>
      </c>
      <c r="Z79" s="8">
        <f t="shared" si="129"/>
        <v>500</v>
      </c>
      <c r="AA79" s="8">
        <f t="shared" si="129"/>
        <v>500</v>
      </c>
      <c r="AB79" s="8">
        <f t="shared" si="129"/>
        <v>500</v>
      </c>
      <c r="AC79" s="8">
        <f t="shared" si="129"/>
        <v>500</v>
      </c>
      <c r="AD79" s="8" t="str">
        <f t="shared" si="129"/>
        <v/>
      </c>
      <c r="AE79" s="8" t="str">
        <f t="shared" si="129"/>
        <v/>
      </c>
      <c r="AF79" s="8" t="str">
        <f t="shared" si="129"/>
        <v/>
      </c>
      <c r="AG79" s="8" t="str">
        <f t="shared" si="129"/>
        <v/>
      </c>
      <c r="AH79" s="8" t="str">
        <f t="shared" si="129"/>
        <v/>
      </c>
      <c r="AI79" s="8" t="str">
        <f t="shared" si="129"/>
        <v/>
      </c>
      <c r="AJ79" s="8" t="str">
        <f t="shared" si="129"/>
        <v/>
      </c>
      <c r="AK79" s="8" t="str">
        <f t="shared" si="129"/>
        <v/>
      </c>
      <c r="AL79" s="8" t="str">
        <f t="shared" si="129"/>
        <v/>
      </c>
      <c r="AM79" s="8" t="str">
        <f t="shared" si="129"/>
        <v/>
      </c>
      <c r="AN79" s="8" t="str">
        <f t="shared" si="129"/>
        <v/>
      </c>
      <c r="AO79" s="8" t="str">
        <f t="shared" ref="AO79:AS79" si="130">IF(AO75="","",AN79)</f>
        <v/>
      </c>
      <c r="AP79" s="8" t="str">
        <f t="shared" si="130"/>
        <v/>
      </c>
      <c r="AQ79" s="8" t="str">
        <f t="shared" si="130"/>
        <v/>
      </c>
      <c r="AR79" s="8" t="str">
        <f t="shared" si="130"/>
        <v/>
      </c>
      <c r="AS79" s="8" t="str">
        <f t="shared" si="130"/>
        <v/>
      </c>
    </row>
    <row r="80" spans="1:45" s="94" customFormat="1" ht="11">
      <c r="A80" s="14" t="s">
        <v>9</v>
      </c>
      <c r="B80" s="13" t="s">
        <v>10</v>
      </c>
      <c r="C80" s="75" t="s">
        <v>52</v>
      </c>
      <c r="D80" s="12" t="str">
        <f>IF(D75="","",C80)</f>
        <v>モンチッチマスコット</v>
      </c>
      <c r="E80" s="12" t="str">
        <f>IF(E75="","",D80)</f>
        <v>モンチッチマスコット</v>
      </c>
      <c r="F80" s="131" t="str">
        <f>IF(F75="","",E80)</f>
        <v>モンチッチマスコット</v>
      </c>
      <c r="G80" s="12" t="str">
        <f>IF(G75="","",F80)</f>
        <v>モンチッチマスコット</v>
      </c>
      <c r="H80" s="12" t="s">
        <v>133</v>
      </c>
      <c r="I80" s="131" t="str">
        <f t="shared" ref="I80:AN80" si="131">IF(I75="","",H80)</f>
        <v>柴犬スクイーズ</v>
      </c>
      <c r="J80" s="12" t="str">
        <f t="shared" si="131"/>
        <v>柴犬スクイーズ</v>
      </c>
      <c r="K80" s="12" t="str">
        <f t="shared" si="131"/>
        <v>柴犬スクイーズ</v>
      </c>
      <c r="L80" s="12" t="str">
        <f t="shared" si="131"/>
        <v>柴犬スクイーズ</v>
      </c>
      <c r="M80" s="131" t="str">
        <f t="shared" si="131"/>
        <v>柴犬スクイーズ</v>
      </c>
      <c r="N80" s="12" t="str">
        <f t="shared" si="131"/>
        <v>柴犬スクイーズ</v>
      </c>
      <c r="O80" s="12" t="str">
        <f t="shared" si="131"/>
        <v>柴犬スクイーズ</v>
      </c>
      <c r="P80" s="12" t="str">
        <f t="shared" si="131"/>
        <v>柴犬スクイーズ</v>
      </c>
      <c r="Q80" s="12" t="str">
        <f t="shared" si="131"/>
        <v>柴犬スクイーズ</v>
      </c>
      <c r="R80" s="12" t="str">
        <f t="shared" si="131"/>
        <v>柴犬スクイーズ</v>
      </c>
      <c r="S80" s="12" t="str">
        <f t="shared" si="131"/>
        <v>柴犬スクイーズ</v>
      </c>
      <c r="T80" s="12" t="str">
        <f t="shared" si="131"/>
        <v>柴犬スクイーズ</v>
      </c>
      <c r="U80" s="12" t="str">
        <f t="shared" si="131"/>
        <v>柴犬スクイーズ</v>
      </c>
      <c r="V80" s="12" t="str">
        <f t="shared" si="131"/>
        <v>柴犬スクイーズ</v>
      </c>
      <c r="W80" s="12" t="str">
        <f t="shared" si="131"/>
        <v>柴犬スクイーズ</v>
      </c>
      <c r="X80" s="12" t="str">
        <f t="shared" si="131"/>
        <v>柴犬スクイーズ</v>
      </c>
      <c r="Y80" s="12" t="str">
        <f t="shared" si="131"/>
        <v>柴犬スクイーズ</v>
      </c>
      <c r="Z80" s="12" t="str">
        <f t="shared" si="131"/>
        <v>柴犬スクイーズ</v>
      </c>
      <c r="AA80" s="12" t="str">
        <f t="shared" si="131"/>
        <v>柴犬スクイーズ</v>
      </c>
      <c r="AB80" s="12" t="str">
        <f t="shared" si="131"/>
        <v>柴犬スクイーズ</v>
      </c>
      <c r="AC80" s="12" t="str">
        <f t="shared" si="131"/>
        <v>柴犬スクイーズ</v>
      </c>
      <c r="AD80" s="12" t="str">
        <f t="shared" si="131"/>
        <v/>
      </c>
      <c r="AE80" s="12" t="str">
        <f t="shared" si="131"/>
        <v/>
      </c>
      <c r="AF80" s="12" t="str">
        <f t="shared" si="131"/>
        <v/>
      </c>
      <c r="AG80" s="12" t="str">
        <f t="shared" si="131"/>
        <v/>
      </c>
      <c r="AH80" s="12" t="str">
        <f t="shared" si="131"/>
        <v/>
      </c>
      <c r="AI80" s="12" t="str">
        <f t="shared" si="131"/>
        <v/>
      </c>
      <c r="AJ80" s="12" t="str">
        <f t="shared" si="131"/>
        <v/>
      </c>
      <c r="AK80" s="12" t="str">
        <f t="shared" si="131"/>
        <v/>
      </c>
      <c r="AL80" s="12" t="str">
        <f t="shared" si="131"/>
        <v/>
      </c>
      <c r="AM80" s="12" t="str">
        <f t="shared" si="131"/>
        <v/>
      </c>
      <c r="AN80" s="12" t="str">
        <f t="shared" si="131"/>
        <v/>
      </c>
      <c r="AO80" s="12" t="str">
        <f t="shared" ref="AO80:AS80" si="132">IF(AO75="","",AN80)</f>
        <v/>
      </c>
      <c r="AP80" s="12" t="str">
        <f t="shared" si="132"/>
        <v/>
      </c>
      <c r="AQ80" s="12" t="str">
        <f t="shared" si="132"/>
        <v/>
      </c>
      <c r="AR80" s="12" t="str">
        <f t="shared" si="132"/>
        <v/>
      </c>
      <c r="AS80" s="12" t="str">
        <f t="shared" si="132"/>
        <v/>
      </c>
    </row>
    <row r="81" spans="1:45" s="93" customFormat="1" ht="11">
      <c r="A81" s="7">
        <f>AVERAGE(C82:AS82)*30*100</f>
        <v>19444.444444444445</v>
      </c>
      <c r="B81" s="9" t="s">
        <v>14</v>
      </c>
      <c r="C81" s="74"/>
      <c r="D81" s="8"/>
      <c r="E81" s="8"/>
      <c r="F81" s="59"/>
      <c r="G81" s="8"/>
      <c r="H81" s="8"/>
      <c r="I81" s="59"/>
      <c r="J81" s="8"/>
      <c r="K81" s="8"/>
      <c r="L81" s="8"/>
      <c r="M81" s="59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s="93" customFormat="1" ht="11">
      <c r="A82" s="7">
        <f>SUM(C82:AS82)</f>
        <v>175</v>
      </c>
      <c r="B82" s="6" t="s">
        <v>15</v>
      </c>
      <c r="C82" s="74">
        <v>0</v>
      </c>
      <c r="D82" s="5">
        <f t="shared" ref="D82:AN82" si="133">IF(D75="","",D75-C75)</f>
        <v>0</v>
      </c>
      <c r="E82" s="5">
        <f t="shared" si="133"/>
        <v>14</v>
      </c>
      <c r="F82" s="59">
        <f t="shared" si="133"/>
        <v>0</v>
      </c>
      <c r="G82" s="5">
        <f t="shared" si="133"/>
        <v>0</v>
      </c>
      <c r="H82" s="5">
        <f t="shared" si="133"/>
        <v>34</v>
      </c>
      <c r="I82" s="59">
        <f t="shared" si="133"/>
        <v>0</v>
      </c>
      <c r="J82" s="5">
        <f t="shared" si="133"/>
        <v>0</v>
      </c>
      <c r="K82" s="5">
        <f t="shared" si="133"/>
        <v>0</v>
      </c>
      <c r="L82" s="5">
        <f t="shared" si="133"/>
        <v>8</v>
      </c>
      <c r="M82" s="59">
        <f t="shared" si="133"/>
        <v>0</v>
      </c>
      <c r="N82" s="5">
        <f t="shared" si="133"/>
        <v>0</v>
      </c>
      <c r="O82" s="5">
        <f t="shared" si="133"/>
        <v>13</v>
      </c>
      <c r="P82" s="5">
        <f t="shared" si="133"/>
        <v>0</v>
      </c>
      <c r="Q82" s="5">
        <f t="shared" si="133"/>
        <v>0</v>
      </c>
      <c r="R82" s="5">
        <f t="shared" si="133"/>
        <v>0</v>
      </c>
      <c r="S82" s="5">
        <f t="shared" si="133"/>
        <v>0</v>
      </c>
      <c r="T82" s="5">
        <f t="shared" si="133"/>
        <v>26</v>
      </c>
      <c r="U82" s="5">
        <f t="shared" si="133"/>
        <v>0</v>
      </c>
      <c r="V82" s="5">
        <f t="shared" si="133"/>
        <v>41</v>
      </c>
      <c r="W82" s="5">
        <f t="shared" si="133"/>
        <v>0</v>
      </c>
      <c r="X82" s="5">
        <f t="shared" si="133"/>
        <v>0</v>
      </c>
      <c r="Y82" s="5">
        <f t="shared" si="133"/>
        <v>0</v>
      </c>
      <c r="Z82" s="5">
        <f t="shared" si="133"/>
        <v>23</v>
      </c>
      <c r="AA82" s="5">
        <f t="shared" si="133"/>
        <v>0</v>
      </c>
      <c r="AB82" s="5">
        <f t="shared" si="133"/>
        <v>0</v>
      </c>
      <c r="AC82" s="5">
        <f t="shared" si="133"/>
        <v>16</v>
      </c>
      <c r="AD82" s="5" t="str">
        <f t="shared" si="133"/>
        <v/>
      </c>
      <c r="AE82" s="5" t="str">
        <f t="shared" si="133"/>
        <v/>
      </c>
      <c r="AF82" s="5" t="str">
        <f t="shared" si="133"/>
        <v/>
      </c>
      <c r="AG82" s="5" t="str">
        <f t="shared" si="133"/>
        <v/>
      </c>
      <c r="AH82" s="5" t="str">
        <f t="shared" si="133"/>
        <v/>
      </c>
      <c r="AI82" s="5" t="str">
        <f t="shared" si="133"/>
        <v/>
      </c>
      <c r="AJ82" s="5" t="str">
        <f t="shared" si="133"/>
        <v/>
      </c>
      <c r="AK82" s="5" t="str">
        <f t="shared" si="133"/>
        <v/>
      </c>
      <c r="AL82" s="5" t="str">
        <f t="shared" si="133"/>
        <v/>
      </c>
      <c r="AM82" s="5" t="str">
        <f t="shared" si="133"/>
        <v/>
      </c>
      <c r="AN82" s="5" t="str">
        <f t="shared" si="133"/>
        <v/>
      </c>
      <c r="AO82" s="5" t="str">
        <f t="shared" ref="AO82:AS82" si="134">IF(AO75="","",AO75-AN75)</f>
        <v/>
      </c>
      <c r="AP82" s="5" t="str">
        <f t="shared" si="134"/>
        <v/>
      </c>
      <c r="AQ82" s="5" t="str">
        <f t="shared" si="134"/>
        <v/>
      </c>
      <c r="AR82" s="5" t="str">
        <f t="shared" si="134"/>
        <v/>
      </c>
      <c r="AS82" s="5" t="str">
        <f t="shared" si="134"/>
        <v/>
      </c>
    </row>
    <row r="83" spans="1:45" s="93" customFormat="1" ht="11">
      <c r="A83" s="7">
        <f>SUM(C83:AS83)</f>
        <v>9</v>
      </c>
      <c r="B83" s="6" t="s">
        <v>16</v>
      </c>
      <c r="C83" s="74">
        <v>0</v>
      </c>
      <c r="D83" s="5">
        <f t="shared" ref="D83:AN83" si="135">IF(D76="","",D76-C76)</f>
        <v>0</v>
      </c>
      <c r="E83" s="5">
        <f t="shared" si="135"/>
        <v>0</v>
      </c>
      <c r="F83" s="59">
        <f t="shared" si="135"/>
        <v>0</v>
      </c>
      <c r="G83" s="5">
        <f t="shared" si="135"/>
        <v>0</v>
      </c>
      <c r="H83" s="5">
        <f t="shared" si="135"/>
        <v>2</v>
      </c>
      <c r="I83" s="59">
        <f t="shared" si="135"/>
        <v>0</v>
      </c>
      <c r="J83" s="5">
        <f t="shared" si="135"/>
        <v>0</v>
      </c>
      <c r="K83" s="5">
        <f t="shared" si="135"/>
        <v>0</v>
      </c>
      <c r="L83" s="5">
        <f t="shared" si="135"/>
        <v>1</v>
      </c>
      <c r="M83" s="59">
        <f t="shared" si="135"/>
        <v>0</v>
      </c>
      <c r="N83" s="5">
        <f t="shared" si="135"/>
        <v>0</v>
      </c>
      <c r="O83" s="5">
        <f t="shared" si="135"/>
        <v>0</v>
      </c>
      <c r="P83" s="5">
        <f t="shared" si="135"/>
        <v>0</v>
      </c>
      <c r="Q83" s="5">
        <f t="shared" si="135"/>
        <v>0</v>
      </c>
      <c r="R83" s="5">
        <f t="shared" si="135"/>
        <v>0</v>
      </c>
      <c r="S83" s="5">
        <f t="shared" si="135"/>
        <v>0</v>
      </c>
      <c r="T83" s="5">
        <f t="shared" si="135"/>
        <v>1</v>
      </c>
      <c r="U83" s="5">
        <f t="shared" si="135"/>
        <v>0</v>
      </c>
      <c r="V83" s="5">
        <f t="shared" si="135"/>
        <v>2</v>
      </c>
      <c r="W83" s="5">
        <f t="shared" si="135"/>
        <v>0</v>
      </c>
      <c r="X83" s="5">
        <f t="shared" si="135"/>
        <v>0</v>
      </c>
      <c r="Y83" s="5">
        <f t="shared" si="135"/>
        <v>0</v>
      </c>
      <c r="Z83" s="5">
        <f t="shared" si="135"/>
        <v>1</v>
      </c>
      <c r="AA83" s="5">
        <f t="shared" si="135"/>
        <v>0</v>
      </c>
      <c r="AB83" s="5">
        <f t="shared" si="135"/>
        <v>0</v>
      </c>
      <c r="AC83" s="5">
        <f t="shared" si="135"/>
        <v>2</v>
      </c>
      <c r="AD83" s="5" t="str">
        <f t="shared" si="135"/>
        <v/>
      </c>
      <c r="AE83" s="5" t="str">
        <f t="shared" si="135"/>
        <v/>
      </c>
      <c r="AF83" s="5" t="str">
        <f t="shared" si="135"/>
        <v/>
      </c>
      <c r="AG83" s="5" t="str">
        <f t="shared" si="135"/>
        <v/>
      </c>
      <c r="AH83" s="5" t="str">
        <f t="shared" si="135"/>
        <v/>
      </c>
      <c r="AI83" s="5" t="str">
        <f t="shared" si="135"/>
        <v/>
      </c>
      <c r="AJ83" s="5" t="str">
        <f t="shared" si="135"/>
        <v/>
      </c>
      <c r="AK83" s="5" t="str">
        <f t="shared" si="135"/>
        <v/>
      </c>
      <c r="AL83" s="5" t="str">
        <f t="shared" si="135"/>
        <v/>
      </c>
      <c r="AM83" s="5" t="str">
        <f t="shared" si="135"/>
        <v/>
      </c>
      <c r="AN83" s="5" t="str">
        <f t="shared" si="135"/>
        <v/>
      </c>
      <c r="AO83" s="5" t="str">
        <f t="shared" ref="AO83:AS83" si="136">IF(AO76="","",AO76-AN76)</f>
        <v/>
      </c>
      <c r="AP83" s="5" t="str">
        <f t="shared" si="136"/>
        <v/>
      </c>
      <c r="AQ83" s="5" t="str">
        <f t="shared" si="136"/>
        <v/>
      </c>
      <c r="AR83" s="5" t="str">
        <f t="shared" si="136"/>
        <v/>
      </c>
      <c r="AS83" s="5" t="str">
        <f t="shared" si="136"/>
        <v/>
      </c>
    </row>
    <row r="84" spans="1:45" s="93" customFormat="1" ht="11">
      <c r="A84" s="7">
        <f>SUM(C84:AS84)</f>
        <v>11</v>
      </c>
      <c r="B84" s="6" t="s">
        <v>17</v>
      </c>
      <c r="C84" s="74">
        <v>0</v>
      </c>
      <c r="D84" s="5">
        <f t="shared" ref="D84:AN84" si="137">IF(D77="","",C77+C78-D77)</f>
        <v>0</v>
      </c>
      <c r="E84" s="5">
        <f t="shared" si="137"/>
        <v>0</v>
      </c>
      <c r="F84" s="59">
        <f t="shared" si="137"/>
        <v>0</v>
      </c>
      <c r="G84" s="5">
        <f t="shared" si="137"/>
        <v>0</v>
      </c>
      <c r="H84" s="5">
        <f t="shared" si="137"/>
        <v>2</v>
      </c>
      <c r="I84" s="59">
        <f t="shared" si="137"/>
        <v>0</v>
      </c>
      <c r="J84" s="5">
        <f t="shared" si="137"/>
        <v>0</v>
      </c>
      <c r="K84" s="5">
        <f t="shared" si="137"/>
        <v>0</v>
      </c>
      <c r="L84" s="5">
        <f t="shared" si="137"/>
        <v>0</v>
      </c>
      <c r="M84" s="59">
        <f t="shared" si="137"/>
        <v>0</v>
      </c>
      <c r="N84" s="5">
        <f t="shared" si="137"/>
        <v>0</v>
      </c>
      <c r="O84" s="5">
        <f t="shared" si="137"/>
        <v>1</v>
      </c>
      <c r="P84" s="5">
        <f t="shared" si="137"/>
        <v>0</v>
      </c>
      <c r="Q84" s="5">
        <f t="shared" si="137"/>
        <v>0</v>
      </c>
      <c r="R84" s="5">
        <f t="shared" si="137"/>
        <v>0</v>
      </c>
      <c r="S84" s="5">
        <f t="shared" si="137"/>
        <v>0</v>
      </c>
      <c r="T84" s="5">
        <f t="shared" si="137"/>
        <v>1</v>
      </c>
      <c r="U84" s="5">
        <f t="shared" si="137"/>
        <v>0</v>
      </c>
      <c r="V84" s="5">
        <f t="shared" si="137"/>
        <v>3</v>
      </c>
      <c r="W84" s="5">
        <f t="shared" si="137"/>
        <v>0</v>
      </c>
      <c r="X84" s="5">
        <f t="shared" si="137"/>
        <v>0</v>
      </c>
      <c r="Y84" s="5">
        <f t="shared" si="137"/>
        <v>0</v>
      </c>
      <c r="Z84" s="5">
        <f t="shared" si="137"/>
        <v>2</v>
      </c>
      <c r="AA84" s="5">
        <f t="shared" si="137"/>
        <v>0</v>
      </c>
      <c r="AB84" s="5">
        <f t="shared" si="137"/>
        <v>0</v>
      </c>
      <c r="AC84" s="5">
        <f t="shared" si="137"/>
        <v>2</v>
      </c>
      <c r="AD84" s="5" t="str">
        <f t="shared" si="137"/>
        <v/>
      </c>
      <c r="AE84" s="5" t="str">
        <f t="shared" si="137"/>
        <v/>
      </c>
      <c r="AF84" s="5" t="str">
        <f t="shared" si="137"/>
        <v/>
      </c>
      <c r="AG84" s="5" t="str">
        <f t="shared" si="137"/>
        <v/>
      </c>
      <c r="AH84" s="5" t="str">
        <f t="shared" si="137"/>
        <v/>
      </c>
      <c r="AI84" s="5" t="str">
        <f t="shared" si="137"/>
        <v/>
      </c>
      <c r="AJ84" s="5" t="str">
        <f t="shared" si="137"/>
        <v/>
      </c>
      <c r="AK84" s="5" t="str">
        <f t="shared" si="137"/>
        <v/>
      </c>
      <c r="AL84" s="5" t="str">
        <f t="shared" si="137"/>
        <v/>
      </c>
      <c r="AM84" s="5" t="str">
        <f t="shared" si="137"/>
        <v/>
      </c>
      <c r="AN84" s="5" t="str">
        <f t="shared" si="137"/>
        <v/>
      </c>
      <c r="AO84" s="5" t="str">
        <f t="shared" ref="AO84:AS84" si="138">IF(AO77="","",AN77+AN78-AO77)</f>
        <v/>
      </c>
      <c r="AP84" s="5" t="str">
        <f t="shared" si="138"/>
        <v/>
      </c>
      <c r="AQ84" s="5" t="str">
        <f t="shared" si="138"/>
        <v/>
      </c>
      <c r="AR84" s="5" t="str">
        <f t="shared" si="138"/>
        <v/>
      </c>
      <c r="AS84" s="5" t="str">
        <f t="shared" si="138"/>
        <v/>
      </c>
    </row>
    <row r="85" spans="1:45" s="93" customFormat="1" ht="11">
      <c r="A85" s="7">
        <f>SUM(C85:AS85)</f>
        <v>5500</v>
      </c>
      <c r="B85" s="6" t="s">
        <v>18</v>
      </c>
      <c r="C85" s="74">
        <v>0</v>
      </c>
      <c r="D85" s="5">
        <f t="shared" ref="D85:AN85" si="139">IF(D75="","",D84*D79)</f>
        <v>0</v>
      </c>
      <c r="E85" s="5">
        <f t="shared" si="139"/>
        <v>0</v>
      </c>
      <c r="F85" s="59">
        <f t="shared" si="139"/>
        <v>0</v>
      </c>
      <c r="G85" s="5">
        <f t="shared" si="139"/>
        <v>0</v>
      </c>
      <c r="H85" s="5">
        <f t="shared" si="139"/>
        <v>1000</v>
      </c>
      <c r="I85" s="59">
        <f t="shared" si="139"/>
        <v>0</v>
      </c>
      <c r="J85" s="5">
        <f t="shared" si="139"/>
        <v>0</v>
      </c>
      <c r="K85" s="5">
        <f t="shared" si="139"/>
        <v>0</v>
      </c>
      <c r="L85" s="5">
        <f t="shared" si="139"/>
        <v>0</v>
      </c>
      <c r="M85" s="59">
        <f t="shared" si="139"/>
        <v>0</v>
      </c>
      <c r="N85" s="5">
        <f t="shared" si="139"/>
        <v>0</v>
      </c>
      <c r="O85" s="5">
        <f t="shared" si="139"/>
        <v>500</v>
      </c>
      <c r="P85" s="5">
        <f t="shared" si="139"/>
        <v>0</v>
      </c>
      <c r="Q85" s="5">
        <f t="shared" si="139"/>
        <v>0</v>
      </c>
      <c r="R85" s="5">
        <f t="shared" si="139"/>
        <v>0</v>
      </c>
      <c r="S85" s="5">
        <f t="shared" si="139"/>
        <v>0</v>
      </c>
      <c r="T85" s="5">
        <f t="shared" si="139"/>
        <v>500</v>
      </c>
      <c r="U85" s="5">
        <f t="shared" si="139"/>
        <v>0</v>
      </c>
      <c r="V85" s="5">
        <f t="shared" si="139"/>
        <v>1500</v>
      </c>
      <c r="W85" s="5">
        <f t="shared" si="139"/>
        <v>0</v>
      </c>
      <c r="X85" s="5">
        <f t="shared" si="139"/>
        <v>0</v>
      </c>
      <c r="Y85" s="5">
        <f t="shared" si="139"/>
        <v>0</v>
      </c>
      <c r="Z85" s="5">
        <f t="shared" si="139"/>
        <v>1000</v>
      </c>
      <c r="AA85" s="5">
        <f t="shared" si="139"/>
        <v>0</v>
      </c>
      <c r="AB85" s="5">
        <f t="shared" si="139"/>
        <v>0</v>
      </c>
      <c r="AC85" s="5">
        <f t="shared" si="139"/>
        <v>1000</v>
      </c>
      <c r="AD85" s="5" t="str">
        <f t="shared" si="139"/>
        <v/>
      </c>
      <c r="AE85" s="5" t="str">
        <f t="shared" si="139"/>
        <v/>
      </c>
      <c r="AF85" s="5" t="str">
        <f t="shared" si="139"/>
        <v/>
      </c>
      <c r="AG85" s="5" t="str">
        <f t="shared" si="139"/>
        <v/>
      </c>
      <c r="AH85" s="5" t="str">
        <f t="shared" si="139"/>
        <v/>
      </c>
      <c r="AI85" s="5" t="str">
        <f t="shared" si="139"/>
        <v/>
      </c>
      <c r="AJ85" s="5" t="str">
        <f t="shared" si="139"/>
        <v/>
      </c>
      <c r="AK85" s="5" t="str">
        <f t="shared" si="139"/>
        <v/>
      </c>
      <c r="AL85" s="5" t="str">
        <f t="shared" si="139"/>
        <v/>
      </c>
      <c r="AM85" s="5" t="str">
        <f t="shared" si="139"/>
        <v/>
      </c>
      <c r="AN85" s="5" t="str">
        <f t="shared" si="139"/>
        <v/>
      </c>
      <c r="AO85" s="5" t="str">
        <f t="shared" ref="AO85:AS85" si="140">IF(AO75="","",AO84*AO79)</f>
        <v/>
      </c>
      <c r="AP85" s="5" t="str">
        <f t="shared" si="140"/>
        <v/>
      </c>
      <c r="AQ85" s="5" t="str">
        <f t="shared" si="140"/>
        <v/>
      </c>
      <c r="AR85" s="5" t="str">
        <f t="shared" si="140"/>
        <v/>
      </c>
      <c r="AS85" s="5" t="str">
        <f t="shared" si="140"/>
        <v/>
      </c>
    </row>
    <row r="86" spans="1:45" s="93" customFormat="1" ht="12" thickBot="1">
      <c r="A86" s="4">
        <f>IF(A85="","",A85/(A82*100))</f>
        <v>0.31428571428571428</v>
      </c>
      <c r="B86" s="6" t="s">
        <v>20</v>
      </c>
      <c r="C86" s="76" t="s">
        <v>21</v>
      </c>
      <c r="D86" s="18" t="str">
        <f t="shared" ref="D86:AN86" si="141">IF(D85="","",IF(D85=0,"",D85/(D82*100)))</f>
        <v/>
      </c>
      <c r="E86" s="18" t="str">
        <f t="shared" si="141"/>
        <v/>
      </c>
      <c r="F86" s="62" t="str">
        <f t="shared" si="141"/>
        <v/>
      </c>
      <c r="G86" s="18" t="str">
        <f t="shared" si="141"/>
        <v/>
      </c>
      <c r="H86" s="18">
        <f t="shared" si="141"/>
        <v>0.29411764705882354</v>
      </c>
      <c r="I86" s="62" t="str">
        <f t="shared" si="141"/>
        <v/>
      </c>
      <c r="J86" s="18" t="str">
        <f t="shared" si="141"/>
        <v/>
      </c>
      <c r="K86" s="18" t="str">
        <f t="shared" si="141"/>
        <v/>
      </c>
      <c r="L86" s="18" t="str">
        <f t="shared" si="141"/>
        <v/>
      </c>
      <c r="M86" s="62" t="str">
        <f t="shared" si="141"/>
        <v/>
      </c>
      <c r="N86" s="18" t="str">
        <f t="shared" si="141"/>
        <v/>
      </c>
      <c r="O86" s="18">
        <f t="shared" si="141"/>
        <v>0.38461538461538464</v>
      </c>
      <c r="P86" s="18" t="str">
        <f t="shared" si="141"/>
        <v/>
      </c>
      <c r="Q86" s="18" t="str">
        <f t="shared" si="141"/>
        <v/>
      </c>
      <c r="R86" s="18" t="str">
        <f t="shared" si="141"/>
        <v/>
      </c>
      <c r="S86" s="18" t="str">
        <f t="shared" si="141"/>
        <v/>
      </c>
      <c r="T86" s="18">
        <f t="shared" si="141"/>
        <v>0.19230769230769232</v>
      </c>
      <c r="U86" s="18" t="str">
        <f t="shared" si="141"/>
        <v/>
      </c>
      <c r="V86" s="18">
        <f t="shared" si="141"/>
        <v>0.36585365853658536</v>
      </c>
      <c r="W86" s="18" t="str">
        <f t="shared" si="141"/>
        <v/>
      </c>
      <c r="X86" s="18" t="str">
        <f t="shared" si="141"/>
        <v/>
      </c>
      <c r="Y86" s="18" t="str">
        <f t="shared" si="141"/>
        <v/>
      </c>
      <c r="Z86" s="18">
        <f t="shared" si="141"/>
        <v>0.43478260869565216</v>
      </c>
      <c r="AA86" s="18" t="str">
        <f t="shared" si="141"/>
        <v/>
      </c>
      <c r="AB86" s="18" t="str">
        <f t="shared" si="141"/>
        <v/>
      </c>
      <c r="AC86" s="18">
        <f t="shared" si="141"/>
        <v>0.625</v>
      </c>
      <c r="AD86" s="18" t="str">
        <f t="shared" si="141"/>
        <v/>
      </c>
      <c r="AE86" s="18" t="str">
        <f t="shared" si="141"/>
        <v/>
      </c>
      <c r="AF86" s="18" t="str">
        <f t="shared" si="141"/>
        <v/>
      </c>
      <c r="AG86" s="18" t="str">
        <f t="shared" si="141"/>
        <v/>
      </c>
      <c r="AH86" s="18" t="str">
        <f t="shared" si="141"/>
        <v/>
      </c>
      <c r="AI86" s="18" t="str">
        <f t="shared" si="141"/>
        <v/>
      </c>
      <c r="AJ86" s="18" t="str">
        <f t="shared" si="141"/>
        <v/>
      </c>
      <c r="AK86" s="18" t="str">
        <f t="shared" si="141"/>
        <v/>
      </c>
      <c r="AL86" s="18" t="str">
        <f t="shared" si="141"/>
        <v/>
      </c>
      <c r="AM86" s="18" t="str">
        <f t="shared" si="141"/>
        <v/>
      </c>
      <c r="AN86" s="18" t="str">
        <f t="shared" si="141"/>
        <v/>
      </c>
      <c r="AO86" s="18" t="str">
        <f t="shared" ref="AO86:AS86" si="142">IF(AO85="","",IF(AO85=0,"",AO85/(AO82*100)))</f>
        <v/>
      </c>
      <c r="AP86" s="18" t="str">
        <f t="shared" si="142"/>
        <v/>
      </c>
      <c r="AQ86" s="18" t="str">
        <f t="shared" si="142"/>
        <v/>
      </c>
      <c r="AR86" s="18" t="str">
        <f t="shared" si="142"/>
        <v/>
      </c>
      <c r="AS86" s="18" t="str">
        <f t="shared" si="142"/>
        <v/>
      </c>
    </row>
    <row r="87" spans="1:45" s="93" customFormat="1" ht="11">
      <c r="A87" s="17" t="s">
        <v>130</v>
      </c>
      <c r="B87" s="9" t="s">
        <v>2</v>
      </c>
      <c r="C87" s="74">
        <v>145</v>
      </c>
      <c r="D87" s="8">
        <f>IF(D$3="","",C87)</f>
        <v>145</v>
      </c>
      <c r="E87" s="8">
        <v>205</v>
      </c>
      <c r="F87" s="59">
        <f>IF(F$3="","",E87)</f>
        <v>205</v>
      </c>
      <c r="G87" s="8">
        <f>IF(G$3="","",F87)</f>
        <v>205</v>
      </c>
      <c r="H87" s="8">
        <v>250</v>
      </c>
      <c r="I87" s="59">
        <f t="shared" ref="I87:K88" si="143">IF(I$3="","",H87)</f>
        <v>250</v>
      </c>
      <c r="J87" s="8">
        <f t="shared" si="143"/>
        <v>250</v>
      </c>
      <c r="K87" s="8">
        <f t="shared" si="143"/>
        <v>250</v>
      </c>
      <c r="L87" s="8">
        <v>265</v>
      </c>
      <c r="M87" s="59">
        <f>IF(M$3="","",L87)</f>
        <v>265</v>
      </c>
      <c r="N87" s="8">
        <f>IF(N$3="","",M87)</f>
        <v>265</v>
      </c>
      <c r="O87" s="8">
        <v>291</v>
      </c>
      <c r="P87" s="8">
        <f t="shared" ref="P87:AN87" si="144">IF(P$3="","",O87)</f>
        <v>291</v>
      </c>
      <c r="Q87" s="8">
        <f t="shared" si="144"/>
        <v>291</v>
      </c>
      <c r="R87" s="8">
        <f t="shared" si="144"/>
        <v>291</v>
      </c>
      <c r="S87" s="8">
        <f t="shared" si="144"/>
        <v>291</v>
      </c>
      <c r="T87" s="8">
        <v>322</v>
      </c>
      <c r="U87" s="8">
        <f t="shared" si="144"/>
        <v>322</v>
      </c>
      <c r="V87" s="8">
        <v>382</v>
      </c>
      <c r="W87" s="8">
        <f t="shared" si="144"/>
        <v>382</v>
      </c>
      <c r="X87" s="8">
        <f t="shared" si="144"/>
        <v>382</v>
      </c>
      <c r="Y87" s="8">
        <f t="shared" si="144"/>
        <v>382</v>
      </c>
      <c r="Z87" s="8">
        <v>396</v>
      </c>
      <c r="AA87" s="8">
        <f t="shared" si="144"/>
        <v>396</v>
      </c>
      <c r="AB87" s="8">
        <f t="shared" si="144"/>
        <v>396</v>
      </c>
      <c r="AC87" s="8">
        <v>400</v>
      </c>
      <c r="AD87" s="8" t="str">
        <f t="shared" si="144"/>
        <v/>
      </c>
      <c r="AE87" s="8" t="str">
        <f t="shared" si="144"/>
        <v/>
      </c>
      <c r="AF87" s="8" t="str">
        <f t="shared" si="144"/>
        <v/>
      </c>
      <c r="AG87" s="8" t="str">
        <f t="shared" si="144"/>
        <v/>
      </c>
      <c r="AH87" s="8" t="str">
        <f t="shared" si="144"/>
        <v/>
      </c>
      <c r="AI87" s="8" t="str">
        <f t="shared" si="144"/>
        <v/>
      </c>
      <c r="AJ87" s="8" t="str">
        <f t="shared" si="144"/>
        <v/>
      </c>
      <c r="AK87" s="8" t="str">
        <f t="shared" si="144"/>
        <v/>
      </c>
      <c r="AL87" s="8" t="str">
        <f t="shared" si="144"/>
        <v/>
      </c>
      <c r="AM87" s="8" t="str">
        <f t="shared" si="144"/>
        <v/>
      </c>
      <c r="AN87" s="8" t="str">
        <f t="shared" si="144"/>
        <v/>
      </c>
      <c r="AO87" s="8" t="str">
        <f t="shared" ref="AO87:AS87" si="145">IF(AO$3="","",AN87)</f>
        <v/>
      </c>
      <c r="AP87" s="8" t="str">
        <f t="shared" si="145"/>
        <v/>
      </c>
      <c r="AQ87" s="8" t="str">
        <f t="shared" si="145"/>
        <v/>
      </c>
      <c r="AR87" s="8" t="str">
        <f t="shared" si="145"/>
        <v/>
      </c>
      <c r="AS87" s="8" t="str">
        <f t="shared" si="145"/>
        <v/>
      </c>
    </row>
    <row r="88" spans="1:45" s="93" customFormat="1" ht="11">
      <c r="A88" s="16" t="str">
        <f>A76</f>
        <v>BUZZ＃2</v>
      </c>
      <c r="B88" s="9" t="s">
        <v>4</v>
      </c>
      <c r="C88" s="74">
        <v>14</v>
      </c>
      <c r="D88" s="8">
        <f>IF(天文館!D$3="","",C88)</f>
        <v>14</v>
      </c>
      <c r="E88" s="8">
        <v>19</v>
      </c>
      <c r="F88" s="59">
        <f>IF(F$3="","",E88)</f>
        <v>19</v>
      </c>
      <c r="G88" s="8">
        <f>IF(G$3="","",F88)</f>
        <v>19</v>
      </c>
      <c r="H88" s="8">
        <v>20</v>
      </c>
      <c r="I88" s="59">
        <f t="shared" si="143"/>
        <v>20</v>
      </c>
      <c r="J88" s="8">
        <f t="shared" si="143"/>
        <v>20</v>
      </c>
      <c r="K88" s="8">
        <f t="shared" si="143"/>
        <v>20</v>
      </c>
      <c r="L88" s="8">
        <f>IF(L$3="","",K88)</f>
        <v>20</v>
      </c>
      <c r="M88" s="59">
        <f>IF(M$3="","",L88)</f>
        <v>20</v>
      </c>
      <c r="N88" s="8">
        <f>IF(N$3="","",M88)</f>
        <v>20</v>
      </c>
      <c r="O88" s="8">
        <v>21</v>
      </c>
      <c r="P88" s="8">
        <f t="shared" ref="P88:AN88" si="146">IF(P$3="","",O88)</f>
        <v>21</v>
      </c>
      <c r="Q88" s="8">
        <f t="shared" si="146"/>
        <v>21</v>
      </c>
      <c r="R88" s="8">
        <f t="shared" si="146"/>
        <v>21</v>
      </c>
      <c r="S88" s="8">
        <f t="shared" si="146"/>
        <v>21</v>
      </c>
      <c r="T88" s="8">
        <f t="shared" si="146"/>
        <v>21</v>
      </c>
      <c r="U88" s="8">
        <f t="shared" si="146"/>
        <v>21</v>
      </c>
      <c r="V88" s="8">
        <v>22</v>
      </c>
      <c r="W88" s="8">
        <f t="shared" si="146"/>
        <v>22</v>
      </c>
      <c r="X88" s="8">
        <f t="shared" si="146"/>
        <v>22</v>
      </c>
      <c r="Y88" s="8">
        <f t="shared" si="146"/>
        <v>22</v>
      </c>
      <c r="Z88" s="8">
        <v>23</v>
      </c>
      <c r="AA88" s="8">
        <f t="shared" si="146"/>
        <v>23</v>
      </c>
      <c r="AB88" s="8">
        <f t="shared" si="146"/>
        <v>23</v>
      </c>
      <c r="AC88" s="8">
        <f t="shared" si="146"/>
        <v>23</v>
      </c>
      <c r="AD88" s="8" t="str">
        <f t="shared" si="146"/>
        <v/>
      </c>
      <c r="AE88" s="8" t="str">
        <f t="shared" si="146"/>
        <v/>
      </c>
      <c r="AF88" s="8" t="str">
        <f t="shared" si="146"/>
        <v/>
      </c>
      <c r="AG88" s="8" t="str">
        <f t="shared" si="146"/>
        <v/>
      </c>
      <c r="AH88" s="8" t="str">
        <f t="shared" si="146"/>
        <v/>
      </c>
      <c r="AI88" s="8" t="str">
        <f t="shared" si="146"/>
        <v/>
      </c>
      <c r="AJ88" s="8" t="str">
        <f t="shared" si="146"/>
        <v/>
      </c>
      <c r="AK88" s="8" t="str">
        <f t="shared" si="146"/>
        <v/>
      </c>
      <c r="AL88" s="8" t="str">
        <f t="shared" si="146"/>
        <v/>
      </c>
      <c r="AM88" s="8" t="str">
        <f t="shared" si="146"/>
        <v/>
      </c>
      <c r="AN88" s="8" t="str">
        <f t="shared" si="146"/>
        <v/>
      </c>
      <c r="AO88" s="8" t="str">
        <f>IF(AO$3="","",AN88)</f>
        <v/>
      </c>
      <c r="AP88" s="8" t="str">
        <f>IF(天文館!AP$3="","",AO88)</f>
        <v/>
      </c>
      <c r="AQ88" s="8" t="str">
        <f>IF(天文館!AQ$3="","",AP88)</f>
        <v/>
      </c>
      <c r="AR88" s="8" t="str">
        <f>IF(天文館!AR$3="","",AQ88)</f>
        <v/>
      </c>
      <c r="AS88" s="8" t="str">
        <f>IF(天文館!AS$3="","",AR88)</f>
        <v/>
      </c>
    </row>
    <row r="89" spans="1:45" s="93" customFormat="1" ht="11">
      <c r="A89" s="15">
        <v>4</v>
      </c>
      <c r="B89" s="9" t="s">
        <v>5</v>
      </c>
      <c r="C89" s="74">
        <v>22</v>
      </c>
      <c r="D89" s="8">
        <f>IF(D87="","",(C89+C90))</f>
        <v>22</v>
      </c>
      <c r="E89" s="8">
        <v>21</v>
      </c>
      <c r="F89" s="59">
        <f t="shared" ref="F89:N89" si="147">IF(F87="","",(E89+E90))</f>
        <v>21</v>
      </c>
      <c r="G89" s="8">
        <f t="shared" si="147"/>
        <v>21</v>
      </c>
      <c r="H89" s="8">
        <f t="shared" si="147"/>
        <v>21</v>
      </c>
      <c r="I89" s="59">
        <f t="shared" si="147"/>
        <v>21</v>
      </c>
      <c r="J89" s="8">
        <f t="shared" si="147"/>
        <v>21</v>
      </c>
      <c r="K89" s="8">
        <f t="shared" si="147"/>
        <v>21</v>
      </c>
      <c r="L89" s="8">
        <f t="shared" si="147"/>
        <v>21</v>
      </c>
      <c r="M89" s="59">
        <f t="shared" si="147"/>
        <v>31</v>
      </c>
      <c r="N89" s="8">
        <f t="shared" si="147"/>
        <v>31</v>
      </c>
      <c r="O89" s="8">
        <v>30</v>
      </c>
      <c r="P89" s="8">
        <f t="shared" ref="P89:AN89" si="148">IF(P87="","",(O89+O90))</f>
        <v>30</v>
      </c>
      <c r="Q89" s="8">
        <f t="shared" si="148"/>
        <v>30</v>
      </c>
      <c r="R89" s="8">
        <f t="shared" si="148"/>
        <v>30</v>
      </c>
      <c r="S89" s="8">
        <f t="shared" si="148"/>
        <v>30</v>
      </c>
      <c r="T89" s="8">
        <f t="shared" si="148"/>
        <v>30</v>
      </c>
      <c r="U89" s="8">
        <f t="shared" si="148"/>
        <v>30</v>
      </c>
      <c r="V89" s="8">
        <v>29</v>
      </c>
      <c r="W89" s="8">
        <f t="shared" si="148"/>
        <v>29</v>
      </c>
      <c r="X89" s="8">
        <f t="shared" si="148"/>
        <v>29</v>
      </c>
      <c r="Y89" s="8">
        <f t="shared" si="148"/>
        <v>29</v>
      </c>
      <c r="Z89" s="8">
        <v>28</v>
      </c>
      <c r="AA89" s="8">
        <f t="shared" si="148"/>
        <v>28</v>
      </c>
      <c r="AB89" s="8">
        <f t="shared" si="148"/>
        <v>28</v>
      </c>
      <c r="AC89" s="8">
        <f t="shared" si="148"/>
        <v>28</v>
      </c>
      <c r="AD89" s="8" t="str">
        <f t="shared" si="148"/>
        <v/>
      </c>
      <c r="AE89" s="8" t="str">
        <f t="shared" si="148"/>
        <v/>
      </c>
      <c r="AF89" s="8" t="str">
        <f t="shared" si="148"/>
        <v/>
      </c>
      <c r="AG89" s="8" t="str">
        <f t="shared" si="148"/>
        <v/>
      </c>
      <c r="AH89" s="8" t="str">
        <f t="shared" si="148"/>
        <v/>
      </c>
      <c r="AI89" s="8" t="str">
        <f t="shared" si="148"/>
        <v/>
      </c>
      <c r="AJ89" s="8" t="str">
        <f t="shared" si="148"/>
        <v/>
      </c>
      <c r="AK89" s="8" t="str">
        <f t="shared" si="148"/>
        <v/>
      </c>
      <c r="AL89" s="8" t="str">
        <f t="shared" si="148"/>
        <v/>
      </c>
      <c r="AM89" s="8" t="str">
        <f t="shared" si="148"/>
        <v/>
      </c>
      <c r="AN89" s="8" t="str">
        <f t="shared" si="148"/>
        <v/>
      </c>
      <c r="AO89" s="8" t="str">
        <f t="shared" ref="AO89:AS89" si="149">IF(AO87="","",(AN89+AN90))</f>
        <v/>
      </c>
      <c r="AP89" s="8" t="str">
        <f t="shared" si="149"/>
        <v/>
      </c>
      <c r="AQ89" s="8" t="str">
        <f t="shared" si="149"/>
        <v/>
      </c>
      <c r="AR89" s="8" t="str">
        <f t="shared" si="149"/>
        <v/>
      </c>
      <c r="AS89" s="8" t="str">
        <f t="shared" si="149"/>
        <v/>
      </c>
    </row>
    <row r="90" spans="1:45" s="93" customFormat="1" ht="11">
      <c r="A90" s="14"/>
      <c r="B90" s="9" t="s">
        <v>7</v>
      </c>
      <c r="C90" s="74"/>
      <c r="D90" s="8"/>
      <c r="E90" s="8"/>
      <c r="F90" s="59"/>
      <c r="G90" s="8"/>
      <c r="H90" s="8"/>
      <c r="I90" s="59"/>
      <c r="J90" s="8"/>
      <c r="K90" s="8"/>
      <c r="L90" s="8">
        <v>10</v>
      </c>
      <c r="M90" s="59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s="93" customFormat="1" ht="11">
      <c r="A91" s="7"/>
      <c r="B91" s="9" t="s">
        <v>8</v>
      </c>
      <c r="C91" s="74">
        <v>500</v>
      </c>
      <c r="D91" s="8">
        <f t="shared" ref="D91:AN91" si="150">IF(D87="","",C91)</f>
        <v>500</v>
      </c>
      <c r="E91" s="8">
        <f t="shared" si="150"/>
        <v>500</v>
      </c>
      <c r="F91" s="59">
        <f t="shared" si="150"/>
        <v>500</v>
      </c>
      <c r="G91" s="8">
        <f t="shared" si="150"/>
        <v>500</v>
      </c>
      <c r="H91" s="8">
        <f t="shared" si="150"/>
        <v>500</v>
      </c>
      <c r="I91" s="59">
        <f t="shared" si="150"/>
        <v>500</v>
      </c>
      <c r="J91" s="8">
        <f t="shared" si="150"/>
        <v>500</v>
      </c>
      <c r="K91" s="8">
        <f t="shared" si="150"/>
        <v>500</v>
      </c>
      <c r="L91" s="8">
        <f t="shared" si="150"/>
        <v>500</v>
      </c>
      <c r="M91" s="59">
        <f t="shared" si="150"/>
        <v>500</v>
      </c>
      <c r="N91" s="8">
        <f t="shared" si="150"/>
        <v>500</v>
      </c>
      <c r="O91" s="8">
        <f t="shared" si="150"/>
        <v>500</v>
      </c>
      <c r="P91" s="8">
        <f t="shared" si="150"/>
        <v>500</v>
      </c>
      <c r="Q91" s="8">
        <f t="shared" si="150"/>
        <v>500</v>
      </c>
      <c r="R91" s="8">
        <f t="shared" si="150"/>
        <v>500</v>
      </c>
      <c r="S91" s="8">
        <f t="shared" si="150"/>
        <v>500</v>
      </c>
      <c r="T91" s="8">
        <f t="shared" si="150"/>
        <v>500</v>
      </c>
      <c r="U91" s="8">
        <f t="shared" si="150"/>
        <v>500</v>
      </c>
      <c r="V91" s="8">
        <f t="shared" si="150"/>
        <v>500</v>
      </c>
      <c r="W91" s="8">
        <f t="shared" si="150"/>
        <v>500</v>
      </c>
      <c r="X91" s="8">
        <f t="shared" si="150"/>
        <v>500</v>
      </c>
      <c r="Y91" s="8">
        <f t="shared" si="150"/>
        <v>500</v>
      </c>
      <c r="Z91" s="8">
        <f t="shared" si="150"/>
        <v>500</v>
      </c>
      <c r="AA91" s="8">
        <f t="shared" si="150"/>
        <v>500</v>
      </c>
      <c r="AB91" s="8">
        <f t="shared" si="150"/>
        <v>500</v>
      </c>
      <c r="AC91" s="8">
        <f t="shared" si="150"/>
        <v>500</v>
      </c>
      <c r="AD91" s="8" t="str">
        <f t="shared" si="150"/>
        <v/>
      </c>
      <c r="AE91" s="8" t="str">
        <f t="shared" si="150"/>
        <v/>
      </c>
      <c r="AF91" s="8" t="str">
        <f t="shared" si="150"/>
        <v/>
      </c>
      <c r="AG91" s="8" t="str">
        <f t="shared" si="150"/>
        <v/>
      </c>
      <c r="AH91" s="8" t="str">
        <f t="shared" si="150"/>
        <v/>
      </c>
      <c r="AI91" s="8" t="str">
        <f t="shared" si="150"/>
        <v/>
      </c>
      <c r="AJ91" s="8" t="str">
        <f t="shared" si="150"/>
        <v/>
      </c>
      <c r="AK91" s="8" t="str">
        <f t="shared" si="150"/>
        <v/>
      </c>
      <c r="AL91" s="8" t="str">
        <f t="shared" si="150"/>
        <v/>
      </c>
      <c r="AM91" s="8" t="str">
        <f t="shared" si="150"/>
        <v/>
      </c>
      <c r="AN91" s="8" t="str">
        <f t="shared" si="150"/>
        <v/>
      </c>
      <c r="AO91" s="8" t="str">
        <f t="shared" ref="AO91:AS91" si="151">IF(AO87="","",AN91)</f>
        <v/>
      </c>
      <c r="AP91" s="8" t="str">
        <f t="shared" si="151"/>
        <v/>
      </c>
      <c r="AQ91" s="8" t="str">
        <f t="shared" si="151"/>
        <v/>
      </c>
      <c r="AR91" s="8" t="str">
        <f t="shared" si="151"/>
        <v/>
      </c>
      <c r="AS91" s="8" t="str">
        <f t="shared" si="151"/>
        <v/>
      </c>
    </row>
    <row r="92" spans="1:45" s="94" customFormat="1" ht="11">
      <c r="A92" s="14" t="s">
        <v>9</v>
      </c>
      <c r="B92" s="13" t="s">
        <v>10</v>
      </c>
      <c r="C92" s="75" t="s">
        <v>110</v>
      </c>
      <c r="D92" s="12" t="str">
        <f t="shared" ref="D92:AN92" si="152">IF(D87="","",C92)</f>
        <v>キティストーン</v>
      </c>
      <c r="E92" s="12" t="str">
        <f t="shared" si="152"/>
        <v>キティストーン</v>
      </c>
      <c r="F92" s="131" t="str">
        <f t="shared" si="152"/>
        <v>キティストーン</v>
      </c>
      <c r="G92" s="12" t="str">
        <f t="shared" si="152"/>
        <v>キティストーン</v>
      </c>
      <c r="H92" s="12" t="str">
        <f t="shared" si="152"/>
        <v>キティストーン</v>
      </c>
      <c r="I92" s="131" t="str">
        <f t="shared" si="152"/>
        <v>キティストーン</v>
      </c>
      <c r="J92" s="12" t="str">
        <f t="shared" si="152"/>
        <v>キティストーン</v>
      </c>
      <c r="K92" s="12" t="str">
        <f t="shared" si="152"/>
        <v>キティストーン</v>
      </c>
      <c r="L92" s="12" t="str">
        <f t="shared" si="152"/>
        <v>キティストーン</v>
      </c>
      <c r="M92" s="131" t="str">
        <f t="shared" si="152"/>
        <v>キティストーン</v>
      </c>
      <c r="N92" s="12" t="str">
        <f t="shared" si="152"/>
        <v>キティストーン</v>
      </c>
      <c r="O92" s="12" t="str">
        <f t="shared" si="152"/>
        <v>キティストーン</v>
      </c>
      <c r="P92" s="12" t="str">
        <f t="shared" si="152"/>
        <v>キティストーン</v>
      </c>
      <c r="Q92" s="12" t="str">
        <f t="shared" si="152"/>
        <v>キティストーン</v>
      </c>
      <c r="R92" s="12" t="str">
        <f t="shared" si="152"/>
        <v>キティストーン</v>
      </c>
      <c r="S92" s="12" t="str">
        <f t="shared" si="152"/>
        <v>キティストーン</v>
      </c>
      <c r="T92" s="12" t="str">
        <f t="shared" si="152"/>
        <v>キティストーン</v>
      </c>
      <c r="U92" s="12" t="str">
        <f t="shared" si="152"/>
        <v>キティストーン</v>
      </c>
      <c r="V92" s="12" t="str">
        <f t="shared" si="152"/>
        <v>キティストーン</v>
      </c>
      <c r="W92" s="12" t="str">
        <f t="shared" si="152"/>
        <v>キティストーン</v>
      </c>
      <c r="X92" s="12" t="str">
        <f t="shared" si="152"/>
        <v>キティストーン</v>
      </c>
      <c r="Y92" s="12" t="str">
        <f t="shared" si="152"/>
        <v>キティストーン</v>
      </c>
      <c r="Z92" s="12" t="str">
        <f t="shared" si="152"/>
        <v>キティストーン</v>
      </c>
      <c r="AA92" s="12" t="str">
        <f t="shared" si="152"/>
        <v>キティストーン</v>
      </c>
      <c r="AB92" s="12" t="str">
        <f t="shared" si="152"/>
        <v>キティストーン</v>
      </c>
      <c r="AC92" s="12" t="str">
        <f t="shared" si="152"/>
        <v>キティストーン</v>
      </c>
      <c r="AD92" s="12" t="str">
        <f t="shared" si="152"/>
        <v/>
      </c>
      <c r="AE92" s="12" t="str">
        <f t="shared" si="152"/>
        <v/>
      </c>
      <c r="AF92" s="12" t="str">
        <f t="shared" si="152"/>
        <v/>
      </c>
      <c r="AG92" s="12" t="str">
        <f t="shared" si="152"/>
        <v/>
      </c>
      <c r="AH92" s="12" t="str">
        <f t="shared" si="152"/>
        <v/>
      </c>
      <c r="AI92" s="12" t="str">
        <f t="shared" si="152"/>
        <v/>
      </c>
      <c r="AJ92" s="12" t="str">
        <f t="shared" si="152"/>
        <v/>
      </c>
      <c r="AK92" s="12" t="str">
        <f t="shared" si="152"/>
        <v/>
      </c>
      <c r="AL92" s="12" t="str">
        <f t="shared" si="152"/>
        <v/>
      </c>
      <c r="AM92" s="12" t="str">
        <f t="shared" si="152"/>
        <v/>
      </c>
      <c r="AN92" s="12" t="str">
        <f t="shared" si="152"/>
        <v/>
      </c>
      <c r="AO92" s="12" t="str">
        <f t="shared" ref="AO92:AS92" si="153">IF(AO87="","",AN92)</f>
        <v/>
      </c>
      <c r="AP92" s="12" t="str">
        <f t="shared" si="153"/>
        <v/>
      </c>
      <c r="AQ92" s="12" t="str">
        <f t="shared" si="153"/>
        <v/>
      </c>
      <c r="AR92" s="12" t="str">
        <f t="shared" si="153"/>
        <v/>
      </c>
      <c r="AS92" s="12" t="str">
        <f t="shared" si="153"/>
        <v/>
      </c>
    </row>
    <row r="93" spans="1:45" s="93" customFormat="1" ht="11">
      <c r="A93" s="7">
        <f>AVERAGE(C94:AS94)*30*100</f>
        <v>28333.333333333332</v>
      </c>
      <c r="B93" s="9" t="s">
        <v>14</v>
      </c>
      <c r="C93" s="74"/>
      <c r="D93" s="8"/>
      <c r="E93" s="8"/>
      <c r="F93" s="59"/>
      <c r="G93" s="8"/>
      <c r="H93" s="8"/>
      <c r="I93" s="59"/>
      <c r="J93" s="8"/>
      <c r="K93" s="8"/>
      <c r="L93" s="8"/>
      <c r="M93" s="59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s="93" customFormat="1" ht="11">
      <c r="A94" s="7">
        <f>SUM(C94:AS94)</f>
        <v>255</v>
      </c>
      <c r="B94" s="6" t="s">
        <v>15</v>
      </c>
      <c r="C94" s="74">
        <v>0</v>
      </c>
      <c r="D94" s="5">
        <f t="shared" ref="D94:AN94" si="154">IF(D87="","",D87-C87)</f>
        <v>0</v>
      </c>
      <c r="E94" s="5">
        <f t="shared" si="154"/>
        <v>60</v>
      </c>
      <c r="F94" s="59">
        <f t="shared" si="154"/>
        <v>0</v>
      </c>
      <c r="G94" s="5">
        <f t="shared" si="154"/>
        <v>0</v>
      </c>
      <c r="H94" s="5">
        <f t="shared" si="154"/>
        <v>45</v>
      </c>
      <c r="I94" s="59">
        <f t="shared" si="154"/>
        <v>0</v>
      </c>
      <c r="J94" s="5">
        <f t="shared" si="154"/>
        <v>0</v>
      </c>
      <c r="K94" s="5">
        <f t="shared" si="154"/>
        <v>0</v>
      </c>
      <c r="L94" s="5">
        <f t="shared" si="154"/>
        <v>15</v>
      </c>
      <c r="M94" s="59">
        <f t="shared" si="154"/>
        <v>0</v>
      </c>
      <c r="N94" s="5">
        <f t="shared" si="154"/>
        <v>0</v>
      </c>
      <c r="O94" s="5">
        <f t="shared" si="154"/>
        <v>26</v>
      </c>
      <c r="P94" s="5">
        <f t="shared" si="154"/>
        <v>0</v>
      </c>
      <c r="Q94" s="5">
        <f t="shared" si="154"/>
        <v>0</v>
      </c>
      <c r="R94" s="5">
        <f t="shared" si="154"/>
        <v>0</v>
      </c>
      <c r="S94" s="5">
        <f t="shared" si="154"/>
        <v>0</v>
      </c>
      <c r="T94" s="5">
        <f t="shared" si="154"/>
        <v>31</v>
      </c>
      <c r="U94" s="5">
        <f t="shared" si="154"/>
        <v>0</v>
      </c>
      <c r="V94" s="5">
        <f t="shared" si="154"/>
        <v>60</v>
      </c>
      <c r="W94" s="5">
        <f t="shared" si="154"/>
        <v>0</v>
      </c>
      <c r="X94" s="5">
        <f t="shared" si="154"/>
        <v>0</v>
      </c>
      <c r="Y94" s="5">
        <f t="shared" si="154"/>
        <v>0</v>
      </c>
      <c r="Z94" s="5">
        <f t="shared" si="154"/>
        <v>14</v>
      </c>
      <c r="AA94" s="5">
        <f t="shared" si="154"/>
        <v>0</v>
      </c>
      <c r="AB94" s="5">
        <f t="shared" si="154"/>
        <v>0</v>
      </c>
      <c r="AC94" s="5">
        <f t="shared" si="154"/>
        <v>4</v>
      </c>
      <c r="AD94" s="5" t="str">
        <f t="shared" si="154"/>
        <v/>
      </c>
      <c r="AE94" s="5" t="str">
        <f t="shared" si="154"/>
        <v/>
      </c>
      <c r="AF94" s="5" t="str">
        <f t="shared" si="154"/>
        <v/>
      </c>
      <c r="AG94" s="5" t="str">
        <f t="shared" si="154"/>
        <v/>
      </c>
      <c r="AH94" s="5" t="str">
        <f t="shared" si="154"/>
        <v/>
      </c>
      <c r="AI94" s="5" t="str">
        <f t="shared" si="154"/>
        <v/>
      </c>
      <c r="AJ94" s="5" t="str">
        <f t="shared" si="154"/>
        <v/>
      </c>
      <c r="AK94" s="5" t="str">
        <f t="shared" si="154"/>
        <v/>
      </c>
      <c r="AL94" s="5" t="str">
        <f t="shared" si="154"/>
        <v/>
      </c>
      <c r="AM94" s="5" t="str">
        <f t="shared" si="154"/>
        <v/>
      </c>
      <c r="AN94" s="5" t="str">
        <f t="shared" si="154"/>
        <v/>
      </c>
      <c r="AO94" s="5" t="str">
        <f t="shared" ref="AO94:AS94" si="155">IF(AO87="","",AO87-AN87)</f>
        <v/>
      </c>
      <c r="AP94" s="5" t="str">
        <f t="shared" si="155"/>
        <v/>
      </c>
      <c r="AQ94" s="5" t="str">
        <f t="shared" si="155"/>
        <v/>
      </c>
      <c r="AR94" s="5" t="str">
        <f t="shared" si="155"/>
        <v/>
      </c>
      <c r="AS94" s="5" t="str">
        <f t="shared" si="155"/>
        <v/>
      </c>
    </row>
    <row r="95" spans="1:45" s="93" customFormat="1" ht="11">
      <c r="A95" s="7">
        <f>SUM(C95:AS95)</f>
        <v>9</v>
      </c>
      <c r="B95" s="6" t="s">
        <v>16</v>
      </c>
      <c r="C95" s="74">
        <v>0</v>
      </c>
      <c r="D95" s="5">
        <f t="shared" ref="D95:AN95" si="156">IF(D88="","",D88-C88)</f>
        <v>0</v>
      </c>
      <c r="E95" s="5">
        <f t="shared" si="156"/>
        <v>5</v>
      </c>
      <c r="F95" s="59">
        <f t="shared" si="156"/>
        <v>0</v>
      </c>
      <c r="G95" s="5">
        <f t="shared" si="156"/>
        <v>0</v>
      </c>
      <c r="H95" s="5">
        <f t="shared" si="156"/>
        <v>1</v>
      </c>
      <c r="I95" s="59">
        <f t="shared" si="156"/>
        <v>0</v>
      </c>
      <c r="J95" s="5">
        <f t="shared" si="156"/>
        <v>0</v>
      </c>
      <c r="K95" s="5">
        <f t="shared" si="156"/>
        <v>0</v>
      </c>
      <c r="L95" s="5">
        <f t="shared" si="156"/>
        <v>0</v>
      </c>
      <c r="M95" s="59">
        <f t="shared" si="156"/>
        <v>0</v>
      </c>
      <c r="N95" s="5">
        <f t="shared" si="156"/>
        <v>0</v>
      </c>
      <c r="O95" s="5">
        <f t="shared" si="156"/>
        <v>1</v>
      </c>
      <c r="P95" s="5">
        <f t="shared" si="156"/>
        <v>0</v>
      </c>
      <c r="Q95" s="5">
        <f t="shared" si="156"/>
        <v>0</v>
      </c>
      <c r="R95" s="5">
        <f t="shared" si="156"/>
        <v>0</v>
      </c>
      <c r="S95" s="5">
        <f t="shared" si="156"/>
        <v>0</v>
      </c>
      <c r="T95" s="5">
        <f t="shared" si="156"/>
        <v>0</v>
      </c>
      <c r="U95" s="5">
        <f t="shared" si="156"/>
        <v>0</v>
      </c>
      <c r="V95" s="5">
        <f t="shared" si="156"/>
        <v>1</v>
      </c>
      <c r="W95" s="5">
        <f t="shared" si="156"/>
        <v>0</v>
      </c>
      <c r="X95" s="5">
        <f t="shared" si="156"/>
        <v>0</v>
      </c>
      <c r="Y95" s="5">
        <f t="shared" si="156"/>
        <v>0</v>
      </c>
      <c r="Z95" s="5">
        <f t="shared" si="156"/>
        <v>1</v>
      </c>
      <c r="AA95" s="5">
        <f t="shared" si="156"/>
        <v>0</v>
      </c>
      <c r="AB95" s="5">
        <f t="shared" si="156"/>
        <v>0</v>
      </c>
      <c r="AC95" s="5">
        <f t="shared" si="156"/>
        <v>0</v>
      </c>
      <c r="AD95" s="5" t="str">
        <f t="shared" si="156"/>
        <v/>
      </c>
      <c r="AE95" s="5" t="str">
        <f t="shared" si="156"/>
        <v/>
      </c>
      <c r="AF95" s="5" t="str">
        <f t="shared" si="156"/>
        <v/>
      </c>
      <c r="AG95" s="5" t="str">
        <f t="shared" si="156"/>
        <v/>
      </c>
      <c r="AH95" s="5" t="str">
        <f t="shared" si="156"/>
        <v/>
      </c>
      <c r="AI95" s="5" t="str">
        <f t="shared" si="156"/>
        <v/>
      </c>
      <c r="AJ95" s="5" t="str">
        <f t="shared" si="156"/>
        <v/>
      </c>
      <c r="AK95" s="5" t="str">
        <f t="shared" si="156"/>
        <v/>
      </c>
      <c r="AL95" s="5" t="str">
        <f t="shared" si="156"/>
        <v/>
      </c>
      <c r="AM95" s="5" t="str">
        <f t="shared" si="156"/>
        <v/>
      </c>
      <c r="AN95" s="5" t="str">
        <f t="shared" si="156"/>
        <v/>
      </c>
      <c r="AO95" s="5" t="str">
        <f t="shared" ref="AO95:AS95" si="157">IF(AO88="","",AO88-AN88)</f>
        <v/>
      </c>
      <c r="AP95" s="5" t="str">
        <f t="shared" si="157"/>
        <v/>
      </c>
      <c r="AQ95" s="5" t="str">
        <f t="shared" si="157"/>
        <v/>
      </c>
      <c r="AR95" s="5" t="str">
        <f t="shared" si="157"/>
        <v/>
      </c>
      <c r="AS95" s="5" t="str">
        <f t="shared" si="157"/>
        <v/>
      </c>
    </row>
    <row r="96" spans="1:45" s="93" customFormat="1" ht="11">
      <c r="A96" s="7">
        <f>SUM(C96:AS96)</f>
        <v>4</v>
      </c>
      <c r="B96" s="6" t="s">
        <v>17</v>
      </c>
      <c r="C96" s="74">
        <v>0</v>
      </c>
      <c r="D96" s="5">
        <f t="shared" ref="D96:AN96" si="158">IF(D89="","",C89+C90-D89)</f>
        <v>0</v>
      </c>
      <c r="E96" s="5">
        <f t="shared" si="158"/>
        <v>1</v>
      </c>
      <c r="F96" s="59">
        <f t="shared" si="158"/>
        <v>0</v>
      </c>
      <c r="G96" s="5">
        <f t="shared" si="158"/>
        <v>0</v>
      </c>
      <c r="H96" s="5">
        <f t="shared" si="158"/>
        <v>0</v>
      </c>
      <c r="I96" s="59">
        <f t="shared" si="158"/>
        <v>0</v>
      </c>
      <c r="J96" s="5">
        <f t="shared" si="158"/>
        <v>0</v>
      </c>
      <c r="K96" s="5">
        <f t="shared" si="158"/>
        <v>0</v>
      </c>
      <c r="L96" s="5">
        <f t="shared" si="158"/>
        <v>0</v>
      </c>
      <c r="M96" s="59">
        <f t="shared" si="158"/>
        <v>0</v>
      </c>
      <c r="N96" s="5">
        <f t="shared" si="158"/>
        <v>0</v>
      </c>
      <c r="O96" s="5">
        <f t="shared" si="158"/>
        <v>1</v>
      </c>
      <c r="P96" s="5">
        <f t="shared" si="158"/>
        <v>0</v>
      </c>
      <c r="Q96" s="5">
        <f t="shared" si="158"/>
        <v>0</v>
      </c>
      <c r="R96" s="5">
        <f t="shared" si="158"/>
        <v>0</v>
      </c>
      <c r="S96" s="5">
        <f t="shared" si="158"/>
        <v>0</v>
      </c>
      <c r="T96" s="5">
        <f t="shared" si="158"/>
        <v>0</v>
      </c>
      <c r="U96" s="5">
        <f t="shared" si="158"/>
        <v>0</v>
      </c>
      <c r="V96" s="5">
        <f t="shared" si="158"/>
        <v>1</v>
      </c>
      <c r="W96" s="5">
        <f t="shared" si="158"/>
        <v>0</v>
      </c>
      <c r="X96" s="5">
        <f t="shared" si="158"/>
        <v>0</v>
      </c>
      <c r="Y96" s="5">
        <f t="shared" si="158"/>
        <v>0</v>
      </c>
      <c r="Z96" s="5">
        <f t="shared" si="158"/>
        <v>1</v>
      </c>
      <c r="AA96" s="5">
        <f t="shared" si="158"/>
        <v>0</v>
      </c>
      <c r="AB96" s="5">
        <f t="shared" si="158"/>
        <v>0</v>
      </c>
      <c r="AC96" s="5">
        <f t="shared" si="158"/>
        <v>0</v>
      </c>
      <c r="AD96" s="5" t="str">
        <f t="shared" si="158"/>
        <v/>
      </c>
      <c r="AE96" s="5" t="str">
        <f t="shared" si="158"/>
        <v/>
      </c>
      <c r="AF96" s="5" t="str">
        <f t="shared" si="158"/>
        <v/>
      </c>
      <c r="AG96" s="5" t="str">
        <f t="shared" si="158"/>
        <v/>
      </c>
      <c r="AH96" s="5" t="str">
        <f t="shared" si="158"/>
        <v/>
      </c>
      <c r="AI96" s="5" t="str">
        <f t="shared" si="158"/>
        <v/>
      </c>
      <c r="AJ96" s="5" t="str">
        <f t="shared" si="158"/>
        <v/>
      </c>
      <c r="AK96" s="5" t="str">
        <f t="shared" si="158"/>
        <v/>
      </c>
      <c r="AL96" s="5" t="str">
        <f t="shared" si="158"/>
        <v/>
      </c>
      <c r="AM96" s="5" t="str">
        <f t="shared" si="158"/>
        <v/>
      </c>
      <c r="AN96" s="5" t="str">
        <f t="shared" si="158"/>
        <v/>
      </c>
      <c r="AO96" s="5" t="str">
        <f t="shared" ref="AO96:AS96" si="159">IF(AO89="","",AN89+AN90-AO89)</f>
        <v/>
      </c>
      <c r="AP96" s="5" t="str">
        <f t="shared" si="159"/>
        <v/>
      </c>
      <c r="AQ96" s="5" t="str">
        <f t="shared" si="159"/>
        <v/>
      </c>
      <c r="AR96" s="5" t="str">
        <f t="shared" si="159"/>
        <v/>
      </c>
      <c r="AS96" s="5" t="str">
        <f t="shared" si="159"/>
        <v/>
      </c>
    </row>
    <row r="97" spans="1:45" s="93" customFormat="1" ht="11">
      <c r="A97" s="7">
        <f>SUM(C97:AS97)</f>
        <v>2000</v>
      </c>
      <c r="B97" s="6" t="s">
        <v>18</v>
      </c>
      <c r="C97" s="74">
        <v>0</v>
      </c>
      <c r="D97" s="5">
        <f t="shared" ref="D97:AN97" si="160">IF(D87="","",D96*D91)</f>
        <v>0</v>
      </c>
      <c r="E97" s="5">
        <f t="shared" si="160"/>
        <v>500</v>
      </c>
      <c r="F97" s="59">
        <f t="shared" si="160"/>
        <v>0</v>
      </c>
      <c r="G97" s="5">
        <f t="shared" si="160"/>
        <v>0</v>
      </c>
      <c r="H97" s="5">
        <f t="shared" si="160"/>
        <v>0</v>
      </c>
      <c r="I97" s="59">
        <f t="shared" si="160"/>
        <v>0</v>
      </c>
      <c r="J97" s="5">
        <f t="shared" si="160"/>
        <v>0</v>
      </c>
      <c r="K97" s="5">
        <f t="shared" si="160"/>
        <v>0</v>
      </c>
      <c r="L97" s="5">
        <f t="shared" si="160"/>
        <v>0</v>
      </c>
      <c r="M97" s="59">
        <f t="shared" si="160"/>
        <v>0</v>
      </c>
      <c r="N97" s="5">
        <f t="shared" si="160"/>
        <v>0</v>
      </c>
      <c r="O97" s="5">
        <f t="shared" si="160"/>
        <v>500</v>
      </c>
      <c r="P97" s="5">
        <f t="shared" si="160"/>
        <v>0</v>
      </c>
      <c r="Q97" s="5">
        <f t="shared" si="160"/>
        <v>0</v>
      </c>
      <c r="R97" s="5">
        <f t="shared" si="160"/>
        <v>0</v>
      </c>
      <c r="S97" s="5">
        <f t="shared" si="160"/>
        <v>0</v>
      </c>
      <c r="T97" s="5">
        <f t="shared" si="160"/>
        <v>0</v>
      </c>
      <c r="U97" s="5">
        <f t="shared" si="160"/>
        <v>0</v>
      </c>
      <c r="V97" s="5">
        <f t="shared" si="160"/>
        <v>500</v>
      </c>
      <c r="W97" s="5">
        <f t="shared" si="160"/>
        <v>0</v>
      </c>
      <c r="X97" s="5">
        <f t="shared" si="160"/>
        <v>0</v>
      </c>
      <c r="Y97" s="5">
        <f t="shared" si="160"/>
        <v>0</v>
      </c>
      <c r="Z97" s="5">
        <f t="shared" si="160"/>
        <v>500</v>
      </c>
      <c r="AA97" s="5">
        <f t="shared" si="160"/>
        <v>0</v>
      </c>
      <c r="AB97" s="5">
        <f t="shared" si="160"/>
        <v>0</v>
      </c>
      <c r="AC97" s="5">
        <f t="shared" si="160"/>
        <v>0</v>
      </c>
      <c r="AD97" s="5" t="str">
        <f t="shared" si="160"/>
        <v/>
      </c>
      <c r="AE97" s="5" t="str">
        <f t="shared" si="160"/>
        <v/>
      </c>
      <c r="AF97" s="5" t="str">
        <f t="shared" si="160"/>
        <v/>
      </c>
      <c r="AG97" s="5" t="str">
        <f t="shared" si="160"/>
        <v/>
      </c>
      <c r="AH97" s="5" t="str">
        <f t="shared" si="160"/>
        <v/>
      </c>
      <c r="AI97" s="5" t="str">
        <f t="shared" si="160"/>
        <v/>
      </c>
      <c r="AJ97" s="5" t="str">
        <f t="shared" si="160"/>
        <v/>
      </c>
      <c r="AK97" s="5" t="str">
        <f t="shared" si="160"/>
        <v/>
      </c>
      <c r="AL97" s="5" t="str">
        <f t="shared" si="160"/>
        <v/>
      </c>
      <c r="AM97" s="5" t="str">
        <f t="shared" si="160"/>
        <v/>
      </c>
      <c r="AN97" s="5" t="str">
        <f t="shared" si="160"/>
        <v/>
      </c>
      <c r="AO97" s="5" t="str">
        <f t="shared" ref="AO97:AS97" si="161">IF(AO87="","",AO96*AO91)</f>
        <v/>
      </c>
      <c r="AP97" s="5" t="str">
        <f t="shared" si="161"/>
        <v/>
      </c>
      <c r="AQ97" s="5" t="str">
        <f t="shared" si="161"/>
        <v/>
      </c>
      <c r="AR97" s="5" t="str">
        <f t="shared" si="161"/>
        <v/>
      </c>
      <c r="AS97" s="5" t="str">
        <f t="shared" si="161"/>
        <v/>
      </c>
    </row>
    <row r="98" spans="1:45" s="93" customFormat="1" ht="12" thickBot="1">
      <c r="A98" s="4">
        <f>IF(A97="","",A97/(A94*100))</f>
        <v>7.8431372549019607E-2</v>
      </c>
      <c r="B98" s="3" t="s">
        <v>20</v>
      </c>
      <c r="C98" s="77" t="s">
        <v>21</v>
      </c>
      <c r="D98" s="2" t="str">
        <f t="shared" ref="D98:AN98" si="162">IF(D97="","",IF(D97=0,"",D97/(D94*100)))</f>
        <v/>
      </c>
      <c r="E98" s="2">
        <f t="shared" si="162"/>
        <v>8.3333333333333329E-2</v>
      </c>
      <c r="F98" s="57" t="str">
        <f t="shared" si="162"/>
        <v/>
      </c>
      <c r="G98" s="2" t="str">
        <f t="shared" si="162"/>
        <v/>
      </c>
      <c r="H98" s="2" t="str">
        <f t="shared" si="162"/>
        <v/>
      </c>
      <c r="I98" s="57" t="str">
        <f t="shared" si="162"/>
        <v/>
      </c>
      <c r="J98" s="2" t="str">
        <f t="shared" si="162"/>
        <v/>
      </c>
      <c r="K98" s="2" t="str">
        <f t="shared" si="162"/>
        <v/>
      </c>
      <c r="L98" s="2" t="str">
        <f t="shared" si="162"/>
        <v/>
      </c>
      <c r="M98" s="57" t="str">
        <f t="shared" si="162"/>
        <v/>
      </c>
      <c r="N98" s="2" t="str">
        <f t="shared" si="162"/>
        <v/>
      </c>
      <c r="O98" s="2">
        <f t="shared" si="162"/>
        <v>0.19230769230769232</v>
      </c>
      <c r="P98" s="2" t="str">
        <f t="shared" si="162"/>
        <v/>
      </c>
      <c r="Q98" s="2" t="str">
        <f t="shared" si="162"/>
        <v/>
      </c>
      <c r="R98" s="2" t="str">
        <f t="shared" si="162"/>
        <v/>
      </c>
      <c r="S98" s="2" t="str">
        <f t="shared" si="162"/>
        <v/>
      </c>
      <c r="T98" s="2" t="str">
        <f t="shared" si="162"/>
        <v/>
      </c>
      <c r="U98" s="2" t="str">
        <f t="shared" si="162"/>
        <v/>
      </c>
      <c r="V98" s="2">
        <f t="shared" si="162"/>
        <v>8.3333333333333329E-2</v>
      </c>
      <c r="W98" s="2" t="str">
        <f t="shared" si="162"/>
        <v/>
      </c>
      <c r="X98" s="2" t="str">
        <f t="shared" si="162"/>
        <v/>
      </c>
      <c r="Y98" s="2" t="str">
        <f t="shared" si="162"/>
        <v/>
      </c>
      <c r="Z98" s="2">
        <f t="shared" si="162"/>
        <v>0.35714285714285715</v>
      </c>
      <c r="AA98" s="2" t="str">
        <f t="shared" si="162"/>
        <v/>
      </c>
      <c r="AB98" s="2" t="str">
        <f t="shared" si="162"/>
        <v/>
      </c>
      <c r="AC98" s="2" t="str">
        <f t="shared" si="162"/>
        <v/>
      </c>
      <c r="AD98" s="2" t="str">
        <f t="shared" si="162"/>
        <v/>
      </c>
      <c r="AE98" s="2" t="str">
        <f t="shared" si="162"/>
        <v/>
      </c>
      <c r="AF98" s="2" t="str">
        <f t="shared" si="162"/>
        <v/>
      </c>
      <c r="AG98" s="2" t="str">
        <f t="shared" si="162"/>
        <v/>
      </c>
      <c r="AH98" s="2" t="str">
        <f t="shared" si="162"/>
        <v/>
      </c>
      <c r="AI98" s="2" t="str">
        <f t="shared" si="162"/>
        <v/>
      </c>
      <c r="AJ98" s="2" t="str">
        <f t="shared" si="162"/>
        <v/>
      </c>
      <c r="AK98" s="2" t="str">
        <f t="shared" si="162"/>
        <v/>
      </c>
      <c r="AL98" s="2" t="str">
        <f t="shared" si="162"/>
        <v/>
      </c>
      <c r="AM98" s="2" t="str">
        <f t="shared" si="162"/>
        <v/>
      </c>
      <c r="AN98" s="2" t="str">
        <f t="shared" si="162"/>
        <v/>
      </c>
      <c r="AO98" s="2" t="str">
        <f t="shared" ref="AO98:AS98" si="163">IF(AO97="","",IF(AO97=0,"",AO97/(AO94*100)))</f>
        <v/>
      </c>
      <c r="AP98" s="2" t="str">
        <f t="shared" si="163"/>
        <v/>
      </c>
      <c r="AQ98" s="2" t="str">
        <f t="shared" si="163"/>
        <v/>
      </c>
      <c r="AR98" s="2" t="str">
        <f t="shared" si="163"/>
        <v/>
      </c>
      <c r="AS98" s="2" t="str">
        <f t="shared" si="163"/>
        <v/>
      </c>
    </row>
    <row r="99" spans="1:45" s="93" customFormat="1" ht="11">
      <c r="A99" s="40" t="s">
        <v>130</v>
      </c>
      <c r="B99" s="39" t="s">
        <v>2</v>
      </c>
      <c r="C99" s="66">
        <v>1027</v>
      </c>
      <c r="D99" s="38">
        <f>IF(D$3="","",C99)</f>
        <v>1027</v>
      </c>
      <c r="E99" s="38">
        <v>1295</v>
      </c>
      <c r="F99" s="127">
        <f>IF(F$3="","",E99)</f>
        <v>1295</v>
      </c>
      <c r="G99" s="38">
        <f>IF(G$3="","",F99)</f>
        <v>1295</v>
      </c>
      <c r="H99" s="38">
        <v>1805</v>
      </c>
      <c r="I99" s="127">
        <f t="shared" ref="I99:K100" si="164">IF(I$3="","",H99)</f>
        <v>1805</v>
      </c>
      <c r="J99" s="38">
        <f t="shared" si="164"/>
        <v>1805</v>
      </c>
      <c r="K99" s="38">
        <f t="shared" si="164"/>
        <v>1805</v>
      </c>
      <c r="L99" s="38">
        <v>2030</v>
      </c>
      <c r="M99" s="127">
        <f>IF(M$3="","",L99)</f>
        <v>2030</v>
      </c>
      <c r="N99" s="38">
        <f>IF(N$3="","",M99)</f>
        <v>2030</v>
      </c>
      <c r="O99" s="38">
        <v>2393</v>
      </c>
      <c r="P99" s="38">
        <f t="shared" ref="P99:AN99" si="165">IF(P$3="","",O99)</f>
        <v>2393</v>
      </c>
      <c r="Q99" s="38">
        <f t="shared" si="165"/>
        <v>2393</v>
      </c>
      <c r="R99" s="38">
        <f t="shared" si="165"/>
        <v>2393</v>
      </c>
      <c r="S99" s="38">
        <f t="shared" si="165"/>
        <v>2393</v>
      </c>
      <c r="T99" s="38">
        <v>2695</v>
      </c>
      <c r="U99" s="38">
        <f t="shared" si="165"/>
        <v>2695</v>
      </c>
      <c r="V99" s="38">
        <v>2990</v>
      </c>
      <c r="W99" s="38">
        <f t="shared" si="165"/>
        <v>2990</v>
      </c>
      <c r="X99" s="38">
        <f t="shared" si="165"/>
        <v>2990</v>
      </c>
      <c r="Y99" s="38">
        <f t="shared" si="165"/>
        <v>2990</v>
      </c>
      <c r="Z99" s="38">
        <v>3252</v>
      </c>
      <c r="AA99" s="38">
        <f t="shared" si="165"/>
        <v>3252</v>
      </c>
      <c r="AB99" s="38">
        <f t="shared" si="165"/>
        <v>3252</v>
      </c>
      <c r="AC99" s="38">
        <v>3588</v>
      </c>
      <c r="AD99" s="38" t="str">
        <f t="shared" si="165"/>
        <v/>
      </c>
      <c r="AE99" s="38" t="str">
        <f t="shared" si="165"/>
        <v/>
      </c>
      <c r="AF99" s="38" t="str">
        <f t="shared" si="165"/>
        <v/>
      </c>
      <c r="AG99" s="38" t="str">
        <f t="shared" si="165"/>
        <v/>
      </c>
      <c r="AH99" s="38" t="str">
        <f t="shared" si="165"/>
        <v/>
      </c>
      <c r="AI99" s="38" t="str">
        <f t="shared" si="165"/>
        <v/>
      </c>
      <c r="AJ99" s="38" t="str">
        <f t="shared" si="165"/>
        <v/>
      </c>
      <c r="AK99" s="38" t="str">
        <f t="shared" si="165"/>
        <v/>
      </c>
      <c r="AL99" s="38" t="str">
        <f t="shared" si="165"/>
        <v/>
      </c>
      <c r="AM99" s="38" t="str">
        <f t="shared" si="165"/>
        <v/>
      </c>
      <c r="AN99" s="38" t="str">
        <f t="shared" si="165"/>
        <v/>
      </c>
      <c r="AO99" s="38" t="str">
        <f t="shared" ref="AO99:AS99" si="166">IF(AO$3="","",AN99)</f>
        <v/>
      </c>
      <c r="AP99" s="38" t="str">
        <f t="shared" si="166"/>
        <v/>
      </c>
      <c r="AQ99" s="38" t="str">
        <f t="shared" si="166"/>
        <v/>
      </c>
      <c r="AR99" s="38" t="str">
        <f t="shared" si="166"/>
        <v/>
      </c>
      <c r="AS99" s="38" t="str">
        <f t="shared" si="166"/>
        <v/>
      </c>
    </row>
    <row r="100" spans="1:45" s="93" customFormat="1" ht="11">
      <c r="A100" s="37" t="s">
        <v>105</v>
      </c>
      <c r="B100" s="30" t="s">
        <v>4</v>
      </c>
      <c r="C100" s="65">
        <v>5</v>
      </c>
      <c r="D100" s="29">
        <v>5</v>
      </c>
      <c r="E100" s="29">
        <v>6</v>
      </c>
      <c r="F100" s="54">
        <f>IF(F$3="","",E100)</f>
        <v>6</v>
      </c>
      <c r="G100" s="29">
        <f>IF(G$3="","",F100)</f>
        <v>6</v>
      </c>
      <c r="H100" s="29">
        <v>8</v>
      </c>
      <c r="I100" s="54">
        <f t="shared" si="164"/>
        <v>8</v>
      </c>
      <c r="J100" s="29">
        <f t="shared" si="164"/>
        <v>8</v>
      </c>
      <c r="K100" s="29">
        <f t="shared" si="164"/>
        <v>8</v>
      </c>
      <c r="L100" s="29">
        <v>10</v>
      </c>
      <c r="M100" s="54">
        <f>IF(M$3="","",L100)</f>
        <v>10</v>
      </c>
      <c r="N100" s="29">
        <f>IF(N$3="","",M100)</f>
        <v>10</v>
      </c>
      <c r="O100" s="29">
        <v>12</v>
      </c>
      <c r="P100" s="29">
        <f t="shared" ref="P100:AN100" si="167">IF(P$3="","",O100)</f>
        <v>12</v>
      </c>
      <c r="Q100" s="29">
        <f t="shared" si="167"/>
        <v>12</v>
      </c>
      <c r="R100" s="29">
        <f t="shared" si="167"/>
        <v>12</v>
      </c>
      <c r="S100" s="29">
        <f t="shared" si="167"/>
        <v>12</v>
      </c>
      <c r="T100" s="29">
        <v>15</v>
      </c>
      <c r="U100" s="29">
        <f t="shared" si="167"/>
        <v>15</v>
      </c>
      <c r="V100" s="29">
        <v>17</v>
      </c>
      <c r="W100" s="29">
        <f t="shared" si="167"/>
        <v>17</v>
      </c>
      <c r="X100" s="29">
        <f t="shared" si="167"/>
        <v>17</v>
      </c>
      <c r="Y100" s="29">
        <f t="shared" si="167"/>
        <v>17</v>
      </c>
      <c r="Z100" s="29">
        <v>18</v>
      </c>
      <c r="AA100" s="29">
        <f t="shared" si="167"/>
        <v>18</v>
      </c>
      <c r="AB100" s="29">
        <f t="shared" si="167"/>
        <v>18</v>
      </c>
      <c r="AC100" s="29">
        <f t="shared" si="167"/>
        <v>18</v>
      </c>
      <c r="AD100" s="29" t="str">
        <f t="shared" si="167"/>
        <v/>
      </c>
      <c r="AE100" s="29" t="str">
        <f t="shared" si="167"/>
        <v/>
      </c>
      <c r="AF100" s="29" t="str">
        <f t="shared" si="167"/>
        <v/>
      </c>
      <c r="AG100" s="29" t="str">
        <f t="shared" si="167"/>
        <v/>
      </c>
      <c r="AH100" s="29" t="str">
        <f t="shared" si="167"/>
        <v/>
      </c>
      <c r="AI100" s="29" t="str">
        <f t="shared" si="167"/>
        <v/>
      </c>
      <c r="AJ100" s="29" t="str">
        <f t="shared" si="167"/>
        <v/>
      </c>
      <c r="AK100" s="29" t="str">
        <f t="shared" si="167"/>
        <v/>
      </c>
      <c r="AL100" s="29" t="str">
        <f t="shared" si="167"/>
        <v/>
      </c>
      <c r="AM100" s="29" t="str">
        <f t="shared" si="167"/>
        <v/>
      </c>
      <c r="AN100" s="29" t="str">
        <f t="shared" si="167"/>
        <v/>
      </c>
      <c r="AO100" s="29" t="str">
        <f>IF(AO$3="","",AN100)</f>
        <v/>
      </c>
      <c r="AP100" s="29" t="str">
        <f>IF(宇宿!AP$3="","",AO100)</f>
        <v/>
      </c>
      <c r="AQ100" s="29" t="str">
        <f>IF(宇宿!AQ$3="","",AP100)</f>
        <v/>
      </c>
      <c r="AR100" s="29" t="str">
        <f>IF(宇宿!AR$3="","",AQ100)</f>
        <v/>
      </c>
      <c r="AS100" s="29" t="str">
        <f>IF(宇宿!AS$3="","",AR100)</f>
        <v/>
      </c>
    </row>
    <row r="101" spans="1:45" s="93" customFormat="1" ht="11">
      <c r="A101" s="34"/>
      <c r="B101" s="30" t="s">
        <v>5</v>
      </c>
      <c r="C101" s="65">
        <v>9</v>
      </c>
      <c r="D101" s="29">
        <f>IF(D99="","",(C101+C102))</f>
        <v>9</v>
      </c>
      <c r="E101" s="29">
        <v>8</v>
      </c>
      <c r="F101" s="54">
        <f>IF(F99="","",(E101+E102))</f>
        <v>8</v>
      </c>
      <c r="G101" s="29">
        <f>IF(G99="","",(F101+F102))</f>
        <v>8</v>
      </c>
      <c r="H101" s="29">
        <v>5</v>
      </c>
      <c r="I101" s="54">
        <f>IF(I99="","",(H101+H102))</f>
        <v>6</v>
      </c>
      <c r="J101" s="29">
        <f>IF(J99="","",(I101+I102))</f>
        <v>6</v>
      </c>
      <c r="K101" s="29">
        <f>IF(K99="","",(J101+J102))</f>
        <v>6</v>
      </c>
      <c r="L101" s="29">
        <v>5</v>
      </c>
      <c r="M101" s="54">
        <f>IF(M99="","",(L101+L102))</f>
        <v>10</v>
      </c>
      <c r="N101" s="29">
        <f>IF(N99="","",(M101+M102))</f>
        <v>10</v>
      </c>
      <c r="O101" s="29">
        <v>8</v>
      </c>
      <c r="P101" s="29">
        <f t="shared" ref="P101:AN101" si="168">IF(P99="","",(O101+O102))</f>
        <v>9</v>
      </c>
      <c r="Q101" s="29">
        <f t="shared" si="168"/>
        <v>9</v>
      </c>
      <c r="R101" s="29">
        <f t="shared" si="168"/>
        <v>9</v>
      </c>
      <c r="S101" s="29">
        <f t="shared" si="168"/>
        <v>9</v>
      </c>
      <c r="T101" s="29">
        <v>6</v>
      </c>
      <c r="U101" s="29">
        <f t="shared" si="168"/>
        <v>6</v>
      </c>
      <c r="V101" s="29">
        <v>4</v>
      </c>
      <c r="W101" s="29">
        <f t="shared" si="168"/>
        <v>7</v>
      </c>
      <c r="X101" s="29">
        <f t="shared" si="168"/>
        <v>7</v>
      </c>
      <c r="Y101" s="29">
        <f t="shared" si="168"/>
        <v>7</v>
      </c>
      <c r="Z101" s="29">
        <v>5</v>
      </c>
      <c r="AA101" s="29">
        <f t="shared" si="168"/>
        <v>8</v>
      </c>
      <c r="AB101" s="29">
        <f t="shared" si="168"/>
        <v>8</v>
      </c>
      <c r="AC101" s="29">
        <v>6</v>
      </c>
      <c r="AD101" s="29" t="str">
        <f t="shared" si="168"/>
        <v/>
      </c>
      <c r="AE101" s="29" t="str">
        <f t="shared" si="168"/>
        <v/>
      </c>
      <c r="AF101" s="29" t="str">
        <f t="shared" si="168"/>
        <v/>
      </c>
      <c r="AG101" s="29" t="str">
        <f t="shared" si="168"/>
        <v/>
      </c>
      <c r="AH101" s="29" t="str">
        <f t="shared" si="168"/>
        <v/>
      </c>
      <c r="AI101" s="29" t="str">
        <f t="shared" si="168"/>
        <v/>
      </c>
      <c r="AJ101" s="29" t="str">
        <f t="shared" si="168"/>
        <v/>
      </c>
      <c r="AK101" s="29" t="str">
        <f t="shared" si="168"/>
        <v/>
      </c>
      <c r="AL101" s="29" t="str">
        <f t="shared" si="168"/>
        <v/>
      </c>
      <c r="AM101" s="29" t="str">
        <f t="shared" si="168"/>
        <v/>
      </c>
      <c r="AN101" s="29" t="str">
        <f t="shared" si="168"/>
        <v/>
      </c>
      <c r="AO101" s="29" t="str">
        <f t="shared" ref="AO101:AS101" si="169">IF(AO99="","",(AN101+AN102))</f>
        <v/>
      </c>
      <c r="AP101" s="29" t="str">
        <f t="shared" si="169"/>
        <v/>
      </c>
      <c r="AQ101" s="29" t="str">
        <f t="shared" si="169"/>
        <v/>
      </c>
      <c r="AR101" s="29" t="str">
        <f t="shared" si="169"/>
        <v/>
      </c>
      <c r="AS101" s="29" t="str">
        <f t="shared" si="169"/>
        <v/>
      </c>
    </row>
    <row r="102" spans="1:45" s="93" customFormat="1" ht="11">
      <c r="A102" s="14"/>
      <c r="B102" s="30" t="s">
        <v>7</v>
      </c>
      <c r="C102" s="65"/>
      <c r="D102" s="29"/>
      <c r="E102" s="29"/>
      <c r="F102" s="54"/>
      <c r="G102" s="29"/>
      <c r="H102" s="29">
        <v>1</v>
      </c>
      <c r="I102" s="54"/>
      <c r="J102" s="29"/>
      <c r="K102" s="29"/>
      <c r="L102" s="29">
        <v>5</v>
      </c>
      <c r="M102" s="54"/>
      <c r="N102" s="29"/>
      <c r="O102" s="29">
        <v>1</v>
      </c>
      <c r="P102" s="29"/>
      <c r="Q102" s="29"/>
      <c r="R102" s="29"/>
      <c r="S102" s="29"/>
      <c r="T102" s="29"/>
      <c r="U102" s="29"/>
      <c r="V102" s="29">
        <v>3</v>
      </c>
      <c r="W102" s="29"/>
      <c r="X102" s="29"/>
      <c r="Y102" s="29"/>
      <c r="Z102" s="29">
        <v>3</v>
      </c>
      <c r="AA102" s="29"/>
      <c r="AB102" s="29"/>
      <c r="AC102" s="29">
        <v>5</v>
      </c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s="93" customFormat="1" ht="11">
      <c r="A103" s="7"/>
      <c r="B103" s="30" t="s">
        <v>8</v>
      </c>
      <c r="C103" s="64">
        <v>1500</v>
      </c>
      <c r="D103" s="35">
        <f t="shared" ref="D103:AN103" si="170">IF(D99="","",C103)</f>
        <v>1500</v>
      </c>
      <c r="E103" s="35">
        <f t="shared" si="170"/>
        <v>1500</v>
      </c>
      <c r="F103" s="128">
        <f t="shared" si="170"/>
        <v>1500</v>
      </c>
      <c r="G103" s="35">
        <f t="shared" si="170"/>
        <v>1500</v>
      </c>
      <c r="H103" s="35">
        <f t="shared" si="170"/>
        <v>1500</v>
      </c>
      <c r="I103" s="128">
        <f t="shared" si="170"/>
        <v>1500</v>
      </c>
      <c r="J103" s="35">
        <f t="shared" si="170"/>
        <v>1500</v>
      </c>
      <c r="K103" s="35">
        <f t="shared" si="170"/>
        <v>1500</v>
      </c>
      <c r="L103" s="35">
        <f t="shared" si="170"/>
        <v>1500</v>
      </c>
      <c r="M103" s="128">
        <f t="shared" si="170"/>
        <v>1500</v>
      </c>
      <c r="N103" s="35">
        <f t="shared" si="170"/>
        <v>1500</v>
      </c>
      <c r="O103" s="35">
        <f t="shared" si="170"/>
        <v>1500</v>
      </c>
      <c r="P103" s="35">
        <f t="shared" si="170"/>
        <v>1500</v>
      </c>
      <c r="Q103" s="35">
        <f t="shared" si="170"/>
        <v>1500</v>
      </c>
      <c r="R103" s="35">
        <f t="shared" si="170"/>
        <v>1500</v>
      </c>
      <c r="S103" s="35">
        <f t="shared" si="170"/>
        <v>1500</v>
      </c>
      <c r="T103" s="35">
        <f t="shared" si="170"/>
        <v>1500</v>
      </c>
      <c r="U103" s="35">
        <f t="shared" si="170"/>
        <v>1500</v>
      </c>
      <c r="V103" s="35">
        <f t="shared" si="170"/>
        <v>1500</v>
      </c>
      <c r="W103" s="35">
        <f t="shared" si="170"/>
        <v>1500</v>
      </c>
      <c r="X103" s="35">
        <f t="shared" si="170"/>
        <v>1500</v>
      </c>
      <c r="Y103" s="35">
        <f t="shared" si="170"/>
        <v>1500</v>
      </c>
      <c r="Z103" s="35">
        <f t="shared" si="170"/>
        <v>1500</v>
      </c>
      <c r="AA103" s="35">
        <f t="shared" si="170"/>
        <v>1500</v>
      </c>
      <c r="AB103" s="35">
        <f t="shared" si="170"/>
        <v>1500</v>
      </c>
      <c r="AC103" s="35">
        <f t="shared" si="170"/>
        <v>1500</v>
      </c>
      <c r="AD103" s="35" t="str">
        <f t="shared" si="170"/>
        <v/>
      </c>
      <c r="AE103" s="35" t="str">
        <f t="shared" si="170"/>
        <v/>
      </c>
      <c r="AF103" s="35" t="str">
        <f t="shared" si="170"/>
        <v/>
      </c>
      <c r="AG103" s="35" t="str">
        <f t="shared" si="170"/>
        <v/>
      </c>
      <c r="AH103" s="35" t="str">
        <f t="shared" si="170"/>
        <v/>
      </c>
      <c r="AI103" s="35" t="str">
        <f t="shared" si="170"/>
        <v/>
      </c>
      <c r="AJ103" s="35" t="str">
        <f t="shared" si="170"/>
        <v/>
      </c>
      <c r="AK103" s="35" t="str">
        <f t="shared" si="170"/>
        <v/>
      </c>
      <c r="AL103" s="35" t="str">
        <f t="shared" si="170"/>
        <v/>
      </c>
      <c r="AM103" s="35" t="str">
        <f t="shared" si="170"/>
        <v/>
      </c>
      <c r="AN103" s="35" t="str">
        <f t="shared" si="170"/>
        <v/>
      </c>
      <c r="AO103" s="35" t="str">
        <f t="shared" ref="AO103:AS103" si="171">IF(AO99="","",AN103)</f>
        <v/>
      </c>
      <c r="AP103" s="35" t="str">
        <f t="shared" si="171"/>
        <v/>
      </c>
      <c r="AQ103" s="35" t="str">
        <f t="shared" si="171"/>
        <v/>
      </c>
      <c r="AR103" s="35" t="str">
        <f t="shared" si="171"/>
        <v/>
      </c>
      <c r="AS103" s="35" t="str">
        <f t="shared" si="171"/>
        <v/>
      </c>
    </row>
    <row r="104" spans="1:45" s="94" customFormat="1" ht="11">
      <c r="A104" s="14" t="s">
        <v>9</v>
      </c>
      <c r="B104" s="33" t="s">
        <v>10</v>
      </c>
      <c r="C104" s="63" t="s">
        <v>99</v>
      </c>
      <c r="D104" s="32" t="str">
        <f t="shared" ref="D104:AN104" si="172">IF(D99="","",C104)</f>
        <v>ボンボンドロップシール</v>
      </c>
      <c r="E104" s="32" t="str">
        <f t="shared" si="172"/>
        <v>ボンボンドロップシール</v>
      </c>
      <c r="F104" s="129" t="str">
        <f t="shared" si="172"/>
        <v>ボンボンドロップシール</v>
      </c>
      <c r="G104" s="32" t="str">
        <f t="shared" si="172"/>
        <v>ボンボンドロップシール</v>
      </c>
      <c r="H104" s="32" t="str">
        <f t="shared" si="172"/>
        <v>ボンボンドロップシール</v>
      </c>
      <c r="I104" s="129" t="str">
        <f t="shared" si="172"/>
        <v>ボンボンドロップシール</v>
      </c>
      <c r="J104" s="32" t="str">
        <f t="shared" si="172"/>
        <v>ボンボンドロップシール</v>
      </c>
      <c r="K104" s="32" t="str">
        <f t="shared" si="172"/>
        <v>ボンボンドロップシール</v>
      </c>
      <c r="L104" s="32" t="str">
        <f t="shared" si="172"/>
        <v>ボンボンドロップシール</v>
      </c>
      <c r="M104" s="129" t="str">
        <f t="shared" si="172"/>
        <v>ボンボンドロップシール</v>
      </c>
      <c r="N104" s="32" t="str">
        <f t="shared" si="172"/>
        <v>ボンボンドロップシール</v>
      </c>
      <c r="O104" s="32" t="str">
        <f t="shared" si="172"/>
        <v>ボンボンドロップシール</v>
      </c>
      <c r="P104" s="32" t="str">
        <f t="shared" si="172"/>
        <v>ボンボンドロップシール</v>
      </c>
      <c r="Q104" s="32" t="str">
        <f t="shared" si="172"/>
        <v>ボンボンドロップシール</v>
      </c>
      <c r="R104" s="32" t="str">
        <f t="shared" si="172"/>
        <v>ボンボンドロップシール</v>
      </c>
      <c r="S104" s="32" t="str">
        <f t="shared" si="172"/>
        <v>ボンボンドロップシール</v>
      </c>
      <c r="T104" s="32" t="str">
        <f t="shared" si="172"/>
        <v>ボンボンドロップシール</v>
      </c>
      <c r="U104" s="32" t="str">
        <f t="shared" si="172"/>
        <v>ボンボンドロップシール</v>
      </c>
      <c r="V104" s="32" t="str">
        <f t="shared" si="172"/>
        <v>ボンボンドロップシール</v>
      </c>
      <c r="W104" s="32" t="str">
        <f t="shared" si="172"/>
        <v>ボンボンドロップシール</v>
      </c>
      <c r="X104" s="32" t="str">
        <f t="shared" si="172"/>
        <v>ボンボンドロップシール</v>
      </c>
      <c r="Y104" s="32" t="str">
        <f t="shared" si="172"/>
        <v>ボンボンドロップシール</v>
      </c>
      <c r="Z104" s="32" t="str">
        <f t="shared" si="172"/>
        <v>ボンボンドロップシール</v>
      </c>
      <c r="AA104" s="32" t="str">
        <f t="shared" si="172"/>
        <v>ボンボンドロップシール</v>
      </c>
      <c r="AB104" s="32">
        <f>0</f>
        <v>0</v>
      </c>
      <c r="AC104" s="32">
        <f t="shared" si="172"/>
        <v>0</v>
      </c>
      <c r="AD104" s="32" t="str">
        <f t="shared" si="172"/>
        <v/>
      </c>
      <c r="AE104" s="32" t="str">
        <f t="shared" si="172"/>
        <v/>
      </c>
      <c r="AF104" s="32" t="str">
        <f t="shared" si="172"/>
        <v/>
      </c>
      <c r="AG104" s="32" t="str">
        <f t="shared" si="172"/>
        <v/>
      </c>
      <c r="AH104" s="32" t="str">
        <f t="shared" si="172"/>
        <v/>
      </c>
      <c r="AI104" s="32" t="str">
        <f t="shared" si="172"/>
        <v/>
      </c>
      <c r="AJ104" s="32" t="str">
        <f t="shared" si="172"/>
        <v/>
      </c>
      <c r="AK104" s="32" t="str">
        <f t="shared" si="172"/>
        <v/>
      </c>
      <c r="AL104" s="32" t="str">
        <f t="shared" si="172"/>
        <v/>
      </c>
      <c r="AM104" s="32" t="str">
        <f t="shared" si="172"/>
        <v/>
      </c>
      <c r="AN104" s="32" t="str">
        <f t="shared" si="172"/>
        <v/>
      </c>
      <c r="AO104" s="32" t="str">
        <f t="shared" ref="AO104:AS104" si="173">IF(AO99="","",AN104)</f>
        <v/>
      </c>
      <c r="AP104" s="32" t="str">
        <f t="shared" si="173"/>
        <v/>
      </c>
      <c r="AQ104" s="32" t="str">
        <f t="shared" si="173"/>
        <v/>
      </c>
      <c r="AR104" s="32" t="str">
        <f t="shared" si="173"/>
        <v/>
      </c>
      <c r="AS104" s="32" t="str">
        <f t="shared" si="173"/>
        <v/>
      </c>
    </row>
    <row r="105" spans="1:45" s="93" customFormat="1" ht="11">
      <c r="A105" s="7">
        <f>AVERAGE(C106:AS106)*30*100</f>
        <v>284555.55555555556</v>
      </c>
      <c r="B105" s="30" t="s">
        <v>14</v>
      </c>
      <c r="C105" s="65"/>
      <c r="D105" s="29"/>
      <c r="E105" s="29"/>
      <c r="F105" s="54"/>
      <c r="G105" s="29"/>
      <c r="H105" s="29"/>
      <c r="I105" s="54"/>
      <c r="J105" s="29"/>
      <c r="K105" s="29"/>
      <c r="L105" s="29"/>
      <c r="M105" s="54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s="93" customFormat="1" ht="11">
      <c r="A106" s="7">
        <f>SUM(C106:AS106)</f>
        <v>2561</v>
      </c>
      <c r="B106" s="27" t="s">
        <v>15</v>
      </c>
      <c r="C106" s="65">
        <v>0</v>
      </c>
      <c r="D106" s="26">
        <f t="shared" ref="D106:AN106" si="174">IF(D99="","",D99-C99)</f>
        <v>0</v>
      </c>
      <c r="E106" s="26">
        <f t="shared" si="174"/>
        <v>268</v>
      </c>
      <c r="F106" s="54">
        <f t="shared" si="174"/>
        <v>0</v>
      </c>
      <c r="G106" s="26">
        <f t="shared" si="174"/>
        <v>0</v>
      </c>
      <c r="H106" s="26">
        <f t="shared" si="174"/>
        <v>510</v>
      </c>
      <c r="I106" s="54">
        <f t="shared" si="174"/>
        <v>0</v>
      </c>
      <c r="J106" s="26">
        <f t="shared" si="174"/>
        <v>0</v>
      </c>
      <c r="K106" s="26">
        <f t="shared" si="174"/>
        <v>0</v>
      </c>
      <c r="L106" s="26">
        <f t="shared" si="174"/>
        <v>225</v>
      </c>
      <c r="M106" s="54">
        <f t="shared" si="174"/>
        <v>0</v>
      </c>
      <c r="N106" s="26">
        <f t="shared" si="174"/>
        <v>0</v>
      </c>
      <c r="O106" s="26">
        <f t="shared" si="174"/>
        <v>363</v>
      </c>
      <c r="P106" s="26">
        <f t="shared" si="174"/>
        <v>0</v>
      </c>
      <c r="Q106" s="26">
        <f t="shared" si="174"/>
        <v>0</v>
      </c>
      <c r="R106" s="26">
        <f t="shared" si="174"/>
        <v>0</v>
      </c>
      <c r="S106" s="26">
        <f t="shared" si="174"/>
        <v>0</v>
      </c>
      <c r="T106" s="26">
        <f t="shared" si="174"/>
        <v>302</v>
      </c>
      <c r="U106" s="26">
        <f t="shared" si="174"/>
        <v>0</v>
      </c>
      <c r="V106" s="26">
        <f t="shared" si="174"/>
        <v>295</v>
      </c>
      <c r="W106" s="26">
        <f t="shared" si="174"/>
        <v>0</v>
      </c>
      <c r="X106" s="26">
        <f t="shared" si="174"/>
        <v>0</v>
      </c>
      <c r="Y106" s="26">
        <f t="shared" si="174"/>
        <v>0</v>
      </c>
      <c r="Z106" s="26">
        <f t="shared" si="174"/>
        <v>262</v>
      </c>
      <c r="AA106" s="26">
        <f t="shared" si="174"/>
        <v>0</v>
      </c>
      <c r="AB106" s="26">
        <f t="shared" si="174"/>
        <v>0</v>
      </c>
      <c r="AC106" s="26">
        <f t="shared" si="174"/>
        <v>336</v>
      </c>
      <c r="AD106" s="26" t="str">
        <f t="shared" si="174"/>
        <v/>
      </c>
      <c r="AE106" s="26" t="str">
        <f t="shared" si="174"/>
        <v/>
      </c>
      <c r="AF106" s="26" t="str">
        <f t="shared" si="174"/>
        <v/>
      </c>
      <c r="AG106" s="26" t="str">
        <f t="shared" si="174"/>
        <v/>
      </c>
      <c r="AH106" s="26" t="str">
        <f t="shared" si="174"/>
        <v/>
      </c>
      <c r="AI106" s="26" t="str">
        <f t="shared" si="174"/>
        <v/>
      </c>
      <c r="AJ106" s="26" t="str">
        <f t="shared" si="174"/>
        <v/>
      </c>
      <c r="AK106" s="26" t="str">
        <f t="shared" si="174"/>
        <v/>
      </c>
      <c r="AL106" s="26" t="str">
        <f t="shared" si="174"/>
        <v/>
      </c>
      <c r="AM106" s="26" t="str">
        <f t="shared" si="174"/>
        <v/>
      </c>
      <c r="AN106" s="26" t="str">
        <f t="shared" si="174"/>
        <v/>
      </c>
      <c r="AO106" s="26" t="str">
        <f t="shared" ref="AO106:AS106" si="175">IF(AO99="","",AO99-AN99)</f>
        <v/>
      </c>
      <c r="AP106" s="26" t="str">
        <f t="shared" si="175"/>
        <v/>
      </c>
      <c r="AQ106" s="26" t="str">
        <f t="shared" si="175"/>
        <v/>
      </c>
      <c r="AR106" s="26" t="str">
        <f t="shared" si="175"/>
        <v/>
      </c>
      <c r="AS106" s="26" t="str">
        <f t="shared" si="175"/>
        <v/>
      </c>
    </row>
    <row r="107" spans="1:45" s="93" customFormat="1" ht="11">
      <c r="A107" s="7">
        <f>SUM(C107:AS107)</f>
        <v>13</v>
      </c>
      <c r="B107" s="27" t="s">
        <v>16</v>
      </c>
      <c r="C107" s="65">
        <v>0</v>
      </c>
      <c r="D107" s="26">
        <f t="shared" ref="D107:AN107" si="176">IF(D100="","",D100-C100)</f>
        <v>0</v>
      </c>
      <c r="E107" s="26">
        <f t="shared" si="176"/>
        <v>1</v>
      </c>
      <c r="F107" s="54">
        <f t="shared" si="176"/>
        <v>0</v>
      </c>
      <c r="G107" s="26">
        <f t="shared" si="176"/>
        <v>0</v>
      </c>
      <c r="H107" s="26">
        <f t="shared" si="176"/>
        <v>2</v>
      </c>
      <c r="I107" s="54">
        <f t="shared" si="176"/>
        <v>0</v>
      </c>
      <c r="J107" s="26">
        <f t="shared" si="176"/>
        <v>0</v>
      </c>
      <c r="K107" s="26">
        <f t="shared" si="176"/>
        <v>0</v>
      </c>
      <c r="L107" s="26">
        <f t="shared" si="176"/>
        <v>2</v>
      </c>
      <c r="M107" s="54">
        <f t="shared" si="176"/>
        <v>0</v>
      </c>
      <c r="N107" s="26">
        <f t="shared" si="176"/>
        <v>0</v>
      </c>
      <c r="O107" s="26">
        <f t="shared" si="176"/>
        <v>2</v>
      </c>
      <c r="P107" s="26">
        <f t="shared" si="176"/>
        <v>0</v>
      </c>
      <c r="Q107" s="26">
        <f t="shared" si="176"/>
        <v>0</v>
      </c>
      <c r="R107" s="26">
        <f t="shared" si="176"/>
        <v>0</v>
      </c>
      <c r="S107" s="26">
        <f t="shared" si="176"/>
        <v>0</v>
      </c>
      <c r="T107" s="26">
        <f t="shared" si="176"/>
        <v>3</v>
      </c>
      <c r="U107" s="26">
        <f t="shared" si="176"/>
        <v>0</v>
      </c>
      <c r="V107" s="26">
        <f t="shared" si="176"/>
        <v>2</v>
      </c>
      <c r="W107" s="26">
        <f t="shared" si="176"/>
        <v>0</v>
      </c>
      <c r="X107" s="26">
        <f t="shared" si="176"/>
        <v>0</v>
      </c>
      <c r="Y107" s="26">
        <f t="shared" si="176"/>
        <v>0</v>
      </c>
      <c r="Z107" s="26">
        <f t="shared" si="176"/>
        <v>1</v>
      </c>
      <c r="AA107" s="26">
        <f t="shared" si="176"/>
        <v>0</v>
      </c>
      <c r="AB107" s="26">
        <f t="shared" si="176"/>
        <v>0</v>
      </c>
      <c r="AC107" s="26">
        <f t="shared" si="176"/>
        <v>0</v>
      </c>
      <c r="AD107" s="26" t="str">
        <f t="shared" si="176"/>
        <v/>
      </c>
      <c r="AE107" s="26" t="str">
        <f t="shared" si="176"/>
        <v/>
      </c>
      <c r="AF107" s="26" t="str">
        <f t="shared" si="176"/>
        <v/>
      </c>
      <c r="AG107" s="26" t="str">
        <f t="shared" si="176"/>
        <v/>
      </c>
      <c r="AH107" s="26" t="str">
        <f t="shared" si="176"/>
        <v/>
      </c>
      <c r="AI107" s="26" t="str">
        <f t="shared" si="176"/>
        <v/>
      </c>
      <c r="AJ107" s="26" t="str">
        <f t="shared" si="176"/>
        <v/>
      </c>
      <c r="AK107" s="26" t="str">
        <f t="shared" si="176"/>
        <v/>
      </c>
      <c r="AL107" s="26" t="str">
        <f t="shared" si="176"/>
        <v/>
      </c>
      <c r="AM107" s="26" t="str">
        <f t="shared" si="176"/>
        <v/>
      </c>
      <c r="AN107" s="26" t="str">
        <f t="shared" si="176"/>
        <v/>
      </c>
      <c r="AO107" s="26" t="str">
        <f t="shared" ref="AO107:AS107" si="177">IF(AO100="","",AO100-AN100)</f>
        <v/>
      </c>
      <c r="AP107" s="26" t="str">
        <f t="shared" si="177"/>
        <v/>
      </c>
      <c r="AQ107" s="26" t="str">
        <f t="shared" si="177"/>
        <v/>
      </c>
      <c r="AR107" s="26" t="str">
        <f t="shared" si="177"/>
        <v/>
      </c>
      <c r="AS107" s="26" t="str">
        <f t="shared" si="177"/>
        <v/>
      </c>
    </row>
    <row r="108" spans="1:45" s="93" customFormat="1" ht="11">
      <c r="A108" s="7">
        <f>SUM(C108:AS108)</f>
        <v>16</v>
      </c>
      <c r="B108" s="27" t="s">
        <v>17</v>
      </c>
      <c r="C108" s="65">
        <v>0</v>
      </c>
      <c r="D108" s="26">
        <f t="shared" ref="D108:AN108" si="178">IF(D101="","",C101+C102-D101)</f>
        <v>0</v>
      </c>
      <c r="E108" s="26">
        <f t="shared" si="178"/>
        <v>1</v>
      </c>
      <c r="F108" s="54">
        <f t="shared" si="178"/>
        <v>0</v>
      </c>
      <c r="G108" s="26">
        <f t="shared" si="178"/>
        <v>0</v>
      </c>
      <c r="H108" s="26">
        <f t="shared" si="178"/>
        <v>3</v>
      </c>
      <c r="I108" s="54">
        <f t="shared" si="178"/>
        <v>0</v>
      </c>
      <c r="J108" s="26">
        <f t="shared" si="178"/>
        <v>0</v>
      </c>
      <c r="K108" s="26">
        <f t="shared" si="178"/>
        <v>0</v>
      </c>
      <c r="L108" s="26">
        <f t="shared" si="178"/>
        <v>1</v>
      </c>
      <c r="M108" s="54">
        <f t="shared" si="178"/>
        <v>0</v>
      </c>
      <c r="N108" s="26">
        <f t="shared" si="178"/>
        <v>0</v>
      </c>
      <c r="O108" s="26">
        <f t="shared" si="178"/>
        <v>2</v>
      </c>
      <c r="P108" s="26">
        <f t="shared" si="178"/>
        <v>0</v>
      </c>
      <c r="Q108" s="26">
        <f t="shared" si="178"/>
        <v>0</v>
      </c>
      <c r="R108" s="26">
        <f t="shared" si="178"/>
        <v>0</v>
      </c>
      <c r="S108" s="26">
        <f t="shared" si="178"/>
        <v>0</v>
      </c>
      <c r="T108" s="26">
        <f t="shared" si="178"/>
        <v>3</v>
      </c>
      <c r="U108" s="26">
        <f t="shared" si="178"/>
        <v>0</v>
      </c>
      <c r="V108" s="26">
        <f t="shared" si="178"/>
        <v>2</v>
      </c>
      <c r="W108" s="26">
        <f t="shared" si="178"/>
        <v>0</v>
      </c>
      <c r="X108" s="26">
        <f t="shared" si="178"/>
        <v>0</v>
      </c>
      <c r="Y108" s="26">
        <f t="shared" si="178"/>
        <v>0</v>
      </c>
      <c r="Z108" s="26">
        <f t="shared" si="178"/>
        <v>2</v>
      </c>
      <c r="AA108" s="26">
        <f t="shared" si="178"/>
        <v>0</v>
      </c>
      <c r="AB108" s="26">
        <f t="shared" si="178"/>
        <v>0</v>
      </c>
      <c r="AC108" s="26">
        <f t="shared" si="178"/>
        <v>2</v>
      </c>
      <c r="AD108" s="26" t="str">
        <f t="shared" si="178"/>
        <v/>
      </c>
      <c r="AE108" s="26" t="str">
        <f t="shared" si="178"/>
        <v/>
      </c>
      <c r="AF108" s="26" t="str">
        <f t="shared" si="178"/>
        <v/>
      </c>
      <c r="AG108" s="26" t="str">
        <f t="shared" si="178"/>
        <v/>
      </c>
      <c r="AH108" s="26" t="str">
        <f t="shared" si="178"/>
        <v/>
      </c>
      <c r="AI108" s="26" t="str">
        <f t="shared" si="178"/>
        <v/>
      </c>
      <c r="AJ108" s="26" t="str">
        <f t="shared" si="178"/>
        <v/>
      </c>
      <c r="AK108" s="26" t="str">
        <f t="shared" si="178"/>
        <v/>
      </c>
      <c r="AL108" s="26" t="str">
        <f t="shared" si="178"/>
        <v/>
      </c>
      <c r="AM108" s="26" t="str">
        <f t="shared" si="178"/>
        <v/>
      </c>
      <c r="AN108" s="26" t="str">
        <f t="shared" si="178"/>
        <v/>
      </c>
      <c r="AO108" s="26" t="str">
        <f t="shared" ref="AO108:AS108" si="179">IF(AO101="","",AN101+AN102-AO101)</f>
        <v/>
      </c>
      <c r="AP108" s="26" t="str">
        <f t="shared" si="179"/>
        <v/>
      </c>
      <c r="AQ108" s="26" t="str">
        <f t="shared" si="179"/>
        <v/>
      </c>
      <c r="AR108" s="26" t="str">
        <f t="shared" si="179"/>
        <v/>
      </c>
      <c r="AS108" s="26" t="str">
        <f t="shared" si="179"/>
        <v/>
      </c>
    </row>
    <row r="109" spans="1:45" s="93" customFormat="1" ht="11">
      <c r="A109" s="7">
        <f>SUM(C109:AS109)</f>
        <v>24000</v>
      </c>
      <c r="B109" s="27" t="s">
        <v>18</v>
      </c>
      <c r="C109" s="65">
        <v>0</v>
      </c>
      <c r="D109" s="26">
        <f t="shared" ref="D109:AN109" si="180">IF(D99="","",D108*D103)</f>
        <v>0</v>
      </c>
      <c r="E109" s="26">
        <f t="shared" si="180"/>
        <v>1500</v>
      </c>
      <c r="F109" s="54">
        <f t="shared" si="180"/>
        <v>0</v>
      </c>
      <c r="G109" s="26">
        <f t="shared" si="180"/>
        <v>0</v>
      </c>
      <c r="H109" s="26">
        <f t="shared" si="180"/>
        <v>4500</v>
      </c>
      <c r="I109" s="54">
        <f t="shared" si="180"/>
        <v>0</v>
      </c>
      <c r="J109" s="26">
        <f t="shared" si="180"/>
        <v>0</v>
      </c>
      <c r="K109" s="26">
        <f t="shared" si="180"/>
        <v>0</v>
      </c>
      <c r="L109" s="26">
        <f t="shared" si="180"/>
        <v>1500</v>
      </c>
      <c r="M109" s="54">
        <f t="shared" si="180"/>
        <v>0</v>
      </c>
      <c r="N109" s="26">
        <f t="shared" si="180"/>
        <v>0</v>
      </c>
      <c r="O109" s="26">
        <f t="shared" si="180"/>
        <v>3000</v>
      </c>
      <c r="P109" s="26">
        <f t="shared" si="180"/>
        <v>0</v>
      </c>
      <c r="Q109" s="26">
        <f t="shared" si="180"/>
        <v>0</v>
      </c>
      <c r="R109" s="26">
        <f t="shared" si="180"/>
        <v>0</v>
      </c>
      <c r="S109" s="26">
        <f t="shared" si="180"/>
        <v>0</v>
      </c>
      <c r="T109" s="26">
        <f t="shared" si="180"/>
        <v>4500</v>
      </c>
      <c r="U109" s="26">
        <f t="shared" si="180"/>
        <v>0</v>
      </c>
      <c r="V109" s="26">
        <f t="shared" si="180"/>
        <v>3000</v>
      </c>
      <c r="W109" s="26">
        <f t="shared" si="180"/>
        <v>0</v>
      </c>
      <c r="X109" s="26">
        <f t="shared" si="180"/>
        <v>0</v>
      </c>
      <c r="Y109" s="26">
        <f t="shared" si="180"/>
        <v>0</v>
      </c>
      <c r="Z109" s="26">
        <f t="shared" si="180"/>
        <v>3000</v>
      </c>
      <c r="AA109" s="26">
        <f t="shared" si="180"/>
        <v>0</v>
      </c>
      <c r="AB109" s="26">
        <f t="shared" si="180"/>
        <v>0</v>
      </c>
      <c r="AC109" s="26">
        <f t="shared" si="180"/>
        <v>3000</v>
      </c>
      <c r="AD109" s="26" t="str">
        <f t="shared" si="180"/>
        <v/>
      </c>
      <c r="AE109" s="26" t="str">
        <f t="shared" si="180"/>
        <v/>
      </c>
      <c r="AF109" s="26" t="str">
        <f t="shared" si="180"/>
        <v/>
      </c>
      <c r="AG109" s="26" t="str">
        <f t="shared" si="180"/>
        <v/>
      </c>
      <c r="AH109" s="26" t="str">
        <f t="shared" si="180"/>
        <v/>
      </c>
      <c r="AI109" s="26" t="str">
        <f t="shared" si="180"/>
        <v/>
      </c>
      <c r="AJ109" s="26" t="str">
        <f t="shared" si="180"/>
        <v/>
      </c>
      <c r="AK109" s="26" t="str">
        <f t="shared" si="180"/>
        <v/>
      </c>
      <c r="AL109" s="26" t="str">
        <f t="shared" si="180"/>
        <v/>
      </c>
      <c r="AM109" s="26" t="str">
        <f t="shared" si="180"/>
        <v/>
      </c>
      <c r="AN109" s="26" t="str">
        <f t="shared" si="180"/>
        <v/>
      </c>
      <c r="AO109" s="26" t="str">
        <f t="shared" ref="AO109:AS109" si="181">IF(AO99="","",AO108*AO103)</f>
        <v/>
      </c>
      <c r="AP109" s="26" t="str">
        <f t="shared" si="181"/>
        <v/>
      </c>
      <c r="AQ109" s="26" t="str">
        <f t="shared" si="181"/>
        <v/>
      </c>
      <c r="AR109" s="26" t="str">
        <f t="shared" si="181"/>
        <v/>
      </c>
      <c r="AS109" s="26" t="str">
        <f t="shared" si="181"/>
        <v/>
      </c>
    </row>
    <row r="110" spans="1:45" s="93" customFormat="1" ht="12" thickBot="1">
      <c r="A110" s="4">
        <f>IF(A109="","",A109/(A106*100))</f>
        <v>9.3713393205778997E-2</v>
      </c>
      <c r="B110" s="24" t="s">
        <v>20</v>
      </c>
      <c r="C110" s="67" t="s">
        <v>21</v>
      </c>
      <c r="D110" s="23" t="str">
        <f t="shared" ref="D110:AN110" si="182">IF(D109="","",IF(D109=0,"",D109/(D106*100)))</f>
        <v/>
      </c>
      <c r="E110" s="23">
        <f t="shared" si="182"/>
        <v>5.5970149253731345E-2</v>
      </c>
      <c r="F110" s="52" t="str">
        <f t="shared" si="182"/>
        <v/>
      </c>
      <c r="G110" s="23" t="str">
        <f t="shared" si="182"/>
        <v/>
      </c>
      <c r="H110" s="23">
        <f t="shared" si="182"/>
        <v>8.8235294117647065E-2</v>
      </c>
      <c r="I110" s="52" t="str">
        <f t="shared" si="182"/>
        <v/>
      </c>
      <c r="J110" s="23" t="str">
        <f t="shared" si="182"/>
        <v/>
      </c>
      <c r="K110" s="23" t="str">
        <f t="shared" si="182"/>
        <v/>
      </c>
      <c r="L110" s="23">
        <f t="shared" si="182"/>
        <v>6.6666666666666666E-2</v>
      </c>
      <c r="M110" s="52" t="str">
        <f t="shared" si="182"/>
        <v/>
      </c>
      <c r="N110" s="23" t="str">
        <f t="shared" si="182"/>
        <v/>
      </c>
      <c r="O110" s="23">
        <f t="shared" si="182"/>
        <v>8.2644628099173556E-2</v>
      </c>
      <c r="P110" s="23" t="str">
        <f t="shared" si="182"/>
        <v/>
      </c>
      <c r="Q110" s="23" t="str">
        <f t="shared" si="182"/>
        <v/>
      </c>
      <c r="R110" s="23" t="str">
        <f t="shared" si="182"/>
        <v/>
      </c>
      <c r="S110" s="23" t="str">
        <f t="shared" si="182"/>
        <v/>
      </c>
      <c r="T110" s="23">
        <f t="shared" si="182"/>
        <v>0.1490066225165563</v>
      </c>
      <c r="U110" s="23" t="str">
        <f t="shared" si="182"/>
        <v/>
      </c>
      <c r="V110" s="23">
        <f t="shared" si="182"/>
        <v>0.10169491525423729</v>
      </c>
      <c r="W110" s="23" t="str">
        <f t="shared" si="182"/>
        <v/>
      </c>
      <c r="X110" s="23" t="str">
        <f t="shared" si="182"/>
        <v/>
      </c>
      <c r="Y110" s="23" t="str">
        <f t="shared" si="182"/>
        <v/>
      </c>
      <c r="Z110" s="23">
        <f t="shared" si="182"/>
        <v>0.11450381679389313</v>
      </c>
      <c r="AA110" s="23" t="str">
        <f t="shared" si="182"/>
        <v/>
      </c>
      <c r="AB110" s="23" t="str">
        <f t="shared" si="182"/>
        <v/>
      </c>
      <c r="AC110" s="23">
        <f t="shared" si="182"/>
        <v>8.9285714285714288E-2</v>
      </c>
      <c r="AD110" s="23" t="str">
        <f t="shared" si="182"/>
        <v/>
      </c>
      <c r="AE110" s="23" t="str">
        <f t="shared" si="182"/>
        <v/>
      </c>
      <c r="AF110" s="23" t="str">
        <f t="shared" si="182"/>
        <v/>
      </c>
      <c r="AG110" s="23" t="str">
        <f t="shared" si="182"/>
        <v/>
      </c>
      <c r="AH110" s="23" t="str">
        <f t="shared" si="182"/>
        <v/>
      </c>
      <c r="AI110" s="23" t="str">
        <f t="shared" si="182"/>
        <v/>
      </c>
      <c r="AJ110" s="23" t="str">
        <f t="shared" si="182"/>
        <v/>
      </c>
      <c r="AK110" s="23" t="str">
        <f t="shared" si="182"/>
        <v/>
      </c>
      <c r="AL110" s="23" t="str">
        <f t="shared" si="182"/>
        <v/>
      </c>
      <c r="AM110" s="23" t="str">
        <f t="shared" si="182"/>
        <v/>
      </c>
      <c r="AN110" s="23" t="str">
        <f t="shared" si="182"/>
        <v/>
      </c>
      <c r="AO110" s="23" t="str">
        <f t="shared" ref="AO110:AS110" si="183">IF(AO109="","",IF(AO109=0,"",AO109/(AO106*100)))</f>
        <v/>
      </c>
      <c r="AP110" s="23" t="str">
        <f t="shared" si="183"/>
        <v/>
      </c>
      <c r="AQ110" s="23" t="str">
        <f t="shared" si="183"/>
        <v/>
      </c>
      <c r="AR110" s="23" t="str">
        <f t="shared" si="183"/>
        <v/>
      </c>
      <c r="AS110" s="23" t="str">
        <f t="shared" si="183"/>
        <v/>
      </c>
    </row>
    <row r="111" spans="1:45">
      <c r="A111" s="436" t="s">
        <v>430</v>
      </c>
      <c r="B111" s="437"/>
      <c r="C111" s="437">
        <v>1</v>
      </c>
    </row>
  </sheetData>
  <phoneticPr fontId="2"/>
  <conditionalFormatting sqref="A14">
    <cfRule type="cellIs" dxfId="46" priority="9" operator="greaterThan">
      <formula>0.25</formula>
    </cfRule>
  </conditionalFormatting>
  <conditionalFormatting sqref="A26">
    <cfRule type="cellIs" dxfId="45" priority="10" operator="greaterThan">
      <formula>0.25</formula>
    </cfRule>
  </conditionalFormatting>
  <conditionalFormatting sqref="A38">
    <cfRule type="cellIs" dxfId="44" priority="11" operator="greaterThan">
      <formula>0.25</formula>
    </cfRule>
  </conditionalFormatting>
  <conditionalFormatting sqref="A50 A98">
    <cfRule type="cellIs" dxfId="43" priority="15" operator="greaterThan">
      <formula>0.25</formula>
    </cfRule>
  </conditionalFormatting>
  <conditionalFormatting sqref="A62">
    <cfRule type="cellIs" dxfId="42" priority="12" operator="greaterThan">
      <formula>0.25</formula>
    </cfRule>
  </conditionalFormatting>
  <conditionalFormatting sqref="A74">
    <cfRule type="cellIs" dxfId="41" priority="13" operator="greaterThan">
      <formula>0.25</formula>
    </cfRule>
  </conditionalFormatting>
  <conditionalFormatting sqref="A86">
    <cfRule type="cellIs" dxfId="40" priority="14" operator="greaterThan">
      <formula>0.25</formula>
    </cfRule>
  </conditionalFormatting>
  <conditionalFormatting sqref="A110">
    <cfRule type="cellIs" dxfId="39" priority="8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A9E0-DC27-40A3-8697-56CA838235ED}">
  <dimension ref="A1:AS99"/>
  <sheetViews>
    <sheetView zoomScaleNormal="60" zoomScaleSheetLayoutView="100" workbookViewId="0">
      <pane xSplit="2" ySplit="2" topLeftCell="AB20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baseColWidth="10" defaultColWidth="8.83203125" defaultRowHeight="15"/>
  <cols>
    <col min="3" max="39" width="9.1640625" bestFit="1" customWidth="1"/>
  </cols>
  <sheetData>
    <row r="1" spans="1:45" s="93" customFormat="1" ht="11">
      <c r="A1" s="416">
        <f>SUM(A57,A69,A81,A93,A9,A21,A33,A45)</f>
        <v>333777.77777777781</v>
      </c>
      <c r="B1" s="49" t="s">
        <v>0</v>
      </c>
      <c r="C1" s="48">
        <v>46071</v>
      </c>
      <c r="D1" s="48">
        <f t="shared" ref="D1:AM1" si="0">C1+1</f>
        <v>46072</v>
      </c>
      <c r="E1" s="48">
        <f t="shared" si="0"/>
        <v>46073</v>
      </c>
      <c r="F1" s="48">
        <f t="shared" si="0"/>
        <v>46074</v>
      </c>
      <c r="G1" s="48">
        <f t="shared" si="0"/>
        <v>46075</v>
      </c>
      <c r="H1" s="48">
        <f t="shared" si="0"/>
        <v>46076</v>
      </c>
      <c r="I1" s="48">
        <f t="shared" si="0"/>
        <v>46077</v>
      </c>
      <c r="J1" s="48">
        <f t="shared" si="0"/>
        <v>46078</v>
      </c>
      <c r="K1" s="48">
        <f t="shared" si="0"/>
        <v>46079</v>
      </c>
      <c r="L1" s="48">
        <f t="shared" si="0"/>
        <v>46080</v>
      </c>
      <c r="M1" s="48">
        <f t="shared" si="0"/>
        <v>46081</v>
      </c>
      <c r="N1" s="48">
        <f t="shared" si="0"/>
        <v>46082</v>
      </c>
      <c r="O1" s="48">
        <f t="shared" si="0"/>
        <v>46083</v>
      </c>
      <c r="P1" s="48">
        <f t="shared" si="0"/>
        <v>46084</v>
      </c>
      <c r="Q1" s="48">
        <f t="shared" si="0"/>
        <v>46085</v>
      </c>
      <c r="R1" s="48">
        <f t="shared" si="0"/>
        <v>46086</v>
      </c>
      <c r="S1" s="48">
        <f t="shared" si="0"/>
        <v>46087</v>
      </c>
      <c r="T1" s="48">
        <f t="shared" si="0"/>
        <v>46088</v>
      </c>
      <c r="U1" s="48">
        <f t="shared" si="0"/>
        <v>46089</v>
      </c>
      <c r="V1" s="48">
        <f t="shared" si="0"/>
        <v>46090</v>
      </c>
      <c r="W1" s="48">
        <f t="shared" si="0"/>
        <v>46091</v>
      </c>
      <c r="X1" s="48">
        <f t="shared" si="0"/>
        <v>46092</v>
      </c>
      <c r="Y1" s="48">
        <f t="shared" si="0"/>
        <v>46093</v>
      </c>
      <c r="Z1" s="48">
        <f t="shared" si="0"/>
        <v>46094</v>
      </c>
      <c r="AA1" s="48">
        <f t="shared" si="0"/>
        <v>46095</v>
      </c>
      <c r="AB1" s="48">
        <f t="shared" si="0"/>
        <v>46096</v>
      </c>
      <c r="AC1" s="48">
        <f t="shared" si="0"/>
        <v>46097</v>
      </c>
      <c r="AD1" s="48">
        <f t="shared" si="0"/>
        <v>46098</v>
      </c>
      <c r="AE1" s="48">
        <f t="shared" si="0"/>
        <v>46099</v>
      </c>
      <c r="AF1" s="48">
        <f t="shared" si="0"/>
        <v>46100</v>
      </c>
      <c r="AG1" s="48">
        <f t="shared" si="0"/>
        <v>46101</v>
      </c>
      <c r="AH1" s="48">
        <f t="shared" si="0"/>
        <v>46102</v>
      </c>
      <c r="AI1" s="48">
        <f t="shared" si="0"/>
        <v>46103</v>
      </c>
      <c r="AJ1" s="48">
        <f t="shared" si="0"/>
        <v>46104</v>
      </c>
      <c r="AK1" s="48">
        <f t="shared" si="0"/>
        <v>46105</v>
      </c>
      <c r="AL1" s="48">
        <f t="shared" si="0"/>
        <v>46106</v>
      </c>
      <c r="AM1" s="48">
        <f t="shared" si="0"/>
        <v>46107</v>
      </c>
      <c r="AN1" s="48">
        <f t="shared" ref="AN1:AS1" si="1">AM1+1</f>
        <v>46108</v>
      </c>
      <c r="AO1" s="48">
        <f t="shared" si="1"/>
        <v>46109</v>
      </c>
      <c r="AP1" s="48">
        <f t="shared" si="1"/>
        <v>46110</v>
      </c>
      <c r="AQ1" s="48">
        <f t="shared" si="1"/>
        <v>46111</v>
      </c>
      <c r="AR1" s="48">
        <f t="shared" si="1"/>
        <v>46112</v>
      </c>
      <c r="AS1" s="48">
        <f t="shared" si="1"/>
        <v>46113</v>
      </c>
    </row>
    <row r="2" spans="1:45" s="93" customFormat="1" ht="12" thickBot="1">
      <c r="A2" s="47"/>
      <c r="B2" s="46">
        <f>SUM(C2:AO2)</f>
        <v>3004</v>
      </c>
      <c r="C2" s="115">
        <v>0</v>
      </c>
      <c r="D2" s="45">
        <f t="shared" ref="D2:AM2" si="2">SUM(D10,D22,D34,D46,D58,D70,D82,D94)</f>
        <v>0</v>
      </c>
      <c r="E2" s="45">
        <f t="shared" si="2"/>
        <v>254</v>
      </c>
      <c r="F2" s="126">
        <f t="shared" si="2"/>
        <v>0</v>
      </c>
      <c r="G2" s="45">
        <f t="shared" si="2"/>
        <v>0</v>
      </c>
      <c r="H2" s="45">
        <f t="shared" si="2"/>
        <v>515</v>
      </c>
      <c r="I2" s="126">
        <f t="shared" si="2"/>
        <v>0</v>
      </c>
      <c r="J2" s="45">
        <f t="shared" si="2"/>
        <v>0</v>
      </c>
      <c r="K2" s="45">
        <f t="shared" si="2"/>
        <v>0</v>
      </c>
      <c r="L2" s="45">
        <f t="shared" si="2"/>
        <v>255</v>
      </c>
      <c r="M2" s="126">
        <f t="shared" si="2"/>
        <v>0</v>
      </c>
      <c r="N2" s="45">
        <f t="shared" si="2"/>
        <v>0</v>
      </c>
      <c r="O2" s="45">
        <f t="shared" si="2"/>
        <v>335</v>
      </c>
      <c r="P2" s="45">
        <f t="shared" si="2"/>
        <v>0</v>
      </c>
      <c r="Q2" s="45">
        <f t="shared" si="2"/>
        <v>0</v>
      </c>
      <c r="R2" s="45">
        <f t="shared" si="2"/>
        <v>0</v>
      </c>
      <c r="S2" s="45">
        <f t="shared" si="2"/>
        <v>0</v>
      </c>
      <c r="T2" s="45">
        <f t="shared" si="2"/>
        <v>357</v>
      </c>
      <c r="U2" s="45">
        <f t="shared" si="2"/>
        <v>0</v>
      </c>
      <c r="V2" s="45">
        <f t="shared" si="2"/>
        <v>521</v>
      </c>
      <c r="W2" s="45">
        <f t="shared" si="2"/>
        <v>0</v>
      </c>
      <c r="X2" s="45">
        <f t="shared" si="2"/>
        <v>0</v>
      </c>
      <c r="Y2" s="45">
        <f t="shared" si="2"/>
        <v>0</v>
      </c>
      <c r="Z2" s="45">
        <f t="shared" si="2"/>
        <v>329</v>
      </c>
      <c r="AA2" s="45">
        <f t="shared" si="2"/>
        <v>0</v>
      </c>
      <c r="AB2" s="45">
        <f t="shared" si="2"/>
        <v>0</v>
      </c>
      <c r="AC2" s="45">
        <f t="shared" si="2"/>
        <v>438</v>
      </c>
      <c r="AD2" s="45">
        <f t="shared" si="2"/>
        <v>0</v>
      </c>
      <c r="AE2" s="45">
        <f t="shared" si="2"/>
        <v>0</v>
      </c>
      <c r="AF2" s="45">
        <f t="shared" si="2"/>
        <v>0</v>
      </c>
      <c r="AG2" s="45">
        <f t="shared" si="2"/>
        <v>0</v>
      </c>
      <c r="AH2" s="45">
        <f t="shared" si="2"/>
        <v>0</v>
      </c>
      <c r="AI2" s="45">
        <f t="shared" si="2"/>
        <v>0</v>
      </c>
      <c r="AJ2" s="45">
        <f t="shared" si="2"/>
        <v>0</v>
      </c>
      <c r="AK2" s="45">
        <f t="shared" si="2"/>
        <v>0</v>
      </c>
      <c r="AL2" s="45">
        <f t="shared" si="2"/>
        <v>0</v>
      </c>
      <c r="AM2" s="45">
        <f t="shared" si="2"/>
        <v>0</v>
      </c>
      <c r="AN2" s="45">
        <f t="shared" ref="AN2:AS2" si="3">SUM(AN10,AN22,AN34,AN46,AN58,AN70,AN82,AN94)</f>
        <v>0</v>
      </c>
      <c r="AO2" s="45">
        <f t="shared" si="3"/>
        <v>0</v>
      </c>
      <c r="AP2" s="45">
        <f t="shared" si="3"/>
        <v>0</v>
      </c>
      <c r="AQ2" s="45">
        <f t="shared" si="3"/>
        <v>0</v>
      </c>
      <c r="AR2" s="45">
        <f t="shared" si="3"/>
        <v>0</v>
      </c>
      <c r="AS2" s="45">
        <f t="shared" si="3"/>
        <v>0</v>
      </c>
    </row>
    <row r="3" spans="1:45" s="93" customFormat="1" ht="11">
      <c r="A3" s="22" t="s">
        <v>134</v>
      </c>
      <c r="B3" s="21" t="s">
        <v>2</v>
      </c>
      <c r="C3" s="73">
        <v>23419</v>
      </c>
      <c r="D3" s="20">
        <v>23419</v>
      </c>
      <c r="E3" s="20">
        <v>23440</v>
      </c>
      <c r="F3" s="130">
        <v>23440</v>
      </c>
      <c r="G3" s="20">
        <v>23440</v>
      </c>
      <c r="H3" s="20">
        <v>23469</v>
      </c>
      <c r="I3" s="20">
        <v>23469</v>
      </c>
      <c r="J3" s="20">
        <v>23469</v>
      </c>
      <c r="K3" s="20">
        <v>23469</v>
      </c>
      <c r="L3" s="20">
        <v>23481</v>
      </c>
      <c r="M3" s="20">
        <v>23481</v>
      </c>
      <c r="N3" s="20">
        <v>23481</v>
      </c>
      <c r="O3" s="20">
        <v>23499</v>
      </c>
      <c r="P3" s="20">
        <v>23499</v>
      </c>
      <c r="Q3" s="20">
        <v>23499</v>
      </c>
      <c r="R3" s="20">
        <v>23499</v>
      </c>
      <c r="S3" s="20">
        <v>23499</v>
      </c>
      <c r="T3" s="20">
        <v>23512</v>
      </c>
      <c r="U3" s="20">
        <v>23512</v>
      </c>
      <c r="V3" s="20">
        <v>23519</v>
      </c>
      <c r="W3" s="20">
        <v>23519</v>
      </c>
      <c r="X3" s="20">
        <v>23519</v>
      </c>
      <c r="Y3" s="20">
        <v>23519</v>
      </c>
      <c r="Z3" s="20">
        <v>23538</v>
      </c>
      <c r="AA3" s="20">
        <v>23538</v>
      </c>
      <c r="AB3" s="20">
        <v>23538</v>
      </c>
      <c r="AC3" s="20">
        <v>23561</v>
      </c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s="93" customFormat="1" ht="11">
      <c r="A4" s="16" t="s">
        <v>131</v>
      </c>
      <c r="B4" s="9" t="s">
        <v>4</v>
      </c>
      <c r="C4" s="74">
        <v>1548</v>
      </c>
      <c r="D4" s="8">
        <f t="shared" ref="D4:N4" si="4">IF(D$3="","",C4)</f>
        <v>1548</v>
      </c>
      <c r="E4" s="8">
        <f t="shared" si="4"/>
        <v>1548</v>
      </c>
      <c r="F4" s="59">
        <f t="shared" si="4"/>
        <v>1548</v>
      </c>
      <c r="G4" s="8">
        <f t="shared" si="4"/>
        <v>1548</v>
      </c>
      <c r="H4" s="8">
        <f t="shared" si="4"/>
        <v>1548</v>
      </c>
      <c r="I4" s="59">
        <f t="shared" si="4"/>
        <v>1548</v>
      </c>
      <c r="J4" s="8">
        <f t="shared" si="4"/>
        <v>1548</v>
      </c>
      <c r="K4" s="8">
        <f t="shared" si="4"/>
        <v>1548</v>
      </c>
      <c r="L4" s="8">
        <f t="shared" si="4"/>
        <v>1548</v>
      </c>
      <c r="M4" s="59">
        <f t="shared" si="4"/>
        <v>1548</v>
      </c>
      <c r="N4" s="8">
        <f t="shared" si="4"/>
        <v>1548</v>
      </c>
      <c r="O4" s="8">
        <v>1549</v>
      </c>
      <c r="P4" s="8">
        <f t="shared" ref="P4:AM4" si="5">IF(P$3="","",O4)</f>
        <v>1549</v>
      </c>
      <c r="Q4" s="8">
        <f t="shared" si="5"/>
        <v>1549</v>
      </c>
      <c r="R4" s="8">
        <f t="shared" si="5"/>
        <v>1549</v>
      </c>
      <c r="S4" s="8">
        <f t="shared" si="5"/>
        <v>1549</v>
      </c>
      <c r="T4" s="8">
        <f t="shared" si="5"/>
        <v>1549</v>
      </c>
      <c r="U4" s="8">
        <f t="shared" si="5"/>
        <v>1549</v>
      </c>
      <c r="V4" s="8">
        <f t="shared" si="5"/>
        <v>1549</v>
      </c>
      <c r="W4" s="8">
        <f t="shared" si="5"/>
        <v>1549</v>
      </c>
      <c r="X4" s="8">
        <f t="shared" si="5"/>
        <v>1549</v>
      </c>
      <c r="Y4" s="8">
        <f t="shared" si="5"/>
        <v>1549</v>
      </c>
      <c r="Z4" s="8">
        <v>1550</v>
      </c>
      <c r="AA4" s="8">
        <f t="shared" si="5"/>
        <v>1550</v>
      </c>
      <c r="AB4" s="8">
        <f t="shared" si="5"/>
        <v>1550</v>
      </c>
      <c r="AC4" s="8">
        <f t="shared" si="5"/>
        <v>1550</v>
      </c>
      <c r="AD4" s="8" t="str">
        <f t="shared" si="5"/>
        <v/>
      </c>
      <c r="AE4" s="8" t="str">
        <f t="shared" si="5"/>
        <v/>
      </c>
      <c r="AF4" s="8" t="str">
        <f t="shared" si="5"/>
        <v/>
      </c>
      <c r="AG4" s="8" t="str">
        <f t="shared" si="5"/>
        <v/>
      </c>
      <c r="AH4" s="8" t="str">
        <f t="shared" si="5"/>
        <v/>
      </c>
      <c r="AI4" s="8" t="str">
        <f t="shared" si="5"/>
        <v/>
      </c>
      <c r="AJ4" s="8" t="str">
        <f t="shared" si="5"/>
        <v/>
      </c>
      <c r="AK4" s="8" t="str">
        <f t="shared" si="5"/>
        <v/>
      </c>
      <c r="AL4" s="8" t="str">
        <f t="shared" si="5"/>
        <v/>
      </c>
      <c r="AM4" s="8" t="str">
        <f t="shared" si="5"/>
        <v/>
      </c>
      <c r="AN4" s="8" t="str">
        <f t="shared" ref="AN4:AS4" si="6">IF(AN$3="","",AM4)</f>
        <v/>
      </c>
      <c r="AO4" s="8" t="str">
        <f t="shared" si="6"/>
        <v/>
      </c>
      <c r="AP4" s="8" t="str">
        <f t="shared" si="6"/>
        <v/>
      </c>
      <c r="AQ4" s="8" t="str">
        <f t="shared" si="6"/>
        <v/>
      </c>
      <c r="AR4" s="8" t="str">
        <f t="shared" si="6"/>
        <v/>
      </c>
      <c r="AS4" s="8" t="str">
        <f t="shared" si="6"/>
        <v/>
      </c>
    </row>
    <row r="5" spans="1:45" s="93" customFormat="1" ht="11">
      <c r="A5" s="15">
        <v>1</v>
      </c>
      <c r="B5" s="9" t="s">
        <v>5</v>
      </c>
      <c r="C5" s="74">
        <v>5</v>
      </c>
      <c r="D5" s="8">
        <f t="shared" ref="D5:N5" si="7">IF(D3="","",(C5+C6))</f>
        <v>5</v>
      </c>
      <c r="E5" s="8">
        <f t="shared" si="7"/>
        <v>5</v>
      </c>
      <c r="F5" s="59">
        <f t="shared" si="7"/>
        <v>5</v>
      </c>
      <c r="G5" s="8">
        <f t="shared" si="7"/>
        <v>5</v>
      </c>
      <c r="H5" s="8">
        <f t="shared" si="7"/>
        <v>5</v>
      </c>
      <c r="I5" s="59">
        <f t="shared" si="7"/>
        <v>5</v>
      </c>
      <c r="J5" s="8">
        <f t="shared" si="7"/>
        <v>5</v>
      </c>
      <c r="K5" s="8">
        <f t="shared" si="7"/>
        <v>5</v>
      </c>
      <c r="L5" s="8">
        <f t="shared" si="7"/>
        <v>5</v>
      </c>
      <c r="M5" s="59">
        <f t="shared" si="7"/>
        <v>5</v>
      </c>
      <c r="N5" s="8">
        <f t="shared" si="7"/>
        <v>5</v>
      </c>
      <c r="O5" s="8">
        <v>4</v>
      </c>
      <c r="P5" s="8">
        <f t="shared" ref="P5:AM5" si="8">IF(P3="","",(O5+O6))</f>
        <v>8</v>
      </c>
      <c r="Q5" s="8">
        <f t="shared" si="8"/>
        <v>8</v>
      </c>
      <c r="R5" s="8">
        <f t="shared" si="8"/>
        <v>8</v>
      </c>
      <c r="S5" s="8">
        <f t="shared" si="8"/>
        <v>8</v>
      </c>
      <c r="T5" s="8">
        <f t="shared" si="8"/>
        <v>8</v>
      </c>
      <c r="U5" s="8">
        <f t="shared" si="8"/>
        <v>8</v>
      </c>
      <c r="V5" s="8">
        <f t="shared" si="8"/>
        <v>8</v>
      </c>
      <c r="W5" s="8">
        <f t="shared" si="8"/>
        <v>8</v>
      </c>
      <c r="X5" s="8">
        <f t="shared" si="8"/>
        <v>8</v>
      </c>
      <c r="Y5" s="8">
        <f t="shared" si="8"/>
        <v>8</v>
      </c>
      <c r="Z5" s="8">
        <v>6</v>
      </c>
      <c r="AA5" s="8">
        <f t="shared" si="8"/>
        <v>6</v>
      </c>
      <c r="AB5" s="8">
        <f t="shared" si="8"/>
        <v>6</v>
      </c>
      <c r="AC5" s="8">
        <f t="shared" si="8"/>
        <v>6</v>
      </c>
      <c r="AD5" s="8" t="str">
        <f t="shared" si="8"/>
        <v/>
      </c>
      <c r="AE5" s="8" t="str">
        <f t="shared" si="8"/>
        <v/>
      </c>
      <c r="AF5" s="8" t="str">
        <f t="shared" si="8"/>
        <v/>
      </c>
      <c r="AG5" s="8" t="str">
        <f t="shared" si="8"/>
        <v/>
      </c>
      <c r="AH5" s="8" t="str">
        <f t="shared" si="8"/>
        <v/>
      </c>
      <c r="AI5" s="8" t="str">
        <f t="shared" si="8"/>
        <v/>
      </c>
      <c r="AJ5" s="8" t="str">
        <f t="shared" si="8"/>
        <v/>
      </c>
      <c r="AK5" s="8" t="str">
        <f t="shared" si="8"/>
        <v/>
      </c>
      <c r="AL5" s="8" t="str">
        <f t="shared" si="8"/>
        <v/>
      </c>
      <c r="AM5" s="8" t="str">
        <f t="shared" si="8"/>
        <v/>
      </c>
      <c r="AN5" s="8" t="str">
        <f t="shared" ref="AN5:AS5" si="9">IF(AN3="","",(AM5+AM6))</f>
        <v/>
      </c>
      <c r="AO5" s="8" t="str">
        <f t="shared" si="9"/>
        <v/>
      </c>
      <c r="AP5" s="8" t="str">
        <f t="shared" si="9"/>
        <v/>
      </c>
      <c r="AQ5" s="8" t="str">
        <f t="shared" si="9"/>
        <v/>
      </c>
      <c r="AR5" s="8" t="str">
        <f t="shared" si="9"/>
        <v/>
      </c>
      <c r="AS5" s="8" t="str">
        <f t="shared" si="9"/>
        <v/>
      </c>
    </row>
    <row r="6" spans="1:45" s="93" customFormat="1" ht="11">
      <c r="A6" s="101" t="s">
        <v>6</v>
      </c>
      <c r="B6" s="9" t="s">
        <v>7</v>
      </c>
      <c r="C6" s="74"/>
      <c r="D6" s="8"/>
      <c r="E6" s="8"/>
      <c r="F6" s="59"/>
      <c r="G6" s="8"/>
      <c r="H6" s="8"/>
      <c r="I6" s="59"/>
      <c r="J6" s="8"/>
      <c r="K6" s="8"/>
      <c r="L6" s="8"/>
      <c r="M6" s="59"/>
      <c r="N6" s="8"/>
      <c r="O6" s="8">
        <v>4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s="93" customFormat="1" ht="11">
      <c r="A7" s="102">
        <f>+(A10+A22+A34+A46)*100</f>
        <v>96000</v>
      </c>
      <c r="B7" s="9" t="s">
        <v>8</v>
      </c>
      <c r="C7" s="74">
        <v>400</v>
      </c>
      <c r="D7" s="8">
        <f t="shared" ref="D7:AM7" si="10">IF(D3="","",C7)</f>
        <v>400</v>
      </c>
      <c r="E7" s="8">
        <f t="shared" si="10"/>
        <v>400</v>
      </c>
      <c r="F7" s="59">
        <f t="shared" si="10"/>
        <v>400</v>
      </c>
      <c r="G7" s="8">
        <f t="shared" si="10"/>
        <v>400</v>
      </c>
      <c r="H7" s="8">
        <f t="shared" si="10"/>
        <v>400</v>
      </c>
      <c r="I7" s="59">
        <f t="shared" si="10"/>
        <v>400</v>
      </c>
      <c r="J7" s="8">
        <f t="shared" si="10"/>
        <v>400</v>
      </c>
      <c r="K7" s="8">
        <f t="shared" si="10"/>
        <v>400</v>
      </c>
      <c r="L7" s="8">
        <f t="shared" si="10"/>
        <v>400</v>
      </c>
      <c r="M7" s="59">
        <f t="shared" si="10"/>
        <v>400</v>
      </c>
      <c r="N7" s="8">
        <f t="shared" si="10"/>
        <v>400</v>
      </c>
      <c r="O7" s="8">
        <f t="shared" si="10"/>
        <v>400</v>
      </c>
      <c r="P7" s="8">
        <f t="shared" si="10"/>
        <v>400</v>
      </c>
      <c r="Q7" s="8">
        <f t="shared" si="10"/>
        <v>400</v>
      </c>
      <c r="R7" s="8">
        <f t="shared" si="10"/>
        <v>400</v>
      </c>
      <c r="S7" s="8">
        <f t="shared" si="10"/>
        <v>400</v>
      </c>
      <c r="T7" s="8">
        <f t="shared" si="10"/>
        <v>400</v>
      </c>
      <c r="U7" s="8">
        <f t="shared" si="10"/>
        <v>400</v>
      </c>
      <c r="V7" s="8">
        <f t="shared" si="10"/>
        <v>400</v>
      </c>
      <c r="W7" s="8">
        <f t="shared" si="10"/>
        <v>400</v>
      </c>
      <c r="X7" s="8">
        <f t="shared" si="10"/>
        <v>400</v>
      </c>
      <c r="Y7" s="8">
        <f t="shared" si="10"/>
        <v>400</v>
      </c>
      <c r="Z7" s="8">
        <f t="shared" si="10"/>
        <v>400</v>
      </c>
      <c r="AA7" s="8">
        <f t="shared" si="10"/>
        <v>400</v>
      </c>
      <c r="AB7" s="8">
        <f t="shared" si="10"/>
        <v>400</v>
      </c>
      <c r="AC7" s="8">
        <f t="shared" si="10"/>
        <v>400</v>
      </c>
      <c r="AD7" s="8" t="str">
        <f t="shared" si="10"/>
        <v/>
      </c>
      <c r="AE7" s="8" t="str">
        <f t="shared" si="10"/>
        <v/>
      </c>
      <c r="AF7" s="8" t="str">
        <f t="shared" si="10"/>
        <v/>
      </c>
      <c r="AG7" s="8" t="str">
        <f t="shared" si="10"/>
        <v/>
      </c>
      <c r="AH7" s="8" t="str">
        <f t="shared" si="10"/>
        <v/>
      </c>
      <c r="AI7" s="8" t="str">
        <f t="shared" si="10"/>
        <v/>
      </c>
      <c r="AJ7" s="8" t="str">
        <f t="shared" si="10"/>
        <v/>
      </c>
      <c r="AK7" s="8" t="str">
        <f t="shared" si="10"/>
        <v/>
      </c>
      <c r="AL7" s="8" t="str">
        <f t="shared" si="10"/>
        <v/>
      </c>
      <c r="AM7" s="8" t="str">
        <f t="shared" si="10"/>
        <v/>
      </c>
      <c r="AN7" s="8" t="str">
        <f t="shared" ref="AN7:AS7" si="11">IF(AN3="","",AM7)</f>
        <v/>
      </c>
      <c r="AO7" s="8" t="str">
        <f t="shared" si="11"/>
        <v/>
      </c>
      <c r="AP7" s="8" t="str">
        <f t="shared" si="11"/>
        <v/>
      </c>
      <c r="AQ7" s="8" t="str">
        <f t="shared" si="11"/>
        <v/>
      </c>
      <c r="AR7" s="8" t="str">
        <f t="shared" si="11"/>
        <v/>
      </c>
      <c r="AS7" s="8" t="str">
        <f t="shared" si="11"/>
        <v/>
      </c>
    </row>
    <row r="8" spans="1:45" s="94" customFormat="1" ht="11">
      <c r="A8" s="14" t="s">
        <v>9</v>
      </c>
      <c r="B8" s="13" t="s">
        <v>10</v>
      </c>
      <c r="C8" s="75" t="s">
        <v>31</v>
      </c>
      <c r="D8" s="12" t="str">
        <f t="shared" ref="D8:AM8" si="12">IF(D3="","",C8)</f>
        <v>柴犬たまご</v>
      </c>
      <c r="E8" s="12" t="str">
        <f t="shared" si="12"/>
        <v>柴犬たまご</v>
      </c>
      <c r="F8" s="131" t="str">
        <f t="shared" si="12"/>
        <v>柴犬たまご</v>
      </c>
      <c r="G8" s="12" t="str">
        <f t="shared" si="12"/>
        <v>柴犬たまご</v>
      </c>
      <c r="H8" s="12" t="str">
        <f t="shared" si="12"/>
        <v>柴犬たまご</v>
      </c>
      <c r="I8" s="131" t="str">
        <f t="shared" si="12"/>
        <v>柴犬たまご</v>
      </c>
      <c r="J8" s="12" t="str">
        <f t="shared" si="12"/>
        <v>柴犬たまご</v>
      </c>
      <c r="K8" s="12" t="str">
        <f t="shared" si="12"/>
        <v>柴犬たまご</v>
      </c>
      <c r="L8" s="12" t="str">
        <f t="shared" si="12"/>
        <v>柴犬たまご</v>
      </c>
      <c r="M8" s="131" t="str">
        <f t="shared" si="12"/>
        <v>柴犬たまご</v>
      </c>
      <c r="N8" s="12" t="str">
        <f t="shared" si="12"/>
        <v>柴犬たまご</v>
      </c>
      <c r="O8" s="12" t="str">
        <f t="shared" si="12"/>
        <v>柴犬たまご</v>
      </c>
      <c r="P8" s="12" t="str">
        <f t="shared" si="12"/>
        <v>柴犬たまご</v>
      </c>
      <c r="Q8" s="12" t="str">
        <f t="shared" si="12"/>
        <v>柴犬たまご</v>
      </c>
      <c r="R8" s="12" t="str">
        <f t="shared" si="12"/>
        <v>柴犬たまご</v>
      </c>
      <c r="S8" s="12" t="str">
        <f t="shared" si="12"/>
        <v>柴犬たまご</v>
      </c>
      <c r="T8" s="12" t="str">
        <f t="shared" si="12"/>
        <v>柴犬たまご</v>
      </c>
      <c r="U8" s="12" t="str">
        <f t="shared" si="12"/>
        <v>柴犬たまご</v>
      </c>
      <c r="V8" s="12" t="str">
        <f t="shared" si="12"/>
        <v>柴犬たまご</v>
      </c>
      <c r="W8" s="12" t="str">
        <f t="shared" si="12"/>
        <v>柴犬たまご</v>
      </c>
      <c r="X8" s="12" t="str">
        <f t="shared" si="12"/>
        <v>柴犬たまご</v>
      </c>
      <c r="Y8" s="12" t="str">
        <f t="shared" si="12"/>
        <v>柴犬たまご</v>
      </c>
      <c r="Z8" s="12" t="str">
        <f t="shared" si="12"/>
        <v>柴犬たまご</v>
      </c>
      <c r="AA8" s="12" t="str">
        <f t="shared" si="12"/>
        <v>柴犬たまご</v>
      </c>
      <c r="AB8" s="12" t="str">
        <f t="shared" si="12"/>
        <v>柴犬たまご</v>
      </c>
      <c r="AC8" s="12" t="str">
        <f t="shared" si="12"/>
        <v>柴犬たまご</v>
      </c>
      <c r="AD8" s="12" t="str">
        <f t="shared" si="12"/>
        <v/>
      </c>
      <c r="AE8" s="12" t="str">
        <f t="shared" si="12"/>
        <v/>
      </c>
      <c r="AF8" s="12" t="str">
        <f t="shared" si="12"/>
        <v/>
      </c>
      <c r="AG8" s="12" t="str">
        <f t="shared" si="12"/>
        <v/>
      </c>
      <c r="AH8" s="12" t="str">
        <f t="shared" si="12"/>
        <v/>
      </c>
      <c r="AI8" s="12" t="str">
        <f t="shared" si="12"/>
        <v/>
      </c>
      <c r="AJ8" s="12" t="str">
        <f t="shared" si="12"/>
        <v/>
      </c>
      <c r="AK8" s="12" t="str">
        <f t="shared" si="12"/>
        <v/>
      </c>
      <c r="AL8" s="12" t="str">
        <f t="shared" si="12"/>
        <v/>
      </c>
      <c r="AM8" s="12" t="str">
        <f t="shared" si="12"/>
        <v/>
      </c>
      <c r="AN8" s="12" t="str">
        <f t="shared" ref="AN8:AS8" si="13">IF(AN3="","",AM8)</f>
        <v/>
      </c>
      <c r="AO8" s="12" t="str">
        <f t="shared" si="13"/>
        <v/>
      </c>
      <c r="AP8" s="12" t="str">
        <f t="shared" si="13"/>
        <v/>
      </c>
      <c r="AQ8" s="12" t="str">
        <f t="shared" si="13"/>
        <v/>
      </c>
      <c r="AR8" s="12" t="str">
        <f t="shared" si="13"/>
        <v/>
      </c>
      <c r="AS8" s="12" t="str">
        <f t="shared" si="13"/>
        <v/>
      </c>
    </row>
    <row r="9" spans="1:45" s="93" customFormat="1" ht="11">
      <c r="A9" s="7">
        <f>AVERAGE(C10:AS10)*30*100</f>
        <v>15777.777777777777</v>
      </c>
      <c r="B9" s="9" t="s">
        <v>14</v>
      </c>
      <c r="C9" s="74"/>
      <c r="D9" s="8"/>
      <c r="E9" s="8"/>
      <c r="F9" s="59"/>
      <c r="G9" s="8"/>
      <c r="H9" s="8"/>
      <c r="I9" s="59"/>
      <c r="J9" s="8"/>
      <c r="K9" s="8"/>
      <c r="L9" s="8"/>
      <c r="M9" s="5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s="93" customFormat="1" ht="11">
      <c r="A10" s="7">
        <f>SUM(C10:AS10)</f>
        <v>142</v>
      </c>
      <c r="B10" s="6" t="s">
        <v>15</v>
      </c>
      <c r="C10" s="74">
        <v>0</v>
      </c>
      <c r="D10" s="5">
        <f t="shared" ref="D10:AM10" si="14">IF(D3="","",D3-C3)</f>
        <v>0</v>
      </c>
      <c r="E10" s="5">
        <f t="shared" si="14"/>
        <v>21</v>
      </c>
      <c r="F10" s="59">
        <f t="shared" si="14"/>
        <v>0</v>
      </c>
      <c r="G10" s="5">
        <f t="shared" si="14"/>
        <v>0</v>
      </c>
      <c r="H10" s="5">
        <f t="shared" si="14"/>
        <v>29</v>
      </c>
      <c r="I10" s="59">
        <f t="shared" si="14"/>
        <v>0</v>
      </c>
      <c r="J10" s="5">
        <f t="shared" si="14"/>
        <v>0</v>
      </c>
      <c r="K10" s="5">
        <f t="shared" si="14"/>
        <v>0</v>
      </c>
      <c r="L10" s="5">
        <f t="shared" si="14"/>
        <v>12</v>
      </c>
      <c r="M10" s="59">
        <f t="shared" si="14"/>
        <v>0</v>
      </c>
      <c r="N10" s="5">
        <f t="shared" si="14"/>
        <v>0</v>
      </c>
      <c r="O10" s="5">
        <f t="shared" si="14"/>
        <v>18</v>
      </c>
      <c r="P10" s="5">
        <f t="shared" si="14"/>
        <v>0</v>
      </c>
      <c r="Q10" s="5">
        <f t="shared" si="14"/>
        <v>0</v>
      </c>
      <c r="R10" s="5">
        <f t="shared" si="14"/>
        <v>0</v>
      </c>
      <c r="S10" s="5">
        <f t="shared" si="14"/>
        <v>0</v>
      </c>
      <c r="T10" s="5">
        <f t="shared" si="14"/>
        <v>13</v>
      </c>
      <c r="U10" s="5">
        <f t="shared" si="14"/>
        <v>0</v>
      </c>
      <c r="V10" s="5">
        <f t="shared" si="14"/>
        <v>7</v>
      </c>
      <c r="W10" s="5">
        <f t="shared" si="14"/>
        <v>0</v>
      </c>
      <c r="X10" s="5">
        <f t="shared" si="14"/>
        <v>0</v>
      </c>
      <c r="Y10" s="5">
        <f t="shared" si="14"/>
        <v>0</v>
      </c>
      <c r="Z10" s="5">
        <f t="shared" si="14"/>
        <v>19</v>
      </c>
      <c r="AA10" s="5">
        <f t="shared" si="14"/>
        <v>0</v>
      </c>
      <c r="AB10" s="5">
        <f t="shared" si="14"/>
        <v>0</v>
      </c>
      <c r="AC10" s="5">
        <f t="shared" si="14"/>
        <v>23</v>
      </c>
      <c r="AD10" s="5" t="str">
        <f t="shared" si="14"/>
        <v/>
      </c>
      <c r="AE10" s="5" t="str">
        <f t="shared" si="14"/>
        <v/>
      </c>
      <c r="AF10" s="5" t="str">
        <f t="shared" si="14"/>
        <v/>
      </c>
      <c r="AG10" s="5" t="str">
        <f t="shared" si="14"/>
        <v/>
      </c>
      <c r="AH10" s="5" t="str">
        <f t="shared" si="14"/>
        <v/>
      </c>
      <c r="AI10" s="5" t="str">
        <f t="shared" si="14"/>
        <v/>
      </c>
      <c r="AJ10" s="5" t="str">
        <f t="shared" si="14"/>
        <v/>
      </c>
      <c r="AK10" s="5" t="str">
        <f t="shared" si="14"/>
        <v/>
      </c>
      <c r="AL10" s="5" t="str">
        <f t="shared" si="14"/>
        <v/>
      </c>
      <c r="AM10" s="5" t="str">
        <f t="shared" si="14"/>
        <v/>
      </c>
      <c r="AN10" s="5" t="str">
        <f t="shared" ref="AN10:AS10" si="15">IF(AN3="","",AN3-AM3)</f>
        <v/>
      </c>
      <c r="AO10" s="5" t="str">
        <f t="shared" si="15"/>
        <v/>
      </c>
      <c r="AP10" s="5" t="str">
        <f t="shared" si="15"/>
        <v/>
      </c>
      <c r="AQ10" s="5" t="str">
        <f t="shared" si="15"/>
        <v/>
      </c>
      <c r="AR10" s="5" t="str">
        <f t="shared" si="15"/>
        <v/>
      </c>
      <c r="AS10" s="5" t="str">
        <f t="shared" si="15"/>
        <v/>
      </c>
    </row>
    <row r="11" spans="1:45" s="93" customFormat="1" ht="11">
      <c r="A11" s="7">
        <f>SUM(C11:AS11)</f>
        <v>2</v>
      </c>
      <c r="B11" s="6" t="s">
        <v>16</v>
      </c>
      <c r="C11" s="74">
        <v>0</v>
      </c>
      <c r="D11" s="5">
        <f t="shared" ref="D11:AM11" si="16">IF(D4="","",D4-C4)</f>
        <v>0</v>
      </c>
      <c r="E11" s="5">
        <f t="shared" si="16"/>
        <v>0</v>
      </c>
      <c r="F11" s="59">
        <f t="shared" si="16"/>
        <v>0</v>
      </c>
      <c r="G11" s="5">
        <f t="shared" si="16"/>
        <v>0</v>
      </c>
      <c r="H11" s="5">
        <f t="shared" si="16"/>
        <v>0</v>
      </c>
      <c r="I11" s="59">
        <f t="shared" si="16"/>
        <v>0</v>
      </c>
      <c r="J11" s="5">
        <f t="shared" si="16"/>
        <v>0</v>
      </c>
      <c r="K11" s="5">
        <f t="shared" si="16"/>
        <v>0</v>
      </c>
      <c r="L11" s="5">
        <f t="shared" si="16"/>
        <v>0</v>
      </c>
      <c r="M11" s="59">
        <f t="shared" si="16"/>
        <v>0</v>
      </c>
      <c r="N11" s="5">
        <f t="shared" si="16"/>
        <v>0</v>
      </c>
      <c r="O11" s="5">
        <f t="shared" si="16"/>
        <v>1</v>
      </c>
      <c r="P11" s="5">
        <f t="shared" si="16"/>
        <v>0</v>
      </c>
      <c r="Q11" s="5">
        <f t="shared" si="16"/>
        <v>0</v>
      </c>
      <c r="R11" s="5">
        <f t="shared" si="16"/>
        <v>0</v>
      </c>
      <c r="S11" s="5">
        <f t="shared" si="16"/>
        <v>0</v>
      </c>
      <c r="T11" s="5">
        <f t="shared" si="16"/>
        <v>0</v>
      </c>
      <c r="U11" s="5">
        <f t="shared" si="16"/>
        <v>0</v>
      </c>
      <c r="V11" s="5">
        <f t="shared" si="16"/>
        <v>0</v>
      </c>
      <c r="W11" s="5">
        <f t="shared" si="16"/>
        <v>0</v>
      </c>
      <c r="X11" s="5">
        <f t="shared" si="16"/>
        <v>0</v>
      </c>
      <c r="Y11" s="5">
        <f t="shared" si="16"/>
        <v>0</v>
      </c>
      <c r="Z11" s="5">
        <f t="shared" si="16"/>
        <v>1</v>
      </c>
      <c r="AA11" s="5">
        <f t="shared" si="16"/>
        <v>0</v>
      </c>
      <c r="AB11" s="5">
        <f t="shared" si="16"/>
        <v>0</v>
      </c>
      <c r="AC11" s="5">
        <f t="shared" si="16"/>
        <v>0</v>
      </c>
      <c r="AD11" s="5" t="str">
        <f t="shared" si="16"/>
        <v/>
      </c>
      <c r="AE11" s="5" t="str">
        <f t="shared" si="16"/>
        <v/>
      </c>
      <c r="AF11" s="5" t="str">
        <f t="shared" si="16"/>
        <v/>
      </c>
      <c r="AG11" s="5" t="str">
        <f t="shared" si="16"/>
        <v/>
      </c>
      <c r="AH11" s="5" t="str">
        <f t="shared" si="16"/>
        <v/>
      </c>
      <c r="AI11" s="5" t="str">
        <f t="shared" si="16"/>
        <v/>
      </c>
      <c r="AJ11" s="5" t="str">
        <f t="shared" si="16"/>
        <v/>
      </c>
      <c r="AK11" s="5" t="str">
        <f t="shared" si="16"/>
        <v/>
      </c>
      <c r="AL11" s="5" t="str">
        <f t="shared" si="16"/>
        <v/>
      </c>
      <c r="AM11" s="5" t="str">
        <f t="shared" si="16"/>
        <v/>
      </c>
      <c r="AN11" s="5" t="str">
        <f t="shared" ref="AN11:AS11" si="17">IF(AN4="","",AN4-AM4)</f>
        <v/>
      </c>
      <c r="AO11" s="5" t="str">
        <f t="shared" si="17"/>
        <v/>
      </c>
      <c r="AP11" s="5" t="str">
        <f t="shared" si="17"/>
        <v/>
      </c>
      <c r="AQ11" s="5" t="str">
        <f t="shared" si="17"/>
        <v/>
      </c>
      <c r="AR11" s="5" t="str">
        <f t="shared" si="17"/>
        <v/>
      </c>
      <c r="AS11" s="5" t="str">
        <f t="shared" si="17"/>
        <v/>
      </c>
    </row>
    <row r="12" spans="1:45" s="93" customFormat="1" ht="11">
      <c r="A12" s="7">
        <f>SUM(C12:AS12)</f>
        <v>3</v>
      </c>
      <c r="B12" s="6" t="s">
        <v>17</v>
      </c>
      <c r="C12" s="74">
        <v>0</v>
      </c>
      <c r="D12" s="5">
        <f t="shared" ref="D12:AM12" si="18">IF(D5="","",C5+C6-D5)</f>
        <v>0</v>
      </c>
      <c r="E12" s="5">
        <f t="shared" si="18"/>
        <v>0</v>
      </c>
      <c r="F12" s="59">
        <f t="shared" si="18"/>
        <v>0</v>
      </c>
      <c r="G12" s="5">
        <f t="shared" si="18"/>
        <v>0</v>
      </c>
      <c r="H12" s="5">
        <f t="shared" si="18"/>
        <v>0</v>
      </c>
      <c r="I12" s="59">
        <f t="shared" si="18"/>
        <v>0</v>
      </c>
      <c r="J12" s="5">
        <f t="shared" si="18"/>
        <v>0</v>
      </c>
      <c r="K12" s="5">
        <f t="shared" si="18"/>
        <v>0</v>
      </c>
      <c r="L12" s="5">
        <f t="shared" si="18"/>
        <v>0</v>
      </c>
      <c r="M12" s="59">
        <f t="shared" si="18"/>
        <v>0</v>
      </c>
      <c r="N12" s="5">
        <f t="shared" si="18"/>
        <v>0</v>
      </c>
      <c r="O12" s="5">
        <f t="shared" si="18"/>
        <v>1</v>
      </c>
      <c r="P12" s="5">
        <f t="shared" si="18"/>
        <v>0</v>
      </c>
      <c r="Q12" s="5">
        <f t="shared" si="18"/>
        <v>0</v>
      </c>
      <c r="R12" s="5">
        <f t="shared" si="18"/>
        <v>0</v>
      </c>
      <c r="S12" s="5">
        <f t="shared" si="18"/>
        <v>0</v>
      </c>
      <c r="T12" s="5">
        <f t="shared" si="18"/>
        <v>0</v>
      </c>
      <c r="U12" s="5">
        <f t="shared" si="18"/>
        <v>0</v>
      </c>
      <c r="V12" s="5">
        <f t="shared" si="18"/>
        <v>0</v>
      </c>
      <c r="W12" s="5">
        <f t="shared" si="18"/>
        <v>0</v>
      </c>
      <c r="X12" s="5">
        <f t="shared" si="18"/>
        <v>0</v>
      </c>
      <c r="Y12" s="5">
        <f t="shared" si="18"/>
        <v>0</v>
      </c>
      <c r="Z12" s="5">
        <f t="shared" si="18"/>
        <v>2</v>
      </c>
      <c r="AA12" s="5">
        <f t="shared" si="18"/>
        <v>0</v>
      </c>
      <c r="AB12" s="5">
        <f t="shared" si="18"/>
        <v>0</v>
      </c>
      <c r="AC12" s="5">
        <f t="shared" si="18"/>
        <v>0</v>
      </c>
      <c r="AD12" s="5" t="str">
        <f t="shared" si="18"/>
        <v/>
      </c>
      <c r="AE12" s="5" t="str">
        <f t="shared" si="18"/>
        <v/>
      </c>
      <c r="AF12" s="5" t="str">
        <f t="shared" si="18"/>
        <v/>
      </c>
      <c r="AG12" s="5" t="str">
        <f t="shared" si="18"/>
        <v/>
      </c>
      <c r="AH12" s="5" t="str">
        <f t="shared" si="18"/>
        <v/>
      </c>
      <c r="AI12" s="5" t="str">
        <f t="shared" si="18"/>
        <v/>
      </c>
      <c r="AJ12" s="5" t="str">
        <f t="shared" si="18"/>
        <v/>
      </c>
      <c r="AK12" s="5" t="str">
        <f t="shared" si="18"/>
        <v/>
      </c>
      <c r="AL12" s="5" t="str">
        <f t="shared" si="18"/>
        <v/>
      </c>
      <c r="AM12" s="5" t="str">
        <f t="shared" si="18"/>
        <v/>
      </c>
      <c r="AN12" s="5" t="str">
        <f t="shared" ref="AN12:AS12" si="19">IF(AN5="","",AM5+AM6-AN5)</f>
        <v/>
      </c>
      <c r="AO12" s="5" t="str">
        <f t="shared" si="19"/>
        <v/>
      </c>
      <c r="AP12" s="5" t="str">
        <f t="shared" si="19"/>
        <v/>
      </c>
      <c r="AQ12" s="5" t="str">
        <f t="shared" si="19"/>
        <v/>
      </c>
      <c r="AR12" s="5" t="str">
        <f t="shared" si="19"/>
        <v/>
      </c>
      <c r="AS12" s="5" t="str">
        <f t="shared" si="19"/>
        <v/>
      </c>
    </row>
    <row r="13" spans="1:45" s="93" customFormat="1" ht="11">
      <c r="A13" s="7">
        <f>SUM(C13:AS13)</f>
        <v>1200</v>
      </c>
      <c r="B13" s="6" t="s">
        <v>18</v>
      </c>
      <c r="C13" s="74">
        <v>0</v>
      </c>
      <c r="D13" s="5">
        <f t="shared" ref="D13:AM13" si="20">IF(D3="","",D12*D7)</f>
        <v>0</v>
      </c>
      <c r="E13" s="5">
        <f t="shared" si="20"/>
        <v>0</v>
      </c>
      <c r="F13" s="59">
        <f t="shared" si="20"/>
        <v>0</v>
      </c>
      <c r="G13" s="5">
        <f t="shared" si="20"/>
        <v>0</v>
      </c>
      <c r="H13" s="5">
        <f t="shared" si="20"/>
        <v>0</v>
      </c>
      <c r="I13" s="59">
        <f t="shared" si="20"/>
        <v>0</v>
      </c>
      <c r="J13" s="5">
        <f t="shared" si="20"/>
        <v>0</v>
      </c>
      <c r="K13" s="5">
        <f t="shared" si="20"/>
        <v>0</v>
      </c>
      <c r="L13" s="5">
        <f t="shared" si="20"/>
        <v>0</v>
      </c>
      <c r="M13" s="59">
        <f t="shared" si="20"/>
        <v>0</v>
      </c>
      <c r="N13" s="5">
        <f t="shared" si="20"/>
        <v>0</v>
      </c>
      <c r="O13" s="5">
        <f t="shared" si="20"/>
        <v>400</v>
      </c>
      <c r="P13" s="5">
        <f t="shared" si="20"/>
        <v>0</v>
      </c>
      <c r="Q13" s="5">
        <f t="shared" si="20"/>
        <v>0</v>
      </c>
      <c r="R13" s="5">
        <f t="shared" si="20"/>
        <v>0</v>
      </c>
      <c r="S13" s="5">
        <f t="shared" si="20"/>
        <v>0</v>
      </c>
      <c r="T13" s="5">
        <f t="shared" si="20"/>
        <v>0</v>
      </c>
      <c r="U13" s="5">
        <f t="shared" si="20"/>
        <v>0</v>
      </c>
      <c r="V13" s="5">
        <f t="shared" si="20"/>
        <v>0</v>
      </c>
      <c r="W13" s="5">
        <f t="shared" si="20"/>
        <v>0</v>
      </c>
      <c r="X13" s="5">
        <f t="shared" si="20"/>
        <v>0</v>
      </c>
      <c r="Y13" s="5">
        <f t="shared" si="20"/>
        <v>0</v>
      </c>
      <c r="Z13" s="5">
        <f t="shared" si="20"/>
        <v>800</v>
      </c>
      <c r="AA13" s="5">
        <f t="shared" si="20"/>
        <v>0</v>
      </c>
      <c r="AB13" s="5">
        <f t="shared" si="20"/>
        <v>0</v>
      </c>
      <c r="AC13" s="5">
        <f t="shared" si="20"/>
        <v>0</v>
      </c>
      <c r="AD13" s="5" t="str">
        <f t="shared" si="20"/>
        <v/>
      </c>
      <c r="AE13" s="5" t="str">
        <f t="shared" si="20"/>
        <v/>
      </c>
      <c r="AF13" s="5" t="str">
        <f t="shared" si="20"/>
        <v/>
      </c>
      <c r="AG13" s="5" t="str">
        <f t="shared" si="20"/>
        <v/>
      </c>
      <c r="AH13" s="5" t="str">
        <f t="shared" si="20"/>
        <v/>
      </c>
      <c r="AI13" s="5" t="str">
        <f t="shared" si="20"/>
        <v/>
      </c>
      <c r="AJ13" s="5" t="str">
        <f t="shared" si="20"/>
        <v/>
      </c>
      <c r="AK13" s="5" t="str">
        <f t="shared" si="20"/>
        <v/>
      </c>
      <c r="AL13" s="5" t="str">
        <f t="shared" si="20"/>
        <v/>
      </c>
      <c r="AM13" s="5" t="str">
        <f t="shared" si="20"/>
        <v/>
      </c>
      <c r="AN13" s="5" t="str">
        <f t="shared" ref="AN13:AS13" si="21">IF(AN3="","",AN12*AN7)</f>
        <v/>
      </c>
      <c r="AO13" s="5" t="str">
        <f t="shared" si="21"/>
        <v/>
      </c>
      <c r="AP13" s="5" t="str">
        <f t="shared" si="21"/>
        <v/>
      </c>
      <c r="AQ13" s="5" t="str">
        <f t="shared" si="21"/>
        <v/>
      </c>
      <c r="AR13" s="5" t="str">
        <f t="shared" si="21"/>
        <v/>
      </c>
      <c r="AS13" s="5" t="str">
        <f t="shared" si="21"/>
        <v/>
      </c>
    </row>
    <row r="14" spans="1:45" s="93" customFormat="1" ht="12" thickBot="1">
      <c r="A14" s="4">
        <f>IF(A13="","",A13/(A10*100))</f>
        <v>8.4507042253521125E-2</v>
      </c>
      <c r="B14" s="6" t="s">
        <v>20</v>
      </c>
      <c r="C14" s="76" t="s">
        <v>21</v>
      </c>
      <c r="D14" s="18" t="str">
        <f t="shared" ref="D14:AM14" si="22">IF(D13="","",IF(D13=0,"",D13/(D10*100)))</f>
        <v/>
      </c>
      <c r="E14" s="18" t="str">
        <f t="shared" si="22"/>
        <v/>
      </c>
      <c r="F14" s="62" t="str">
        <f t="shared" si="22"/>
        <v/>
      </c>
      <c r="G14" s="18" t="str">
        <f t="shared" si="22"/>
        <v/>
      </c>
      <c r="H14" s="18" t="str">
        <f t="shared" si="22"/>
        <v/>
      </c>
      <c r="I14" s="62" t="str">
        <f t="shared" si="22"/>
        <v/>
      </c>
      <c r="J14" s="18" t="str">
        <f t="shared" si="22"/>
        <v/>
      </c>
      <c r="K14" s="18" t="str">
        <f t="shared" si="22"/>
        <v/>
      </c>
      <c r="L14" s="18" t="str">
        <f t="shared" si="22"/>
        <v/>
      </c>
      <c r="M14" s="62" t="str">
        <f t="shared" si="22"/>
        <v/>
      </c>
      <c r="N14" s="18" t="str">
        <f t="shared" si="22"/>
        <v/>
      </c>
      <c r="O14" s="18">
        <f t="shared" si="22"/>
        <v>0.22222222222222221</v>
      </c>
      <c r="P14" s="18" t="str">
        <f t="shared" si="22"/>
        <v/>
      </c>
      <c r="Q14" s="18" t="str">
        <f t="shared" si="22"/>
        <v/>
      </c>
      <c r="R14" s="18" t="str">
        <f t="shared" si="22"/>
        <v/>
      </c>
      <c r="S14" s="18" t="str">
        <f t="shared" si="22"/>
        <v/>
      </c>
      <c r="T14" s="18" t="str">
        <f t="shared" si="22"/>
        <v/>
      </c>
      <c r="U14" s="18" t="str">
        <f t="shared" si="22"/>
        <v/>
      </c>
      <c r="V14" s="18" t="str">
        <f t="shared" si="22"/>
        <v/>
      </c>
      <c r="W14" s="18" t="str">
        <f t="shared" si="22"/>
        <v/>
      </c>
      <c r="X14" s="18" t="str">
        <f t="shared" si="22"/>
        <v/>
      </c>
      <c r="Y14" s="18" t="str">
        <f t="shared" si="22"/>
        <v/>
      </c>
      <c r="Z14" s="18">
        <f t="shared" si="22"/>
        <v>0.42105263157894735</v>
      </c>
      <c r="AA14" s="18" t="str">
        <f t="shared" si="22"/>
        <v/>
      </c>
      <c r="AB14" s="18" t="str">
        <f t="shared" si="22"/>
        <v/>
      </c>
      <c r="AC14" s="18" t="str">
        <f t="shared" si="22"/>
        <v/>
      </c>
      <c r="AD14" s="18" t="str">
        <f t="shared" si="22"/>
        <v/>
      </c>
      <c r="AE14" s="18" t="str">
        <f t="shared" si="22"/>
        <v/>
      </c>
      <c r="AF14" s="18" t="str">
        <f t="shared" si="22"/>
        <v/>
      </c>
      <c r="AG14" s="18" t="str">
        <f t="shared" si="22"/>
        <v/>
      </c>
      <c r="AH14" s="18" t="str">
        <f t="shared" si="22"/>
        <v/>
      </c>
      <c r="AI14" s="18" t="str">
        <f t="shared" si="22"/>
        <v/>
      </c>
      <c r="AJ14" s="18" t="str">
        <f t="shared" si="22"/>
        <v/>
      </c>
      <c r="AK14" s="18" t="str">
        <f t="shared" si="22"/>
        <v/>
      </c>
      <c r="AL14" s="18" t="str">
        <f t="shared" si="22"/>
        <v/>
      </c>
      <c r="AM14" s="18" t="str">
        <f t="shared" si="22"/>
        <v/>
      </c>
      <c r="AN14" s="18" t="str">
        <f t="shared" ref="AN14:AS14" si="23">IF(AN13="","",IF(AN13=0,"",AN13/(AN10*100)))</f>
        <v/>
      </c>
      <c r="AO14" s="18" t="str">
        <f t="shared" si="23"/>
        <v/>
      </c>
      <c r="AP14" s="18" t="str">
        <f t="shared" si="23"/>
        <v/>
      </c>
      <c r="AQ14" s="18" t="str">
        <f t="shared" si="23"/>
        <v/>
      </c>
      <c r="AR14" s="18" t="str">
        <f t="shared" si="23"/>
        <v/>
      </c>
      <c r="AS14" s="18" t="str">
        <f t="shared" si="23"/>
        <v/>
      </c>
    </row>
    <row r="15" spans="1:45" s="93" customFormat="1" ht="11">
      <c r="A15" s="17" t="s">
        <v>134</v>
      </c>
      <c r="B15" s="9" t="s">
        <v>2</v>
      </c>
      <c r="C15" s="74">
        <v>30064</v>
      </c>
      <c r="D15" s="8">
        <f>IF(D$3="","",C15)</f>
        <v>30064</v>
      </c>
      <c r="E15" s="8">
        <v>30085</v>
      </c>
      <c r="F15" s="59">
        <f>IF(F$3="","",E15)</f>
        <v>30085</v>
      </c>
      <c r="G15" s="8">
        <f>IF(G$3="","",F15)</f>
        <v>30085</v>
      </c>
      <c r="H15" s="8">
        <v>30122</v>
      </c>
      <c r="I15" s="59">
        <f t="shared" ref="I15:K16" si="24">IF(I$3="","",H15)</f>
        <v>30122</v>
      </c>
      <c r="J15" s="8">
        <f t="shared" si="24"/>
        <v>30122</v>
      </c>
      <c r="K15" s="8">
        <f t="shared" si="24"/>
        <v>30122</v>
      </c>
      <c r="L15" s="8">
        <v>30157</v>
      </c>
      <c r="M15" s="59">
        <f>IF(M$3="","",L15)</f>
        <v>30157</v>
      </c>
      <c r="N15" s="8">
        <f>IF(N$3="","",M15)</f>
        <v>30157</v>
      </c>
      <c r="O15" s="8">
        <v>30178</v>
      </c>
      <c r="P15" s="8">
        <f t="shared" ref="P15:AM15" si="25">IF(P$3="","",O15)</f>
        <v>30178</v>
      </c>
      <c r="Q15" s="8">
        <f t="shared" si="25"/>
        <v>30178</v>
      </c>
      <c r="R15" s="8">
        <f t="shared" si="25"/>
        <v>30178</v>
      </c>
      <c r="S15" s="8">
        <f t="shared" si="25"/>
        <v>30178</v>
      </c>
      <c r="T15" s="8">
        <v>30273</v>
      </c>
      <c r="U15" s="8">
        <f t="shared" si="25"/>
        <v>30273</v>
      </c>
      <c r="V15" s="8">
        <v>30324</v>
      </c>
      <c r="W15" s="8">
        <f t="shared" si="25"/>
        <v>30324</v>
      </c>
      <c r="X15" s="8">
        <f t="shared" si="25"/>
        <v>30324</v>
      </c>
      <c r="Y15" s="8">
        <f t="shared" si="25"/>
        <v>30324</v>
      </c>
      <c r="Z15" s="8">
        <v>30358</v>
      </c>
      <c r="AA15" s="8">
        <f t="shared" si="25"/>
        <v>30358</v>
      </c>
      <c r="AB15" s="8">
        <f t="shared" si="25"/>
        <v>30358</v>
      </c>
      <c r="AC15" s="8">
        <v>30443</v>
      </c>
      <c r="AD15" s="8" t="str">
        <f t="shared" si="25"/>
        <v/>
      </c>
      <c r="AE15" s="8" t="str">
        <f t="shared" si="25"/>
        <v/>
      </c>
      <c r="AF15" s="8" t="str">
        <f t="shared" si="25"/>
        <v/>
      </c>
      <c r="AG15" s="8" t="str">
        <f t="shared" si="25"/>
        <v/>
      </c>
      <c r="AH15" s="8" t="str">
        <f t="shared" si="25"/>
        <v/>
      </c>
      <c r="AI15" s="8" t="str">
        <f t="shared" si="25"/>
        <v/>
      </c>
      <c r="AJ15" s="8" t="str">
        <f t="shared" si="25"/>
        <v/>
      </c>
      <c r="AK15" s="8" t="str">
        <f t="shared" si="25"/>
        <v/>
      </c>
      <c r="AL15" s="8" t="str">
        <f t="shared" si="25"/>
        <v/>
      </c>
      <c r="AM15" s="8" t="str">
        <f t="shared" si="25"/>
        <v/>
      </c>
      <c r="AN15" s="8" t="str">
        <f t="shared" ref="AN15:AS15" si="26">IF(AN$3="","",AM15)</f>
        <v/>
      </c>
      <c r="AO15" s="8" t="str">
        <f t="shared" si="26"/>
        <v/>
      </c>
      <c r="AP15" s="8" t="str">
        <f t="shared" si="26"/>
        <v/>
      </c>
      <c r="AQ15" s="8" t="str">
        <f t="shared" si="26"/>
        <v/>
      </c>
      <c r="AR15" s="8" t="str">
        <f t="shared" si="26"/>
        <v/>
      </c>
      <c r="AS15" s="8" t="str">
        <f t="shared" si="26"/>
        <v/>
      </c>
    </row>
    <row r="16" spans="1:45" s="93" customFormat="1" ht="11">
      <c r="A16" s="16" t="str">
        <f>A4</f>
        <v>BUZZ＃1</v>
      </c>
      <c r="B16" s="9" t="s">
        <v>4</v>
      </c>
      <c r="C16" s="74">
        <v>1569</v>
      </c>
      <c r="D16" s="8">
        <f>IF(D$3="","",C16)</f>
        <v>1569</v>
      </c>
      <c r="E16" s="8">
        <v>1570</v>
      </c>
      <c r="F16" s="59">
        <f>IF(F$3="","",E16)</f>
        <v>1570</v>
      </c>
      <c r="G16" s="8">
        <f>IF(G$3="","",F16)</f>
        <v>1570</v>
      </c>
      <c r="H16" s="8">
        <f>IF(H$3="","",G16)</f>
        <v>1570</v>
      </c>
      <c r="I16" s="59">
        <f t="shared" si="24"/>
        <v>1570</v>
      </c>
      <c r="J16" s="8">
        <f t="shared" si="24"/>
        <v>1570</v>
      </c>
      <c r="K16" s="8">
        <f t="shared" si="24"/>
        <v>1570</v>
      </c>
      <c r="L16" s="8">
        <v>1571</v>
      </c>
      <c r="M16" s="59">
        <f>IF(M$3="","",L16)</f>
        <v>1571</v>
      </c>
      <c r="N16" s="8">
        <f>IF(N$3="","",M16)</f>
        <v>1571</v>
      </c>
      <c r="O16" s="8">
        <f>IF(O$3="","",N16)</f>
        <v>1571</v>
      </c>
      <c r="P16" s="8">
        <f t="shared" ref="P16:AM16" si="27">IF(P$3="","",O16)</f>
        <v>1571</v>
      </c>
      <c r="Q16" s="8">
        <f t="shared" si="27"/>
        <v>1571</v>
      </c>
      <c r="R16" s="8">
        <f t="shared" si="27"/>
        <v>1571</v>
      </c>
      <c r="S16" s="8">
        <f t="shared" si="27"/>
        <v>1571</v>
      </c>
      <c r="T16" s="8">
        <v>1572</v>
      </c>
      <c r="U16" s="8">
        <f t="shared" si="27"/>
        <v>1572</v>
      </c>
      <c r="V16" s="8">
        <v>1573</v>
      </c>
      <c r="W16" s="8">
        <f t="shared" si="27"/>
        <v>1573</v>
      </c>
      <c r="X16" s="8">
        <f t="shared" si="27"/>
        <v>1573</v>
      </c>
      <c r="Y16" s="8">
        <f t="shared" si="27"/>
        <v>1573</v>
      </c>
      <c r="Z16" s="8">
        <v>1574</v>
      </c>
      <c r="AA16" s="8">
        <f t="shared" si="27"/>
        <v>1574</v>
      </c>
      <c r="AB16" s="8">
        <f t="shared" si="27"/>
        <v>1574</v>
      </c>
      <c r="AC16" s="8">
        <v>1576</v>
      </c>
      <c r="AD16" s="8" t="str">
        <f t="shared" si="27"/>
        <v/>
      </c>
      <c r="AE16" s="8" t="str">
        <f t="shared" si="27"/>
        <v/>
      </c>
      <c r="AF16" s="8" t="str">
        <f t="shared" si="27"/>
        <v/>
      </c>
      <c r="AG16" s="8" t="str">
        <f t="shared" si="27"/>
        <v/>
      </c>
      <c r="AH16" s="8" t="str">
        <f t="shared" si="27"/>
        <v/>
      </c>
      <c r="AI16" s="8" t="str">
        <f t="shared" si="27"/>
        <v/>
      </c>
      <c r="AJ16" s="8" t="str">
        <f t="shared" si="27"/>
        <v/>
      </c>
      <c r="AK16" s="8" t="str">
        <f t="shared" si="27"/>
        <v/>
      </c>
      <c r="AL16" s="8" t="str">
        <f t="shared" si="27"/>
        <v/>
      </c>
      <c r="AM16" s="8" t="str">
        <f t="shared" si="27"/>
        <v/>
      </c>
      <c r="AN16" s="8" t="str">
        <f t="shared" ref="AN16:AS16" si="28">IF(AN$3="","",AM16)</f>
        <v/>
      </c>
      <c r="AO16" s="8" t="str">
        <f t="shared" si="28"/>
        <v/>
      </c>
      <c r="AP16" s="8" t="str">
        <f t="shared" si="28"/>
        <v/>
      </c>
      <c r="AQ16" s="8" t="str">
        <f t="shared" si="28"/>
        <v/>
      </c>
      <c r="AR16" s="8" t="str">
        <f t="shared" si="28"/>
        <v/>
      </c>
      <c r="AS16" s="8" t="str">
        <f t="shared" si="28"/>
        <v/>
      </c>
    </row>
    <row r="17" spans="1:45" s="93" customFormat="1" ht="11">
      <c r="A17" s="15">
        <v>2</v>
      </c>
      <c r="B17" s="9" t="s">
        <v>5</v>
      </c>
      <c r="C17" s="74">
        <v>7</v>
      </c>
      <c r="D17" s="8">
        <f>IF(D15="","",(C17+C18))</f>
        <v>7</v>
      </c>
      <c r="E17" s="8">
        <v>6</v>
      </c>
      <c r="F17" s="59">
        <f t="shared" ref="F17:K17" si="29">IF(F15="","",(E17+E18))</f>
        <v>6</v>
      </c>
      <c r="G17" s="8">
        <f t="shared" si="29"/>
        <v>6</v>
      </c>
      <c r="H17" s="8">
        <f t="shared" si="29"/>
        <v>6</v>
      </c>
      <c r="I17" s="59">
        <f t="shared" si="29"/>
        <v>6</v>
      </c>
      <c r="J17" s="8">
        <f t="shared" si="29"/>
        <v>6</v>
      </c>
      <c r="K17" s="8">
        <f t="shared" si="29"/>
        <v>6</v>
      </c>
      <c r="L17" s="8">
        <v>5</v>
      </c>
      <c r="M17" s="59">
        <f t="shared" ref="M17:AM17" si="30">IF(M15="","",(L17+L18))</f>
        <v>5</v>
      </c>
      <c r="N17" s="8">
        <f t="shared" si="30"/>
        <v>5</v>
      </c>
      <c r="O17" s="8">
        <f t="shared" si="30"/>
        <v>5</v>
      </c>
      <c r="P17" s="8">
        <f t="shared" si="30"/>
        <v>15</v>
      </c>
      <c r="Q17" s="8">
        <f t="shared" si="30"/>
        <v>15</v>
      </c>
      <c r="R17" s="8">
        <f t="shared" si="30"/>
        <v>15</v>
      </c>
      <c r="S17" s="8">
        <f t="shared" si="30"/>
        <v>15</v>
      </c>
      <c r="T17" s="8">
        <v>14</v>
      </c>
      <c r="U17" s="8">
        <f t="shared" si="30"/>
        <v>14</v>
      </c>
      <c r="V17" s="8">
        <f t="shared" si="30"/>
        <v>14</v>
      </c>
      <c r="W17" s="8">
        <f t="shared" si="30"/>
        <v>14</v>
      </c>
      <c r="X17" s="8">
        <f t="shared" si="30"/>
        <v>14</v>
      </c>
      <c r="Y17" s="8">
        <f t="shared" si="30"/>
        <v>14</v>
      </c>
      <c r="Z17" s="8">
        <v>12</v>
      </c>
      <c r="AA17" s="8">
        <f t="shared" si="30"/>
        <v>12</v>
      </c>
      <c r="AB17" s="8">
        <f t="shared" si="30"/>
        <v>12</v>
      </c>
      <c r="AC17" s="8">
        <v>10</v>
      </c>
      <c r="AD17" s="8" t="str">
        <f t="shared" si="30"/>
        <v/>
      </c>
      <c r="AE17" s="8" t="str">
        <f t="shared" si="30"/>
        <v/>
      </c>
      <c r="AF17" s="8" t="str">
        <f t="shared" si="30"/>
        <v/>
      </c>
      <c r="AG17" s="8" t="str">
        <f t="shared" si="30"/>
        <v/>
      </c>
      <c r="AH17" s="8" t="str">
        <f t="shared" si="30"/>
        <v/>
      </c>
      <c r="AI17" s="8" t="str">
        <f t="shared" si="30"/>
        <v/>
      </c>
      <c r="AJ17" s="8" t="str">
        <f t="shared" si="30"/>
        <v/>
      </c>
      <c r="AK17" s="8" t="str">
        <f t="shared" si="30"/>
        <v/>
      </c>
      <c r="AL17" s="8" t="str">
        <f t="shared" si="30"/>
        <v/>
      </c>
      <c r="AM17" s="8" t="str">
        <f t="shared" si="30"/>
        <v/>
      </c>
      <c r="AN17" s="8" t="str">
        <f t="shared" ref="AN17:AS17" si="31">IF(AN15="","",(AM17+AM18))</f>
        <v/>
      </c>
      <c r="AO17" s="8" t="str">
        <f t="shared" si="31"/>
        <v/>
      </c>
      <c r="AP17" s="8" t="str">
        <f t="shared" si="31"/>
        <v/>
      </c>
      <c r="AQ17" s="8" t="str">
        <f t="shared" si="31"/>
        <v/>
      </c>
      <c r="AR17" s="8" t="str">
        <f t="shared" si="31"/>
        <v/>
      </c>
      <c r="AS17" s="8" t="str">
        <f t="shared" si="31"/>
        <v/>
      </c>
    </row>
    <row r="18" spans="1:45" s="93" customFormat="1" ht="11">
      <c r="A18" s="14"/>
      <c r="B18" s="9" t="s">
        <v>7</v>
      </c>
      <c r="C18" s="74"/>
      <c r="D18" s="8"/>
      <c r="E18" s="8"/>
      <c r="F18" s="59"/>
      <c r="G18" s="8"/>
      <c r="H18" s="8"/>
      <c r="I18" s="59"/>
      <c r="J18" s="8"/>
      <c r="K18" s="8"/>
      <c r="L18" s="8"/>
      <c r="M18" s="59"/>
      <c r="N18" s="8"/>
      <c r="O18" s="8">
        <v>10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s="93" customFormat="1" ht="11">
      <c r="A19" s="7"/>
      <c r="B19" s="9" t="s">
        <v>8</v>
      </c>
      <c r="C19" s="74">
        <v>240</v>
      </c>
      <c r="D19" s="8">
        <f t="shared" ref="D19:AM19" si="32">IF(D15="","",C19)</f>
        <v>240</v>
      </c>
      <c r="E19" s="8">
        <f t="shared" si="32"/>
        <v>240</v>
      </c>
      <c r="F19" s="59">
        <f t="shared" si="32"/>
        <v>240</v>
      </c>
      <c r="G19" s="8">
        <f t="shared" si="32"/>
        <v>240</v>
      </c>
      <c r="H19" s="8">
        <f t="shared" si="32"/>
        <v>240</v>
      </c>
      <c r="I19" s="59">
        <f t="shared" si="32"/>
        <v>240</v>
      </c>
      <c r="J19" s="8">
        <f t="shared" si="32"/>
        <v>240</v>
      </c>
      <c r="K19" s="8">
        <f t="shared" si="32"/>
        <v>240</v>
      </c>
      <c r="L19" s="8">
        <f t="shared" si="32"/>
        <v>240</v>
      </c>
      <c r="M19" s="59">
        <f t="shared" si="32"/>
        <v>240</v>
      </c>
      <c r="N19" s="8">
        <f t="shared" si="32"/>
        <v>240</v>
      </c>
      <c r="O19" s="8">
        <f t="shared" si="32"/>
        <v>240</v>
      </c>
      <c r="P19" s="8">
        <f t="shared" si="32"/>
        <v>240</v>
      </c>
      <c r="Q19" s="8">
        <f t="shared" si="32"/>
        <v>240</v>
      </c>
      <c r="R19" s="8">
        <f t="shared" si="32"/>
        <v>240</v>
      </c>
      <c r="S19" s="8">
        <f t="shared" si="32"/>
        <v>240</v>
      </c>
      <c r="T19" s="8">
        <f t="shared" si="32"/>
        <v>240</v>
      </c>
      <c r="U19" s="8">
        <f t="shared" si="32"/>
        <v>240</v>
      </c>
      <c r="V19" s="8">
        <f t="shared" si="32"/>
        <v>240</v>
      </c>
      <c r="W19" s="8">
        <f t="shared" si="32"/>
        <v>240</v>
      </c>
      <c r="X19" s="8">
        <f t="shared" si="32"/>
        <v>240</v>
      </c>
      <c r="Y19" s="8">
        <f t="shared" si="32"/>
        <v>240</v>
      </c>
      <c r="Z19" s="8">
        <f t="shared" si="32"/>
        <v>240</v>
      </c>
      <c r="AA19" s="8">
        <f t="shared" si="32"/>
        <v>240</v>
      </c>
      <c r="AB19" s="8">
        <f t="shared" si="32"/>
        <v>240</v>
      </c>
      <c r="AC19" s="8">
        <f t="shared" si="32"/>
        <v>240</v>
      </c>
      <c r="AD19" s="8" t="str">
        <f t="shared" si="32"/>
        <v/>
      </c>
      <c r="AE19" s="8" t="str">
        <f t="shared" si="32"/>
        <v/>
      </c>
      <c r="AF19" s="8" t="str">
        <f t="shared" si="32"/>
        <v/>
      </c>
      <c r="AG19" s="8" t="str">
        <f t="shared" si="32"/>
        <v/>
      </c>
      <c r="AH19" s="8" t="str">
        <f t="shared" si="32"/>
        <v/>
      </c>
      <c r="AI19" s="8" t="str">
        <f t="shared" si="32"/>
        <v/>
      </c>
      <c r="AJ19" s="8" t="str">
        <f t="shared" si="32"/>
        <v/>
      </c>
      <c r="AK19" s="8" t="str">
        <f t="shared" si="32"/>
        <v/>
      </c>
      <c r="AL19" s="8" t="str">
        <f t="shared" si="32"/>
        <v/>
      </c>
      <c r="AM19" s="8" t="str">
        <f t="shared" si="32"/>
        <v/>
      </c>
      <c r="AN19" s="8" t="str">
        <f t="shared" ref="AN19:AS19" si="33">IF(AN15="","",AM19)</f>
        <v/>
      </c>
      <c r="AO19" s="8" t="str">
        <f t="shared" si="33"/>
        <v/>
      </c>
      <c r="AP19" s="8" t="str">
        <f t="shared" si="33"/>
        <v/>
      </c>
      <c r="AQ19" s="8" t="str">
        <f t="shared" si="33"/>
        <v/>
      </c>
      <c r="AR19" s="8" t="str">
        <f t="shared" si="33"/>
        <v/>
      </c>
      <c r="AS19" s="8" t="str">
        <f t="shared" si="33"/>
        <v/>
      </c>
    </row>
    <row r="20" spans="1:45" s="94" customFormat="1" ht="11">
      <c r="A20" s="14" t="s">
        <v>9</v>
      </c>
      <c r="B20" s="13" t="s">
        <v>10</v>
      </c>
      <c r="C20" s="75" t="s">
        <v>135</v>
      </c>
      <c r="D20" s="12" t="str">
        <f t="shared" ref="D20:AM20" si="34">IF(D15="","",C20)</f>
        <v>電ブルキュート</v>
      </c>
      <c r="E20" s="12" t="str">
        <f t="shared" si="34"/>
        <v>電ブルキュート</v>
      </c>
      <c r="F20" s="131" t="str">
        <f t="shared" si="34"/>
        <v>電ブルキュート</v>
      </c>
      <c r="G20" s="12" t="str">
        <f t="shared" si="34"/>
        <v>電ブルキュート</v>
      </c>
      <c r="H20" s="12" t="str">
        <f t="shared" si="34"/>
        <v>電ブルキュート</v>
      </c>
      <c r="I20" s="131" t="str">
        <f t="shared" si="34"/>
        <v>電ブルキュート</v>
      </c>
      <c r="J20" s="12" t="str">
        <f t="shared" si="34"/>
        <v>電ブルキュート</v>
      </c>
      <c r="K20" s="12" t="str">
        <f t="shared" si="34"/>
        <v>電ブルキュート</v>
      </c>
      <c r="L20" s="12" t="str">
        <f t="shared" si="34"/>
        <v>電ブルキュート</v>
      </c>
      <c r="M20" s="131" t="str">
        <f t="shared" si="34"/>
        <v>電ブルキュート</v>
      </c>
      <c r="N20" s="12" t="str">
        <f t="shared" si="34"/>
        <v>電ブルキュート</v>
      </c>
      <c r="O20" s="12" t="str">
        <f t="shared" si="34"/>
        <v>電ブルキュート</v>
      </c>
      <c r="P20" s="12" t="str">
        <f t="shared" si="34"/>
        <v>電ブルキュート</v>
      </c>
      <c r="Q20" s="12" t="str">
        <f t="shared" si="34"/>
        <v>電ブルキュート</v>
      </c>
      <c r="R20" s="12" t="str">
        <f t="shared" si="34"/>
        <v>電ブルキュート</v>
      </c>
      <c r="S20" s="12" t="str">
        <f t="shared" si="34"/>
        <v>電ブルキュート</v>
      </c>
      <c r="T20" s="12" t="str">
        <f t="shared" si="34"/>
        <v>電ブルキュート</v>
      </c>
      <c r="U20" s="12" t="str">
        <f t="shared" si="34"/>
        <v>電ブルキュート</v>
      </c>
      <c r="V20" s="12" t="str">
        <f t="shared" si="34"/>
        <v>電ブルキュート</v>
      </c>
      <c r="W20" s="12" t="str">
        <f t="shared" si="34"/>
        <v>電ブルキュート</v>
      </c>
      <c r="X20" s="12" t="str">
        <f t="shared" si="34"/>
        <v>電ブルキュート</v>
      </c>
      <c r="Y20" s="12" t="str">
        <f t="shared" si="34"/>
        <v>電ブルキュート</v>
      </c>
      <c r="Z20" s="12" t="str">
        <f t="shared" si="34"/>
        <v>電ブルキュート</v>
      </c>
      <c r="AA20" s="12" t="str">
        <f t="shared" si="34"/>
        <v>電ブルキュート</v>
      </c>
      <c r="AB20" s="12" t="str">
        <f t="shared" si="34"/>
        <v>電ブルキュート</v>
      </c>
      <c r="AC20" s="12" t="str">
        <f t="shared" si="34"/>
        <v>電ブルキュート</v>
      </c>
      <c r="AD20" s="12" t="str">
        <f t="shared" si="34"/>
        <v/>
      </c>
      <c r="AE20" s="12" t="str">
        <f t="shared" si="34"/>
        <v/>
      </c>
      <c r="AF20" s="12" t="str">
        <f t="shared" si="34"/>
        <v/>
      </c>
      <c r="AG20" s="12" t="str">
        <f t="shared" si="34"/>
        <v/>
      </c>
      <c r="AH20" s="12" t="str">
        <f t="shared" si="34"/>
        <v/>
      </c>
      <c r="AI20" s="12" t="str">
        <f t="shared" si="34"/>
        <v/>
      </c>
      <c r="AJ20" s="12" t="str">
        <f t="shared" si="34"/>
        <v/>
      </c>
      <c r="AK20" s="12" t="str">
        <f t="shared" si="34"/>
        <v/>
      </c>
      <c r="AL20" s="12" t="str">
        <f t="shared" si="34"/>
        <v/>
      </c>
      <c r="AM20" s="12" t="str">
        <f t="shared" si="34"/>
        <v/>
      </c>
      <c r="AN20" s="12" t="str">
        <f t="shared" ref="AN20:AS20" si="35">IF(AN15="","",AM20)</f>
        <v/>
      </c>
      <c r="AO20" s="12" t="str">
        <f t="shared" si="35"/>
        <v/>
      </c>
      <c r="AP20" s="12" t="str">
        <f t="shared" si="35"/>
        <v/>
      </c>
      <c r="AQ20" s="12" t="str">
        <f t="shared" si="35"/>
        <v/>
      </c>
      <c r="AR20" s="12" t="str">
        <f t="shared" si="35"/>
        <v/>
      </c>
      <c r="AS20" s="12" t="str">
        <f t="shared" si="35"/>
        <v/>
      </c>
    </row>
    <row r="21" spans="1:45" s="93" customFormat="1" ht="11">
      <c r="A21" s="7">
        <f>AVERAGE(C22:AS22)*30*100</f>
        <v>42111.111111111109</v>
      </c>
      <c r="B21" s="9" t="s">
        <v>14</v>
      </c>
      <c r="C21" s="74"/>
      <c r="D21" s="8"/>
      <c r="E21" s="8"/>
      <c r="F21" s="59"/>
      <c r="G21" s="8"/>
      <c r="H21" s="8"/>
      <c r="I21" s="59"/>
      <c r="J21" s="8"/>
      <c r="K21" s="8"/>
      <c r="L21" s="8"/>
      <c r="M21" s="5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s="93" customFormat="1" ht="11">
      <c r="A22" s="7">
        <f>SUM(C22:AS22)</f>
        <v>379</v>
      </c>
      <c r="B22" s="6" t="s">
        <v>15</v>
      </c>
      <c r="C22" s="74">
        <v>0</v>
      </c>
      <c r="D22" s="5">
        <f t="shared" ref="D22:AM22" si="36">IF(D15="","",D15-C15)</f>
        <v>0</v>
      </c>
      <c r="E22" s="5">
        <f t="shared" si="36"/>
        <v>21</v>
      </c>
      <c r="F22" s="59">
        <f t="shared" si="36"/>
        <v>0</v>
      </c>
      <c r="G22" s="5">
        <f t="shared" si="36"/>
        <v>0</v>
      </c>
      <c r="H22" s="5">
        <f t="shared" si="36"/>
        <v>37</v>
      </c>
      <c r="I22" s="59">
        <f t="shared" si="36"/>
        <v>0</v>
      </c>
      <c r="J22" s="5">
        <f t="shared" si="36"/>
        <v>0</v>
      </c>
      <c r="K22" s="5">
        <f t="shared" si="36"/>
        <v>0</v>
      </c>
      <c r="L22" s="5">
        <f t="shared" si="36"/>
        <v>35</v>
      </c>
      <c r="M22" s="59">
        <f t="shared" si="36"/>
        <v>0</v>
      </c>
      <c r="N22" s="5">
        <f t="shared" si="36"/>
        <v>0</v>
      </c>
      <c r="O22" s="5">
        <f t="shared" si="36"/>
        <v>21</v>
      </c>
      <c r="P22" s="5">
        <f t="shared" si="36"/>
        <v>0</v>
      </c>
      <c r="Q22" s="5">
        <f t="shared" si="36"/>
        <v>0</v>
      </c>
      <c r="R22" s="5">
        <f t="shared" si="36"/>
        <v>0</v>
      </c>
      <c r="S22" s="5">
        <f t="shared" si="36"/>
        <v>0</v>
      </c>
      <c r="T22" s="5">
        <f t="shared" si="36"/>
        <v>95</v>
      </c>
      <c r="U22" s="5">
        <f t="shared" si="36"/>
        <v>0</v>
      </c>
      <c r="V22" s="5">
        <f t="shared" si="36"/>
        <v>51</v>
      </c>
      <c r="W22" s="5">
        <f t="shared" si="36"/>
        <v>0</v>
      </c>
      <c r="X22" s="5">
        <f t="shared" si="36"/>
        <v>0</v>
      </c>
      <c r="Y22" s="5">
        <f t="shared" si="36"/>
        <v>0</v>
      </c>
      <c r="Z22" s="5">
        <f t="shared" si="36"/>
        <v>34</v>
      </c>
      <c r="AA22" s="5">
        <f t="shared" si="36"/>
        <v>0</v>
      </c>
      <c r="AB22" s="5">
        <f t="shared" si="36"/>
        <v>0</v>
      </c>
      <c r="AC22" s="5">
        <f t="shared" si="36"/>
        <v>85</v>
      </c>
      <c r="AD22" s="5" t="str">
        <f t="shared" si="36"/>
        <v/>
      </c>
      <c r="AE22" s="5" t="str">
        <f t="shared" si="36"/>
        <v/>
      </c>
      <c r="AF22" s="5" t="str">
        <f t="shared" si="36"/>
        <v/>
      </c>
      <c r="AG22" s="5" t="str">
        <f t="shared" si="36"/>
        <v/>
      </c>
      <c r="AH22" s="5" t="str">
        <f t="shared" si="36"/>
        <v/>
      </c>
      <c r="AI22" s="5" t="str">
        <f t="shared" si="36"/>
        <v/>
      </c>
      <c r="AJ22" s="5" t="str">
        <f t="shared" si="36"/>
        <v/>
      </c>
      <c r="AK22" s="5" t="str">
        <f t="shared" si="36"/>
        <v/>
      </c>
      <c r="AL22" s="5" t="str">
        <f t="shared" si="36"/>
        <v/>
      </c>
      <c r="AM22" s="5" t="str">
        <f t="shared" si="36"/>
        <v/>
      </c>
      <c r="AN22" s="5" t="str">
        <f t="shared" ref="AN22:AS22" si="37">IF(AN15="","",AN15-AM15)</f>
        <v/>
      </c>
      <c r="AO22" s="5" t="str">
        <f t="shared" si="37"/>
        <v/>
      </c>
      <c r="AP22" s="5" t="str">
        <f t="shared" si="37"/>
        <v/>
      </c>
      <c r="AQ22" s="5" t="str">
        <f t="shared" si="37"/>
        <v/>
      </c>
      <c r="AR22" s="5" t="str">
        <f t="shared" si="37"/>
        <v/>
      </c>
      <c r="AS22" s="5" t="str">
        <f t="shared" si="37"/>
        <v/>
      </c>
    </row>
    <row r="23" spans="1:45" s="93" customFormat="1" ht="11">
      <c r="A23" s="7">
        <f>SUM(C23:AS23)</f>
        <v>7</v>
      </c>
      <c r="B23" s="6" t="s">
        <v>16</v>
      </c>
      <c r="C23" s="74">
        <v>0</v>
      </c>
      <c r="D23" s="5">
        <f t="shared" ref="D23:AM23" si="38">IF(D16="","",D16-C16)</f>
        <v>0</v>
      </c>
      <c r="E23" s="5">
        <f t="shared" si="38"/>
        <v>1</v>
      </c>
      <c r="F23" s="59">
        <f t="shared" si="38"/>
        <v>0</v>
      </c>
      <c r="G23" s="5">
        <f t="shared" si="38"/>
        <v>0</v>
      </c>
      <c r="H23" s="5">
        <f t="shared" si="38"/>
        <v>0</v>
      </c>
      <c r="I23" s="59">
        <f t="shared" si="38"/>
        <v>0</v>
      </c>
      <c r="J23" s="5">
        <f t="shared" si="38"/>
        <v>0</v>
      </c>
      <c r="K23" s="5">
        <f t="shared" si="38"/>
        <v>0</v>
      </c>
      <c r="L23" s="5">
        <f t="shared" si="38"/>
        <v>1</v>
      </c>
      <c r="M23" s="59">
        <f t="shared" si="38"/>
        <v>0</v>
      </c>
      <c r="N23" s="5">
        <f t="shared" si="38"/>
        <v>0</v>
      </c>
      <c r="O23" s="5">
        <f t="shared" si="38"/>
        <v>0</v>
      </c>
      <c r="P23" s="5">
        <f t="shared" si="38"/>
        <v>0</v>
      </c>
      <c r="Q23" s="5">
        <f t="shared" si="38"/>
        <v>0</v>
      </c>
      <c r="R23" s="5">
        <f t="shared" si="38"/>
        <v>0</v>
      </c>
      <c r="S23" s="5">
        <f t="shared" si="38"/>
        <v>0</v>
      </c>
      <c r="T23" s="5">
        <f t="shared" si="38"/>
        <v>1</v>
      </c>
      <c r="U23" s="5">
        <f t="shared" si="38"/>
        <v>0</v>
      </c>
      <c r="V23" s="5">
        <f t="shared" si="38"/>
        <v>1</v>
      </c>
      <c r="W23" s="5">
        <f t="shared" si="38"/>
        <v>0</v>
      </c>
      <c r="X23" s="5">
        <f t="shared" si="38"/>
        <v>0</v>
      </c>
      <c r="Y23" s="5">
        <f t="shared" si="38"/>
        <v>0</v>
      </c>
      <c r="Z23" s="5">
        <f t="shared" si="38"/>
        <v>1</v>
      </c>
      <c r="AA23" s="5">
        <f t="shared" si="38"/>
        <v>0</v>
      </c>
      <c r="AB23" s="5">
        <f t="shared" si="38"/>
        <v>0</v>
      </c>
      <c r="AC23" s="5">
        <f t="shared" si="38"/>
        <v>2</v>
      </c>
      <c r="AD23" s="5" t="str">
        <f t="shared" si="38"/>
        <v/>
      </c>
      <c r="AE23" s="5" t="str">
        <f t="shared" si="38"/>
        <v/>
      </c>
      <c r="AF23" s="5" t="str">
        <f t="shared" si="38"/>
        <v/>
      </c>
      <c r="AG23" s="5" t="str">
        <f t="shared" si="38"/>
        <v/>
      </c>
      <c r="AH23" s="5" t="str">
        <f t="shared" si="38"/>
        <v/>
      </c>
      <c r="AI23" s="5" t="str">
        <f t="shared" si="38"/>
        <v/>
      </c>
      <c r="AJ23" s="5" t="str">
        <f t="shared" si="38"/>
        <v/>
      </c>
      <c r="AK23" s="5" t="str">
        <f t="shared" si="38"/>
        <v/>
      </c>
      <c r="AL23" s="5" t="str">
        <f t="shared" si="38"/>
        <v/>
      </c>
      <c r="AM23" s="5" t="str">
        <f t="shared" si="38"/>
        <v/>
      </c>
      <c r="AN23" s="5" t="str">
        <f t="shared" ref="AN23:AS23" si="39">IF(AN16="","",AN16-AM16)</f>
        <v/>
      </c>
      <c r="AO23" s="5" t="str">
        <f t="shared" si="39"/>
        <v/>
      </c>
      <c r="AP23" s="5" t="str">
        <f t="shared" si="39"/>
        <v/>
      </c>
      <c r="AQ23" s="5" t="str">
        <f t="shared" si="39"/>
        <v/>
      </c>
      <c r="AR23" s="5" t="str">
        <f t="shared" si="39"/>
        <v/>
      </c>
      <c r="AS23" s="5" t="str">
        <f t="shared" si="39"/>
        <v/>
      </c>
    </row>
    <row r="24" spans="1:45" s="93" customFormat="1" ht="11">
      <c r="A24" s="7">
        <f>SUM(C24:AS24)</f>
        <v>7</v>
      </c>
      <c r="B24" s="6" t="s">
        <v>17</v>
      </c>
      <c r="C24" s="74">
        <v>0</v>
      </c>
      <c r="D24" s="5">
        <f t="shared" ref="D24:AM24" si="40">IF(D17="","",C17+C18-D17)</f>
        <v>0</v>
      </c>
      <c r="E24" s="5">
        <f t="shared" si="40"/>
        <v>1</v>
      </c>
      <c r="F24" s="59">
        <f t="shared" si="40"/>
        <v>0</v>
      </c>
      <c r="G24" s="5">
        <f t="shared" si="40"/>
        <v>0</v>
      </c>
      <c r="H24" s="5">
        <f t="shared" si="40"/>
        <v>0</v>
      </c>
      <c r="I24" s="59">
        <f t="shared" si="40"/>
        <v>0</v>
      </c>
      <c r="J24" s="5">
        <f t="shared" si="40"/>
        <v>0</v>
      </c>
      <c r="K24" s="5">
        <f t="shared" si="40"/>
        <v>0</v>
      </c>
      <c r="L24" s="5">
        <f t="shared" si="40"/>
        <v>1</v>
      </c>
      <c r="M24" s="59">
        <f t="shared" si="40"/>
        <v>0</v>
      </c>
      <c r="N24" s="5">
        <f t="shared" si="40"/>
        <v>0</v>
      </c>
      <c r="O24" s="5">
        <f t="shared" si="40"/>
        <v>0</v>
      </c>
      <c r="P24" s="5">
        <f t="shared" si="40"/>
        <v>0</v>
      </c>
      <c r="Q24" s="5">
        <f t="shared" si="40"/>
        <v>0</v>
      </c>
      <c r="R24" s="5">
        <f t="shared" si="40"/>
        <v>0</v>
      </c>
      <c r="S24" s="5">
        <f t="shared" si="40"/>
        <v>0</v>
      </c>
      <c r="T24" s="5">
        <f t="shared" si="40"/>
        <v>1</v>
      </c>
      <c r="U24" s="5">
        <f t="shared" si="40"/>
        <v>0</v>
      </c>
      <c r="V24" s="5">
        <f t="shared" si="40"/>
        <v>0</v>
      </c>
      <c r="W24" s="5">
        <f t="shared" si="40"/>
        <v>0</v>
      </c>
      <c r="X24" s="5">
        <f t="shared" si="40"/>
        <v>0</v>
      </c>
      <c r="Y24" s="5">
        <f t="shared" si="40"/>
        <v>0</v>
      </c>
      <c r="Z24" s="5">
        <f t="shared" si="40"/>
        <v>2</v>
      </c>
      <c r="AA24" s="5">
        <f t="shared" si="40"/>
        <v>0</v>
      </c>
      <c r="AB24" s="5">
        <f t="shared" si="40"/>
        <v>0</v>
      </c>
      <c r="AC24" s="5">
        <f t="shared" si="40"/>
        <v>2</v>
      </c>
      <c r="AD24" s="5" t="str">
        <f t="shared" si="40"/>
        <v/>
      </c>
      <c r="AE24" s="5" t="str">
        <f t="shared" si="40"/>
        <v/>
      </c>
      <c r="AF24" s="5" t="str">
        <f t="shared" si="40"/>
        <v/>
      </c>
      <c r="AG24" s="5" t="str">
        <f t="shared" si="40"/>
        <v/>
      </c>
      <c r="AH24" s="5" t="str">
        <f t="shared" si="40"/>
        <v/>
      </c>
      <c r="AI24" s="5" t="str">
        <f t="shared" si="40"/>
        <v/>
      </c>
      <c r="AJ24" s="5" t="str">
        <f t="shared" si="40"/>
        <v/>
      </c>
      <c r="AK24" s="5" t="str">
        <f t="shared" si="40"/>
        <v/>
      </c>
      <c r="AL24" s="5" t="str">
        <f t="shared" si="40"/>
        <v/>
      </c>
      <c r="AM24" s="5" t="str">
        <f t="shared" si="40"/>
        <v/>
      </c>
      <c r="AN24" s="5" t="str">
        <f t="shared" ref="AN24:AS24" si="41">IF(AN17="","",AM17+AM18-AN17)</f>
        <v/>
      </c>
      <c r="AO24" s="5" t="str">
        <f t="shared" si="41"/>
        <v/>
      </c>
      <c r="AP24" s="5" t="str">
        <f t="shared" si="41"/>
        <v/>
      </c>
      <c r="AQ24" s="5" t="str">
        <f t="shared" si="41"/>
        <v/>
      </c>
      <c r="AR24" s="5" t="str">
        <f t="shared" si="41"/>
        <v/>
      </c>
      <c r="AS24" s="5" t="str">
        <f t="shared" si="41"/>
        <v/>
      </c>
    </row>
    <row r="25" spans="1:45" s="93" customFormat="1" ht="11">
      <c r="A25" s="7">
        <f>SUM(C25:AS25)</f>
        <v>1680</v>
      </c>
      <c r="B25" s="6" t="s">
        <v>18</v>
      </c>
      <c r="C25" s="74">
        <v>0</v>
      </c>
      <c r="D25" s="5">
        <f t="shared" ref="D25:AM25" si="42">IF(D15="","",D24*D19)</f>
        <v>0</v>
      </c>
      <c r="E25" s="5">
        <f t="shared" si="42"/>
        <v>240</v>
      </c>
      <c r="F25" s="59">
        <f t="shared" si="42"/>
        <v>0</v>
      </c>
      <c r="G25" s="5">
        <f t="shared" si="42"/>
        <v>0</v>
      </c>
      <c r="H25" s="5">
        <f t="shared" si="42"/>
        <v>0</v>
      </c>
      <c r="I25" s="59">
        <f t="shared" si="42"/>
        <v>0</v>
      </c>
      <c r="J25" s="5">
        <f t="shared" si="42"/>
        <v>0</v>
      </c>
      <c r="K25" s="5">
        <f t="shared" si="42"/>
        <v>0</v>
      </c>
      <c r="L25" s="5">
        <f t="shared" si="42"/>
        <v>240</v>
      </c>
      <c r="M25" s="59">
        <f t="shared" si="42"/>
        <v>0</v>
      </c>
      <c r="N25" s="5">
        <f t="shared" si="42"/>
        <v>0</v>
      </c>
      <c r="O25" s="5">
        <f t="shared" si="42"/>
        <v>0</v>
      </c>
      <c r="P25" s="5">
        <f t="shared" si="42"/>
        <v>0</v>
      </c>
      <c r="Q25" s="5">
        <f t="shared" si="42"/>
        <v>0</v>
      </c>
      <c r="R25" s="5">
        <f t="shared" si="42"/>
        <v>0</v>
      </c>
      <c r="S25" s="5">
        <f t="shared" si="42"/>
        <v>0</v>
      </c>
      <c r="T25" s="5">
        <f t="shared" si="42"/>
        <v>240</v>
      </c>
      <c r="U25" s="5">
        <f t="shared" si="42"/>
        <v>0</v>
      </c>
      <c r="V25" s="5">
        <f t="shared" si="42"/>
        <v>0</v>
      </c>
      <c r="W25" s="5">
        <f t="shared" si="42"/>
        <v>0</v>
      </c>
      <c r="X25" s="5">
        <f t="shared" si="42"/>
        <v>0</v>
      </c>
      <c r="Y25" s="5">
        <f t="shared" si="42"/>
        <v>0</v>
      </c>
      <c r="Z25" s="5">
        <f t="shared" si="42"/>
        <v>480</v>
      </c>
      <c r="AA25" s="5">
        <f t="shared" si="42"/>
        <v>0</v>
      </c>
      <c r="AB25" s="5">
        <f t="shared" si="42"/>
        <v>0</v>
      </c>
      <c r="AC25" s="5">
        <f t="shared" si="42"/>
        <v>480</v>
      </c>
      <c r="AD25" s="5" t="str">
        <f t="shared" si="42"/>
        <v/>
      </c>
      <c r="AE25" s="5" t="str">
        <f t="shared" si="42"/>
        <v/>
      </c>
      <c r="AF25" s="5" t="str">
        <f t="shared" si="42"/>
        <v/>
      </c>
      <c r="AG25" s="5" t="str">
        <f t="shared" si="42"/>
        <v/>
      </c>
      <c r="AH25" s="5" t="str">
        <f t="shared" si="42"/>
        <v/>
      </c>
      <c r="AI25" s="5" t="str">
        <f t="shared" si="42"/>
        <v/>
      </c>
      <c r="AJ25" s="5" t="str">
        <f t="shared" si="42"/>
        <v/>
      </c>
      <c r="AK25" s="5" t="str">
        <f t="shared" si="42"/>
        <v/>
      </c>
      <c r="AL25" s="5" t="str">
        <f t="shared" si="42"/>
        <v/>
      </c>
      <c r="AM25" s="5" t="str">
        <f t="shared" si="42"/>
        <v/>
      </c>
      <c r="AN25" s="5" t="str">
        <f t="shared" ref="AN25:AS25" si="43">IF(AN15="","",AN24*AN19)</f>
        <v/>
      </c>
      <c r="AO25" s="5" t="str">
        <f t="shared" si="43"/>
        <v/>
      </c>
      <c r="AP25" s="5" t="str">
        <f t="shared" si="43"/>
        <v/>
      </c>
      <c r="AQ25" s="5" t="str">
        <f t="shared" si="43"/>
        <v/>
      </c>
      <c r="AR25" s="5" t="str">
        <f t="shared" si="43"/>
        <v/>
      </c>
      <c r="AS25" s="5" t="str">
        <f t="shared" si="43"/>
        <v/>
      </c>
    </row>
    <row r="26" spans="1:45" s="93" customFormat="1" ht="12" thickBot="1">
      <c r="A26" s="4">
        <f>IF(A25="","",A25/(A22*100))</f>
        <v>4.432717678100264E-2</v>
      </c>
      <c r="B26" s="6" t="s">
        <v>20</v>
      </c>
      <c r="C26" s="76" t="s">
        <v>21</v>
      </c>
      <c r="D26" s="18" t="str">
        <f t="shared" ref="D26:AM26" si="44">IF(D25="","",IF(D25=0,"",D25/(D22*100)))</f>
        <v/>
      </c>
      <c r="E26" s="18">
        <f t="shared" si="44"/>
        <v>0.11428571428571428</v>
      </c>
      <c r="F26" s="62" t="str">
        <f t="shared" si="44"/>
        <v/>
      </c>
      <c r="G26" s="18" t="str">
        <f t="shared" si="44"/>
        <v/>
      </c>
      <c r="H26" s="18" t="str">
        <f t="shared" si="44"/>
        <v/>
      </c>
      <c r="I26" s="62" t="str">
        <f t="shared" si="44"/>
        <v/>
      </c>
      <c r="J26" s="18" t="str">
        <f t="shared" si="44"/>
        <v/>
      </c>
      <c r="K26" s="18" t="str">
        <f t="shared" si="44"/>
        <v/>
      </c>
      <c r="L26" s="18">
        <f t="shared" si="44"/>
        <v>6.8571428571428575E-2</v>
      </c>
      <c r="M26" s="62" t="str">
        <f t="shared" si="44"/>
        <v/>
      </c>
      <c r="N26" s="18" t="str">
        <f t="shared" si="44"/>
        <v/>
      </c>
      <c r="O26" s="18" t="str">
        <f t="shared" si="44"/>
        <v/>
      </c>
      <c r="P26" s="18" t="str">
        <f t="shared" si="44"/>
        <v/>
      </c>
      <c r="Q26" s="18" t="str">
        <f t="shared" si="44"/>
        <v/>
      </c>
      <c r="R26" s="18" t="str">
        <f t="shared" si="44"/>
        <v/>
      </c>
      <c r="S26" s="18" t="str">
        <f t="shared" si="44"/>
        <v/>
      </c>
      <c r="T26" s="18">
        <f t="shared" si="44"/>
        <v>2.5263157894736842E-2</v>
      </c>
      <c r="U26" s="18" t="str">
        <f t="shared" si="44"/>
        <v/>
      </c>
      <c r="V26" s="18" t="str">
        <f t="shared" si="44"/>
        <v/>
      </c>
      <c r="W26" s="18" t="str">
        <f t="shared" si="44"/>
        <v/>
      </c>
      <c r="X26" s="18" t="str">
        <f t="shared" si="44"/>
        <v/>
      </c>
      <c r="Y26" s="18" t="str">
        <f t="shared" si="44"/>
        <v/>
      </c>
      <c r="Z26" s="18">
        <f t="shared" si="44"/>
        <v>0.14117647058823529</v>
      </c>
      <c r="AA26" s="18" t="str">
        <f t="shared" si="44"/>
        <v/>
      </c>
      <c r="AB26" s="18" t="str">
        <f t="shared" si="44"/>
        <v/>
      </c>
      <c r="AC26" s="18">
        <f t="shared" si="44"/>
        <v>5.647058823529412E-2</v>
      </c>
      <c r="AD26" s="18" t="str">
        <f t="shared" si="44"/>
        <v/>
      </c>
      <c r="AE26" s="18" t="str">
        <f t="shared" si="44"/>
        <v/>
      </c>
      <c r="AF26" s="18" t="str">
        <f t="shared" si="44"/>
        <v/>
      </c>
      <c r="AG26" s="18" t="str">
        <f t="shared" si="44"/>
        <v/>
      </c>
      <c r="AH26" s="18" t="str">
        <f t="shared" si="44"/>
        <v/>
      </c>
      <c r="AI26" s="18" t="str">
        <f t="shared" si="44"/>
        <v/>
      </c>
      <c r="AJ26" s="18" t="str">
        <f t="shared" si="44"/>
        <v/>
      </c>
      <c r="AK26" s="18" t="str">
        <f t="shared" si="44"/>
        <v/>
      </c>
      <c r="AL26" s="18" t="str">
        <f t="shared" si="44"/>
        <v/>
      </c>
      <c r="AM26" s="18" t="str">
        <f t="shared" si="44"/>
        <v/>
      </c>
      <c r="AN26" s="18" t="str">
        <f t="shared" ref="AN26:AS26" si="45">IF(AN25="","",IF(AN25=0,"",AN25/(AN22*100)))</f>
        <v/>
      </c>
      <c r="AO26" s="18" t="str">
        <f t="shared" si="45"/>
        <v/>
      </c>
      <c r="AP26" s="18" t="str">
        <f t="shared" si="45"/>
        <v/>
      </c>
      <c r="AQ26" s="18" t="str">
        <f t="shared" si="45"/>
        <v/>
      </c>
      <c r="AR26" s="18" t="str">
        <f t="shared" si="45"/>
        <v/>
      </c>
      <c r="AS26" s="18" t="str">
        <f t="shared" si="45"/>
        <v/>
      </c>
    </row>
    <row r="27" spans="1:45" s="93" customFormat="1" ht="11">
      <c r="A27" s="17" t="s">
        <v>134</v>
      </c>
      <c r="B27" s="9" t="s">
        <v>2</v>
      </c>
      <c r="C27" s="74">
        <v>24537</v>
      </c>
      <c r="D27" s="8">
        <f>IF(D$3="","",C27)</f>
        <v>24537</v>
      </c>
      <c r="E27" s="8">
        <v>24543</v>
      </c>
      <c r="F27" s="59">
        <f>IF(F$3="","",E27)</f>
        <v>24543</v>
      </c>
      <c r="G27" s="8">
        <f>IF(G$3="","",F27)</f>
        <v>24543</v>
      </c>
      <c r="H27" s="8">
        <v>24581</v>
      </c>
      <c r="I27" s="59">
        <f t="shared" ref="I27:K28" si="46">IF(I$3="","",H27)</f>
        <v>24581</v>
      </c>
      <c r="J27" s="8">
        <f t="shared" si="46"/>
        <v>24581</v>
      </c>
      <c r="K27" s="8">
        <f t="shared" si="46"/>
        <v>24581</v>
      </c>
      <c r="L27" s="8">
        <v>24598</v>
      </c>
      <c r="M27" s="59">
        <f>IF(M$3="","",L27)</f>
        <v>24598</v>
      </c>
      <c r="N27" s="8">
        <f>IF(N$3="","",M27)</f>
        <v>24598</v>
      </c>
      <c r="O27" s="8">
        <v>24642</v>
      </c>
      <c r="P27" s="8">
        <f t="shared" ref="P27:AM27" si="47">IF(P$3="","",O27)</f>
        <v>24642</v>
      </c>
      <c r="Q27" s="8">
        <f t="shared" si="47"/>
        <v>24642</v>
      </c>
      <c r="R27" s="8">
        <f t="shared" si="47"/>
        <v>24642</v>
      </c>
      <c r="S27" s="8">
        <f t="shared" si="47"/>
        <v>24642</v>
      </c>
      <c r="T27" s="8">
        <v>24672</v>
      </c>
      <c r="U27" s="8">
        <f t="shared" si="47"/>
        <v>24672</v>
      </c>
      <c r="V27" s="8">
        <v>24691</v>
      </c>
      <c r="W27" s="8">
        <f t="shared" si="47"/>
        <v>24691</v>
      </c>
      <c r="X27" s="8">
        <f t="shared" si="47"/>
        <v>24691</v>
      </c>
      <c r="Y27" s="8">
        <f t="shared" si="47"/>
        <v>24691</v>
      </c>
      <c r="Z27" s="8">
        <v>24752</v>
      </c>
      <c r="AA27" s="8">
        <f t="shared" si="47"/>
        <v>24752</v>
      </c>
      <c r="AB27" s="8">
        <f t="shared" si="47"/>
        <v>24752</v>
      </c>
      <c r="AC27" s="8">
        <v>24799</v>
      </c>
      <c r="AD27" s="8" t="str">
        <f t="shared" si="47"/>
        <v/>
      </c>
      <c r="AE27" s="8" t="str">
        <f t="shared" si="47"/>
        <v/>
      </c>
      <c r="AF27" s="8" t="str">
        <f t="shared" si="47"/>
        <v/>
      </c>
      <c r="AG27" s="8" t="str">
        <f t="shared" si="47"/>
        <v/>
      </c>
      <c r="AH27" s="8" t="str">
        <f t="shared" si="47"/>
        <v/>
      </c>
      <c r="AI27" s="8" t="str">
        <f t="shared" si="47"/>
        <v/>
      </c>
      <c r="AJ27" s="8" t="str">
        <f t="shared" si="47"/>
        <v/>
      </c>
      <c r="AK27" s="8" t="str">
        <f t="shared" si="47"/>
        <v/>
      </c>
      <c r="AL27" s="8" t="str">
        <f t="shared" si="47"/>
        <v/>
      </c>
      <c r="AM27" s="8" t="str">
        <f t="shared" si="47"/>
        <v/>
      </c>
      <c r="AN27" s="8" t="str">
        <f t="shared" ref="AN27:AS27" si="48">IF(AN$3="","",AM27)</f>
        <v/>
      </c>
      <c r="AO27" s="8" t="str">
        <f t="shared" si="48"/>
        <v/>
      </c>
      <c r="AP27" s="8" t="str">
        <f t="shared" si="48"/>
        <v/>
      </c>
      <c r="AQ27" s="8" t="str">
        <f t="shared" si="48"/>
        <v/>
      </c>
      <c r="AR27" s="8" t="str">
        <f t="shared" si="48"/>
        <v/>
      </c>
      <c r="AS27" s="8" t="str">
        <f t="shared" si="48"/>
        <v/>
      </c>
    </row>
    <row r="28" spans="1:45" s="93" customFormat="1" ht="11">
      <c r="A28" s="16" t="str">
        <f>A16</f>
        <v>BUZZ＃1</v>
      </c>
      <c r="B28" s="9" t="s">
        <v>4</v>
      </c>
      <c r="C28" s="74">
        <v>2818</v>
      </c>
      <c r="D28" s="8">
        <f>IF(D$3="","",C28)</f>
        <v>2818</v>
      </c>
      <c r="E28" s="8">
        <f>IF(E$3="","",D28)</f>
        <v>2818</v>
      </c>
      <c r="F28" s="59">
        <f>IF(F$3="","",E28)</f>
        <v>2818</v>
      </c>
      <c r="G28" s="8">
        <f>IF(G$3="","",F28)</f>
        <v>2818</v>
      </c>
      <c r="H28" s="8">
        <v>2819</v>
      </c>
      <c r="I28" s="59">
        <f t="shared" si="46"/>
        <v>2819</v>
      </c>
      <c r="J28" s="8">
        <f t="shared" si="46"/>
        <v>2819</v>
      </c>
      <c r="K28" s="8">
        <f t="shared" si="46"/>
        <v>2819</v>
      </c>
      <c r="L28" s="8">
        <f>IF(L$3="","",K28)</f>
        <v>2819</v>
      </c>
      <c r="M28" s="59">
        <f>IF(M$3="","",L28)</f>
        <v>2819</v>
      </c>
      <c r="N28" s="8">
        <f>IF(N$3="","",M28)</f>
        <v>2819</v>
      </c>
      <c r="O28" s="8">
        <v>2821</v>
      </c>
      <c r="P28" s="8">
        <f t="shared" ref="P28:AM28" si="49">IF(P$3="","",O28)</f>
        <v>2821</v>
      </c>
      <c r="Q28" s="8">
        <f t="shared" si="49"/>
        <v>2821</v>
      </c>
      <c r="R28" s="8">
        <f t="shared" si="49"/>
        <v>2821</v>
      </c>
      <c r="S28" s="8">
        <f t="shared" si="49"/>
        <v>2821</v>
      </c>
      <c r="T28" s="8">
        <f t="shared" si="49"/>
        <v>2821</v>
      </c>
      <c r="U28" s="8">
        <f t="shared" si="49"/>
        <v>2821</v>
      </c>
      <c r="V28" s="8">
        <f t="shared" si="49"/>
        <v>2821</v>
      </c>
      <c r="W28" s="8">
        <f t="shared" si="49"/>
        <v>2821</v>
      </c>
      <c r="X28" s="8">
        <f t="shared" si="49"/>
        <v>2821</v>
      </c>
      <c r="Y28" s="8">
        <f t="shared" si="49"/>
        <v>2821</v>
      </c>
      <c r="Z28" s="8">
        <v>2822</v>
      </c>
      <c r="AA28" s="8">
        <f t="shared" si="49"/>
        <v>2822</v>
      </c>
      <c r="AB28" s="8">
        <f t="shared" si="49"/>
        <v>2822</v>
      </c>
      <c r="AC28" s="8">
        <v>2824</v>
      </c>
      <c r="AD28" s="8" t="str">
        <f t="shared" si="49"/>
        <v/>
      </c>
      <c r="AE28" s="8" t="str">
        <f t="shared" si="49"/>
        <v/>
      </c>
      <c r="AF28" s="8" t="str">
        <f t="shared" si="49"/>
        <v/>
      </c>
      <c r="AG28" s="8" t="str">
        <f t="shared" si="49"/>
        <v/>
      </c>
      <c r="AH28" s="8" t="str">
        <f t="shared" si="49"/>
        <v/>
      </c>
      <c r="AI28" s="8" t="str">
        <f t="shared" si="49"/>
        <v/>
      </c>
      <c r="AJ28" s="8" t="str">
        <f t="shared" si="49"/>
        <v/>
      </c>
      <c r="AK28" s="8" t="str">
        <f t="shared" si="49"/>
        <v/>
      </c>
      <c r="AL28" s="8" t="str">
        <f t="shared" si="49"/>
        <v/>
      </c>
      <c r="AM28" s="8" t="str">
        <f t="shared" si="49"/>
        <v/>
      </c>
      <c r="AN28" s="8" t="str">
        <f t="shared" ref="AN28:AS28" si="50">IF(AN$3="","",AM28)</f>
        <v/>
      </c>
      <c r="AO28" s="8" t="str">
        <f t="shared" si="50"/>
        <v/>
      </c>
      <c r="AP28" s="8" t="str">
        <f t="shared" si="50"/>
        <v/>
      </c>
      <c r="AQ28" s="8" t="str">
        <f t="shared" si="50"/>
        <v/>
      </c>
      <c r="AR28" s="8" t="str">
        <f t="shared" si="50"/>
        <v/>
      </c>
      <c r="AS28" s="8" t="str">
        <f t="shared" si="50"/>
        <v/>
      </c>
    </row>
    <row r="29" spans="1:45" s="93" customFormat="1" ht="11">
      <c r="A29" s="15">
        <v>3</v>
      </c>
      <c r="B29" s="9" t="s">
        <v>5</v>
      </c>
      <c r="C29" s="74">
        <v>7</v>
      </c>
      <c r="D29" s="8">
        <f>IF(D27="","",(C29+C30))</f>
        <v>7</v>
      </c>
      <c r="E29" s="8">
        <f>IF(E27="","",(D29+D30))</f>
        <v>7</v>
      </c>
      <c r="F29" s="59">
        <f>IF(F27="","",(E29+E30))</f>
        <v>7</v>
      </c>
      <c r="G29" s="8">
        <f>IF(G27="","",(F29+F30))</f>
        <v>7</v>
      </c>
      <c r="H29" s="8">
        <v>6</v>
      </c>
      <c r="I29" s="59">
        <f t="shared" ref="I29:N29" si="51">IF(I27="","",(H29+H30))</f>
        <v>13</v>
      </c>
      <c r="J29" s="8">
        <f t="shared" si="51"/>
        <v>13</v>
      </c>
      <c r="K29" s="8">
        <f t="shared" si="51"/>
        <v>13</v>
      </c>
      <c r="L29" s="8">
        <f t="shared" si="51"/>
        <v>13</v>
      </c>
      <c r="M29" s="59">
        <f t="shared" si="51"/>
        <v>13</v>
      </c>
      <c r="N29" s="8">
        <f t="shared" si="51"/>
        <v>13</v>
      </c>
      <c r="O29" s="8">
        <v>12</v>
      </c>
      <c r="P29" s="8">
        <f t="shared" ref="P29:AM29" si="52">IF(P27="","",(O29+O30))</f>
        <v>12</v>
      </c>
      <c r="Q29" s="8">
        <f t="shared" si="52"/>
        <v>12</v>
      </c>
      <c r="R29" s="8">
        <f t="shared" si="52"/>
        <v>12</v>
      </c>
      <c r="S29" s="8">
        <f t="shared" si="52"/>
        <v>12</v>
      </c>
      <c r="T29" s="8">
        <f t="shared" si="52"/>
        <v>12</v>
      </c>
      <c r="U29" s="8">
        <f t="shared" si="52"/>
        <v>12</v>
      </c>
      <c r="V29" s="8">
        <f t="shared" si="52"/>
        <v>12</v>
      </c>
      <c r="W29" s="8">
        <f t="shared" si="52"/>
        <v>12</v>
      </c>
      <c r="X29" s="8">
        <f t="shared" si="52"/>
        <v>12</v>
      </c>
      <c r="Y29" s="8">
        <f t="shared" si="52"/>
        <v>12</v>
      </c>
      <c r="Z29" s="8">
        <v>10</v>
      </c>
      <c r="AA29" s="8">
        <f t="shared" si="52"/>
        <v>10</v>
      </c>
      <c r="AB29" s="8">
        <f t="shared" si="52"/>
        <v>10</v>
      </c>
      <c r="AC29" s="8">
        <f t="shared" si="52"/>
        <v>10</v>
      </c>
      <c r="AD29" s="8" t="str">
        <f t="shared" si="52"/>
        <v/>
      </c>
      <c r="AE29" s="8" t="str">
        <f t="shared" si="52"/>
        <v/>
      </c>
      <c r="AF29" s="8" t="str">
        <f t="shared" si="52"/>
        <v/>
      </c>
      <c r="AG29" s="8" t="str">
        <f t="shared" si="52"/>
        <v/>
      </c>
      <c r="AH29" s="8" t="str">
        <f t="shared" si="52"/>
        <v/>
      </c>
      <c r="AI29" s="8" t="str">
        <f t="shared" si="52"/>
        <v/>
      </c>
      <c r="AJ29" s="8" t="str">
        <f t="shared" si="52"/>
        <v/>
      </c>
      <c r="AK29" s="8" t="str">
        <f t="shared" si="52"/>
        <v/>
      </c>
      <c r="AL29" s="8" t="str">
        <f t="shared" si="52"/>
        <v/>
      </c>
      <c r="AM29" s="8" t="str">
        <f t="shared" si="52"/>
        <v/>
      </c>
      <c r="AN29" s="8" t="str">
        <f t="shared" ref="AN29:AS29" si="53">IF(AN27="","",(AM29+AM30))</f>
        <v/>
      </c>
      <c r="AO29" s="8" t="str">
        <f t="shared" si="53"/>
        <v/>
      </c>
      <c r="AP29" s="8" t="str">
        <f t="shared" si="53"/>
        <v/>
      </c>
      <c r="AQ29" s="8" t="str">
        <f t="shared" si="53"/>
        <v/>
      </c>
      <c r="AR29" s="8" t="str">
        <f t="shared" si="53"/>
        <v/>
      </c>
      <c r="AS29" s="8" t="str">
        <f t="shared" si="53"/>
        <v/>
      </c>
    </row>
    <row r="30" spans="1:45" s="93" customFormat="1" ht="11">
      <c r="A30" s="14"/>
      <c r="B30" s="9" t="s">
        <v>7</v>
      </c>
      <c r="C30" s="74"/>
      <c r="D30" s="8"/>
      <c r="E30" s="8"/>
      <c r="F30" s="59"/>
      <c r="G30" s="8"/>
      <c r="H30" s="8">
        <v>7</v>
      </c>
      <c r="I30" s="59"/>
      <c r="J30" s="8"/>
      <c r="K30" s="8"/>
      <c r="L30" s="8"/>
      <c r="M30" s="59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s="93" customFormat="1" ht="11">
      <c r="A31" s="7"/>
      <c r="B31" s="9" t="s">
        <v>8</v>
      </c>
      <c r="C31" s="74">
        <v>600</v>
      </c>
      <c r="D31" s="8">
        <f t="shared" ref="D31:AM31" si="54">IF(D27="","",C31)</f>
        <v>600</v>
      </c>
      <c r="E31" s="8">
        <f t="shared" si="54"/>
        <v>600</v>
      </c>
      <c r="F31" s="59">
        <f t="shared" si="54"/>
        <v>600</v>
      </c>
      <c r="G31" s="8">
        <f t="shared" si="54"/>
        <v>600</v>
      </c>
      <c r="H31" s="8">
        <f t="shared" si="54"/>
        <v>600</v>
      </c>
      <c r="I31" s="59">
        <f t="shared" si="54"/>
        <v>600</v>
      </c>
      <c r="J31" s="8">
        <f t="shared" si="54"/>
        <v>600</v>
      </c>
      <c r="K31" s="8">
        <f t="shared" si="54"/>
        <v>600</v>
      </c>
      <c r="L31" s="8">
        <f t="shared" si="54"/>
        <v>600</v>
      </c>
      <c r="M31" s="59">
        <f t="shared" si="54"/>
        <v>600</v>
      </c>
      <c r="N31" s="8">
        <f t="shared" si="54"/>
        <v>600</v>
      </c>
      <c r="O31" s="8">
        <f t="shared" si="54"/>
        <v>600</v>
      </c>
      <c r="P31" s="8">
        <f t="shared" si="54"/>
        <v>600</v>
      </c>
      <c r="Q31" s="8">
        <f t="shared" si="54"/>
        <v>600</v>
      </c>
      <c r="R31" s="8">
        <f t="shared" si="54"/>
        <v>600</v>
      </c>
      <c r="S31" s="8">
        <f t="shared" si="54"/>
        <v>600</v>
      </c>
      <c r="T31" s="8">
        <f t="shared" si="54"/>
        <v>600</v>
      </c>
      <c r="U31" s="8">
        <f t="shared" si="54"/>
        <v>600</v>
      </c>
      <c r="V31" s="8">
        <f t="shared" si="54"/>
        <v>600</v>
      </c>
      <c r="W31" s="8">
        <f t="shared" si="54"/>
        <v>600</v>
      </c>
      <c r="X31" s="8">
        <f t="shared" si="54"/>
        <v>600</v>
      </c>
      <c r="Y31" s="8">
        <f t="shared" si="54"/>
        <v>600</v>
      </c>
      <c r="Z31" s="8">
        <f t="shared" si="54"/>
        <v>600</v>
      </c>
      <c r="AA31" s="8">
        <f t="shared" si="54"/>
        <v>600</v>
      </c>
      <c r="AB31" s="8">
        <f t="shared" si="54"/>
        <v>600</v>
      </c>
      <c r="AC31" s="8">
        <f t="shared" si="54"/>
        <v>600</v>
      </c>
      <c r="AD31" s="8" t="str">
        <f t="shared" si="54"/>
        <v/>
      </c>
      <c r="AE31" s="8" t="str">
        <f t="shared" si="54"/>
        <v/>
      </c>
      <c r="AF31" s="8" t="str">
        <f t="shared" si="54"/>
        <v/>
      </c>
      <c r="AG31" s="8" t="str">
        <f t="shared" si="54"/>
        <v/>
      </c>
      <c r="AH31" s="8" t="str">
        <f t="shared" si="54"/>
        <v/>
      </c>
      <c r="AI31" s="8" t="str">
        <f t="shared" si="54"/>
        <v/>
      </c>
      <c r="AJ31" s="8" t="str">
        <f t="shared" si="54"/>
        <v/>
      </c>
      <c r="AK31" s="8" t="str">
        <f t="shared" si="54"/>
        <v/>
      </c>
      <c r="AL31" s="8" t="str">
        <f t="shared" si="54"/>
        <v/>
      </c>
      <c r="AM31" s="8" t="str">
        <f t="shared" si="54"/>
        <v/>
      </c>
      <c r="AN31" s="8" t="str">
        <f t="shared" ref="AN31:AS31" si="55">IF(AN27="","",AM31)</f>
        <v/>
      </c>
      <c r="AO31" s="8" t="str">
        <f t="shared" si="55"/>
        <v/>
      </c>
      <c r="AP31" s="8" t="str">
        <f t="shared" si="55"/>
        <v/>
      </c>
      <c r="AQ31" s="8" t="str">
        <f t="shared" si="55"/>
        <v/>
      </c>
      <c r="AR31" s="8" t="str">
        <f t="shared" si="55"/>
        <v/>
      </c>
      <c r="AS31" s="8" t="str">
        <f t="shared" si="55"/>
        <v/>
      </c>
    </row>
    <row r="32" spans="1:45" s="94" customFormat="1" ht="11">
      <c r="A32" s="14" t="s">
        <v>9</v>
      </c>
      <c r="B32" s="13" t="s">
        <v>10</v>
      </c>
      <c r="C32" s="75" t="s">
        <v>93</v>
      </c>
      <c r="D32" s="12" t="str">
        <f t="shared" ref="D32:AM32" si="56">IF(D27="","",C32)</f>
        <v>NICI</v>
      </c>
      <c r="E32" s="12" t="str">
        <f t="shared" si="56"/>
        <v>NICI</v>
      </c>
      <c r="F32" s="131" t="str">
        <f t="shared" si="56"/>
        <v>NICI</v>
      </c>
      <c r="G32" s="12" t="str">
        <f t="shared" si="56"/>
        <v>NICI</v>
      </c>
      <c r="H32" s="12" t="str">
        <f t="shared" si="56"/>
        <v>NICI</v>
      </c>
      <c r="I32" s="131" t="str">
        <f t="shared" si="56"/>
        <v>NICI</v>
      </c>
      <c r="J32" s="12" t="str">
        <f t="shared" si="56"/>
        <v>NICI</v>
      </c>
      <c r="K32" s="12" t="str">
        <f t="shared" si="56"/>
        <v>NICI</v>
      </c>
      <c r="L32" s="12" t="str">
        <f t="shared" si="56"/>
        <v>NICI</v>
      </c>
      <c r="M32" s="131" t="str">
        <f t="shared" si="56"/>
        <v>NICI</v>
      </c>
      <c r="N32" s="12" t="str">
        <f t="shared" si="56"/>
        <v>NICI</v>
      </c>
      <c r="O32" s="12" t="str">
        <f t="shared" si="56"/>
        <v>NICI</v>
      </c>
      <c r="P32" s="12" t="str">
        <f t="shared" si="56"/>
        <v>NICI</v>
      </c>
      <c r="Q32" s="12" t="str">
        <f t="shared" si="56"/>
        <v>NICI</v>
      </c>
      <c r="R32" s="12" t="str">
        <f t="shared" si="56"/>
        <v>NICI</v>
      </c>
      <c r="S32" s="12" t="str">
        <f t="shared" si="56"/>
        <v>NICI</v>
      </c>
      <c r="T32" s="12" t="str">
        <f t="shared" si="56"/>
        <v>NICI</v>
      </c>
      <c r="U32" s="12" t="str">
        <f t="shared" si="56"/>
        <v>NICI</v>
      </c>
      <c r="V32" s="12" t="str">
        <f t="shared" si="56"/>
        <v>NICI</v>
      </c>
      <c r="W32" s="12" t="str">
        <f t="shared" si="56"/>
        <v>NICI</v>
      </c>
      <c r="X32" s="12" t="str">
        <f t="shared" si="56"/>
        <v>NICI</v>
      </c>
      <c r="Y32" s="12" t="str">
        <f t="shared" si="56"/>
        <v>NICI</v>
      </c>
      <c r="Z32" s="12" t="str">
        <f t="shared" si="56"/>
        <v>NICI</v>
      </c>
      <c r="AA32" s="12" t="str">
        <f t="shared" si="56"/>
        <v>NICI</v>
      </c>
      <c r="AB32" s="12" t="str">
        <f t="shared" si="56"/>
        <v>NICI</v>
      </c>
      <c r="AC32" s="12" t="str">
        <f t="shared" si="56"/>
        <v>NICI</v>
      </c>
      <c r="AD32" s="12" t="str">
        <f t="shared" si="56"/>
        <v/>
      </c>
      <c r="AE32" s="12" t="str">
        <f t="shared" si="56"/>
        <v/>
      </c>
      <c r="AF32" s="12" t="str">
        <f t="shared" si="56"/>
        <v/>
      </c>
      <c r="AG32" s="12" t="str">
        <f t="shared" si="56"/>
        <v/>
      </c>
      <c r="AH32" s="12" t="str">
        <f t="shared" si="56"/>
        <v/>
      </c>
      <c r="AI32" s="12" t="str">
        <f t="shared" si="56"/>
        <v/>
      </c>
      <c r="AJ32" s="12" t="str">
        <f t="shared" si="56"/>
        <v/>
      </c>
      <c r="AK32" s="12" t="str">
        <f t="shared" si="56"/>
        <v/>
      </c>
      <c r="AL32" s="12" t="str">
        <f t="shared" si="56"/>
        <v/>
      </c>
      <c r="AM32" s="12" t="str">
        <f t="shared" si="56"/>
        <v/>
      </c>
      <c r="AN32" s="12" t="str">
        <f t="shared" ref="AN32:AS32" si="57">IF(AN27="","",AM32)</f>
        <v/>
      </c>
      <c r="AO32" s="12" t="str">
        <f t="shared" si="57"/>
        <v/>
      </c>
      <c r="AP32" s="12" t="str">
        <f t="shared" si="57"/>
        <v/>
      </c>
      <c r="AQ32" s="12" t="str">
        <f t="shared" si="57"/>
        <v/>
      </c>
      <c r="AR32" s="12" t="str">
        <f t="shared" si="57"/>
        <v/>
      </c>
      <c r="AS32" s="12" t="str">
        <f t="shared" si="57"/>
        <v/>
      </c>
    </row>
    <row r="33" spans="1:45" s="93" customFormat="1" ht="11">
      <c r="A33" s="7">
        <f>AVERAGE(C34:AS34)*30*100</f>
        <v>29111.111111111113</v>
      </c>
      <c r="B33" s="9" t="s">
        <v>14</v>
      </c>
      <c r="C33" s="74"/>
      <c r="D33" s="8"/>
      <c r="E33" s="8"/>
      <c r="F33" s="59"/>
      <c r="G33" s="8"/>
      <c r="H33" s="8"/>
      <c r="I33" s="59"/>
      <c r="J33" s="8"/>
      <c r="K33" s="8"/>
      <c r="L33" s="8"/>
      <c r="M33" s="59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s="93" customFormat="1" ht="11">
      <c r="A34" s="7">
        <f>SUM(C34:AS34)</f>
        <v>262</v>
      </c>
      <c r="B34" s="6" t="s">
        <v>15</v>
      </c>
      <c r="C34" s="74">
        <v>0</v>
      </c>
      <c r="D34" s="5">
        <f t="shared" ref="D34:AM34" si="58">IF(D27="","",D27-C27)</f>
        <v>0</v>
      </c>
      <c r="E34" s="5">
        <f t="shared" si="58"/>
        <v>6</v>
      </c>
      <c r="F34" s="59">
        <f t="shared" si="58"/>
        <v>0</v>
      </c>
      <c r="G34" s="5">
        <f t="shared" si="58"/>
        <v>0</v>
      </c>
      <c r="H34" s="5">
        <f t="shared" si="58"/>
        <v>38</v>
      </c>
      <c r="I34" s="59">
        <f t="shared" si="58"/>
        <v>0</v>
      </c>
      <c r="J34" s="5">
        <f t="shared" si="58"/>
        <v>0</v>
      </c>
      <c r="K34" s="5">
        <f t="shared" si="58"/>
        <v>0</v>
      </c>
      <c r="L34" s="5">
        <f t="shared" si="58"/>
        <v>17</v>
      </c>
      <c r="M34" s="59">
        <f t="shared" si="58"/>
        <v>0</v>
      </c>
      <c r="N34" s="5">
        <f t="shared" si="58"/>
        <v>0</v>
      </c>
      <c r="O34" s="5">
        <f t="shared" si="58"/>
        <v>44</v>
      </c>
      <c r="P34" s="5">
        <f t="shared" si="58"/>
        <v>0</v>
      </c>
      <c r="Q34" s="5">
        <f t="shared" si="58"/>
        <v>0</v>
      </c>
      <c r="R34" s="5">
        <f t="shared" si="58"/>
        <v>0</v>
      </c>
      <c r="S34" s="5">
        <f t="shared" si="58"/>
        <v>0</v>
      </c>
      <c r="T34" s="5">
        <f t="shared" si="58"/>
        <v>30</v>
      </c>
      <c r="U34" s="5">
        <f t="shared" si="58"/>
        <v>0</v>
      </c>
      <c r="V34" s="5">
        <f t="shared" si="58"/>
        <v>19</v>
      </c>
      <c r="W34" s="5">
        <f t="shared" si="58"/>
        <v>0</v>
      </c>
      <c r="X34" s="5">
        <f t="shared" si="58"/>
        <v>0</v>
      </c>
      <c r="Y34" s="5">
        <f t="shared" si="58"/>
        <v>0</v>
      </c>
      <c r="Z34" s="5">
        <f t="shared" si="58"/>
        <v>61</v>
      </c>
      <c r="AA34" s="5">
        <f t="shared" si="58"/>
        <v>0</v>
      </c>
      <c r="AB34" s="5">
        <f t="shared" si="58"/>
        <v>0</v>
      </c>
      <c r="AC34" s="5">
        <f t="shared" si="58"/>
        <v>47</v>
      </c>
      <c r="AD34" s="5" t="str">
        <f t="shared" si="58"/>
        <v/>
      </c>
      <c r="AE34" s="5" t="str">
        <f t="shared" si="58"/>
        <v/>
      </c>
      <c r="AF34" s="5" t="str">
        <f t="shared" si="58"/>
        <v/>
      </c>
      <c r="AG34" s="5" t="str">
        <f t="shared" si="58"/>
        <v/>
      </c>
      <c r="AH34" s="5" t="str">
        <f t="shared" si="58"/>
        <v/>
      </c>
      <c r="AI34" s="5" t="str">
        <f t="shared" si="58"/>
        <v/>
      </c>
      <c r="AJ34" s="5" t="str">
        <f t="shared" si="58"/>
        <v/>
      </c>
      <c r="AK34" s="5" t="str">
        <f t="shared" si="58"/>
        <v/>
      </c>
      <c r="AL34" s="5" t="str">
        <f t="shared" si="58"/>
        <v/>
      </c>
      <c r="AM34" s="5" t="str">
        <f t="shared" si="58"/>
        <v/>
      </c>
      <c r="AN34" s="5" t="str">
        <f t="shared" ref="AN34:AS34" si="59">IF(AN27="","",AN27-AM27)</f>
        <v/>
      </c>
      <c r="AO34" s="5" t="str">
        <f t="shared" si="59"/>
        <v/>
      </c>
      <c r="AP34" s="5" t="str">
        <f t="shared" si="59"/>
        <v/>
      </c>
      <c r="AQ34" s="5" t="str">
        <f t="shared" si="59"/>
        <v/>
      </c>
      <c r="AR34" s="5" t="str">
        <f t="shared" si="59"/>
        <v/>
      </c>
      <c r="AS34" s="5" t="str">
        <f t="shared" si="59"/>
        <v/>
      </c>
    </row>
    <row r="35" spans="1:45" s="93" customFormat="1" ht="11">
      <c r="A35" s="7">
        <f>SUM(C35:AS35)</f>
        <v>6</v>
      </c>
      <c r="B35" s="6" t="s">
        <v>16</v>
      </c>
      <c r="C35" s="74">
        <v>0</v>
      </c>
      <c r="D35" s="5">
        <f t="shared" ref="D35:AM35" si="60">IF(D28="","",D28-C28)</f>
        <v>0</v>
      </c>
      <c r="E35" s="5">
        <f t="shared" si="60"/>
        <v>0</v>
      </c>
      <c r="F35" s="59">
        <f t="shared" si="60"/>
        <v>0</v>
      </c>
      <c r="G35" s="5">
        <f t="shared" si="60"/>
        <v>0</v>
      </c>
      <c r="H35" s="5">
        <f t="shared" si="60"/>
        <v>1</v>
      </c>
      <c r="I35" s="59">
        <f t="shared" si="60"/>
        <v>0</v>
      </c>
      <c r="J35" s="5">
        <f t="shared" si="60"/>
        <v>0</v>
      </c>
      <c r="K35" s="5">
        <f t="shared" si="60"/>
        <v>0</v>
      </c>
      <c r="L35" s="5">
        <f t="shared" si="60"/>
        <v>0</v>
      </c>
      <c r="M35" s="59">
        <f t="shared" si="60"/>
        <v>0</v>
      </c>
      <c r="N35" s="5">
        <f t="shared" si="60"/>
        <v>0</v>
      </c>
      <c r="O35" s="5">
        <f t="shared" si="60"/>
        <v>2</v>
      </c>
      <c r="P35" s="5">
        <f t="shared" si="60"/>
        <v>0</v>
      </c>
      <c r="Q35" s="5">
        <f t="shared" si="60"/>
        <v>0</v>
      </c>
      <c r="R35" s="5">
        <f t="shared" si="60"/>
        <v>0</v>
      </c>
      <c r="S35" s="5">
        <f t="shared" si="60"/>
        <v>0</v>
      </c>
      <c r="T35" s="5">
        <f t="shared" si="60"/>
        <v>0</v>
      </c>
      <c r="U35" s="5">
        <f t="shared" si="60"/>
        <v>0</v>
      </c>
      <c r="V35" s="5">
        <f t="shared" si="60"/>
        <v>0</v>
      </c>
      <c r="W35" s="5">
        <f t="shared" si="60"/>
        <v>0</v>
      </c>
      <c r="X35" s="5">
        <f t="shared" si="60"/>
        <v>0</v>
      </c>
      <c r="Y35" s="5">
        <f t="shared" si="60"/>
        <v>0</v>
      </c>
      <c r="Z35" s="5">
        <f t="shared" si="60"/>
        <v>1</v>
      </c>
      <c r="AA35" s="5">
        <f t="shared" si="60"/>
        <v>0</v>
      </c>
      <c r="AB35" s="5">
        <f t="shared" si="60"/>
        <v>0</v>
      </c>
      <c r="AC35" s="5">
        <f t="shared" si="60"/>
        <v>2</v>
      </c>
      <c r="AD35" s="5" t="str">
        <f t="shared" si="60"/>
        <v/>
      </c>
      <c r="AE35" s="5" t="str">
        <f t="shared" si="60"/>
        <v/>
      </c>
      <c r="AF35" s="5" t="str">
        <f t="shared" si="60"/>
        <v/>
      </c>
      <c r="AG35" s="5" t="str">
        <f t="shared" si="60"/>
        <v/>
      </c>
      <c r="AH35" s="5" t="str">
        <f t="shared" si="60"/>
        <v/>
      </c>
      <c r="AI35" s="5" t="str">
        <f t="shared" si="60"/>
        <v/>
      </c>
      <c r="AJ35" s="5" t="str">
        <f t="shared" si="60"/>
        <v/>
      </c>
      <c r="AK35" s="5" t="str">
        <f t="shared" si="60"/>
        <v/>
      </c>
      <c r="AL35" s="5" t="str">
        <f t="shared" si="60"/>
        <v/>
      </c>
      <c r="AM35" s="5" t="str">
        <f t="shared" si="60"/>
        <v/>
      </c>
      <c r="AN35" s="5" t="str">
        <f t="shared" ref="AN35:AS35" si="61">IF(AN28="","",AN28-AM28)</f>
        <v/>
      </c>
      <c r="AO35" s="5" t="str">
        <f t="shared" si="61"/>
        <v/>
      </c>
      <c r="AP35" s="5" t="str">
        <f t="shared" si="61"/>
        <v/>
      </c>
      <c r="AQ35" s="5" t="str">
        <f t="shared" si="61"/>
        <v/>
      </c>
      <c r="AR35" s="5" t="str">
        <f t="shared" si="61"/>
        <v/>
      </c>
      <c r="AS35" s="5" t="str">
        <f t="shared" si="61"/>
        <v/>
      </c>
    </row>
    <row r="36" spans="1:45" s="93" customFormat="1" ht="11">
      <c r="A36" s="7">
        <f>SUM(C36:AS36)</f>
        <v>4</v>
      </c>
      <c r="B36" s="6" t="s">
        <v>17</v>
      </c>
      <c r="C36" s="74">
        <v>0</v>
      </c>
      <c r="D36" s="5">
        <f t="shared" ref="D36:AM36" si="62">IF(D29="","",C29+C30-D29)</f>
        <v>0</v>
      </c>
      <c r="E36" s="5">
        <f t="shared" si="62"/>
        <v>0</v>
      </c>
      <c r="F36" s="59">
        <f t="shared" si="62"/>
        <v>0</v>
      </c>
      <c r="G36" s="5">
        <f t="shared" si="62"/>
        <v>0</v>
      </c>
      <c r="H36" s="5">
        <f t="shared" si="62"/>
        <v>1</v>
      </c>
      <c r="I36" s="59">
        <f t="shared" si="62"/>
        <v>0</v>
      </c>
      <c r="J36" s="5">
        <f t="shared" si="62"/>
        <v>0</v>
      </c>
      <c r="K36" s="5">
        <f t="shared" si="62"/>
        <v>0</v>
      </c>
      <c r="L36" s="5">
        <f t="shared" si="62"/>
        <v>0</v>
      </c>
      <c r="M36" s="59">
        <f t="shared" si="62"/>
        <v>0</v>
      </c>
      <c r="N36" s="5">
        <f t="shared" si="62"/>
        <v>0</v>
      </c>
      <c r="O36" s="5">
        <f t="shared" si="62"/>
        <v>1</v>
      </c>
      <c r="P36" s="5">
        <f t="shared" si="62"/>
        <v>0</v>
      </c>
      <c r="Q36" s="5">
        <f t="shared" si="62"/>
        <v>0</v>
      </c>
      <c r="R36" s="5">
        <f t="shared" si="62"/>
        <v>0</v>
      </c>
      <c r="S36" s="5">
        <f t="shared" si="62"/>
        <v>0</v>
      </c>
      <c r="T36" s="5">
        <f t="shared" si="62"/>
        <v>0</v>
      </c>
      <c r="U36" s="5">
        <f t="shared" si="62"/>
        <v>0</v>
      </c>
      <c r="V36" s="5">
        <f t="shared" si="62"/>
        <v>0</v>
      </c>
      <c r="W36" s="5">
        <f t="shared" si="62"/>
        <v>0</v>
      </c>
      <c r="X36" s="5">
        <f t="shared" si="62"/>
        <v>0</v>
      </c>
      <c r="Y36" s="5">
        <f t="shared" si="62"/>
        <v>0</v>
      </c>
      <c r="Z36" s="5">
        <f t="shared" si="62"/>
        <v>2</v>
      </c>
      <c r="AA36" s="5">
        <f t="shared" si="62"/>
        <v>0</v>
      </c>
      <c r="AB36" s="5">
        <f t="shared" si="62"/>
        <v>0</v>
      </c>
      <c r="AC36" s="5">
        <f t="shared" si="62"/>
        <v>0</v>
      </c>
      <c r="AD36" s="5" t="str">
        <f t="shared" si="62"/>
        <v/>
      </c>
      <c r="AE36" s="5" t="str">
        <f t="shared" si="62"/>
        <v/>
      </c>
      <c r="AF36" s="5" t="str">
        <f t="shared" si="62"/>
        <v/>
      </c>
      <c r="AG36" s="5" t="str">
        <f t="shared" si="62"/>
        <v/>
      </c>
      <c r="AH36" s="5" t="str">
        <f t="shared" si="62"/>
        <v/>
      </c>
      <c r="AI36" s="5" t="str">
        <f t="shared" si="62"/>
        <v/>
      </c>
      <c r="AJ36" s="5" t="str">
        <f t="shared" si="62"/>
        <v/>
      </c>
      <c r="AK36" s="5" t="str">
        <f t="shared" si="62"/>
        <v/>
      </c>
      <c r="AL36" s="5" t="str">
        <f t="shared" si="62"/>
        <v/>
      </c>
      <c r="AM36" s="5" t="str">
        <f t="shared" si="62"/>
        <v/>
      </c>
      <c r="AN36" s="5" t="str">
        <f t="shared" ref="AN36:AS36" si="63">IF(AN29="","",AM29+AM30-AN29)</f>
        <v/>
      </c>
      <c r="AO36" s="5" t="str">
        <f t="shared" si="63"/>
        <v/>
      </c>
      <c r="AP36" s="5" t="str">
        <f t="shared" si="63"/>
        <v/>
      </c>
      <c r="AQ36" s="5" t="str">
        <f t="shared" si="63"/>
        <v/>
      </c>
      <c r="AR36" s="5" t="str">
        <f t="shared" si="63"/>
        <v/>
      </c>
      <c r="AS36" s="5" t="str">
        <f t="shared" si="63"/>
        <v/>
      </c>
    </row>
    <row r="37" spans="1:45" s="93" customFormat="1" ht="11">
      <c r="A37" s="7">
        <f>SUM(C37:AS37)</f>
        <v>2400</v>
      </c>
      <c r="B37" s="6" t="s">
        <v>18</v>
      </c>
      <c r="C37" s="74">
        <v>0</v>
      </c>
      <c r="D37" s="5">
        <f t="shared" ref="D37:AM37" si="64">IF(D27="","",D36*D31)</f>
        <v>0</v>
      </c>
      <c r="E37" s="5">
        <f t="shared" si="64"/>
        <v>0</v>
      </c>
      <c r="F37" s="59">
        <f t="shared" si="64"/>
        <v>0</v>
      </c>
      <c r="G37" s="5">
        <f t="shared" si="64"/>
        <v>0</v>
      </c>
      <c r="H37" s="5">
        <f t="shared" si="64"/>
        <v>600</v>
      </c>
      <c r="I37" s="59">
        <f t="shared" si="64"/>
        <v>0</v>
      </c>
      <c r="J37" s="5">
        <f t="shared" si="64"/>
        <v>0</v>
      </c>
      <c r="K37" s="5">
        <f t="shared" si="64"/>
        <v>0</v>
      </c>
      <c r="L37" s="5">
        <f t="shared" si="64"/>
        <v>0</v>
      </c>
      <c r="M37" s="59">
        <f t="shared" si="64"/>
        <v>0</v>
      </c>
      <c r="N37" s="5">
        <f t="shared" si="64"/>
        <v>0</v>
      </c>
      <c r="O37" s="5">
        <f t="shared" si="64"/>
        <v>600</v>
      </c>
      <c r="P37" s="5">
        <f t="shared" si="64"/>
        <v>0</v>
      </c>
      <c r="Q37" s="5">
        <f t="shared" si="64"/>
        <v>0</v>
      </c>
      <c r="R37" s="5">
        <f t="shared" si="64"/>
        <v>0</v>
      </c>
      <c r="S37" s="5">
        <f t="shared" si="64"/>
        <v>0</v>
      </c>
      <c r="T37" s="5">
        <f t="shared" si="64"/>
        <v>0</v>
      </c>
      <c r="U37" s="5">
        <f t="shared" si="64"/>
        <v>0</v>
      </c>
      <c r="V37" s="5">
        <f t="shared" si="64"/>
        <v>0</v>
      </c>
      <c r="W37" s="5">
        <f t="shared" si="64"/>
        <v>0</v>
      </c>
      <c r="X37" s="5">
        <f t="shared" si="64"/>
        <v>0</v>
      </c>
      <c r="Y37" s="5">
        <f t="shared" si="64"/>
        <v>0</v>
      </c>
      <c r="Z37" s="5">
        <f t="shared" si="64"/>
        <v>1200</v>
      </c>
      <c r="AA37" s="5">
        <f t="shared" si="64"/>
        <v>0</v>
      </c>
      <c r="AB37" s="5">
        <f t="shared" si="64"/>
        <v>0</v>
      </c>
      <c r="AC37" s="5">
        <f t="shared" si="64"/>
        <v>0</v>
      </c>
      <c r="AD37" s="5" t="str">
        <f t="shared" si="64"/>
        <v/>
      </c>
      <c r="AE37" s="5" t="str">
        <f t="shared" si="64"/>
        <v/>
      </c>
      <c r="AF37" s="5" t="str">
        <f t="shared" si="64"/>
        <v/>
      </c>
      <c r="AG37" s="5" t="str">
        <f t="shared" si="64"/>
        <v/>
      </c>
      <c r="AH37" s="5" t="str">
        <f t="shared" si="64"/>
        <v/>
      </c>
      <c r="AI37" s="5" t="str">
        <f t="shared" si="64"/>
        <v/>
      </c>
      <c r="AJ37" s="5" t="str">
        <f t="shared" si="64"/>
        <v/>
      </c>
      <c r="AK37" s="5" t="str">
        <f t="shared" si="64"/>
        <v/>
      </c>
      <c r="AL37" s="5" t="str">
        <f t="shared" si="64"/>
        <v/>
      </c>
      <c r="AM37" s="5" t="str">
        <f t="shared" si="64"/>
        <v/>
      </c>
      <c r="AN37" s="5" t="str">
        <f t="shared" ref="AN37:AS37" si="65">IF(AN27="","",AN36*AN31)</f>
        <v/>
      </c>
      <c r="AO37" s="5" t="str">
        <f t="shared" si="65"/>
        <v/>
      </c>
      <c r="AP37" s="5" t="str">
        <f t="shared" si="65"/>
        <v/>
      </c>
      <c r="AQ37" s="5" t="str">
        <f t="shared" si="65"/>
        <v/>
      </c>
      <c r="AR37" s="5" t="str">
        <f t="shared" si="65"/>
        <v/>
      </c>
      <c r="AS37" s="5" t="str">
        <f t="shared" si="65"/>
        <v/>
      </c>
    </row>
    <row r="38" spans="1:45" s="93" customFormat="1" ht="12" thickBot="1">
      <c r="A38" s="4">
        <f>IF(A37="","",A37/(A34*100))</f>
        <v>9.1603053435114504E-2</v>
      </c>
      <c r="B38" s="6" t="s">
        <v>20</v>
      </c>
      <c r="C38" s="76" t="s">
        <v>21</v>
      </c>
      <c r="D38" s="18" t="str">
        <f t="shared" ref="D38:AM38" si="66">IF(D37="","",IF(D37=0,"",D37/(D34*100)))</f>
        <v/>
      </c>
      <c r="E38" s="18" t="str">
        <f t="shared" si="66"/>
        <v/>
      </c>
      <c r="F38" s="62" t="str">
        <f t="shared" si="66"/>
        <v/>
      </c>
      <c r="G38" s="18" t="str">
        <f t="shared" si="66"/>
        <v/>
      </c>
      <c r="H38" s="18">
        <f t="shared" si="66"/>
        <v>0.15789473684210525</v>
      </c>
      <c r="I38" s="62" t="str">
        <f t="shared" si="66"/>
        <v/>
      </c>
      <c r="J38" s="18" t="str">
        <f t="shared" si="66"/>
        <v/>
      </c>
      <c r="K38" s="18" t="str">
        <f t="shared" si="66"/>
        <v/>
      </c>
      <c r="L38" s="18" t="str">
        <f t="shared" si="66"/>
        <v/>
      </c>
      <c r="M38" s="62" t="str">
        <f t="shared" si="66"/>
        <v/>
      </c>
      <c r="N38" s="18" t="str">
        <f t="shared" si="66"/>
        <v/>
      </c>
      <c r="O38" s="18">
        <f t="shared" si="66"/>
        <v>0.13636363636363635</v>
      </c>
      <c r="P38" s="18" t="str">
        <f t="shared" si="66"/>
        <v/>
      </c>
      <c r="Q38" s="18" t="str">
        <f t="shared" si="66"/>
        <v/>
      </c>
      <c r="R38" s="18" t="str">
        <f t="shared" si="66"/>
        <v/>
      </c>
      <c r="S38" s="18" t="str">
        <f t="shared" si="66"/>
        <v/>
      </c>
      <c r="T38" s="18" t="str">
        <f t="shared" si="66"/>
        <v/>
      </c>
      <c r="U38" s="18" t="str">
        <f t="shared" si="66"/>
        <v/>
      </c>
      <c r="V38" s="18" t="str">
        <f t="shared" si="66"/>
        <v/>
      </c>
      <c r="W38" s="18" t="str">
        <f t="shared" si="66"/>
        <v/>
      </c>
      <c r="X38" s="18" t="str">
        <f t="shared" si="66"/>
        <v/>
      </c>
      <c r="Y38" s="18" t="str">
        <f t="shared" si="66"/>
        <v/>
      </c>
      <c r="Z38" s="18">
        <f t="shared" si="66"/>
        <v>0.19672131147540983</v>
      </c>
      <c r="AA38" s="18" t="str">
        <f t="shared" si="66"/>
        <v/>
      </c>
      <c r="AB38" s="18" t="str">
        <f t="shared" si="66"/>
        <v/>
      </c>
      <c r="AC38" s="18" t="str">
        <f t="shared" si="66"/>
        <v/>
      </c>
      <c r="AD38" s="18" t="str">
        <f t="shared" si="66"/>
        <v/>
      </c>
      <c r="AE38" s="18" t="str">
        <f t="shared" si="66"/>
        <v/>
      </c>
      <c r="AF38" s="18" t="str">
        <f t="shared" si="66"/>
        <v/>
      </c>
      <c r="AG38" s="18" t="str">
        <f t="shared" si="66"/>
        <v/>
      </c>
      <c r="AH38" s="18" t="str">
        <f t="shared" si="66"/>
        <v/>
      </c>
      <c r="AI38" s="18" t="str">
        <f t="shared" si="66"/>
        <v/>
      </c>
      <c r="AJ38" s="18" t="str">
        <f t="shared" si="66"/>
        <v/>
      </c>
      <c r="AK38" s="18" t="str">
        <f t="shared" si="66"/>
        <v/>
      </c>
      <c r="AL38" s="18" t="str">
        <f t="shared" si="66"/>
        <v/>
      </c>
      <c r="AM38" s="18" t="str">
        <f t="shared" si="66"/>
        <v/>
      </c>
      <c r="AN38" s="18" t="str">
        <f t="shared" ref="AN38:AS38" si="67">IF(AN37="","",IF(AN37=0,"",AN37/(AN34*100)))</f>
        <v/>
      </c>
      <c r="AO38" s="18" t="str">
        <f t="shared" si="67"/>
        <v/>
      </c>
      <c r="AP38" s="18" t="str">
        <f t="shared" si="67"/>
        <v/>
      </c>
      <c r="AQ38" s="18" t="str">
        <f t="shared" si="67"/>
        <v/>
      </c>
      <c r="AR38" s="18" t="str">
        <f t="shared" si="67"/>
        <v/>
      </c>
      <c r="AS38" s="18" t="str">
        <f t="shared" si="67"/>
        <v/>
      </c>
    </row>
    <row r="39" spans="1:45" s="93" customFormat="1" ht="11">
      <c r="A39" s="17" t="s">
        <v>134</v>
      </c>
      <c r="B39" s="9" t="s">
        <v>2</v>
      </c>
      <c r="C39" s="74">
        <v>22602</v>
      </c>
      <c r="D39" s="8">
        <f>IF(D$3="","",C39)</f>
        <v>22602</v>
      </c>
      <c r="E39" s="8">
        <v>22604</v>
      </c>
      <c r="F39" s="59">
        <f>IF(F$3="","",E39)</f>
        <v>22604</v>
      </c>
      <c r="G39" s="8">
        <f>IF(G$3="","",F39)</f>
        <v>22604</v>
      </c>
      <c r="H39" s="8">
        <v>22677</v>
      </c>
      <c r="I39" s="59">
        <f t="shared" ref="I39:K40" si="68">IF(I$3="","",H39)</f>
        <v>22677</v>
      </c>
      <c r="J39" s="8">
        <f t="shared" si="68"/>
        <v>22677</v>
      </c>
      <c r="K39" s="8">
        <f t="shared" si="68"/>
        <v>22677</v>
      </c>
      <c r="L39" s="8">
        <v>22685</v>
      </c>
      <c r="M39" s="59">
        <f>IF(M$3="","",L39)</f>
        <v>22685</v>
      </c>
      <c r="N39" s="8">
        <f>IF(N$3="","",M39)</f>
        <v>22685</v>
      </c>
      <c r="O39" s="8">
        <v>22694</v>
      </c>
      <c r="P39" s="8">
        <f t="shared" ref="P39:AM39" si="69">IF(P$3="","",O39)</f>
        <v>22694</v>
      </c>
      <c r="Q39" s="8">
        <f t="shared" si="69"/>
        <v>22694</v>
      </c>
      <c r="R39" s="8">
        <f t="shared" si="69"/>
        <v>22694</v>
      </c>
      <c r="S39" s="8">
        <f t="shared" si="69"/>
        <v>22694</v>
      </c>
      <c r="T39" s="8">
        <v>22698</v>
      </c>
      <c r="U39" s="8">
        <f t="shared" si="69"/>
        <v>22698</v>
      </c>
      <c r="V39" s="8">
        <v>22701</v>
      </c>
      <c r="W39" s="8">
        <f t="shared" si="69"/>
        <v>22701</v>
      </c>
      <c r="X39" s="8">
        <f t="shared" si="69"/>
        <v>22701</v>
      </c>
      <c r="Y39" s="8">
        <f t="shared" si="69"/>
        <v>22701</v>
      </c>
      <c r="Z39" s="8">
        <v>22706</v>
      </c>
      <c r="AA39" s="8">
        <f t="shared" si="69"/>
        <v>22706</v>
      </c>
      <c r="AB39" s="8">
        <f t="shared" si="69"/>
        <v>22706</v>
      </c>
      <c r="AC39" s="8">
        <v>22779</v>
      </c>
      <c r="AD39" s="8" t="str">
        <f t="shared" si="69"/>
        <v/>
      </c>
      <c r="AE39" s="8" t="str">
        <f t="shared" si="69"/>
        <v/>
      </c>
      <c r="AF39" s="8" t="str">
        <f t="shared" si="69"/>
        <v/>
      </c>
      <c r="AG39" s="8" t="str">
        <f t="shared" si="69"/>
        <v/>
      </c>
      <c r="AH39" s="8" t="str">
        <f t="shared" si="69"/>
        <v/>
      </c>
      <c r="AI39" s="8" t="str">
        <f t="shared" si="69"/>
        <v/>
      </c>
      <c r="AJ39" s="8" t="str">
        <f t="shared" si="69"/>
        <v/>
      </c>
      <c r="AK39" s="8" t="str">
        <f t="shared" si="69"/>
        <v/>
      </c>
      <c r="AL39" s="8" t="str">
        <f t="shared" si="69"/>
        <v/>
      </c>
      <c r="AM39" s="8" t="str">
        <f t="shared" si="69"/>
        <v/>
      </c>
      <c r="AN39" s="8" t="str">
        <f t="shared" ref="AN39:AS39" si="70">IF(AN$3="","",AM39)</f>
        <v/>
      </c>
      <c r="AO39" s="8" t="str">
        <f t="shared" si="70"/>
        <v/>
      </c>
      <c r="AP39" s="8" t="str">
        <f t="shared" si="70"/>
        <v/>
      </c>
      <c r="AQ39" s="8" t="str">
        <f t="shared" si="70"/>
        <v/>
      </c>
      <c r="AR39" s="8" t="str">
        <f t="shared" si="70"/>
        <v/>
      </c>
      <c r="AS39" s="8" t="str">
        <f t="shared" si="70"/>
        <v/>
      </c>
    </row>
    <row r="40" spans="1:45" s="93" customFormat="1" ht="11">
      <c r="A40" s="16" t="str">
        <f>A28</f>
        <v>BUZZ＃1</v>
      </c>
      <c r="B40" s="9" t="s">
        <v>4</v>
      </c>
      <c r="C40" s="74">
        <v>1766</v>
      </c>
      <c r="D40" s="8">
        <f>IF(D$3="","",C40)</f>
        <v>1766</v>
      </c>
      <c r="E40" s="8">
        <f>IF(E$3="","",D40)</f>
        <v>1766</v>
      </c>
      <c r="F40" s="59">
        <f>IF(F$3="","",E40)</f>
        <v>1766</v>
      </c>
      <c r="G40" s="8">
        <f>IF(G$3="","",F40)</f>
        <v>1766</v>
      </c>
      <c r="H40" s="8">
        <v>1769</v>
      </c>
      <c r="I40" s="59">
        <f t="shared" si="68"/>
        <v>1769</v>
      </c>
      <c r="J40" s="8">
        <f t="shared" si="68"/>
        <v>1769</v>
      </c>
      <c r="K40" s="8">
        <f t="shared" si="68"/>
        <v>1769</v>
      </c>
      <c r="L40" s="8">
        <f>IF(L$3="","",K40)</f>
        <v>1769</v>
      </c>
      <c r="M40" s="59">
        <f>IF(M$3="","",L40)</f>
        <v>1769</v>
      </c>
      <c r="N40" s="8">
        <f>IF(N$3="","",M40)</f>
        <v>1769</v>
      </c>
      <c r="O40" s="8">
        <f>IF(O$3="","",N40)</f>
        <v>1769</v>
      </c>
      <c r="P40" s="8">
        <f t="shared" ref="P40:AM40" si="71">IF(P$3="","",O40)</f>
        <v>1769</v>
      </c>
      <c r="Q40" s="8">
        <f t="shared" si="71"/>
        <v>1769</v>
      </c>
      <c r="R40" s="8">
        <f t="shared" si="71"/>
        <v>1769</v>
      </c>
      <c r="S40" s="8">
        <f t="shared" si="71"/>
        <v>1769</v>
      </c>
      <c r="T40" s="8">
        <f t="shared" si="71"/>
        <v>1769</v>
      </c>
      <c r="U40" s="8">
        <f t="shared" si="71"/>
        <v>1769</v>
      </c>
      <c r="V40" s="8">
        <f t="shared" si="71"/>
        <v>1769</v>
      </c>
      <c r="W40" s="8">
        <f t="shared" si="71"/>
        <v>1769</v>
      </c>
      <c r="X40" s="8">
        <f t="shared" si="71"/>
        <v>1769</v>
      </c>
      <c r="Y40" s="8">
        <f t="shared" si="71"/>
        <v>1769</v>
      </c>
      <c r="Z40" s="8">
        <f t="shared" si="71"/>
        <v>1769</v>
      </c>
      <c r="AA40" s="8">
        <f t="shared" si="71"/>
        <v>1769</v>
      </c>
      <c r="AB40" s="8">
        <f t="shared" si="71"/>
        <v>1769</v>
      </c>
      <c r="AC40" s="8">
        <v>1770</v>
      </c>
      <c r="AD40" s="8" t="str">
        <f t="shared" si="71"/>
        <v/>
      </c>
      <c r="AE40" s="8" t="str">
        <f t="shared" si="71"/>
        <v/>
      </c>
      <c r="AF40" s="8" t="str">
        <f t="shared" si="71"/>
        <v/>
      </c>
      <c r="AG40" s="8" t="str">
        <f t="shared" si="71"/>
        <v/>
      </c>
      <c r="AH40" s="8" t="str">
        <f t="shared" si="71"/>
        <v/>
      </c>
      <c r="AI40" s="8" t="str">
        <f t="shared" si="71"/>
        <v/>
      </c>
      <c r="AJ40" s="8" t="str">
        <f t="shared" si="71"/>
        <v/>
      </c>
      <c r="AK40" s="8" t="str">
        <f t="shared" si="71"/>
        <v/>
      </c>
      <c r="AL40" s="8" t="str">
        <f t="shared" si="71"/>
        <v/>
      </c>
      <c r="AM40" s="8" t="str">
        <f t="shared" si="71"/>
        <v/>
      </c>
      <c r="AN40" s="8" t="str">
        <f t="shared" ref="AN40:AS40" si="72">IF(AN$3="","",AM40)</f>
        <v/>
      </c>
      <c r="AO40" s="8" t="str">
        <f t="shared" si="72"/>
        <v/>
      </c>
      <c r="AP40" s="8" t="str">
        <f t="shared" si="72"/>
        <v/>
      </c>
      <c r="AQ40" s="8" t="str">
        <f t="shared" si="72"/>
        <v/>
      </c>
      <c r="AR40" s="8" t="str">
        <f t="shared" si="72"/>
        <v/>
      </c>
      <c r="AS40" s="8" t="str">
        <f t="shared" si="72"/>
        <v/>
      </c>
    </row>
    <row r="41" spans="1:45" s="93" customFormat="1" ht="11">
      <c r="A41" s="15">
        <v>4</v>
      </c>
      <c r="B41" s="9" t="s">
        <v>5</v>
      </c>
      <c r="C41" s="74">
        <v>3</v>
      </c>
      <c r="D41" s="8">
        <f>IF(D39="","",(C41+C42))</f>
        <v>3</v>
      </c>
      <c r="E41" s="8">
        <f>IF(E39="","",(D41+D42))</f>
        <v>3</v>
      </c>
      <c r="F41" s="59">
        <f>IF(F39="","",(E41+E42))</f>
        <v>3</v>
      </c>
      <c r="G41" s="8">
        <f>IF(G39="","",(F41+F42))</f>
        <v>3</v>
      </c>
      <c r="H41" s="8">
        <v>0</v>
      </c>
      <c r="I41" s="59">
        <f t="shared" ref="I41:AM41" si="73">IF(I39="","",(H41+H42))</f>
        <v>3</v>
      </c>
      <c r="J41" s="8">
        <f t="shared" si="73"/>
        <v>3</v>
      </c>
      <c r="K41" s="8">
        <f t="shared" si="73"/>
        <v>3</v>
      </c>
      <c r="L41" s="8">
        <f t="shared" si="73"/>
        <v>3</v>
      </c>
      <c r="M41" s="59">
        <f t="shared" si="73"/>
        <v>3</v>
      </c>
      <c r="N41" s="8">
        <f t="shared" si="73"/>
        <v>3</v>
      </c>
      <c r="O41" s="8">
        <f t="shared" si="73"/>
        <v>3</v>
      </c>
      <c r="P41" s="8">
        <f t="shared" si="73"/>
        <v>3</v>
      </c>
      <c r="Q41" s="8">
        <f t="shared" si="73"/>
        <v>3</v>
      </c>
      <c r="R41" s="8">
        <f t="shared" si="73"/>
        <v>3</v>
      </c>
      <c r="S41" s="8">
        <f t="shared" si="73"/>
        <v>3</v>
      </c>
      <c r="T41" s="8">
        <f t="shared" si="73"/>
        <v>3</v>
      </c>
      <c r="U41" s="8">
        <f t="shared" si="73"/>
        <v>3</v>
      </c>
      <c r="V41" s="8">
        <f t="shared" si="73"/>
        <v>3</v>
      </c>
      <c r="W41" s="8">
        <f t="shared" si="73"/>
        <v>3</v>
      </c>
      <c r="X41" s="8">
        <f t="shared" si="73"/>
        <v>3</v>
      </c>
      <c r="Y41" s="8">
        <f t="shared" si="73"/>
        <v>3</v>
      </c>
      <c r="Z41" s="8">
        <f t="shared" si="73"/>
        <v>3</v>
      </c>
      <c r="AA41" s="8">
        <f t="shared" si="73"/>
        <v>5</v>
      </c>
      <c r="AB41" s="8">
        <f t="shared" si="73"/>
        <v>5</v>
      </c>
      <c r="AC41" s="8">
        <v>4</v>
      </c>
      <c r="AD41" s="8" t="str">
        <f t="shared" si="73"/>
        <v/>
      </c>
      <c r="AE41" s="8" t="str">
        <f t="shared" si="73"/>
        <v/>
      </c>
      <c r="AF41" s="8" t="str">
        <f t="shared" si="73"/>
        <v/>
      </c>
      <c r="AG41" s="8" t="str">
        <f t="shared" si="73"/>
        <v/>
      </c>
      <c r="AH41" s="8" t="str">
        <f t="shared" si="73"/>
        <v/>
      </c>
      <c r="AI41" s="8" t="str">
        <f t="shared" si="73"/>
        <v/>
      </c>
      <c r="AJ41" s="8" t="str">
        <f t="shared" si="73"/>
        <v/>
      </c>
      <c r="AK41" s="8" t="str">
        <f t="shared" si="73"/>
        <v/>
      </c>
      <c r="AL41" s="8" t="str">
        <f t="shared" si="73"/>
        <v/>
      </c>
      <c r="AM41" s="8" t="str">
        <f t="shared" si="73"/>
        <v/>
      </c>
      <c r="AN41" s="8" t="str">
        <f t="shared" ref="AN41:AS41" si="74">IF(AN39="","",(AM41+AM42))</f>
        <v/>
      </c>
      <c r="AO41" s="8" t="str">
        <f t="shared" si="74"/>
        <v/>
      </c>
      <c r="AP41" s="8" t="str">
        <f t="shared" si="74"/>
        <v/>
      </c>
      <c r="AQ41" s="8" t="str">
        <f t="shared" si="74"/>
        <v/>
      </c>
      <c r="AR41" s="8" t="str">
        <f t="shared" si="74"/>
        <v/>
      </c>
      <c r="AS41" s="8" t="str">
        <f t="shared" si="74"/>
        <v/>
      </c>
    </row>
    <row r="42" spans="1:45" s="93" customFormat="1" ht="11">
      <c r="A42" s="14"/>
      <c r="B42" s="9" t="s">
        <v>7</v>
      </c>
      <c r="C42" s="74"/>
      <c r="D42" s="8"/>
      <c r="E42" s="8"/>
      <c r="F42" s="59"/>
      <c r="G42" s="8"/>
      <c r="H42" s="8">
        <v>3</v>
      </c>
      <c r="I42" s="59"/>
      <c r="J42" s="8"/>
      <c r="K42" s="8"/>
      <c r="L42" s="8"/>
      <c r="M42" s="59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>
        <v>2</v>
      </c>
      <c r="AA42" s="8"/>
      <c r="AB42" s="8"/>
      <c r="AC42" s="8">
        <v>1</v>
      </c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s="93" customFormat="1" ht="11">
      <c r="A43" s="7"/>
      <c r="B43" s="9" t="s">
        <v>8</v>
      </c>
      <c r="C43" s="74">
        <v>300</v>
      </c>
      <c r="D43" s="8">
        <f t="shared" ref="D43:AM43" si="75">IF(D39="","",C43)</f>
        <v>300</v>
      </c>
      <c r="E43" s="8">
        <f t="shared" si="75"/>
        <v>300</v>
      </c>
      <c r="F43" s="59">
        <f t="shared" si="75"/>
        <v>300</v>
      </c>
      <c r="G43" s="8">
        <f t="shared" si="75"/>
        <v>300</v>
      </c>
      <c r="H43" s="8">
        <f t="shared" si="75"/>
        <v>300</v>
      </c>
      <c r="I43" s="59">
        <f t="shared" si="75"/>
        <v>300</v>
      </c>
      <c r="J43" s="8">
        <f t="shared" si="75"/>
        <v>300</v>
      </c>
      <c r="K43" s="8">
        <f t="shared" si="75"/>
        <v>300</v>
      </c>
      <c r="L43" s="8">
        <f t="shared" si="75"/>
        <v>300</v>
      </c>
      <c r="M43" s="59">
        <f t="shared" si="75"/>
        <v>300</v>
      </c>
      <c r="N43" s="8">
        <f t="shared" si="75"/>
        <v>300</v>
      </c>
      <c r="O43" s="8">
        <f t="shared" si="75"/>
        <v>300</v>
      </c>
      <c r="P43" s="8">
        <f t="shared" si="75"/>
        <v>300</v>
      </c>
      <c r="Q43" s="8">
        <f t="shared" si="75"/>
        <v>300</v>
      </c>
      <c r="R43" s="8">
        <f t="shared" si="75"/>
        <v>300</v>
      </c>
      <c r="S43" s="8">
        <f t="shared" si="75"/>
        <v>300</v>
      </c>
      <c r="T43" s="8">
        <f t="shared" si="75"/>
        <v>300</v>
      </c>
      <c r="U43" s="8">
        <f t="shared" si="75"/>
        <v>300</v>
      </c>
      <c r="V43" s="8">
        <f t="shared" si="75"/>
        <v>300</v>
      </c>
      <c r="W43" s="8">
        <f t="shared" si="75"/>
        <v>300</v>
      </c>
      <c r="X43" s="8">
        <f t="shared" si="75"/>
        <v>300</v>
      </c>
      <c r="Y43" s="8">
        <f t="shared" si="75"/>
        <v>300</v>
      </c>
      <c r="Z43" s="8">
        <f t="shared" si="75"/>
        <v>300</v>
      </c>
      <c r="AA43" s="8">
        <f t="shared" si="75"/>
        <v>300</v>
      </c>
      <c r="AB43" s="8">
        <f t="shared" si="75"/>
        <v>300</v>
      </c>
      <c r="AC43" s="8">
        <f t="shared" si="75"/>
        <v>300</v>
      </c>
      <c r="AD43" s="8" t="str">
        <f t="shared" si="75"/>
        <v/>
      </c>
      <c r="AE43" s="8" t="str">
        <f t="shared" si="75"/>
        <v/>
      </c>
      <c r="AF43" s="8" t="str">
        <f t="shared" si="75"/>
        <v/>
      </c>
      <c r="AG43" s="8" t="str">
        <f t="shared" si="75"/>
        <v/>
      </c>
      <c r="AH43" s="8" t="str">
        <f t="shared" si="75"/>
        <v/>
      </c>
      <c r="AI43" s="8" t="str">
        <f t="shared" si="75"/>
        <v/>
      </c>
      <c r="AJ43" s="8" t="str">
        <f t="shared" si="75"/>
        <v/>
      </c>
      <c r="AK43" s="8" t="str">
        <f t="shared" si="75"/>
        <v/>
      </c>
      <c r="AL43" s="8" t="str">
        <f t="shared" si="75"/>
        <v/>
      </c>
      <c r="AM43" s="8" t="str">
        <f t="shared" si="75"/>
        <v/>
      </c>
      <c r="AN43" s="8" t="str">
        <f t="shared" ref="AN43:AS43" si="76">IF(AN39="","",AM43)</f>
        <v/>
      </c>
      <c r="AO43" s="8" t="str">
        <f t="shared" si="76"/>
        <v/>
      </c>
      <c r="AP43" s="8" t="str">
        <f t="shared" si="76"/>
        <v/>
      </c>
      <c r="AQ43" s="8" t="str">
        <f t="shared" si="76"/>
        <v/>
      </c>
      <c r="AR43" s="8" t="str">
        <f t="shared" si="76"/>
        <v/>
      </c>
      <c r="AS43" s="8" t="str">
        <f t="shared" si="76"/>
        <v/>
      </c>
    </row>
    <row r="44" spans="1:45" s="94" customFormat="1" ht="11">
      <c r="A44" s="14" t="s">
        <v>9</v>
      </c>
      <c r="B44" s="13" t="s">
        <v>10</v>
      </c>
      <c r="C44" s="75" t="s">
        <v>33</v>
      </c>
      <c r="D44" s="12" t="str">
        <f>IF(D39="","",C44)</f>
        <v>パステルケーキ</v>
      </c>
      <c r="E44" s="12" t="str">
        <f>IF(E39="","",D44)</f>
        <v>パステルケーキ</v>
      </c>
      <c r="F44" s="131" t="str">
        <f>IF(F39="","",E44)</f>
        <v>パステルケーキ</v>
      </c>
      <c r="G44" s="12" t="str">
        <f>IF(G39="","",F44)</f>
        <v>パステルケーキ</v>
      </c>
      <c r="H44" s="12" t="s">
        <v>12</v>
      </c>
      <c r="I44" s="131" t="str">
        <f t="shared" ref="I44:AM44" si="77">IF(I39="","",H44)</f>
        <v>ポメラニアン</v>
      </c>
      <c r="J44" s="12" t="str">
        <f t="shared" si="77"/>
        <v>ポメラニアン</v>
      </c>
      <c r="K44" s="12" t="str">
        <f t="shared" si="77"/>
        <v>ポメラニアン</v>
      </c>
      <c r="L44" s="12" t="str">
        <f t="shared" si="77"/>
        <v>ポメラニアン</v>
      </c>
      <c r="M44" s="131" t="str">
        <f t="shared" si="77"/>
        <v>ポメラニアン</v>
      </c>
      <c r="N44" s="12" t="str">
        <f t="shared" si="77"/>
        <v>ポメラニアン</v>
      </c>
      <c r="O44" s="12" t="str">
        <f t="shared" si="77"/>
        <v>ポメラニアン</v>
      </c>
      <c r="P44" s="12" t="str">
        <f t="shared" si="77"/>
        <v>ポメラニアン</v>
      </c>
      <c r="Q44" s="12" t="str">
        <f t="shared" si="77"/>
        <v>ポメラニアン</v>
      </c>
      <c r="R44" s="12" t="str">
        <f t="shared" si="77"/>
        <v>ポメラニアン</v>
      </c>
      <c r="S44" s="12" t="str">
        <f t="shared" si="77"/>
        <v>ポメラニアン</v>
      </c>
      <c r="T44" s="12" t="str">
        <f t="shared" si="77"/>
        <v>ポメラニアン</v>
      </c>
      <c r="U44" s="12" t="str">
        <f t="shared" si="77"/>
        <v>ポメラニアン</v>
      </c>
      <c r="V44" s="12" t="str">
        <f t="shared" si="77"/>
        <v>ポメラニアン</v>
      </c>
      <c r="W44" s="12" t="str">
        <f t="shared" si="77"/>
        <v>ポメラニアン</v>
      </c>
      <c r="X44" s="12" t="str">
        <f t="shared" si="77"/>
        <v>ポメラニアン</v>
      </c>
      <c r="Y44" s="12" t="str">
        <f t="shared" si="77"/>
        <v>ポメラニアン</v>
      </c>
      <c r="Z44" s="12" t="s">
        <v>410</v>
      </c>
      <c r="AA44" s="12" t="str">
        <f t="shared" si="77"/>
        <v>バタースクイーズ</v>
      </c>
      <c r="AB44" s="12" t="str">
        <f t="shared" si="77"/>
        <v>バタースクイーズ</v>
      </c>
      <c r="AC44" s="12" t="str">
        <f t="shared" si="77"/>
        <v>バタースクイーズ</v>
      </c>
      <c r="AD44" s="12" t="str">
        <f t="shared" si="77"/>
        <v/>
      </c>
      <c r="AE44" s="12" t="str">
        <f t="shared" si="77"/>
        <v/>
      </c>
      <c r="AF44" s="12" t="str">
        <f t="shared" si="77"/>
        <v/>
      </c>
      <c r="AG44" s="12" t="str">
        <f t="shared" si="77"/>
        <v/>
      </c>
      <c r="AH44" s="12" t="str">
        <f t="shared" si="77"/>
        <v/>
      </c>
      <c r="AI44" s="12" t="str">
        <f t="shared" si="77"/>
        <v/>
      </c>
      <c r="AJ44" s="12" t="str">
        <f t="shared" si="77"/>
        <v/>
      </c>
      <c r="AK44" s="12" t="str">
        <f t="shared" si="77"/>
        <v/>
      </c>
      <c r="AL44" s="12" t="str">
        <f t="shared" si="77"/>
        <v/>
      </c>
      <c r="AM44" s="12" t="str">
        <f t="shared" si="77"/>
        <v/>
      </c>
      <c r="AN44" s="12" t="str">
        <f t="shared" ref="AN44:AS44" si="78">IF(AN39="","",AM44)</f>
        <v/>
      </c>
      <c r="AO44" s="12" t="str">
        <f t="shared" si="78"/>
        <v/>
      </c>
      <c r="AP44" s="12" t="str">
        <f t="shared" si="78"/>
        <v/>
      </c>
      <c r="AQ44" s="12" t="str">
        <f t="shared" si="78"/>
        <v/>
      </c>
      <c r="AR44" s="12" t="str">
        <f t="shared" si="78"/>
        <v/>
      </c>
      <c r="AS44" s="12" t="str">
        <f t="shared" si="78"/>
        <v/>
      </c>
    </row>
    <row r="45" spans="1:45" s="93" customFormat="1" ht="11">
      <c r="A45" s="7">
        <f>AVERAGE(C46:AS46)*30*100</f>
        <v>19666.666666666664</v>
      </c>
      <c r="B45" s="9" t="s">
        <v>14</v>
      </c>
      <c r="C45" s="74"/>
      <c r="D45" s="8"/>
      <c r="E45" s="8"/>
      <c r="F45" s="59"/>
      <c r="G45" s="8"/>
      <c r="H45" s="8"/>
      <c r="I45" s="59"/>
      <c r="J45" s="8"/>
      <c r="K45" s="8"/>
      <c r="L45" s="8"/>
      <c r="M45" s="5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s="93" customFormat="1" ht="11">
      <c r="A46" s="7">
        <f>SUM(C46:AS46)</f>
        <v>177</v>
      </c>
      <c r="B46" s="6" t="s">
        <v>15</v>
      </c>
      <c r="C46" s="74">
        <v>0</v>
      </c>
      <c r="D46" s="5">
        <f t="shared" ref="D46:AM46" si="79">IF(D39="","",D39-C39)</f>
        <v>0</v>
      </c>
      <c r="E46" s="5">
        <f t="shared" si="79"/>
        <v>2</v>
      </c>
      <c r="F46" s="59">
        <f t="shared" si="79"/>
        <v>0</v>
      </c>
      <c r="G46" s="5">
        <f t="shared" si="79"/>
        <v>0</v>
      </c>
      <c r="H46" s="5">
        <f t="shared" si="79"/>
        <v>73</v>
      </c>
      <c r="I46" s="59">
        <f t="shared" si="79"/>
        <v>0</v>
      </c>
      <c r="J46" s="5">
        <f t="shared" si="79"/>
        <v>0</v>
      </c>
      <c r="K46" s="5">
        <f t="shared" si="79"/>
        <v>0</v>
      </c>
      <c r="L46" s="5">
        <f t="shared" si="79"/>
        <v>8</v>
      </c>
      <c r="M46" s="59">
        <f t="shared" si="79"/>
        <v>0</v>
      </c>
      <c r="N46" s="5">
        <f t="shared" si="79"/>
        <v>0</v>
      </c>
      <c r="O46" s="5">
        <f t="shared" si="79"/>
        <v>9</v>
      </c>
      <c r="P46" s="5">
        <f t="shared" si="79"/>
        <v>0</v>
      </c>
      <c r="Q46" s="5">
        <f t="shared" si="79"/>
        <v>0</v>
      </c>
      <c r="R46" s="5">
        <f t="shared" si="79"/>
        <v>0</v>
      </c>
      <c r="S46" s="5">
        <f t="shared" si="79"/>
        <v>0</v>
      </c>
      <c r="T46" s="5">
        <f t="shared" si="79"/>
        <v>4</v>
      </c>
      <c r="U46" s="5">
        <f t="shared" si="79"/>
        <v>0</v>
      </c>
      <c r="V46" s="5">
        <f t="shared" si="79"/>
        <v>3</v>
      </c>
      <c r="W46" s="5">
        <f t="shared" si="79"/>
        <v>0</v>
      </c>
      <c r="X46" s="5">
        <f t="shared" si="79"/>
        <v>0</v>
      </c>
      <c r="Y46" s="5">
        <f t="shared" si="79"/>
        <v>0</v>
      </c>
      <c r="Z46" s="5">
        <f t="shared" si="79"/>
        <v>5</v>
      </c>
      <c r="AA46" s="5">
        <f t="shared" si="79"/>
        <v>0</v>
      </c>
      <c r="AB46" s="5">
        <f t="shared" si="79"/>
        <v>0</v>
      </c>
      <c r="AC46" s="5">
        <f t="shared" si="79"/>
        <v>73</v>
      </c>
      <c r="AD46" s="5" t="str">
        <f t="shared" si="79"/>
        <v/>
      </c>
      <c r="AE46" s="5" t="str">
        <f t="shared" si="79"/>
        <v/>
      </c>
      <c r="AF46" s="5" t="str">
        <f t="shared" si="79"/>
        <v/>
      </c>
      <c r="AG46" s="5" t="str">
        <f t="shared" si="79"/>
        <v/>
      </c>
      <c r="AH46" s="5" t="str">
        <f t="shared" si="79"/>
        <v/>
      </c>
      <c r="AI46" s="5" t="str">
        <f t="shared" si="79"/>
        <v/>
      </c>
      <c r="AJ46" s="5" t="str">
        <f t="shared" si="79"/>
        <v/>
      </c>
      <c r="AK46" s="5" t="str">
        <f t="shared" si="79"/>
        <v/>
      </c>
      <c r="AL46" s="5" t="str">
        <f t="shared" si="79"/>
        <v/>
      </c>
      <c r="AM46" s="5" t="str">
        <f t="shared" si="79"/>
        <v/>
      </c>
      <c r="AN46" s="5" t="str">
        <f t="shared" ref="AN46:AS46" si="80">IF(AN39="","",AN39-AM39)</f>
        <v/>
      </c>
      <c r="AO46" s="5" t="str">
        <f t="shared" si="80"/>
        <v/>
      </c>
      <c r="AP46" s="5" t="str">
        <f t="shared" si="80"/>
        <v/>
      </c>
      <c r="AQ46" s="5" t="str">
        <f t="shared" si="80"/>
        <v/>
      </c>
      <c r="AR46" s="5" t="str">
        <f t="shared" si="80"/>
        <v/>
      </c>
      <c r="AS46" s="5" t="str">
        <f t="shared" si="80"/>
        <v/>
      </c>
    </row>
    <row r="47" spans="1:45" s="93" customFormat="1" ht="11">
      <c r="A47" s="7">
        <f>SUM(C47:AS47)</f>
        <v>4</v>
      </c>
      <c r="B47" s="6" t="s">
        <v>16</v>
      </c>
      <c r="C47" s="74">
        <v>0</v>
      </c>
      <c r="D47" s="5">
        <f t="shared" ref="D47:AM47" si="81">IF(D40="","",D40-C40)</f>
        <v>0</v>
      </c>
      <c r="E47" s="5">
        <f t="shared" si="81"/>
        <v>0</v>
      </c>
      <c r="F47" s="59">
        <f t="shared" si="81"/>
        <v>0</v>
      </c>
      <c r="G47" s="5">
        <f t="shared" si="81"/>
        <v>0</v>
      </c>
      <c r="H47" s="5">
        <f t="shared" si="81"/>
        <v>3</v>
      </c>
      <c r="I47" s="59">
        <f t="shared" si="81"/>
        <v>0</v>
      </c>
      <c r="J47" s="5">
        <f t="shared" si="81"/>
        <v>0</v>
      </c>
      <c r="K47" s="5">
        <f t="shared" si="81"/>
        <v>0</v>
      </c>
      <c r="L47" s="5">
        <f t="shared" si="81"/>
        <v>0</v>
      </c>
      <c r="M47" s="59">
        <f t="shared" si="81"/>
        <v>0</v>
      </c>
      <c r="N47" s="5">
        <f t="shared" si="81"/>
        <v>0</v>
      </c>
      <c r="O47" s="5">
        <f t="shared" si="81"/>
        <v>0</v>
      </c>
      <c r="P47" s="5">
        <f t="shared" si="81"/>
        <v>0</v>
      </c>
      <c r="Q47" s="5">
        <f t="shared" si="81"/>
        <v>0</v>
      </c>
      <c r="R47" s="5">
        <f t="shared" si="81"/>
        <v>0</v>
      </c>
      <c r="S47" s="5">
        <f t="shared" si="81"/>
        <v>0</v>
      </c>
      <c r="T47" s="5">
        <f t="shared" si="81"/>
        <v>0</v>
      </c>
      <c r="U47" s="5">
        <f t="shared" si="81"/>
        <v>0</v>
      </c>
      <c r="V47" s="5">
        <f t="shared" si="81"/>
        <v>0</v>
      </c>
      <c r="W47" s="5">
        <f t="shared" si="81"/>
        <v>0</v>
      </c>
      <c r="X47" s="5">
        <f t="shared" si="81"/>
        <v>0</v>
      </c>
      <c r="Y47" s="5">
        <f t="shared" si="81"/>
        <v>0</v>
      </c>
      <c r="Z47" s="5">
        <f t="shared" si="81"/>
        <v>0</v>
      </c>
      <c r="AA47" s="5">
        <f t="shared" si="81"/>
        <v>0</v>
      </c>
      <c r="AB47" s="5">
        <f t="shared" si="81"/>
        <v>0</v>
      </c>
      <c r="AC47" s="5">
        <f t="shared" si="81"/>
        <v>1</v>
      </c>
      <c r="AD47" s="5" t="str">
        <f t="shared" si="81"/>
        <v/>
      </c>
      <c r="AE47" s="5" t="str">
        <f t="shared" si="81"/>
        <v/>
      </c>
      <c r="AF47" s="5" t="str">
        <f t="shared" si="81"/>
        <v/>
      </c>
      <c r="AG47" s="5" t="str">
        <f t="shared" si="81"/>
        <v/>
      </c>
      <c r="AH47" s="5" t="str">
        <f t="shared" si="81"/>
        <v/>
      </c>
      <c r="AI47" s="5" t="str">
        <f t="shared" si="81"/>
        <v/>
      </c>
      <c r="AJ47" s="5" t="str">
        <f t="shared" si="81"/>
        <v/>
      </c>
      <c r="AK47" s="5" t="str">
        <f t="shared" si="81"/>
        <v/>
      </c>
      <c r="AL47" s="5" t="str">
        <f t="shared" si="81"/>
        <v/>
      </c>
      <c r="AM47" s="5" t="str">
        <f t="shared" si="81"/>
        <v/>
      </c>
      <c r="AN47" s="5" t="str">
        <f t="shared" ref="AN47:AS47" si="82">IF(AN40="","",AN40-AM40)</f>
        <v/>
      </c>
      <c r="AO47" s="5" t="str">
        <f t="shared" si="82"/>
        <v/>
      </c>
      <c r="AP47" s="5" t="str">
        <f t="shared" si="82"/>
        <v/>
      </c>
      <c r="AQ47" s="5" t="str">
        <f t="shared" si="82"/>
        <v/>
      </c>
      <c r="AR47" s="5" t="str">
        <f t="shared" si="82"/>
        <v/>
      </c>
      <c r="AS47" s="5" t="str">
        <f t="shared" si="82"/>
        <v/>
      </c>
    </row>
    <row r="48" spans="1:45" s="93" customFormat="1" ht="11">
      <c r="A48" s="7">
        <f>SUM(C48:AS48)</f>
        <v>4</v>
      </c>
      <c r="B48" s="6" t="s">
        <v>17</v>
      </c>
      <c r="C48" s="74">
        <v>0</v>
      </c>
      <c r="D48" s="5">
        <f t="shared" ref="D48:AM48" si="83">IF(D41="","",C41+C42-D41)</f>
        <v>0</v>
      </c>
      <c r="E48" s="5">
        <f t="shared" si="83"/>
        <v>0</v>
      </c>
      <c r="F48" s="59">
        <f t="shared" si="83"/>
        <v>0</v>
      </c>
      <c r="G48" s="5">
        <f t="shared" si="83"/>
        <v>0</v>
      </c>
      <c r="H48" s="5">
        <f t="shared" si="83"/>
        <v>3</v>
      </c>
      <c r="I48" s="59">
        <f t="shared" si="83"/>
        <v>0</v>
      </c>
      <c r="J48" s="5">
        <f t="shared" si="83"/>
        <v>0</v>
      </c>
      <c r="K48" s="5">
        <f t="shared" si="83"/>
        <v>0</v>
      </c>
      <c r="L48" s="5">
        <f t="shared" si="83"/>
        <v>0</v>
      </c>
      <c r="M48" s="59">
        <f t="shared" si="83"/>
        <v>0</v>
      </c>
      <c r="N48" s="5">
        <f t="shared" si="83"/>
        <v>0</v>
      </c>
      <c r="O48" s="5">
        <f t="shared" si="83"/>
        <v>0</v>
      </c>
      <c r="P48" s="5">
        <f t="shared" si="83"/>
        <v>0</v>
      </c>
      <c r="Q48" s="5">
        <f t="shared" si="83"/>
        <v>0</v>
      </c>
      <c r="R48" s="5">
        <f t="shared" si="83"/>
        <v>0</v>
      </c>
      <c r="S48" s="5">
        <f t="shared" si="83"/>
        <v>0</v>
      </c>
      <c r="T48" s="5">
        <f t="shared" si="83"/>
        <v>0</v>
      </c>
      <c r="U48" s="5">
        <f t="shared" si="83"/>
        <v>0</v>
      </c>
      <c r="V48" s="5">
        <f t="shared" si="83"/>
        <v>0</v>
      </c>
      <c r="W48" s="5">
        <f t="shared" si="83"/>
        <v>0</v>
      </c>
      <c r="X48" s="5">
        <f t="shared" si="83"/>
        <v>0</v>
      </c>
      <c r="Y48" s="5">
        <f t="shared" si="83"/>
        <v>0</v>
      </c>
      <c r="Z48" s="5">
        <f t="shared" si="83"/>
        <v>0</v>
      </c>
      <c r="AA48" s="5">
        <f t="shared" si="83"/>
        <v>0</v>
      </c>
      <c r="AB48" s="5">
        <f t="shared" si="83"/>
        <v>0</v>
      </c>
      <c r="AC48" s="5">
        <f t="shared" si="83"/>
        <v>1</v>
      </c>
      <c r="AD48" s="5" t="str">
        <f t="shared" si="83"/>
        <v/>
      </c>
      <c r="AE48" s="5" t="str">
        <f t="shared" si="83"/>
        <v/>
      </c>
      <c r="AF48" s="5" t="str">
        <f t="shared" si="83"/>
        <v/>
      </c>
      <c r="AG48" s="5" t="str">
        <f t="shared" si="83"/>
        <v/>
      </c>
      <c r="AH48" s="5" t="str">
        <f t="shared" si="83"/>
        <v/>
      </c>
      <c r="AI48" s="5" t="str">
        <f t="shared" si="83"/>
        <v/>
      </c>
      <c r="AJ48" s="5" t="str">
        <f t="shared" si="83"/>
        <v/>
      </c>
      <c r="AK48" s="5" t="str">
        <f t="shared" si="83"/>
        <v/>
      </c>
      <c r="AL48" s="5" t="str">
        <f t="shared" si="83"/>
        <v/>
      </c>
      <c r="AM48" s="5" t="str">
        <f t="shared" si="83"/>
        <v/>
      </c>
      <c r="AN48" s="5" t="str">
        <f t="shared" ref="AN48:AS48" si="84">IF(AN41="","",AM41+AM42-AN41)</f>
        <v/>
      </c>
      <c r="AO48" s="5" t="str">
        <f t="shared" si="84"/>
        <v/>
      </c>
      <c r="AP48" s="5" t="str">
        <f t="shared" si="84"/>
        <v/>
      </c>
      <c r="AQ48" s="5" t="str">
        <f t="shared" si="84"/>
        <v/>
      </c>
      <c r="AR48" s="5" t="str">
        <f t="shared" si="84"/>
        <v/>
      </c>
      <c r="AS48" s="5" t="str">
        <f t="shared" si="84"/>
        <v/>
      </c>
    </row>
    <row r="49" spans="1:45" s="93" customFormat="1" ht="11">
      <c r="A49" s="7">
        <f>SUM(C49:AS49)</f>
        <v>1200</v>
      </c>
      <c r="B49" s="6" t="s">
        <v>18</v>
      </c>
      <c r="C49" s="74">
        <v>0</v>
      </c>
      <c r="D49" s="5">
        <f t="shared" ref="D49:AM49" si="85">IF(D39="","",D48*D43)</f>
        <v>0</v>
      </c>
      <c r="E49" s="5">
        <f t="shared" si="85"/>
        <v>0</v>
      </c>
      <c r="F49" s="59">
        <f t="shared" si="85"/>
        <v>0</v>
      </c>
      <c r="G49" s="5">
        <f t="shared" si="85"/>
        <v>0</v>
      </c>
      <c r="H49" s="5">
        <f t="shared" si="85"/>
        <v>900</v>
      </c>
      <c r="I49" s="59">
        <f t="shared" si="85"/>
        <v>0</v>
      </c>
      <c r="J49" s="5">
        <f t="shared" si="85"/>
        <v>0</v>
      </c>
      <c r="K49" s="5">
        <f t="shared" si="85"/>
        <v>0</v>
      </c>
      <c r="L49" s="5">
        <f t="shared" si="85"/>
        <v>0</v>
      </c>
      <c r="M49" s="59">
        <f t="shared" si="85"/>
        <v>0</v>
      </c>
      <c r="N49" s="5">
        <f t="shared" si="85"/>
        <v>0</v>
      </c>
      <c r="O49" s="5">
        <f t="shared" si="85"/>
        <v>0</v>
      </c>
      <c r="P49" s="5">
        <f t="shared" si="85"/>
        <v>0</v>
      </c>
      <c r="Q49" s="5">
        <f t="shared" si="85"/>
        <v>0</v>
      </c>
      <c r="R49" s="5">
        <f t="shared" si="85"/>
        <v>0</v>
      </c>
      <c r="S49" s="5">
        <f t="shared" si="85"/>
        <v>0</v>
      </c>
      <c r="T49" s="5">
        <f t="shared" si="85"/>
        <v>0</v>
      </c>
      <c r="U49" s="5">
        <f t="shared" si="85"/>
        <v>0</v>
      </c>
      <c r="V49" s="5">
        <f t="shared" si="85"/>
        <v>0</v>
      </c>
      <c r="W49" s="5">
        <f t="shared" si="85"/>
        <v>0</v>
      </c>
      <c r="X49" s="5">
        <f t="shared" si="85"/>
        <v>0</v>
      </c>
      <c r="Y49" s="5">
        <f t="shared" si="85"/>
        <v>0</v>
      </c>
      <c r="Z49" s="5">
        <f t="shared" si="85"/>
        <v>0</v>
      </c>
      <c r="AA49" s="5">
        <f t="shared" si="85"/>
        <v>0</v>
      </c>
      <c r="AB49" s="5">
        <f t="shared" si="85"/>
        <v>0</v>
      </c>
      <c r="AC49" s="5">
        <f t="shared" si="85"/>
        <v>300</v>
      </c>
      <c r="AD49" s="5" t="str">
        <f t="shared" si="85"/>
        <v/>
      </c>
      <c r="AE49" s="5" t="str">
        <f t="shared" si="85"/>
        <v/>
      </c>
      <c r="AF49" s="5" t="str">
        <f t="shared" si="85"/>
        <v/>
      </c>
      <c r="AG49" s="5" t="str">
        <f t="shared" si="85"/>
        <v/>
      </c>
      <c r="AH49" s="5" t="str">
        <f t="shared" si="85"/>
        <v/>
      </c>
      <c r="AI49" s="5" t="str">
        <f t="shared" si="85"/>
        <v/>
      </c>
      <c r="AJ49" s="5" t="str">
        <f t="shared" si="85"/>
        <v/>
      </c>
      <c r="AK49" s="5" t="str">
        <f t="shared" si="85"/>
        <v/>
      </c>
      <c r="AL49" s="5" t="str">
        <f t="shared" si="85"/>
        <v/>
      </c>
      <c r="AM49" s="5" t="str">
        <f t="shared" si="85"/>
        <v/>
      </c>
      <c r="AN49" s="5" t="str">
        <f t="shared" ref="AN49:AS49" si="86">IF(AN39="","",AN48*AN43)</f>
        <v/>
      </c>
      <c r="AO49" s="5" t="str">
        <f t="shared" si="86"/>
        <v/>
      </c>
      <c r="AP49" s="5" t="str">
        <f t="shared" si="86"/>
        <v/>
      </c>
      <c r="AQ49" s="5" t="str">
        <f t="shared" si="86"/>
        <v/>
      </c>
      <c r="AR49" s="5" t="str">
        <f t="shared" si="86"/>
        <v/>
      </c>
      <c r="AS49" s="5" t="str">
        <f t="shared" si="86"/>
        <v/>
      </c>
    </row>
    <row r="50" spans="1:45" s="93" customFormat="1" ht="12" thickBot="1">
      <c r="A50" s="4">
        <f>IF(A49="","",A49/(A46*100))</f>
        <v>6.7796610169491525E-2</v>
      </c>
      <c r="B50" s="3" t="s">
        <v>20</v>
      </c>
      <c r="C50" s="77" t="s">
        <v>21</v>
      </c>
      <c r="D50" s="2" t="str">
        <f t="shared" ref="D50:AM50" si="87">IF(D49="","",IF(D49=0,"",D49/(D46*100)))</f>
        <v/>
      </c>
      <c r="E50" s="2" t="str">
        <f t="shared" si="87"/>
        <v/>
      </c>
      <c r="F50" s="57" t="str">
        <f t="shared" si="87"/>
        <v/>
      </c>
      <c r="G50" s="2" t="str">
        <f t="shared" si="87"/>
        <v/>
      </c>
      <c r="H50" s="2">
        <f t="shared" si="87"/>
        <v>0.12328767123287671</v>
      </c>
      <c r="I50" s="57" t="str">
        <f t="shared" si="87"/>
        <v/>
      </c>
      <c r="J50" s="2" t="str">
        <f t="shared" si="87"/>
        <v/>
      </c>
      <c r="K50" s="2" t="str">
        <f t="shared" si="87"/>
        <v/>
      </c>
      <c r="L50" s="2" t="str">
        <f t="shared" si="87"/>
        <v/>
      </c>
      <c r="M50" s="57" t="str">
        <f t="shared" si="87"/>
        <v/>
      </c>
      <c r="N50" s="2" t="str">
        <f t="shared" si="87"/>
        <v/>
      </c>
      <c r="O50" s="2" t="str">
        <f t="shared" si="87"/>
        <v/>
      </c>
      <c r="P50" s="2" t="str">
        <f t="shared" si="87"/>
        <v/>
      </c>
      <c r="Q50" s="2" t="str">
        <f t="shared" si="87"/>
        <v/>
      </c>
      <c r="R50" s="2" t="str">
        <f t="shared" si="87"/>
        <v/>
      </c>
      <c r="S50" s="2" t="str">
        <f t="shared" si="87"/>
        <v/>
      </c>
      <c r="T50" s="2" t="str">
        <f t="shared" si="87"/>
        <v/>
      </c>
      <c r="U50" s="2" t="str">
        <f t="shared" si="87"/>
        <v/>
      </c>
      <c r="V50" s="2" t="str">
        <f t="shared" si="87"/>
        <v/>
      </c>
      <c r="W50" s="2" t="str">
        <f t="shared" si="87"/>
        <v/>
      </c>
      <c r="X50" s="2" t="str">
        <f t="shared" si="87"/>
        <v/>
      </c>
      <c r="Y50" s="2" t="str">
        <f t="shared" si="87"/>
        <v/>
      </c>
      <c r="Z50" s="2" t="str">
        <f t="shared" si="87"/>
        <v/>
      </c>
      <c r="AA50" s="2" t="str">
        <f t="shared" si="87"/>
        <v/>
      </c>
      <c r="AB50" s="2" t="str">
        <f t="shared" si="87"/>
        <v/>
      </c>
      <c r="AC50" s="2">
        <f t="shared" si="87"/>
        <v>4.1095890410958902E-2</v>
      </c>
      <c r="AD50" s="2" t="str">
        <f t="shared" si="87"/>
        <v/>
      </c>
      <c r="AE50" s="2" t="str">
        <f t="shared" si="87"/>
        <v/>
      </c>
      <c r="AF50" s="2" t="str">
        <f t="shared" si="87"/>
        <v/>
      </c>
      <c r="AG50" s="2" t="str">
        <f t="shared" si="87"/>
        <v/>
      </c>
      <c r="AH50" s="2" t="str">
        <f t="shared" si="87"/>
        <v/>
      </c>
      <c r="AI50" s="2" t="str">
        <f t="shared" si="87"/>
        <v/>
      </c>
      <c r="AJ50" s="2" t="str">
        <f t="shared" si="87"/>
        <v/>
      </c>
      <c r="AK50" s="2" t="str">
        <f t="shared" si="87"/>
        <v/>
      </c>
      <c r="AL50" s="2" t="str">
        <f t="shared" si="87"/>
        <v/>
      </c>
      <c r="AM50" s="2" t="str">
        <f t="shared" si="87"/>
        <v/>
      </c>
      <c r="AN50" s="2" t="str">
        <f t="shared" ref="AN50:AS50" si="88">IF(AN49="","",IF(AN49=0,"",AN49/(AN46*100)))</f>
        <v/>
      </c>
      <c r="AO50" s="2" t="str">
        <f t="shared" si="88"/>
        <v/>
      </c>
      <c r="AP50" s="2" t="str">
        <f t="shared" si="88"/>
        <v/>
      </c>
      <c r="AQ50" s="2" t="str">
        <f t="shared" si="88"/>
        <v/>
      </c>
      <c r="AR50" s="2" t="str">
        <f t="shared" si="88"/>
        <v/>
      </c>
      <c r="AS50" s="2" t="str">
        <f t="shared" si="88"/>
        <v/>
      </c>
    </row>
    <row r="51" spans="1:45" s="93" customFormat="1" ht="11">
      <c r="A51" s="22" t="s">
        <v>134</v>
      </c>
      <c r="B51" s="21" t="s">
        <v>2</v>
      </c>
      <c r="C51" s="73">
        <v>9391</v>
      </c>
      <c r="D51" s="20">
        <f>IF(D$3="","",C51)</f>
        <v>9391</v>
      </c>
      <c r="E51" s="20">
        <v>9419</v>
      </c>
      <c r="F51" s="130">
        <f>IF(F$3="","",E51)</f>
        <v>9419</v>
      </c>
      <c r="G51" s="20">
        <f>IF(G$3="","",F51)</f>
        <v>9419</v>
      </c>
      <c r="H51" s="20">
        <v>9491</v>
      </c>
      <c r="I51" s="130">
        <f t="shared" ref="I51:K52" si="89">IF(I$3="","",H51)</f>
        <v>9491</v>
      </c>
      <c r="J51" s="20">
        <f t="shared" si="89"/>
        <v>9491</v>
      </c>
      <c r="K51" s="20">
        <f t="shared" si="89"/>
        <v>9491</v>
      </c>
      <c r="L51" s="20">
        <v>9535</v>
      </c>
      <c r="M51" s="130">
        <f>IF(M$3="","",L51)</f>
        <v>9535</v>
      </c>
      <c r="N51" s="20">
        <f>IF(N$3="","",M51)</f>
        <v>9535</v>
      </c>
      <c r="O51" s="20">
        <v>9602</v>
      </c>
      <c r="P51" s="20">
        <f t="shared" ref="P51:AM51" si="90">IF(P$3="","",O51)</f>
        <v>9602</v>
      </c>
      <c r="Q51" s="20">
        <f t="shared" si="90"/>
        <v>9602</v>
      </c>
      <c r="R51" s="20">
        <f t="shared" si="90"/>
        <v>9602</v>
      </c>
      <c r="S51" s="20">
        <f t="shared" si="90"/>
        <v>9602</v>
      </c>
      <c r="T51" s="20">
        <v>9633</v>
      </c>
      <c r="U51" s="20">
        <f t="shared" si="90"/>
        <v>9633</v>
      </c>
      <c r="V51" s="20">
        <v>9718</v>
      </c>
      <c r="W51" s="20">
        <f t="shared" si="90"/>
        <v>9718</v>
      </c>
      <c r="X51" s="20">
        <f t="shared" si="90"/>
        <v>9718</v>
      </c>
      <c r="Y51" s="20">
        <f t="shared" si="90"/>
        <v>9718</v>
      </c>
      <c r="Z51" s="20">
        <v>9764</v>
      </c>
      <c r="AA51" s="20">
        <f t="shared" si="90"/>
        <v>9764</v>
      </c>
      <c r="AB51" s="20">
        <f t="shared" si="90"/>
        <v>9764</v>
      </c>
      <c r="AC51" s="20">
        <v>9829</v>
      </c>
      <c r="AD51" s="20" t="str">
        <f t="shared" si="90"/>
        <v/>
      </c>
      <c r="AE51" s="20" t="str">
        <f t="shared" si="90"/>
        <v/>
      </c>
      <c r="AF51" s="20" t="str">
        <f t="shared" si="90"/>
        <v/>
      </c>
      <c r="AG51" s="20" t="str">
        <f t="shared" si="90"/>
        <v/>
      </c>
      <c r="AH51" s="20" t="str">
        <f t="shared" si="90"/>
        <v/>
      </c>
      <c r="AI51" s="20" t="str">
        <f t="shared" si="90"/>
        <v/>
      </c>
      <c r="AJ51" s="20" t="str">
        <f t="shared" si="90"/>
        <v/>
      </c>
      <c r="AK51" s="20" t="str">
        <f t="shared" si="90"/>
        <v/>
      </c>
      <c r="AL51" s="20" t="str">
        <f t="shared" si="90"/>
        <v/>
      </c>
      <c r="AM51" s="20" t="str">
        <f t="shared" si="90"/>
        <v/>
      </c>
      <c r="AN51" s="20" t="str">
        <f t="shared" ref="AN51:AS51" si="91">IF(AN$3="","",AM51)</f>
        <v/>
      </c>
      <c r="AO51" s="20" t="str">
        <f t="shared" si="91"/>
        <v/>
      </c>
      <c r="AP51" s="20" t="str">
        <f t="shared" si="91"/>
        <v/>
      </c>
      <c r="AQ51" s="20" t="str">
        <f t="shared" si="91"/>
        <v/>
      </c>
      <c r="AR51" s="20" t="str">
        <f t="shared" si="91"/>
        <v/>
      </c>
      <c r="AS51" s="20" t="str">
        <f t="shared" si="91"/>
        <v/>
      </c>
    </row>
    <row r="52" spans="1:45" s="93" customFormat="1" ht="11">
      <c r="A52" s="16" t="s">
        <v>28</v>
      </c>
      <c r="B52" s="9" t="s">
        <v>4</v>
      </c>
      <c r="C52" s="74">
        <v>476</v>
      </c>
      <c r="D52" s="8">
        <f>IF(D$3="","",C52)</f>
        <v>476</v>
      </c>
      <c r="E52" s="8">
        <f>IF(E$3="","",D52)</f>
        <v>476</v>
      </c>
      <c r="F52" s="59">
        <f>IF(F$3="","",E52)</f>
        <v>476</v>
      </c>
      <c r="G52" s="8">
        <f>IF(G$3="","",F52)</f>
        <v>476</v>
      </c>
      <c r="H52" s="8">
        <v>477</v>
      </c>
      <c r="I52" s="59">
        <f t="shared" si="89"/>
        <v>477</v>
      </c>
      <c r="J52" s="8">
        <f t="shared" si="89"/>
        <v>477</v>
      </c>
      <c r="K52" s="8">
        <f t="shared" si="89"/>
        <v>477</v>
      </c>
      <c r="L52" s="8">
        <v>478</v>
      </c>
      <c r="M52" s="59">
        <f>IF(M$3="","",L52)</f>
        <v>478</v>
      </c>
      <c r="N52" s="8">
        <f>IF(N$3="","",M52)</f>
        <v>478</v>
      </c>
      <c r="O52" s="8">
        <f>IF(O$3="","",N52)</f>
        <v>478</v>
      </c>
      <c r="P52" s="8">
        <f t="shared" ref="P52:AM52" si="92">IF(P$3="","",O52)</f>
        <v>478</v>
      </c>
      <c r="Q52" s="8">
        <f t="shared" si="92"/>
        <v>478</v>
      </c>
      <c r="R52" s="8">
        <f t="shared" si="92"/>
        <v>478</v>
      </c>
      <c r="S52" s="8">
        <f t="shared" si="92"/>
        <v>478</v>
      </c>
      <c r="T52" s="8">
        <v>479</v>
      </c>
      <c r="U52" s="8">
        <f t="shared" si="92"/>
        <v>479</v>
      </c>
      <c r="V52" s="8">
        <v>481</v>
      </c>
      <c r="W52" s="8">
        <f t="shared" si="92"/>
        <v>481</v>
      </c>
      <c r="X52" s="8">
        <f t="shared" si="92"/>
        <v>481</v>
      </c>
      <c r="Y52" s="8">
        <f t="shared" si="92"/>
        <v>481</v>
      </c>
      <c r="Z52" s="8">
        <f t="shared" si="92"/>
        <v>481</v>
      </c>
      <c r="AA52" s="8">
        <f t="shared" si="92"/>
        <v>481</v>
      </c>
      <c r="AB52" s="8">
        <f t="shared" si="92"/>
        <v>481</v>
      </c>
      <c r="AC52" s="8">
        <v>482</v>
      </c>
      <c r="AD52" s="8" t="str">
        <f t="shared" si="92"/>
        <v/>
      </c>
      <c r="AE52" s="8" t="str">
        <f t="shared" si="92"/>
        <v/>
      </c>
      <c r="AF52" s="8" t="str">
        <f t="shared" si="92"/>
        <v/>
      </c>
      <c r="AG52" s="8" t="str">
        <f t="shared" si="92"/>
        <v/>
      </c>
      <c r="AH52" s="8" t="str">
        <f t="shared" si="92"/>
        <v/>
      </c>
      <c r="AI52" s="8" t="str">
        <f t="shared" si="92"/>
        <v/>
      </c>
      <c r="AJ52" s="8" t="str">
        <f t="shared" si="92"/>
        <v/>
      </c>
      <c r="AK52" s="8" t="str">
        <f t="shared" si="92"/>
        <v/>
      </c>
      <c r="AL52" s="8" t="str">
        <f t="shared" si="92"/>
        <v/>
      </c>
      <c r="AM52" s="8" t="str">
        <f t="shared" si="92"/>
        <v/>
      </c>
      <c r="AN52" s="8" t="str">
        <f t="shared" ref="AN52:AS52" si="93">IF(AN$3="","",AM52)</f>
        <v/>
      </c>
      <c r="AO52" s="8" t="str">
        <f t="shared" si="93"/>
        <v/>
      </c>
      <c r="AP52" s="8" t="str">
        <f t="shared" si="93"/>
        <v/>
      </c>
      <c r="AQ52" s="8" t="str">
        <f t="shared" si="93"/>
        <v/>
      </c>
      <c r="AR52" s="8" t="str">
        <f t="shared" si="93"/>
        <v/>
      </c>
      <c r="AS52" s="8" t="str">
        <f t="shared" si="93"/>
        <v/>
      </c>
    </row>
    <row r="53" spans="1:45" s="93" customFormat="1" ht="11">
      <c r="A53" s="15">
        <v>1</v>
      </c>
      <c r="B53" s="9" t="s">
        <v>5</v>
      </c>
      <c r="C53" s="74">
        <v>7</v>
      </c>
      <c r="D53" s="8">
        <f>IF(D51="","",(C53+C54))</f>
        <v>7</v>
      </c>
      <c r="E53" s="8">
        <f>IF(E51="","",(D53+D54))</f>
        <v>7</v>
      </c>
      <c r="F53" s="59">
        <f>IF(F51="","",(E53+E54))</f>
        <v>7</v>
      </c>
      <c r="G53" s="8">
        <f>IF(G51="","",(F53+F54))</f>
        <v>7</v>
      </c>
      <c r="H53" s="8">
        <v>6</v>
      </c>
      <c r="I53" s="59">
        <f>IF(I51="","",(H53+H54))</f>
        <v>6</v>
      </c>
      <c r="J53" s="8">
        <f>IF(J51="","",(I53+I54))</f>
        <v>6</v>
      </c>
      <c r="K53" s="8">
        <f>IF(K51="","",(J53+J54))</f>
        <v>6</v>
      </c>
      <c r="L53" s="8">
        <v>5</v>
      </c>
      <c r="M53" s="59">
        <f t="shared" ref="M53:AM53" si="94">IF(M51="","",(L53+L54))</f>
        <v>5</v>
      </c>
      <c r="N53" s="8">
        <f t="shared" si="94"/>
        <v>5</v>
      </c>
      <c r="O53" s="8">
        <f t="shared" si="94"/>
        <v>5</v>
      </c>
      <c r="P53" s="8">
        <f t="shared" si="94"/>
        <v>5</v>
      </c>
      <c r="Q53" s="8">
        <f t="shared" si="94"/>
        <v>5</v>
      </c>
      <c r="R53" s="8">
        <f t="shared" si="94"/>
        <v>5</v>
      </c>
      <c r="S53" s="8">
        <f t="shared" si="94"/>
        <v>5</v>
      </c>
      <c r="T53" s="8">
        <v>4</v>
      </c>
      <c r="U53" s="8">
        <f t="shared" si="94"/>
        <v>5</v>
      </c>
      <c r="V53" s="8">
        <v>2</v>
      </c>
      <c r="W53" s="8">
        <f t="shared" si="94"/>
        <v>2</v>
      </c>
      <c r="X53" s="8">
        <f t="shared" si="94"/>
        <v>2</v>
      </c>
      <c r="Y53" s="8">
        <f t="shared" si="94"/>
        <v>2</v>
      </c>
      <c r="Z53" s="8">
        <f t="shared" si="94"/>
        <v>2</v>
      </c>
      <c r="AA53" s="8">
        <f t="shared" si="94"/>
        <v>6</v>
      </c>
      <c r="AB53" s="8">
        <f t="shared" si="94"/>
        <v>6</v>
      </c>
      <c r="AC53" s="8">
        <v>5</v>
      </c>
      <c r="AD53" s="8" t="str">
        <f t="shared" si="94"/>
        <v/>
      </c>
      <c r="AE53" s="8" t="str">
        <f t="shared" si="94"/>
        <v/>
      </c>
      <c r="AF53" s="8" t="str">
        <f t="shared" si="94"/>
        <v/>
      </c>
      <c r="AG53" s="8" t="str">
        <f t="shared" si="94"/>
        <v/>
      </c>
      <c r="AH53" s="8" t="str">
        <f t="shared" si="94"/>
        <v/>
      </c>
      <c r="AI53" s="8" t="str">
        <f t="shared" si="94"/>
        <v/>
      </c>
      <c r="AJ53" s="8" t="str">
        <f t="shared" si="94"/>
        <v/>
      </c>
      <c r="AK53" s="8" t="str">
        <f t="shared" si="94"/>
        <v/>
      </c>
      <c r="AL53" s="8" t="str">
        <f t="shared" si="94"/>
        <v/>
      </c>
      <c r="AM53" s="8" t="str">
        <f t="shared" si="94"/>
        <v/>
      </c>
      <c r="AN53" s="8" t="str">
        <f t="shared" ref="AN53:AS53" si="95">IF(AN51="","",(AM53+AM54))</f>
        <v/>
      </c>
      <c r="AO53" s="8" t="str">
        <f t="shared" si="95"/>
        <v/>
      </c>
      <c r="AP53" s="8" t="str">
        <f t="shared" si="95"/>
        <v/>
      </c>
      <c r="AQ53" s="8" t="str">
        <f t="shared" si="95"/>
        <v/>
      </c>
      <c r="AR53" s="8" t="str">
        <f t="shared" si="95"/>
        <v/>
      </c>
      <c r="AS53" s="8" t="str">
        <f t="shared" si="95"/>
        <v/>
      </c>
    </row>
    <row r="54" spans="1:45" s="93" customFormat="1" ht="11">
      <c r="A54" s="101" t="s">
        <v>6</v>
      </c>
      <c r="B54" s="9" t="s">
        <v>7</v>
      </c>
      <c r="C54" s="74"/>
      <c r="D54" s="8"/>
      <c r="E54" s="8"/>
      <c r="F54" s="59"/>
      <c r="G54" s="8"/>
      <c r="H54" s="8"/>
      <c r="I54" s="59"/>
      <c r="J54" s="8"/>
      <c r="K54" s="8"/>
      <c r="L54" s="8"/>
      <c r="M54" s="59"/>
      <c r="N54" s="8"/>
      <c r="O54" s="8"/>
      <c r="P54" s="8"/>
      <c r="Q54" s="8"/>
      <c r="R54" s="8"/>
      <c r="S54" s="8"/>
      <c r="T54" s="8">
        <v>1</v>
      </c>
      <c r="U54" s="8"/>
      <c r="V54" s="8"/>
      <c r="W54" s="8"/>
      <c r="X54" s="8"/>
      <c r="Y54" s="8"/>
      <c r="Z54" s="8">
        <v>4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s="93" customFormat="1" ht="11">
      <c r="A55" s="102">
        <f>+(A58+A70+A82+A94)*100</f>
        <v>204400</v>
      </c>
      <c r="B55" s="9" t="s">
        <v>8</v>
      </c>
      <c r="C55" s="74">
        <v>800</v>
      </c>
      <c r="D55" s="8">
        <f t="shared" ref="D55:AM55" si="96">IF(D51="","",C55)</f>
        <v>800</v>
      </c>
      <c r="E55" s="8">
        <f t="shared" si="96"/>
        <v>800</v>
      </c>
      <c r="F55" s="59">
        <f t="shared" si="96"/>
        <v>800</v>
      </c>
      <c r="G55" s="8">
        <f t="shared" si="96"/>
        <v>800</v>
      </c>
      <c r="H55" s="8">
        <f t="shared" si="96"/>
        <v>800</v>
      </c>
      <c r="I55" s="59">
        <f t="shared" si="96"/>
        <v>800</v>
      </c>
      <c r="J55" s="8">
        <f t="shared" si="96"/>
        <v>800</v>
      </c>
      <c r="K55" s="8">
        <f t="shared" si="96"/>
        <v>800</v>
      </c>
      <c r="L55" s="8">
        <f t="shared" si="96"/>
        <v>800</v>
      </c>
      <c r="M55" s="59">
        <f t="shared" si="96"/>
        <v>800</v>
      </c>
      <c r="N55" s="8">
        <f t="shared" si="96"/>
        <v>800</v>
      </c>
      <c r="O55" s="8">
        <f t="shared" si="96"/>
        <v>800</v>
      </c>
      <c r="P55" s="8">
        <f t="shared" si="96"/>
        <v>800</v>
      </c>
      <c r="Q55" s="8">
        <f t="shared" si="96"/>
        <v>800</v>
      </c>
      <c r="R55" s="8">
        <f t="shared" si="96"/>
        <v>800</v>
      </c>
      <c r="S55" s="8">
        <f t="shared" si="96"/>
        <v>800</v>
      </c>
      <c r="T55" s="8">
        <f t="shared" si="96"/>
        <v>800</v>
      </c>
      <c r="U55" s="8">
        <f t="shared" si="96"/>
        <v>800</v>
      </c>
      <c r="V55" s="8">
        <f t="shared" si="96"/>
        <v>800</v>
      </c>
      <c r="W55" s="8">
        <f t="shared" si="96"/>
        <v>800</v>
      </c>
      <c r="X55" s="8">
        <f t="shared" si="96"/>
        <v>800</v>
      </c>
      <c r="Y55" s="8">
        <f t="shared" si="96"/>
        <v>800</v>
      </c>
      <c r="Z55" s="8">
        <f t="shared" si="96"/>
        <v>800</v>
      </c>
      <c r="AA55" s="8">
        <f t="shared" si="96"/>
        <v>800</v>
      </c>
      <c r="AB55" s="8">
        <f t="shared" si="96"/>
        <v>800</v>
      </c>
      <c r="AC55" s="8">
        <f t="shared" si="96"/>
        <v>800</v>
      </c>
      <c r="AD55" s="8" t="str">
        <f t="shared" si="96"/>
        <v/>
      </c>
      <c r="AE55" s="8" t="str">
        <f t="shared" si="96"/>
        <v/>
      </c>
      <c r="AF55" s="8" t="str">
        <f t="shared" si="96"/>
        <v/>
      </c>
      <c r="AG55" s="8" t="str">
        <f t="shared" si="96"/>
        <v/>
      </c>
      <c r="AH55" s="8" t="str">
        <f t="shared" si="96"/>
        <v/>
      </c>
      <c r="AI55" s="8" t="str">
        <f t="shared" si="96"/>
        <v/>
      </c>
      <c r="AJ55" s="8" t="str">
        <f t="shared" si="96"/>
        <v/>
      </c>
      <c r="AK55" s="8" t="str">
        <f t="shared" si="96"/>
        <v/>
      </c>
      <c r="AL55" s="8" t="str">
        <f t="shared" si="96"/>
        <v/>
      </c>
      <c r="AM55" s="8" t="str">
        <f t="shared" si="96"/>
        <v/>
      </c>
      <c r="AN55" s="8" t="str">
        <f t="shared" ref="AN55:AS55" si="97">IF(AN51="","",AM55)</f>
        <v/>
      </c>
      <c r="AO55" s="8" t="str">
        <f t="shared" si="97"/>
        <v/>
      </c>
      <c r="AP55" s="8" t="str">
        <f t="shared" si="97"/>
        <v/>
      </c>
      <c r="AQ55" s="8" t="str">
        <f t="shared" si="97"/>
        <v/>
      </c>
      <c r="AR55" s="8" t="str">
        <f t="shared" si="97"/>
        <v/>
      </c>
      <c r="AS55" s="8" t="str">
        <f t="shared" si="97"/>
        <v/>
      </c>
    </row>
    <row r="56" spans="1:45" s="94" customFormat="1" ht="11">
      <c r="A56" s="14" t="s">
        <v>9</v>
      </c>
      <c r="B56" s="13" t="s">
        <v>10</v>
      </c>
      <c r="C56" s="75" t="s">
        <v>54</v>
      </c>
      <c r="D56" s="12" t="str">
        <f t="shared" ref="D56:AM56" si="98">IF(D51="","",C56)</f>
        <v>サンリオバンズクリップ</v>
      </c>
      <c r="E56" s="12" t="str">
        <f t="shared" si="98"/>
        <v>サンリオバンズクリップ</v>
      </c>
      <c r="F56" s="131" t="str">
        <f t="shared" si="98"/>
        <v>サンリオバンズクリップ</v>
      </c>
      <c r="G56" s="12" t="str">
        <f t="shared" si="98"/>
        <v>サンリオバンズクリップ</v>
      </c>
      <c r="H56" s="12" t="str">
        <f t="shared" si="98"/>
        <v>サンリオバンズクリップ</v>
      </c>
      <c r="I56" s="131" t="str">
        <f t="shared" si="98"/>
        <v>サンリオバンズクリップ</v>
      </c>
      <c r="J56" s="12" t="str">
        <f t="shared" si="98"/>
        <v>サンリオバンズクリップ</v>
      </c>
      <c r="K56" s="12" t="str">
        <f t="shared" si="98"/>
        <v>サンリオバンズクリップ</v>
      </c>
      <c r="L56" s="12" t="str">
        <f t="shared" si="98"/>
        <v>サンリオバンズクリップ</v>
      </c>
      <c r="M56" s="131" t="str">
        <f t="shared" si="98"/>
        <v>サンリオバンズクリップ</v>
      </c>
      <c r="N56" s="12" t="str">
        <f t="shared" si="98"/>
        <v>サンリオバンズクリップ</v>
      </c>
      <c r="O56" s="12" t="str">
        <f t="shared" si="98"/>
        <v>サンリオバンズクリップ</v>
      </c>
      <c r="P56" s="12" t="str">
        <f t="shared" si="98"/>
        <v>サンリオバンズクリップ</v>
      </c>
      <c r="Q56" s="12" t="str">
        <f t="shared" si="98"/>
        <v>サンリオバンズクリップ</v>
      </c>
      <c r="R56" s="12" t="str">
        <f t="shared" si="98"/>
        <v>サンリオバンズクリップ</v>
      </c>
      <c r="S56" s="12" t="str">
        <f t="shared" si="98"/>
        <v>サンリオバンズクリップ</v>
      </c>
      <c r="T56" s="12" t="str">
        <f t="shared" si="98"/>
        <v>サンリオバンズクリップ</v>
      </c>
      <c r="U56" s="12" t="str">
        <f t="shared" si="98"/>
        <v>サンリオバンズクリップ</v>
      </c>
      <c r="V56" s="12" t="str">
        <f t="shared" si="98"/>
        <v>サンリオバンズクリップ</v>
      </c>
      <c r="W56" s="12" t="str">
        <f t="shared" si="98"/>
        <v>サンリオバンズクリップ</v>
      </c>
      <c r="X56" s="12" t="str">
        <f t="shared" si="98"/>
        <v>サンリオバンズクリップ</v>
      </c>
      <c r="Y56" s="12" t="str">
        <f t="shared" si="98"/>
        <v>サンリオバンズクリップ</v>
      </c>
      <c r="Z56" s="12" t="str">
        <f t="shared" si="98"/>
        <v>サンリオバンズクリップ</v>
      </c>
      <c r="AA56" s="12" t="str">
        <f t="shared" si="98"/>
        <v>サンリオバンズクリップ</v>
      </c>
      <c r="AB56" s="12" t="str">
        <f t="shared" si="98"/>
        <v>サンリオバンズクリップ</v>
      </c>
      <c r="AC56" s="12" t="str">
        <f t="shared" si="98"/>
        <v>サンリオバンズクリップ</v>
      </c>
      <c r="AD56" s="12" t="str">
        <f t="shared" si="98"/>
        <v/>
      </c>
      <c r="AE56" s="12" t="str">
        <f t="shared" si="98"/>
        <v/>
      </c>
      <c r="AF56" s="12" t="str">
        <f t="shared" si="98"/>
        <v/>
      </c>
      <c r="AG56" s="12" t="str">
        <f t="shared" si="98"/>
        <v/>
      </c>
      <c r="AH56" s="12" t="str">
        <f t="shared" si="98"/>
        <v/>
      </c>
      <c r="AI56" s="12" t="str">
        <f t="shared" si="98"/>
        <v/>
      </c>
      <c r="AJ56" s="12" t="str">
        <f t="shared" si="98"/>
        <v/>
      </c>
      <c r="AK56" s="12" t="str">
        <f t="shared" si="98"/>
        <v/>
      </c>
      <c r="AL56" s="12" t="str">
        <f t="shared" si="98"/>
        <v/>
      </c>
      <c r="AM56" s="12" t="str">
        <f t="shared" si="98"/>
        <v/>
      </c>
      <c r="AN56" s="12" t="str">
        <f t="shared" ref="AN56:AS56" si="99">IF(AN51="","",AM56)</f>
        <v/>
      </c>
      <c r="AO56" s="12" t="str">
        <f t="shared" si="99"/>
        <v/>
      </c>
      <c r="AP56" s="12" t="str">
        <f t="shared" si="99"/>
        <v/>
      </c>
      <c r="AQ56" s="12" t="str">
        <f t="shared" si="99"/>
        <v/>
      </c>
      <c r="AR56" s="12" t="str">
        <f t="shared" si="99"/>
        <v/>
      </c>
      <c r="AS56" s="12" t="str">
        <f t="shared" si="99"/>
        <v/>
      </c>
    </row>
    <row r="57" spans="1:45" s="93" customFormat="1" ht="11">
      <c r="A57" s="7">
        <f>AVERAGE(C58:AS58)*30*100</f>
        <v>48666.666666666664</v>
      </c>
      <c r="B57" s="9" t="s">
        <v>14</v>
      </c>
      <c r="C57" s="74"/>
      <c r="D57" s="8"/>
      <c r="E57" s="8"/>
      <c r="F57" s="59"/>
      <c r="G57" s="8"/>
      <c r="H57" s="8"/>
      <c r="I57" s="59"/>
      <c r="J57" s="8"/>
      <c r="K57" s="8"/>
      <c r="L57" s="8"/>
      <c r="M57" s="59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s="93" customFormat="1" ht="11">
      <c r="A58" s="7">
        <f>SUM(C58:AS58)</f>
        <v>438</v>
      </c>
      <c r="B58" s="6" t="s">
        <v>15</v>
      </c>
      <c r="C58" s="74">
        <v>0</v>
      </c>
      <c r="D58" s="5">
        <f t="shared" ref="D58:AM58" si="100">IF(D51="","",D51-C51)</f>
        <v>0</v>
      </c>
      <c r="E58" s="5">
        <f t="shared" si="100"/>
        <v>28</v>
      </c>
      <c r="F58" s="59">
        <f t="shared" si="100"/>
        <v>0</v>
      </c>
      <c r="G58" s="5">
        <f t="shared" si="100"/>
        <v>0</v>
      </c>
      <c r="H58" s="5">
        <f t="shared" si="100"/>
        <v>72</v>
      </c>
      <c r="I58" s="59">
        <f t="shared" si="100"/>
        <v>0</v>
      </c>
      <c r="J58" s="5">
        <f t="shared" si="100"/>
        <v>0</v>
      </c>
      <c r="K58" s="5">
        <f t="shared" si="100"/>
        <v>0</v>
      </c>
      <c r="L58" s="5">
        <f t="shared" si="100"/>
        <v>44</v>
      </c>
      <c r="M58" s="59">
        <f t="shared" si="100"/>
        <v>0</v>
      </c>
      <c r="N58" s="5">
        <f t="shared" si="100"/>
        <v>0</v>
      </c>
      <c r="O58" s="5">
        <f t="shared" si="100"/>
        <v>67</v>
      </c>
      <c r="P58" s="5">
        <f t="shared" si="100"/>
        <v>0</v>
      </c>
      <c r="Q58" s="5">
        <f t="shared" si="100"/>
        <v>0</v>
      </c>
      <c r="R58" s="5">
        <f t="shared" si="100"/>
        <v>0</v>
      </c>
      <c r="S58" s="5">
        <f t="shared" si="100"/>
        <v>0</v>
      </c>
      <c r="T58" s="5">
        <f t="shared" si="100"/>
        <v>31</v>
      </c>
      <c r="U58" s="5">
        <f t="shared" si="100"/>
        <v>0</v>
      </c>
      <c r="V58" s="5">
        <f t="shared" si="100"/>
        <v>85</v>
      </c>
      <c r="W58" s="5">
        <f t="shared" si="100"/>
        <v>0</v>
      </c>
      <c r="X58" s="5">
        <f t="shared" si="100"/>
        <v>0</v>
      </c>
      <c r="Y58" s="5">
        <f t="shared" si="100"/>
        <v>0</v>
      </c>
      <c r="Z58" s="5">
        <f t="shared" si="100"/>
        <v>46</v>
      </c>
      <c r="AA58" s="5">
        <f t="shared" si="100"/>
        <v>0</v>
      </c>
      <c r="AB58" s="5">
        <f t="shared" si="100"/>
        <v>0</v>
      </c>
      <c r="AC58" s="5">
        <f t="shared" si="100"/>
        <v>65</v>
      </c>
      <c r="AD58" s="5" t="str">
        <f t="shared" si="100"/>
        <v/>
      </c>
      <c r="AE58" s="5" t="str">
        <f t="shared" si="100"/>
        <v/>
      </c>
      <c r="AF58" s="5" t="str">
        <f t="shared" si="100"/>
        <v/>
      </c>
      <c r="AG58" s="5" t="str">
        <f t="shared" si="100"/>
        <v/>
      </c>
      <c r="AH58" s="5" t="str">
        <f t="shared" si="100"/>
        <v/>
      </c>
      <c r="AI58" s="5" t="str">
        <f t="shared" si="100"/>
        <v/>
      </c>
      <c r="AJ58" s="5" t="str">
        <f t="shared" si="100"/>
        <v/>
      </c>
      <c r="AK58" s="5" t="str">
        <f t="shared" si="100"/>
        <v/>
      </c>
      <c r="AL58" s="5" t="str">
        <f t="shared" si="100"/>
        <v/>
      </c>
      <c r="AM58" s="5" t="str">
        <f t="shared" si="100"/>
        <v/>
      </c>
      <c r="AN58" s="5" t="str">
        <f t="shared" ref="AN58:AS58" si="101">IF(AN51="","",AN51-AM51)</f>
        <v/>
      </c>
      <c r="AO58" s="5" t="str">
        <f t="shared" si="101"/>
        <v/>
      </c>
      <c r="AP58" s="5" t="str">
        <f t="shared" si="101"/>
        <v/>
      </c>
      <c r="AQ58" s="5" t="str">
        <f t="shared" si="101"/>
        <v/>
      </c>
      <c r="AR58" s="5" t="str">
        <f t="shared" si="101"/>
        <v/>
      </c>
      <c r="AS58" s="5" t="str">
        <f t="shared" si="101"/>
        <v/>
      </c>
    </row>
    <row r="59" spans="1:45" s="93" customFormat="1" ht="11">
      <c r="A59" s="7">
        <f>SUM(C59:AS59)</f>
        <v>6</v>
      </c>
      <c r="B59" s="6" t="s">
        <v>16</v>
      </c>
      <c r="C59" s="74">
        <v>0</v>
      </c>
      <c r="D59" s="5">
        <f t="shared" ref="D59:AM59" si="102">IF(D52="","",D52-C52)</f>
        <v>0</v>
      </c>
      <c r="E59" s="5">
        <f t="shared" si="102"/>
        <v>0</v>
      </c>
      <c r="F59" s="59">
        <f t="shared" si="102"/>
        <v>0</v>
      </c>
      <c r="G59" s="5">
        <f t="shared" si="102"/>
        <v>0</v>
      </c>
      <c r="H59" s="5">
        <f t="shared" si="102"/>
        <v>1</v>
      </c>
      <c r="I59" s="59">
        <f t="shared" si="102"/>
        <v>0</v>
      </c>
      <c r="J59" s="5">
        <f t="shared" si="102"/>
        <v>0</v>
      </c>
      <c r="K59" s="5">
        <f t="shared" si="102"/>
        <v>0</v>
      </c>
      <c r="L59" s="5">
        <f t="shared" si="102"/>
        <v>1</v>
      </c>
      <c r="M59" s="59">
        <f t="shared" si="102"/>
        <v>0</v>
      </c>
      <c r="N59" s="5">
        <f t="shared" si="102"/>
        <v>0</v>
      </c>
      <c r="O59" s="5">
        <f t="shared" si="102"/>
        <v>0</v>
      </c>
      <c r="P59" s="5">
        <f t="shared" si="102"/>
        <v>0</v>
      </c>
      <c r="Q59" s="5">
        <f t="shared" si="102"/>
        <v>0</v>
      </c>
      <c r="R59" s="5">
        <f t="shared" si="102"/>
        <v>0</v>
      </c>
      <c r="S59" s="5">
        <f t="shared" si="102"/>
        <v>0</v>
      </c>
      <c r="T59" s="5">
        <f t="shared" si="102"/>
        <v>1</v>
      </c>
      <c r="U59" s="5">
        <f t="shared" si="102"/>
        <v>0</v>
      </c>
      <c r="V59" s="5">
        <f t="shared" si="102"/>
        <v>2</v>
      </c>
      <c r="W59" s="5">
        <f t="shared" si="102"/>
        <v>0</v>
      </c>
      <c r="X59" s="5">
        <f t="shared" si="102"/>
        <v>0</v>
      </c>
      <c r="Y59" s="5">
        <f t="shared" si="102"/>
        <v>0</v>
      </c>
      <c r="Z59" s="5">
        <f t="shared" si="102"/>
        <v>0</v>
      </c>
      <c r="AA59" s="5">
        <f t="shared" si="102"/>
        <v>0</v>
      </c>
      <c r="AB59" s="5">
        <f t="shared" si="102"/>
        <v>0</v>
      </c>
      <c r="AC59" s="5">
        <f t="shared" si="102"/>
        <v>1</v>
      </c>
      <c r="AD59" s="5" t="str">
        <f t="shared" si="102"/>
        <v/>
      </c>
      <c r="AE59" s="5" t="str">
        <f t="shared" si="102"/>
        <v/>
      </c>
      <c r="AF59" s="5" t="str">
        <f t="shared" si="102"/>
        <v/>
      </c>
      <c r="AG59" s="5" t="str">
        <f t="shared" si="102"/>
        <v/>
      </c>
      <c r="AH59" s="5" t="str">
        <f t="shared" si="102"/>
        <v/>
      </c>
      <c r="AI59" s="5" t="str">
        <f t="shared" si="102"/>
        <v/>
      </c>
      <c r="AJ59" s="5" t="str">
        <f t="shared" si="102"/>
        <v/>
      </c>
      <c r="AK59" s="5" t="str">
        <f t="shared" si="102"/>
        <v/>
      </c>
      <c r="AL59" s="5" t="str">
        <f t="shared" si="102"/>
        <v/>
      </c>
      <c r="AM59" s="5" t="str">
        <f t="shared" si="102"/>
        <v/>
      </c>
      <c r="AN59" s="5" t="str">
        <f t="shared" ref="AN59:AS59" si="103">IF(AN52="","",AN52-AM52)</f>
        <v/>
      </c>
      <c r="AO59" s="5" t="str">
        <f t="shared" si="103"/>
        <v/>
      </c>
      <c r="AP59" s="5" t="str">
        <f t="shared" si="103"/>
        <v/>
      </c>
      <c r="AQ59" s="5" t="str">
        <f t="shared" si="103"/>
        <v/>
      </c>
      <c r="AR59" s="5" t="str">
        <f t="shared" si="103"/>
        <v/>
      </c>
      <c r="AS59" s="5" t="str">
        <f t="shared" si="103"/>
        <v/>
      </c>
    </row>
    <row r="60" spans="1:45" s="93" customFormat="1" ht="11">
      <c r="A60" s="7">
        <f>SUM(C60:AS60)</f>
        <v>7</v>
      </c>
      <c r="B60" s="6" t="s">
        <v>17</v>
      </c>
      <c r="C60" s="74">
        <v>0</v>
      </c>
      <c r="D60" s="5">
        <f t="shared" ref="D60:AM60" si="104">IF(D53="","",C53+C54-D53)</f>
        <v>0</v>
      </c>
      <c r="E60" s="5">
        <f t="shared" si="104"/>
        <v>0</v>
      </c>
      <c r="F60" s="59">
        <f t="shared" si="104"/>
        <v>0</v>
      </c>
      <c r="G60" s="5">
        <f t="shared" si="104"/>
        <v>0</v>
      </c>
      <c r="H60" s="5">
        <f t="shared" si="104"/>
        <v>1</v>
      </c>
      <c r="I60" s="59">
        <f t="shared" si="104"/>
        <v>0</v>
      </c>
      <c r="J60" s="5">
        <f t="shared" si="104"/>
        <v>0</v>
      </c>
      <c r="K60" s="5">
        <f t="shared" si="104"/>
        <v>0</v>
      </c>
      <c r="L60" s="5">
        <f t="shared" si="104"/>
        <v>1</v>
      </c>
      <c r="M60" s="59">
        <f t="shared" si="104"/>
        <v>0</v>
      </c>
      <c r="N60" s="5">
        <f t="shared" si="104"/>
        <v>0</v>
      </c>
      <c r="O60" s="5">
        <f t="shared" si="104"/>
        <v>0</v>
      </c>
      <c r="P60" s="5">
        <f t="shared" si="104"/>
        <v>0</v>
      </c>
      <c r="Q60" s="5">
        <f t="shared" si="104"/>
        <v>0</v>
      </c>
      <c r="R60" s="5">
        <f t="shared" si="104"/>
        <v>0</v>
      </c>
      <c r="S60" s="5">
        <f t="shared" si="104"/>
        <v>0</v>
      </c>
      <c r="T60" s="5">
        <f t="shared" si="104"/>
        <v>1</v>
      </c>
      <c r="U60" s="5">
        <f t="shared" si="104"/>
        <v>0</v>
      </c>
      <c r="V60" s="5">
        <f t="shared" si="104"/>
        <v>3</v>
      </c>
      <c r="W60" s="5">
        <f t="shared" si="104"/>
        <v>0</v>
      </c>
      <c r="X60" s="5">
        <f t="shared" si="104"/>
        <v>0</v>
      </c>
      <c r="Y60" s="5">
        <f t="shared" si="104"/>
        <v>0</v>
      </c>
      <c r="Z60" s="5">
        <f t="shared" si="104"/>
        <v>0</v>
      </c>
      <c r="AA60" s="5">
        <f t="shared" si="104"/>
        <v>0</v>
      </c>
      <c r="AB60" s="5">
        <f t="shared" si="104"/>
        <v>0</v>
      </c>
      <c r="AC60" s="5">
        <f t="shared" si="104"/>
        <v>1</v>
      </c>
      <c r="AD60" s="5" t="str">
        <f t="shared" si="104"/>
        <v/>
      </c>
      <c r="AE60" s="5" t="str">
        <f t="shared" si="104"/>
        <v/>
      </c>
      <c r="AF60" s="5" t="str">
        <f t="shared" si="104"/>
        <v/>
      </c>
      <c r="AG60" s="5" t="str">
        <f t="shared" si="104"/>
        <v/>
      </c>
      <c r="AH60" s="5" t="str">
        <f t="shared" si="104"/>
        <v/>
      </c>
      <c r="AI60" s="5" t="str">
        <f t="shared" si="104"/>
        <v/>
      </c>
      <c r="AJ60" s="5" t="str">
        <f t="shared" si="104"/>
        <v/>
      </c>
      <c r="AK60" s="5" t="str">
        <f t="shared" si="104"/>
        <v/>
      </c>
      <c r="AL60" s="5" t="str">
        <f t="shared" si="104"/>
        <v/>
      </c>
      <c r="AM60" s="5" t="str">
        <f t="shared" si="104"/>
        <v/>
      </c>
      <c r="AN60" s="5" t="str">
        <f t="shared" ref="AN60:AS60" si="105">IF(AN53="","",AM53+AM54-AN53)</f>
        <v/>
      </c>
      <c r="AO60" s="5" t="str">
        <f t="shared" si="105"/>
        <v/>
      </c>
      <c r="AP60" s="5" t="str">
        <f t="shared" si="105"/>
        <v/>
      </c>
      <c r="AQ60" s="5" t="str">
        <f t="shared" si="105"/>
        <v/>
      </c>
      <c r="AR60" s="5" t="str">
        <f t="shared" si="105"/>
        <v/>
      </c>
      <c r="AS60" s="5" t="str">
        <f t="shared" si="105"/>
        <v/>
      </c>
    </row>
    <row r="61" spans="1:45" s="93" customFormat="1" ht="11">
      <c r="A61" s="7">
        <f>SUM(C61:AS61)</f>
        <v>5600</v>
      </c>
      <c r="B61" s="6" t="s">
        <v>18</v>
      </c>
      <c r="C61" s="74">
        <v>0</v>
      </c>
      <c r="D61" s="5">
        <f t="shared" ref="D61:AM61" si="106">IF(D51="","",D60*D55)</f>
        <v>0</v>
      </c>
      <c r="E61" s="5">
        <f t="shared" si="106"/>
        <v>0</v>
      </c>
      <c r="F61" s="59">
        <f t="shared" si="106"/>
        <v>0</v>
      </c>
      <c r="G61" s="5">
        <f t="shared" si="106"/>
        <v>0</v>
      </c>
      <c r="H61" s="5">
        <f t="shared" si="106"/>
        <v>800</v>
      </c>
      <c r="I61" s="59">
        <f t="shared" si="106"/>
        <v>0</v>
      </c>
      <c r="J61" s="5">
        <f t="shared" si="106"/>
        <v>0</v>
      </c>
      <c r="K61" s="5">
        <f t="shared" si="106"/>
        <v>0</v>
      </c>
      <c r="L61" s="5">
        <f t="shared" si="106"/>
        <v>800</v>
      </c>
      <c r="M61" s="59">
        <f t="shared" si="106"/>
        <v>0</v>
      </c>
      <c r="N61" s="5">
        <f t="shared" si="106"/>
        <v>0</v>
      </c>
      <c r="O61" s="5">
        <f t="shared" si="106"/>
        <v>0</v>
      </c>
      <c r="P61" s="5">
        <f t="shared" si="106"/>
        <v>0</v>
      </c>
      <c r="Q61" s="5">
        <f t="shared" si="106"/>
        <v>0</v>
      </c>
      <c r="R61" s="5">
        <f t="shared" si="106"/>
        <v>0</v>
      </c>
      <c r="S61" s="5">
        <f t="shared" si="106"/>
        <v>0</v>
      </c>
      <c r="T61" s="5">
        <f t="shared" si="106"/>
        <v>800</v>
      </c>
      <c r="U61" s="5">
        <f t="shared" si="106"/>
        <v>0</v>
      </c>
      <c r="V61" s="5">
        <f t="shared" si="106"/>
        <v>2400</v>
      </c>
      <c r="W61" s="5">
        <f t="shared" si="106"/>
        <v>0</v>
      </c>
      <c r="X61" s="5">
        <f t="shared" si="106"/>
        <v>0</v>
      </c>
      <c r="Y61" s="5">
        <f t="shared" si="106"/>
        <v>0</v>
      </c>
      <c r="Z61" s="5">
        <f t="shared" si="106"/>
        <v>0</v>
      </c>
      <c r="AA61" s="5">
        <f t="shared" si="106"/>
        <v>0</v>
      </c>
      <c r="AB61" s="5">
        <f t="shared" si="106"/>
        <v>0</v>
      </c>
      <c r="AC61" s="5">
        <f t="shared" si="106"/>
        <v>800</v>
      </c>
      <c r="AD61" s="5" t="str">
        <f t="shared" si="106"/>
        <v/>
      </c>
      <c r="AE61" s="5" t="str">
        <f t="shared" si="106"/>
        <v/>
      </c>
      <c r="AF61" s="5" t="str">
        <f t="shared" si="106"/>
        <v/>
      </c>
      <c r="AG61" s="5" t="str">
        <f t="shared" si="106"/>
        <v/>
      </c>
      <c r="AH61" s="5" t="str">
        <f t="shared" si="106"/>
        <v/>
      </c>
      <c r="AI61" s="5" t="str">
        <f t="shared" si="106"/>
        <v/>
      </c>
      <c r="AJ61" s="5" t="str">
        <f t="shared" si="106"/>
        <v/>
      </c>
      <c r="AK61" s="5" t="str">
        <f t="shared" si="106"/>
        <v/>
      </c>
      <c r="AL61" s="5" t="str">
        <f t="shared" si="106"/>
        <v/>
      </c>
      <c r="AM61" s="5" t="str">
        <f t="shared" si="106"/>
        <v/>
      </c>
      <c r="AN61" s="5" t="str">
        <f t="shared" ref="AN61:AS61" si="107">IF(AN51="","",AN60*AN55)</f>
        <v/>
      </c>
      <c r="AO61" s="5" t="str">
        <f t="shared" si="107"/>
        <v/>
      </c>
      <c r="AP61" s="5" t="str">
        <f t="shared" si="107"/>
        <v/>
      </c>
      <c r="AQ61" s="5" t="str">
        <f t="shared" si="107"/>
        <v/>
      </c>
      <c r="AR61" s="5" t="str">
        <f t="shared" si="107"/>
        <v/>
      </c>
      <c r="AS61" s="5" t="str">
        <f t="shared" si="107"/>
        <v/>
      </c>
    </row>
    <row r="62" spans="1:45" s="93" customFormat="1" ht="12" thickBot="1">
      <c r="A62" s="4">
        <f>IF(A61="","",A61/(A58*100))</f>
        <v>0.12785388127853881</v>
      </c>
      <c r="B62" s="6" t="s">
        <v>20</v>
      </c>
      <c r="C62" s="76" t="s">
        <v>21</v>
      </c>
      <c r="D62" s="18" t="str">
        <f t="shared" ref="D62:AM62" si="108">IF(D61="","",IF(D61=0,"",D61/(D58*100)))</f>
        <v/>
      </c>
      <c r="E62" s="18" t="str">
        <f t="shared" si="108"/>
        <v/>
      </c>
      <c r="F62" s="62" t="str">
        <f t="shared" si="108"/>
        <v/>
      </c>
      <c r="G62" s="18" t="str">
        <f t="shared" si="108"/>
        <v/>
      </c>
      <c r="H62" s="18">
        <f t="shared" si="108"/>
        <v>0.1111111111111111</v>
      </c>
      <c r="I62" s="62" t="str">
        <f t="shared" si="108"/>
        <v/>
      </c>
      <c r="J62" s="18" t="str">
        <f t="shared" si="108"/>
        <v/>
      </c>
      <c r="K62" s="18" t="str">
        <f t="shared" si="108"/>
        <v/>
      </c>
      <c r="L62" s="18">
        <f t="shared" si="108"/>
        <v>0.18181818181818182</v>
      </c>
      <c r="M62" s="62" t="str">
        <f t="shared" si="108"/>
        <v/>
      </c>
      <c r="N62" s="18" t="str">
        <f t="shared" si="108"/>
        <v/>
      </c>
      <c r="O62" s="18" t="str">
        <f t="shared" si="108"/>
        <v/>
      </c>
      <c r="P62" s="18" t="str">
        <f t="shared" si="108"/>
        <v/>
      </c>
      <c r="Q62" s="18" t="str">
        <f t="shared" si="108"/>
        <v/>
      </c>
      <c r="R62" s="18" t="str">
        <f t="shared" si="108"/>
        <v/>
      </c>
      <c r="S62" s="18" t="str">
        <f t="shared" si="108"/>
        <v/>
      </c>
      <c r="T62" s="18">
        <f t="shared" si="108"/>
        <v>0.25806451612903225</v>
      </c>
      <c r="U62" s="18" t="str">
        <f t="shared" si="108"/>
        <v/>
      </c>
      <c r="V62" s="18">
        <f t="shared" si="108"/>
        <v>0.28235294117647058</v>
      </c>
      <c r="W62" s="18" t="str">
        <f t="shared" si="108"/>
        <v/>
      </c>
      <c r="X62" s="18" t="str">
        <f t="shared" si="108"/>
        <v/>
      </c>
      <c r="Y62" s="18" t="str">
        <f t="shared" si="108"/>
        <v/>
      </c>
      <c r="Z62" s="18" t="str">
        <f t="shared" si="108"/>
        <v/>
      </c>
      <c r="AA62" s="18" t="str">
        <f t="shared" si="108"/>
        <v/>
      </c>
      <c r="AB62" s="18" t="str">
        <f t="shared" si="108"/>
        <v/>
      </c>
      <c r="AC62" s="18">
        <f t="shared" si="108"/>
        <v>0.12307692307692308</v>
      </c>
      <c r="AD62" s="18" t="str">
        <f t="shared" si="108"/>
        <v/>
      </c>
      <c r="AE62" s="18" t="str">
        <f t="shared" si="108"/>
        <v/>
      </c>
      <c r="AF62" s="18" t="str">
        <f t="shared" si="108"/>
        <v/>
      </c>
      <c r="AG62" s="18" t="str">
        <f t="shared" si="108"/>
        <v/>
      </c>
      <c r="AH62" s="18" t="str">
        <f t="shared" si="108"/>
        <v/>
      </c>
      <c r="AI62" s="18" t="str">
        <f t="shared" si="108"/>
        <v/>
      </c>
      <c r="AJ62" s="18" t="str">
        <f t="shared" si="108"/>
        <v/>
      </c>
      <c r="AK62" s="18" t="str">
        <f t="shared" si="108"/>
        <v/>
      </c>
      <c r="AL62" s="18" t="str">
        <f t="shared" si="108"/>
        <v/>
      </c>
      <c r="AM62" s="18" t="str">
        <f t="shared" si="108"/>
        <v/>
      </c>
      <c r="AN62" s="18" t="str">
        <f t="shared" ref="AN62:AS62" si="109">IF(AN61="","",IF(AN61=0,"",AN61/(AN58*100)))</f>
        <v/>
      </c>
      <c r="AO62" s="18" t="str">
        <f t="shared" si="109"/>
        <v/>
      </c>
      <c r="AP62" s="18" t="str">
        <f t="shared" si="109"/>
        <v/>
      </c>
      <c r="AQ62" s="18" t="str">
        <f t="shared" si="109"/>
        <v/>
      </c>
      <c r="AR62" s="18" t="str">
        <f t="shared" si="109"/>
        <v/>
      </c>
      <c r="AS62" s="18" t="str">
        <f t="shared" si="109"/>
        <v/>
      </c>
    </row>
    <row r="63" spans="1:45" s="93" customFormat="1" ht="11">
      <c r="A63" s="17" t="str">
        <f>A51</f>
        <v>天文館</v>
      </c>
      <c r="B63" s="9" t="s">
        <v>2</v>
      </c>
      <c r="C63" s="74">
        <v>9116</v>
      </c>
      <c r="D63" s="8">
        <f>IF(D$3="","",C63)</f>
        <v>9116</v>
      </c>
      <c r="E63" s="8">
        <v>9142</v>
      </c>
      <c r="F63" s="59">
        <f>IF(F$3="","",E63)</f>
        <v>9142</v>
      </c>
      <c r="G63" s="8">
        <f>IF(G$3="","",F63)</f>
        <v>9142</v>
      </c>
      <c r="H63" s="8">
        <v>9185</v>
      </c>
      <c r="I63" s="59">
        <f t="shared" ref="I63:K64" si="110">IF(I$3="","",H63)</f>
        <v>9185</v>
      </c>
      <c r="J63" s="8">
        <f t="shared" si="110"/>
        <v>9185</v>
      </c>
      <c r="K63" s="8">
        <f t="shared" si="110"/>
        <v>9185</v>
      </c>
      <c r="L63" s="8">
        <v>9217</v>
      </c>
      <c r="M63" s="59">
        <f>IF(M$3="","",L63)</f>
        <v>9217</v>
      </c>
      <c r="N63" s="8">
        <f>IF(N$3="","",M63)</f>
        <v>9217</v>
      </c>
      <c r="O63" s="8">
        <v>9254</v>
      </c>
      <c r="P63" s="8">
        <f t="shared" ref="P63:AM63" si="111">IF(P$3="","",O63)</f>
        <v>9254</v>
      </c>
      <c r="Q63" s="8">
        <f t="shared" si="111"/>
        <v>9254</v>
      </c>
      <c r="R63" s="8">
        <f t="shared" si="111"/>
        <v>9254</v>
      </c>
      <c r="S63" s="8">
        <f t="shared" si="111"/>
        <v>9254</v>
      </c>
      <c r="T63" s="8">
        <v>9306</v>
      </c>
      <c r="U63" s="8">
        <f t="shared" si="111"/>
        <v>9306</v>
      </c>
      <c r="V63" s="8">
        <v>9428</v>
      </c>
      <c r="W63" s="8">
        <f t="shared" si="111"/>
        <v>9428</v>
      </c>
      <c r="X63" s="8">
        <f t="shared" si="111"/>
        <v>9428</v>
      </c>
      <c r="Y63" s="8">
        <f t="shared" si="111"/>
        <v>9428</v>
      </c>
      <c r="Z63" s="8">
        <v>9464</v>
      </c>
      <c r="AA63" s="8">
        <f t="shared" si="111"/>
        <v>9464</v>
      </c>
      <c r="AB63" s="8">
        <f t="shared" si="111"/>
        <v>9464</v>
      </c>
      <c r="AC63" s="8">
        <v>9504</v>
      </c>
      <c r="AD63" s="8" t="str">
        <f t="shared" si="111"/>
        <v/>
      </c>
      <c r="AE63" s="8" t="str">
        <f t="shared" si="111"/>
        <v/>
      </c>
      <c r="AF63" s="8" t="str">
        <f t="shared" si="111"/>
        <v/>
      </c>
      <c r="AG63" s="8" t="str">
        <f t="shared" si="111"/>
        <v/>
      </c>
      <c r="AH63" s="8" t="str">
        <f t="shared" si="111"/>
        <v/>
      </c>
      <c r="AI63" s="8" t="str">
        <f t="shared" si="111"/>
        <v/>
      </c>
      <c r="AJ63" s="8" t="str">
        <f t="shared" si="111"/>
        <v/>
      </c>
      <c r="AK63" s="8" t="str">
        <f t="shared" si="111"/>
        <v/>
      </c>
      <c r="AL63" s="8" t="str">
        <f t="shared" si="111"/>
        <v/>
      </c>
      <c r="AM63" s="8" t="str">
        <f t="shared" si="111"/>
        <v/>
      </c>
      <c r="AN63" s="8" t="str">
        <f t="shared" ref="AN63:AS63" si="112">IF(AN$3="","",AM63)</f>
        <v/>
      </c>
      <c r="AO63" s="8" t="str">
        <f t="shared" si="112"/>
        <v/>
      </c>
      <c r="AP63" s="8" t="str">
        <f t="shared" si="112"/>
        <v/>
      </c>
      <c r="AQ63" s="8" t="str">
        <f t="shared" si="112"/>
        <v/>
      </c>
      <c r="AR63" s="8" t="str">
        <f t="shared" si="112"/>
        <v/>
      </c>
      <c r="AS63" s="8" t="str">
        <f t="shared" si="112"/>
        <v/>
      </c>
    </row>
    <row r="64" spans="1:45" s="93" customFormat="1" ht="11">
      <c r="A64" s="16" t="str">
        <f>A52</f>
        <v>BUZZ＃2</v>
      </c>
      <c r="B64" s="9" t="s">
        <v>4</v>
      </c>
      <c r="C64" s="74">
        <v>769</v>
      </c>
      <c r="D64" s="8">
        <f>IF(D$3="","",C64)</f>
        <v>769</v>
      </c>
      <c r="E64" s="8">
        <f>IF(E$3="","",D64)</f>
        <v>769</v>
      </c>
      <c r="F64" s="59">
        <f>IF(F$3="","",E64)</f>
        <v>769</v>
      </c>
      <c r="G64" s="8">
        <f>IF(G$3="","",F64)</f>
        <v>769</v>
      </c>
      <c r="H64" s="8">
        <f>IF(H$3="","",G64)</f>
        <v>769</v>
      </c>
      <c r="I64" s="59">
        <f t="shared" si="110"/>
        <v>769</v>
      </c>
      <c r="J64" s="8">
        <f t="shared" si="110"/>
        <v>769</v>
      </c>
      <c r="K64" s="8">
        <f t="shared" si="110"/>
        <v>769</v>
      </c>
      <c r="L64" s="8">
        <f>IF(L$3="","",K64)</f>
        <v>769</v>
      </c>
      <c r="M64" s="59">
        <f>IF(M$3="","",L64)</f>
        <v>769</v>
      </c>
      <c r="N64" s="8">
        <f>IF(N$3="","",M64)</f>
        <v>769</v>
      </c>
      <c r="O64" s="8">
        <f>IF(O$3="","",N64)</f>
        <v>769</v>
      </c>
      <c r="P64" s="8">
        <f t="shared" ref="P64:AM64" si="113">IF(P$3="","",O64)</f>
        <v>769</v>
      </c>
      <c r="Q64" s="8">
        <f t="shared" si="113"/>
        <v>769</v>
      </c>
      <c r="R64" s="8">
        <f t="shared" si="113"/>
        <v>769</v>
      </c>
      <c r="S64" s="8">
        <f t="shared" si="113"/>
        <v>769</v>
      </c>
      <c r="T64" s="8">
        <v>770</v>
      </c>
      <c r="U64" s="8">
        <f t="shared" si="113"/>
        <v>770</v>
      </c>
      <c r="V64" s="8">
        <v>772</v>
      </c>
      <c r="W64" s="8">
        <f t="shared" si="113"/>
        <v>772</v>
      </c>
      <c r="X64" s="8">
        <f t="shared" si="113"/>
        <v>772</v>
      </c>
      <c r="Y64" s="8">
        <f t="shared" si="113"/>
        <v>772</v>
      </c>
      <c r="Z64" s="8">
        <v>773</v>
      </c>
      <c r="AA64" s="8">
        <f t="shared" si="113"/>
        <v>773</v>
      </c>
      <c r="AB64" s="8">
        <f t="shared" si="113"/>
        <v>773</v>
      </c>
      <c r="AC64" s="8">
        <v>774</v>
      </c>
      <c r="AD64" s="8" t="str">
        <f t="shared" si="113"/>
        <v/>
      </c>
      <c r="AE64" s="8" t="str">
        <f t="shared" si="113"/>
        <v/>
      </c>
      <c r="AF64" s="8" t="str">
        <f t="shared" si="113"/>
        <v/>
      </c>
      <c r="AG64" s="8" t="str">
        <f t="shared" si="113"/>
        <v/>
      </c>
      <c r="AH64" s="8" t="str">
        <f t="shared" si="113"/>
        <v/>
      </c>
      <c r="AI64" s="8" t="str">
        <f t="shared" si="113"/>
        <v/>
      </c>
      <c r="AJ64" s="8" t="str">
        <f t="shared" si="113"/>
        <v/>
      </c>
      <c r="AK64" s="8" t="str">
        <f t="shared" si="113"/>
        <v/>
      </c>
      <c r="AL64" s="8" t="str">
        <f t="shared" si="113"/>
        <v/>
      </c>
      <c r="AM64" s="8" t="str">
        <f t="shared" si="113"/>
        <v/>
      </c>
      <c r="AN64" s="8" t="str">
        <f t="shared" ref="AN64:AS64" si="114">IF(AN$3="","",AM64)</f>
        <v/>
      </c>
      <c r="AO64" s="8" t="str">
        <f t="shared" si="114"/>
        <v/>
      </c>
      <c r="AP64" s="8" t="str">
        <f t="shared" si="114"/>
        <v/>
      </c>
      <c r="AQ64" s="8" t="str">
        <f t="shared" si="114"/>
        <v/>
      </c>
      <c r="AR64" s="8" t="str">
        <f t="shared" si="114"/>
        <v/>
      </c>
      <c r="AS64" s="8" t="str">
        <f t="shared" si="114"/>
        <v/>
      </c>
    </row>
    <row r="65" spans="1:45" s="93" customFormat="1" ht="11">
      <c r="A65" s="15">
        <v>2</v>
      </c>
      <c r="B65" s="9" t="s">
        <v>5</v>
      </c>
      <c r="C65" s="74">
        <v>5</v>
      </c>
      <c r="D65" s="8">
        <f t="shared" ref="D65:AM65" si="115">IF(D63="","",(C65+C66))</f>
        <v>5</v>
      </c>
      <c r="E65" s="8">
        <f t="shared" si="115"/>
        <v>5</v>
      </c>
      <c r="F65" s="59">
        <f t="shared" si="115"/>
        <v>5</v>
      </c>
      <c r="G65" s="8">
        <f t="shared" si="115"/>
        <v>5</v>
      </c>
      <c r="H65" s="8">
        <f t="shared" si="115"/>
        <v>5</v>
      </c>
      <c r="I65" s="59">
        <f t="shared" si="115"/>
        <v>5</v>
      </c>
      <c r="J65" s="8">
        <f t="shared" si="115"/>
        <v>5</v>
      </c>
      <c r="K65" s="8">
        <f t="shared" si="115"/>
        <v>5</v>
      </c>
      <c r="L65" s="8">
        <f t="shared" si="115"/>
        <v>5</v>
      </c>
      <c r="M65" s="59">
        <f t="shared" si="115"/>
        <v>5</v>
      </c>
      <c r="N65" s="8">
        <f t="shared" si="115"/>
        <v>5</v>
      </c>
      <c r="O65" s="8">
        <f t="shared" si="115"/>
        <v>5</v>
      </c>
      <c r="P65" s="8">
        <f t="shared" si="115"/>
        <v>5</v>
      </c>
      <c r="Q65" s="8">
        <f t="shared" si="115"/>
        <v>5</v>
      </c>
      <c r="R65" s="8">
        <f t="shared" si="115"/>
        <v>5</v>
      </c>
      <c r="S65" s="8">
        <f t="shared" si="115"/>
        <v>5</v>
      </c>
      <c r="T65" s="8">
        <v>4</v>
      </c>
      <c r="U65" s="8">
        <f t="shared" si="115"/>
        <v>6</v>
      </c>
      <c r="V65" s="8">
        <f t="shared" si="115"/>
        <v>6</v>
      </c>
      <c r="W65" s="8">
        <f t="shared" si="115"/>
        <v>6</v>
      </c>
      <c r="X65" s="8">
        <f t="shared" si="115"/>
        <v>6</v>
      </c>
      <c r="Y65" s="8">
        <f t="shared" si="115"/>
        <v>6</v>
      </c>
      <c r="Z65" s="8">
        <v>5</v>
      </c>
      <c r="AA65" s="8">
        <f t="shared" si="115"/>
        <v>5</v>
      </c>
      <c r="AB65" s="8">
        <f t="shared" si="115"/>
        <v>5</v>
      </c>
      <c r="AC65" s="8">
        <f t="shared" si="115"/>
        <v>5</v>
      </c>
      <c r="AD65" s="8" t="str">
        <f t="shared" si="115"/>
        <v/>
      </c>
      <c r="AE65" s="8" t="str">
        <f t="shared" si="115"/>
        <v/>
      </c>
      <c r="AF65" s="8" t="str">
        <f t="shared" si="115"/>
        <v/>
      </c>
      <c r="AG65" s="8" t="str">
        <f t="shared" si="115"/>
        <v/>
      </c>
      <c r="AH65" s="8" t="str">
        <f t="shared" si="115"/>
        <v/>
      </c>
      <c r="AI65" s="8" t="str">
        <f t="shared" si="115"/>
        <v/>
      </c>
      <c r="AJ65" s="8" t="str">
        <f t="shared" si="115"/>
        <v/>
      </c>
      <c r="AK65" s="8" t="str">
        <f t="shared" si="115"/>
        <v/>
      </c>
      <c r="AL65" s="8" t="str">
        <f t="shared" si="115"/>
        <v/>
      </c>
      <c r="AM65" s="8" t="str">
        <f t="shared" si="115"/>
        <v/>
      </c>
      <c r="AN65" s="8" t="str">
        <f t="shared" ref="AN65:AS65" si="116">IF(AN63="","",(AM65+AM66))</f>
        <v/>
      </c>
      <c r="AO65" s="8" t="str">
        <f t="shared" si="116"/>
        <v/>
      </c>
      <c r="AP65" s="8" t="str">
        <f t="shared" si="116"/>
        <v/>
      </c>
      <c r="AQ65" s="8" t="str">
        <f t="shared" si="116"/>
        <v/>
      </c>
      <c r="AR65" s="8" t="str">
        <f t="shared" si="116"/>
        <v/>
      </c>
      <c r="AS65" s="8" t="str">
        <f t="shared" si="116"/>
        <v/>
      </c>
    </row>
    <row r="66" spans="1:45" s="93" customFormat="1" ht="11">
      <c r="A66" s="14"/>
      <c r="B66" s="9" t="s">
        <v>7</v>
      </c>
      <c r="C66" s="74"/>
      <c r="D66" s="8"/>
      <c r="E66" s="8"/>
      <c r="F66" s="59"/>
      <c r="G66" s="8"/>
      <c r="H66" s="8"/>
      <c r="I66" s="59"/>
      <c r="J66" s="8"/>
      <c r="K66" s="8"/>
      <c r="L66" s="8"/>
      <c r="M66" s="59"/>
      <c r="N66" s="8"/>
      <c r="O66" s="8"/>
      <c r="P66" s="8"/>
      <c r="Q66" s="8"/>
      <c r="R66" s="8"/>
      <c r="S66" s="8"/>
      <c r="T66" s="8">
        <v>2</v>
      </c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s="93" customFormat="1" ht="11">
      <c r="A67" s="7"/>
      <c r="B67" s="9" t="s">
        <v>8</v>
      </c>
      <c r="C67" s="74">
        <v>800</v>
      </c>
      <c r="D67" s="8">
        <f t="shared" ref="D67:AM67" si="117">IF(D63="","",C67)</f>
        <v>800</v>
      </c>
      <c r="E67" s="8">
        <f t="shared" si="117"/>
        <v>800</v>
      </c>
      <c r="F67" s="59">
        <f t="shared" si="117"/>
        <v>800</v>
      </c>
      <c r="G67" s="8">
        <f t="shared" si="117"/>
        <v>800</v>
      </c>
      <c r="H67" s="8">
        <f t="shared" si="117"/>
        <v>800</v>
      </c>
      <c r="I67" s="59">
        <f t="shared" si="117"/>
        <v>800</v>
      </c>
      <c r="J67" s="8">
        <f t="shared" si="117"/>
        <v>800</v>
      </c>
      <c r="K67" s="8">
        <f t="shared" si="117"/>
        <v>800</v>
      </c>
      <c r="L67" s="8">
        <f t="shared" si="117"/>
        <v>800</v>
      </c>
      <c r="M67" s="59">
        <f t="shared" si="117"/>
        <v>800</v>
      </c>
      <c r="N67" s="8">
        <f t="shared" si="117"/>
        <v>800</v>
      </c>
      <c r="O67" s="8">
        <f t="shared" si="117"/>
        <v>800</v>
      </c>
      <c r="P67" s="8">
        <f t="shared" si="117"/>
        <v>800</v>
      </c>
      <c r="Q67" s="8">
        <f t="shared" si="117"/>
        <v>800</v>
      </c>
      <c r="R67" s="8">
        <f t="shared" si="117"/>
        <v>800</v>
      </c>
      <c r="S67" s="8">
        <f t="shared" si="117"/>
        <v>800</v>
      </c>
      <c r="T67" s="8">
        <f t="shared" si="117"/>
        <v>800</v>
      </c>
      <c r="U67" s="8">
        <f t="shared" si="117"/>
        <v>800</v>
      </c>
      <c r="V67" s="8">
        <f t="shared" si="117"/>
        <v>800</v>
      </c>
      <c r="W67" s="8">
        <f t="shared" si="117"/>
        <v>800</v>
      </c>
      <c r="X67" s="8">
        <f t="shared" si="117"/>
        <v>800</v>
      </c>
      <c r="Y67" s="8">
        <f t="shared" si="117"/>
        <v>800</v>
      </c>
      <c r="Z67" s="8">
        <f t="shared" si="117"/>
        <v>800</v>
      </c>
      <c r="AA67" s="8">
        <f t="shared" si="117"/>
        <v>800</v>
      </c>
      <c r="AB67" s="8">
        <f t="shared" si="117"/>
        <v>800</v>
      </c>
      <c r="AC67" s="8">
        <f t="shared" si="117"/>
        <v>800</v>
      </c>
      <c r="AD67" s="8" t="str">
        <f t="shared" si="117"/>
        <v/>
      </c>
      <c r="AE67" s="8" t="str">
        <f t="shared" si="117"/>
        <v/>
      </c>
      <c r="AF67" s="8" t="str">
        <f t="shared" si="117"/>
        <v/>
      </c>
      <c r="AG67" s="8" t="str">
        <f t="shared" si="117"/>
        <v/>
      </c>
      <c r="AH67" s="8" t="str">
        <f t="shared" si="117"/>
        <v/>
      </c>
      <c r="AI67" s="8" t="str">
        <f t="shared" si="117"/>
        <v/>
      </c>
      <c r="AJ67" s="8" t="str">
        <f t="shared" si="117"/>
        <v/>
      </c>
      <c r="AK67" s="8" t="str">
        <f t="shared" si="117"/>
        <v/>
      </c>
      <c r="AL67" s="8" t="str">
        <f t="shared" si="117"/>
        <v/>
      </c>
      <c r="AM67" s="8" t="str">
        <f t="shared" si="117"/>
        <v/>
      </c>
      <c r="AN67" s="8" t="str">
        <f t="shared" ref="AN67:AS67" si="118">IF(AN63="","",AM67)</f>
        <v/>
      </c>
      <c r="AO67" s="8" t="str">
        <f t="shared" si="118"/>
        <v/>
      </c>
      <c r="AP67" s="8" t="str">
        <f t="shared" si="118"/>
        <v/>
      </c>
      <c r="AQ67" s="8" t="str">
        <f t="shared" si="118"/>
        <v/>
      </c>
      <c r="AR67" s="8" t="str">
        <f t="shared" si="118"/>
        <v/>
      </c>
      <c r="AS67" s="8" t="str">
        <f t="shared" si="118"/>
        <v/>
      </c>
    </row>
    <row r="68" spans="1:45" s="94" customFormat="1" ht="11">
      <c r="A68" s="14" t="s">
        <v>9</v>
      </c>
      <c r="B68" s="13" t="s">
        <v>10</v>
      </c>
      <c r="C68" s="75" t="s">
        <v>38</v>
      </c>
      <c r="D68" s="12" t="str">
        <f t="shared" ref="D68:AM68" si="119">IF(D63="","",C68)</f>
        <v>PRO4</v>
      </c>
      <c r="E68" s="12" t="str">
        <f t="shared" si="119"/>
        <v>PRO4</v>
      </c>
      <c r="F68" s="131" t="str">
        <f t="shared" si="119"/>
        <v>PRO4</v>
      </c>
      <c r="G68" s="12" t="str">
        <f t="shared" si="119"/>
        <v>PRO4</v>
      </c>
      <c r="H68" s="12" t="str">
        <f t="shared" si="119"/>
        <v>PRO4</v>
      </c>
      <c r="I68" s="131" t="str">
        <f t="shared" si="119"/>
        <v>PRO4</v>
      </c>
      <c r="J68" s="12" t="str">
        <f t="shared" si="119"/>
        <v>PRO4</v>
      </c>
      <c r="K68" s="12" t="str">
        <f t="shared" si="119"/>
        <v>PRO4</v>
      </c>
      <c r="L68" s="12" t="str">
        <f t="shared" si="119"/>
        <v>PRO4</v>
      </c>
      <c r="M68" s="131" t="str">
        <f t="shared" si="119"/>
        <v>PRO4</v>
      </c>
      <c r="N68" s="12" t="str">
        <f t="shared" si="119"/>
        <v>PRO4</v>
      </c>
      <c r="O68" s="12" t="str">
        <f t="shared" si="119"/>
        <v>PRO4</v>
      </c>
      <c r="P68" s="12" t="str">
        <f t="shared" si="119"/>
        <v>PRO4</v>
      </c>
      <c r="Q68" s="12" t="str">
        <f t="shared" si="119"/>
        <v>PRO4</v>
      </c>
      <c r="R68" s="12" t="str">
        <f t="shared" si="119"/>
        <v>PRO4</v>
      </c>
      <c r="S68" s="12" t="str">
        <f t="shared" si="119"/>
        <v>PRO4</v>
      </c>
      <c r="T68" s="12" t="str">
        <f t="shared" si="119"/>
        <v>PRO4</v>
      </c>
      <c r="U68" s="12" t="str">
        <f t="shared" si="119"/>
        <v>PRO4</v>
      </c>
      <c r="V68" s="12" t="str">
        <f t="shared" si="119"/>
        <v>PRO4</v>
      </c>
      <c r="W68" s="12" t="str">
        <f t="shared" si="119"/>
        <v>PRO4</v>
      </c>
      <c r="X68" s="12" t="str">
        <f t="shared" si="119"/>
        <v>PRO4</v>
      </c>
      <c r="Y68" s="12" t="str">
        <f t="shared" si="119"/>
        <v>PRO4</v>
      </c>
      <c r="Z68" s="12" t="str">
        <f t="shared" si="119"/>
        <v>PRO4</v>
      </c>
      <c r="AA68" s="12" t="str">
        <f t="shared" si="119"/>
        <v>PRO4</v>
      </c>
      <c r="AB68" s="12" t="str">
        <f t="shared" si="119"/>
        <v>PRO4</v>
      </c>
      <c r="AC68" s="12" t="str">
        <f t="shared" si="119"/>
        <v>PRO4</v>
      </c>
      <c r="AD68" s="12" t="str">
        <f t="shared" si="119"/>
        <v/>
      </c>
      <c r="AE68" s="12" t="str">
        <f t="shared" si="119"/>
        <v/>
      </c>
      <c r="AF68" s="12" t="str">
        <f t="shared" si="119"/>
        <v/>
      </c>
      <c r="AG68" s="12" t="str">
        <f t="shared" si="119"/>
        <v/>
      </c>
      <c r="AH68" s="12" t="str">
        <f t="shared" si="119"/>
        <v/>
      </c>
      <c r="AI68" s="12" t="str">
        <f t="shared" si="119"/>
        <v/>
      </c>
      <c r="AJ68" s="12" t="str">
        <f t="shared" si="119"/>
        <v/>
      </c>
      <c r="AK68" s="12" t="str">
        <f t="shared" si="119"/>
        <v/>
      </c>
      <c r="AL68" s="12" t="str">
        <f t="shared" si="119"/>
        <v/>
      </c>
      <c r="AM68" s="12" t="str">
        <f t="shared" si="119"/>
        <v/>
      </c>
      <c r="AN68" s="12" t="str">
        <f t="shared" ref="AN68:AS68" si="120">IF(AN63="","",AM68)</f>
        <v/>
      </c>
      <c r="AO68" s="12" t="str">
        <f t="shared" si="120"/>
        <v/>
      </c>
      <c r="AP68" s="12" t="str">
        <f t="shared" si="120"/>
        <v/>
      </c>
      <c r="AQ68" s="12" t="str">
        <f t="shared" si="120"/>
        <v/>
      </c>
      <c r="AR68" s="12" t="str">
        <f t="shared" si="120"/>
        <v/>
      </c>
      <c r="AS68" s="12" t="str">
        <f t="shared" si="120"/>
        <v/>
      </c>
    </row>
    <row r="69" spans="1:45" s="93" customFormat="1" ht="11">
      <c r="A69" s="7">
        <f>AVERAGE(C70:AS70)*30*100</f>
        <v>43111.111111111109</v>
      </c>
      <c r="B69" s="9" t="s">
        <v>14</v>
      </c>
      <c r="C69" s="74"/>
      <c r="D69" s="8"/>
      <c r="E69" s="8"/>
      <c r="F69" s="59"/>
      <c r="G69" s="8"/>
      <c r="H69" s="8"/>
      <c r="I69" s="59"/>
      <c r="J69" s="8"/>
      <c r="K69" s="8"/>
      <c r="L69" s="8"/>
      <c r="M69" s="59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s="93" customFormat="1" ht="11">
      <c r="A70" s="7">
        <f>SUM(C70:AS70)</f>
        <v>388</v>
      </c>
      <c r="B70" s="6" t="s">
        <v>15</v>
      </c>
      <c r="C70" s="74">
        <v>0</v>
      </c>
      <c r="D70" s="5">
        <f t="shared" ref="D70:AM70" si="121">IF(D63="","",D63-C63)</f>
        <v>0</v>
      </c>
      <c r="E70" s="5">
        <f t="shared" si="121"/>
        <v>26</v>
      </c>
      <c r="F70" s="59">
        <f t="shared" si="121"/>
        <v>0</v>
      </c>
      <c r="G70" s="5">
        <f t="shared" si="121"/>
        <v>0</v>
      </c>
      <c r="H70" s="5">
        <f t="shared" si="121"/>
        <v>43</v>
      </c>
      <c r="I70" s="59">
        <f t="shared" si="121"/>
        <v>0</v>
      </c>
      <c r="J70" s="5">
        <f t="shared" si="121"/>
        <v>0</v>
      </c>
      <c r="K70" s="5">
        <f t="shared" si="121"/>
        <v>0</v>
      </c>
      <c r="L70" s="5">
        <f t="shared" si="121"/>
        <v>32</v>
      </c>
      <c r="M70" s="59">
        <f t="shared" si="121"/>
        <v>0</v>
      </c>
      <c r="N70" s="5">
        <f t="shared" si="121"/>
        <v>0</v>
      </c>
      <c r="O70" s="5">
        <f t="shared" si="121"/>
        <v>37</v>
      </c>
      <c r="P70" s="5">
        <f t="shared" si="121"/>
        <v>0</v>
      </c>
      <c r="Q70" s="5">
        <f t="shared" si="121"/>
        <v>0</v>
      </c>
      <c r="R70" s="5">
        <f t="shared" si="121"/>
        <v>0</v>
      </c>
      <c r="S70" s="5">
        <f t="shared" si="121"/>
        <v>0</v>
      </c>
      <c r="T70" s="5">
        <f t="shared" si="121"/>
        <v>52</v>
      </c>
      <c r="U70" s="5">
        <f t="shared" si="121"/>
        <v>0</v>
      </c>
      <c r="V70" s="5">
        <f t="shared" si="121"/>
        <v>122</v>
      </c>
      <c r="W70" s="5">
        <f t="shared" si="121"/>
        <v>0</v>
      </c>
      <c r="X70" s="5">
        <f t="shared" si="121"/>
        <v>0</v>
      </c>
      <c r="Y70" s="5">
        <f t="shared" si="121"/>
        <v>0</v>
      </c>
      <c r="Z70" s="5">
        <f t="shared" si="121"/>
        <v>36</v>
      </c>
      <c r="AA70" s="5">
        <f t="shared" si="121"/>
        <v>0</v>
      </c>
      <c r="AB70" s="5">
        <f t="shared" si="121"/>
        <v>0</v>
      </c>
      <c r="AC70" s="5">
        <f t="shared" si="121"/>
        <v>40</v>
      </c>
      <c r="AD70" s="5" t="str">
        <f t="shared" si="121"/>
        <v/>
      </c>
      <c r="AE70" s="5" t="str">
        <f t="shared" si="121"/>
        <v/>
      </c>
      <c r="AF70" s="5" t="str">
        <f t="shared" si="121"/>
        <v/>
      </c>
      <c r="AG70" s="5" t="str">
        <f t="shared" si="121"/>
        <v/>
      </c>
      <c r="AH70" s="5" t="str">
        <f t="shared" si="121"/>
        <v/>
      </c>
      <c r="AI70" s="5" t="str">
        <f t="shared" si="121"/>
        <v/>
      </c>
      <c r="AJ70" s="5" t="str">
        <f t="shared" si="121"/>
        <v/>
      </c>
      <c r="AK70" s="5" t="str">
        <f t="shared" si="121"/>
        <v/>
      </c>
      <c r="AL70" s="5" t="str">
        <f t="shared" si="121"/>
        <v/>
      </c>
      <c r="AM70" s="5" t="str">
        <f t="shared" si="121"/>
        <v/>
      </c>
      <c r="AN70" s="5" t="str">
        <f t="shared" ref="AN70:AS70" si="122">IF(AN63="","",AN63-AM63)</f>
        <v/>
      </c>
      <c r="AO70" s="5" t="str">
        <f t="shared" si="122"/>
        <v/>
      </c>
      <c r="AP70" s="5" t="str">
        <f t="shared" si="122"/>
        <v/>
      </c>
      <c r="AQ70" s="5" t="str">
        <f t="shared" si="122"/>
        <v/>
      </c>
      <c r="AR70" s="5" t="str">
        <f t="shared" si="122"/>
        <v/>
      </c>
      <c r="AS70" s="5" t="str">
        <f t="shared" si="122"/>
        <v/>
      </c>
    </row>
    <row r="71" spans="1:45" s="93" customFormat="1" ht="11">
      <c r="A71" s="7">
        <f>SUM(C71:AS71)</f>
        <v>5</v>
      </c>
      <c r="B71" s="6" t="s">
        <v>16</v>
      </c>
      <c r="C71" s="74">
        <v>0</v>
      </c>
      <c r="D71" s="5">
        <f t="shared" ref="D71:AM71" si="123">IF(D64="","",D64-C64)</f>
        <v>0</v>
      </c>
      <c r="E71" s="5">
        <f t="shared" si="123"/>
        <v>0</v>
      </c>
      <c r="F71" s="59">
        <f t="shared" si="123"/>
        <v>0</v>
      </c>
      <c r="G71" s="5">
        <f t="shared" si="123"/>
        <v>0</v>
      </c>
      <c r="H71" s="5">
        <f t="shared" si="123"/>
        <v>0</v>
      </c>
      <c r="I71" s="59">
        <f t="shared" si="123"/>
        <v>0</v>
      </c>
      <c r="J71" s="5">
        <f t="shared" si="123"/>
        <v>0</v>
      </c>
      <c r="K71" s="5">
        <f t="shared" si="123"/>
        <v>0</v>
      </c>
      <c r="L71" s="5">
        <f t="shared" si="123"/>
        <v>0</v>
      </c>
      <c r="M71" s="59">
        <f t="shared" si="123"/>
        <v>0</v>
      </c>
      <c r="N71" s="5">
        <f t="shared" si="123"/>
        <v>0</v>
      </c>
      <c r="O71" s="5">
        <f t="shared" si="123"/>
        <v>0</v>
      </c>
      <c r="P71" s="5">
        <f t="shared" si="123"/>
        <v>0</v>
      </c>
      <c r="Q71" s="5">
        <f t="shared" si="123"/>
        <v>0</v>
      </c>
      <c r="R71" s="5">
        <f t="shared" si="123"/>
        <v>0</v>
      </c>
      <c r="S71" s="5">
        <f t="shared" si="123"/>
        <v>0</v>
      </c>
      <c r="T71" s="5">
        <f t="shared" si="123"/>
        <v>1</v>
      </c>
      <c r="U71" s="5">
        <f t="shared" si="123"/>
        <v>0</v>
      </c>
      <c r="V71" s="5">
        <f t="shared" si="123"/>
        <v>2</v>
      </c>
      <c r="W71" s="5">
        <f t="shared" si="123"/>
        <v>0</v>
      </c>
      <c r="X71" s="5">
        <f t="shared" si="123"/>
        <v>0</v>
      </c>
      <c r="Y71" s="5">
        <f t="shared" si="123"/>
        <v>0</v>
      </c>
      <c r="Z71" s="5">
        <f t="shared" si="123"/>
        <v>1</v>
      </c>
      <c r="AA71" s="5">
        <f t="shared" si="123"/>
        <v>0</v>
      </c>
      <c r="AB71" s="5">
        <f t="shared" si="123"/>
        <v>0</v>
      </c>
      <c r="AC71" s="5">
        <f t="shared" si="123"/>
        <v>1</v>
      </c>
      <c r="AD71" s="5" t="str">
        <f t="shared" si="123"/>
        <v/>
      </c>
      <c r="AE71" s="5" t="str">
        <f t="shared" si="123"/>
        <v/>
      </c>
      <c r="AF71" s="5" t="str">
        <f t="shared" si="123"/>
        <v/>
      </c>
      <c r="AG71" s="5" t="str">
        <f t="shared" si="123"/>
        <v/>
      </c>
      <c r="AH71" s="5" t="str">
        <f t="shared" si="123"/>
        <v/>
      </c>
      <c r="AI71" s="5" t="str">
        <f t="shared" si="123"/>
        <v/>
      </c>
      <c r="AJ71" s="5" t="str">
        <f t="shared" si="123"/>
        <v/>
      </c>
      <c r="AK71" s="5" t="str">
        <f t="shared" si="123"/>
        <v/>
      </c>
      <c r="AL71" s="5" t="str">
        <f t="shared" si="123"/>
        <v/>
      </c>
      <c r="AM71" s="5" t="str">
        <f t="shared" si="123"/>
        <v/>
      </c>
      <c r="AN71" s="5" t="str">
        <f t="shared" ref="AN71:AS71" si="124">IF(AN64="","",AN64-AM64)</f>
        <v/>
      </c>
      <c r="AO71" s="5" t="str">
        <f t="shared" si="124"/>
        <v/>
      </c>
      <c r="AP71" s="5" t="str">
        <f t="shared" si="124"/>
        <v/>
      </c>
      <c r="AQ71" s="5" t="str">
        <f t="shared" si="124"/>
        <v/>
      </c>
      <c r="AR71" s="5" t="str">
        <f t="shared" si="124"/>
        <v/>
      </c>
      <c r="AS71" s="5" t="str">
        <f t="shared" si="124"/>
        <v/>
      </c>
    </row>
    <row r="72" spans="1:45" s="93" customFormat="1" ht="11">
      <c r="A72" s="7">
        <f>SUM(C72:AS72)</f>
        <v>2</v>
      </c>
      <c r="B72" s="6" t="s">
        <v>17</v>
      </c>
      <c r="C72" s="74">
        <v>0</v>
      </c>
      <c r="D72" s="5">
        <f t="shared" ref="D72:AM72" si="125">IF(D65="","",C65+C66-D65)</f>
        <v>0</v>
      </c>
      <c r="E72" s="5">
        <f t="shared" si="125"/>
        <v>0</v>
      </c>
      <c r="F72" s="59">
        <f t="shared" si="125"/>
        <v>0</v>
      </c>
      <c r="G72" s="5">
        <f t="shared" si="125"/>
        <v>0</v>
      </c>
      <c r="H72" s="5">
        <f t="shared" si="125"/>
        <v>0</v>
      </c>
      <c r="I72" s="59">
        <f t="shared" si="125"/>
        <v>0</v>
      </c>
      <c r="J72" s="5">
        <f t="shared" si="125"/>
        <v>0</v>
      </c>
      <c r="K72" s="5">
        <f t="shared" si="125"/>
        <v>0</v>
      </c>
      <c r="L72" s="5">
        <f t="shared" si="125"/>
        <v>0</v>
      </c>
      <c r="M72" s="59">
        <f t="shared" si="125"/>
        <v>0</v>
      </c>
      <c r="N72" s="5">
        <f t="shared" si="125"/>
        <v>0</v>
      </c>
      <c r="O72" s="5">
        <f t="shared" si="125"/>
        <v>0</v>
      </c>
      <c r="P72" s="5">
        <f t="shared" si="125"/>
        <v>0</v>
      </c>
      <c r="Q72" s="5">
        <f t="shared" si="125"/>
        <v>0</v>
      </c>
      <c r="R72" s="5">
        <f t="shared" si="125"/>
        <v>0</v>
      </c>
      <c r="S72" s="5">
        <f t="shared" si="125"/>
        <v>0</v>
      </c>
      <c r="T72" s="5">
        <f t="shared" si="125"/>
        <v>1</v>
      </c>
      <c r="U72" s="5">
        <f t="shared" si="125"/>
        <v>0</v>
      </c>
      <c r="V72" s="5">
        <f t="shared" si="125"/>
        <v>0</v>
      </c>
      <c r="W72" s="5">
        <f t="shared" si="125"/>
        <v>0</v>
      </c>
      <c r="X72" s="5">
        <f t="shared" si="125"/>
        <v>0</v>
      </c>
      <c r="Y72" s="5">
        <f t="shared" si="125"/>
        <v>0</v>
      </c>
      <c r="Z72" s="5">
        <f t="shared" si="125"/>
        <v>1</v>
      </c>
      <c r="AA72" s="5">
        <f t="shared" si="125"/>
        <v>0</v>
      </c>
      <c r="AB72" s="5">
        <f t="shared" si="125"/>
        <v>0</v>
      </c>
      <c r="AC72" s="5">
        <f t="shared" si="125"/>
        <v>0</v>
      </c>
      <c r="AD72" s="5" t="str">
        <f t="shared" si="125"/>
        <v/>
      </c>
      <c r="AE72" s="5" t="str">
        <f t="shared" si="125"/>
        <v/>
      </c>
      <c r="AF72" s="5" t="str">
        <f t="shared" si="125"/>
        <v/>
      </c>
      <c r="AG72" s="5" t="str">
        <f t="shared" si="125"/>
        <v/>
      </c>
      <c r="AH72" s="5" t="str">
        <f t="shared" si="125"/>
        <v/>
      </c>
      <c r="AI72" s="5" t="str">
        <f t="shared" si="125"/>
        <v/>
      </c>
      <c r="AJ72" s="5" t="str">
        <f t="shared" si="125"/>
        <v/>
      </c>
      <c r="AK72" s="5" t="str">
        <f t="shared" si="125"/>
        <v/>
      </c>
      <c r="AL72" s="5" t="str">
        <f t="shared" si="125"/>
        <v/>
      </c>
      <c r="AM72" s="5" t="str">
        <f t="shared" si="125"/>
        <v/>
      </c>
      <c r="AN72" s="5" t="str">
        <f t="shared" ref="AN72:AS72" si="126">IF(AN65="","",AM65+AM66-AN65)</f>
        <v/>
      </c>
      <c r="AO72" s="5" t="str">
        <f t="shared" si="126"/>
        <v/>
      </c>
      <c r="AP72" s="5" t="str">
        <f t="shared" si="126"/>
        <v/>
      </c>
      <c r="AQ72" s="5" t="str">
        <f t="shared" si="126"/>
        <v/>
      </c>
      <c r="AR72" s="5" t="str">
        <f t="shared" si="126"/>
        <v/>
      </c>
      <c r="AS72" s="5" t="str">
        <f t="shared" si="126"/>
        <v/>
      </c>
    </row>
    <row r="73" spans="1:45" s="93" customFormat="1" ht="11">
      <c r="A73" s="7">
        <f>SUM(C73:AS73)</f>
        <v>1600</v>
      </c>
      <c r="B73" s="6" t="s">
        <v>18</v>
      </c>
      <c r="C73" s="74">
        <v>0</v>
      </c>
      <c r="D73" s="5">
        <f t="shared" ref="D73:AM73" si="127">IF(D63="","",D72*D67)</f>
        <v>0</v>
      </c>
      <c r="E73" s="5">
        <f t="shared" si="127"/>
        <v>0</v>
      </c>
      <c r="F73" s="59">
        <f t="shared" si="127"/>
        <v>0</v>
      </c>
      <c r="G73" s="5">
        <f t="shared" si="127"/>
        <v>0</v>
      </c>
      <c r="H73" s="5">
        <f t="shared" si="127"/>
        <v>0</v>
      </c>
      <c r="I73" s="59">
        <f t="shared" si="127"/>
        <v>0</v>
      </c>
      <c r="J73" s="5">
        <f t="shared" si="127"/>
        <v>0</v>
      </c>
      <c r="K73" s="5">
        <f t="shared" si="127"/>
        <v>0</v>
      </c>
      <c r="L73" s="5">
        <f t="shared" si="127"/>
        <v>0</v>
      </c>
      <c r="M73" s="59">
        <f t="shared" si="127"/>
        <v>0</v>
      </c>
      <c r="N73" s="5">
        <f t="shared" si="127"/>
        <v>0</v>
      </c>
      <c r="O73" s="5">
        <f t="shared" si="127"/>
        <v>0</v>
      </c>
      <c r="P73" s="5">
        <f t="shared" si="127"/>
        <v>0</v>
      </c>
      <c r="Q73" s="5">
        <f t="shared" si="127"/>
        <v>0</v>
      </c>
      <c r="R73" s="5">
        <f t="shared" si="127"/>
        <v>0</v>
      </c>
      <c r="S73" s="5">
        <f t="shared" si="127"/>
        <v>0</v>
      </c>
      <c r="T73" s="5">
        <f t="shared" si="127"/>
        <v>800</v>
      </c>
      <c r="U73" s="5">
        <f t="shared" si="127"/>
        <v>0</v>
      </c>
      <c r="V73" s="5">
        <f t="shared" si="127"/>
        <v>0</v>
      </c>
      <c r="W73" s="5">
        <f t="shared" si="127"/>
        <v>0</v>
      </c>
      <c r="X73" s="5">
        <f t="shared" si="127"/>
        <v>0</v>
      </c>
      <c r="Y73" s="5">
        <f t="shared" si="127"/>
        <v>0</v>
      </c>
      <c r="Z73" s="5">
        <f t="shared" si="127"/>
        <v>800</v>
      </c>
      <c r="AA73" s="5">
        <f t="shared" si="127"/>
        <v>0</v>
      </c>
      <c r="AB73" s="5">
        <f t="shared" si="127"/>
        <v>0</v>
      </c>
      <c r="AC73" s="5">
        <f t="shared" si="127"/>
        <v>0</v>
      </c>
      <c r="AD73" s="5" t="str">
        <f t="shared" si="127"/>
        <v/>
      </c>
      <c r="AE73" s="5" t="str">
        <f t="shared" si="127"/>
        <v/>
      </c>
      <c r="AF73" s="5" t="str">
        <f t="shared" si="127"/>
        <v/>
      </c>
      <c r="AG73" s="5" t="str">
        <f t="shared" si="127"/>
        <v/>
      </c>
      <c r="AH73" s="5" t="str">
        <f t="shared" si="127"/>
        <v/>
      </c>
      <c r="AI73" s="5" t="str">
        <f t="shared" si="127"/>
        <v/>
      </c>
      <c r="AJ73" s="5" t="str">
        <f t="shared" si="127"/>
        <v/>
      </c>
      <c r="AK73" s="5" t="str">
        <f t="shared" si="127"/>
        <v/>
      </c>
      <c r="AL73" s="5" t="str">
        <f t="shared" si="127"/>
        <v/>
      </c>
      <c r="AM73" s="5" t="str">
        <f t="shared" si="127"/>
        <v/>
      </c>
      <c r="AN73" s="5" t="str">
        <f t="shared" ref="AN73:AS73" si="128">IF(AN63="","",AN72*AN67)</f>
        <v/>
      </c>
      <c r="AO73" s="5" t="str">
        <f t="shared" si="128"/>
        <v/>
      </c>
      <c r="AP73" s="5" t="str">
        <f t="shared" si="128"/>
        <v/>
      </c>
      <c r="AQ73" s="5" t="str">
        <f t="shared" si="128"/>
        <v/>
      </c>
      <c r="AR73" s="5" t="str">
        <f t="shared" si="128"/>
        <v/>
      </c>
      <c r="AS73" s="5" t="str">
        <f t="shared" si="128"/>
        <v/>
      </c>
    </row>
    <row r="74" spans="1:45" s="93" customFormat="1" ht="12" thickBot="1">
      <c r="A74" s="4">
        <f>IF(A73="","",A73/(A70*100))</f>
        <v>4.1237113402061855E-2</v>
      </c>
      <c r="B74" s="6" t="s">
        <v>20</v>
      </c>
      <c r="C74" s="76" t="s">
        <v>21</v>
      </c>
      <c r="D74" s="18" t="str">
        <f t="shared" ref="D74:AM74" si="129">IF(D73="","",IF(D73=0,"",D73/(D70*100)))</f>
        <v/>
      </c>
      <c r="E74" s="18" t="str">
        <f t="shared" si="129"/>
        <v/>
      </c>
      <c r="F74" s="62" t="str">
        <f t="shared" si="129"/>
        <v/>
      </c>
      <c r="G74" s="18" t="str">
        <f t="shared" si="129"/>
        <v/>
      </c>
      <c r="H74" s="18" t="str">
        <f t="shared" si="129"/>
        <v/>
      </c>
      <c r="I74" s="62" t="str">
        <f t="shared" si="129"/>
        <v/>
      </c>
      <c r="J74" s="18" t="str">
        <f t="shared" si="129"/>
        <v/>
      </c>
      <c r="K74" s="18" t="str">
        <f t="shared" si="129"/>
        <v/>
      </c>
      <c r="L74" s="18" t="str">
        <f t="shared" si="129"/>
        <v/>
      </c>
      <c r="M74" s="62" t="str">
        <f t="shared" si="129"/>
        <v/>
      </c>
      <c r="N74" s="18" t="str">
        <f t="shared" si="129"/>
        <v/>
      </c>
      <c r="O74" s="18" t="str">
        <f t="shared" si="129"/>
        <v/>
      </c>
      <c r="P74" s="18" t="str">
        <f t="shared" si="129"/>
        <v/>
      </c>
      <c r="Q74" s="18" t="str">
        <f t="shared" si="129"/>
        <v/>
      </c>
      <c r="R74" s="18" t="str">
        <f t="shared" si="129"/>
        <v/>
      </c>
      <c r="S74" s="18" t="str">
        <f t="shared" si="129"/>
        <v/>
      </c>
      <c r="T74" s="18">
        <f t="shared" si="129"/>
        <v>0.15384615384615385</v>
      </c>
      <c r="U74" s="18" t="str">
        <f t="shared" si="129"/>
        <v/>
      </c>
      <c r="V74" s="18" t="str">
        <f t="shared" si="129"/>
        <v/>
      </c>
      <c r="W74" s="18" t="str">
        <f t="shared" si="129"/>
        <v/>
      </c>
      <c r="X74" s="18" t="str">
        <f t="shared" si="129"/>
        <v/>
      </c>
      <c r="Y74" s="18" t="str">
        <f t="shared" si="129"/>
        <v/>
      </c>
      <c r="Z74" s="18">
        <f t="shared" si="129"/>
        <v>0.22222222222222221</v>
      </c>
      <c r="AA74" s="18" t="str">
        <f t="shared" si="129"/>
        <v/>
      </c>
      <c r="AB74" s="18" t="str">
        <f t="shared" si="129"/>
        <v/>
      </c>
      <c r="AC74" s="18" t="str">
        <f t="shared" si="129"/>
        <v/>
      </c>
      <c r="AD74" s="18" t="str">
        <f t="shared" si="129"/>
        <v/>
      </c>
      <c r="AE74" s="18" t="str">
        <f t="shared" si="129"/>
        <v/>
      </c>
      <c r="AF74" s="18" t="str">
        <f t="shared" si="129"/>
        <v/>
      </c>
      <c r="AG74" s="18" t="str">
        <f t="shared" si="129"/>
        <v/>
      </c>
      <c r="AH74" s="18" t="str">
        <f t="shared" si="129"/>
        <v/>
      </c>
      <c r="AI74" s="18" t="str">
        <f t="shared" si="129"/>
        <v/>
      </c>
      <c r="AJ74" s="18" t="str">
        <f t="shared" si="129"/>
        <v/>
      </c>
      <c r="AK74" s="18" t="str">
        <f t="shared" si="129"/>
        <v/>
      </c>
      <c r="AL74" s="18" t="str">
        <f t="shared" si="129"/>
        <v/>
      </c>
      <c r="AM74" s="18" t="str">
        <f t="shared" si="129"/>
        <v/>
      </c>
      <c r="AN74" s="18" t="str">
        <f t="shared" ref="AN74:AS74" si="130">IF(AN73="","",IF(AN73=0,"",AN73/(AN70*100)))</f>
        <v/>
      </c>
      <c r="AO74" s="18" t="str">
        <f t="shared" si="130"/>
        <v/>
      </c>
      <c r="AP74" s="18" t="str">
        <f t="shared" si="130"/>
        <v/>
      </c>
      <c r="AQ74" s="18" t="str">
        <f t="shared" si="130"/>
        <v/>
      </c>
      <c r="AR74" s="18" t="str">
        <f t="shared" si="130"/>
        <v/>
      </c>
      <c r="AS74" s="18" t="str">
        <f t="shared" si="130"/>
        <v/>
      </c>
    </row>
    <row r="75" spans="1:45" s="93" customFormat="1" ht="11">
      <c r="A75" s="17" t="str">
        <f>A63</f>
        <v>天文館</v>
      </c>
      <c r="B75" s="9" t="s">
        <v>2</v>
      </c>
      <c r="C75" s="74">
        <v>11448</v>
      </c>
      <c r="D75" s="8">
        <f>IF(D$3="","",C75)</f>
        <v>11448</v>
      </c>
      <c r="E75" s="8">
        <v>11526</v>
      </c>
      <c r="F75" s="59">
        <f>IF(F$3="","",E75)</f>
        <v>11526</v>
      </c>
      <c r="G75" s="8">
        <f>IF(G$3="","",F75)</f>
        <v>11526</v>
      </c>
      <c r="H75" s="8">
        <v>11644</v>
      </c>
      <c r="I75" s="59">
        <f t="shared" ref="I75:K76" si="131">IF(I$3="","",H75)</f>
        <v>11644</v>
      </c>
      <c r="J75" s="8">
        <f t="shared" si="131"/>
        <v>11644</v>
      </c>
      <c r="K75" s="8">
        <f t="shared" si="131"/>
        <v>11644</v>
      </c>
      <c r="L75" s="8">
        <v>11685</v>
      </c>
      <c r="M75" s="59">
        <f>IF(M$3="","",L75)</f>
        <v>11685</v>
      </c>
      <c r="N75" s="8">
        <f>IF(N$3="","",M75)</f>
        <v>11685</v>
      </c>
      <c r="O75" s="8">
        <v>11732</v>
      </c>
      <c r="P75" s="8">
        <f t="shared" ref="P75:AM75" si="132">IF(P$3="","",O75)</f>
        <v>11732</v>
      </c>
      <c r="Q75" s="8">
        <f t="shared" si="132"/>
        <v>11732</v>
      </c>
      <c r="R75" s="8">
        <f t="shared" si="132"/>
        <v>11732</v>
      </c>
      <c r="S75" s="8">
        <f t="shared" si="132"/>
        <v>11732</v>
      </c>
      <c r="T75" s="8">
        <v>11799</v>
      </c>
      <c r="U75" s="8">
        <f t="shared" si="132"/>
        <v>11799</v>
      </c>
      <c r="V75" s="8">
        <v>11925</v>
      </c>
      <c r="W75" s="8">
        <f t="shared" si="132"/>
        <v>11925</v>
      </c>
      <c r="X75" s="8">
        <f t="shared" si="132"/>
        <v>11925</v>
      </c>
      <c r="Y75" s="8">
        <f t="shared" si="132"/>
        <v>11925</v>
      </c>
      <c r="Z75" s="8">
        <v>11967</v>
      </c>
      <c r="AA75" s="8">
        <f t="shared" si="132"/>
        <v>11967</v>
      </c>
      <c r="AB75" s="8">
        <f t="shared" si="132"/>
        <v>11967</v>
      </c>
      <c r="AC75" s="8">
        <v>11996</v>
      </c>
      <c r="AD75" s="8" t="str">
        <f t="shared" si="132"/>
        <v/>
      </c>
      <c r="AE75" s="8" t="str">
        <f t="shared" si="132"/>
        <v/>
      </c>
      <c r="AF75" s="8" t="str">
        <f t="shared" si="132"/>
        <v/>
      </c>
      <c r="AG75" s="8" t="str">
        <f t="shared" si="132"/>
        <v/>
      </c>
      <c r="AH75" s="8" t="str">
        <f t="shared" si="132"/>
        <v/>
      </c>
      <c r="AI75" s="8" t="str">
        <f t="shared" si="132"/>
        <v/>
      </c>
      <c r="AJ75" s="8" t="str">
        <f t="shared" si="132"/>
        <v/>
      </c>
      <c r="AK75" s="8" t="str">
        <f t="shared" si="132"/>
        <v/>
      </c>
      <c r="AL75" s="8" t="str">
        <f t="shared" si="132"/>
        <v/>
      </c>
      <c r="AM75" s="8" t="str">
        <f t="shared" si="132"/>
        <v/>
      </c>
      <c r="AN75" s="8" t="str">
        <f t="shared" ref="AN75:AS75" si="133">IF(AN$3="","",AM75)</f>
        <v/>
      </c>
      <c r="AO75" s="8" t="str">
        <f t="shared" si="133"/>
        <v/>
      </c>
      <c r="AP75" s="8" t="str">
        <f t="shared" si="133"/>
        <v/>
      </c>
      <c r="AQ75" s="8" t="str">
        <f t="shared" si="133"/>
        <v/>
      </c>
      <c r="AR75" s="8" t="str">
        <f t="shared" si="133"/>
        <v/>
      </c>
      <c r="AS75" s="8" t="str">
        <f t="shared" si="133"/>
        <v/>
      </c>
    </row>
    <row r="76" spans="1:45" s="93" customFormat="1" ht="11">
      <c r="A76" s="16" t="str">
        <f>A64</f>
        <v>BUZZ＃2</v>
      </c>
      <c r="B76" s="9" t="s">
        <v>4</v>
      </c>
      <c r="C76" s="74">
        <v>682</v>
      </c>
      <c r="D76" s="8">
        <f>IF(D$3="","",C76)</f>
        <v>682</v>
      </c>
      <c r="E76" s="8">
        <v>684</v>
      </c>
      <c r="F76" s="59">
        <f>IF(F$3="","",E76)</f>
        <v>684</v>
      </c>
      <c r="G76" s="8">
        <f>IF(G$3="","",F76)</f>
        <v>684</v>
      </c>
      <c r="H76" s="8">
        <v>685</v>
      </c>
      <c r="I76" s="59">
        <f t="shared" si="131"/>
        <v>685</v>
      </c>
      <c r="J76" s="8">
        <f t="shared" si="131"/>
        <v>685</v>
      </c>
      <c r="K76" s="8">
        <f t="shared" si="131"/>
        <v>685</v>
      </c>
      <c r="L76" s="8">
        <v>686</v>
      </c>
      <c r="M76" s="59">
        <f>IF(M$3="","",L76)</f>
        <v>686</v>
      </c>
      <c r="N76" s="8">
        <f>IF(N$3="","",M76)</f>
        <v>686</v>
      </c>
      <c r="O76" s="8">
        <f>IF(O$3="","",N76)</f>
        <v>686</v>
      </c>
      <c r="P76" s="8">
        <f t="shared" ref="P76:AM76" si="134">IF(P$3="","",O76)</f>
        <v>686</v>
      </c>
      <c r="Q76" s="8">
        <f t="shared" si="134"/>
        <v>686</v>
      </c>
      <c r="R76" s="8">
        <f t="shared" si="134"/>
        <v>686</v>
      </c>
      <c r="S76" s="8">
        <f t="shared" si="134"/>
        <v>686</v>
      </c>
      <c r="T76" s="8">
        <v>687</v>
      </c>
      <c r="U76" s="8">
        <f t="shared" si="134"/>
        <v>687</v>
      </c>
      <c r="V76" s="8">
        <v>688</v>
      </c>
      <c r="W76" s="8">
        <f t="shared" si="134"/>
        <v>688</v>
      </c>
      <c r="X76" s="8">
        <f t="shared" si="134"/>
        <v>688</v>
      </c>
      <c r="Y76" s="8">
        <f t="shared" si="134"/>
        <v>688</v>
      </c>
      <c r="Z76" s="8">
        <v>689</v>
      </c>
      <c r="AA76" s="8">
        <f t="shared" si="134"/>
        <v>689</v>
      </c>
      <c r="AB76" s="8">
        <f t="shared" si="134"/>
        <v>689</v>
      </c>
      <c r="AC76" s="8">
        <v>690</v>
      </c>
      <c r="AD76" s="8" t="str">
        <f t="shared" si="134"/>
        <v/>
      </c>
      <c r="AE76" s="8" t="str">
        <f t="shared" si="134"/>
        <v/>
      </c>
      <c r="AF76" s="8" t="str">
        <f t="shared" si="134"/>
        <v/>
      </c>
      <c r="AG76" s="8" t="str">
        <f t="shared" si="134"/>
        <v/>
      </c>
      <c r="AH76" s="8" t="str">
        <f t="shared" si="134"/>
        <v/>
      </c>
      <c r="AI76" s="8" t="str">
        <f t="shared" si="134"/>
        <v/>
      </c>
      <c r="AJ76" s="8" t="str">
        <f t="shared" si="134"/>
        <v/>
      </c>
      <c r="AK76" s="8" t="str">
        <f t="shared" si="134"/>
        <v/>
      </c>
      <c r="AL76" s="8" t="str">
        <f t="shared" si="134"/>
        <v/>
      </c>
      <c r="AM76" s="8" t="str">
        <f t="shared" si="134"/>
        <v/>
      </c>
      <c r="AN76" s="8" t="str">
        <f t="shared" ref="AN76:AS76" si="135">IF(AN$3="","",AM76)</f>
        <v/>
      </c>
      <c r="AO76" s="8" t="str">
        <f t="shared" si="135"/>
        <v/>
      </c>
      <c r="AP76" s="8" t="str">
        <f t="shared" si="135"/>
        <v/>
      </c>
      <c r="AQ76" s="8" t="str">
        <f t="shared" si="135"/>
        <v/>
      </c>
      <c r="AR76" s="8" t="str">
        <f t="shared" si="135"/>
        <v/>
      </c>
      <c r="AS76" s="8" t="str">
        <f t="shared" si="135"/>
        <v/>
      </c>
    </row>
    <row r="77" spans="1:45" s="93" customFormat="1" ht="11">
      <c r="A77" s="15">
        <v>3</v>
      </c>
      <c r="B77" s="9" t="s">
        <v>5</v>
      </c>
      <c r="C77" s="74">
        <v>3</v>
      </c>
      <c r="D77" s="8">
        <f>IF(D75="","",(C77+C78))</f>
        <v>3</v>
      </c>
      <c r="E77" s="8">
        <v>2</v>
      </c>
      <c r="F77" s="59">
        <f>IF(F75="","",(E77+E78))</f>
        <v>3</v>
      </c>
      <c r="G77" s="8">
        <f>IF(G75="","",(F77+F78))</f>
        <v>3</v>
      </c>
      <c r="H77" s="8">
        <v>1</v>
      </c>
      <c r="I77" s="59">
        <f>IF(I75="","",(H77+H78))</f>
        <v>6</v>
      </c>
      <c r="J77" s="8">
        <f>IF(J75="","",(I77+I78))</f>
        <v>6</v>
      </c>
      <c r="K77" s="8">
        <f>IF(K75="","",(J77+J78))</f>
        <v>6</v>
      </c>
      <c r="L77" s="8">
        <v>5</v>
      </c>
      <c r="M77" s="59">
        <f t="shared" ref="M77:AM77" si="136">IF(M75="","",(L77+L78))</f>
        <v>5</v>
      </c>
      <c r="N77" s="8">
        <f t="shared" si="136"/>
        <v>5</v>
      </c>
      <c r="O77" s="8">
        <f t="shared" si="136"/>
        <v>5</v>
      </c>
      <c r="P77" s="8">
        <f t="shared" si="136"/>
        <v>5</v>
      </c>
      <c r="Q77" s="8">
        <f t="shared" si="136"/>
        <v>5</v>
      </c>
      <c r="R77" s="8">
        <f t="shared" si="136"/>
        <v>5</v>
      </c>
      <c r="S77" s="8">
        <f t="shared" si="136"/>
        <v>5</v>
      </c>
      <c r="T77" s="8">
        <f t="shared" si="136"/>
        <v>5</v>
      </c>
      <c r="U77" s="8">
        <f t="shared" si="136"/>
        <v>5</v>
      </c>
      <c r="V77" s="8">
        <v>4</v>
      </c>
      <c r="W77" s="8">
        <f t="shared" si="136"/>
        <v>4</v>
      </c>
      <c r="X77" s="8">
        <f t="shared" si="136"/>
        <v>4</v>
      </c>
      <c r="Y77" s="8">
        <f t="shared" si="136"/>
        <v>4</v>
      </c>
      <c r="Z77" s="8">
        <v>3</v>
      </c>
      <c r="AA77" s="8">
        <f t="shared" si="136"/>
        <v>6</v>
      </c>
      <c r="AB77" s="8">
        <f t="shared" si="136"/>
        <v>6</v>
      </c>
      <c r="AC77" s="8">
        <v>5</v>
      </c>
      <c r="AD77" s="8" t="str">
        <f t="shared" si="136"/>
        <v/>
      </c>
      <c r="AE77" s="8" t="str">
        <f t="shared" si="136"/>
        <v/>
      </c>
      <c r="AF77" s="8" t="str">
        <f t="shared" si="136"/>
        <v/>
      </c>
      <c r="AG77" s="8" t="str">
        <f t="shared" si="136"/>
        <v/>
      </c>
      <c r="AH77" s="8" t="str">
        <f t="shared" si="136"/>
        <v/>
      </c>
      <c r="AI77" s="8" t="str">
        <f t="shared" si="136"/>
        <v/>
      </c>
      <c r="AJ77" s="8" t="str">
        <f t="shared" si="136"/>
        <v/>
      </c>
      <c r="AK77" s="8" t="str">
        <f t="shared" si="136"/>
        <v/>
      </c>
      <c r="AL77" s="8" t="str">
        <f t="shared" si="136"/>
        <v/>
      </c>
      <c r="AM77" s="8" t="str">
        <f t="shared" si="136"/>
        <v/>
      </c>
      <c r="AN77" s="8" t="str">
        <f t="shared" ref="AN77:AS77" si="137">IF(AN75="","",(AM77+AM78))</f>
        <v/>
      </c>
      <c r="AO77" s="8" t="str">
        <f t="shared" si="137"/>
        <v/>
      </c>
      <c r="AP77" s="8" t="str">
        <f t="shared" si="137"/>
        <v/>
      </c>
      <c r="AQ77" s="8" t="str">
        <f t="shared" si="137"/>
        <v/>
      </c>
      <c r="AR77" s="8" t="str">
        <f t="shared" si="137"/>
        <v/>
      </c>
      <c r="AS77" s="8" t="str">
        <f t="shared" si="137"/>
        <v/>
      </c>
    </row>
    <row r="78" spans="1:45" s="93" customFormat="1" ht="11">
      <c r="A78" s="14"/>
      <c r="B78" s="9" t="s">
        <v>7</v>
      </c>
      <c r="C78" s="74"/>
      <c r="D78" s="8"/>
      <c r="E78" s="8">
        <v>1</v>
      </c>
      <c r="F78" s="59"/>
      <c r="G78" s="8"/>
      <c r="H78" s="8">
        <v>5</v>
      </c>
      <c r="I78" s="59"/>
      <c r="J78" s="8"/>
      <c r="K78" s="8"/>
      <c r="L78" s="8"/>
      <c r="M78" s="59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>
        <v>3</v>
      </c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s="93" customFormat="1" ht="11">
      <c r="A79" s="7"/>
      <c r="B79" s="9" t="s">
        <v>8</v>
      </c>
      <c r="C79" s="74">
        <v>800</v>
      </c>
      <c r="D79" s="8">
        <f t="shared" ref="D79:AM79" si="138">IF(D75="","",C79)</f>
        <v>800</v>
      </c>
      <c r="E79" s="8">
        <f t="shared" si="138"/>
        <v>800</v>
      </c>
      <c r="F79" s="59">
        <f t="shared" si="138"/>
        <v>800</v>
      </c>
      <c r="G79" s="8">
        <f t="shared" si="138"/>
        <v>800</v>
      </c>
      <c r="H79" s="8">
        <f t="shared" si="138"/>
        <v>800</v>
      </c>
      <c r="I79" s="59">
        <f t="shared" si="138"/>
        <v>800</v>
      </c>
      <c r="J79" s="8">
        <f t="shared" si="138"/>
        <v>800</v>
      </c>
      <c r="K79" s="8">
        <f t="shared" si="138"/>
        <v>800</v>
      </c>
      <c r="L79" s="8">
        <f t="shared" si="138"/>
        <v>800</v>
      </c>
      <c r="M79" s="59">
        <f t="shared" si="138"/>
        <v>800</v>
      </c>
      <c r="N79" s="8">
        <f t="shared" si="138"/>
        <v>800</v>
      </c>
      <c r="O79" s="8">
        <f t="shared" si="138"/>
        <v>800</v>
      </c>
      <c r="P79" s="8">
        <f t="shared" si="138"/>
        <v>800</v>
      </c>
      <c r="Q79" s="8">
        <f t="shared" si="138"/>
        <v>800</v>
      </c>
      <c r="R79" s="8">
        <f t="shared" si="138"/>
        <v>800</v>
      </c>
      <c r="S79" s="8">
        <f t="shared" si="138"/>
        <v>800</v>
      </c>
      <c r="T79" s="8">
        <f t="shared" si="138"/>
        <v>800</v>
      </c>
      <c r="U79" s="8">
        <f t="shared" si="138"/>
        <v>800</v>
      </c>
      <c r="V79" s="8">
        <f t="shared" si="138"/>
        <v>800</v>
      </c>
      <c r="W79" s="8">
        <f t="shared" si="138"/>
        <v>800</v>
      </c>
      <c r="X79" s="8">
        <f t="shared" si="138"/>
        <v>800</v>
      </c>
      <c r="Y79" s="8">
        <f t="shared" si="138"/>
        <v>800</v>
      </c>
      <c r="Z79" s="8">
        <f t="shared" si="138"/>
        <v>800</v>
      </c>
      <c r="AA79" s="8">
        <f t="shared" si="138"/>
        <v>800</v>
      </c>
      <c r="AB79" s="8">
        <f t="shared" si="138"/>
        <v>800</v>
      </c>
      <c r="AC79" s="8">
        <f t="shared" si="138"/>
        <v>800</v>
      </c>
      <c r="AD79" s="8" t="str">
        <f t="shared" si="138"/>
        <v/>
      </c>
      <c r="AE79" s="8" t="str">
        <f t="shared" si="138"/>
        <v/>
      </c>
      <c r="AF79" s="8" t="str">
        <f t="shared" si="138"/>
        <v/>
      </c>
      <c r="AG79" s="8" t="str">
        <f t="shared" si="138"/>
        <v/>
      </c>
      <c r="AH79" s="8" t="str">
        <f t="shared" si="138"/>
        <v/>
      </c>
      <c r="AI79" s="8" t="str">
        <f t="shared" si="138"/>
        <v/>
      </c>
      <c r="AJ79" s="8" t="str">
        <f t="shared" si="138"/>
        <v/>
      </c>
      <c r="AK79" s="8" t="str">
        <f t="shared" si="138"/>
        <v/>
      </c>
      <c r="AL79" s="8" t="str">
        <f t="shared" si="138"/>
        <v/>
      </c>
      <c r="AM79" s="8" t="str">
        <f t="shared" si="138"/>
        <v/>
      </c>
      <c r="AN79" s="8" t="str">
        <f t="shared" ref="AN79:AS79" si="139">IF(AN75="","",AM79)</f>
        <v/>
      </c>
      <c r="AO79" s="8" t="str">
        <f t="shared" si="139"/>
        <v/>
      </c>
      <c r="AP79" s="8" t="str">
        <f t="shared" si="139"/>
        <v/>
      </c>
      <c r="AQ79" s="8" t="str">
        <f t="shared" si="139"/>
        <v/>
      </c>
      <c r="AR79" s="8" t="str">
        <f t="shared" si="139"/>
        <v/>
      </c>
      <c r="AS79" s="8" t="str">
        <f t="shared" si="139"/>
        <v/>
      </c>
    </row>
    <row r="80" spans="1:45" s="94" customFormat="1" ht="11">
      <c r="A80" s="14" t="s">
        <v>9</v>
      </c>
      <c r="B80" s="13" t="s">
        <v>10</v>
      </c>
      <c r="C80" s="75" t="s">
        <v>71</v>
      </c>
      <c r="D80" s="12" t="str">
        <f t="shared" ref="D80:AM80" si="140">IF(D75="","",C80)</f>
        <v>ギャルキティフェイスポーチ</v>
      </c>
      <c r="E80" s="12" t="str">
        <f t="shared" si="140"/>
        <v>ギャルキティフェイスポーチ</v>
      </c>
      <c r="F80" s="131" t="str">
        <f t="shared" si="140"/>
        <v>ギャルキティフェイスポーチ</v>
      </c>
      <c r="G80" s="12" t="str">
        <f t="shared" si="140"/>
        <v>ギャルキティフェイスポーチ</v>
      </c>
      <c r="H80" s="12" t="str">
        <f t="shared" si="140"/>
        <v>ギャルキティフェイスポーチ</v>
      </c>
      <c r="I80" s="131" t="str">
        <f t="shared" si="140"/>
        <v>ギャルキティフェイスポーチ</v>
      </c>
      <c r="J80" s="12" t="str">
        <f t="shared" si="140"/>
        <v>ギャルキティフェイスポーチ</v>
      </c>
      <c r="K80" s="12" t="str">
        <f t="shared" si="140"/>
        <v>ギャルキティフェイスポーチ</v>
      </c>
      <c r="L80" s="12" t="str">
        <f t="shared" si="140"/>
        <v>ギャルキティフェイスポーチ</v>
      </c>
      <c r="M80" s="131" t="str">
        <f t="shared" si="140"/>
        <v>ギャルキティフェイスポーチ</v>
      </c>
      <c r="N80" s="12" t="str">
        <f t="shared" si="140"/>
        <v>ギャルキティフェイスポーチ</v>
      </c>
      <c r="O80" s="12" t="str">
        <f t="shared" si="140"/>
        <v>ギャルキティフェイスポーチ</v>
      </c>
      <c r="P80" s="12" t="str">
        <f t="shared" si="140"/>
        <v>ギャルキティフェイスポーチ</v>
      </c>
      <c r="Q80" s="12" t="str">
        <f t="shared" si="140"/>
        <v>ギャルキティフェイスポーチ</v>
      </c>
      <c r="R80" s="12" t="str">
        <f t="shared" si="140"/>
        <v>ギャルキティフェイスポーチ</v>
      </c>
      <c r="S80" s="12" t="str">
        <f t="shared" si="140"/>
        <v>ギャルキティフェイスポーチ</v>
      </c>
      <c r="T80" s="12" t="str">
        <f t="shared" si="140"/>
        <v>ギャルキティフェイスポーチ</v>
      </c>
      <c r="U80" s="12" t="str">
        <f t="shared" si="140"/>
        <v>ギャルキティフェイスポーチ</v>
      </c>
      <c r="V80" s="12" t="str">
        <f t="shared" si="140"/>
        <v>ギャルキティフェイスポーチ</v>
      </c>
      <c r="W80" s="12" t="str">
        <f t="shared" si="140"/>
        <v>ギャルキティフェイスポーチ</v>
      </c>
      <c r="X80" s="12" t="str">
        <f t="shared" si="140"/>
        <v>ギャルキティフェイスポーチ</v>
      </c>
      <c r="Y80" s="12" t="str">
        <f t="shared" si="140"/>
        <v>ギャルキティフェイスポーチ</v>
      </c>
      <c r="Z80" s="12" t="str">
        <f t="shared" si="140"/>
        <v>ギャルキティフェイスポーチ</v>
      </c>
      <c r="AA80" s="12" t="str">
        <f t="shared" si="140"/>
        <v>ギャルキティフェイスポーチ</v>
      </c>
      <c r="AB80" s="12" t="str">
        <f t="shared" si="140"/>
        <v>ギャルキティフェイスポーチ</v>
      </c>
      <c r="AC80" s="12" t="str">
        <f t="shared" si="140"/>
        <v>ギャルキティフェイスポーチ</v>
      </c>
      <c r="AD80" s="12" t="str">
        <f t="shared" si="140"/>
        <v/>
      </c>
      <c r="AE80" s="12" t="str">
        <f t="shared" si="140"/>
        <v/>
      </c>
      <c r="AF80" s="12" t="str">
        <f t="shared" si="140"/>
        <v/>
      </c>
      <c r="AG80" s="12" t="str">
        <f t="shared" si="140"/>
        <v/>
      </c>
      <c r="AH80" s="12" t="str">
        <f t="shared" si="140"/>
        <v/>
      </c>
      <c r="AI80" s="12" t="str">
        <f t="shared" si="140"/>
        <v/>
      </c>
      <c r="AJ80" s="12" t="str">
        <f t="shared" si="140"/>
        <v/>
      </c>
      <c r="AK80" s="12" t="str">
        <f t="shared" si="140"/>
        <v/>
      </c>
      <c r="AL80" s="12" t="str">
        <f t="shared" si="140"/>
        <v/>
      </c>
      <c r="AM80" s="12" t="str">
        <f t="shared" si="140"/>
        <v/>
      </c>
      <c r="AN80" s="12" t="str">
        <f t="shared" ref="AN80:AS80" si="141">IF(AN75="","",AM80)</f>
        <v/>
      </c>
      <c r="AO80" s="12" t="str">
        <f t="shared" si="141"/>
        <v/>
      </c>
      <c r="AP80" s="12" t="str">
        <f t="shared" si="141"/>
        <v/>
      </c>
      <c r="AQ80" s="12" t="str">
        <f t="shared" si="141"/>
        <v/>
      </c>
      <c r="AR80" s="12" t="str">
        <f t="shared" si="141"/>
        <v/>
      </c>
      <c r="AS80" s="12" t="str">
        <f t="shared" si="141"/>
        <v/>
      </c>
    </row>
    <row r="81" spans="1:45" s="93" customFormat="1" ht="11">
      <c r="A81" s="7">
        <f>AVERAGE(C82:AS82)*30*100</f>
        <v>60888.888888888891</v>
      </c>
      <c r="B81" s="9" t="s">
        <v>14</v>
      </c>
      <c r="C81" s="74"/>
      <c r="D81" s="8"/>
      <c r="E81" s="8"/>
      <c r="F81" s="59"/>
      <c r="G81" s="8"/>
      <c r="H81" s="8"/>
      <c r="I81" s="59"/>
      <c r="J81" s="8"/>
      <c r="K81" s="8"/>
      <c r="L81" s="8"/>
      <c r="M81" s="59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s="93" customFormat="1" ht="11">
      <c r="A82" s="7">
        <f>SUM(C82:AS82)</f>
        <v>548</v>
      </c>
      <c r="B82" s="6" t="s">
        <v>15</v>
      </c>
      <c r="C82" s="74">
        <v>0</v>
      </c>
      <c r="D82" s="5">
        <f t="shared" ref="D82:AM82" si="142">IF(D75="","",D75-C75)</f>
        <v>0</v>
      </c>
      <c r="E82" s="5">
        <f t="shared" si="142"/>
        <v>78</v>
      </c>
      <c r="F82" s="59">
        <f t="shared" si="142"/>
        <v>0</v>
      </c>
      <c r="G82" s="5">
        <f t="shared" si="142"/>
        <v>0</v>
      </c>
      <c r="H82" s="5">
        <f t="shared" si="142"/>
        <v>118</v>
      </c>
      <c r="I82" s="59">
        <f t="shared" si="142"/>
        <v>0</v>
      </c>
      <c r="J82" s="5">
        <f t="shared" si="142"/>
        <v>0</v>
      </c>
      <c r="K82" s="5">
        <f t="shared" si="142"/>
        <v>0</v>
      </c>
      <c r="L82" s="5">
        <f t="shared" si="142"/>
        <v>41</v>
      </c>
      <c r="M82" s="59">
        <f t="shared" si="142"/>
        <v>0</v>
      </c>
      <c r="N82" s="5">
        <f t="shared" si="142"/>
        <v>0</v>
      </c>
      <c r="O82" s="5">
        <f t="shared" si="142"/>
        <v>47</v>
      </c>
      <c r="P82" s="5">
        <f t="shared" si="142"/>
        <v>0</v>
      </c>
      <c r="Q82" s="5">
        <f t="shared" si="142"/>
        <v>0</v>
      </c>
      <c r="R82" s="5">
        <f t="shared" si="142"/>
        <v>0</v>
      </c>
      <c r="S82" s="5">
        <f t="shared" si="142"/>
        <v>0</v>
      </c>
      <c r="T82" s="5">
        <f t="shared" si="142"/>
        <v>67</v>
      </c>
      <c r="U82" s="5">
        <f t="shared" si="142"/>
        <v>0</v>
      </c>
      <c r="V82" s="5">
        <f t="shared" si="142"/>
        <v>126</v>
      </c>
      <c r="W82" s="5">
        <f t="shared" si="142"/>
        <v>0</v>
      </c>
      <c r="X82" s="5">
        <f t="shared" si="142"/>
        <v>0</v>
      </c>
      <c r="Y82" s="5">
        <f t="shared" si="142"/>
        <v>0</v>
      </c>
      <c r="Z82" s="5">
        <f t="shared" si="142"/>
        <v>42</v>
      </c>
      <c r="AA82" s="5">
        <f t="shared" si="142"/>
        <v>0</v>
      </c>
      <c r="AB82" s="5">
        <f t="shared" si="142"/>
        <v>0</v>
      </c>
      <c r="AC82" s="5">
        <f t="shared" si="142"/>
        <v>29</v>
      </c>
      <c r="AD82" s="5" t="str">
        <f t="shared" si="142"/>
        <v/>
      </c>
      <c r="AE82" s="5" t="str">
        <f t="shared" si="142"/>
        <v/>
      </c>
      <c r="AF82" s="5" t="str">
        <f t="shared" si="142"/>
        <v/>
      </c>
      <c r="AG82" s="5" t="str">
        <f t="shared" si="142"/>
        <v/>
      </c>
      <c r="AH82" s="5" t="str">
        <f t="shared" si="142"/>
        <v/>
      </c>
      <c r="AI82" s="5" t="str">
        <f t="shared" si="142"/>
        <v/>
      </c>
      <c r="AJ82" s="5" t="str">
        <f t="shared" si="142"/>
        <v/>
      </c>
      <c r="AK82" s="5" t="str">
        <f t="shared" si="142"/>
        <v/>
      </c>
      <c r="AL82" s="5" t="str">
        <f t="shared" si="142"/>
        <v/>
      </c>
      <c r="AM82" s="5" t="str">
        <f t="shared" si="142"/>
        <v/>
      </c>
      <c r="AN82" s="5" t="str">
        <f t="shared" ref="AN82:AS82" si="143">IF(AN75="","",AN75-AM75)</f>
        <v/>
      </c>
      <c r="AO82" s="5" t="str">
        <f t="shared" si="143"/>
        <v/>
      </c>
      <c r="AP82" s="5" t="str">
        <f t="shared" si="143"/>
        <v/>
      </c>
      <c r="AQ82" s="5" t="str">
        <f t="shared" si="143"/>
        <v/>
      </c>
      <c r="AR82" s="5" t="str">
        <f t="shared" si="143"/>
        <v/>
      </c>
      <c r="AS82" s="5" t="str">
        <f t="shared" si="143"/>
        <v/>
      </c>
    </row>
    <row r="83" spans="1:45" s="93" customFormat="1" ht="11">
      <c r="A83" s="7">
        <f>SUM(C83:AS83)</f>
        <v>8</v>
      </c>
      <c r="B83" s="6" t="s">
        <v>16</v>
      </c>
      <c r="C83" s="74">
        <v>0</v>
      </c>
      <c r="D83" s="5">
        <f t="shared" ref="D83:AM83" si="144">IF(D76="","",D76-C76)</f>
        <v>0</v>
      </c>
      <c r="E83" s="5">
        <f t="shared" si="144"/>
        <v>2</v>
      </c>
      <c r="F83" s="59">
        <f t="shared" si="144"/>
        <v>0</v>
      </c>
      <c r="G83" s="5">
        <f t="shared" si="144"/>
        <v>0</v>
      </c>
      <c r="H83" s="5">
        <f t="shared" si="144"/>
        <v>1</v>
      </c>
      <c r="I83" s="59">
        <f t="shared" si="144"/>
        <v>0</v>
      </c>
      <c r="J83" s="5">
        <f t="shared" si="144"/>
        <v>0</v>
      </c>
      <c r="K83" s="5">
        <f t="shared" si="144"/>
        <v>0</v>
      </c>
      <c r="L83" s="5">
        <f t="shared" si="144"/>
        <v>1</v>
      </c>
      <c r="M83" s="59">
        <f t="shared" si="144"/>
        <v>0</v>
      </c>
      <c r="N83" s="5">
        <f t="shared" si="144"/>
        <v>0</v>
      </c>
      <c r="O83" s="5">
        <f t="shared" si="144"/>
        <v>0</v>
      </c>
      <c r="P83" s="5">
        <f t="shared" si="144"/>
        <v>0</v>
      </c>
      <c r="Q83" s="5">
        <f t="shared" si="144"/>
        <v>0</v>
      </c>
      <c r="R83" s="5">
        <f t="shared" si="144"/>
        <v>0</v>
      </c>
      <c r="S83" s="5">
        <f t="shared" si="144"/>
        <v>0</v>
      </c>
      <c r="T83" s="5">
        <f t="shared" si="144"/>
        <v>1</v>
      </c>
      <c r="U83" s="5">
        <f t="shared" si="144"/>
        <v>0</v>
      </c>
      <c r="V83" s="5">
        <f t="shared" si="144"/>
        <v>1</v>
      </c>
      <c r="W83" s="5">
        <f t="shared" si="144"/>
        <v>0</v>
      </c>
      <c r="X83" s="5">
        <f t="shared" si="144"/>
        <v>0</v>
      </c>
      <c r="Y83" s="5">
        <f t="shared" si="144"/>
        <v>0</v>
      </c>
      <c r="Z83" s="5">
        <f t="shared" si="144"/>
        <v>1</v>
      </c>
      <c r="AA83" s="5">
        <f t="shared" si="144"/>
        <v>0</v>
      </c>
      <c r="AB83" s="5">
        <f t="shared" si="144"/>
        <v>0</v>
      </c>
      <c r="AC83" s="5">
        <f t="shared" si="144"/>
        <v>1</v>
      </c>
      <c r="AD83" s="5" t="str">
        <f t="shared" si="144"/>
        <v/>
      </c>
      <c r="AE83" s="5" t="str">
        <f t="shared" si="144"/>
        <v/>
      </c>
      <c r="AF83" s="5" t="str">
        <f t="shared" si="144"/>
        <v/>
      </c>
      <c r="AG83" s="5" t="str">
        <f t="shared" si="144"/>
        <v/>
      </c>
      <c r="AH83" s="5" t="str">
        <f t="shared" si="144"/>
        <v/>
      </c>
      <c r="AI83" s="5" t="str">
        <f t="shared" si="144"/>
        <v/>
      </c>
      <c r="AJ83" s="5" t="str">
        <f t="shared" si="144"/>
        <v/>
      </c>
      <c r="AK83" s="5" t="str">
        <f t="shared" si="144"/>
        <v/>
      </c>
      <c r="AL83" s="5" t="str">
        <f t="shared" si="144"/>
        <v/>
      </c>
      <c r="AM83" s="5" t="str">
        <f t="shared" si="144"/>
        <v/>
      </c>
      <c r="AN83" s="5" t="str">
        <f t="shared" ref="AN83:AS83" si="145">IF(AN76="","",AN76-AM76)</f>
        <v/>
      </c>
      <c r="AO83" s="5" t="str">
        <f t="shared" si="145"/>
        <v/>
      </c>
      <c r="AP83" s="5" t="str">
        <f t="shared" si="145"/>
        <v/>
      </c>
      <c r="AQ83" s="5" t="str">
        <f t="shared" si="145"/>
        <v/>
      </c>
      <c r="AR83" s="5" t="str">
        <f t="shared" si="145"/>
        <v/>
      </c>
      <c r="AS83" s="5" t="str">
        <f t="shared" si="145"/>
        <v/>
      </c>
    </row>
    <row r="84" spans="1:45" s="93" customFormat="1" ht="11">
      <c r="A84" s="7">
        <f>SUM(C84:AS84)</f>
        <v>7</v>
      </c>
      <c r="B84" s="6" t="s">
        <v>17</v>
      </c>
      <c r="C84" s="74">
        <v>0</v>
      </c>
      <c r="D84" s="5">
        <f t="shared" ref="D84:AM84" si="146">IF(D77="","",C77+C78-D77)</f>
        <v>0</v>
      </c>
      <c r="E84" s="5">
        <f t="shared" si="146"/>
        <v>1</v>
      </c>
      <c r="F84" s="59">
        <f t="shared" si="146"/>
        <v>0</v>
      </c>
      <c r="G84" s="5">
        <f t="shared" si="146"/>
        <v>0</v>
      </c>
      <c r="H84" s="5">
        <f t="shared" si="146"/>
        <v>2</v>
      </c>
      <c r="I84" s="59">
        <f t="shared" si="146"/>
        <v>0</v>
      </c>
      <c r="J84" s="5">
        <f t="shared" si="146"/>
        <v>0</v>
      </c>
      <c r="K84" s="5">
        <f t="shared" si="146"/>
        <v>0</v>
      </c>
      <c r="L84" s="5">
        <f t="shared" si="146"/>
        <v>1</v>
      </c>
      <c r="M84" s="59">
        <f t="shared" si="146"/>
        <v>0</v>
      </c>
      <c r="N84" s="5">
        <f t="shared" si="146"/>
        <v>0</v>
      </c>
      <c r="O84" s="5">
        <f t="shared" si="146"/>
        <v>0</v>
      </c>
      <c r="P84" s="5">
        <f t="shared" si="146"/>
        <v>0</v>
      </c>
      <c r="Q84" s="5">
        <f t="shared" si="146"/>
        <v>0</v>
      </c>
      <c r="R84" s="5">
        <f t="shared" si="146"/>
        <v>0</v>
      </c>
      <c r="S84" s="5">
        <f t="shared" si="146"/>
        <v>0</v>
      </c>
      <c r="T84" s="5">
        <f t="shared" si="146"/>
        <v>0</v>
      </c>
      <c r="U84" s="5">
        <f t="shared" si="146"/>
        <v>0</v>
      </c>
      <c r="V84" s="5">
        <f t="shared" si="146"/>
        <v>1</v>
      </c>
      <c r="W84" s="5">
        <f t="shared" si="146"/>
        <v>0</v>
      </c>
      <c r="X84" s="5">
        <f t="shared" si="146"/>
        <v>0</v>
      </c>
      <c r="Y84" s="5">
        <f t="shared" si="146"/>
        <v>0</v>
      </c>
      <c r="Z84" s="5">
        <f t="shared" si="146"/>
        <v>1</v>
      </c>
      <c r="AA84" s="5">
        <f t="shared" si="146"/>
        <v>0</v>
      </c>
      <c r="AB84" s="5">
        <f t="shared" si="146"/>
        <v>0</v>
      </c>
      <c r="AC84" s="5">
        <f t="shared" si="146"/>
        <v>1</v>
      </c>
      <c r="AD84" s="5" t="str">
        <f t="shared" si="146"/>
        <v/>
      </c>
      <c r="AE84" s="5" t="str">
        <f t="shared" si="146"/>
        <v/>
      </c>
      <c r="AF84" s="5" t="str">
        <f t="shared" si="146"/>
        <v/>
      </c>
      <c r="AG84" s="5" t="str">
        <f t="shared" si="146"/>
        <v/>
      </c>
      <c r="AH84" s="5" t="str">
        <f t="shared" si="146"/>
        <v/>
      </c>
      <c r="AI84" s="5" t="str">
        <f t="shared" si="146"/>
        <v/>
      </c>
      <c r="AJ84" s="5" t="str">
        <f t="shared" si="146"/>
        <v/>
      </c>
      <c r="AK84" s="5" t="str">
        <f t="shared" si="146"/>
        <v/>
      </c>
      <c r="AL84" s="5" t="str">
        <f t="shared" si="146"/>
        <v/>
      </c>
      <c r="AM84" s="5" t="str">
        <f t="shared" si="146"/>
        <v/>
      </c>
      <c r="AN84" s="5" t="str">
        <f t="shared" ref="AN84:AS84" si="147">IF(AN77="","",AM77+AM78-AN77)</f>
        <v/>
      </c>
      <c r="AO84" s="5" t="str">
        <f t="shared" si="147"/>
        <v/>
      </c>
      <c r="AP84" s="5" t="str">
        <f t="shared" si="147"/>
        <v/>
      </c>
      <c r="AQ84" s="5" t="str">
        <f t="shared" si="147"/>
        <v/>
      </c>
      <c r="AR84" s="5" t="str">
        <f t="shared" si="147"/>
        <v/>
      </c>
      <c r="AS84" s="5" t="str">
        <f t="shared" si="147"/>
        <v/>
      </c>
    </row>
    <row r="85" spans="1:45" s="93" customFormat="1" ht="11">
      <c r="A85" s="7">
        <f>SUM(C85:AS85)</f>
        <v>5600</v>
      </c>
      <c r="B85" s="6" t="s">
        <v>18</v>
      </c>
      <c r="C85" s="74">
        <v>0</v>
      </c>
      <c r="D85" s="5">
        <f t="shared" ref="D85:AM85" si="148">IF(D75="","",D84*D79)</f>
        <v>0</v>
      </c>
      <c r="E85" s="5">
        <f t="shared" si="148"/>
        <v>800</v>
      </c>
      <c r="F85" s="59">
        <f t="shared" si="148"/>
        <v>0</v>
      </c>
      <c r="G85" s="5">
        <f t="shared" si="148"/>
        <v>0</v>
      </c>
      <c r="H85" s="5">
        <f t="shared" si="148"/>
        <v>1600</v>
      </c>
      <c r="I85" s="59">
        <f t="shared" si="148"/>
        <v>0</v>
      </c>
      <c r="J85" s="5">
        <f t="shared" si="148"/>
        <v>0</v>
      </c>
      <c r="K85" s="5">
        <f t="shared" si="148"/>
        <v>0</v>
      </c>
      <c r="L85" s="5">
        <f t="shared" si="148"/>
        <v>800</v>
      </c>
      <c r="M85" s="59">
        <f t="shared" si="148"/>
        <v>0</v>
      </c>
      <c r="N85" s="5">
        <f t="shared" si="148"/>
        <v>0</v>
      </c>
      <c r="O85" s="5">
        <f t="shared" si="148"/>
        <v>0</v>
      </c>
      <c r="P85" s="5">
        <f t="shared" si="148"/>
        <v>0</v>
      </c>
      <c r="Q85" s="5">
        <f t="shared" si="148"/>
        <v>0</v>
      </c>
      <c r="R85" s="5">
        <f t="shared" si="148"/>
        <v>0</v>
      </c>
      <c r="S85" s="5">
        <f t="shared" si="148"/>
        <v>0</v>
      </c>
      <c r="T85" s="5">
        <f t="shared" si="148"/>
        <v>0</v>
      </c>
      <c r="U85" s="5">
        <f t="shared" si="148"/>
        <v>0</v>
      </c>
      <c r="V85" s="5">
        <f t="shared" si="148"/>
        <v>800</v>
      </c>
      <c r="W85" s="5">
        <f t="shared" si="148"/>
        <v>0</v>
      </c>
      <c r="X85" s="5">
        <f t="shared" si="148"/>
        <v>0</v>
      </c>
      <c r="Y85" s="5">
        <f t="shared" si="148"/>
        <v>0</v>
      </c>
      <c r="Z85" s="5">
        <f t="shared" si="148"/>
        <v>800</v>
      </c>
      <c r="AA85" s="5">
        <f t="shared" si="148"/>
        <v>0</v>
      </c>
      <c r="AB85" s="5">
        <f t="shared" si="148"/>
        <v>0</v>
      </c>
      <c r="AC85" s="5">
        <f t="shared" si="148"/>
        <v>800</v>
      </c>
      <c r="AD85" s="5" t="str">
        <f t="shared" si="148"/>
        <v/>
      </c>
      <c r="AE85" s="5" t="str">
        <f t="shared" si="148"/>
        <v/>
      </c>
      <c r="AF85" s="5" t="str">
        <f t="shared" si="148"/>
        <v/>
      </c>
      <c r="AG85" s="5" t="str">
        <f t="shared" si="148"/>
        <v/>
      </c>
      <c r="AH85" s="5" t="str">
        <f t="shared" si="148"/>
        <v/>
      </c>
      <c r="AI85" s="5" t="str">
        <f t="shared" si="148"/>
        <v/>
      </c>
      <c r="AJ85" s="5" t="str">
        <f t="shared" si="148"/>
        <v/>
      </c>
      <c r="AK85" s="5" t="str">
        <f t="shared" si="148"/>
        <v/>
      </c>
      <c r="AL85" s="5" t="str">
        <f t="shared" si="148"/>
        <v/>
      </c>
      <c r="AM85" s="5" t="str">
        <f t="shared" si="148"/>
        <v/>
      </c>
      <c r="AN85" s="5" t="str">
        <f t="shared" ref="AN85:AS85" si="149">IF(AN75="","",AN84*AN79)</f>
        <v/>
      </c>
      <c r="AO85" s="5" t="str">
        <f t="shared" si="149"/>
        <v/>
      </c>
      <c r="AP85" s="5" t="str">
        <f t="shared" si="149"/>
        <v/>
      </c>
      <c r="AQ85" s="5" t="str">
        <f t="shared" si="149"/>
        <v/>
      </c>
      <c r="AR85" s="5" t="str">
        <f t="shared" si="149"/>
        <v/>
      </c>
      <c r="AS85" s="5" t="str">
        <f t="shared" si="149"/>
        <v/>
      </c>
    </row>
    <row r="86" spans="1:45" s="93" customFormat="1" ht="12" thickBot="1">
      <c r="A86" s="4">
        <f>IF(A85="","",A85/(A82*100))</f>
        <v>0.10218978102189781</v>
      </c>
      <c r="B86" s="6" t="s">
        <v>20</v>
      </c>
      <c r="C86" s="76" t="s">
        <v>21</v>
      </c>
      <c r="D86" s="18" t="str">
        <f t="shared" ref="D86:AM86" si="150">IF(D85="","",IF(D85=0,"",D85/(D82*100)))</f>
        <v/>
      </c>
      <c r="E86" s="18">
        <f t="shared" si="150"/>
        <v>0.10256410256410256</v>
      </c>
      <c r="F86" s="62" t="str">
        <f t="shared" si="150"/>
        <v/>
      </c>
      <c r="G86" s="18" t="str">
        <f t="shared" si="150"/>
        <v/>
      </c>
      <c r="H86" s="18">
        <f t="shared" si="150"/>
        <v>0.13559322033898305</v>
      </c>
      <c r="I86" s="62" t="str">
        <f t="shared" si="150"/>
        <v/>
      </c>
      <c r="J86" s="18" t="str">
        <f t="shared" si="150"/>
        <v/>
      </c>
      <c r="K86" s="18" t="str">
        <f t="shared" si="150"/>
        <v/>
      </c>
      <c r="L86" s="18">
        <f t="shared" si="150"/>
        <v>0.1951219512195122</v>
      </c>
      <c r="M86" s="62" t="str">
        <f t="shared" si="150"/>
        <v/>
      </c>
      <c r="N86" s="18" t="str">
        <f t="shared" si="150"/>
        <v/>
      </c>
      <c r="O86" s="18" t="str">
        <f t="shared" si="150"/>
        <v/>
      </c>
      <c r="P86" s="18" t="str">
        <f t="shared" si="150"/>
        <v/>
      </c>
      <c r="Q86" s="18" t="str">
        <f t="shared" si="150"/>
        <v/>
      </c>
      <c r="R86" s="18" t="str">
        <f t="shared" si="150"/>
        <v/>
      </c>
      <c r="S86" s="18" t="str">
        <f t="shared" si="150"/>
        <v/>
      </c>
      <c r="T86" s="18" t="str">
        <f t="shared" si="150"/>
        <v/>
      </c>
      <c r="U86" s="18" t="str">
        <f t="shared" si="150"/>
        <v/>
      </c>
      <c r="V86" s="18">
        <f t="shared" si="150"/>
        <v>6.3492063492063489E-2</v>
      </c>
      <c r="W86" s="18" t="str">
        <f t="shared" si="150"/>
        <v/>
      </c>
      <c r="X86" s="18" t="str">
        <f t="shared" si="150"/>
        <v/>
      </c>
      <c r="Y86" s="18" t="str">
        <f t="shared" si="150"/>
        <v/>
      </c>
      <c r="Z86" s="18">
        <f t="shared" si="150"/>
        <v>0.19047619047619047</v>
      </c>
      <c r="AA86" s="18" t="str">
        <f t="shared" si="150"/>
        <v/>
      </c>
      <c r="AB86" s="18" t="str">
        <f t="shared" si="150"/>
        <v/>
      </c>
      <c r="AC86" s="18">
        <f t="shared" si="150"/>
        <v>0.27586206896551724</v>
      </c>
      <c r="AD86" s="18" t="str">
        <f t="shared" si="150"/>
        <v/>
      </c>
      <c r="AE86" s="18" t="str">
        <f t="shared" si="150"/>
        <v/>
      </c>
      <c r="AF86" s="18" t="str">
        <f t="shared" si="150"/>
        <v/>
      </c>
      <c r="AG86" s="18" t="str">
        <f t="shared" si="150"/>
        <v/>
      </c>
      <c r="AH86" s="18" t="str">
        <f t="shared" si="150"/>
        <v/>
      </c>
      <c r="AI86" s="18" t="str">
        <f t="shared" si="150"/>
        <v/>
      </c>
      <c r="AJ86" s="18" t="str">
        <f t="shared" si="150"/>
        <v/>
      </c>
      <c r="AK86" s="18" t="str">
        <f t="shared" si="150"/>
        <v/>
      </c>
      <c r="AL86" s="18" t="str">
        <f t="shared" si="150"/>
        <v/>
      </c>
      <c r="AM86" s="18" t="str">
        <f t="shared" si="150"/>
        <v/>
      </c>
      <c r="AN86" s="18" t="str">
        <f t="shared" ref="AN86:AS86" si="151">IF(AN85="","",IF(AN85=0,"",AN85/(AN82*100)))</f>
        <v/>
      </c>
      <c r="AO86" s="18" t="str">
        <f t="shared" si="151"/>
        <v/>
      </c>
      <c r="AP86" s="18" t="str">
        <f t="shared" si="151"/>
        <v/>
      </c>
      <c r="AQ86" s="18" t="str">
        <f t="shared" si="151"/>
        <v/>
      </c>
      <c r="AR86" s="18" t="str">
        <f t="shared" si="151"/>
        <v/>
      </c>
      <c r="AS86" s="18" t="str">
        <f t="shared" si="151"/>
        <v/>
      </c>
    </row>
    <row r="87" spans="1:45" s="93" customFormat="1" ht="11">
      <c r="A87" s="17" t="str">
        <f>A75</f>
        <v>天文館</v>
      </c>
      <c r="B87" s="9" t="s">
        <v>2</v>
      </c>
      <c r="C87" s="74">
        <v>11440</v>
      </c>
      <c r="D87" s="8">
        <f>IF(D$3="","",C87)</f>
        <v>11440</v>
      </c>
      <c r="E87" s="8">
        <v>11512</v>
      </c>
      <c r="F87" s="59">
        <f>IF(F$3="","",E87)</f>
        <v>11512</v>
      </c>
      <c r="G87" s="8">
        <f>IF(G$3="","",F87)</f>
        <v>11512</v>
      </c>
      <c r="H87" s="8">
        <v>11617</v>
      </c>
      <c r="I87" s="59">
        <f t="shared" ref="I87:K88" si="152">IF(I$3="","",H87)</f>
        <v>11617</v>
      </c>
      <c r="J87" s="8">
        <f t="shared" si="152"/>
        <v>11617</v>
      </c>
      <c r="K87" s="8">
        <f t="shared" si="152"/>
        <v>11617</v>
      </c>
      <c r="L87" s="8">
        <v>11683</v>
      </c>
      <c r="M87" s="59">
        <f>IF(M$3="","",L87)</f>
        <v>11683</v>
      </c>
      <c r="N87" s="8">
        <f>IF(N$3="","",M87)</f>
        <v>11683</v>
      </c>
      <c r="O87" s="8">
        <v>11775</v>
      </c>
      <c r="P87" s="8">
        <f t="shared" ref="P87:AM87" si="153">IF(P$3="","",O87)</f>
        <v>11775</v>
      </c>
      <c r="Q87" s="8">
        <f t="shared" si="153"/>
        <v>11775</v>
      </c>
      <c r="R87" s="8">
        <f t="shared" si="153"/>
        <v>11775</v>
      </c>
      <c r="S87" s="8">
        <f t="shared" si="153"/>
        <v>11775</v>
      </c>
      <c r="T87" s="8">
        <v>11840</v>
      </c>
      <c r="U87" s="8">
        <f t="shared" si="153"/>
        <v>11840</v>
      </c>
      <c r="V87" s="8">
        <v>11948</v>
      </c>
      <c r="W87" s="8">
        <f t="shared" si="153"/>
        <v>11948</v>
      </c>
      <c r="X87" s="8">
        <f t="shared" si="153"/>
        <v>11948</v>
      </c>
      <c r="Y87" s="8">
        <f t="shared" si="153"/>
        <v>11948</v>
      </c>
      <c r="Z87" s="8">
        <v>12034</v>
      </c>
      <c r="AA87" s="8">
        <f t="shared" si="153"/>
        <v>12034</v>
      </c>
      <c r="AB87" s="8">
        <f t="shared" si="153"/>
        <v>12034</v>
      </c>
      <c r="AC87" s="8">
        <v>12110</v>
      </c>
      <c r="AD87" s="8" t="str">
        <f t="shared" si="153"/>
        <v/>
      </c>
      <c r="AE87" s="8" t="str">
        <f t="shared" si="153"/>
        <v/>
      </c>
      <c r="AF87" s="8" t="str">
        <f t="shared" si="153"/>
        <v/>
      </c>
      <c r="AG87" s="8" t="str">
        <f t="shared" si="153"/>
        <v/>
      </c>
      <c r="AH87" s="8" t="str">
        <f t="shared" si="153"/>
        <v/>
      </c>
      <c r="AI87" s="8" t="str">
        <f t="shared" si="153"/>
        <v/>
      </c>
      <c r="AJ87" s="8" t="str">
        <f t="shared" si="153"/>
        <v/>
      </c>
      <c r="AK87" s="8" t="str">
        <f t="shared" si="153"/>
        <v/>
      </c>
      <c r="AL87" s="8" t="str">
        <f t="shared" si="153"/>
        <v/>
      </c>
      <c r="AM87" s="8" t="str">
        <f t="shared" si="153"/>
        <v/>
      </c>
      <c r="AN87" s="8" t="str">
        <f t="shared" ref="AN87:AS87" si="154">IF(AN$3="","",AM87)</f>
        <v/>
      </c>
      <c r="AO87" s="8" t="str">
        <f t="shared" si="154"/>
        <v/>
      </c>
      <c r="AP87" s="8" t="str">
        <f t="shared" si="154"/>
        <v/>
      </c>
      <c r="AQ87" s="8" t="str">
        <f t="shared" si="154"/>
        <v/>
      </c>
      <c r="AR87" s="8" t="str">
        <f t="shared" si="154"/>
        <v/>
      </c>
      <c r="AS87" s="8" t="str">
        <f t="shared" si="154"/>
        <v/>
      </c>
    </row>
    <row r="88" spans="1:45" s="93" customFormat="1" ht="11">
      <c r="A88" s="16" t="str">
        <f>A76</f>
        <v>BUZZ＃2</v>
      </c>
      <c r="B88" s="9" t="s">
        <v>4</v>
      </c>
      <c r="C88" s="74">
        <v>524</v>
      </c>
      <c r="D88" s="8">
        <f>IF(D$3="","",C88)</f>
        <v>524</v>
      </c>
      <c r="E88" s="8">
        <v>525</v>
      </c>
      <c r="F88" s="59">
        <f>IF(F$3="","",E88)</f>
        <v>525</v>
      </c>
      <c r="G88" s="8">
        <f>IF(G$3="","",F88)</f>
        <v>525</v>
      </c>
      <c r="H88" s="8">
        <v>529</v>
      </c>
      <c r="I88" s="59">
        <f t="shared" si="152"/>
        <v>529</v>
      </c>
      <c r="J88" s="8">
        <f t="shared" si="152"/>
        <v>529</v>
      </c>
      <c r="K88" s="8">
        <f t="shared" si="152"/>
        <v>529</v>
      </c>
      <c r="L88" s="8">
        <v>530</v>
      </c>
      <c r="M88" s="59">
        <f>IF(M$3="","",L88)</f>
        <v>530</v>
      </c>
      <c r="N88" s="8">
        <f>IF(N$3="","",M88)</f>
        <v>530</v>
      </c>
      <c r="O88" s="8">
        <v>531</v>
      </c>
      <c r="P88" s="8">
        <f t="shared" ref="P88:AM88" si="155">IF(P$3="","",O88)</f>
        <v>531</v>
      </c>
      <c r="Q88" s="8">
        <f t="shared" si="155"/>
        <v>531</v>
      </c>
      <c r="R88" s="8">
        <f t="shared" si="155"/>
        <v>531</v>
      </c>
      <c r="S88" s="8">
        <f t="shared" si="155"/>
        <v>531</v>
      </c>
      <c r="T88" s="8">
        <f t="shared" si="155"/>
        <v>531</v>
      </c>
      <c r="U88" s="8">
        <f t="shared" si="155"/>
        <v>531</v>
      </c>
      <c r="V88" s="8">
        <v>533</v>
      </c>
      <c r="W88" s="8">
        <f t="shared" si="155"/>
        <v>533</v>
      </c>
      <c r="X88" s="8">
        <f t="shared" si="155"/>
        <v>533</v>
      </c>
      <c r="Y88" s="8">
        <f t="shared" si="155"/>
        <v>533</v>
      </c>
      <c r="Z88" s="8">
        <v>534</v>
      </c>
      <c r="AA88" s="8">
        <f t="shared" si="155"/>
        <v>534</v>
      </c>
      <c r="AB88" s="8">
        <f t="shared" si="155"/>
        <v>534</v>
      </c>
      <c r="AC88" s="8">
        <v>535</v>
      </c>
      <c r="AD88" s="8" t="str">
        <f t="shared" si="155"/>
        <v/>
      </c>
      <c r="AE88" s="8" t="str">
        <f t="shared" si="155"/>
        <v/>
      </c>
      <c r="AF88" s="8" t="str">
        <f t="shared" si="155"/>
        <v/>
      </c>
      <c r="AG88" s="8" t="str">
        <f t="shared" si="155"/>
        <v/>
      </c>
      <c r="AH88" s="8" t="str">
        <f t="shared" si="155"/>
        <v/>
      </c>
      <c r="AI88" s="8" t="str">
        <f t="shared" si="155"/>
        <v/>
      </c>
      <c r="AJ88" s="8" t="str">
        <f t="shared" si="155"/>
        <v/>
      </c>
      <c r="AK88" s="8" t="str">
        <f t="shared" si="155"/>
        <v/>
      </c>
      <c r="AL88" s="8" t="str">
        <f t="shared" si="155"/>
        <v/>
      </c>
      <c r="AM88" s="8" t="str">
        <f t="shared" si="155"/>
        <v/>
      </c>
      <c r="AN88" s="8" t="str">
        <f t="shared" ref="AN88:AS88" si="156">IF(AN$3="","",AM88)</f>
        <v/>
      </c>
      <c r="AO88" s="8" t="str">
        <f t="shared" si="156"/>
        <v/>
      </c>
      <c r="AP88" s="8" t="str">
        <f t="shared" si="156"/>
        <v/>
      </c>
      <c r="AQ88" s="8" t="str">
        <f t="shared" si="156"/>
        <v/>
      </c>
      <c r="AR88" s="8" t="str">
        <f t="shared" si="156"/>
        <v/>
      </c>
      <c r="AS88" s="8" t="str">
        <f t="shared" si="156"/>
        <v/>
      </c>
    </row>
    <row r="89" spans="1:45" s="93" customFormat="1" ht="11">
      <c r="A89" s="15">
        <v>4</v>
      </c>
      <c r="B89" s="9" t="s">
        <v>5</v>
      </c>
      <c r="C89" s="74">
        <v>9</v>
      </c>
      <c r="D89" s="8">
        <f>IF(D87="","",(C89+C90))</f>
        <v>9</v>
      </c>
      <c r="E89" s="8">
        <v>8</v>
      </c>
      <c r="F89" s="59">
        <f>IF(F87="","",(E89+E90))</f>
        <v>8</v>
      </c>
      <c r="G89" s="8">
        <f>IF(G87="","",(F89+F90))</f>
        <v>8</v>
      </c>
      <c r="H89" s="8">
        <v>4</v>
      </c>
      <c r="I89" s="59">
        <f>IF(I87="","",(H89+H90))</f>
        <v>8</v>
      </c>
      <c r="J89" s="8">
        <f>IF(J87="","",(I89+I90))</f>
        <v>8</v>
      </c>
      <c r="K89" s="8">
        <f>IF(K87="","",(J89+J90))</f>
        <v>8</v>
      </c>
      <c r="L89" s="8">
        <v>7</v>
      </c>
      <c r="M89" s="59">
        <f t="shared" ref="M89:AM89" si="157">IF(M87="","",(L89+L90))</f>
        <v>7</v>
      </c>
      <c r="N89" s="8">
        <f t="shared" si="157"/>
        <v>7</v>
      </c>
      <c r="O89" s="8">
        <f t="shared" si="157"/>
        <v>7</v>
      </c>
      <c r="P89" s="8">
        <f t="shared" si="157"/>
        <v>7</v>
      </c>
      <c r="Q89" s="8">
        <f t="shared" si="157"/>
        <v>7</v>
      </c>
      <c r="R89" s="8">
        <f t="shared" si="157"/>
        <v>7</v>
      </c>
      <c r="S89" s="8">
        <f t="shared" si="157"/>
        <v>7</v>
      </c>
      <c r="T89" s="8">
        <v>6</v>
      </c>
      <c r="U89" s="8">
        <f t="shared" si="157"/>
        <v>9</v>
      </c>
      <c r="V89" s="8">
        <v>7</v>
      </c>
      <c r="W89" s="8">
        <f t="shared" si="157"/>
        <v>7</v>
      </c>
      <c r="X89" s="8">
        <f t="shared" si="157"/>
        <v>7</v>
      </c>
      <c r="Y89" s="8">
        <f t="shared" si="157"/>
        <v>7</v>
      </c>
      <c r="Z89" s="8">
        <v>6</v>
      </c>
      <c r="AA89" s="8">
        <f t="shared" si="157"/>
        <v>6</v>
      </c>
      <c r="AB89" s="8">
        <f t="shared" si="157"/>
        <v>6</v>
      </c>
      <c r="AC89" s="8">
        <v>5</v>
      </c>
      <c r="AD89" s="8" t="str">
        <f t="shared" si="157"/>
        <v/>
      </c>
      <c r="AE89" s="8" t="str">
        <f t="shared" si="157"/>
        <v/>
      </c>
      <c r="AF89" s="8" t="str">
        <f t="shared" si="157"/>
        <v/>
      </c>
      <c r="AG89" s="8" t="str">
        <f t="shared" si="157"/>
        <v/>
      </c>
      <c r="AH89" s="8" t="str">
        <f t="shared" si="157"/>
        <v/>
      </c>
      <c r="AI89" s="8" t="str">
        <f t="shared" si="157"/>
        <v/>
      </c>
      <c r="AJ89" s="8" t="str">
        <f t="shared" si="157"/>
        <v/>
      </c>
      <c r="AK89" s="8" t="str">
        <f t="shared" si="157"/>
        <v/>
      </c>
      <c r="AL89" s="8" t="str">
        <f t="shared" si="157"/>
        <v/>
      </c>
      <c r="AM89" s="8" t="str">
        <f t="shared" si="157"/>
        <v/>
      </c>
      <c r="AN89" s="8" t="str">
        <f t="shared" ref="AN89:AS89" si="158">IF(AN87="","",(AM89+AM90))</f>
        <v/>
      </c>
      <c r="AO89" s="8" t="str">
        <f t="shared" si="158"/>
        <v/>
      </c>
      <c r="AP89" s="8" t="str">
        <f t="shared" si="158"/>
        <v/>
      </c>
      <c r="AQ89" s="8" t="str">
        <f t="shared" si="158"/>
        <v/>
      </c>
      <c r="AR89" s="8" t="str">
        <f t="shared" si="158"/>
        <v/>
      </c>
      <c r="AS89" s="8" t="str">
        <f t="shared" si="158"/>
        <v/>
      </c>
    </row>
    <row r="90" spans="1:45" s="93" customFormat="1" ht="11">
      <c r="A90" s="14"/>
      <c r="B90" s="9" t="s">
        <v>7</v>
      </c>
      <c r="C90" s="74"/>
      <c r="D90" s="8"/>
      <c r="E90" s="8"/>
      <c r="F90" s="59"/>
      <c r="G90" s="8"/>
      <c r="H90" s="8">
        <v>4</v>
      </c>
      <c r="I90" s="59"/>
      <c r="J90" s="8"/>
      <c r="K90" s="8"/>
      <c r="L90" s="8"/>
      <c r="M90" s="59"/>
      <c r="N90" s="8"/>
      <c r="O90" s="8"/>
      <c r="P90" s="8"/>
      <c r="Q90" s="8"/>
      <c r="R90" s="8"/>
      <c r="S90" s="8"/>
      <c r="T90" s="8">
        <v>3</v>
      </c>
      <c r="U90" s="8"/>
      <c r="V90" s="8"/>
      <c r="W90" s="8"/>
      <c r="X90" s="8"/>
      <c r="Y90" s="8"/>
      <c r="Z90" s="8"/>
      <c r="AA90" s="8"/>
      <c r="AB90" s="8"/>
      <c r="AC90" s="8">
        <v>2</v>
      </c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s="93" customFormat="1" ht="11">
      <c r="A91" s="7"/>
      <c r="B91" s="9" t="s">
        <v>8</v>
      </c>
      <c r="C91" s="74">
        <v>500</v>
      </c>
      <c r="D91" s="8">
        <f t="shared" ref="D91:AM91" si="159">IF(D87="","",C91)</f>
        <v>500</v>
      </c>
      <c r="E91" s="8">
        <f t="shared" si="159"/>
        <v>500</v>
      </c>
      <c r="F91" s="59">
        <f t="shared" si="159"/>
        <v>500</v>
      </c>
      <c r="G91" s="8">
        <f t="shared" si="159"/>
        <v>500</v>
      </c>
      <c r="H91" s="8">
        <f t="shared" si="159"/>
        <v>500</v>
      </c>
      <c r="I91" s="59">
        <f t="shared" si="159"/>
        <v>500</v>
      </c>
      <c r="J91" s="8">
        <f t="shared" si="159"/>
        <v>500</v>
      </c>
      <c r="K91" s="8">
        <f t="shared" si="159"/>
        <v>500</v>
      </c>
      <c r="L91" s="8">
        <f t="shared" si="159"/>
        <v>500</v>
      </c>
      <c r="M91" s="59">
        <f t="shared" si="159"/>
        <v>500</v>
      </c>
      <c r="N91" s="8">
        <f t="shared" si="159"/>
        <v>500</v>
      </c>
      <c r="O91" s="8">
        <f t="shared" si="159"/>
        <v>500</v>
      </c>
      <c r="P91" s="8">
        <f t="shared" si="159"/>
        <v>500</v>
      </c>
      <c r="Q91" s="8">
        <f t="shared" si="159"/>
        <v>500</v>
      </c>
      <c r="R91" s="8">
        <f t="shared" si="159"/>
        <v>500</v>
      </c>
      <c r="S91" s="8">
        <f t="shared" si="159"/>
        <v>500</v>
      </c>
      <c r="T91" s="8">
        <f t="shared" si="159"/>
        <v>500</v>
      </c>
      <c r="U91" s="8">
        <f t="shared" si="159"/>
        <v>500</v>
      </c>
      <c r="V91" s="8">
        <f t="shared" si="159"/>
        <v>500</v>
      </c>
      <c r="W91" s="8">
        <f t="shared" si="159"/>
        <v>500</v>
      </c>
      <c r="X91" s="8">
        <f t="shared" si="159"/>
        <v>500</v>
      </c>
      <c r="Y91" s="8">
        <f t="shared" si="159"/>
        <v>500</v>
      </c>
      <c r="Z91" s="8">
        <f t="shared" si="159"/>
        <v>500</v>
      </c>
      <c r="AA91" s="8">
        <f t="shared" si="159"/>
        <v>500</v>
      </c>
      <c r="AB91" s="8">
        <f t="shared" si="159"/>
        <v>500</v>
      </c>
      <c r="AC91" s="8">
        <f t="shared" si="159"/>
        <v>500</v>
      </c>
      <c r="AD91" s="8" t="str">
        <f t="shared" si="159"/>
        <v/>
      </c>
      <c r="AE91" s="8" t="str">
        <f t="shared" si="159"/>
        <v/>
      </c>
      <c r="AF91" s="8" t="str">
        <f t="shared" si="159"/>
        <v/>
      </c>
      <c r="AG91" s="8" t="str">
        <f t="shared" si="159"/>
        <v/>
      </c>
      <c r="AH91" s="8" t="str">
        <f t="shared" si="159"/>
        <v/>
      </c>
      <c r="AI91" s="8" t="str">
        <f t="shared" si="159"/>
        <v/>
      </c>
      <c r="AJ91" s="8" t="str">
        <f t="shared" si="159"/>
        <v/>
      </c>
      <c r="AK91" s="8" t="str">
        <f t="shared" si="159"/>
        <v/>
      </c>
      <c r="AL91" s="8" t="str">
        <f t="shared" si="159"/>
        <v/>
      </c>
      <c r="AM91" s="8" t="str">
        <f t="shared" si="159"/>
        <v/>
      </c>
      <c r="AN91" s="8" t="str">
        <f t="shared" ref="AN91:AS91" si="160">IF(AN87="","",AM91)</f>
        <v/>
      </c>
      <c r="AO91" s="8" t="str">
        <f t="shared" si="160"/>
        <v/>
      </c>
      <c r="AP91" s="8" t="str">
        <f t="shared" si="160"/>
        <v/>
      </c>
      <c r="AQ91" s="8" t="str">
        <f t="shared" si="160"/>
        <v/>
      </c>
      <c r="AR91" s="8" t="str">
        <f t="shared" si="160"/>
        <v/>
      </c>
      <c r="AS91" s="8" t="str">
        <f t="shared" si="160"/>
        <v/>
      </c>
    </row>
    <row r="92" spans="1:45" s="94" customFormat="1" ht="11">
      <c r="A92" s="14" t="s">
        <v>9</v>
      </c>
      <c r="B92" s="13" t="s">
        <v>10</v>
      </c>
      <c r="C92" s="75" t="s">
        <v>26</v>
      </c>
      <c r="D92" s="12" t="str">
        <f t="shared" ref="D92:AM92" si="161">IF(D87="","",C92)</f>
        <v>たまごっちマスコット</v>
      </c>
      <c r="E92" s="12" t="str">
        <f t="shared" si="161"/>
        <v>たまごっちマスコット</v>
      </c>
      <c r="F92" s="131" t="str">
        <f t="shared" si="161"/>
        <v>たまごっちマスコット</v>
      </c>
      <c r="G92" s="12" t="str">
        <f t="shared" si="161"/>
        <v>たまごっちマスコット</v>
      </c>
      <c r="H92" s="12" t="str">
        <f t="shared" si="161"/>
        <v>たまごっちマスコット</v>
      </c>
      <c r="I92" s="131" t="str">
        <f t="shared" si="161"/>
        <v>たまごっちマスコット</v>
      </c>
      <c r="J92" s="12" t="str">
        <f t="shared" si="161"/>
        <v>たまごっちマスコット</v>
      </c>
      <c r="K92" s="12" t="str">
        <f t="shared" si="161"/>
        <v>たまごっちマスコット</v>
      </c>
      <c r="L92" s="12" t="str">
        <f t="shared" si="161"/>
        <v>たまごっちマスコット</v>
      </c>
      <c r="M92" s="131" t="str">
        <f t="shared" si="161"/>
        <v>たまごっちマスコット</v>
      </c>
      <c r="N92" s="12" t="str">
        <f t="shared" si="161"/>
        <v>たまごっちマスコット</v>
      </c>
      <c r="O92" s="12" t="str">
        <f t="shared" si="161"/>
        <v>たまごっちマスコット</v>
      </c>
      <c r="P92" s="12" t="str">
        <f t="shared" si="161"/>
        <v>たまごっちマスコット</v>
      </c>
      <c r="Q92" s="12" t="str">
        <f t="shared" si="161"/>
        <v>たまごっちマスコット</v>
      </c>
      <c r="R92" s="12" t="str">
        <f t="shared" si="161"/>
        <v>たまごっちマスコット</v>
      </c>
      <c r="S92" s="12" t="str">
        <f t="shared" si="161"/>
        <v>たまごっちマスコット</v>
      </c>
      <c r="T92" s="12" t="str">
        <f t="shared" si="161"/>
        <v>たまごっちマスコット</v>
      </c>
      <c r="U92" s="12" t="str">
        <f t="shared" si="161"/>
        <v>たまごっちマスコット</v>
      </c>
      <c r="V92" s="12" t="str">
        <f t="shared" si="161"/>
        <v>たまごっちマスコット</v>
      </c>
      <c r="W92" s="12" t="str">
        <f t="shared" si="161"/>
        <v>たまごっちマスコット</v>
      </c>
      <c r="X92" s="12" t="str">
        <f t="shared" si="161"/>
        <v>たまごっちマスコット</v>
      </c>
      <c r="Y92" s="12" t="str">
        <f t="shared" si="161"/>
        <v>たまごっちマスコット</v>
      </c>
      <c r="Z92" s="12" t="str">
        <f t="shared" si="161"/>
        <v>たまごっちマスコット</v>
      </c>
      <c r="AA92" s="12" t="str">
        <f t="shared" si="161"/>
        <v>たまごっちマスコット</v>
      </c>
      <c r="AB92" s="12" t="str">
        <f t="shared" si="161"/>
        <v>たまごっちマスコット</v>
      </c>
      <c r="AC92" s="12" t="str">
        <f t="shared" si="161"/>
        <v>たまごっちマスコット</v>
      </c>
      <c r="AD92" s="12" t="str">
        <f t="shared" si="161"/>
        <v/>
      </c>
      <c r="AE92" s="12" t="str">
        <f t="shared" si="161"/>
        <v/>
      </c>
      <c r="AF92" s="12" t="str">
        <f t="shared" si="161"/>
        <v/>
      </c>
      <c r="AG92" s="12" t="str">
        <f t="shared" si="161"/>
        <v/>
      </c>
      <c r="AH92" s="12" t="str">
        <f t="shared" si="161"/>
        <v/>
      </c>
      <c r="AI92" s="12" t="str">
        <f t="shared" si="161"/>
        <v/>
      </c>
      <c r="AJ92" s="12" t="str">
        <f t="shared" si="161"/>
        <v/>
      </c>
      <c r="AK92" s="12" t="str">
        <f t="shared" si="161"/>
        <v/>
      </c>
      <c r="AL92" s="12" t="str">
        <f t="shared" si="161"/>
        <v/>
      </c>
      <c r="AM92" s="12" t="str">
        <f t="shared" si="161"/>
        <v/>
      </c>
      <c r="AN92" s="12" t="str">
        <f t="shared" ref="AN92:AS92" si="162">IF(AN87="","",AM92)</f>
        <v/>
      </c>
      <c r="AO92" s="12" t="str">
        <f t="shared" si="162"/>
        <v/>
      </c>
      <c r="AP92" s="12" t="str">
        <f t="shared" si="162"/>
        <v/>
      </c>
      <c r="AQ92" s="12" t="str">
        <f t="shared" si="162"/>
        <v/>
      </c>
      <c r="AR92" s="12" t="str">
        <f t="shared" si="162"/>
        <v/>
      </c>
      <c r="AS92" s="12" t="str">
        <f t="shared" si="162"/>
        <v/>
      </c>
    </row>
    <row r="93" spans="1:45" s="93" customFormat="1" ht="11">
      <c r="A93" s="7">
        <f>AVERAGE(C94:AS94)*30*100</f>
        <v>74444.444444444438</v>
      </c>
      <c r="B93" s="9" t="s">
        <v>14</v>
      </c>
      <c r="C93" s="74"/>
      <c r="D93" s="8"/>
      <c r="E93" s="8"/>
      <c r="F93" s="59"/>
      <c r="G93" s="8"/>
      <c r="H93" s="8"/>
      <c r="I93" s="59"/>
      <c r="J93" s="8"/>
      <c r="K93" s="8"/>
      <c r="L93" s="8"/>
      <c r="M93" s="59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s="93" customFormat="1" ht="11">
      <c r="A94" s="7">
        <f>SUM(C94:AS94)</f>
        <v>670</v>
      </c>
      <c r="B94" s="6" t="s">
        <v>15</v>
      </c>
      <c r="C94" s="74">
        <v>0</v>
      </c>
      <c r="D94" s="5">
        <f t="shared" ref="D94:AM94" si="163">IF(D87="","",D87-C87)</f>
        <v>0</v>
      </c>
      <c r="E94" s="5">
        <f t="shared" si="163"/>
        <v>72</v>
      </c>
      <c r="F94" s="59">
        <f t="shared" si="163"/>
        <v>0</v>
      </c>
      <c r="G94" s="5">
        <f t="shared" si="163"/>
        <v>0</v>
      </c>
      <c r="H94" s="5">
        <f t="shared" si="163"/>
        <v>105</v>
      </c>
      <c r="I94" s="59">
        <f t="shared" si="163"/>
        <v>0</v>
      </c>
      <c r="J94" s="5">
        <f t="shared" si="163"/>
        <v>0</v>
      </c>
      <c r="K94" s="5">
        <f t="shared" si="163"/>
        <v>0</v>
      </c>
      <c r="L94" s="5">
        <f t="shared" si="163"/>
        <v>66</v>
      </c>
      <c r="M94" s="59">
        <f t="shared" si="163"/>
        <v>0</v>
      </c>
      <c r="N94" s="5">
        <f t="shared" si="163"/>
        <v>0</v>
      </c>
      <c r="O94" s="5">
        <f t="shared" si="163"/>
        <v>92</v>
      </c>
      <c r="P94" s="5">
        <f t="shared" si="163"/>
        <v>0</v>
      </c>
      <c r="Q94" s="5">
        <f t="shared" si="163"/>
        <v>0</v>
      </c>
      <c r="R94" s="5">
        <f t="shared" si="163"/>
        <v>0</v>
      </c>
      <c r="S94" s="5">
        <f t="shared" si="163"/>
        <v>0</v>
      </c>
      <c r="T94" s="5">
        <f t="shared" si="163"/>
        <v>65</v>
      </c>
      <c r="U94" s="5">
        <f t="shared" si="163"/>
        <v>0</v>
      </c>
      <c r="V94" s="5">
        <f t="shared" si="163"/>
        <v>108</v>
      </c>
      <c r="W94" s="5">
        <f t="shared" si="163"/>
        <v>0</v>
      </c>
      <c r="X94" s="5">
        <f t="shared" si="163"/>
        <v>0</v>
      </c>
      <c r="Y94" s="5">
        <f t="shared" si="163"/>
        <v>0</v>
      </c>
      <c r="Z94" s="5">
        <f t="shared" si="163"/>
        <v>86</v>
      </c>
      <c r="AA94" s="5">
        <f t="shared" si="163"/>
        <v>0</v>
      </c>
      <c r="AB94" s="5">
        <f t="shared" si="163"/>
        <v>0</v>
      </c>
      <c r="AC94" s="5">
        <f t="shared" si="163"/>
        <v>76</v>
      </c>
      <c r="AD94" s="5" t="str">
        <f t="shared" si="163"/>
        <v/>
      </c>
      <c r="AE94" s="5" t="str">
        <f t="shared" si="163"/>
        <v/>
      </c>
      <c r="AF94" s="5" t="str">
        <f t="shared" si="163"/>
        <v/>
      </c>
      <c r="AG94" s="5" t="str">
        <f t="shared" si="163"/>
        <v/>
      </c>
      <c r="AH94" s="5" t="str">
        <f t="shared" si="163"/>
        <v/>
      </c>
      <c r="AI94" s="5" t="str">
        <f t="shared" si="163"/>
        <v/>
      </c>
      <c r="AJ94" s="5" t="str">
        <f t="shared" si="163"/>
        <v/>
      </c>
      <c r="AK94" s="5" t="str">
        <f t="shared" si="163"/>
        <v/>
      </c>
      <c r="AL94" s="5" t="str">
        <f t="shared" si="163"/>
        <v/>
      </c>
      <c r="AM94" s="5" t="str">
        <f t="shared" si="163"/>
        <v/>
      </c>
      <c r="AN94" s="5" t="str">
        <f t="shared" ref="AN94:AS94" si="164">IF(AN87="","",AN87-AM87)</f>
        <v/>
      </c>
      <c r="AO94" s="5" t="str">
        <f t="shared" si="164"/>
        <v/>
      </c>
      <c r="AP94" s="5" t="str">
        <f t="shared" si="164"/>
        <v/>
      </c>
      <c r="AQ94" s="5" t="str">
        <f t="shared" si="164"/>
        <v/>
      </c>
      <c r="AR94" s="5" t="str">
        <f t="shared" si="164"/>
        <v/>
      </c>
      <c r="AS94" s="5" t="str">
        <f t="shared" si="164"/>
        <v/>
      </c>
    </row>
    <row r="95" spans="1:45" s="93" customFormat="1" ht="11">
      <c r="A95" s="7">
        <f>SUM(C95:AS95)</f>
        <v>11</v>
      </c>
      <c r="B95" s="6" t="s">
        <v>16</v>
      </c>
      <c r="C95" s="74">
        <v>0</v>
      </c>
      <c r="D95" s="5">
        <f t="shared" ref="D95:AM95" si="165">IF(D88="","",D88-C88)</f>
        <v>0</v>
      </c>
      <c r="E95" s="5">
        <f t="shared" si="165"/>
        <v>1</v>
      </c>
      <c r="F95" s="59">
        <f t="shared" si="165"/>
        <v>0</v>
      </c>
      <c r="G95" s="5">
        <f t="shared" si="165"/>
        <v>0</v>
      </c>
      <c r="H95" s="5">
        <f t="shared" si="165"/>
        <v>4</v>
      </c>
      <c r="I95" s="59">
        <f t="shared" si="165"/>
        <v>0</v>
      </c>
      <c r="J95" s="5">
        <f t="shared" si="165"/>
        <v>0</v>
      </c>
      <c r="K95" s="5">
        <f t="shared" si="165"/>
        <v>0</v>
      </c>
      <c r="L95" s="5">
        <f t="shared" si="165"/>
        <v>1</v>
      </c>
      <c r="M95" s="59">
        <f t="shared" si="165"/>
        <v>0</v>
      </c>
      <c r="N95" s="5">
        <f t="shared" si="165"/>
        <v>0</v>
      </c>
      <c r="O95" s="5">
        <f t="shared" si="165"/>
        <v>1</v>
      </c>
      <c r="P95" s="5">
        <f t="shared" si="165"/>
        <v>0</v>
      </c>
      <c r="Q95" s="5">
        <f t="shared" si="165"/>
        <v>0</v>
      </c>
      <c r="R95" s="5">
        <f t="shared" si="165"/>
        <v>0</v>
      </c>
      <c r="S95" s="5">
        <f t="shared" si="165"/>
        <v>0</v>
      </c>
      <c r="T95" s="5">
        <f t="shared" si="165"/>
        <v>0</v>
      </c>
      <c r="U95" s="5">
        <f t="shared" si="165"/>
        <v>0</v>
      </c>
      <c r="V95" s="5">
        <f t="shared" si="165"/>
        <v>2</v>
      </c>
      <c r="W95" s="5">
        <f t="shared" si="165"/>
        <v>0</v>
      </c>
      <c r="X95" s="5">
        <f t="shared" si="165"/>
        <v>0</v>
      </c>
      <c r="Y95" s="5">
        <f t="shared" si="165"/>
        <v>0</v>
      </c>
      <c r="Z95" s="5">
        <f t="shared" si="165"/>
        <v>1</v>
      </c>
      <c r="AA95" s="5">
        <f t="shared" si="165"/>
        <v>0</v>
      </c>
      <c r="AB95" s="5">
        <f t="shared" si="165"/>
        <v>0</v>
      </c>
      <c r="AC95" s="5">
        <f t="shared" si="165"/>
        <v>1</v>
      </c>
      <c r="AD95" s="5" t="str">
        <f t="shared" si="165"/>
        <v/>
      </c>
      <c r="AE95" s="5" t="str">
        <f t="shared" si="165"/>
        <v/>
      </c>
      <c r="AF95" s="5" t="str">
        <f t="shared" si="165"/>
        <v/>
      </c>
      <c r="AG95" s="5" t="str">
        <f t="shared" si="165"/>
        <v/>
      </c>
      <c r="AH95" s="5" t="str">
        <f t="shared" si="165"/>
        <v/>
      </c>
      <c r="AI95" s="5" t="str">
        <f t="shared" si="165"/>
        <v/>
      </c>
      <c r="AJ95" s="5" t="str">
        <f t="shared" si="165"/>
        <v/>
      </c>
      <c r="AK95" s="5" t="str">
        <f t="shared" si="165"/>
        <v/>
      </c>
      <c r="AL95" s="5" t="str">
        <f t="shared" si="165"/>
        <v/>
      </c>
      <c r="AM95" s="5" t="str">
        <f t="shared" si="165"/>
        <v/>
      </c>
      <c r="AN95" s="5" t="str">
        <f t="shared" ref="AN95:AS95" si="166">IF(AN88="","",AN88-AM88)</f>
        <v/>
      </c>
      <c r="AO95" s="5" t="str">
        <f t="shared" si="166"/>
        <v/>
      </c>
      <c r="AP95" s="5" t="str">
        <f t="shared" si="166"/>
        <v/>
      </c>
      <c r="AQ95" s="5" t="str">
        <f t="shared" si="166"/>
        <v/>
      </c>
      <c r="AR95" s="5" t="str">
        <f t="shared" si="166"/>
        <v/>
      </c>
      <c r="AS95" s="5" t="str">
        <f t="shared" si="166"/>
        <v/>
      </c>
    </row>
    <row r="96" spans="1:45" s="93" customFormat="1" ht="11">
      <c r="A96" s="7">
        <f>SUM(C96:AS96)</f>
        <v>11</v>
      </c>
      <c r="B96" s="6" t="s">
        <v>17</v>
      </c>
      <c r="C96" s="74">
        <v>0</v>
      </c>
      <c r="D96" s="5">
        <f t="shared" ref="D96:AM96" si="167">IF(D89="","",C89+C90-D89)</f>
        <v>0</v>
      </c>
      <c r="E96" s="5">
        <f t="shared" si="167"/>
        <v>1</v>
      </c>
      <c r="F96" s="59">
        <f t="shared" si="167"/>
        <v>0</v>
      </c>
      <c r="G96" s="5">
        <f t="shared" si="167"/>
        <v>0</v>
      </c>
      <c r="H96" s="5">
        <f t="shared" si="167"/>
        <v>4</v>
      </c>
      <c r="I96" s="59">
        <f t="shared" si="167"/>
        <v>0</v>
      </c>
      <c r="J96" s="5">
        <f t="shared" si="167"/>
        <v>0</v>
      </c>
      <c r="K96" s="5">
        <f t="shared" si="167"/>
        <v>0</v>
      </c>
      <c r="L96" s="5">
        <f t="shared" si="167"/>
        <v>1</v>
      </c>
      <c r="M96" s="59">
        <f t="shared" si="167"/>
        <v>0</v>
      </c>
      <c r="N96" s="5">
        <f t="shared" si="167"/>
        <v>0</v>
      </c>
      <c r="O96" s="5">
        <f t="shared" si="167"/>
        <v>0</v>
      </c>
      <c r="P96" s="5">
        <f t="shared" si="167"/>
        <v>0</v>
      </c>
      <c r="Q96" s="5">
        <f t="shared" si="167"/>
        <v>0</v>
      </c>
      <c r="R96" s="5">
        <f t="shared" si="167"/>
        <v>0</v>
      </c>
      <c r="S96" s="5">
        <f t="shared" si="167"/>
        <v>0</v>
      </c>
      <c r="T96" s="5">
        <f t="shared" si="167"/>
        <v>1</v>
      </c>
      <c r="U96" s="5">
        <f t="shared" si="167"/>
        <v>0</v>
      </c>
      <c r="V96" s="5">
        <f t="shared" si="167"/>
        <v>2</v>
      </c>
      <c r="W96" s="5">
        <f t="shared" si="167"/>
        <v>0</v>
      </c>
      <c r="X96" s="5">
        <f t="shared" si="167"/>
        <v>0</v>
      </c>
      <c r="Y96" s="5">
        <f t="shared" si="167"/>
        <v>0</v>
      </c>
      <c r="Z96" s="5">
        <f t="shared" si="167"/>
        <v>1</v>
      </c>
      <c r="AA96" s="5">
        <f t="shared" si="167"/>
        <v>0</v>
      </c>
      <c r="AB96" s="5">
        <f t="shared" si="167"/>
        <v>0</v>
      </c>
      <c r="AC96" s="5">
        <f t="shared" si="167"/>
        <v>1</v>
      </c>
      <c r="AD96" s="5" t="str">
        <f t="shared" si="167"/>
        <v/>
      </c>
      <c r="AE96" s="5" t="str">
        <f t="shared" si="167"/>
        <v/>
      </c>
      <c r="AF96" s="5" t="str">
        <f t="shared" si="167"/>
        <v/>
      </c>
      <c r="AG96" s="5" t="str">
        <f t="shared" si="167"/>
        <v/>
      </c>
      <c r="AH96" s="5" t="str">
        <f t="shared" si="167"/>
        <v/>
      </c>
      <c r="AI96" s="5" t="str">
        <f t="shared" si="167"/>
        <v/>
      </c>
      <c r="AJ96" s="5" t="str">
        <f t="shared" si="167"/>
        <v/>
      </c>
      <c r="AK96" s="5" t="str">
        <f t="shared" si="167"/>
        <v/>
      </c>
      <c r="AL96" s="5" t="str">
        <f t="shared" si="167"/>
        <v/>
      </c>
      <c r="AM96" s="5" t="str">
        <f t="shared" si="167"/>
        <v/>
      </c>
      <c r="AN96" s="5" t="str">
        <f t="shared" ref="AN96:AS96" si="168">IF(AN89="","",AM89+AM90-AN89)</f>
        <v/>
      </c>
      <c r="AO96" s="5" t="str">
        <f t="shared" si="168"/>
        <v/>
      </c>
      <c r="AP96" s="5" t="str">
        <f t="shared" si="168"/>
        <v/>
      </c>
      <c r="AQ96" s="5" t="str">
        <f t="shared" si="168"/>
        <v/>
      </c>
      <c r="AR96" s="5" t="str">
        <f t="shared" si="168"/>
        <v/>
      </c>
      <c r="AS96" s="5" t="str">
        <f t="shared" si="168"/>
        <v/>
      </c>
    </row>
    <row r="97" spans="1:45" s="93" customFormat="1" ht="11">
      <c r="A97" s="7">
        <f>SUM(C97:AS97)</f>
        <v>5500</v>
      </c>
      <c r="B97" s="6" t="s">
        <v>18</v>
      </c>
      <c r="C97" s="74">
        <v>0</v>
      </c>
      <c r="D97" s="5">
        <f t="shared" ref="D97:AM97" si="169">IF(D87="","",D96*D91)</f>
        <v>0</v>
      </c>
      <c r="E97" s="5">
        <f t="shared" si="169"/>
        <v>500</v>
      </c>
      <c r="F97" s="59">
        <f t="shared" si="169"/>
        <v>0</v>
      </c>
      <c r="G97" s="5">
        <f t="shared" si="169"/>
        <v>0</v>
      </c>
      <c r="H97" s="5">
        <f t="shared" si="169"/>
        <v>2000</v>
      </c>
      <c r="I97" s="59">
        <f t="shared" si="169"/>
        <v>0</v>
      </c>
      <c r="J97" s="5">
        <f t="shared" si="169"/>
        <v>0</v>
      </c>
      <c r="K97" s="5">
        <f t="shared" si="169"/>
        <v>0</v>
      </c>
      <c r="L97" s="5">
        <f t="shared" si="169"/>
        <v>500</v>
      </c>
      <c r="M97" s="59">
        <f t="shared" si="169"/>
        <v>0</v>
      </c>
      <c r="N97" s="5">
        <f t="shared" si="169"/>
        <v>0</v>
      </c>
      <c r="O97" s="5">
        <f t="shared" si="169"/>
        <v>0</v>
      </c>
      <c r="P97" s="5">
        <f t="shared" si="169"/>
        <v>0</v>
      </c>
      <c r="Q97" s="5">
        <f t="shared" si="169"/>
        <v>0</v>
      </c>
      <c r="R97" s="5">
        <f t="shared" si="169"/>
        <v>0</v>
      </c>
      <c r="S97" s="5">
        <f t="shared" si="169"/>
        <v>0</v>
      </c>
      <c r="T97" s="5">
        <f t="shared" si="169"/>
        <v>500</v>
      </c>
      <c r="U97" s="5">
        <f t="shared" si="169"/>
        <v>0</v>
      </c>
      <c r="V97" s="5">
        <f t="shared" si="169"/>
        <v>1000</v>
      </c>
      <c r="W97" s="5">
        <f t="shared" si="169"/>
        <v>0</v>
      </c>
      <c r="X97" s="5">
        <f t="shared" si="169"/>
        <v>0</v>
      </c>
      <c r="Y97" s="5">
        <f t="shared" si="169"/>
        <v>0</v>
      </c>
      <c r="Z97" s="5">
        <f t="shared" si="169"/>
        <v>500</v>
      </c>
      <c r="AA97" s="5">
        <f t="shared" si="169"/>
        <v>0</v>
      </c>
      <c r="AB97" s="5">
        <f t="shared" si="169"/>
        <v>0</v>
      </c>
      <c r="AC97" s="5">
        <f t="shared" si="169"/>
        <v>500</v>
      </c>
      <c r="AD97" s="5" t="str">
        <f t="shared" si="169"/>
        <v/>
      </c>
      <c r="AE97" s="5" t="str">
        <f t="shared" si="169"/>
        <v/>
      </c>
      <c r="AF97" s="5" t="str">
        <f t="shared" si="169"/>
        <v/>
      </c>
      <c r="AG97" s="5" t="str">
        <f t="shared" si="169"/>
        <v/>
      </c>
      <c r="AH97" s="5" t="str">
        <f t="shared" si="169"/>
        <v/>
      </c>
      <c r="AI97" s="5" t="str">
        <f t="shared" si="169"/>
        <v/>
      </c>
      <c r="AJ97" s="5" t="str">
        <f t="shared" si="169"/>
        <v/>
      </c>
      <c r="AK97" s="5" t="str">
        <f t="shared" si="169"/>
        <v/>
      </c>
      <c r="AL97" s="5" t="str">
        <f t="shared" si="169"/>
        <v/>
      </c>
      <c r="AM97" s="5" t="str">
        <f t="shared" si="169"/>
        <v/>
      </c>
      <c r="AN97" s="5" t="str">
        <f t="shared" ref="AN97:AS97" si="170">IF(AN87="","",AN96*AN91)</f>
        <v/>
      </c>
      <c r="AO97" s="5" t="str">
        <f t="shared" si="170"/>
        <v/>
      </c>
      <c r="AP97" s="5" t="str">
        <f t="shared" si="170"/>
        <v/>
      </c>
      <c r="AQ97" s="5" t="str">
        <f t="shared" si="170"/>
        <v/>
      </c>
      <c r="AR97" s="5" t="str">
        <f t="shared" si="170"/>
        <v/>
      </c>
      <c r="AS97" s="5" t="str">
        <f t="shared" si="170"/>
        <v/>
      </c>
    </row>
    <row r="98" spans="1:45" s="93" customFormat="1" ht="12" thickBot="1">
      <c r="A98" s="4">
        <f>IF(A97="","",A97/(A94*100))</f>
        <v>8.2089552238805971E-2</v>
      </c>
      <c r="B98" s="3" t="s">
        <v>20</v>
      </c>
      <c r="C98" s="77" t="s">
        <v>21</v>
      </c>
      <c r="D98" s="2" t="str">
        <f t="shared" ref="D98:AM98" si="171">IF(D97="","",IF(D97=0,"",D97/(D94*100)))</f>
        <v/>
      </c>
      <c r="E98" s="2">
        <f t="shared" si="171"/>
        <v>6.9444444444444448E-2</v>
      </c>
      <c r="F98" s="57" t="str">
        <f t="shared" si="171"/>
        <v/>
      </c>
      <c r="G98" s="2" t="str">
        <f t="shared" si="171"/>
        <v/>
      </c>
      <c r="H98" s="2">
        <f t="shared" si="171"/>
        <v>0.19047619047619047</v>
      </c>
      <c r="I98" s="57" t="str">
        <f t="shared" si="171"/>
        <v/>
      </c>
      <c r="J98" s="2" t="str">
        <f t="shared" si="171"/>
        <v/>
      </c>
      <c r="K98" s="2" t="str">
        <f t="shared" si="171"/>
        <v/>
      </c>
      <c r="L98" s="2">
        <f t="shared" si="171"/>
        <v>7.575757575757576E-2</v>
      </c>
      <c r="M98" s="57" t="str">
        <f t="shared" si="171"/>
        <v/>
      </c>
      <c r="N98" s="2" t="str">
        <f t="shared" si="171"/>
        <v/>
      </c>
      <c r="O98" s="2" t="str">
        <f t="shared" si="171"/>
        <v/>
      </c>
      <c r="P98" s="2" t="str">
        <f t="shared" si="171"/>
        <v/>
      </c>
      <c r="Q98" s="2" t="str">
        <f t="shared" si="171"/>
        <v/>
      </c>
      <c r="R98" s="2" t="str">
        <f t="shared" si="171"/>
        <v/>
      </c>
      <c r="S98" s="2" t="str">
        <f t="shared" si="171"/>
        <v/>
      </c>
      <c r="T98" s="2">
        <f t="shared" si="171"/>
        <v>7.6923076923076927E-2</v>
      </c>
      <c r="U98" s="2" t="str">
        <f t="shared" si="171"/>
        <v/>
      </c>
      <c r="V98" s="2">
        <f t="shared" si="171"/>
        <v>9.2592592592592587E-2</v>
      </c>
      <c r="W98" s="2" t="str">
        <f t="shared" si="171"/>
        <v/>
      </c>
      <c r="X98" s="2" t="str">
        <f t="shared" si="171"/>
        <v/>
      </c>
      <c r="Y98" s="2" t="str">
        <f t="shared" si="171"/>
        <v/>
      </c>
      <c r="Z98" s="2">
        <f t="shared" si="171"/>
        <v>5.8139534883720929E-2</v>
      </c>
      <c r="AA98" s="2" t="str">
        <f t="shared" si="171"/>
        <v/>
      </c>
      <c r="AB98" s="2" t="str">
        <f t="shared" si="171"/>
        <v/>
      </c>
      <c r="AC98" s="2">
        <f t="shared" si="171"/>
        <v>6.5789473684210523E-2</v>
      </c>
      <c r="AD98" s="2" t="str">
        <f t="shared" si="171"/>
        <v/>
      </c>
      <c r="AE98" s="2" t="str">
        <f t="shared" si="171"/>
        <v/>
      </c>
      <c r="AF98" s="2" t="str">
        <f t="shared" si="171"/>
        <v/>
      </c>
      <c r="AG98" s="2" t="str">
        <f t="shared" si="171"/>
        <v/>
      </c>
      <c r="AH98" s="2" t="str">
        <f t="shared" si="171"/>
        <v/>
      </c>
      <c r="AI98" s="2" t="str">
        <f t="shared" si="171"/>
        <v/>
      </c>
      <c r="AJ98" s="2" t="str">
        <f t="shared" si="171"/>
        <v/>
      </c>
      <c r="AK98" s="2" t="str">
        <f t="shared" si="171"/>
        <v/>
      </c>
      <c r="AL98" s="2" t="str">
        <f t="shared" si="171"/>
        <v/>
      </c>
      <c r="AM98" s="2" t="str">
        <f t="shared" si="171"/>
        <v/>
      </c>
      <c r="AN98" s="2" t="str">
        <f t="shared" ref="AN98:AS98" si="172">IF(AN97="","",IF(AN97=0,"",AN97/(AN94*100)))</f>
        <v/>
      </c>
      <c r="AO98" s="2" t="str">
        <f t="shared" si="172"/>
        <v/>
      </c>
      <c r="AP98" s="2" t="str">
        <f t="shared" si="172"/>
        <v/>
      </c>
      <c r="AQ98" s="2" t="str">
        <f t="shared" si="172"/>
        <v/>
      </c>
      <c r="AR98" s="2" t="str">
        <f t="shared" si="172"/>
        <v/>
      </c>
      <c r="AS98" s="2" t="str">
        <f t="shared" si="172"/>
        <v/>
      </c>
    </row>
    <row r="99" spans="1:45">
      <c r="A99" s="436" t="s">
        <v>430</v>
      </c>
      <c r="B99" s="437"/>
      <c r="C99" s="437">
        <v>1</v>
      </c>
      <c r="AE99">
        <v>1</v>
      </c>
    </row>
  </sheetData>
  <phoneticPr fontId="2"/>
  <conditionalFormatting sqref="A14">
    <cfRule type="cellIs" dxfId="38" priority="1" operator="greaterThan">
      <formula>0.25</formula>
    </cfRule>
  </conditionalFormatting>
  <conditionalFormatting sqref="A26">
    <cfRule type="cellIs" dxfId="37" priority="2" operator="greaterThan">
      <formula>0.25</formula>
    </cfRule>
  </conditionalFormatting>
  <conditionalFormatting sqref="A38">
    <cfRule type="cellIs" dxfId="36" priority="3" operator="greaterThan">
      <formula>0.25</formula>
    </cfRule>
  </conditionalFormatting>
  <conditionalFormatting sqref="A50 A98">
    <cfRule type="cellIs" dxfId="35" priority="7" operator="greaterThan">
      <formula>0.25</formula>
    </cfRule>
  </conditionalFormatting>
  <conditionalFormatting sqref="A62">
    <cfRule type="cellIs" dxfId="34" priority="4" operator="greaterThan">
      <formula>0.25</formula>
    </cfRule>
  </conditionalFormatting>
  <conditionalFormatting sqref="A74">
    <cfRule type="cellIs" dxfId="33" priority="5" operator="greaterThan">
      <formula>0.25</formula>
    </cfRule>
  </conditionalFormatting>
  <conditionalFormatting sqref="A86">
    <cfRule type="cellIs" dxfId="32" priority="6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AE97-59CA-4D9B-B7EA-E65ED643F9E6}">
  <dimension ref="A1:AX221"/>
  <sheetViews>
    <sheetView zoomScaleNormal="90" workbookViewId="0">
      <pane xSplit="2" ySplit="3" topLeftCell="AD130" activePane="bottomRight" state="frozen"/>
      <selection pane="topRight" activeCell="C11" sqref="C11"/>
      <selection pane="bottomLeft" activeCell="C11" sqref="C11"/>
      <selection pane="bottomRight" activeCell="AI146" sqref="AI146"/>
    </sheetView>
  </sheetViews>
  <sheetFormatPr baseColWidth="10" defaultColWidth="6.5" defaultRowHeight="11"/>
  <cols>
    <col min="1" max="1" width="12.1640625" style="51" bestFit="1" customWidth="1"/>
    <col min="2" max="2" width="8.1640625" style="51" bestFit="1" customWidth="1"/>
    <col min="3" max="11" width="7.33203125" style="51" bestFit="1" customWidth="1"/>
    <col min="12" max="12" width="7.83203125" style="51" bestFit="1" customWidth="1"/>
    <col min="13" max="15" width="7.33203125" style="51" bestFit="1" customWidth="1"/>
    <col min="16" max="16" width="8" style="51" bestFit="1" customWidth="1"/>
    <col min="17" max="18" width="7.33203125" style="51" bestFit="1" customWidth="1"/>
    <col min="19" max="19" width="7.83203125" style="51" bestFit="1" customWidth="1"/>
    <col min="20" max="20" width="7.33203125" style="51" bestFit="1" customWidth="1"/>
    <col min="21" max="21" width="8" style="51" bestFit="1" customWidth="1"/>
    <col min="22" max="22" width="7.83203125" style="51" bestFit="1" customWidth="1"/>
    <col min="23" max="28" width="7.33203125" style="51" bestFit="1" customWidth="1"/>
    <col min="29" max="29" width="8" style="51" bestFit="1" customWidth="1"/>
    <col min="30" max="30" width="7.6640625" style="51" bestFit="1" customWidth="1"/>
    <col min="31" max="37" width="7.33203125" style="51" bestFit="1" customWidth="1"/>
    <col min="38" max="50" width="6.83203125" style="51" bestFit="1" customWidth="1"/>
    <col min="51" max="16384" width="6.5" style="51"/>
  </cols>
  <sheetData>
    <row r="1" spans="1:50" ht="13">
      <c r="B1" s="90"/>
      <c r="C1" s="90"/>
      <c r="D1" s="90"/>
      <c r="E1" s="105"/>
      <c r="F1" s="106"/>
      <c r="G1" s="107"/>
      <c r="H1" s="113" t="s">
        <v>136</v>
      </c>
      <c r="I1" s="113" t="s">
        <v>137</v>
      </c>
      <c r="J1" s="113" t="s">
        <v>138</v>
      </c>
      <c r="K1" s="113" t="s">
        <v>139</v>
      </c>
      <c r="L1" s="113" t="s">
        <v>140</v>
      </c>
      <c r="M1" s="114" t="s">
        <v>141</v>
      </c>
      <c r="N1" s="114" t="s">
        <v>142</v>
      </c>
      <c r="O1" s="114" t="s">
        <v>143</v>
      </c>
      <c r="P1" s="113" t="s">
        <v>144</v>
      </c>
      <c r="Q1" s="113" t="s">
        <v>145</v>
      </c>
      <c r="R1" s="114" t="s">
        <v>146</v>
      </c>
      <c r="S1" s="114" t="s">
        <v>147</v>
      </c>
      <c r="T1" s="114" t="s">
        <v>148</v>
      </c>
      <c r="U1" s="113" t="s">
        <v>149</v>
      </c>
      <c r="V1" s="113" t="s">
        <v>150</v>
      </c>
      <c r="W1" s="113" t="s">
        <v>150</v>
      </c>
      <c r="X1" s="113" t="s">
        <v>151</v>
      </c>
      <c r="Y1" s="113" t="s">
        <v>152</v>
      </c>
      <c r="Z1" s="91" t="s">
        <v>153</v>
      </c>
      <c r="AA1" s="91" t="s">
        <v>154</v>
      </c>
      <c r="AB1" s="92" t="s">
        <v>155</v>
      </c>
      <c r="AC1" s="92" t="s">
        <v>156</v>
      </c>
      <c r="AD1" s="91" t="s">
        <v>157</v>
      </c>
      <c r="AE1" s="91" t="s">
        <v>158</v>
      </c>
      <c r="AF1" s="91"/>
      <c r="AG1" s="91" t="s">
        <v>159</v>
      </c>
    </row>
    <row r="2" spans="1:50" s="71" customFormat="1" ht="12">
      <c r="A2" s="70" t="s">
        <v>160</v>
      </c>
      <c r="E2" s="103"/>
      <c r="H2" s="71">
        <f>A150*1000</f>
        <v>48000</v>
      </c>
      <c r="J2" s="71">
        <f>A70*1000</f>
        <v>34000</v>
      </c>
      <c r="K2" s="71">
        <f>A80*1000</f>
        <v>162000</v>
      </c>
      <c r="L2" s="71">
        <f>(A90+A100)*100</f>
        <v>73100</v>
      </c>
      <c r="M2" s="103">
        <f>+A110*1000</f>
        <v>136000</v>
      </c>
      <c r="N2" s="103">
        <f>+A120*1000</f>
        <v>116000</v>
      </c>
      <c r="O2" s="103">
        <f>+(A130+A140)*100</f>
        <v>76200</v>
      </c>
      <c r="P2" s="71">
        <f>A10*1000</f>
        <v>123000</v>
      </c>
      <c r="Q2" s="71">
        <f>A20*1000</f>
        <v>64000</v>
      </c>
      <c r="R2" s="103">
        <f>+A30*1000</f>
        <v>70000</v>
      </c>
      <c r="S2" s="103">
        <f>+A40*1000</f>
        <v>56000</v>
      </c>
      <c r="T2" s="103">
        <f>+(A50+A60)*100</f>
        <v>81100</v>
      </c>
      <c r="U2" s="71">
        <f>A161*1000</f>
        <v>310000</v>
      </c>
      <c r="V2" s="71">
        <f>A173*1000</f>
        <v>206000</v>
      </c>
      <c r="W2" s="71">
        <f>(A184+A194)*100</f>
        <v>100500</v>
      </c>
      <c r="X2" s="71">
        <f>A217*1000</f>
        <v>102000</v>
      </c>
      <c r="Y2" s="71">
        <f>A205*1000</f>
        <v>312000</v>
      </c>
    </row>
    <row r="3" spans="1:50" s="72" customFormat="1" ht="12" customHeight="1" thickBot="1">
      <c r="A3" s="78"/>
      <c r="B3" s="88" t="s">
        <v>0</v>
      </c>
      <c r="C3" s="89">
        <v>46066</v>
      </c>
      <c r="D3" s="89">
        <f t="shared" ref="D3:AO3" si="0">C3+1</f>
        <v>46067</v>
      </c>
      <c r="E3" s="89">
        <f t="shared" si="0"/>
        <v>46068</v>
      </c>
      <c r="F3" s="89">
        <f t="shared" si="0"/>
        <v>46069</v>
      </c>
      <c r="G3" s="89">
        <f t="shared" si="0"/>
        <v>46070</v>
      </c>
      <c r="H3" s="89">
        <f t="shared" si="0"/>
        <v>46071</v>
      </c>
      <c r="I3" s="89">
        <f t="shared" si="0"/>
        <v>46072</v>
      </c>
      <c r="J3" s="89">
        <f t="shared" si="0"/>
        <v>46073</v>
      </c>
      <c r="K3" s="89">
        <f t="shared" si="0"/>
        <v>46074</v>
      </c>
      <c r="L3" s="89">
        <f t="shared" si="0"/>
        <v>46075</v>
      </c>
      <c r="M3" s="89">
        <f t="shared" si="0"/>
        <v>46076</v>
      </c>
      <c r="N3" s="89">
        <f t="shared" si="0"/>
        <v>46077</v>
      </c>
      <c r="O3" s="89">
        <f t="shared" si="0"/>
        <v>46078</v>
      </c>
      <c r="P3" s="89">
        <f t="shared" si="0"/>
        <v>46079</v>
      </c>
      <c r="Q3" s="89">
        <f t="shared" si="0"/>
        <v>46080</v>
      </c>
      <c r="R3" s="89">
        <f t="shared" si="0"/>
        <v>46081</v>
      </c>
      <c r="S3" s="89">
        <f t="shared" si="0"/>
        <v>46082</v>
      </c>
      <c r="T3" s="89">
        <f t="shared" si="0"/>
        <v>46083</v>
      </c>
      <c r="U3" s="89">
        <f t="shared" si="0"/>
        <v>46084</v>
      </c>
      <c r="V3" s="89">
        <f t="shared" si="0"/>
        <v>46085</v>
      </c>
      <c r="W3" s="89">
        <f t="shared" si="0"/>
        <v>46086</v>
      </c>
      <c r="X3" s="89">
        <f t="shared" si="0"/>
        <v>46087</v>
      </c>
      <c r="Y3" s="89">
        <f t="shared" si="0"/>
        <v>46088</v>
      </c>
      <c r="Z3" s="89">
        <f t="shared" si="0"/>
        <v>46089</v>
      </c>
      <c r="AA3" s="89">
        <f t="shared" si="0"/>
        <v>46090</v>
      </c>
      <c r="AB3" s="89">
        <f t="shared" si="0"/>
        <v>46091</v>
      </c>
      <c r="AC3" s="89">
        <f t="shared" si="0"/>
        <v>46092</v>
      </c>
      <c r="AD3" s="89">
        <f t="shared" si="0"/>
        <v>46093</v>
      </c>
      <c r="AE3" s="89">
        <f t="shared" si="0"/>
        <v>46094</v>
      </c>
      <c r="AF3" s="89">
        <f t="shared" si="0"/>
        <v>46095</v>
      </c>
      <c r="AG3" s="89">
        <f t="shared" si="0"/>
        <v>46096</v>
      </c>
      <c r="AH3" s="89">
        <f t="shared" si="0"/>
        <v>46097</v>
      </c>
      <c r="AI3" s="89">
        <f t="shared" si="0"/>
        <v>46098</v>
      </c>
      <c r="AJ3" s="89">
        <f t="shared" si="0"/>
        <v>46099</v>
      </c>
      <c r="AK3" s="89">
        <f t="shared" si="0"/>
        <v>46100</v>
      </c>
      <c r="AL3" s="89">
        <f t="shared" si="0"/>
        <v>46101</v>
      </c>
      <c r="AM3" s="89">
        <f t="shared" si="0"/>
        <v>46102</v>
      </c>
      <c r="AN3" s="89">
        <f t="shared" si="0"/>
        <v>46103</v>
      </c>
      <c r="AO3" s="89">
        <f t="shared" si="0"/>
        <v>46104</v>
      </c>
      <c r="AP3" s="89">
        <f t="shared" ref="AP3" si="1">AO3+1</f>
        <v>46105</v>
      </c>
      <c r="AQ3" s="89">
        <f t="shared" ref="AQ3" si="2">AP3+1</f>
        <v>46106</v>
      </c>
      <c r="AR3" s="89">
        <f t="shared" ref="AR3" si="3">AQ3+1</f>
        <v>46107</v>
      </c>
      <c r="AS3" s="89">
        <f t="shared" ref="AS3" si="4">AR3+1</f>
        <v>46108</v>
      </c>
      <c r="AT3" s="89">
        <f t="shared" ref="AT3" si="5">AS3+1</f>
        <v>46109</v>
      </c>
      <c r="AU3" s="89">
        <f t="shared" ref="AU3" si="6">AT3+1</f>
        <v>46110</v>
      </c>
      <c r="AV3" s="89">
        <f t="shared" ref="AV3" si="7">AU3+1</f>
        <v>46111</v>
      </c>
      <c r="AW3" s="89">
        <f t="shared" ref="AW3" si="8">AV3+1</f>
        <v>46112</v>
      </c>
      <c r="AX3" s="89">
        <f t="shared" ref="AX3" si="9">AW3+1</f>
        <v>46113</v>
      </c>
    </row>
    <row r="4" spans="1:50" s="1" customFormat="1">
      <c r="A4" s="40" t="s">
        <v>61</v>
      </c>
      <c r="B4" s="39" t="s">
        <v>161</v>
      </c>
      <c r="C4" s="38">
        <v>9021</v>
      </c>
      <c r="D4" s="66">
        <v>9021</v>
      </c>
      <c r="E4" s="38">
        <v>9041</v>
      </c>
      <c r="F4" s="38">
        <v>9045</v>
      </c>
      <c r="G4" s="38">
        <v>9045</v>
      </c>
      <c r="H4" s="38">
        <v>9045</v>
      </c>
      <c r="I4" s="38">
        <v>9047</v>
      </c>
      <c r="J4" s="38">
        <v>9065</v>
      </c>
      <c r="K4" s="38">
        <v>9065</v>
      </c>
      <c r="L4" s="38">
        <v>9072</v>
      </c>
      <c r="M4" s="38">
        <v>9072</v>
      </c>
      <c r="N4" s="38">
        <v>9072</v>
      </c>
      <c r="O4" s="38">
        <v>9099</v>
      </c>
      <c r="P4" s="38">
        <v>9102</v>
      </c>
      <c r="Q4" s="38">
        <v>9102</v>
      </c>
      <c r="R4" s="38">
        <v>9102</v>
      </c>
      <c r="S4" s="38">
        <v>9123</v>
      </c>
      <c r="T4" s="38">
        <v>9123</v>
      </c>
      <c r="U4" s="38">
        <v>9124</v>
      </c>
      <c r="V4" s="38">
        <v>9124</v>
      </c>
      <c r="W4" s="38">
        <v>9127</v>
      </c>
      <c r="X4" s="38">
        <v>9127</v>
      </c>
      <c r="Y4" s="38">
        <v>9130</v>
      </c>
      <c r="Z4" s="38">
        <v>9136</v>
      </c>
      <c r="AA4" s="38">
        <v>9136</v>
      </c>
      <c r="AB4" s="38">
        <v>9136</v>
      </c>
      <c r="AC4" s="38">
        <v>9136</v>
      </c>
      <c r="AD4" s="38">
        <v>9144</v>
      </c>
      <c r="AE4" s="38">
        <v>9144</v>
      </c>
      <c r="AF4" s="38">
        <v>9144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</row>
    <row r="5" spans="1:50" s="1" customFormat="1">
      <c r="A5" s="56" t="s">
        <v>162</v>
      </c>
      <c r="B5" s="30" t="s">
        <v>163</v>
      </c>
      <c r="C5" s="29">
        <v>138</v>
      </c>
      <c r="D5" s="65">
        <v>138</v>
      </c>
      <c r="E5" s="29">
        <v>138</v>
      </c>
      <c r="F5" s="29">
        <v>138</v>
      </c>
      <c r="G5" s="29">
        <v>138</v>
      </c>
      <c r="H5" s="29">
        <v>138</v>
      </c>
      <c r="I5" s="29">
        <v>138</v>
      </c>
      <c r="J5" s="29">
        <v>139</v>
      </c>
      <c r="K5" s="29">
        <v>139</v>
      </c>
      <c r="L5" s="29">
        <v>139</v>
      </c>
      <c r="M5" s="29">
        <v>139</v>
      </c>
      <c r="N5" s="29">
        <v>139</v>
      </c>
      <c r="O5" s="29">
        <v>140</v>
      </c>
      <c r="P5" s="29">
        <v>140</v>
      </c>
      <c r="Q5" s="29">
        <v>140</v>
      </c>
      <c r="R5" s="29">
        <v>140</v>
      </c>
      <c r="S5" s="29">
        <v>141</v>
      </c>
      <c r="T5" s="29">
        <v>141</v>
      </c>
      <c r="U5" s="29">
        <v>141</v>
      </c>
      <c r="V5" s="29">
        <v>141</v>
      </c>
      <c r="W5" s="29">
        <v>141</v>
      </c>
      <c r="X5" s="29">
        <v>141</v>
      </c>
      <c r="Y5" s="29">
        <v>141</v>
      </c>
      <c r="Z5" s="29">
        <v>141</v>
      </c>
      <c r="AA5" s="29">
        <v>141</v>
      </c>
      <c r="AB5" s="29">
        <v>141</v>
      </c>
      <c r="AC5" s="29">
        <v>141</v>
      </c>
      <c r="AD5" s="29">
        <v>141</v>
      </c>
      <c r="AE5" s="29">
        <v>141</v>
      </c>
      <c r="AF5" s="29">
        <v>141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</row>
    <row r="6" spans="1:50" s="1" customFormat="1">
      <c r="A6" s="36" t="s">
        <v>9</v>
      </c>
      <c r="B6" s="30" t="s">
        <v>7</v>
      </c>
      <c r="C6" s="29"/>
      <c r="D6" s="65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</row>
    <row r="7" spans="1:50" s="1" customFormat="1">
      <c r="A7" s="28">
        <f>AVERAGE(C10:AO10)*30*1000</f>
        <v>127241.37931034483</v>
      </c>
      <c r="B7" s="30" t="s">
        <v>8</v>
      </c>
      <c r="C7" s="29"/>
      <c r="D7" s="65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</row>
    <row r="8" spans="1:50" s="11" customFormat="1">
      <c r="A8" s="34"/>
      <c r="B8" s="33" t="s">
        <v>164</v>
      </c>
      <c r="C8" s="32"/>
      <c r="D8" s="63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</row>
    <row r="9" spans="1:50" s="1" customFormat="1">
      <c r="A9" s="31"/>
      <c r="B9" s="30" t="s">
        <v>165</v>
      </c>
      <c r="C9" s="29"/>
      <c r="D9" s="65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</row>
    <row r="10" spans="1:50" s="1" customFormat="1">
      <c r="A10" s="28">
        <f>SUM(C10:AO10)</f>
        <v>123</v>
      </c>
      <c r="B10" s="55" t="s">
        <v>166</v>
      </c>
      <c r="C10" s="54"/>
      <c r="D10" s="65">
        <f t="shared" ref="D10:J11" si="10">IF(D4="","",D4-C4)</f>
        <v>0</v>
      </c>
      <c r="E10" s="54">
        <f t="shared" si="10"/>
        <v>20</v>
      </c>
      <c r="F10" s="54">
        <f t="shared" si="10"/>
        <v>4</v>
      </c>
      <c r="G10" s="54">
        <f t="shared" si="10"/>
        <v>0</v>
      </c>
      <c r="H10" s="54">
        <f t="shared" si="10"/>
        <v>0</v>
      </c>
      <c r="I10" s="54">
        <f t="shared" si="10"/>
        <v>2</v>
      </c>
      <c r="J10" s="54">
        <f t="shared" si="10"/>
        <v>18</v>
      </c>
      <c r="K10" s="54">
        <f t="shared" ref="K10:K11" si="11">IF(K4="","",K4-J4)</f>
        <v>0</v>
      </c>
      <c r="L10" s="54">
        <f>IF(L4="","",L4-K4)</f>
        <v>7</v>
      </c>
      <c r="M10" s="54">
        <f t="shared" ref="M10:N10" si="12">IF(M4="","",M4-L4)</f>
        <v>0</v>
      </c>
      <c r="N10" s="54">
        <f t="shared" si="12"/>
        <v>0</v>
      </c>
      <c r="O10" s="54">
        <f>IF(O4="","",O4-N4)</f>
        <v>27</v>
      </c>
      <c r="P10" s="54">
        <f>IF(P4="","",P4-O4)</f>
        <v>3</v>
      </c>
      <c r="Q10" s="54">
        <f t="shared" ref="Q10:R10" si="13">IF(Q4="","",Q4-P4)</f>
        <v>0</v>
      </c>
      <c r="R10" s="54">
        <f t="shared" si="13"/>
        <v>0</v>
      </c>
      <c r="S10" s="54">
        <f t="shared" ref="S10:AO10" si="14">IF(S4="","",S4-R4)</f>
        <v>21</v>
      </c>
      <c r="T10" s="54">
        <f t="shared" si="14"/>
        <v>0</v>
      </c>
      <c r="U10" s="54">
        <f>IF(U4="","",U4-T4)</f>
        <v>1</v>
      </c>
      <c r="V10" s="54">
        <f>IF(V4="","",V4-U4)</f>
        <v>0</v>
      </c>
      <c r="W10" s="54">
        <f t="shared" si="14"/>
        <v>3</v>
      </c>
      <c r="X10" s="54">
        <f t="shared" si="14"/>
        <v>0</v>
      </c>
      <c r="Y10" s="54">
        <f t="shared" si="14"/>
        <v>3</v>
      </c>
      <c r="Z10" s="54">
        <f t="shared" si="14"/>
        <v>6</v>
      </c>
      <c r="AA10" s="54">
        <f t="shared" si="14"/>
        <v>0</v>
      </c>
      <c r="AB10" s="54">
        <f t="shared" si="14"/>
        <v>0</v>
      </c>
      <c r="AC10" s="54">
        <f t="shared" si="14"/>
        <v>0</v>
      </c>
      <c r="AD10" s="54">
        <f>IF(AD4="","",AD4-AC4)</f>
        <v>8</v>
      </c>
      <c r="AE10" s="54">
        <f t="shared" si="14"/>
        <v>0</v>
      </c>
      <c r="AF10" s="54">
        <f t="shared" si="14"/>
        <v>0</v>
      </c>
      <c r="AG10" s="54" t="str">
        <f t="shared" si="14"/>
        <v/>
      </c>
      <c r="AH10" s="54" t="str">
        <f t="shared" si="14"/>
        <v/>
      </c>
      <c r="AI10" s="54" t="str">
        <f t="shared" si="14"/>
        <v/>
      </c>
      <c r="AJ10" s="54" t="str">
        <f t="shared" si="14"/>
        <v/>
      </c>
      <c r="AK10" s="54" t="str">
        <f t="shared" si="14"/>
        <v/>
      </c>
      <c r="AL10" s="54" t="str">
        <f t="shared" si="14"/>
        <v/>
      </c>
      <c r="AM10" s="54" t="str">
        <f t="shared" si="14"/>
        <v/>
      </c>
      <c r="AN10" s="54" t="str">
        <f t="shared" si="14"/>
        <v/>
      </c>
      <c r="AO10" s="54" t="str">
        <f t="shared" si="14"/>
        <v/>
      </c>
      <c r="AP10" s="54" t="str">
        <f t="shared" ref="AP10:AP11" si="15">IF(AP4="","",AP4-AO4)</f>
        <v/>
      </c>
      <c r="AQ10" s="54" t="str">
        <f t="shared" ref="AQ10:AQ11" si="16">IF(AQ4="","",AQ4-AP4)</f>
        <v/>
      </c>
      <c r="AR10" s="54" t="str">
        <f t="shared" ref="AR10:AR11" si="17">IF(AR4="","",AR4-AQ4)</f>
        <v/>
      </c>
      <c r="AS10" s="54" t="str">
        <f t="shared" ref="AS10:AS11" si="18">IF(AS4="","",AS4-AR4)</f>
        <v/>
      </c>
      <c r="AT10" s="54" t="str">
        <f t="shared" ref="AT10:AT11" si="19">IF(AT4="","",AT4-AS4)</f>
        <v/>
      </c>
      <c r="AU10" s="54" t="str">
        <f t="shared" ref="AU10:AU11" si="20">IF(AU4="","",AU4-AT4)</f>
        <v/>
      </c>
      <c r="AV10" s="54" t="str">
        <f t="shared" ref="AV10:AV11" si="21">IF(AV4="","",AV4-AU4)</f>
        <v/>
      </c>
      <c r="AW10" s="54" t="str">
        <f t="shared" ref="AW10:AW11" si="22">IF(AW4="","",AW4-AV4)</f>
        <v/>
      </c>
      <c r="AX10" s="54" t="str">
        <f t="shared" ref="AX10:AX11" si="23">IF(AX4="","",AX4-AW4)</f>
        <v/>
      </c>
    </row>
    <row r="11" spans="1:50" s="1" customFormat="1">
      <c r="A11" s="28">
        <f>SUM(C11:AO11)</f>
        <v>3</v>
      </c>
      <c r="B11" s="55" t="s">
        <v>167</v>
      </c>
      <c r="C11" s="54"/>
      <c r="D11" s="65">
        <f t="shared" si="10"/>
        <v>0</v>
      </c>
      <c r="E11" s="54">
        <f t="shared" si="10"/>
        <v>0</v>
      </c>
      <c r="F11" s="54">
        <f t="shared" si="10"/>
        <v>0</v>
      </c>
      <c r="G11" s="54">
        <f t="shared" si="10"/>
        <v>0</v>
      </c>
      <c r="H11" s="54">
        <f t="shared" si="10"/>
        <v>0</v>
      </c>
      <c r="I11" s="54">
        <f t="shared" si="10"/>
        <v>0</v>
      </c>
      <c r="J11" s="54">
        <f t="shared" si="10"/>
        <v>1</v>
      </c>
      <c r="K11" s="54">
        <f t="shared" si="11"/>
        <v>0</v>
      </c>
      <c r="L11" s="54">
        <f>IF(L5="","",L5-K5)</f>
        <v>0</v>
      </c>
      <c r="M11" s="54">
        <f t="shared" ref="M11:N11" si="24">IF(M5="","",M5-L5)</f>
        <v>0</v>
      </c>
      <c r="N11" s="54">
        <f t="shared" si="24"/>
        <v>0</v>
      </c>
      <c r="O11" s="54">
        <f>IF(O5="","",O5-N5)</f>
        <v>1</v>
      </c>
      <c r="P11" s="54">
        <f>IF(P5="","",P5-O5)</f>
        <v>0</v>
      </c>
      <c r="Q11" s="54">
        <f t="shared" ref="Q11:R11" si="25">IF(Q5="","",Q5-P5)</f>
        <v>0</v>
      </c>
      <c r="R11" s="54">
        <f t="shared" si="25"/>
        <v>0</v>
      </c>
      <c r="S11" s="54">
        <f t="shared" ref="S11:AO11" si="26">IF(S5="","",S5-R5)</f>
        <v>1</v>
      </c>
      <c r="T11" s="54">
        <f t="shared" si="26"/>
        <v>0</v>
      </c>
      <c r="U11" s="54">
        <f>IF(U5="","",U5-T5)</f>
        <v>0</v>
      </c>
      <c r="V11" s="54">
        <f>IF(V5="","",V5-U5)</f>
        <v>0</v>
      </c>
      <c r="W11" s="54">
        <f t="shared" si="26"/>
        <v>0</v>
      </c>
      <c r="X11" s="54">
        <f t="shared" si="26"/>
        <v>0</v>
      </c>
      <c r="Y11" s="54">
        <f t="shared" si="26"/>
        <v>0</v>
      </c>
      <c r="Z11" s="54">
        <f t="shared" si="26"/>
        <v>0</v>
      </c>
      <c r="AA11" s="54">
        <f t="shared" si="26"/>
        <v>0</v>
      </c>
      <c r="AB11" s="54">
        <f t="shared" si="26"/>
        <v>0</v>
      </c>
      <c r="AC11" s="54">
        <f t="shared" si="26"/>
        <v>0</v>
      </c>
      <c r="AD11" s="54">
        <f>IF(AD5="","",AD5-AC5)</f>
        <v>0</v>
      </c>
      <c r="AE11" s="54">
        <f t="shared" si="26"/>
        <v>0</v>
      </c>
      <c r="AF11" s="54">
        <f t="shared" si="26"/>
        <v>0</v>
      </c>
      <c r="AG11" s="54" t="str">
        <f t="shared" si="26"/>
        <v/>
      </c>
      <c r="AH11" s="54" t="str">
        <f t="shared" si="26"/>
        <v/>
      </c>
      <c r="AI11" s="54" t="str">
        <f t="shared" si="26"/>
        <v/>
      </c>
      <c r="AJ11" s="54" t="str">
        <f t="shared" si="26"/>
        <v/>
      </c>
      <c r="AK11" s="54" t="str">
        <f t="shared" si="26"/>
        <v/>
      </c>
      <c r="AL11" s="54" t="str">
        <f t="shared" si="26"/>
        <v/>
      </c>
      <c r="AM11" s="54" t="str">
        <f t="shared" si="26"/>
        <v/>
      </c>
      <c r="AN11" s="54" t="str">
        <f t="shared" si="26"/>
        <v/>
      </c>
      <c r="AO11" s="54" t="str">
        <f t="shared" si="26"/>
        <v/>
      </c>
      <c r="AP11" s="54" t="str">
        <f t="shared" si="15"/>
        <v/>
      </c>
      <c r="AQ11" s="54" t="str">
        <f t="shared" si="16"/>
        <v/>
      </c>
      <c r="AR11" s="54" t="str">
        <f t="shared" si="17"/>
        <v/>
      </c>
      <c r="AS11" s="54" t="str">
        <f t="shared" si="18"/>
        <v/>
      </c>
      <c r="AT11" s="54" t="str">
        <f t="shared" si="19"/>
        <v/>
      </c>
      <c r="AU11" s="54" t="str">
        <f t="shared" si="20"/>
        <v/>
      </c>
      <c r="AV11" s="54" t="str">
        <f t="shared" si="21"/>
        <v/>
      </c>
      <c r="AW11" s="54" t="str">
        <f t="shared" si="22"/>
        <v/>
      </c>
      <c r="AX11" s="54" t="str">
        <f t="shared" si="23"/>
        <v/>
      </c>
    </row>
    <row r="12" spans="1:50" s="1" customFormat="1">
      <c r="A12" s="28">
        <f>SUM(C12:AO12)</f>
        <v>0</v>
      </c>
      <c r="B12" s="55" t="s">
        <v>18</v>
      </c>
      <c r="C12" s="54"/>
      <c r="D12" s="65" t="str">
        <f>IF(D7="","",#REF!*D7)</f>
        <v/>
      </c>
      <c r="E12" s="54" t="str">
        <f>IF(E7="","",#REF!*E7)</f>
        <v/>
      </c>
      <c r="F12" s="54" t="str">
        <f>IF(F7="","",#REF!*F7)</f>
        <v/>
      </c>
      <c r="G12" s="54" t="str">
        <f>IF(G7="","",#REF!*G7)</f>
        <v/>
      </c>
      <c r="H12" s="54" t="str">
        <f>IF(H7="","",#REF!*H7)</f>
        <v/>
      </c>
      <c r="I12" s="54" t="str">
        <f>IF(I7="","",#REF!*I7)</f>
        <v/>
      </c>
      <c r="J12" s="54" t="str">
        <f>IF(J7="","",#REF!*J7)</f>
        <v/>
      </c>
      <c r="K12" s="54" t="str">
        <f>IF(K7="","",#REF!*K7)</f>
        <v/>
      </c>
      <c r="L12" s="54" t="str">
        <f>IF(L7="","",#REF!*L7)</f>
        <v/>
      </c>
      <c r="M12" s="54" t="str">
        <f>IF(M7="","",#REF!*M7)</f>
        <v/>
      </c>
      <c r="N12" s="54" t="str">
        <f>IF(N7="","",#REF!*N7)</f>
        <v/>
      </c>
      <c r="O12" s="54" t="str">
        <f>IF(O7="","",#REF!*O7)</f>
        <v/>
      </c>
      <c r="P12" s="54" t="str">
        <f>IF(P7="","",#REF!*P7)</f>
        <v/>
      </c>
      <c r="Q12" s="54" t="str">
        <f>IF(Q7="","",#REF!*Q7)</f>
        <v/>
      </c>
      <c r="R12" s="54" t="str">
        <f>IF(R7="","",#REF!*R7)</f>
        <v/>
      </c>
      <c r="S12" s="54" t="str">
        <f>IF(S7="","",#REF!*S7)</f>
        <v/>
      </c>
      <c r="T12" s="54" t="str">
        <f>IF(T7="","",#REF!*T7)</f>
        <v/>
      </c>
      <c r="U12" s="54" t="str">
        <f>IF(U7="","",#REF!*U7)</f>
        <v/>
      </c>
      <c r="V12" s="54" t="str">
        <f>IF(V7="","",#REF!*V7)</f>
        <v/>
      </c>
      <c r="W12" s="54" t="str">
        <f>IF(W7="","",#REF!*W7)</f>
        <v/>
      </c>
      <c r="X12" s="54" t="str">
        <f>IF(X7="","",#REF!*X7)</f>
        <v/>
      </c>
      <c r="Y12" s="54" t="str">
        <f>IF(Y7="","",#REF!*Y7)</f>
        <v/>
      </c>
      <c r="Z12" s="54" t="str">
        <f>IF(Z7="","",#REF!*Z7)</f>
        <v/>
      </c>
      <c r="AA12" s="54" t="str">
        <f>IF(AA7="","",#REF!*AA7)</f>
        <v/>
      </c>
      <c r="AB12" s="54" t="str">
        <f>IF(AB7="","",#REF!*AB7)</f>
        <v/>
      </c>
      <c r="AC12" s="54" t="str">
        <f>IF(AC7="","",#REF!*AC7)</f>
        <v/>
      </c>
      <c r="AD12" s="54" t="str">
        <f>IF(AD7="","",#REF!*AD7)</f>
        <v/>
      </c>
      <c r="AE12" s="54" t="str">
        <f>IF(AE7="","",#REF!*AE7)</f>
        <v/>
      </c>
      <c r="AF12" s="54" t="str">
        <f>IF(AF7="","",#REF!*AF7)</f>
        <v/>
      </c>
      <c r="AG12" s="54" t="str">
        <f>IF(AG7="","",#REF!*AG7)</f>
        <v/>
      </c>
      <c r="AH12" s="54" t="str">
        <f>IF(AH7="","",#REF!*AH7)</f>
        <v/>
      </c>
      <c r="AI12" s="54" t="str">
        <f>IF(AI7="","",#REF!*AI7)</f>
        <v/>
      </c>
      <c r="AJ12" s="54" t="str">
        <f>IF(AJ7="","",#REF!*AJ7)</f>
        <v/>
      </c>
      <c r="AK12" s="54" t="str">
        <f>IF(AK7="","",#REF!*AK7)</f>
        <v/>
      </c>
      <c r="AL12" s="54" t="str">
        <f>IF(AL7="","",#REF!*AL7)</f>
        <v/>
      </c>
      <c r="AM12" s="54" t="str">
        <f>IF(AM7="","",#REF!*AM7)</f>
        <v/>
      </c>
      <c r="AN12" s="54" t="str">
        <f>IF(AN7="","",#REF!*AN7)</f>
        <v/>
      </c>
      <c r="AO12" s="54" t="str">
        <f>IF(AO7="","",#REF!*AO7)</f>
        <v/>
      </c>
      <c r="AP12" s="54" t="str">
        <f>IF(AP7="","",#REF!*AP7)</f>
        <v/>
      </c>
      <c r="AQ12" s="54" t="str">
        <f>IF(AQ7="","",#REF!*AQ7)</f>
        <v/>
      </c>
      <c r="AR12" s="54" t="str">
        <f>IF(AR7="","",#REF!*AR7)</f>
        <v/>
      </c>
      <c r="AS12" s="54" t="str">
        <f>IF(AS7="","",#REF!*AS7)</f>
        <v/>
      </c>
      <c r="AT12" s="54" t="str">
        <f>IF(AT7="","",#REF!*AT7)</f>
        <v/>
      </c>
      <c r="AU12" s="54" t="str">
        <f>IF(AU7="","",#REF!*AU7)</f>
        <v/>
      </c>
      <c r="AV12" s="54" t="str">
        <f>IF(AV7="","",#REF!*AV7)</f>
        <v/>
      </c>
      <c r="AW12" s="54" t="str">
        <f>IF(AW7="","",#REF!*AW7)</f>
        <v/>
      </c>
      <c r="AX12" s="54" t="str">
        <f>IF(AX7="","",#REF!*AX7)</f>
        <v/>
      </c>
    </row>
    <row r="13" spans="1:50" s="1" customFormat="1" ht="12" thickBot="1">
      <c r="A13" s="25">
        <f>IF(A12="","",A12/(A10*100))</f>
        <v>0</v>
      </c>
      <c r="B13" s="53" t="s">
        <v>20</v>
      </c>
      <c r="C13" s="52" t="str">
        <f t="shared" ref="C13:J13" si="27">IF(C12="","",C12/(C10*100))</f>
        <v/>
      </c>
      <c r="D13" s="67" t="str">
        <f t="shared" si="27"/>
        <v/>
      </c>
      <c r="E13" s="52" t="str">
        <f t="shared" si="27"/>
        <v/>
      </c>
      <c r="F13" s="52" t="str">
        <f t="shared" si="27"/>
        <v/>
      </c>
      <c r="G13" s="52" t="str">
        <f t="shared" si="27"/>
        <v/>
      </c>
      <c r="H13" s="52" t="str">
        <f t="shared" si="27"/>
        <v/>
      </c>
      <c r="I13" s="52" t="str">
        <f t="shared" si="27"/>
        <v/>
      </c>
      <c r="J13" s="52" t="str">
        <f t="shared" si="27"/>
        <v/>
      </c>
      <c r="K13" s="52" t="str">
        <f t="shared" ref="K13" si="28">IF(K12="","",K12/(K10*100))</f>
        <v/>
      </c>
      <c r="L13" s="52" t="str">
        <f>IF(L12="","",L12/(L10*100))</f>
        <v/>
      </c>
      <c r="M13" s="52" t="str">
        <f t="shared" ref="M13:N13" si="29">IF(M12="","",M12/(M10*100))</f>
        <v/>
      </c>
      <c r="N13" s="52" t="str">
        <f t="shared" si="29"/>
        <v/>
      </c>
      <c r="O13" s="52" t="str">
        <f>IF(O12="","",O12/(O10*100))</f>
        <v/>
      </c>
      <c r="P13" s="52" t="str">
        <f>IF(P12="","",P12/(P10*100))</f>
        <v/>
      </c>
      <c r="Q13" s="52" t="str">
        <f t="shared" ref="Q13:R13" si="30">IF(Q12="","",Q12/(Q10*100))</f>
        <v/>
      </c>
      <c r="R13" s="52" t="str">
        <f t="shared" si="30"/>
        <v/>
      </c>
      <c r="S13" s="52" t="str">
        <f t="shared" ref="S13:AO13" si="31">IF(S12="","",S12/(S10*100))</f>
        <v/>
      </c>
      <c r="T13" s="52" t="str">
        <f t="shared" si="31"/>
        <v/>
      </c>
      <c r="U13" s="52" t="str">
        <f>IF(U12="","",U12/(U10*100))</f>
        <v/>
      </c>
      <c r="V13" s="52" t="str">
        <f t="shared" si="31"/>
        <v/>
      </c>
      <c r="W13" s="52" t="str">
        <f t="shared" si="31"/>
        <v/>
      </c>
      <c r="X13" s="52" t="str">
        <f t="shared" ref="X13" si="32">IF(X12="","",X12/(X10*100))</f>
        <v/>
      </c>
      <c r="Y13" s="52" t="str">
        <f t="shared" si="31"/>
        <v/>
      </c>
      <c r="Z13" s="52" t="str">
        <f t="shared" si="31"/>
        <v/>
      </c>
      <c r="AA13" s="52" t="str">
        <f t="shared" si="31"/>
        <v/>
      </c>
      <c r="AB13" s="52" t="str">
        <f t="shared" si="31"/>
        <v/>
      </c>
      <c r="AC13" s="52" t="str">
        <f t="shared" si="31"/>
        <v/>
      </c>
      <c r="AD13" s="52" t="str">
        <f>IF(AD12="","",AD12/(AD10*100))</f>
        <v/>
      </c>
      <c r="AE13" s="52" t="str">
        <f t="shared" si="31"/>
        <v/>
      </c>
      <c r="AF13" s="52" t="str">
        <f t="shared" si="31"/>
        <v/>
      </c>
      <c r="AG13" s="52" t="str">
        <f t="shared" si="31"/>
        <v/>
      </c>
      <c r="AH13" s="52" t="str">
        <f t="shared" si="31"/>
        <v/>
      </c>
      <c r="AI13" s="52" t="str">
        <f t="shared" si="31"/>
        <v/>
      </c>
      <c r="AJ13" s="52" t="str">
        <f t="shared" si="31"/>
        <v/>
      </c>
      <c r="AK13" s="52" t="str">
        <f t="shared" si="31"/>
        <v/>
      </c>
      <c r="AL13" s="52" t="str">
        <f t="shared" si="31"/>
        <v/>
      </c>
      <c r="AM13" s="52" t="str">
        <f t="shared" si="31"/>
        <v/>
      </c>
      <c r="AN13" s="52" t="str">
        <f t="shared" si="31"/>
        <v/>
      </c>
      <c r="AO13" s="52" t="str">
        <f t="shared" si="31"/>
        <v/>
      </c>
      <c r="AP13" s="52" t="str">
        <f t="shared" ref="AP13" si="33">IF(AP12="","",AP12/(AP10*100))</f>
        <v/>
      </c>
      <c r="AQ13" s="52" t="str">
        <f t="shared" ref="AQ13:AX13" si="34">IF(AQ12="","",AQ12/(AQ10*100))</f>
        <v/>
      </c>
      <c r="AR13" s="52" t="str">
        <f t="shared" si="34"/>
        <v/>
      </c>
      <c r="AS13" s="52" t="str">
        <f t="shared" si="34"/>
        <v/>
      </c>
      <c r="AT13" s="52" t="str">
        <f t="shared" si="34"/>
        <v/>
      </c>
      <c r="AU13" s="52" t="str">
        <f t="shared" si="34"/>
        <v/>
      </c>
      <c r="AV13" s="52" t="str">
        <f t="shared" si="34"/>
        <v/>
      </c>
      <c r="AW13" s="52" t="str">
        <f t="shared" si="34"/>
        <v/>
      </c>
      <c r="AX13" s="52" t="str">
        <f t="shared" si="34"/>
        <v/>
      </c>
    </row>
    <row r="14" spans="1:50" s="1" customFormat="1">
      <c r="A14" s="40" t="s">
        <v>61</v>
      </c>
      <c r="B14" s="39" t="s">
        <v>168</v>
      </c>
      <c r="C14" s="38">
        <v>3032</v>
      </c>
      <c r="D14" s="66">
        <v>3032</v>
      </c>
      <c r="E14" s="38">
        <v>3052</v>
      </c>
      <c r="F14" s="38">
        <v>3056</v>
      </c>
      <c r="G14" s="38">
        <v>3056</v>
      </c>
      <c r="H14" s="38">
        <v>3056</v>
      </c>
      <c r="I14" s="38">
        <v>3060</v>
      </c>
      <c r="J14" s="38">
        <v>3062</v>
      </c>
      <c r="K14" s="38">
        <v>3062</v>
      </c>
      <c r="L14" s="38">
        <v>3062</v>
      </c>
      <c r="M14" s="38">
        <v>3062</v>
      </c>
      <c r="N14" s="38">
        <v>3062</v>
      </c>
      <c r="O14" s="38">
        <v>3064</v>
      </c>
      <c r="P14" s="38">
        <v>3068</v>
      </c>
      <c r="Q14" s="38">
        <v>3068</v>
      </c>
      <c r="R14" s="38">
        <v>3068</v>
      </c>
      <c r="S14" s="38">
        <v>3078</v>
      </c>
      <c r="T14" s="38">
        <v>3078</v>
      </c>
      <c r="U14" s="38">
        <v>3080</v>
      </c>
      <c r="V14" s="38">
        <v>3080</v>
      </c>
      <c r="W14" s="38">
        <v>3086</v>
      </c>
      <c r="X14" s="38">
        <v>3086</v>
      </c>
      <c r="Y14" s="38">
        <v>3088</v>
      </c>
      <c r="Z14" s="38">
        <v>3090</v>
      </c>
      <c r="AA14" s="38">
        <v>3090</v>
      </c>
      <c r="AB14" s="38">
        <v>3090</v>
      </c>
      <c r="AC14" s="38">
        <v>3090</v>
      </c>
      <c r="AD14" s="38">
        <v>3096</v>
      </c>
      <c r="AE14" s="38">
        <v>3096</v>
      </c>
      <c r="AF14" s="38">
        <v>3096</v>
      </c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</row>
    <row r="15" spans="1:50" s="1" customFormat="1">
      <c r="A15" s="56" t="s">
        <v>169</v>
      </c>
      <c r="B15" s="30" t="s">
        <v>163</v>
      </c>
      <c r="C15" s="29">
        <v>1535</v>
      </c>
      <c r="D15" s="65">
        <v>1535</v>
      </c>
      <c r="E15" s="29">
        <v>1545</v>
      </c>
      <c r="F15" s="29">
        <v>1547</v>
      </c>
      <c r="G15" s="29">
        <v>1547</v>
      </c>
      <c r="H15" s="29">
        <v>1547</v>
      </c>
      <c r="I15" s="29">
        <v>1549</v>
      </c>
      <c r="J15" s="29">
        <v>1550</v>
      </c>
      <c r="K15" s="29">
        <v>1550</v>
      </c>
      <c r="L15" s="29">
        <v>1550</v>
      </c>
      <c r="M15" s="29">
        <v>1550</v>
      </c>
      <c r="N15" s="29">
        <v>1550</v>
      </c>
      <c r="O15" s="29">
        <v>1551</v>
      </c>
      <c r="P15" s="29">
        <v>1553</v>
      </c>
      <c r="Q15" s="29">
        <v>1553</v>
      </c>
      <c r="R15" s="29">
        <v>1553</v>
      </c>
      <c r="S15" s="29">
        <v>1558</v>
      </c>
      <c r="T15" s="29">
        <v>1558</v>
      </c>
      <c r="U15" s="29">
        <v>1559</v>
      </c>
      <c r="V15" s="29">
        <v>1559</v>
      </c>
      <c r="W15" s="29">
        <v>1562</v>
      </c>
      <c r="X15" s="29">
        <v>1562</v>
      </c>
      <c r="Y15" s="29">
        <v>1563</v>
      </c>
      <c r="Z15" s="29">
        <v>1564</v>
      </c>
      <c r="AA15" s="29">
        <v>1564</v>
      </c>
      <c r="AB15" s="29">
        <v>1564</v>
      </c>
      <c r="AC15" s="29">
        <v>1564</v>
      </c>
      <c r="AD15" s="29">
        <v>1567</v>
      </c>
      <c r="AE15" s="29">
        <v>1567</v>
      </c>
      <c r="AF15" s="29">
        <v>1567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0" s="1" customFormat="1">
      <c r="A16" s="36" t="s">
        <v>9</v>
      </c>
      <c r="B16" s="30" t="s">
        <v>7</v>
      </c>
      <c r="C16" s="29"/>
      <c r="D16" s="65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</row>
    <row r="17" spans="1:50" s="1" customFormat="1">
      <c r="A17" s="28">
        <f>AVERAGE(C20:AO20)*30*1000</f>
        <v>66206.896551724145</v>
      </c>
      <c r="B17" s="30" t="s">
        <v>8</v>
      </c>
      <c r="C17" s="29"/>
      <c r="D17" s="65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</row>
    <row r="18" spans="1:50" s="11" customFormat="1">
      <c r="A18" s="34"/>
      <c r="B18" s="33" t="s">
        <v>164</v>
      </c>
      <c r="C18" s="32"/>
      <c r="D18" s="6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</row>
    <row r="19" spans="1:50" s="1" customFormat="1">
      <c r="A19" s="31"/>
      <c r="B19" s="30" t="s">
        <v>165</v>
      </c>
      <c r="C19" s="29"/>
      <c r="D19" s="65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</row>
    <row r="20" spans="1:50" s="1" customFormat="1">
      <c r="A20" s="28">
        <f>SUM(C20:AO20)</f>
        <v>64</v>
      </c>
      <c r="B20" s="55" t="s">
        <v>166</v>
      </c>
      <c r="C20" s="54"/>
      <c r="D20" s="65">
        <f t="shared" ref="D20:J21" si="35">IF(D14="","",D14-C14)</f>
        <v>0</v>
      </c>
      <c r="E20" s="54">
        <f t="shared" si="35"/>
        <v>20</v>
      </c>
      <c r="F20" s="54">
        <f t="shared" si="35"/>
        <v>4</v>
      </c>
      <c r="G20" s="54">
        <f t="shared" si="35"/>
        <v>0</v>
      </c>
      <c r="H20" s="54">
        <f t="shared" si="35"/>
        <v>0</v>
      </c>
      <c r="I20" s="54">
        <f t="shared" si="35"/>
        <v>4</v>
      </c>
      <c r="J20" s="54">
        <f t="shared" si="35"/>
        <v>2</v>
      </c>
      <c r="K20" s="54">
        <f t="shared" ref="K20:K21" si="36">IF(K14="","",K14-J14)</f>
        <v>0</v>
      </c>
      <c r="L20" s="54">
        <f>IF(L14="","",L14-K14)</f>
        <v>0</v>
      </c>
      <c r="M20" s="54">
        <f t="shared" ref="M20:N20" si="37">IF(M14="","",M14-L14)</f>
        <v>0</v>
      </c>
      <c r="N20" s="54">
        <f t="shared" si="37"/>
        <v>0</v>
      </c>
      <c r="O20" s="54">
        <f>IF(O14="","",O14-N14)</f>
        <v>2</v>
      </c>
      <c r="P20" s="54">
        <f>IF(P14="","",P14-O14)</f>
        <v>4</v>
      </c>
      <c r="Q20" s="54">
        <f t="shared" ref="Q20:R20" si="38">IF(Q14="","",Q14-P14)</f>
        <v>0</v>
      </c>
      <c r="R20" s="54">
        <f t="shared" si="38"/>
        <v>0</v>
      </c>
      <c r="S20" s="54">
        <f t="shared" ref="S20:AO20" si="39">IF(S14="","",S14-R14)</f>
        <v>10</v>
      </c>
      <c r="T20" s="54">
        <f t="shared" si="39"/>
        <v>0</v>
      </c>
      <c r="U20" s="54">
        <f t="shared" si="39"/>
        <v>2</v>
      </c>
      <c r="V20" s="54">
        <f t="shared" si="39"/>
        <v>0</v>
      </c>
      <c r="W20" s="54">
        <f t="shared" si="39"/>
        <v>6</v>
      </c>
      <c r="X20" s="54">
        <f t="shared" si="39"/>
        <v>0</v>
      </c>
      <c r="Y20" s="54">
        <f t="shared" si="39"/>
        <v>2</v>
      </c>
      <c r="Z20" s="54">
        <f t="shared" si="39"/>
        <v>2</v>
      </c>
      <c r="AA20" s="54">
        <f t="shared" si="39"/>
        <v>0</v>
      </c>
      <c r="AB20" s="54">
        <f t="shared" si="39"/>
        <v>0</v>
      </c>
      <c r="AC20" s="54">
        <f t="shared" si="39"/>
        <v>0</v>
      </c>
      <c r="AD20" s="54">
        <f>IF(AD14="","",AD14-AC14)</f>
        <v>6</v>
      </c>
      <c r="AE20" s="54">
        <f t="shared" si="39"/>
        <v>0</v>
      </c>
      <c r="AF20" s="54">
        <f t="shared" si="39"/>
        <v>0</v>
      </c>
      <c r="AG20" s="54" t="str">
        <f t="shared" si="39"/>
        <v/>
      </c>
      <c r="AH20" s="54" t="str">
        <f t="shared" si="39"/>
        <v/>
      </c>
      <c r="AI20" s="54" t="str">
        <f t="shared" si="39"/>
        <v/>
      </c>
      <c r="AJ20" s="54" t="str">
        <f t="shared" si="39"/>
        <v/>
      </c>
      <c r="AK20" s="54" t="str">
        <f t="shared" si="39"/>
        <v/>
      </c>
      <c r="AL20" s="54" t="str">
        <f t="shared" si="39"/>
        <v/>
      </c>
      <c r="AM20" s="54" t="str">
        <f t="shared" si="39"/>
        <v/>
      </c>
      <c r="AN20" s="54" t="str">
        <f t="shared" si="39"/>
        <v/>
      </c>
      <c r="AO20" s="54" t="str">
        <f t="shared" si="39"/>
        <v/>
      </c>
      <c r="AP20" s="54" t="str">
        <f t="shared" ref="AP20:AP21" si="40">IF(AP14="","",AP14-AO14)</f>
        <v/>
      </c>
      <c r="AQ20" s="54" t="str">
        <f t="shared" ref="AQ20:AQ21" si="41">IF(AQ14="","",AQ14-AP14)</f>
        <v/>
      </c>
      <c r="AR20" s="54" t="str">
        <f t="shared" ref="AR20:AR21" si="42">IF(AR14="","",AR14-AQ14)</f>
        <v/>
      </c>
      <c r="AS20" s="54" t="str">
        <f t="shared" ref="AS20:AS21" si="43">IF(AS14="","",AS14-AR14)</f>
        <v/>
      </c>
      <c r="AT20" s="54" t="str">
        <f t="shared" ref="AT20:AT21" si="44">IF(AT14="","",AT14-AS14)</f>
        <v/>
      </c>
      <c r="AU20" s="54" t="str">
        <f t="shared" ref="AU20:AU21" si="45">IF(AU14="","",AU14-AT14)</f>
        <v/>
      </c>
      <c r="AV20" s="54" t="str">
        <f t="shared" ref="AV20:AV21" si="46">IF(AV14="","",AV14-AU14)</f>
        <v/>
      </c>
      <c r="AW20" s="54" t="str">
        <f t="shared" ref="AW20:AW21" si="47">IF(AW14="","",AW14-AV14)</f>
        <v/>
      </c>
      <c r="AX20" s="54" t="str">
        <f t="shared" ref="AX20:AX21" si="48">IF(AX14="","",AX14-AW14)</f>
        <v/>
      </c>
    </row>
    <row r="21" spans="1:50" s="1" customFormat="1">
      <c r="A21" s="28">
        <f>SUM(C21:AO21)</f>
        <v>32</v>
      </c>
      <c r="B21" s="55" t="s">
        <v>167</v>
      </c>
      <c r="C21" s="54"/>
      <c r="D21" s="65">
        <f t="shared" si="35"/>
        <v>0</v>
      </c>
      <c r="E21" s="54">
        <f t="shared" si="35"/>
        <v>10</v>
      </c>
      <c r="F21" s="54">
        <f t="shared" si="35"/>
        <v>2</v>
      </c>
      <c r="G21" s="54">
        <f t="shared" si="35"/>
        <v>0</v>
      </c>
      <c r="H21" s="54">
        <f t="shared" si="35"/>
        <v>0</v>
      </c>
      <c r="I21" s="54">
        <f t="shared" si="35"/>
        <v>2</v>
      </c>
      <c r="J21" s="54">
        <f t="shared" si="35"/>
        <v>1</v>
      </c>
      <c r="K21" s="54">
        <f t="shared" si="36"/>
        <v>0</v>
      </c>
      <c r="L21" s="54">
        <f>IF(L15="","",L15-K15)</f>
        <v>0</v>
      </c>
      <c r="M21" s="54">
        <f t="shared" ref="M21:N21" si="49">IF(M15="","",M15-L15)</f>
        <v>0</v>
      </c>
      <c r="N21" s="54">
        <f t="shared" si="49"/>
        <v>0</v>
      </c>
      <c r="O21" s="54">
        <f>IF(O15="","",O15-N15)</f>
        <v>1</v>
      </c>
      <c r="P21" s="54">
        <f>IF(P15="","",P15-O15)</f>
        <v>2</v>
      </c>
      <c r="Q21" s="54">
        <f t="shared" ref="Q21:R21" si="50">IF(Q15="","",Q15-P15)</f>
        <v>0</v>
      </c>
      <c r="R21" s="54">
        <f t="shared" si="50"/>
        <v>0</v>
      </c>
      <c r="S21" s="54">
        <f t="shared" ref="S21:AO21" si="51">IF(S15="","",S15-R15)</f>
        <v>5</v>
      </c>
      <c r="T21" s="54">
        <f t="shared" si="51"/>
        <v>0</v>
      </c>
      <c r="U21" s="54">
        <f t="shared" si="51"/>
        <v>1</v>
      </c>
      <c r="V21" s="54">
        <f t="shared" si="51"/>
        <v>0</v>
      </c>
      <c r="W21" s="54">
        <f t="shared" si="51"/>
        <v>3</v>
      </c>
      <c r="X21" s="54">
        <f t="shared" si="51"/>
        <v>0</v>
      </c>
      <c r="Y21" s="54">
        <f t="shared" si="51"/>
        <v>1</v>
      </c>
      <c r="Z21" s="54">
        <f t="shared" si="51"/>
        <v>1</v>
      </c>
      <c r="AA21" s="54">
        <f t="shared" si="51"/>
        <v>0</v>
      </c>
      <c r="AB21" s="54">
        <f t="shared" si="51"/>
        <v>0</v>
      </c>
      <c r="AC21" s="54">
        <f t="shared" si="51"/>
        <v>0</v>
      </c>
      <c r="AD21" s="54">
        <f>IF(AD15="","",AD15-AC15)</f>
        <v>3</v>
      </c>
      <c r="AE21" s="54">
        <f t="shared" si="51"/>
        <v>0</v>
      </c>
      <c r="AF21" s="54">
        <f t="shared" si="51"/>
        <v>0</v>
      </c>
      <c r="AG21" s="54" t="str">
        <f t="shared" si="51"/>
        <v/>
      </c>
      <c r="AH21" s="54" t="str">
        <f t="shared" si="51"/>
        <v/>
      </c>
      <c r="AI21" s="54" t="str">
        <f t="shared" si="51"/>
        <v/>
      </c>
      <c r="AJ21" s="54" t="str">
        <f t="shared" si="51"/>
        <v/>
      </c>
      <c r="AK21" s="54" t="str">
        <f t="shared" si="51"/>
        <v/>
      </c>
      <c r="AL21" s="54" t="str">
        <f t="shared" si="51"/>
        <v/>
      </c>
      <c r="AM21" s="54" t="str">
        <f t="shared" si="51"/>
        <v/>
      </c>
      <c r="AN21" s="54" t="str">
        <f t="shared" si="51"/>
        <v/>
      </c>
      <c r="AO21" s="54" t="str">
        <f t="shared" si="51"/>
        <v/>
      </c>
      <c r="AP21" s="54" t="str">
        <f t="shared" si="40"/>
        <v/>
      </c>
      <c r="AQ21" s="54" t="str">
        <f t="shared" si="41"/>
        <v/>
      </c>
      <c r="AR21" s="54" t="str">
        <f t="shared" si="42"/>
        <v/>
      </c>
      <c r="AS21" s="54" t="str">
        <f t="shared" si="43"/>
        <v/>
      </c>
      <c r="AT21" s="54" t="str">
        <f t="shared" si="44"/>
        <v/>
      </c>
      <c r="AU21" s="54" t="str">
        <f t="shared" si="45"/>
        <v/>
      </c>
      <c r="AV21" s="54" t="str">
        <f t="shared" si="46"/>
        <v/>
      </c>
      <c r="AW21" s="54" t="str">
        <f t="shared" si="47"/>
        <v/>
      </c>
      <c r="AX21" s="54" t="str">
        <f t="shared" si="48"/>
        <v/>
      </c>
    </row>
    <row r="22" spans="1:50" s="1" customFormat="1">
      <c r="A22" s="28">
        <f>SUM(C22:AO22)</f>
        <v>0</v>
      </c>
      <c r="B22" s="55" t="s">
        <v>18</v>
      </c>
      <c r="C22" s="54" t="str">
        <f>IF(C17="","",#REF!*C17)</f>
        <v/>
      </c>
      <c r="D22" s="65" t="str">
        <f>IF(D17="","",#REF!*D17)</f>
        <v/>
      </c>
      <c r="E22" s="54" t="str">
        <f>IF(E17="","",#REF!*E17)</f>
        <v/>
      </c>
      <c r="F22" s="54" t="str">
        <f>IF(F17="","",#REF!*F17)</f>
        <v/>
      </c>
      <c r="G22" s="54" t="str">
        <f>IF(G17="","",#REF!*G17)</f>
        <v/>
      </c>
      <c r="H22" s="54" t="str">
        <f>IF(H17="","",#REF!*H17)</f>
        <v/>
      </c>
      <c r="I22" s="54" t="str">
        <f>IF(I17="","",#REF!*I17)</f>
        <v/>
      </c>
      <c r="J22" s="54" t="str">
        <f>IF(J17="","",#REF!*J17)</f>
        <v/>
      </c>
      <c r="K22" s="54" t="str">
        <f>IF(K17="","",#REF!*K17)</f>
        <v/>
      </c>
      <c r="L22" s="54" t="str">
        <f>IF(L17="","",#REF!*L17)</f>
        <v/>
      </c>
      <c r="M22" s="54" t="str">
        <f>IF(M17="","",#REF!*M17)</f>
        <v/>
      </c>
      <c r="N22" s="54" t="str">
        <f>IF(N17="","",#REF!*N17)</f>
        <v/>
      </c>
      <c r="O22" s="54" t="str">
        <f>IF(O17="","",#REF!*O17)</f>
        <v/>
      </c>
      <c r="P22" s="54" t="str">
        <f>IF(P17="","",#REF!*P17)</f>
        <v/>
      </c>
      <c r="Q22" s="54" t="str">
        <f>IF(Q17="","",#REF!*Q17)</f>
        <v/>
      </c>
      <c r="R22" s="54" t="str">
        <f>IF(R17="","",#REF!*R17)</f>
        <v/>
      </c>
      <c r="S22" s="54" t="str">
        <f>IF(S17="","",#REF!*S17)</f>
        <v/>
      </c>
      <c r="T22" s="54" t="str">
        <f>IF(T17="","",#REF!*T17)</f>
        <v/>
      </c>
      <c r="U22" s="54" t="str">
        <f>IF(U17="","",#REF!*U17)</f>
        <v/>
      </c>
      <c r="V22" s="54" t="str">
        <f>IF(V17="","",#REF!*V17)</f>
        <v/>
      </c>
      <c r="W22" s="54" t="str">
        <f>IF(W17="","",#REF!*W17)</f>
        <v/>
      </c>
      <c r="X22" s="54" t="str">
        <f>IF(X17="","",#REF!*X17)</f>
        <v/>
      </c>
      <c r="Y22" s="54" t="str">
        <f>IF(Y17="","",#REF!*Y17)</f>
        <v/>
      </c>
      <c r="Z22" s="54" t="str">
        <f>IF(Z17="","",#REF!*Z17)</f>
        <v/>
      </c>
      <c r="AA22" s="54" t="str">
        <f>IF(AA17="","",#REF!*AA17)</f>
        <v/>
      </c>
      <c r="AB22" s="54" t="str">
        <f>IF(AB17="","",#REF!*AB17)</f>
        <v/>
      </c>
      <c r="AC22" s="54" t="str">
        <f>IF(AC17="","",#REF!*AC17)</f>
        <v/>
      </c>
      <c r="AD22" s="54" t="str">
        <f>IF(AD17="","",#REF!*AD17)</f>
        <v/>
      </c>
      <c r="AE22" s="54" t="str">
        <f>IF(AE17="","",#REF!*AE17)</f>
        <v/>
      </c>
      <c r="AF22" s="54" t="str">
        <f>IF(AF17="","",#REF!*AF17)</f>
        <v/>
      </c>
      <c r="AG22" s="54" t="str">
        <f>IF(AG17="","",#REF!*AG17)</f>
        <v/>
      </c>
      <c r="AH22" s="54" t="str">
        <f>IF(AH17="","",#REF!*AH17)</f>
        <v/>
      </c>
      <c r="AI22" s="54" t="str">
        <f>IF(AI17="","",#REF!*AI17)</f>
        <v/>
      </c>
      <c r="AJ22" s="54" t="str">
        <f>IF(AJ17="","",#REF!*AJ17)</f>
        <v/>
      </c>
      <c r="AK22" s="54" t="str">
        <f>IF(AK17="","",#REF!*AK17)</f>
        <v/>
      </c>
      <c r="AL22" s="54" t="str">
        <f>IF(AL17="","",#REF!*AL17)</f>
        <v/>
      </c>
      <c r="AM22" s="54" t="str">
        <f>IF(AM17="","",#REF!*AM17)</f>
        <v/>
      </c>
      <c r="AN22" s="54" t="str">
        <f>IF(AN17="","",#REF!*AN17)</f>
        <v/>
      </c>
      <c r="AO22" s="54" t="str">
        <f>IF(AO17="","",#REF!*AO17)</f>
        <v/>
      </c>
      <c r="AP22" s="54" t="str">
        <f>IF(AP17="","",#REF!*AP17)</f>
        <v/>
      </c>
      <c r="AQ22" s="54" t="str">
        <f>IF(AQ17="","",#REF!*AQ17)</f>
        <v/>
      </c>
      <c r="AR22" s="54" t="str">
        <f>IF(AR17="","",#REF!*AR17)</f>
        <v/>
      </c>
      <c r="AS22" s="54" t="str">
        <f>IF(AS17="","",#REF!*AS17)</f>
        <v/>
      </c>
      <c r="AT22" s="54" t="str">
        <f>IF(AT17="","",#REF!*AT17)</f>
        <v/>
      </c>
      <c r="AU22" s="54" t="str">
        <f>IF(AU17="","",#REF!*AU17)</f>
        <v/>
      </c>
      <c r="AV22" s="54" t="str">
        <f>IF(AV17="","",#REF!*AV17)</f>
        <v/>
      </c>
      <c r="AW22" s="54" t="str">
        <f>IF(AW17="","",#REF!*AW17)</f>
        <v/>
      </c>
      <c r="AX22" s="54" t="str">
        <f>IF(AX17="","",#REF!*AX17)</f>
        <v/>
      </c>
    </row>
    <row r="23" spans="1:50" s="1" customFormat="1" ht="12" thickBot="1">
      <c r="A23" s="25">
        <f>IF(A22="","",A22/(A20*100))</f>
        <v>0</v>
      </c>
      <c r="B23" s="53" t="s">
        <v>20</v>
      </c>
      <c r="C23" s="52" t="str">
        <f t="shared" ref="C23:J23" si="52">IF(C22="","",C22/(C20*100))</f>
        <v/>
      </c>
      <c r="D23" s="67" t="str">
        <f t="shared" si="52"/>
        <v/>
      </c>
      <c r="E23" s="52" t="str">
        <f t="shared" si="52"/>
        <v/>
      </c>
      <c r="F23" s="52" t="str">
        <f t="shared" si="52"/>
        <v/>
      </c>
      <c r="G23" s="52" t="str">
        <f t="shared" si="52"/>
        <v/>
      </c>
      <c r="H23" s="52" t="str">
        <f t="shared" si="52"/>
        <v/>
      </c>
      <c r="I23" s="52" t="str">
        <f t="shared" si="52"/>
        <v/>
      </c>
      <c r="J23" s="52" t="str">
        <f t="shared" si="52"/>
        <v/>
      </c>
      <c r="K23" s="52" t="str">
        <f t="shared" ref="K23" si="53">IF(K22="","",K22/(K20*100))</f>
        <v/>
      </c>
      <c r="L23" s="52" t="str">
        <f>IF(L22="","",L22/(L20*100))</f>
        <v/>
      </c>
      <c r="M23" s="52" t="str">
        <f t="shared" ref="M23:N23" si="54">IF(M22="","",M22/(M20*100))</f>
        <v/>
      </c>
      <c r="N23" s="52" t="str">
        <f t="shared" si="54"/>
        <v/>
      </c>
      <c r="O23" s="52" t="str">
        <f>IF(O22="","",O22/(O20*100))</f>
        <v/>
      </c>
      <c r="P23" s="52" t="str">
        <f>IF(P22="","",P22/(P20*100))</f>
        <v/>
      </c>
      <c r="Q23" s="52" t="str">
        <f t="shared" ref="Q23:R23" si="55">IF(Q22="","",Q22/(Q20*100))</f>
        <v/>
      </c>
      <c r="R23" s="52" t="str">
        <f t="shared" si="55"/>
        <v/>
      </c>
      <c r="S23" s="52" t="str">
        <f t="shared" ref="S23:AO23" si="56">IF(S22="","",S22/(S20*100))</f>
        <v/>
      </c>
      <c r="T23" s="52" t="str">
        <f t="shared" si="56"/>
        <v/>
      </c>
      <c r="U23" s="52" t="str">
        <f t="shared" si="56"/>
        <v/>
      </c>
      <c r="V23" s="52" t="str">
        <f t="shared" si="56"/>
        <v/>
      </c>
      <c r="W23" s="52" t="str">
        <f t="shared" si="56"/>
        <v/>
      </c>
      <c r="X23" s="52" t="str">
        <f t="shared" ref="X23" si="57">IF(X22="","",X22/(X20*100))</f>
        <v/>
      </c>
      <c r="Y23" s="52" t="str">
        <f t="shared" si="56"/>
        <v/>
      </c>
      <c r="Z23" s="52" t="str">
        <f t="shared" si="56"/>
        <v/>
      </c>
      <c r="AA23" s="52" t="str">
        <f t="shared" si="56"/>
        <v/>
      </c>
      <c r="AB23" s="52" t="str">
        <f t="shared" si="56"/>
        <v/>
      </c>
      <c r="AC23" s="52" t="str">
        <f t="shared" si="56"/>
        <v/>
      </c>
      <c r="AD23" s="52" t="str">
        <f>IF(AD22="","",AD22/(AD20*100))</f>
        <v/>
      </c>
      <c r="AE23" s="52" t="str">
        <f t="shared" si="56"/>
        <v/>
      </c>
      <c r="AF23" s="52" t="str">
        <f t="shared" si="56"/>
        <v/>
      </c>
      <c r="AG23" s="52" t="str">
        <f t="shared" si="56"/>
        <v/>
      </c>
      <c r="AH23" s="52" t="str">
        <f t="shared" si="56"/>
        <v/>
      </c>
      <c r="AI23" s="52" t="str">
        <f t="shared" si="56"/>
        <v/>
      </c>
      <c r="AJ23" s="52" t="str">
        <f t="shared" si="56"/>
        <v/>
      </c>
      <c r="AK23" s="52" t="str">
        <f t="shared" si="56"/>
        <v/>
      </c>
      <c r="AL23" s="52" t="str">
        <f t="shared" si="56"/>
        <v/>
      </c>
      <c r="AM23" s="52" t="str">
        <f t="shared" si="56"/>
        <v/>
      </c>
      <c r="AN23" s="52" t="str">
        <f t="shared" si="56"/>
        <v/>
      </c>
      <c r="AO23" s="52" t="str">
        <f t="shared" si="56"/>
        <v/>
      </c>
      <c r="AP23" s="52" t="str">
        <f t="shared" ref="AP23" si="58">IF(AP22="","",AP22/(AP20*100))</f>
        <v/>
      </c>
      <c r="AQ23" s="52" t="str">
        <f t="shared" ref="AQ23:AX23" si="59">IF(AQ22="","",AQ22/(AQ20*100))</f>
        <v/>
      </c>
      <c r="AR23" s="52" t="str">
        <f t="shared" si="59"/>
        <v/>
      </c>
      <c r="AS23" s="52" t="str">
        <f t="shared" si="59"/>
        <v/>
      </c>
      <c r="AT23" s="52" t="str">
        <f t="shared" si="59"/>
        <v/>
      </c>
      <c r="AU23" s="52" t="str">
        <f t="shared" si="59"/>
        <v/>
      </c>
      <c r="AV23" s="52" t="str">
        <f t="shared" si="59"/>
        <v/>
      </c>
      <c r="AW23" s="52" t="str">
        <f t="shared" si="59"/>
        <v/>
      </c>
      <c r="AX23" s="52" t="str">
        <f t="shared" si="59"/>
        <v/>
      </c>
    </row>
    <row r="24" spans="1:50" s="1" customFormat="1">
      <c r="A24" s="40" t="s">
        <v>1</v>
      </c>
      <c r="B24" s="39" t="s">
        <v>161</v>
      </c>
      <c r="C24" s="38">
        <v>921</v>
      </c>
      <c r="D24" s="66">
        <v>921</v>
      </c>
      <c r="E24" s="38">
        <v>928</v>
      </c>
      <c r="F24" s="38">
        <v>932</v>
      </c>
      <c r="G24" s="38">
        <v>932</v>
      </c>
      <c r="H24" s="38">
        <v>932</v>
      </c>
      <c r="I24" s="38">
        <v>936</v>
      </c>
      <c r="J24" s="38">
        <v>940</v>
      </c>
      <c r="K24" s="38">
        <v>940</v>
      </c>
      <c r="L24" s="38">
        <v>948</v>
      </c>
      <c r="M24" s="38">
        <v>948</v>
      </c>
      <c r="N24" s="38">
        <v>948</v>
      </c>
      <c r="O24" s="38">
        <v>950</v>
      </c>
      <c r="P24" s="38">
        <v>950</v>
      </c>
      <c r="Q24" s="38">
        <v>950</v>
      </c>
      <c r="R24" s="38">
        <v>950</v>
      </c>
      <c r="S24" s="38">
        <v>962</v>
      </c>
      <c r="T24" s="38">
        <v>962</v>
      </c>
      <c r="U24" s="38">
        <v>971</v>
      </c>
      <c r="V24" s="38">
        <v>971</v>
      </c>
      <c r="W24" s="38">
        <v>973</v>
      </c>
      <c r="X24" s="38">
        <v>973</v>
      </c>
      <c r="Y24" s="38">
        <v>977</v>
      </c>
      <c r="Z24" s="38">
        <v>977</v>
      </c>
      <c r="AA24" s="38">
        <v>977</v>
      </c>
      <c r="AB24" s="38">
        <v>977</v>
      </c>
      <c r="AC24" s="38">
        <v>977</v>
      </c>
      <c r="AD24" s="38">
        <v>981</v>
      </c>
      <c r="AE24" s="38">
        <v>981</v>
      </c>
      <c r="AF24" s="38">
        <v>981</v>
      </c>
      <c r="AG24" s="38">
        <v>991</v>
      </c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</row>
    <row r="25" spans="1:50" s="1" customFormat="1">
      <c r="A25" s="56" t="s">
        <v>170</v>
      </c>
      <c r="B25" s="30" t="s">
        <v>163</v>
      </c>
      <c r="C25" s="29">
        <v>187</v>
      </c>
      <c r="D25" s="65">
        <v>187</v>
      </c>
      <c r="E25" s="29">
        <v>187</v>
      </c>
      <c r="F25" s="29">
        <v>187</v>
      </c>
      <c r="G25" s="29">
        <v>187</v>
      </c>
      <c r="H25" s="29">
        <v>187</v>
      </c>
      <c r="I25" s="29">
        <v>187</v>
      </c>
      <c r="J25" s="29">
        <v>187</v>
      </c>
      <c r="K25" s="29">
        <v>187</v>
      </c>
      <c r="L25" s="29">
        <v>187</v>
      </c>
      <c r="M25" s="29">
        <v>187</v>
      </c>
      <c r="N25" s="29">
        <v>187</v>
      </c>
      <c r="O25" s="29">
        <v>187</v>
      </c>
      <c r="P25" s="29">
        <v>187</v>
      </c>
      <c r="Q25" s="29">
        <v>187</v>
      </c>
      <c r="R25" s="29">
        <v>187</v>
      </c>
      <c r="S25" s="29">
        <v>187</v>
      </c>
      <c r="T25" s="29">
        <v>187</v>
      </c>
      <c r="U25" s="29">
        <v>187</v>
      </c>
      <c r="V25" s="29">
        <v>187</v>
      </c>
      <c r="W25" s="29">
        <v>187</v>
      </c>
      <c r="X25" s="29">
        <v>187</v>
      </c>
      <c r="Y25" s="29">
        <v>187</v>
      </c>
      <c r="Z25" s="29">
        <v>187</v>
      </c>
      <c r="AA25" s="29">
        <v>187</v>
      </c>
      <c r="AB25" s="29">
        <v>187</v>
      </c>
      <c r="AC25" s="29">
        <v>187</v>
      </c>
      <c r="AD25" s="29">
        <v>187</v>
      </c>
      <c r="AE25" s="29">
        <v>187</v>
      </c>
      <c r="AF25" s="29">
        <v>187</v>
      </c>
      <c r="AG25" s="29">
        <v>187</v>
      </c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</row>
    <row r="26" spans="1:50" s="1" customFormat="1">
      <c r="A26" s="36" t="s">
        <v>9</v>
      </c>
      <c r="B26" s="30" t="s">
        <v>7</v>
      </c>
      <c r="C26" s="29"/>
      <c r="D26" s="65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</row>
    <row r="27" spans="1:50" s="1" customFormat="1">
      <c r="A27" s="28">
        <f>AVERAGE(C30:AO30)*30*1000</f>
        <v>70000</v>
      </c>
      <c r="B27" s="30" t="s">
        <v>8</v>
      </c>
      <c r="C27" s="29"/>
      <c r="D27" s="65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</row>
    <row r="28" spans="1:50" s="11" customFormat="1">
      <c r="A28" s="34">
        <v>1000</v>
      </c>
      <c r="B28" s="33" t="s">
        <v>164</v>
      </c>
      <c r="C28" s="32"/>
      <c r="D28" s="6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</row>
    <row r="29" spans="1:50" s="1" customFormat="1">
      <c r="A29" s="31"/>
      <c r="B29" s="30" t="s">
        <v>165</v>
      </c>
      <c r="C29" s="29"/>
      <c r="D29" s="65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</row>
    <row r="30" spans="1:50" s="1" customFormat="1">
      <c r="A30" s="28">
        <f>SUM(C30:AO30)</f>
        <v>70</v>
      </c>
      <c r="B30" s="55" t="s">
        <v>166</v>
      </c>
      <c r="C30" s="54"/>
      <c r="D30" s="65">
        <f t="shared" ref="D30:J31" si="60">IF(D24="","",D24-C24)</f>
        <v>0</v>
      </c>
      <c r="E30" s="54">
        <f t="shared" si="60"/>
        <v>7</v>
      </c>
      <c r="F30" s="54">
        <f t="shared" si="60"/>
        <v>4</v>
      </c>
      <c r="G30" s="54">
        <f t="shared" si="60"/>
        <v>0</v>
      </c>
      <c r="H30" s="54">
        <f t="shared" si="60"/>
        <v>0</v>
      </c>
      <c r="I30" s="54">
        <f t="shared" si="60"/>
        <v>4</v>
      </c>
      <c r="J30" s="54">
        <f t="shared" si="60"/>
        <v>4</v>
      </c>
      <c r="K30" s="54">
        <f t="shared" ref="K30:K31" si="61">IF(K24="","",K24-J24)</f>
        <v>0</v>
      </c>
      <c r="L30" s="54">
        <f>IF(L24="","",L24-K24)</f>
        <v>8</v>
      </c>
      <c r="M30" s="54">
        <f t="shared" ref="M30:N30" si="62">IF(M24="","",M24-L24)</f>
        <v>0</v>
      </c>
      <c r="N30" s="54">
        <f t="shared" si="62"/>
        <v>0</v>
      </c>
      <c r="O30" s="54">
        <f>IF(O24="","",O24-N24)</f>
        <v>2</v>
      </c>
      <c r="P30" s="54">
        <f>IF(P24="","",P24-O24)</f>
        <v>0</v>
      </c>
      <c r="Q30" s="54">
        <f t="shared" ref="Q30:R30" si="63">IF(Q24="","",Q24-P24)</f>
        <v>0</v>
      </c>
      <c r="R30" s="54">
        <f t="shared" si="63"/>
        <v>0</v>
      </c>
      <c r="S30" s="54">
        <f t="shared" ref="S30:AO30" si="64">IF(S24="","",S24-R24)</f>
        <v>12</v>
      </c>
      <c r="T30" s="54">
        <f t="shared" si="64"/>
        <v>0</v>
      </c>
      <c r="U30" s="54">
        <f t="shared" si="64"/>
        <v>9</v>
      </c>
      <c r="V30" s="54">
        <f t="shared" si="64"/>
        <v>0</v>
      </c>
      <c r="W30" s="54">
        <f t="shared" si="64"/>
        <v>2</v>
      </c>
      <c r="X30" s="54">
        <f t="shared" si="64"/>
        <v>0</v>
      </c>
      <c r="Y30" s="54">
        <f t="shared" si="64"/>
        <v>4</v>
      </c>
      <c r="Z30" s="54">
        <f t="shared" si="64"/>
        <v>0</v>
      </c>
      <c r="AA30" s="54">
        <f t="shared" si="64"/>
        <v>0</v>
      </c>
      <c r="AB30" s="54">
        <f t="shared" si="64"/>
        <v>0</v>
      </c>
      <c r="AC30" s="54">
        <f t="shared" si="64"/>
        <v>0</v>
      </c>
      <c r="AD30" s="54">
        <f>IF(AD24="","",AD24-AC24)</f>
        <v>4</v>
      </c>
      <c r="AE30" s="54">
        <f t="shared" si="64"/>
        <v>0</v>
      </c>
      <c r="AF30" s="54">
        <f t="shared" si="64"/>
        <v>0</v>
      </c>
      <c r="AG30" s="54">
        <f t="shared" si="64"/>
        <v>10</v>
      </c>
      <c r="AH30" s="54" t="str">
        <f t="shared" si="64"/>
        <v/>
      </c>
      <c r="AI30" s="54" t="str">
        <f t="shared" si="64"/>
        <v/>
      </c>
      <c r="AJ30" s="54" t="str">
        <f t="shared" si="64"/>
        <v/>
      </c>
      <c r="AK30" s="54" t="str">
        <f t="shared" si="64"/>
        <v/>
      </c>
      <c r="AL30" s="54" t="str">
        <f t="shared" si="64"/>
        <v/>
      </c>
      <c r="AM30" s="54" t="str">
        <f t="shared" si="64"/>
        <v/>
      </c>
      <c r="AN30" s="54" t="str">
        <f t="shared" si="64"/>
        <v/>
      </c>
      <c r="AO30" s="54" t="str">
        <f t="shared" si="64"/>
        <v/>
      </c>
      <c r="AP30" s="54" t="str">
        <f t="shared" ref="AP30:AP31" si="65">IF(AP24="","",AP24-AO24)</f>
        <v/>
      </c>
      <c r="AQ30" s="54" t="str">
        <f t="shared" ref="AQ30:AQ31" si="66">IF(AQ24="","",AQ24-AP24)</f>
        <v/>
      </c>
      <c r="AR30" s="54" t="str">
        <f t="shared" ref="AR30:AR31" si="67">IF(AR24="","",AR24-AQ24)</f>
        <v/>
      </c>
      <c r="AS30" s="54" t="str">
        <f t="shared" ref="AS30:AS31" si="68">IF(AS24="","",AS24-AR24)</f>
        <v/>
      </c>
      <c r="AT30" s="54" t="str">
        <f t="shared" ref="AT30:AT31" si="69">IF(AT24="","",AT24-AS24)</f>
        <v/>
      </c>
      <c r="AU30" s="54" t="str">
        <f t="shared" ref="AU30:AU31" si="70">IF(AU24="","",AU24-AT24)</f>
        <v/>
      </c>
      <c r="AV30" s="54" t="str">
        <f t="shared" ref="AV30:AV31" si="71">IF(AV24="","",AV24-AU24)</f>
        <v/>
      </c>
      <c r="AW30" s="54" t="str">
        <f t="shared" ref="AW30:AW31" si="72">IF(AW24="","",AW24-AV24)</f>
        <v/>
      </c>
      <c r="AX30" s="54" t="str">
        <f t="shared" ref="AX30:AX31" si="73">IF(AX24="","",AX24-AW24)</f>
        <v/>
      </c>
    </row>
    <row r="31" spans="1:50" s="1" customFormat="1">
      <c r="A31" s="28">
        <f>SUM(C31:AO31)</f>
        <v>0</v>
      </c>
      <c r="B31" s="55" t="s">
        <v>167</v>
      </c>
      <c r="C31" s="54"/>
      <c r="D31" s="65">
        <f t="shared" si="60"/>
        <v>0</v>
      </c>
      <c r="E31" s="54">
        <f t="shared" si="60"/>
        <v>0</v>
      </c>
      <c r="F31" s="54">
        <f t="shared" si="60"/>
        <v>0</v>
      </c>
      <c r="G31" s="54">
        <f t="shared" si="60"/>
        <v>0</v>
      </c>
      <c r="H31" s="54">
        <f t="shared" si="60"/>
        <v>0</v>
      </c>
      <c r="I31" s="54">
        <f t="shared" si="60"/>
        <v>0</v>
      </c>
      <c r="J31" s="54">
        <f t="shared" si="60"/>
        <v>0</v>
      </c>
      <c r="K31" s="54">
        <f t="shared" si="61"/>
        <v>0</v>
      </c>
      <c r="L31" s="54">
        <f>IF(L25="","",L25-K25)</f>
        <v>0</v>
      </c>
      <c r="M31" s="54">
        <f t="shared" ref="M31:N31" si="74">IF(M25="","",M25-L25)</f>
        <v>0</v>
      </c>
      <c r="N31" s="54">
        <f t="shared" si="74"/>
        <v>0</v>
      </c>
      <c r="O31" s="54">
        <f>IF(O25="","",O25-N25)</f>
        <v>0</v>
      </c>
      <c r="P31" s="54">
        <f>IF(P25="","",P25-O25)</f>
        <v>0</v>
      </c>
      <c r="Q31" s="54">
        <f t="shared" ref="Q31:R31" si="75">IF(Q25="","",Q25-P25)</f>
        <v>0</v>
      </c>
      <c r="R31" s="54">
        <f t="shared" si="75"/>
        <v>0</v>
      </c>
      <c r="S31" s="54">
        <f t="shared" ref="S31:AO31" si="76">IF(S25="","",S25-R25)</f>
        <v>0</v>
      </c>
      <c r="T31" s="54">
        <f t="shared" si="76"/>
        <v>0</v>
      </c>
      <c r="U31" s="54">
        <f t="shared" si="76"/>
        <v>0</v>
      </c>
      <c r="V31" s="54">
        <f t="shared" si="76"/>
        <v>0</v>
      </c>
      <c r="W31" s="54">
        <f t="shared" si="76"/>
        <v>0</v>
      </c>
      <c r="X31" s="54">
        <f t="shared" si="76"/>
        <v>0</v>
      </c>
      <c r="Y31" s="54">
        <f t="shared" si="76"/>
        <v>0</v>
      </c>
      <c r="Z31" s="54">
        <f t="shared" si="76"/>
        <v>0</v>
      </c>
      <c r="AA31" s="54">
        <f t="shared" si="76"/>
        <v>0</v>
      </c>
      <c r="AB31" s="54">
        <f t="shared" si="76"/>
        <v>0</v>
      </c>
      <c r="AC31" s="54">
        <f t="shared" si="76"/>
        <v>0</v>
      </c>
      <c r="AD31" s="54">
        <f>IF(AD25="","",AD25-AC25)</f>
        <v>0</v>
      </c>
      <c r="AE31" s="54">
        <f t="shared" si="76"/>
        <v>0</v>
      </c>
      <c r="AF31" s="54">
        <f t="shared" si="76"/>
        <v>0</v>
      </c>
      <c r="AG31" s="54">
        <f t="shared" si="76"/>
        <v>0</v>
      </c>
      <c r="AH31" s="54" t="str">
        <f t="shared" si="76"/>
        <v/>
      </c>
      <c r="AI31" s="54" t="str">
        <f t="shared" si="76"/>
        <v/>
      </c>
      <c r="AJ31" s="54" t="str">
        <f t="shared" si="76"/>
        <v/>
      </c>
      <c r="AK31" s="54" t="str">
        <f t="shared" si="76"/>
        <v/>
      </c>
      <c r="AL31" s="54" t="str">
        <f t="shared" si="76"/>
        <v/>
      </c>
      <c r="AM31" s="54" t="str">
        <f t="shared" si="76"/>
        <v/>
      </c>
      <c r="AN31" s="54" t="str">
        <f t="shared" si="76"/>
        <v/>
      </c>
      <c r="AO31" s="54" t="str">
        <f t="shared" si="76"/>
        <v/>
      </c>
      <c r="AP31" s="54" t="str">
        <f t="shared" si="65"/>
        <v/>
      </c>
      <c r="AQ31" s="54" t="str">
        <f t="shared" si="66"/>
        <v/>
      </c>
      <c r="AR31" s="54" t="str">
        <f t="shared" si="67"/>
        <v/>
      </c>
      <c r="AS31" s="54" t="str">
        <f t="shared" si="68"/>
        <v/>
      </c>
      <c r="AT31" s="54" t="str">
        <f t="shared" si="69"/>
        <v/>
      </c>
      <c r="AU31" s="54" t="str">
        <f t="shared" si="70"/>
        <v/>
      </c>
      <c r="AV31" s="54" t="str">
        <f t="shared" si="71"/>
        <v/>
      </c>
      <c r="AW31" s="54" t="str">
        <f t="shared" si="72"/>
        <v/>
      </c>
      <c r="AX31" s="54" t="str">
        <f t="shared" si="73"/>
        <v/>
      </c>
    </row>
    <row r="32" spans="1:50" s="1" customFormat="1">
      <c r="A32" s="28">
        <f>SUM(C32:AO32)</f>
        <v>0</v>
      </c>
      <c r="B32" s="55" t="s">
        <v>18</v>
      </c>
      <c r="C32" s="54" t="str">
        <f>IF(C27="","",#REF!*C27)</f>
        <v/>
      </c>
      <c r="D32" s="65" t="str">
        <f>IF(D27="","",#REF!*D27)</f>
        <v/>
      </c>
      <c r="E32" s="54" t="str">
        <f>IF(E27="","",#REF!*E27)</f>
        <v/>
      </c>
      <c r="F32" s="54" t="str">
        <f>IF(F27="","",#REF!*F27)</f>
        <v/>
      </c>
      <c r="G32" s="54" t="str">
        <f>IF(G27="","",#REF!*G27)</f>
        <v/>
      </c>
      <c r="H32" s="54" t="str">
        <f>IF(H27="","",#REF!*H27)</f>
        <v/>
      </c>
      <c r="I32" s="54" t="str">
        <f>IF(I27="","",#REF!*I27)</f>
        <v/>
      </c>
      <c r="J32" s="54" t="str">
        <f>IF(J27="","",#REF!*J27)</f>
        <v/>
      </c>
      <c r="K32" s="54" t="str">
        <f>IF(K27="","",#REF!*K27)</f>
        <v/>
      </c>
      <c r="L32" s="54" t="str">
        <f>IF(L27="","",#REF!*L27)</f>
        <v/>
      </c>
      <c r="M32" s="54" t="str">
        <f>IF(M27="","",#REF!*M27)</f>
        <v/>
      </c>
      <c r="N32" s="54" t="str">
        <f>IF(N27="","",#REF!*N27)</f>
        <v/>
      </c>
      <c r="O32" s="54" t="str">
        <f>IF(O27="","",#REF!*O27)</f>
        <v/>
      </c>
      <c r="P32" s="54" t="str">
        <f>IF(P27="","",#REF!*P27)</f>
        <v/>
      </c>
      <c r="Q32" s="54" t="str">
        <f>IF(Q27="","",#REF!*Q27)</f>
        <v/>
      </c>
      <c r="R32" s="54" t="str">
        <f>IF(R27="","",#REF!*R27)</f>
        <v/>
      </c>
      <c r="S32" s="54" t="str">
        <f>IF(S27="","",#REF!*S27)</f>
        <v/>
      </c>
      <c r="T32" s="54" t="str">
        <f>IF(T27="","",#REF!*T27)</f>
        <v/>
      </c>
      <c r="U32" s="54" t="str">
        <f>IF(U27="","",#REF!*U27)</f>
        <v/>
      </c>
      <c r="V32" s="54" t="str">
        <f>IF(V27="","",#REF!*V27)</f>
        <v/>
      </c>
      <c r="W32" s="54" t="str">
        <f>IF(W27="","",#REF!*W27)</f>
        <v/>
      </c>
      <c r="X32" s="54" t="str">
        <f>IF(X27="","",#REF!*X27)</f>
        <v/>
      </c>
      <c r="Y32" s="54" t="str">
        <f>IF(Y27="","",#REF!*Y27)</f>
        <v/>
      </c>
      <c r="Z32" s="54" t="str">
        <f>IF(Z27="","",#REF!*Z27)</f>
        <v/>
      </c>
      <c r="AA32" s="54" t="str">
        <f>IF(AA27="","",#REF!*AA27)</f>
        <v/>
      </c>
      <c r="AB32" s="54" t="str">
        <f>IF(AB27="","",#REF!*AB27)</f>
        <v/>
      </c>
      <c r="AC32" s="54" t="str">
        <f>IF(AC27="","",#REF!*AC27)</f>
        <v/>
      </c>
      <c r="AD32" s="54" t="str">
        <f>IF(AD27="","",#REF!*AD27)</f>
        <v/>
      </c>
      <c r="AE32" s="54" t="str">
        <f>IF(AE27="","",#REF!*AE27)</f>
        <v/>
      </c>
      <c r="AF32" s="54" t="str">
        <f>IF(AF27="","",#REF!*AF27)</f>
        <v/>
      </c>
      <c r="AG32" s="54" t="str">
        <f>IF(AG27="","",#REF!*AG27)</f>
        <v/>
      </c>
      <c r="AH32" s="54" t="str">
        <f>IF(AH27="","",#REF!*AH27)</f>
        <v/>
      </c>
      <c r="AI32" s="54" t="str">
        <f>IF(AI27="","",#REF!*AI27)</f>
        <v/>
      </c>
      <c r="AJ32" s="54" t="str">
        <f>IF(AJ27="","",#REF!*AJ27)</f>
        <v/>
      </c>
      <c r="AK32" s="54" t="str">
        <f>IF(AK27="","",#REF!*AK27)</f>
        <v/>
      </c>
      <c r="AL32" s="54" t="str">
        <f>IF(AL27="","",#REF!*AL27)</f>
        <v/>
      </c>
      <c r="AM32" s="54" t="str">
        <f>IF(AM27="","",#REF!*AM27)</f>
        <v/>
      </c>
      <c r="AN32" s="54" t="str">
        <f>IF(AN27="","",#REF!*AN27)</f>
        <v/>
      </c>
      <c r="AO32" s="54" t="str">
        <f>IF(AO27="","",#REF!*AO27)</f>
        <v/>
      </c>
      <c r="AP32" s="54" t="str">
        <f>IF(AP27="","",#REF!*AP27)</f>
        <v/>
      </c>
      <c r="AQ32" s="54" t="str">
        <f>IF(AQ27="","",#REF!*AQ27)</f>
        <v/>
      </c>
      <c r="AR32" s="54" t="str">
        <f>IF(AR27="","",#REF!*AR27)</f>
        <v/>
      </c>
      <c r="AS32" s="54" t="str">
        <f>IF(AS27="","",#REF!*AS27)</f>
        <v/>
      </c>
      <c r="AT32" s="54" t="str">
        <f>IF(AT27="","",#REF!*AT27)</f>
        <v/>
      </c>
      <c r="AU32" s="54" t="str">
        <f>IF(AU27="","",#REF!*AU27)</f>
        <v/>
      </c>
      <c r="AV32" s="54" t="str">
        <f>IF(AV27="","",#REF!*AV27)</f>
        <v/>
      </c>
      <c r="AW32" s="54" t="str">
        <f>IF(AW27="","",#REF!*AW27)</f>
        <v/>
      </c>
      <c r="AX32" s="54" t="str">
        <f>IF(AX27="","",#REF!*AX27)</f>
        <v/>
      </c>
    </row>
    <row r="33" spans="1:50" s="1" customFormat="1" ht="12" thickBot="1">
      <c r="A33" s="25">
        <f>IF(A32="","",A32/(A30*100))</f>
        <v>0</v>
      </c>
      <c r="B33" s="53" t="s">
        <v>20</v>
      </c>
      <c r="C33" s="52" t="str">
        <f t="shared" ref="C33:J33" si="77">IF(C32="","",C32/(C30*100))</f>
        <v/>
      </c>
      <c r="D33" s="67" t="str">
        <f t="shared" si="77"/>
        <v/>
      </c>
      <c r="E33" s="52" t="str">
        <f t="shared" si="77"/>
        <v/>
      </c>
      <c r="F33" s="52" t="str">
        <f t="shared" si="77"/>
        <v/>
      </c>
      <c r="G33" s="52" t="str">
        <f t="shared" si="77"/>
        <v/>
      </c>
      <c r="H33" s="52" t="str">
        <f t="shared" si="77"/>
        <v/>
      </c>
      <c r="I33" s="52" t="str">
        <f t="shared" si="77"/>
        <v/>
      </c>
      <c r="J33" s="52" t="str">
        <f t="shared" si="77"/>
        <v/>
      </c>
      <c r="K33" s="52" t="str">
        <f t="shared" ref="K33" si="78">IF(K32="","",K32/(K30*100))</f>
        <v/>
      </c>
      <c r="L33" s="52" t="str">
        <f>IF(L32="","",L32/(L30*100))</f>
        <v/>
      </c>
      <c r="M33" s="52" t="str">
        <f t="shared" ref="M33:N33" si="79">IF(M32="","",M32/(M30*100))</f>
        <v/>
      </c>
      <c r="N33" s="52" t="str">
        <f t="shared" si="79"/>
        <v/>
      </c>
      <c r="O33" s="52" t="str">
        <f>IF(O32="","",O32/(O30*100))</f>
        <v/>
      </c>
      <c r="P33" s="52" t="str">
        <f>IF(P32="","",P32/(P30*100))</f>
        <v/>
      </c>
      <c r="Q33" s="52" t="str">
        <f t="shared" ref="Q33:R33" si="80">IF(Q32="","",Q32/(Q30*100))</f>
        <v/>
      </c>
      <c r="R33" s="52" t="str">
        <f t="shared" si="80"/>
        <v/>
      </c>
      <c r="S33" s="52" t="str">
        <f t="shared" ref="S33:AO33" si="81">IF(S32="","",S32/(S30*100))</f>
        <v/>
      </c>
      <c r="T33" s="52" t="str">
        <f t="shared" si="81"/>
        <v/>
      </c>
      <c r="U33" s="52" t="str">
        <f t="shared" si="81"/>
        <v/>
      </c>
      <c r="V33" s="52" t="str">
        <f t="shared" si="81"/>
        <v/>
      </c>
      <c r="W33" s="52" t="str">
        <f t="shared" si="81"/>
        <v/>
      </c>
      <c r="X33" s="52" t="str">
        <f t="shared" ref="X33" si="82">IF(X32="","",X32/(X30*100))</f>
        <v/>
      </c>
      <c r="Y33" s="52" t="str">
        <f t="shared" si="81"/>
        <v/>
      </c>
      <c r="Z33" s="52" t="str">
        <f t="shared" si="81"/>
        <v/>
      </c>
      <c r="AA33" s="52" t="str">
        <f t="shared" si="81"/>
        <v/>
      </c>
      <c r="AB33" s="52" t="str">
        <f t="shared" si="81"/>
        <v/>
      </c>
      <c r="AC33" s="52" t="str">
        <f t="shared" si="81"/>
        <v/>
      </c>
      <c r="AD33" s="52" t="str">
        <f>IF(AD32="","",AD32/(AD30*100))</f>
        <v/>
      </c>
      <c r="AE33" s="52" t="str">
        <f t="shared" si="81"/>
        <v/>
      </c>
      <c r="AF33" s="52" t="str">
        <f t="shared" si="81"/>
        <v/>
      </c>
      <c r="AG33" s="52" t="str">
        <f t="shared" si="81"/>
        <v/>
      </c>
      <c r="AH33" s="52" t="str">
        <f t="shared" si="81"/>
        <v/>
      </c>
      <c r="AI33" s="52" t="str">
        <f t="shared" si="81"/>
        <v/>
      </c>
      <c r="AJ33" s="52" t="str">
        <f t="shared" si="81"/>
        <v/>
      </c>
      <c r="AK33" s="52" t="str">
        <f t="shared" si="81"/>
        <v/>
      </c>
      <c r="AL33" s="52" t="str">
        <f t="shared" si="81"/>
        <v/>
      </c>
      <c r="AM33" s="52" t="str">
        <f t="shared" si="81"/>
        <v/>
      </c>
      <c r="AN33" s="52" t="str">
        <f t="shared" si="81"/>
        <v/>
      </c>
      <c r="AO33" s="52" t="str">
        <f t="shared" si="81"/>
        <v/>
      </c>
      <c r="AP33" s="52" t="str">
        <f t="shared" ref="AP33" si="83">IF(AP32="","",AP32/(AP30*100))</f>
        <v/>
      </c>
      <c r="AQ33" s="52" t="str">
        <f t="shared" ref="AQ33:AX33" si="84">IF(AQ32="","",AQ32/(AQ30*100))</f>
        <v/>
      </c>
      <c r="AR33" s="52" t="str">
        <f t="shared" si="84"/>
        <v/>
      </c>
      <c r="AS33" s="52" t="str">
        <f t="shared" si="84"/>
        <v/>
      </c>
      <c r="AT33" s="52" t="str">
        <f t="shared" si="84"/>
        <v/>
      </c>
      <c r="AU33" s="52" t="str">
        <f t="shared" si="84"/>
        <v/>
      </c>
      <c r="AV33" s="52" t="str">
        <f t="shared" si="84"/>
        <v/>
      </c>
      <c r="AW33" s="52" t="str">
        <f t="shared" si="84"/>
        <v/>
      </c>
      <c r="AX33" s="52" t="str">
        <f t="shared" si="84"/>
        <v/>
      </c>
    </row>
    <row r="34" spans="1:50" s="1" customFormat="1">
      <c r="A34" s="40" t="s">
        <v>1</v>
      </c>
      <c r="B34" s="39" t="s">
        <v>161</v>
      </c>
      <c r="C34" s="38">
        <v>1199</v>
      </c>
      <c r="D34" s="66">
        <v>1199</v>
      </c>
      <c r="E34" s="38">
        <v>1207</v>
      </c>
      <c r="F34" s="38">
        <v>1207</v>
      </c>
      <c r="G34" s="38">
        <v>1207</v>
      </c>
      <c r="H34" s="38">
        <v>1207</v>
      </c>
      <c r="I34" s="38">
        <v>1219</v>
      </c>
      <c r="J34" s="38">
        <v>1219</v>
      </c>
      <c r="K34" s="38">
        <v>1219</v>
      </c>
      <c r="L34" s="38">
        <v>1221</v>
      </c>
      <c r="M34" s="38">
        <v>1221</v>
      </c>
      <c r="N34" s="38">
        <v>1221</v>
      </c>
      <c r="O34" s="38">
        <v>1221</v>
      </c>
      <c r="P34" s="38">
        <v>1221</v>
      </c>
      <c r="Q34" s="38">
        <v>1221</v>
      </c>
      <c r="R34" s="38">
        <v>1221</v>
      </c>
      <c r="S34" s="38">
        <v>1233</v>
      </c>
      <c r="T34" s="38">
        <v>1233</v>
      </c>
      <c r="U34" s="38">
        <v>1235</v>
      </c>
      <c r="V34" s="38">
        <v>1235</v>
      </c>
      <c r="W34" s="38">
        <v>1239</v>
      </c>
      <c r="X34" s="38">
        <v>1239</v>
      </c>
      <c r="Y34" s="38">
        <v>1243</v>
      </c>
      <c r="Z34" s="38">
        <v>1243</v>
      </c>
      <c r="AA34" s="38">
        <v>1243</v>
      </c>
      <c r="AB34" s="38">
        <v>1243</v>
      </c>
      <c r="AC34" s="38">
        <v>1243</v>
      </c>
      <c r="AD34" s="38">
        <v>1251</v>
      </c>
      <c r="AE34" s="38">
        <v>1251</v>
      </c>
      <c r="AF34" s="38">
        <v>1251</v>
      </c>
      <c r="AG34" s="38">
        <v>1255</v>
      </c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</row>
    <row r="35" spans="1:50" s="1" customFormat="1">
      <c r="A35" s="56" t="s">
        <v>169</v>
      </c>
      <c r="B35" s="30" t="s">
        <v>163</v>
      </c>
      <c r="C35" s="29">
        <v>616</v>
      </c>
      <c r="D35" s="65">
        <v>616</v>
      </c>
      <c r="E35" s="29">
        <v>620</v>
      </c>
      <c r="F35" s="29">
        <v>620</v>
      </c>
      <c r="G35" s="29">
        <v>620</v>
      </c>
      <c r="H35" s="29">
        <v>620</v>
      </c>
      <c r="I35" s="29">
        <v>626</v>
      </c>
      <c r="J35" s="29">
        <v>626</v>
      </c>
      <c r="K35" s="29">
        <v>626</v>
      </c>
      <c r="L35" s="29">
        <v>627</v>
      </c>
      <c r="M35" s="29">
        <v>627</v>
      </c>
      <c r="N35" s="29">
        <v>627</v>
      </c>
      <c r="O35" s="29">
        <v>627</v>
      </c>
      <c r="P35" s="29">
        <v>627</v>
      </c>
      <c r="Q35" s="29">
        <v>627</v>
      </c>
      <c r="R35" s="29">
        <v>627</v>
      </c>
      <c r="S35" s="29">
        <v>633</v>
      </c>
      <c r="T35" s="29">
        <v>633</v>
      </c>
      <c r="U35" s="29">
        <v>634</v>
      </c>
      <c r="V35" s="29">
        <v>634</v>
      </c>
      <c r="W35" s="29">
        <v>636</v>
      </c>
      <c r="X35" s="29">
        <v>636</v>
      </c>
      <c r="Y35" s="29">
        <v>638</v>
      </c>
      <c r="Z35" s="29">
        <v>638</v>
      </c>
      <c r="AA35" s="29">
        <v>638</v>
      </c>
      <c r="AB35" s="29">
        <v>638</v>
      </c>
      <c r="AC35" s="29">
        <v>638</v>
      </c>
      <c r="AD35" s="29">
        <v>642</v>
      </c>
      <c r="AE35" s="29">
        <v>642</v>
      </c>
      <c r="AF35" s="29">
        <v>642</v>
      </c>
      <c r="AG35" s="29">
        <v>644</v>
      </c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</row>
    <row r="36" spans="1:50" s="1" customFormat="1">
      <c r="A36" s="36" t="s">
        <v>9</v>
      </c>
      <c r="B36" s="30" t="s">
        <v>7</v>
      </c>
      <c r="C36" s="29"/>
      <c r="D36" s="65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</row>
    <row r="37" spans="1:50" s="1" customFormat="1">
      <c r="A37" s="28">
        <f>AVERAGE(C40:AO40)*30*1000</f>
        <v>56000</v>
      </c>
      <c r="B37" s="30" t="s">
        <v>8</v>
      </c>
      <c r="C37" s="29"/>
      <c r="D37" s="65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</row>
    <row r="38" spans="1:50" s="11" customFormat="1">
      <c r="A38" s="34">
        <v>2000</v>
      </c>
      <c r="B38" s="33" t="s">
        <v>164</v>
      </c>
      <c r="C38" s="32"/>
      <c r="D38" s="63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  <row r="39" spans="1:50" s="1" customFormat="1">
      <c r="A39" s="31"/>
      <c r="B39" s="30" t="s">
        <v>165</v>
      </c>
      <c r="C39" s="29"/>
      <c r="D39" s="65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</row>
    <row r="40" spans="1:50" s="1" customFormat="1">
      <c r="A40" s="28">
        <f>SUM(C40:AO40)</f>
        <v>56</v>
      </c>
      <c r="B40" s="55" t="s">
        <v>166</v>
      </c>
      <c r="C40" s="54"/>
      <c r="D40" s="65">
        <f t="shared" ref="D40:J41" si="85">IF(D34="","",D34-C34)</f>
        <v>0</v>
      </c>
      <c r="E40" s="54">
        <f t="shared" si="85"/>
        <v>8</v>
      </c>
      <c r="F40" s="54">
        <f t="shared" si="85"/>
        <v>0</v>
      </c>
      <c r="G40" s="54">
        <f t="shared" si="85"/>
        <v>0</v>
      </c>
      <c r="H40" s="54">
        <f t="shared" si="85"/>
        <v>0</v>
      </c>
      <c r="I40" s="54">
        <f t="shared" si="85"/>
        <v>12</v>
      </c>
      <c r="J40" s="54">
        <f t="shared" si="85"/>
        <v>0</v>
      </c>
      <c r="K40" s="54">
        <f t="shared" ref="K40:K41" si="86">IF(K34="","",K34-J34)</f>
        <v>0</v>
      </c>
      <c r="L40" s="54">
        <f>IF(L34="","",L34-K34)</f>
        <v>2</v>
      </c>
      <c r="M40" s="54">
        <f t="shared" ref="M40:N40" si="87">IF(M34="","",M34-L34)</f>
        <v>0</v>
      </c>
      <c r="N40" s="54">
        <f t="shared" si="87"/>
        <v>0</v>
      </c>
      <c r="O40" s="54">
        <f t="shared" ref="O40:AO40" si="88">IF(O34="","",O34-N34)</f>
        <v>0</v>
      </c>
      <c r="P40" s="54">
        <f t="shared" si="88"/>
        <v>0</v>
      </c>
      <c r="Q40" s="54">
        <f t="shared" si="88"/>
        <v>0</v>
      </c>
      <c r="R40" s="54">
        <f t="shared" si="88"/>
        <v>0</v>
      </c>
      <c r="S40" s="54">
        <f t="shared" si="88"/>
        <v>12</v>
      </c>
      <c r="T40" s="54">
        <f t="shared" si="88"/>
        <v>0</v>
      </c>
      <c r="U40" s="54">
        <f t="shared" si="88"/>
        <v>2</v>
      </c>
      <c r="V40" s="54">
        <f t="shared" si="88"/>
        <v>0</v>
      </c>
      <c r="W40" s="54">
        <f t="shared" si="88"/>
        <v>4</v>
      </c>
      <c r="X40" s="54">
        <f t="shared" si="88"/>
        <v>0</v>
      </c>
      <c r="Y40" s="54">
        <f t="shared" si="88"/>
        <v>4</v>
      </c>
      <c r="Z40" s="54">
        <f t="shared" si="88"/>
        <v>0</v>
      </c>
      <c r="AA40" s="54">
        <f t="shared" si="88"/>
        <v>0</v>
      </c>
      <c r="AB40" s="54">
        <f t="shared" si="88"/>
        <v>0</v>
      </c>
      <c r="AC40" s="54">
        <f t="shared" si="88"/>
        <v>0</v>
      </c>
      <c r="AD40" s="54">
        <f>IF(AD34="","",AD34-AC34)</f>
        <v>8</v>
      </c>
      <c r="AE40" s="54">
        <f t="shared" si="88"/>
        <v>0</v>
      </c>
      <c r="AF40" s="54">
        <f t="shared" si="88"/>
        <v>0</v>
      </c>
      <c r="AG40" s="54">
        <f t="shared" si="88"/>
        <v>4</v>
      </c>
      <c r="AH40" s="54" t="str">
        <f t="shared" si="88"/>
        <v/>
      </c>
      <c r="AI40" s="54" t="str">
        <f t="shared" si="88"/>
        <v/>
      </c>
      <c r="AJ40" s="54" t="str">
        <f t="shared" si="88"/>
        <v/>
      </c>
      <c r="AK40" s="54" t="str">
        <f t="shared" si="88"/>
        <v/>
      </c>
      <c r="AL40" s="54" t="str">
        <f t="shared" si="88"/>
        <v/>
      </c>
      <c r="AM40" s="54" t="str">
        <f t="shared" si="88"/>
        <v/>
      </c>
      <c r="AN40" s="54" t="str">
        <f t="shared" si="88"/>
        <v/>
      </c>
      <c r="AO40" s="54" t="str">
        <f t="shared" si="88"/>
        <v/>
      </c>
      <c r="AP40" s="54" t="str">
        <f t="shared" ref="AP40:AP41" si="89">IF(AP34="","",AP34-AO34)</f>
        <v/>
      </c>
      <c r="AQ40" s="54" t="str">
        <f t="shared" ref="AQ40:AQ41" si="90">IF(AQ34="","",AQ34-AP34)</f>
        <v/>
      </c>
      <c r="AR40" s="54" t="str">
        <f t="shared" ref="AR40:AR41" si="91">IF(AR34="","",AR34-AQ34)</f>
        <v/>
      </c>
      <c r="AS40" s="54" t="str">
        <f t="shared" ref="AS40:AS41" si="92">IF(AS34="","",AS34-AR34)</f>
        <v/>
      </c>
      <c r="AT40" s="54" t="str">
        <f t="shared" ref="AT40:AT41" si="93">IF(AT34="","",AT34-AS34)</f>
        <v/>
      </c>
      <c r="AU40" s="54" t="str">
        <f t="shared" ref="AU40:AU41" si="94">IF(AU34="","",AU34-AT34)</f>
        <v/>
      </c>
      <c r="AV40" s="54" t="str">
        <f t="shared" ref="AV40:AV41" si="95">IF(AV34="","",AV34-AU34)</f>
        <v/>
      </c>
      <c r="AW40" s="54" t="str">
        <f t="shared" ref="AW40:AW41" si="96">IF(AW34="","",AW34-AV34)</f>
        <v/>
      </c>
      <c r="AX40" s="54" t="str">
        <f t="shared" ref="AX40:AX41" si="97">IF(AX34="","",AX34-AW34)</f>
        <v/>
      </c>
    </row>
    <row r="41" spans="1:50" s="1" customFormat="1">
      <c r="A41" s="28">
        <f>SUM(C41:AO41)</f>
        <v>28</v>
      </c>
      <c r="B41" s="55" t="s">
        <v>167</v>
      </c>
      <c r="C41" s="54"/>
      <c r="D41" s="65">
        <f t="shared" si="85"/>
        <v>0</v>
      </c>
      <c r="E41" s="54">
        <f t="shared" si="85"/>
        <v>4</v>
      </c>
      <c r="F41" s="54">
        <f t="shared" si="85"/>
        <v>0</v>
      </c>
      <c r="G41" s="54">
        <f t="shared" si="85"/>
        <v>0</v>
      </c>
      <c r="H41" s="54">
        <f t="shared" si="85"/>
        <v>0</v>
      </c>
      <c r="I41" s="54">
        <f t="shared" si="85"/>
        <v>6</v>
      </c>
      <c r="J41" s="54">
        <f t="shared" si="85"/>
        <v>0</v>
      </c>
      <c r="K41" s="54">
        <f t="shared" si="86"/>
        <v>0</v>
      </c>
      <c r="L41" s="54">
        <f>IF(L35="","",L35-K35)</f>
        <v>1</v>
      </c>
      <c r="M41" s="54">
        <f t="shared" ref="M41:N41" si="98">IF(M35="","",M35-L35)</f>
        <v>0</v>
      </c>
      <c r="N41" s="54">
        <f t="shared" si="98"/>
        <v>0</v>
      </c>
      <c r="O41" s="54">
        <f t="shared" ref="O41:AO41" si="99">IF(O35="","",O35-N35)</f>
        <v>0</v>
      </c>
      <c r="P41" s="54">
        <f t="shared" si="99"/>
        <v>0</v>
      </c>
      <c r="Q41" s="54">
        <f t="shared" si="99"/>
        <v>0</v>
      </c>
      <c r="R41" s="54">
        <f t="shared" si="99"/>
        <v>0</v>
      </c>
      <c r="S41" s="54">
        <f t="shared" si="99"/>
        <v>6</v>
      </c>
      <c r="T41" s="54">
        <f t="shared" si="99"/>
        <v>0</v>
      </c>
      <c r="U41" s="54">
        <f t="shared" si="99"/>
        <v>1</v>
      </c>
      <c r="V41" s="54">
        <f t="shared" si="99"/>
        <v>0</v>
      </c>
      <c r="W41" s="54">
        <f t="shared" si="99"/>
        <v>2</v>
      </c>
      <c r="X41" s="54">
        <f t="shared" si="99"/>
        <v>0</v>
      </c>
      <c r="Y41" s="54">
        <f t="shared" si="99"/>
        <v>2</v>
      </c>
      <c r="Z41" s="54">
        <f t="shared" si="99"/>
        <v>0</v>
      </c>
      <c r="AA41" s="54">
        <f t="shared" si="99"/>
        <v>0</v>
      </c>
      <c r="AB41" s="54">
        <f t="shared" si="99"/>
        <v>0</v>
      </c>
      <c r="AC41" s="54">
        <f t="shared" si="99"/>
        <v>0</v>
      </c>
      <c r="AD41" s="54">
        <f>IF(AD35="","",AD35-AC35)</f>
        <v>4</v>
      </c>
      <c r="AE41" s="54">
        <f t="shared" si="99"/>
        <v>0</v>
      </c>
      <c r="AF41" s="54">
        <f t="shared" si="99"/>
        <v>0</v>
      </c>
      <c r="AG41" s="54">
        <f t="shared" si="99"/>
        <v>2</v>
      </c>
      <c r="AH41" s="54" t="str">
        <f t="shared" si="99"/>
        <v/>
      </c>
      <c r="AI41" s="54" t="str">
        <f t="shared" si="99"/>
        <v/>
      </c>
      <c r="AJ41" s="54" t="str">
        <f t="shared" si="99"/>
        <v/>
      </c>
      <c r="AK41" s="54" t="str">
        <f t="shared" si="99"/>
        <v/>
      </c>
      <c r="AL41" s="54" t="str">
        <f t="shared" si="99"/>
        <v/>
      </c>
      <c r="AM41" s="54" t="str">
        <f t="shared" si="99"/>
        <v/>
      </c>
      <c r="AN41" s="54" t="str">
        <f t="shared" si="99"/>
        <v/>
      </c>
      <c r="AO41" s="54" t="str">
        <f t="shared" si="99"/>
        <v/>
      </c>
      <c r="AP41" s="54" t="str">
        <f t="shared" si="89"/>
        <v/>
      </c>
      <c r="AQ41" s="54" t="str">
        <f t="shared" si="90"/>
        <v/>
      </c>
      <c r="AR41" s="54" t="str">
        <f t="shared" si="91"/>
        <v/>
      </c>
      <c r="AS41" s="54" t="str">
        <f t="shared" si="92"/>
        <v/>
      </c>
      <c r="AT41" s="54" t="str">
        <f t="shared" si="93"/>
        <v/>
      </c>
      <c r="AU41" s="54" t="str">
        <f t="shared" si="94"/>
        <v/>
      </c>
      <c r="AV41" s="54" t="str">
        <f t="shared" si="95"/>
        <v/>
      </c>
      <c r="AW41" s="54" t="str">
        <f t="shared" si="96"/>
        <v/>
      </c>
      <c r="AX41" s="54" t="str">
        <f t="shared" si="97"/>
        <v/>
      </c>
    </row>
    <row r="42" spans="1:50" s="1" customFormat="1">
      <c r="A42" s="28">
        <f>SUM(C42:AO42)</f>
        <v>0</v>
      </c>
      <c r="B42" s="55" t="s">
        <v>18</v>
      </c>
      <c r="C42" s="54" t="str">
        <f>IF(C37="","",#REF!*C37)</f>
        <v/>
      </c>
      <c r="D42" s="65" t="str">
        <f>IF(D37="","",#REF!*D37)</f>
        <v/>
      </c>
      <c r="E42" s="54" t="str">
        <f>IF(E37="","",#REF!*E37)</f>
        <v/>
      </c>
      <c r="F42" s="54" t="str">
        <f>IF(F37="","",#REF!*F37)</f>
        <v/>
      </c>
      <c r="G42" s="54" t="str">
        <f>IF(G37="","",#REF!*G37)</f>
        <v/>
      </c>
      <c r="H42" s="54" t="str">
        <f>IF(H37="","",#REF!*H37)</f>
        <v/>
      </c>
      <c r="I42" s="54" t="str">
        <f>IF(I37="","",#REF!*I37)</f>
        <v/>
      </c>
      <c r="J42" s="54" t="str">
        <f>IF(J37="","",#REF!*J37)</f>
        <v/>
      </c>
      <c r="K42" s="54" t="str">
        <f>IF(K37="","",#REF!*K37)</f>
        <v/>
      </c>
      <c r="L42" s="54" t="str">
        <f>IF(L37="","",#REF!*L37)</f>
        <v/>
      </c>
      <c r="M42" s="54" t="str">
        <f>IF(M37="","",#REF!*M37)</f>
        <v/>
      </c>
      <c r="N42" s="54" t="str">
        <f>IF(N37="","",#REF!*N37)</f>
        <v/>
      </c>
      <c r="O42" s="54" t="str">
        <f>IF(O37="","",#REF!*O37)</f>
        <v/>
      </c>
      <c r="P42" s="54" t="str">
        <f>IF(P37="","",#REF!*P37)</f>
        <v/>
      </c>
      <c r="Q42" s="54" t="str">
        <f>IF(Q37="","",#REF!*Q37)</f>
        <v/>
      </c>
      <c r="R42" s="54" t="str">
        <f>IF(R37="","",#REF!*R37)</f>
        <v/>
      </c>
      <c r="S42" s="54" t="str">
        <f>IF(S37="","",#REF!*S37)</f>
        <v/>
      </c>
      <c r="T42" s="54" t="str">
        <f>IF(T37="","",#REF!*T37)</f>
        <v/>
      </c>
      <c r="U42" s="54" t="str">
        <f>IF(U37="","",#REF!*U37)</f>
        <v/>
      </c>
      <c r="V42" s="54" t="str">
        <f>IF(V37="","",#REF!*V37)</f>
        <v/>
      </c>
      <c r="W42" s="54" t="str">
        <f>IF(W37="","",#REF!*W37)</f>
        <v/>
      </c>
      <c r="X42" s="54" t="str">
        <f>IF(X37="","",#REF!*X37)</f>
        <v/>
      </c>
      <c r="Y42" s="54" t="str">
        <f>IF(Y37="","",#REF!*Y37)</f>
        <v/>
      </c>
      <c r="Z42" s="54" t="str">
        <f>IF(Z37="","",#REF!*Z37)</f>
        <v/>
      </c>
      <c r="AA42" s="54" t="str">
        <f>IF(AA37="","",#REF!*AA37)</f>
        <v/>
      </c>
      <c r="AB42" s="54" t="str">
        <f>IF(AB37="","",#REF!*AB37)</f>
        <v/>
      </c>
      <c r="AC42" s="54" t="str">
        <f>IF(AC37="","",#REF!*AC37)</f>
        <v/>
      </c>
      <c r="AD42" s="54" t="str">
        <f>IF(AD37="","",#REF!*AD37)</f>
        <v/>
      </c>
      <c r="AE42" s="54" t="str">
        <f>IF(AE37="","",#REF!*AE37)</f>
        <v/>
      </c>
      <c r="AF42" s="54" t="str">
        <f>IF(AF37="","",#REF!*AF37)</f>
        <v/>
      </c>
      <c r="AG42" s="54" t="str">
        <f>IF(AG37="","",#REF!*AG37)</f>
        <v/>
      </c>
      <c r="AH42" s="54" t="str">
        <f>IF(AH37="","",#REF!*AH37)</f>
        <v/>
      </c>
      <c r="AI42" s="54" t="str">
        <f>IF(AI37="","",#REF!*AI37)</f>
        <v/>
      </c>
      <c r="AJ42" s="54" t="str">
        <f>IF(AJ37="","",#REF!*AJ37)</f>
        <v/>
      </c>
      <c r="AK42" s="54" t="str">
        <f>IF(AK37="","",#REF!*AK37)</f>
        <v/>
      </c>
      <c r="AL42" s="54" t="str">
        <f>IF(AL37="","",#REF!*AL37)</f>
        <v/>
      </c>
      <c r="AM42" s="54" t="str">
        <f>IF(AM37="","",#REF!*AM37)</f>
        <v/>
      </c>
      <c r="AN42" s="54" t="str">
        <f>IF(AN37="","",#REF!*AN37)</f>
        <v/>
      </c>
      <c r="AO42" s="54" t="str">
        <f>IF(AO37="","",#REF!*AO37)</f>
        <v/>
      </c>
      <c r="AP42" s="54" t="str">
        <f>IF(AP37="","",#REF!*AP37)</f>
        <v/>
      </c>
      <c r="AQ42" s="54" t="str">
        <f>IF(AQ37="","",#REF!*AQ37)</f>
        <v/>
      </c>
      <c r="AR42" s="54" t="str">
        <f>IF(AR37="","",#REF!*AR37)</f>
        <v/>
      </c>
      <c r="AS42" s="54" t="str">
        <f>IF(AS37="","",#REF!*AS37)</f>
        <v/>
      </c>
      <c r="AT42" s="54" t="str">
        <f>IF(AT37="","",#REF!*AT37)</f>
        <v/>
      </c>
      <c r="AU42" s="54" t="str">
        <f>IF(AU37="","",#REF!*AU37)</f>
        <v/>
      </c>
      <c r="AV42" s="54" t="str">
        <f>IF(AV37="","",#REF!*AV37)</f>
        <v/>
      </c>
      <c r="AW42" s="54" t="str">
        <f>IF(AW37="","",#REF!*AW37)</f>
        <v/>
      </c>
      <c r="AX42" s="54" t="str">
        <f>IF(AX37="","",#REF!*AX37)</f>
        <v/>
      </c>
    </row>
    <row r="43" spans="1:50" s="1" customFormat="1" ht="12" thickBot="1">
      <c r="A43" s="25">
        <f>IF(A42="","",A42/(A40*100))</f>
        <v>0</v>
      </c>
      <c r="B43" s="53" t="s">
        <v>20</v>
      </c>
      <c r="C43" s="52" t="str">
        <f t="shared" ref="C43:J43" si="100">IF(C42="","",C42/(C40*100))</f>
        <v/>
      </c>
      <c r="D43" s="67" t="str">
        <f t="shared" si="100"/>
        <v/>
      </c>
      <c r="E43" s="52" t="str">
        <f t="shared" si="100"/>
        <v/>
      </c>
      <c r="F43" s="52" t="str">
        <f t="shared" si="100"/>
        <v/>
      </c>
      <c r="G43" s="52" t="str">
        <f t="shared" si="100"/>
        <v/>
      </c>
      <c r="H43" s="52" t="str">
        <f t="shared" si="100"/>
        <v/>
      </c>
      <c r="I43" s="52" t="str">
        <f t="shared" si="100"/>
        <v/>
      </c>
      <c r="J43" s="52" t="str">
        <f t="shared" si="100"/>
        <v/>
      </c>
      <c r="K43" s="52" t="str">
        <f t="shared" ref="K43" si="101">IF(K42="","",K42/(K40*100))</f>
        <v/>
      </c>
      <c r="L43" s="52" t="str">
        <f>IF(L42="","",L42/(L40*100))</f>
        <v/>
      </c>
      <c r="M43" s="52" t="str">
        <f t="shared" ref="M43:N43" si="102">IF(M42="","",M42/(M40*100))</f>
        <v/>
      </c>
      <c r="N43" s="52" t="str">
        <f t="shared" si="102"/>
        <v/>
      </c>
      <c r="O43" s="52" t="str">
        <f t="shared" ref="O43:AO43" si="103">IF(O42="","",O42/(O40*100))</f>
        <v/>
      </c>
      <c r="P43" s="52" t="str">
        <f t="shared" si="103"/>
        <v/>
      </c>
      <c r="Q43" s="52" t="str">
        <f t="shared" si="103"/>
        <v/>
      </c>
      <c r="R43" s="52" t="str">
        <f t="shared" si="103"/>
        <v/>
      </c>
      <c r="S43" s="52" t="str">
        <f t="shared" si="103"/>
        <v/>
      </c>
      <c r="T43" s="52" t="str">
        <f t="shared" si="103"/>
        <v/>
      </c>
      <c r="U43" s="52" t="str">
        <f t="shared" si="103"/>
        <v/>
      </c>
      <c r="V43" s="52" t="str">
        <f t="shared" si="103"/>
        <v/>
      </c>
      <c r="W43" s="52" t="str">
        <f t="shared" si="103"/>
        <v/>
      </c>
      <c r="X43" s="52" t="str">
        <f t="shared" ref="X43" si="104">IF(X42="","",X42/(X40*100))</f>
        <v/>
      </c>
      <c r="Y43" s="52" t="str">
        <f t="shared" si="103"/>
        <v/>
      </c>
      <c r="Z43" s="52" t="str">
        <f t="shared" si="103"/>
        <v/>
      </c>
      <c r="AA43" s="52" t="str">
        <f t="shared" si="103"/>
        <v/>
      </c>
      <c r="AB43" s="52" t="str">
        <f t="shared" si="103"/>
        <v/>
      </c>
      <c r="AC43" s="52" t="str">
        <f t="shared" si="103"/>
        <v/>
      </c>
      <c r="AD43" s="52" t="str">
        <f>IF(AD42="","",AD42/(AD40*100))</f>
        <v/>
      </c>
      <c r="AE43" s="52" t="str">
        <f t="shared" si="103"/>
        <v/>
      </c>
      <c r="AF43" s="52" t="str">
        <f t="shared" si="103"/>
        <v/>
      </c>
      <c r="AG43" s="52" t="str">
        <f t="shared" si="103"/>
        <v/>
      </c>
      <c r="AH43" s="52" t="str">
        <f t="shared" si="103"/>
        <v/>
      </c>
      <c r="AI43" s="52" t="str">
        <f t="shared" si="103"/>
        <v/>
      </c>
      <c r="AJ43" s="52" t="str">
        <f t="shared" si="103"/>
        <v/>
      </c>
      <c r="AK43" s="52" t="str">
        <f t="shared" si="103"/>
        <v/>
      </c>
      <c r="AL43" s="52" t="str">
        <f t="shared" si="103"/>
        <v/>
      </c>
      <c r="AM43" s="52" t="str">
        <f t="shared" si="103"/>
        <v/>
      </c>
      <c r="AN43" s="52" t="str">
        <f t="shared" si="103"/>
        <v/>
      </c>
      <c r="AO43" s="52" t="str">
        <f t="shared" si="103"/>
        <v/>
      </c>
      <c r="AP43" s="52" t="str">
        <f t="shared" ref="AP43" si="105">IF(AP42="","",AP42/(AP40*100))</f>
        <v/>
      </c>
      <c r="AQ43" s="52" t="str">
        <f t="shared" ref="AQ43" si="106">IF(AQ42="","",AQ42/(AQ40*100))</f>
        <v/>
      </c>
      <c r="AR43" s="52" t="str">
        <f t="shared" ref="AR43" si="107">IF(AR42="","",AR42/(AR40*100))</f>
        <v/>
      </c>
      <c r="AS43" s="52" t="str">
        <f t="shared" ref="AS43" si="108">IF(AS42="","",AS42/(AS40*100))</f>
        <v/>
      </c>
      <c r="AT43" s="52" t="str">
        <f t="shared" ref="AT43" si="109">IF(AT42="","",AT42/(AT40*100))</f>
        <v/>
      </c>
      <c r="AU43" s="52" t="str">
        <f t="shared" ref="AU43" si="110">IF(AU42="","",AU42/(AU40*100))</f>
        <v/>
      </c>
      <c r="AV43" s="52" t="str">
        <f t="shared" ref="AV43" si="111">IF(AV42="","",AV42/(AV40*100))</f>
        <v/>
      </c>
      <c r="AW43" s="52" t="str">
        <f t="shared" ref="AW43" si="112">IF(AW42="","",AW42/(AW40*100))</f>
        <v/>
      </c>
      <c r="AX43" s="52" t="str">
        <f t="shared" ref="AX43" si="113">IF(AX42="","",AX42/(AX40*100))</f>
        <v/>
      </c>
    </row>
    <row r="44" spans="1:50" s="1" customFormat="1" ht="12" thickBot="1">
      <c r="A44" s="22" t="s">
        <v>1</v>
      </c>
      <c r="B44" s="21" t="s">
        <v>171</v>
      </c>
      <c r="C44" s="20">
        <v>6398</v>
      </c>
      <c r="D44" s="20">
        <v>6398</v>
      </c>
      <c r="E44" s="20">
        <v>6398</v>
      </c>
      <c r="F44" s="20">
        <v>6523</v>
      </c>
      <c r="G44" s="20">
        <v>6523</v>
      </c>
      <c r="H44" s="20">
        <v>6523</v>
      </c>
      <c r="I44" s="20">
        <v>6543</v>
      </c>
      <c r="J44" s="20">
        <v>6543</v>
      </c>
      <c r="K44" s="20">
        <v>6543</v>
      </c>
      <c r="L44" s="20">
        <v>6579</v>
      </c>
      <c r="M44" s="20">
        <v>6579</v>
      </c>
      <c r="N44" s="20">
        <v>6579</v>
      </c>
      <c r="O44" s="20">
        <v>6579</v>
      </c>
      <c r="P44" s="20">
        <v>6614</v>
      </c>
      <c r="Q44" s="20">
        <v>6614</v>
      </c>
      <c r="R44" s="20">
        <v>6614</v>
      </c>
      <c r="S44" s="20">
        <v>6750</v>
      </c>
      <c r="T44" s="20">
        <v>6750</v>
      </c>
      <c r="U44" s="20">
        <v>6750</v>
      </c>
      <c r="V44" s="20">
        <v>6750</v>
      </c>
      <c r="W44" s="20">
        <v>6765</v>
      </c>
      <c r="X44" s="20">
        <v>6765</v>
      </c>
      <c r="Y44" s="20">
        <v>6765</v>
      </c>
      <c r="Z44" s="20">
        <v>6865</v>
      </c>
      <c r="AA44" s="20">
        <v>6865</v>
      </c>
      <c r="AB44" s="20">
        <v>6865</v>
      </c>
      <c r="AC44" s="20">
        <v>6865</v>
      </c>
      <c r="AD44" s="20">
        <v>6900</v>
      </c>
      <c r="AE44" s="20">
        <v>6900</v>
      </c>
      <c r="AF44" s="20">
        <v>6900</v>
      </c>
      <c r="AG44" s="20">
        <v>7000</v>
      </c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</row>
    <row r="45" spans="1:50" s="1" customFormat="1">
      <c r="A45" s="61" t="s">
        <v>172</v>
      </c>
      <c r="B45" s="9" t="s">
        <v>163</v>
      </c>
      <c r="C45" s="8">
        <v>1309</v>
      </c>
      <c r="D45" s="8">
        <v>1309</v>
      </c>
      <c r="E45" s="8">
        <v>1309</v>
      </c>
      <c r="F45" s="8">
        <v>1334</v>
      </c>
      <c r="G45" s="8">
        <v>1334</v>
      </c>
      <c r="H45" s="8">
        <v>1334</v>
      </c>
      <c r="I45" s="8">
        <v>1338</v>
      </c>
      <c r="J45" s="8">
        <v>1338</v>
      </c>
      <c r="K45" s="8">
        <v>1338</v>
      </c>
      <c r="L45" s="8">
        <v>1345</v>
      </c>
      <c r="M45" s="8">
        <v>1345</v>
      </c>
      <c r="N45" s="8">
        <v>1345</v>
      </c>
      <c r="O45" s="8">
        <v>1345</v>
      </c>
      <c r="P45" s="8">
        <v>1352</v>
      </c>
      <c r="Q45" s="8">
        <v>1352</v>
      </c>
      <c r="R45" s="8">
        <v>1352</v>
      </c>
      <c r="S45" s="8">
        <v>1379</v>
      </c>
      <c r="T45" s="8">
        <v>1379</v>
      </c>
      <c r="U45" s="8">
        <v>1379</v>
      </c>
      <c r="V45" s="8">
        <v>1379</v>
      </c>
      <c r="W45" s="8">
        <v>1382</v>
      </c>
      <c r="X45" s="20">
        <v>1382</v>
      </c>
      <c r="Y45" s="20">
        <v>1382</v>
      </c>
      <c r="Z45" s="8">
        <v>1402</v>
      </c>
      <c r="AA45" s="8">
        <v>1402</v>
      </c>
      <c r="AB45" s="8">
        <v>1402</v>
      </c>
      <c r="AC45" s="8">
        <v>1402</v>
      </c>
      <c r="AD45" s="8">
        <v>1409</v>
      </c>
      <c r="AE45" s="8">
        <v>1409</v>
      </c>
      <c r="AF45" s="8">
        <v>1409</v>
      </c>
      <c r="AG45" s="8">
        <v>1429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s="1" customFormat="1">
      <c r="A46" s="15" t="s">
        <v>173</v>
      </c>
      <c r="B46" s="9" t="s">
        <v>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s="1" customFormat="1">
      <c r="A47" s="14" t="s">
        <v>9</v>
      </c>
      <c r="B47" s="9" t="s">
        <v>8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s="11" customFormat="1">
      <c r="A48" s="7">
        <f>AVERAGE(C50:AO50)*30*100</f>
        <v>60200</v>
      </c>
      <c r="B48" s="13" t="s">
        <v>164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 s="1" customFormat="1">
      <c r="A49" s="10"/>
      <c r="B49" s="9" t="s">
        <v>165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s="1" customFormat="1">
      <c r="A50" s="7">
        <f>SUM(C50:AO50)</f>
        <v>602</v>
      </c>
      <c r="B50" s="60" t="s">
        <v>15</v>
      </c>
      <c r="C50" s="59"/>
      <c r="D50" s="59">
        <f t="shared" ref="D50:I51" si="114">IF(D44="","",D44-C44)</f>
        <v>0</v>
      </c>
      <c r="E50" s="59">
        <f t="shared" si="114"/>
        <v>0</v>
      </c>
      <c r="F50" s="59">
        <f t="shared" si="114"/>
        <v>125</v>
      </c>
      <c r="G50" s="59">
        <f t="shared" si="114"/>
        <v>0</v>
      </c>
      <c r="H50" s="59">
        <f t="shared" si="114"/>
        <v>0</v>
      </c>
      <c r="I50" s="59">
        <f t="shared" si="114"/>
        <v>20</v>
      </c>
      <c r="J50" s="59">
        <f t="shared" ref="J50:K50" si="115">IF(J44="","",J44-I44)</f>
        <v>0</v>
      </c>
      <c r="K50" s="59">
        <f t="shared" si="115"/>
        <v>0</v>
      </c>
      <c r="L50" s="59">
        <f>IF(L44="","",L44-K44)</f>
        <v>36</v>
      </c>
      <c r="M50" s="59">
        <f t="shared" ref="M50:N50" si="116">IF(M44="","",M44-L44)</f>
        <v>0</v>
      </c>
      <c r="N50" s="59">
        <f t="shared" si="116"/>
        <v>0</v>
      </c>
      <c r="O50" s="59">
        <f t="shared" ref="O50" si="117">IF(O44="","",O44-N44)</f>
        <v>0</v>
      </c>
      <c r="P50" s="59">
        <f>IF(P44="","",P44-O44)</f>
        <v>35</v>
      </c>
      <c r="Q50" s="59">
        <f t="shared" ref="Q50:R50" si="118">IF(Q44="","",Q44-P44)</f>
        <v>0</v>
      </c>
      <c r="R50" s="59">
        <f t="shared" si="118"/>
        <v>0</v>
      </c>
      <c r="S50" s="59">
        <f t="shared" ref="S50:AO50" si="119">IF(S44="","",S44-R44)</f>
        <v>136</v>
      </c>
      <c r="T50" s="59">
        <f t="shared" ref="T50:V51" si="120">IF(T44="","",T44-S44)</f>
        <v>0</v>
      </c>
      <c r="U50" s="59">
        <f t="shared" si="120"/>
        <v>0</v>
      </c>
      <c r="V50" s="59">
        <f t="shared" si="120"/>
        <v>0</v>
      </c>
      <c r="W50" s="59">
        <f t="shared" si="119"/>
        <v>15</v>
      </c>
      <c r="X50" s="59">
        <f t="shared" si="119"/>
        <v>0</v>
      </c>
      <c r="Y50" s="59">
        <f t="shared" si="119"/>
        <v>0</v>
      </c>
      <c r="Z50" s="59">
        <f t="shared" si="119"/>
        <v>100</v>
      </c>
      <c r="AA50" s="59">
        <f t="shared" si="119"/>
        <v>0</v>
      </c>
      <c r="AB50" s="59">
        <f t="shared" si="119"/>
        <v>0</v>
      </c>
      <c r="AC50" s="59">
        <f t="shared" si="119"/>
        <v>0</v>
      </c>
      <c r="AD50" s="59">
        <f>IF(AD44="","",AD44-AC44)</f>
        <v>35</v>
      </c>
      <c r="AE50" s="59">
        <f t="shared" si="119"/>
        <v>0</v>
      </c>
      <c r="AF50" s="59">
        <f t="shared" si="119"/>
        <v>0</v>
      </c>
      <c r="AG50" s="59">
        <f t="shared" si="119"/>
        <v>100</v>
      </c>
      <c r="AH50" s="59" t="str">
        <f t="shared" si="119"/>
        <v/>
      </c>
      <c r="AI50" s="59" t="str">
        <f t="shared" si="119"/>
        <v/>
      </c>
      <c r="AJ50" s="59" t="str">
        <f t="shared" si="119"/>
        <v/>
      </c>
      <c r="AK50" s="59" t="str">
        <f t="shared" si="119"/>
        <v/>
      </c>
      <c r="AL50" s="59" t="str">
        <f t="shared" si="119"/>
        <v/>
      </c>
      <c r="AM50" s="59" t="str">
        <f t="shared" si="119"/>
        <v/>
      </c>
      <c r="AN50" s="59" t="str">
        <f t="shared" si="119"/>
        <v/>
      </c>
      <c r="AO50" s="59" t="str">
        <f t="shared" si="119"/>
        <v/>
      </c>
      <c r="AP50" s="59" t="str">
        <f t="shared" ref="AP50:AP51" si="121">IF(AP44="","",AP44-AO44)</f>
        <v/>
      </c>
      <c r="AQ50" s="59" t="str">
        <f t="shared" ref="AQ50:AQ51" si="122">IF(AQ44="","",AQ44-AP44)</f>
        <v/>
      </c>
      <c r="AR50" s="59" t="str">
        <f t="shared" ref="AR50:AR51" si="123">IF(AR44="","",AR44-AQ44)</f>
        <v/>
      </c>
      <c r="AS50" s="59" t="str">
        <f t="shared" ref="AS50:AS51" si="124">IF(AS44="","",AS44-AR44)</f>
        <v/>
      </c>
      <c r="AT50" s="59" t="str">
        <f t="shared" ref="AT50:AT51" si="125">IF(AT44="","",AT44-AS44)</f>
        <v/>
      </c>
      <c r="AU50" s="59" t="str">
        <f t="shared" ref="AU50:AU51" si="126">IF(AU44="","",AU44-AT44)</f>
        <v/>
      </c>
      <c r="AV50" s="59" t="str">
        <f t="shared" ref="AV50:AV51" si="127">IF(AV44="","",AV44-AU44)</f>
        <v/>
      </c>
      <c r="AW50" s="59" t="str">
        <f t="shared" ref="AW50:AW51" si="128">IF(AW44="","",AW44-AV44)</f>
        <v/>
      </c>
      <c r="AX50" s="59" t="str">
        <f t="shared" ref="AX50:AX51" si="129">IF(AX44="","",AX44-AW44)</f>
        <v/>
      </c>
    </row>
    <row r="51" spans="1:50" s="1" customFormat="1">
      <c r="A51" s="7">
        <f>SUM(C51:AO51)</f>
        <v>120</v>
      </c>
      <c r="B51" s="60" t="s">
        <v>167</v>
      </c>
      <c r="C51" s="59"/>
      <c r="D51" s="59">
        <f t="shared" si="114"/>
        <v>0</v>
      </c>
      <c r="E51" s="59">
        <f t="shared" si="114"/>
        <v>0</v>
      </c>
      <c r="F51" s="59">
        <f t="shared" si="114"/>
        <v>25</v>
      </c>
      <c r="G51" s="59">
        <f t="shared" si="114"/>
        <v>0</v>
      </c>
      <c r="H51" s="59">
        <f t="shared" si="114"/>
        <v>0</v>
      </c>
      <c r="I51" s="59">
        <f t="shared" si="114"/>
        <v>4</v>
      </c>
      <c r="J51" s="59">
        <f t="shared" ref="J51:K51" si="130">IF(J45="","",J45-I45)</f>
        <v>0</v>
      </c>
      <c r="K51" s="59">
        <f t="shared" si="130"/>
        <v>0</v>
      </c>
      <c r="L51" s="59">
        <f>IF(L45="","",L45-K45)</f>
        <v>7</v>
      </c>
      <c r="M51" s="59">
        <f t="shared" ref="M51:N51" si="131">IF(M45="","",M45-L45)</f>
        <v>0</v>
      </c>
      <c r="N51" s="59">
        <f t="shared" si="131"/>
        <v>0</v>
      </c>
      <c r="O51" s="59">
        <f t="shared" ref="O51" si="132">IF(O45="","",O45-N45)</f>
        <v>0</v>
      </c>
      <c r="P51" s="59">
        <f>IF(P45="","",P45-O45)</f>
        <v>7</v>
      </c>
      <c r="Q51" s="59">
        <f t="shared" ref="Q51:R51" si="133">IF(Q45="","",Q45-P45)</f>
        <v>0</v>
      </c>
      <c r="R51" s="59">
        <f t="shared" si="133"/>
        <v>0</v>
      </c>
      <c r="S51" s="59">
        <f t="shared" ref="S51:AO51" si="134">IF(S45="","",S45-R45)</f>
        <v>27</v>
      </c>
      <c r="T51" s="59">
        <f t="shared" si="120"/>
        <v>0</v>
      </c>
      <c r="U51" s="59">
        <f t="shared" si="120"/>
        <v>0</v>
      </c>
      <c r="V51" s="59">
        <f t="shared" si="120"/>
        <v>0</v>
      </c>
      <c r="W51" s="59">
        <f t="shared" si="134"/>
        <v>3</v>
      </c>
      <c r="X51" s="59">
        <f t="shared" si="134"/>
        <v>0</v>
      </c>
      <c r="Y51" s="59">
        <f t="shared" si="134"/>
        <v>0</v>
      </c>
      <c r="Z51" s="59">
        <f t="shared" si="134"/>
        <v>20</v>
      </c>
      <c r="AA51" s="59">
        <f t="shared" si="134"/>
        <v>0</v>
      </c>
      <c r="AB51" s="59">
        <f t="shared" si="134"/>
        <v>0</v>
      </c>
      <c r="AC51" s="59">
        <f t="shared" si="134"/>
        <v>0</v>
      </c>
      <c r="AD51" s="59">
        <f>IF(AD45="","",AD45-AC45)</f>
        <v>7</v>
      </c>
      <c r="AE51" s="59">
        <f t="shared" si="134"/>
        <v>0</v>
      </c>
      <c r="AF51" s="59">
        <f t="shared" si="134"/>
        <v>0</v>
      </c>
      <c r="AG51" s="59">
        <f t="shared" si="134"/>
        <v>20</v>
      </c>
      <c r="AH51" s="59" t="str">
        <f t="shared" si="134"/>
        <v/>
      </c>
      <c r="AI51" s="59" t="str">
        <f t="shared" si="134"/>
        <v/>
      </c>
      <c r="AJ51" s="59" t="str">
        <f t="shared" si="134"/>
        <v/>
      </c>
      <c r="AK51" s="59" t="str">
        <f t="shared" si="134"/>
        <v/>
      </c>
      <c r="AL51" s="59" t="str">
        <f t="shared" si="134"/>
        <v/>
      </c>
      <c r="AM51" s="59" t="str">
        <f t="shared" si="134"/>
        <v/>
      </c>
      <c r="AN51" s="59" t="str">
        <f t="shared" si="134"/>
        <v/>
      </c>
      <c r="AO51" s="59" t="str">
        <f t="shared" si="134"/>
        <v/>
      </c>
      <c r="AP51" s="59" t="str">
        <f t="shared" si="121"/>
        <v/>
      </c>
      <c r="AQ51" s="59" t="str">
        <f t="shared" si="122"/>
        <v/>
      </c>
      <c r="AR51" s="59" t="str">
        <f t="shared" si="123"/>
        <v/>
      </c>
      <c r="AS51" s="59" t="str">
        <f t="shared" si="124"/>
        <v/>
      </c>
      <c r="AT51" s="59" t="str">
        <f t="shared" si="125"/>
        <v/>
      </c>
      <c r="AU51" s="59" t="str">
        <f t="shared" si="126"/>
        <v/>
      </c>
      <c r="AV51" s="59" t="str">
        <f t="shared" si="127"/>
        <v/>
      </c>
      <c r="AW51" s="59" t="str">
        <f t="shared" si="128"/>
        <v/>
      </c>
      <c r="AX51" s="59" t="str">
        <f t="shared" si="129"/>
        <v/>
      </c>
    </row>
    <row r="52" spans="1:50" s="1" customFormat="1">
      <c r="A52" s="7">
        <f>SUM(C52:AO52)</f>
        <v>0</v>
      </c>
      <c r="B52" s="60" t="s">
        <v>18</v>
      </c>
      <c r="C52" s="59" t="str">
        <f>IF(C47="","",#REF!*C47)</f>
        <v/>
      </c>
      <c r="D52" s="59" t="str">
        <f>IF(D47="","",#REF!*D47)</f>
        <v/>
      </c>
      <c r="E52" s="59" t="str">
        <f>IF(E47="","",#REF!*E47)</f>
        <v/>
      </c>
      <c r="F52" s="59" t="str">
        <f>IF(F47="","",#REF!*F47)</f>
        <v/>
      </c>
      <c r="G52" s="59" t="str">
        <f>IF(G47="","",#REF!*G47)</f>
        <v/>
      </c>
      <c r="H52" s="59" t="str">
        <f>IF(H47="","",#REF!*H47)</f>
        <v/>
      </c>
      <c r="I52" s="59" t="str">
        <f>IF(I47="","",#REF!*I47)</f>
        <v/>
      </c>
      <c r="J52" s="59" t="str">
        <f>IF(J47="","",#REF!*J47)</f>
        <v/>
      </c>
      <c r="K52" s="59" t="str">
        <f>IF(K47="","",#REF!*K47)</f>
        <v/>
      </c>
      <c r="L52" s="59" t="str">
        <f>IF(L47="","",#REF!*L47)</f>
        <v/>
      </c>
      <c r="M52" s="59" t="str">
        <f>IF(M47="","",#REF!*M47)</f>
        <v/>
      </c>
      <c r="N52" s="59" t="str">
        <f>IF(N47="","",#REF!*N47)</f>
        <v/>
      </c>
      <c r="O52" s="59" t="str">
        <f>IF(O47="","",#REF!*O47)</f>
        <v/>
      </c>
      <c r="P52" s="59" t="str">
        <f>IF(P47="","",#REF!*P47)</f>
        <v/>
      </c>
      <c r="Q52" s="59" t="str">
        <f>IF(Q47="","",#REF!*Q47)</f>
        <v/>
      </c>
      <c r="R52" s="59" t="str">
        <f>IF(R47="","",#REF!*R47)</f>
        <v/>
      </c>
      <c r="S52" s="59" t="str">
        <f>IF(S47="","",#REF!*S47)</f>
        <v/>
      </c>
      <c r="T52" s="59" t="str">
        <f>IF(T47="","",#REF!*T47)</f>
        <v/>
      </c>
      <c r="U52" s="59" t="str">
        <f>IF(U47="","",#REF!*U47)</f>
        <v/>
      </c>
      <c r="V52" s="59" t="str">
        <f>IF(V47="","",#REF!*V47)</f>
        <v/>
      </c>
      <c r="W52" s="59" t="str">
        <f>IF(W47="","",#REF!*W47)</f>
        <v/>
      </c>
      <c r="X52" s="59" t="str">
        <f>IF(X47="","",#REF!*X47)</f>
        <v/>
      </c>
      <c r="Y52" s="59" t="str">
        <f>IF(Y47="","",#REF!*Y47)</f>
        <v/>
      </c>
      <c r="Z52" s="59" t="str">
        <f>IF(Z47="","",#REF!*Z47)</f>
        <v/>
      </c>
      <c r="AA52" s="59" t="str">
        <f>IF(AA47="","",#REF!*AA47)</f>
        <v/>
      </c>
      <c r="AB52" s="59" t="str">
        <f>IF(AB47="","",#REF!*AB47)</f>
        <v/>
      </c>
      <c r="AC52" s="59" t="str">
        <f>IF(AC47="","",#REF!*AC47)</f>
        <v/>
      </c>
      <c r="AD52" s="59" t="str">
        <f>IF(AD47="","",#REF!*AD47)</f>
        <v/>
      </c>
      <c r="AE52" s="59" t="str">
        <f>IF(AE47="","",#REF!*AE47)</f>
        <v/>
      </c>
      <c r="AF52" s="59" t="str">
        <f>IF(AF47="","",#REF!*AF47)</f>
        <v/>
      </c>
      <c r="AG52" s="59" t="str">
        <f>IF(AG47="","",#REF!*AG47)</f>
        <v/>
      </c>
      <c r="AH52" s="59" t="str">
        <f>IF(AH47="","",#REF!*AH47)</f>
        <v/>
      </c>
      <c r="AI52" s="59" t="str">
        <f>IF(AI47="","",#REF!*AI47)</f>
        <v/>
      </c>
      <c r="AJ52" s="59" t="str">
        <f>IF(AJ47="","",#REF!*AJ47)</f>
        <v/>
      </c>
      <c r="AK52" s="59" t="str">
        <f>IF(AK47="","",#REF!*AK47)</f>
        <v/>
      </c>
      <c r="AL52" s="59" t="str">
        <f>IF(AL47="","",#REF!*AL47)</f>
        <v/>
      </c>
      <c r="AM52" s="59" t="str">
        <f>IF(AM47="","",#REF!*AM47)</f>
        <v/>
      </c>
      <c r="AN52" s="59" t="str">
        <f>IF(AN47="","",#REF!*AN47)</f>
        <v/>
      </c>
      <c r="AO52" s="59" t="str">
        <f>IF(AO47="","",#REF!*AO47)</f>
        <v/>
      </c>
      <c r="AP52" s="59" t="str">
        <f>IF(AP47="","",#REF!*AP47)</f>
        <v/>
      </c>
      <c r="AQ52" s="59" t="str">
        <f>IF(AQ47="","",#REF!*AQ47)</f>
        <v/>
      </c>
      <c r="AR52" s="59" t="str">
        <f>IF(AR47="","",#REF!*AR47)</f>
        <v/>
      </c>
      <c r="AS52" s="59" t="str">
        <f>IF(AS47="","",#REF!*AS47)</f>
        <v/>
      </c>
      <c r="AT52" s="59" t="str">
        <f>IF(AT47="","",#REF!*AT47)</f>
        <v/>
      </c>
      <c r="AU52" s="59" t="str">
        <f>IF(AU47="","",#REF!*AU47)</f>
        <v/>
      </c>
      <c r="AV52" s="59" t="str">
        <f>IF(AV47="","",#REF!*AV47)</f>
        <v/>
      </c>
      <c r="AW52" s="59" t="str">
        <f>IF(AW47="","",#REF!*AW47)</f>
        <v/>
      </c>
      <c r="AX52" s="59" t="str">
        <f>IF(AX47="","",#REF!*AX47)</f>
        <v/>
      </c>
    </row>
    <row r="53" spans="1:50" s="1" customFormat="1">
      <c r="A53" s="19">
        <f>IF(A52="","",A52/(A50*100))</f>
        <v>0</v>
      </c>
      <c r="B53" s="60" t="s">
        <v>20</v>
      </c>
      <c r="C53" s="62" t="str">
        <f t="shared" ref="C53:I53" si="135">IF(C52="","",C52/(C50*100))</f>
        <v/>
      </c>
      <c r="D53" s="62" t="str">
        <f t="shared" si="135"/>
        <v/>
      </c>
      <c r="E53" s="62" t="str">
        <f t="shared" si="135"/>
        <v/>
      </c>
      <c r="F53" s="62" t="str">
        <f t="shared" si="135"/>
        <v/>
      </c>
      <c r="G53" s="62" t="str">
        <f t="shared" si="135"/>
        <v/>
      </c>
      <c r="H53" s="62" t="str">
        <f t="shared" si="135"/>
        <v/>
      </c>
      <c r="I53" s="62" t="str">
        <f t="shared" si="135"/>
        <v/>
      </c>
      <c r="J53" s="62" t="str">
        <f t="shared" ref="J53:K53" si="136">IF(J52="","",J52/(J50*100))</f>
        <v/>
      </c>
      <c r="K53" s="62" t="str">
        <f t="shared" si="136"/>
        <v/>
      </c>
      <c r="L53" s="62" t="str">
        <f>IF(L52="","",L52/(L50*100))</f>
        <v/>
      </c>
      <c r="M53" s="62" t="str">
        <f t="shared" ref="M53:N53" si="137">IF(M52="","",M52/(M50*100))</f>
        <v/>
      </c>
      <c r="N53" s="62" t="str">
        <f t="shared" si="137"/>
        <v/>
      </c>
      <c r="O53" s="62" t="str">
        <f t="shared" ref="O53" si="138">IF(O52="","",O52/(O50*100))</f>
        <v/>
      </c>
      <c r="P53" s="62" t="str">
        <f>IF(P52="","",P52/(P50*100))</f>
        <v/>
      </c>
      <c r="Q53" s="62" t="str">
        <f t="shared" ref="Q53:R53" si="139">IF(Q52="","",Q52/(Q50*100))</f>
        <v/>
      </c>
      <c r="R53" s="62" t="str">
        <f t="shared" si="139"/>
        <v/>
      </c>
      <c r="S53" s="62" t="str">
        <f t="shared" ref="S53:AO53" si="140">IF(S52="","",S52/(S50*100))</f>
        <v/>
      </c>
      <c r="T53" s="62" t="str">
        <f>IF(T52="","",T52/(T50*100))</f>
        <v/>
      </c>
      <c r="U53" s="62" t="str">
        <f>IF(U52="","",U52/(U50*100))</f>
        <v/>
      </c>
      <c r="V53" s="62" t="str">
        <f>IF(V52="","",V52/(V50*100))</f>
        <v/>
      </c>
      <c r="W53" s="62" t="str">
        <f t="shared" si="140"/>
        <v/>
      </c>
      <c r="X53" s="62" t="str">
        <f t="shared" ref="X53" si="141">IF(X52="","",X52/(X50*100))</f>
        <v/>
      </c>
      <c r="Y53" s="62" t="str">
        <f t="shared" si="140"/>
        <v/>
      </c>
      <c r="Z53" s="62" t="str">
        <f t="shared" si="140"/>
        <v/>
      </c>
      <c r="AA53" s="62" t="str">
        <f t="shared" si="140"/>
        <v/>
      </c>
      <c r="AB53" s="62" t="str">
        <f t="shared" si="140"/>
        <v/>
      </c>
      <c r="AC53" s="62" t="str">
        <f t="shared" si="140"/>
        <v/>
      </c>
      <c r="AD53" s="62" t="str">
        <f>IF(AD52="","",AD52/(AD50*100))</f>
        <v/>
      </c>
      <c r="AE53" s="62" t="str">
        <f t="shared" si="140"/>
        <v/>
      </c>
      <c r="AF53" s="62" t="str">
        <f t="shared" si="140"/>
        <v/>
      </c>
      <c r="AG53" s="62" t="str">
        <f t="shared" si="140"/>
        <v/>
      </c>
      <c r="AH53" s="62" t="str">
        <f t="shared" si="140"/>
        <v/>
      </c>
      <c r="AI53" s="62" t="str">
        <f t="shared" si="140"/>
        <v/>
      </c>
      <c r="AJ53" s="62" t="str">
        <f t="shared" si="140"/>
        <v/>
      </c>
      <c r="AK53" s="62" t="str">
        <f t="shared" si="140"/>
        <v/>
      </c>
      <c r="AL53" s="62" t="str">
        <f t="shared" si="140"/>
        <v/>
      </c>
      <c r="AM53" s="62" t="str">
        <f t="shared" si="140"/>
        <v/>
      </c>
      <c r="AN53" s="62" t="str">
        <f t="shared" si="140"/>
        <v/>
      </c>
      <c r="AO53" s="62" t="str">
        <f t="shared" si="140"/>
        <v/>
      </c>
      <c r="AP53" s="62" t="str">
        <f t="shared" ref="AP53" si="142">IF(AP52="","",AP52/(AP50*100))</f>
        <v/>
      </c>
      <c r="AQ53" s="62" t="str">
        <f t="shared" ref="AQ53:AX53" si="143">IF(AQ52="","",AQ52/(AQ50*100))</f>
        <v/>
      </c>
      <c r="AR53" s="62" t="str">
        <f t="shared" si="143"/>
        <v/>
      </c>
      <c r="AS53" s="62" t="str">
        <f t="shared" si="143"/>
        <v/>
      </c>
      <c r="AT53" s="62" t="str">
        <f t="shared" si="143"/>
        <v/>
      </c>
      <c r="AU53" s="62" t="str">
        <f t="shared" si="143"/>
        <v/>
      </c>
      <c r="AV53" s="62" t="str">
        <f t="shared" si="143"/>
        <v/>
      </c>
      <c r="AW53" s="62" t="str">
        <f t="shared" si="143"/>
        <v/>
      </c>
      <c r="AX53" s="62" t="str">
        <f t="shared" si="143"/>
        <v/>
      </c>
    </row>
    <row r="54" spans="1:50" s="1" customFormat="1">
      <c r="A54" s="17" t="s">
        <v>1</v>
      </c>
      <c r="B54" s="9" t="s">
        <v>171</v>
      </c>
      <c r="C54" s="8">
        <v>1815</v>
      </c>
      <c r="D54" s="8">
        <v>1815</v>
      </c>
      <c r="E54" s="8">
        <v>1815</v>
      </c>
      <c r="F54" s="8">
        <v>1825</v>
      </c>
      <c r="G54" s="8">
        <v>1825</v>
      </c>
      <c r="H54" s="8">
        <v>1825</v>
      </c>
      <c r="I54" s="8">
        <v>1855</v>
      </c>
      <c r="J54" s="8">
        <v>1855</v>
      </c>
      <c r="K54" s="8">
        <v>1855</v>
      </c>
      <c r="L54" s="8">
        <v>1890</v>
      </c>
      <c r="M54" s="8">
        <v>1890</v>
      </c>
      <c r="N54" s="8">
        <v>1890</v>
      </c>
      <c r="O54" s="8">
        <v>1890</v>
      </c>
      <c r="P54" s="8">
        <v>1915</v>
      </c>
      <c r="Q54" s="8">
        <v>1915</v>
      </c>
      <c r="R54" s="8">
        <v>1915</v>
      </c>
      <c r="S54" s="8">
        <v>1939</v>
      </c>
      <c r="T54" s="8">
        <v>1939</v>
      </c>
      <c r="U54" s="8">
        <v>1939</v>
      </c>
      <c r="V54" s="8">
        <v>1939</v>
      </c>
      <c r="W54" s="8">
        <v>1939</v>
      </c>
      <c r="X54" s="8">
        <v>1939</v>
      </c>
      <c r="Y54" s="8">
        <v>1939</v>
      </c>
      <c r="Z54" s="8">
        <v>1969</v>
      </c>
      <c r="AA54" s="8">
        <v>1969</v>
      </c>
      <c r="AB54" s="8">
        <v>1969</v>
      </c>
      <c r="AC54" s="8">
        <v>1969</v>
      </c>
      <c r="AD54" s="8">
        <v>1974</v>
      </c>
      <c r="AE54" s="8">
        <v>1974</v>
      </c>
      <c r="AF54" s="8">
        <v>1974</v>
      </c>
      <c r="AG54" s="8">
        <v>2024</v>
      </c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s="1" customFormat="1">
      <c r="A55" s="61" t="s">
        <v>172</v>
      </c>
      <c r="B55" s="9" t="s">
        <v>163</v>
      </c>
      <c r="C55" s="8">
        <v>393</v>
      </c>
      <c r="D55" s="8">
        <v>393</v>
      </c>
      <c r="E55" s="8">
        <v>393</v>
      </c>
      <c r="F55" s="8">
        <v>395</v>
      </c>
      <c r="G55" s="8">
        <v>395</v>
      </c>
      <c r="H55" s="8">
        <v>395</v>
      </c>
      <c r="I55" s="8">
        <v>401</v>
      </c>
      <c r="J55" s="8">
        <v>401</v>
      </c>
      <c r="K55" s="8">
        <v>401</v>
      </c>
      <c r="L55" s="8">
        <v>408</v>
      </c>
      <c r="M55" s="8">
        <v>408</v>
      </c>
      <c r="N55" s="8">
        <v>408</v>
      </c>
      <c r="O55" s="8">
        <v>408</v>
      </c>
      <c r="P55" s="8">
        <v>413</v>
      </c>
      <c r="Q55" s="8">
        <v>413</v>
      </c>
      <c r="R55" s="8">
        <v>413</v>
      </c>
      <c r="S55" s="8">
        <v>418</v>
      </c>
      <c r="T55" s="8">
        <v>418</v>
      </c>
      <c r="U55" s="8">
        <v>418</v>
      </c>
      <c r="V55" s="8">
        <v>418</v>
      </c>
      <c r="W55" s="8">
        <v>418</v>
      </c>
      <c r="X55" s="8">
        <v>418</v>
      </c>
      <c r="Y55" s="8">
        <v>418</v>
      </c>
      <c r="Z55" s="8">
        <v>424</v>
      </c>
      <c r="AA55" s="8">
        <v>424</v>
      </c>
      <c r="AB55" s="8">
        <v>424</v>
      </c>
      <c r="AC55" s="8">
        <v>424</v>
      </c>
      <c r="AD55" s="8">
        <v>425</v>
      </c>
      <c r="AE55" s="8">
        <v>425</v>
      </c>
      <c r="AF55" s="8">
        <v>425</v>
      </c>
      <c r="AG55" s="8">
        <v>437</v>
      </c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s="1" customFormat="1">
      <c r="A56" s="15" t="s">
        <v>174</v>
      </c>
      <c r="B56" s="9" t="s">
        <v>7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s="1" customFormat="1">
      <c r="A57" s="14" t="s">
        <v>9</v>
      </c>
      <c r="B57" s="9" t="s">
        <v>8</v>
      </c>
      <c r="C57" s="8"/>
      <c r="D57" s="74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s="11" customFormat="1">
      <c r="A58" s="7">
        <f>AVERAGE(C60:AO60)*30*100</f>
        <v>20900</v>
      </c>
      <c r="B58" s="13" t="s">
        <v>164</v>
      </c>
      <c r="C58" s="12"/>
      <c r="D58" s="75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</row>
    <row r="59" spans="1:50" s="1" customFormat="1">
      <c r="A59" s="10"/>
      <c r="B59" s="9" t="s">
        <v>165</v>
      </c>
      <c r="C59" s="8"/>
      <c r="D59" s="74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s="1" customFormat="1">
      <c r="A60" s="7">
        <f>SUM(C60:AO60)</f>
        <v>209</v>
      </c>
      <c r="B60" s="60" t="s">
        <v>15</v>
      </c>
      <c r="C60" s="59"/>
      <c r="D60" s="74">
        <f t="shared" ref="D60:P60" si="144">IF(D54="","",D54-C54)</f>
        <v>0</v>
      </c>
      <c r="E60" s="59">
        <f t="shared" si="144"/>
        <v>0</v>
      </c>
      <c r="F60" s="59">
        <f t="shared" si="144"/>
        <v>10</v>
      </c>
      <c r="G60" s="59">
        <f t="shared" si="144"/>
        <v>0</v>
      </c>
      <c r="H60" s="59">
        <f t="shared" si="144"/>
        <v>0</v>
      </c>
      <c r="I60" s="59">
        <f t="shared" si="144"/>
        <v>30</v>
      </c>
      <c r="J60" s="59">
        <f t="shared" si="144"/>
        <v>0</v>
      </c>
      <c r="K60" s="59">
        <f t="shared" si="144"/>
        <v>0</v>
      </c>
      <c r="L60" s="59">
        <f t="shared" si="144"/>
        <v>35</v>
      </c>
      <c r="M60" s="59">
        <f t="shared" si="144"/>
        <v>0</v>
      </c>
      <c r="N60" s="59">
        <f t="shared" si="144"/>
        <v>0</v>
      </c>
      <c r="O60" s="59">
        <f t="shared" si="144"/>
        <v>0</v>
      </c>
      <c r="P60" s="59">
        <f t="shared" si="144"/>
        <v>25</v>
      </c>
      <c r="Q60" s="59">
        <f t="shared" ref="Q60:R60" si="145">IF(Q54="","",Q54-P54)</f>
        <v>0</v>
      </c>
      <c r="R60" s="59">
        <f t="shared" si="145"/>
        <v>0</v>
      </c>
      <c r="S60" s="59">
        <f t="shared" ref="S60:AO60" si="146">IF(S54="","",S54-R54)</f>
        <v>24</v>
      </c>
      <c r="T60" s="59">
        <f t="shared" si="146"/>
        <v>0</v>
      </c>
      <c r="U60" s="59">
        <f t="shared" si="146"/>
        <v>0</v>
      </c>
      <c r="V60" s="59">
        <f t="shared" si="146"/>
        <v>0</v>
      </c>
      <c r="W60" s="59">
        <f t="shared" si="146"/>
        <v>0</v>
      </c>
      <c r="X60" s="59">
        <f t="shared" si="146"/>
        <v>0</v>
      </c>
      <c r="Y60" s="59">
        <f t="shared" si="146"/>
        <v>0</v>
      </c>
      <c r="Z60" s="59">
        <f t="shared" si="146"/>
        <v>30</v>
      </c>
      <c r="AA60" s="59">
        <f t="shared" si="146"/>
        <v>0</v>
      </c>
      <c r="AB60" s="59">
        <f t="shared" si="146"/>
        <v>0</v>
      </c>
      <c r="AC60" s="59">
        <f t="shared" si="146"/>
        <v>0</v>
      </c>
      <c r="AD60" s="59">
        <f>IF(AD54="","",AD54-AC54)</f>
        <v>5</v>
      </c>
      <c r="AE60" s="59">
        <f t="shared" si="146"/>
        <v>0</v>
      </c>
      <c r="AF60" s="59">
        <f t="shared" si="146"/>
        <v>0</v>
      </c>
      <c r="AG60" s="59">
        <f t="shared" si="146"/>
        <v>50</v>
      </c>
      <c r="AH60" s="59" t="str">
        <f t="shared" si="146"/>
        <v/>
      </c>
      <c r="AI60" s="59" t="str">
        <f t="shared" si="146"/>
        <v/>
      </c>
      <c r="AJ60" s="59" t="str">
        <f t="shared" si="146"/>
        <v/>
      </c>
      <c r="AK60" s="59" t="str">
        <f t="shared" si="146"/>
        <v/>
      </c>
      <c r="AL60" s="59" t="str">
        <f t="shared" si="146"/>
        <v/>
      </c>
      <c r="AM60" s="59" t="str">
        <f t="shared" si="146"/>
        <v/>
      </c>
      <c r="AN60" s="59" t="str">
        <f t="shared" si="146"/>
        <v/>
      </c>
      <c r="AO60" s="59" t="str">
        <f t="shared" si="146"/>
        <v/>
      </c>
      <c r="AP60" s="59" t="str">
        <f t="shared" ref="AP60:AP61" si="147">IF(AP54="","",AP54-AO54)</f>
        <v/>
      </c>
      <c r="AQ60" s="59" t="str">
        <f t="shared" ref="AQ60:AQ61" si="148">IF(AQ54="","",AQ54-AP54)</f>
        <v/>
      </c>
      <c r="AR60" s="59" t="str">
        <f t="shared" ref="AR60:AR61" si="149">IF(AR54="","",AR54-AQ54)</f>
        <v/>
      </c>
      <c r="AS60" s="59" t="str">
        <f t="shared" ref="AS60:AS61" si="150">IF(AS54="","",AS54-AR54)</f>
        <v/>
      </c>
      <c r="AT60" s="59" t="str">
        <f t="shared" ref="AT60:AT61" si="151">IF(AT54="","",AT54-AS54)</f>
        <v/>
      </c>
      <c r="AU60" s="59" t="str">
        <f t="shared" ref="AU60:AU61" si="152">IF(AU54="","",AU54-AT54)</f>
        <v/>
      </c>
      <c r="AV60" s="59" t="str">
        <f t="shared" ref="AV60:AV61" si="153">IF(AV54="","",AV54-AU54)</f>
        <v/>
      </c>
      <c r="AW60" s="59" t="str">
        <f t="shared" ref="AW60:AW61" si="154">IF(AW54="","",AW54-AV54)</f>
        <v/>
      </c>
      <c r="AX60" s="59" t="str">
        <f t="shared" ref="AX60:AX61" si="155">IF(AX54="","",AX54-AW54)</f>
        <v/>
      </c>
    </row>
    <row r="61" spans="1:50" s="1" customFormat="1">
      <c r="A61" s="7">
        <f>SUM(C61:AO61)</f>
        <v>44</v>
      </c>
      <c r="B61" s="60" t="s">
        <v>167</v>
      </c>
      <c r="C61" s="59"/>
      <c r="D61" s="74">
        <f t="shared" ref="D61:P61" si="156">IF(D55="","",D55-C55)</f>
        <v>0</v>
      </c>
      <c r="E61" s="59">
        <f t="shared" si="156"/>
        <v>0</v>
      </c>
      <c r="F61" s="59">
        <f t="shared" si="156"/>
        <v>2</v>
      </c>
      <c r="G61" s="59">
        <f t="shared" si="156"/>
        <v>0</v>
      </c>
      <c r="H61" s="59">
        <f t="shared" si="156"/>
        <v>0</v>
      </c>
      <c r="I61" s="59">
        <f t="shared" si="156"/>
        <v>6</v>
      </c>
      <c r="J61" s="59">
        <f t="shared" si="156"/>
        <v>0</v>
      </c>
      <c r="K61" s="59">
        <f t="shared" si="156"/>
        <v>0</v>
      </c>
      <c r="L61" s="59">
        <f t="shared" si="156"/>
        <v>7</v>
      </c>
      <c r="M61" s="59">
        <f t="shared" si="156"/>
        <v>0</v>
      </c>
      <c r="N61" s="59">
        <f t="shared" si="156"/>
        <v>0</v>
      </c>
      <c r="O61" s="59">
        <f t="shared" si="156"/>
        <v>0</v>
      </c>
      <c r="P61" s="59">
        <f t="shared" si="156"/>
        <v>5</v>
      </c>
      <c r="Q61" s="59">
        <f t="shared" ref="Q61:R61" si="157">IF(Q55="","",Q55-P55)</f>
        <v>0</v>
      </c>
      <c r="R61" s="59">
        <f t="shared" si="157"/>
        <v>0</v>
      </c>
      <c r="S61" s="59">
        <f t="shared" ref="S61:AO61" si="158">IF(S55="","",S55-R55)</f>
        <v>5</v>
      </c>
      <c r="T61" s="59">
        <f t="shared" si="158"/>
        <v>0</v>
      </c>
      <c r="U61" s="59">
        <f t="shared" si="158"/>
        <v>0</v>
      </c>
      <c r="V61" s="59">
        <f t="shared" si="158"/>
        <v>0</v>
      </c>
      <c r="W61" s="59">
        <f t="shared" si="158"/>
        <v>0</v>
      </c>
      <c r="X61" s="59">
        <f t="shared" si="158"/>
        <v>0</v>
      </c>
      <c r="Y61" s="59">
        <f t="shared" si="158"/>
        <v>0</v>
      </c>
      <c r="Z61" s="59">
        <f t="shared" si="158"/>
        <v>6</v>
      </c>
      <c r="AA61" s="59">
        <f t="shared" si="158"/>
        <v>0</v>
      </c>
      <c r="AB61" s="59">
        <f t="shared" si="158"/>
        <v>0</v>
      </c>
      <c r="AC61" s="59">
        <f t="shared" si="158"/>
        <v>0</v>
      </c>
      <c r="AD61" s="59">
        <f>IF(AD55="","",AD55-AC55)</f>
        <v>1</v>
      </c>
      <c r="AE61" s="59">
        <f t="shared" si="158"/>
        <v>0</v>
      </c>
      <c r="AF61" s="59">
        <f t="shared" si="158"/>
        <v>0</v>
      </c>
      <c r="AG61" s="59">
        <f t="shared" si="158"/>
        <v>12</v>
      </c>
      <c r="AH61" s="59" t="str">
        <f t="shared" si="158"/>
        <v/>
      </c>
      <c r="AI61" s="59" t="str">
        <f t="shared" si="158"/>
        <v/>
      </c>
      <c r="AJ61" s="59" t="str">
        <f t="shared" si="158"/>
        <v/>
      </c>
      <c r="AK61" s="59" t="str">
        <f t="shared" si="158"/>
        <v/>
      </c>
      <c r="AL61" s="59" t="str">
        <f t="shared" si="158"/>
        <v/>
      </c>
      <c r="AM61" s="59" t="str">
        <f t="shared" si="158"/>
        <v/>
      </c>
      <c r="AN61" s="59" t="str">
        <f t="shared" si="158"/>
        <v/>
      </c>
      <c r="AO61" s="59" t="str">
        <f t="shared" si="158"/>
        <v/>
      </c>
      <c r="AP61" s="59" t="str">
        <f t="shared" si="147"/>
        <v/>
      </c>
      <c r="AQ61" s="59" t="str">
        <f t="shared" si="148"/>
        <v/>
      </c>
      <c r="AR61" s="59" t="str">
        <f t="shared" si="149"/>
        <v/>
      </c>
      <c r="AS61" s="59" t="str">
        <f t="shared" si="150"/>
        <v/>
      </c>
      <c r="AT61" s="59" t="str">
        <f t="shared" si="151"/>
        <v/>
      </c>
      <c r="AU61" s="59" t="str">
        <f t="shared" si="152"/>
        <v/>
      </c>
      <c r="AV61" s="59" t="str">
        <f t="shared" si="153"/>
        <v/>
      </c>
      <c r="AW61" s="59" t="str">
        <f t="shared" si="154"/>
        <v/>
      </c>
      <c r="AX61" s="59" t="str">
        <f t="shared" si="155"/>
        <v/>
      </c>
    </row>
    <row r="62" spans="1:50" s="1" customFormat="1">
      <c r="A62" s="7">
        <f>SUM(C62:AO62)</f>
        <v>0</v>
      </c>
      <c r="B62" s="60" t="s">
        <v>18</v>
      </c>
      <c r="C62" s="59" t="str">
        <f>IF(C57="","",#REF!*C57)</f>
        <v/>
      </c>
      <c r="D62" s="74" t="str">
        <f>IF(D57="","",#REF!*D57)</f>
        <v/>
      </c>
      <c r="E62" s="59" t="str">
        <f>IF(E57="","",#REF!*E57)</f>
        <v/>
      </c>
      <c r="F62" s="59" t="str">
        <f>IF(F57="","",#REF!*F57)</f>
        <v/>
      </c>
      <c r="G62" s="59" t="str">
        <f>IF(G57="","",#REF!*G57)</f>
        <v/>
      </c>
      <c r="H62" s="59" t="str">
        <f>IF(H57="","",#REF!*H57)</f>
        <v/>
      </c>
      <c r="I62" s="59" t="str">
        <f>IF(I57="","",#REF!*I57)</f>
        <v/>
      </c>
      <c r="J62" s="59" t="str">
        <f>IF(J57="","",#REF!*J57)</f>
        <v/>
      </c>
      <c r="K62" s="59" t="str">
        <f>IF(K57="","",#REF!*K57)</f>
        <v/>
      </c>
      <c r="L62" s="59" t="str">
        <f>IF(L57="","",#REF!*L57)</f>
        <v/>
      </c>
      <c r="M62" s="59" t="str">
        <f>IF(M57="","",#REF!*M57)</f>
        <v/>
      </c>
      <c r="N62" s="59" t="str">
        <f>IF(N57="","",#REF!*N57)</f>
        <v/>
      </c>
      <c r="O62" s="59" t="str">
        <f>IF(O57="","",#REF!*O57)</f>
        <v/>
      </c>
      <c r="P62" s="59" t="str">
        <f>IF(P57="","",#REF!*P57)</f>
        <v/>
      </c>
      <c r="Q62" s="59" t="str">
        <f>IF(Q57="","",#REF!*Q57)</f>
        <v/>
      </c>
      <c r="R62" s="59" t="str">
        <f>IF(R57="","",#REF!*R57)</f>
        <v/>
      </c>
      <c r="S62" s="59" t="str">
        <f>IF(S57="","",#REF!*S57)</f>
        <v/>
      </c>
      <c r="T62" s="59" t="str">
        <f>IF(T57="","",#REF!*T57)</f>
        <v/>
      </c>
      <c r="U62" s="59" t="str">
        <f>IF(U57="","",#REF!*U57)</f>
        <v/>
      </c>
      <c r="V62" s="59" t="str">
        <f>IF(V57="","",#REF!*V57)</f>
        <v/>
      </c>
      <c r="W62" s="59" t="str">
        <f>IF(W57="","",#REF!*W57)</f>
        <v/>
      </c>
      <c r="X62" s="59" t="str">
        <f>IF(X57="","",#REF!*X57)</f>
        <v/>
      </c>
      <c r="Y62" s="59" t="str">
        <f>IF(Y57="","",#REF!*Y57)</f>
        <v/>
      </c>
      <c r="Z62" s="59" t="str">
        <f>IF(Z57="","",#REF!*Z57)</f>
        <v/>
      </c>
      <c r="AA62" s="59" t="str">
        <f>IF(AA57="","",#REF!*AA57)</f>
        <v/>
      </c>
      <c r="AB62" s="59" t="str">
        <f>IF(AB57="","",#REF!*AB57)</f>
        <v/>
      </c>
      <c r="AC62" s="59" t="str">
        <f>IF(AC57="","",#REF!*AC57)</f>
        <v/>
      </c>
      <c r="AD62" s="59" t="str">
        <f>IF(AD57="","",#REF!*AD57)</f>
        <v/>
      </c>
      <c r="AE62" s="59" t="str">
        <f>IF(AE57="","",#REF!*AE57)</f>
        <v/>
      </c>
      <c r="AF62" s="59" t="str">
        <f>IF(AF57="","",#REF!*AF57)</f>
        <v/>
      </c>
      <c r="AG62" s="59" t="str">
        <f>IF(AG57="","",#REF!*AG57)</f>
        <v/>
      </c>
      <c r="AH62" s="59" t="str">
        <f>IF(AH57="","",#REF!*AH57)</f>
        <v/>
      </c>
      <c r="AI62" s="59" t="str">
        <f>IF(AI57="","",#REF!*AI57)</f>
        <v/>
      </c>
      <c r="AJ62" s="59" t="str">
        <f>IF(AJ57="","",#REF!*AJ57)</f>
        <v/>
      </c>
      <c r="AK62" s="59" t="str">
        <f>IF(AK57="","",#REF!*AK57)</f>
        <v/>
      </c>
      <c r="AL62" s="59" t="str">
        <f>IF(AL57="","",#REF!*AL57)</f>
        <v/>
      </c>
      <c r="AM62" s="59" t="str">
        <f>IF(AM57="","",#REF!*AM57)</f>
        <v/>
      </c>
      <c r="AN62" s="59" t="str">
        <f>IF(AN57="","",#REF!*AN57)</f>
        <v/>
      </c>
      <c r="AO62" s="59" t="str">
        <f>IF(AO57="","",#REF!*AO57)</f>
        <v/>
      </c>
      <c r="AP62" s="59" t="str">
        <f>IF(AP57="","",#REF!*AP57)</f>
        <v/>
      </c>
      <c r="AQ62" s="59" t="str">
        <f>IF(AQ57="","",#REF!*AQ57)</f>
        <v/>
      </c>
      <c r="AR62" s="59" t="str">
        <f>IF(AR57="","",#REF!*AR57)</f>
        <v/>
      </c>
      <c r="AS62" s="59" t="str">
        <f>IF(AS57="","",#REF!*AS57)</f>
        <v/>
      </c>
      <c r="AT62" s="59" t="str">
        <f>IF(AT57="","",#REF!*AT57)</f>
        <v/>
      </c>
      <c r="AU62" s="59" t="str">
        <f>IF(AU57="","",#REF!*AU57)</f>
        <v/>
      </c>
      <c r="AV62" s="59" t="str">
        <f>IF(AV57="","",#REF!*AV57)</f>
        <v/>
      </c>
      <c r="AW62" s="59" t="str">
        <f>IF(AW57="","",#REF!*AW57)</f>
        <v/>
      </c>
      <c r="AX62" s="59" t="str">
        <f>IF(AX57="","",#REF!*AX57)</f>
        <v/>
      </c>
    </row>
    <row r="63" spans="1:50" s="1" customFormat="1" ht="12" thickBot="1">
      <c r="A63" s="4">
        <f>IF(A62="","",A62/(A60*100))</f>
        <v>0</v>
      </c>
      <c r="B63" s="58" t="s">
        <v>20</v>
      </c>
      <c r="C63" s="57" t="str">
        <f t="shared" ref="C63:P63" si="159">IF(C62="","",C62/(C60*100))</f>
        <v/>
      </c>
      <c r="D63" s="77" t="str">
        <f t="shared" si="159"/>
        <v/>
      </c>
      <c r="E63" s="57" t="str">
        <f t="shared" si="159"/>
        <v/>
      </c>
      <c r="F63" s="57" t="str">
        <f t="shared" si="159"/>
        <v/>
      </c>
      <c r="G63" s="57" t="str">
        <f t="shared" si="159"/>
        <v/>
      </c>
      <c r="H63" s="57" t="str">
        <f t="shared" si="159"/>
        <v/>
      </c>
      <c r="I63" s="57" t="str">
        <f t="shared" si="159"/>
        <v/>
      </c>
      <c r="J63" s="57" t="str">
        <f t="shared" si="159"/>
        <v/>
      </c>
      <c r="K63" s="57" t="str">
        <f t="shared" si="159"/>
        <v/>
      </c>
      <c r="L63" s="57" t="str">
        <f t="shared" si="159"/>
        <v/>
      </c>
      <c r="M63" s="57" t="str">
        <f t="shared" si="159"/>
        <v/>
      </c>
      <c r="N63" s="57" t="str">
        <f t="shared" si="159"/>
        <v/>
      </c>
      <c r="O63" s="57" t="str">
        <f t="shared" si="159"/>
        <v/>
      </c>
      <c r="P63" s="57" t="str">
        <f t="shared" si="159"/>
        <v/>
      </c>
      <c r="Q63" s="57" t="str">
        <f t="shared" ref="Q63:R63" si="160">IF(Q62="","",Q62/(Q60*100))</f>
        <v/>
      </c>
      <c r="R63" s="57" t="str">
        <f t="shared" si="160"/>
        <v/>
      </c>
      <c r="S63" s="57" t="str">
        <f t="shared" ref="S63:AO63" si="161">IF(S62="","",S62/(S60*100))</f>
        <v/>
      </c>
      <c r="T63" s="57" t="str">
        <f t="shared" si="161"/>
        <v/>
      </c>
      <c r="U63" s="57" t="str">
        <f t="shared" si="161"/>
        <v/>
      </c>
      <c r="V63" s="57" t="str">
        <f t="shared" si="161"/>
        <v/>
      </c>
      <c r="W63" s="57" t="str">
        <f t="shared" si="161"/>
        <v/>
      </c>
      <c r="X63" s="57" t="str">
        <f t="shared" ref="X63" si="162">IF(X62="","",X62/(X60*100))</f>
        <v/>
      </c>
      <c r="Y63" s="57" t="str">
        <f t="shared" si="161"/>
        <v/>
      </c>
      <c r="Z63" s="57" t="str">
        <f t="shared" si="161"/>
        <v/>
      </c>
      <c r="AA63" s="57" t="str">
        <f t="shared" si="161"/>
        <v/>
      </c>
      <c r="AB63" s="57" t="str">
        <f t="shared" si="161"/>
        <v/>
      </c>
      <c r="AC63" s="57" t="str">
        <f t="shared" si="161"/>
        <v/>
      </c>
      <c r="AD63" s="57" t="str">
        <f>IF(AD62="","",AD62/(AD60*100))</f>
        <v/>
      </c>
      <c r="AE63" s="57" t="str">
        <f t="shared" si="161"/>
        <v/>
      </c>
      <c r="AF63" s="57" t="str">
        <f t="shared" si="161"/>
        <v/>
      </c>
      <c r="AG63" s="57" t="str">
        <f t="shared" si="161"/>
        <v/>
      </c>
      <c r="AH63" s="57" t="str">
        <f t="shared" si="161"/>
        <v/>
      </c>
      <c r="AI63" s="57" t="str">
        <f t="shared" si="161"/>
        <v/>
      </c>
      <c r="AJ63" s="57" t="str">
        <f t="shared" si="161"/>
        <v/>
      </c>
      <c r="AK63" s="57" t="str">
        <f t="shared" si="161"/>
        <v/>
      </c>
      <c r="AL63" s="57" t="str">
        <f t="shared" si="161"/>
        <v/>
      </c>
      <c r="AM63" s="57" t="str">
        <f t="shared" si="161"/>
        <v/>
      </c>
      <c r="AN63" s="57" t="str">
        <f t="shared" si="161"/>
        <v/>
      </c>
      <c r="AO63" s="57" t="str">
        <f t="shared" si="161"/>
        <v/>
      </c>
      <c r="AP63" s="57" t="str">
        <f t="shared" ref="AP63" si="163">IF(AP62="","",AP62/(AP60*100))</f>
        <v/>
      </c>
      <c r="AQ63" s="57" t="str">
        <f t="shared" ref="AQ63:AX63" si="164">IF(AQ62="","",AQ62/(AQ60*100))</f>
        <v/>
      </c>
      <c r="AR63" s="57" t="str">
        <f t="shared" si="164"/>
        <v/>
      </c>
      <c r="AS63" s="57" t="str">
        <f t="shared" si="164"/>
        <v/>
      </c>
      <c r="AT63" s="57" t="str">
        <f t="shared" si="164"/>
        <v/>
      </c>
      <c r="AU63" s="57" t="str">
        <f t="shared" si="164"/>
        <v/>
      </c>
      <c r="AV63" s="57" t="str">
        <f t="shared" si="164"/>
        <v/>
      </c>
      <c r="AW63" s="57" t="str">
        <f t="shared" si="164"/>
        <v/>
      </c>
      <c r="AX63" s="57" t="str">
        <f t="shared" si="164"/>
        <v/>
      </c>
    </row>
    <row r="64" spans="1:50" s="1" customFormat="1">
      <c r="A64" s="40" t="s">
        <v>78</v>
      </c>
      <c r="B64" s="39" t="s">
        <v>161</v>
      </c>
      <c r="C64" s="66">
        <v>4244</v>
      </c>
      <c r="D64" s="38">
        <v>4244</v>
      </c>
      <c r="E64" s="38">
        <v>4246</v>
      </c>
      <c r="F64" s="38">
        <v>4246</v>
      </c>
      <c r="G64" s="38">
        <v>4246</v>
      </c>
      <c r="H64" s="38">
        <v>4246</v>
      </c>
      <c r="I64" s="38">
        <v>4249</v>
      </c>
      <c r="J64" s="38">
        <v>4250</v>
      </c>
      <c r="K64" s="38">
        <v>4250</v>
      </c>
      <c r="L64" s="38">
        <v>4254</v>
      </c>
      <c r="M64" s="38">
        <v>4254</v>
      </c>
      <c r="N64" s="38">
        <v>4254</v>
      </c>
      <c r="O64" s="38">
        <v>4255</v>
      </c>
      <c r="P64" s="38">
        <v>4256</v>
      </c>
      <c r="Q64" s="38">
        <v>4256</v>
      </c>
      <c r="R64" s="38">
        <v>4256</v>
      </c>
      <c r="S64" s="38">
        <v>4270</v>
      </c>
      <c r="T64" s="38">
        <v>4270</v>
      </c>
      <c r="U64" s="38">
        <v>4273</v>
      </c>
      <c r="V64" s="38">
        <v>4273</v>
      </c>
      <c r="W64" s="38">
        <v>4277</v>
      </c>
      <c r="X64" s="38">
        <v>4277</v>
      </c>
      <c r="Y64" s="38">
        <v>4278</v>
      </c>
      <c r="Z64" s="38">
        <v>4278</v>
      </c>
      <c r="AA64" s="38">
        <v>4278</v>
      </c>
      <c r="AB64" s="38">
        <v>4278</v>
      </c>
      <c r="AC64" s="38">
        <v>4278</v>
      </c>
      <c r="AD64" s="38">
        <v>4278</v>
      </c>
      <c r="AE64" s="38">
        <v>4278</v>
      </c>
      <c r="AF64" s="38">
        <v>4278</v>
      </c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</row>
    <row r="65" spans="1:50" s="1" customFormat="1">
      <c r="A65" s="56" t="s">
        <v>170</v>
      </c>
      <c r="B65" s="30" t="s">
        <v>163</v>
      </c>
      <c r="C65" s="65">
        <v>4258</v>
      </c>
      <c r="D65" s="29">
        <v>4258</v>
      </c>
      <c r="E65" s="29">
        <v>4260</v>
      </c>
      <c r="F65" s="29">
        <v>4260</v>
      </c>
      <c r="G65" s="29">
        <v>4260</v>
      </c>
      <c r="H65" s="29">
        <v>4260</v>
      </c>
      <c r="I65" s="29">
        <v>4263</v>
      </c>
      <c r="J65" s="29">
        <v>4264</v>
      </c>
      <c r="K65" s="29">
        <v>4264</v>
      </c>
      <c r="L65" s="29">
        <v>4268</v>
      </c>
      <c r="M65" s="29">
        <v>4268</v>
      </c>
      <c r="N65" s="29">
        <v>4268</v>
      </c>
      <c r="O65" s="29">
        <v>4269</v>
      </c>
      <c r="P65" s="29">
        <v>4270</v>
      </c>
      <c r="Q65" s="29">
        <v>4270</v>
      </c>
      <c r="R65" s="29">
        <v>4270</v>
      </c>
      <c r="S65" s="29">
        <v>4284</v>
      </c>
      <c r="T65" s="29">
        <v>4284</v>
      </c>
      <c r="U65" s="29">
        <v>4287</v>
      </c>
      <c r="V65" s="29">
        <v>4287</v>
      </c>
      <c r="W65" s="29">
        <v>4291</v>
      </c>
      <c r="X65" s="29">
        <v>4291</v>
      </c>
      <c r="Y65" s="29">
        <v>4292</v>
      </c>
      <c r="Z65" s="29">
        <v>4292</v>
      </c>
      <c r="AA65" s="29">
        <v>4292</v>
      </c>
      <c r="AB65" s="29">
        <v>4292</v>
      </c>
      <c r="AC65" s="29">
        <v>4292</v>
      </c>
      <c r="AD65" s="29">
        <v>4292</v>
      </c>
      <c r="AE65" s="29">
        <v>4292</v>
      </c>
      <c r="AF65" s="29">
        <v>4292</v>
      </c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</row>
    <row r="66" spans="1:50" s="1" customFormat="1">
      <c r="A66" s="36" t="s">
        <v>9</v>
      </c>
      <c r="B66" s="30" t="s">
        <v>7</v>
      </c>
      <c r="C66" s="65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</row>
    <row r="67" spans="1:50" s="1" customFormat="1">
      <c r="A67" s="28">
        <f>AVERAGE(C70:AO70)*30*1000</f>
        <v>35172.413793103442</v>
      </c>
      <c r="B67" s="30" t="s">
        <v>8</v>
      </c>
      <c r="C67" s="65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</row>
    <row r="68" spans="1:50" s="11" customFormat="1">
      <c r="A68" s="34"/>
      <c r="B68" s="33" t="s">
        <v>164</v>
      </c>
      <c r="C68" s="63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</row>
    <row r="69" spans="1:50" s="1" customFormat="1">
      <c r="A69" s="31"/>
      <c r="B69" s="30" t="s">
        <v>165</v>
      </c>
      <c r="C69" s="65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</row>
    <row r="70" spans="1:50" s="1" customFormat="1">
      <c r="A70" s="28">
        <f>SUM(C70:AO70)</f>
        <v>34</v>
      </c>
      <c r="B70" s="55" t="s">
        <v>166</v>
      </c>
      <c r="C70" s="65"/>
      <c r="D70" s="54">
        <f t="shared" ref="D70:J71" si="165">IF(D64="","",D64-C64)</f>
        <v>0</v>
      </c>
      <c r="E70" s="54">
        <f t="shared" si="165"/>
        <v>2</v>
      </c>
      <c r="F70" s="54">
        <f t="shared" si="165"/>
        <v>0</v>
      </c>
      <c r="G70" s="54">
        <f t="shared" si="165"/>
        <v>0</v>
      </c>
      <c r="H70" s="54">
        <f t="shared" si="165"/>
        <v>0</v>
      </c>
      <c r="I70" s="54">
        <f t="shared" si="165"/>
        <v>3</v>
      </c>
      <c r="J70" s="54">
        <f t="shared" si="165"/>
        <v>1</v>
      </c>
      <c r="K70" s="54">
        <f t="shared" ref="K70:K71" si="166">IF(K64="","",K64-J64)</f>
        <v>0</v>
      </c>
      <c r="L70" s="54">
        <f>IF(L64="","",L64-K64)</f>
        <v>4</v>
      </c>
      <c r="M70" s="54">
        <f t="shared" ref="M70:N70" si="167">IF(M64="","",M64-L64)</f>
        <v>0</v>
      </c>
      <c r="N70" s="54">
        <f t="shared" si="167"/>
        <v>0</v>
      </c>
      <c r="O70" s="54">
        <f>IF(O64="","",O64-N64)</f>
        <v>1</v>
      </c>
      <c r="P70" s="54">
        <f>IF(P64="","",P64-O64)</f>
        <v>1</v>
      </c>
      <c r="Q70" s="54">
        <f t="shared" ref="Q70:R70" si="168">IF(Q64="","",Q64-P64)</f>
        <v>0</v>
      </c>
      <c r="R70" s="54">
        <f t="shared" si="168"/>
        <v>0</v>
      </c>
      <c r="S70" s="54">
        <f t="shared" ref="S70:AO70" si="169">IF(S64="","",S64-R64)</f>
        <v>14</v>
      </c>
      <c r="T70" s="54">
        <f t="shared" si="169"/>
        <v>0</v>
      </c>
      <c r="U70" s="54">
        <f t="shared" si="169"/>
        <v>3</v>
      </c>
      <c r="V70" s="54">
        <f t="shared" ref="V70:V71" si="170">IF(V64="","",V64-U64)</f>
        <v>0</v>
      </c>
      <c r="W70" s="54">
        <f t="shared" si="169"/>
        <v>4</v>
      </c>
      <c r="X70" s="54">
        <f t="shared" si="169"/>
        <v>0</v>
      </c>
      <c r="Y70" s="54">
        <f t="shared" si="169"/>
        <v>1</v>
      </c>
      <c r="Z70" s="54">
        <f t="shared" si="169"/>
        <v>0</v>
      </c>
      <c r="AA70" s="54">
        <f t="shared" si="169"/>
        <v>0</v>
      </c>
      <c r="AB70" s="54">
        <f t="shared" si="169"/>
        <v>0</v>
      </c>
      <c r="AC70" s="54">
        <f t="shared" si="169"/>
        <v>0</v>
      </c>
      <c r="AD70" s="54">
        <f>IF(AD64="","",AD64-AC64)</f>
        <v>0</v>
      </c>
      <c r="AE70" s="54">
        <f t="shared" si="169"/>
        <v>0</v>
      </c>
      <c r="AF70" s="54">
        <f t="shared" si="169"/>
        <v>0</v>
      </c>
      <c r="AG70" s="54" t="str">
        <f t="shared" si="169"/>
        <v/>
      </c>
      <c r="AH70" s="54" t="str">
        <f t="shared" si="169"/>
        <v/>
      </c>
      <c r="AI70" s="54" t="str">
        <f t="shared" si="169"/>
        <v/>
      </c>
      <c r="AJ70" s="54" t="str">
        <f t="shared" si="169"/>
        <v/>
      </c>
      <c r="AK70" s="54" t="str">
        <f t="shared" si="169"/>
        <v/>
      </c>
      <c r="AL70" s="54" t="str">
        <f t="shared" si="169"/>
        <v/>
      </c>
      <c r="AM70" s="54" t="str">
        <f t="shared" si="169"/>
        <v/>
      </c>
      <c r="AN70" s="54" t="str">
        <f t="shared" si="169"/>
        <v/>
      </c>
      <c r="AO70" s="54" t="str">
        <f t="shared" si="169"/>
        <v/>
      </c>
      <c r="AP70" s="54" t="str">
        <f t="shared" ref="AP70:AP71" si="171">IF(AP64="","",AP64-AO64)</f>
        <v/>
      </c>
      <c r="AQ70" s="54" t="str">
        <f t="shared" ref="AQ70:AQ71" si="172">IF(AQ64="","",AQ64-AP64)</f>
        <v/>
      </c>
      <c r="AR70" s="54" t="str">
        <f t="shared" ref="AR70:AR71" si="173">IF(AR64="","",AR64-AQ64)</f>
        <v/>
      </c>
      <c r="AS70" s="54" t="str">
        <f t="shared" ref="AS70:AS71" si="174">IF(AS64="","",AS64-AR64)</f>
        <v/>
      </c>
      <c r="AT70" s="54" t="str">
        <f t="shared" ref="AT70:AT71" si="175">IF(AT64="","",AT64-AS64)</f>
        <v/>
      </c>
      <c r="AU70" s="54" t="str">
        <f t="shared" ref="AU70:AU71" si="176">IF(AU64="","",AU64-AT64)</f>
        <v/>
      </c>
      <c r="AV70" s="54" t="str">
        <f t="shared" ref="AV70:AV71" si="177">IF(AV64="","",AV64-AU64)</f>
        <v/>
      </c>
      <c r="AW70" s="54" t="str">
        <f t="shared" ref="AW70:AW71" si="178">IF(AW64="","",AW64-AV64)</f>
        <v/>
      </c>
      <c r="AX70" s="54" t="str">
        <f t="shared" ref="AX70:AX71" si="179">IF(AX64="","",AX64-AW64)</f>
        <v/>
      </c>
    </row>
    <row r="71" spans="1:50" s="1" customFormat="1">
      <c r="A71" s="28">
        <f>SUM(C71:AO71)</f>
        <v>34</v>
      </c>
      <c r="B71" s="55" t="s">
        <v>167</v>
      </c>
      <c r="C71" s="65"/>
      <c r="D71" s="54">
        <f t="shared" si="165"/>
        <v>0</v>
      </c>
      <c r="E71" s="54">
        <f t="shared" si="165"/>
        <v>2</v>
      </c>
      <c r="F71" s="54">
        <f t="shared" si="165"/>
        <v>0</v>
      </c>
      <c r="G71" s="54">
        <f t="shared" si="165"/>
        <v>0</v>
      </c>
      <c r="H71" s="54">
        <f t="shared" si="165"/>
        <v>0</v>
      </c>
      <c r="I71" s="54">
        <f t="shared" si="165"/>
        <v>3</v>
      </c>
      <c r="J71" s="54">
        <f t="shared" si="165"/>
        <v>1</v>
      </c>
      <c r="K71" s="54">
        <f t="shared" si="166"/>
        <v>0</v>
      </c>
      <c r="L71" s="54">
        <f>IF(L65="","",L65-K65)</f>
        <v>4</v>
      </c>
      <c r="M71" s="54">
        <f t="shared" ref="M71:N71" si="180">IF(M65="","",M65-L65)</f>
        <v>0</v>
      </c>
      <c r="N71" s="54">
        <f t="shared" si="180"/>
        <v>0</v>
      </c>
      <c r="O71" s="54">
        <f>IF(O65="","",O65-N65)</f>
        <v>1</v>
      </c>
      <c r="P71" s="54">
        <f>IF(P65="","",P65-O65)</f>
        <v>1</v>
      </c>
      <c r="Q71" s="54">
        <f t="shared" ref="Q71:R71" si="181">IF(Q65="","",Q65-P65)</f>
        <v>0</v>
      </c>
      <c r="R71" s="54">
        <f t="shared" si="181"/>
        <v>0</v>
      </c>
      <c r="S71" s="54">
        <f t="shared" ref="S71:AO71" si="182">IF(S65="","",S65-R65)</f>
        <v>14</v>
      </c>
      <c r="T71" s="54">
        <f t="shared" si="182"/>
        <v>0</v>
      </c>
      <c r="U71" s="54">
        <f t="shared" si="182"/>
        <v>3</v>
      </c>
      <c r="V71" s="54">
        <f t="shared" si="170"/>
        <v>0</v>
      </c>
      <c r="W71" s="54">
        <f t="shared" si="182"/>
        <v>4</v>
      </c>
      <c r="X71" s="54">
        <f t="shared" si="182"/>
        <v>0</v>
      </c>
      <c r="Y71" s="54">
        <f t="shared" si="182"/>
        <v>1</v>
      </c>
      <c r="Z71" s="54">
        <f t="shared" si="182"/>
        <v>0</v>
      </c>
      <c r="AA71" s="54">
        <f t="shared" si="182"/>
        <v>0</v>
      </c>
      <c r="AB71" s="54">
        <f t="shared" si="182"/>
        <v>0</v>
      </c>
      <c r="AC71" s="54">
        <f t="shared" si="182"/>
        <v>0</v>
      </c>
      <c r="AD71" s="54">
        <f>IF(AD65="","",AD65-AC65)</f>
        <v>0</v>
      </c>
      <c r="AE71" s="54">
        <f t="shared" si="182"/>
        <v>0</v>
      </c>
      <c r="AF71" s="54">
        <f t="shared" si="182"/>
        <v>0</v>
      </c>
      <c r="AG71" s="54" t="str">
        <f t="shared" si="182"/>
        <v/>
      </c>
      <c r="AH71" s="54" t="str">
        <f t="shared" si="182"/>
        <v/>
      </c>
      <c r="AI71" s="54" t="str">
        <f t="shared" si="182"/>
        <v/>
      </c>
      <c r="AJ71" s="54" t="str">
        <f t="shared" si="182"/>
        <v/>
      </c>
      <c r="AK71" s="54" t="str">
        <f t="shared" si="182"/>
        <v/>
      </c>
      <c r="AL71" s="54" t="str">
        <f t="shared" si="182"/>
        <v/>
      </c>
      <c r="AM71" s="54" t="str">
        <f t="shared" si="182"/>
        <v/>
      </c>
      <c r="AN71" s="54" t="str">
        <f t="shared" si="182"/>
        <v/>
      </c>
      <c r="AO71" s="54" t="str">
        <f t="shared" si="182"/>
        <v/>
      </c>
      <c r="AP71" s="54" t="str">
        <f t="shared" si="171"/>
        <v/>
      </c>
      <c r="AQ71" s="54" t="str">
        <f t="shared" si="172"/>
        <v/>
      </c>
      <c r="AR71" s="54" t="str">
        <f t="shared" si="173"/>
        <v/>
      </c>
      <c r="AS71" s="54" t="str">
        <f t="shared" si="174"/>
        <v/>
      </c>
      <c r="AT71" s="54" t="str">
        <f t="shared" si="175"/>
        <v/>
      </c>
      <c r="AU71" s="54" t="str">
        <f t="shared" si="176"/>
        <v/>
      </c>
      <c r="AV71" s="54" t="str">
        <f t="shared" si="177"/>
        <v/>
      </c>
      <c r="AW71" s="54" t="str">
        <f t="shared" si="178"/>
        <v/>
      </c>
      <c r="AX71" s="54" t="str">
        <f t="shared" si="179"/>
        <v/>
      </c>
    </row>
    <row r="72" spans="1:50" s="1" customFormat="1">
      <c r="A72" s="28">
        <f>SUM(C72:AO72)</f>
        <v>0</v>
      </c>
      <c r="B72" s="55" t="s">
        <v>18</v>
      </c>
      <c r="C72" s="65" t="str">
        <f>IF(C67="","",#REF!*C67)</f>
        <v/>
      </c>
      <c r="D72" s="54" t="str">
        <f>IF(D67="","",#REF!*D67)</f>
        <v/>
      </c>
      <c r="E72" s="54" t="str">
        <f>IF(E67="","",#REF!*E67)</f>
        <v/>
      </c>
      <c r="F72" s="54" t="str">
        <f>IF(F67="","",#REF!*F67)</f>
        <v/>
      </c>
      <c r="G72" s="54" t="str">
        <f>IF(G67="","",#REF!*G67)</f>
        <v/>
      </c>
      <c r="H72" s="54" t="str">
        <f>IF(H67="","",#REF!*H67)</f>
        <v/>
      </c>
      <c r="I72" s="54" t="str">
        <f>IF(I67="","",#REF!*I67)</f>
        <v/>
      </c>
      <c r="J72" s="54" t="str">
        <f>IF(J67="","",#REF!*J67)</f>
        <v/>
      </c>
      <c r="K72" s="54" t="str">
        <f>IF(K67="","",#REF!*K67)</f>
        <v/>
      </c>
      <c r="L72" s="54" t="str">
        <f>IF(L67="","",#REF!*L67)</f>
        <v/>
      </c>
      <c r="M72" s="54" t="str">
        <f>IF(M67="","",#REF!*M67)</f>
        <v/>
      </c>
      <c r="N72" s="54" t="str">
        <f>IF(N67="","",#REF!*N67)</f>
        <v/>
      </c>
      <c r="O72" s="54" t="str">
        <f>IF(O67="","",#REF!*O67)</f>
        <v/>
      </c>
      <c r="P72" s="54" t="str">
        <f>IF(P67="","",#REF!*P67)</f>
        <v/>
      </c>
      <c r="Q72" s="54" t="str">
        <f>IF(Q67="","",#REF!*Q67)</f>
        <v/>
      </c>
      <c r="R72" s="54" t="str">
        <f>IF(R67="","",#REF!*R67)</f>
        <v/>
      </c>
      <c r="S72" s="54" t="str">
        <f>IF(S67="","",#REF!*S67)</f>
        <v/>
      </c>
      <c r="T72" s="54" t="str">
        <f>IF(T67="","",#REF!*T67)</f>
        <v/>
      </c>
      <c r="U72" s="54" t="str">
        <f>IF(U67="","",#REF!*U67)</f>
        <v/>
      </c>
      <c r="V72" s="54" t="str">
        <f>IF(V67="","",#REF!*V67)</f>
        <v/>
      </c>
      <c r="W72" s="54" t="str">
        <f>IF(W67="","",#REF!*W67)</f>
        <v/>
      </c>
      <c r="X72" s="54" t="str">
        <f>IF(X67="","",#REF!*X67)</f>
        <v/>
      </c>
      <c r="Y72" s="54" t="str">
        <f>IF(Y67="","",#REF!*Y67)</f>
        <v/>
      </c>
      <c r="Z72" s="54" t="str">
        <f>IF(Z67="","",#REF!*Z67)</f>
        <v/>
      </c>
      <c r="AA72" s="54" t="str">
        <f>IF(AA67="","",#REF!*AA67)</f>
        <v/>
      </c>
      <c r="AB72" s="54" t="str">
        <f>IF(AB67="","",#REF!*AB67)</f>
        <v/>
      </c>
      <c r="AC72" s="54" t="str">
        <f>IF(AC67="","",#REF!*AC67)</f>
        <v/>
      </c>
      <c r="AD72" s="54" t="str">
        <f>IF(AD67="","",#REF!*AD67)</f>
        <v/>
      </c>
      <c r="AE72" s="54" t="str">
        <f>IF(AE67="","",#REF!*AE67)</f>
        <v/>
      </c>
      <c r="AF72" s="54" t="str">
        <f>IF(AF67="","",#REF!*AF67)</f>
        <v/>
      </c>
      <c r="AG72" s="54" t="str">
        <f>IF(AG67="","",#REF!*AG67)</f>
        <v/>
      </c>
      <c r="AH72" s="54" t="str">
        <f>IF(AH67="","",#REF!*AH67)</f>
        <v/>
      </c>
      <c r="AI72" s="54" t="str">
        <f>IF(AI67="","",#REF!*AI67)</f>
        <v/>
      </c>
      <c r="AJ72" s="54" t="str">
        <f>IF(AJ67="","",#REF!*AJ67)</f>
        <v/>
      </c>
      <c r="AK72" s="54" t="str">
        <f>IF(AK67="","",#REF!*AK67)</f>
        <v/>
      </c>
      <c r="AL72" s="54" t="str">
        <f>IF(AL67="","",#REF!*AL67)</f>
        <v/>
      </c>
      <c r="AM72" s="54" t="str">
        <f>IF(AM67="","",#REF!*AM67)</f>
        <v/>
      </c>
      <c r="AN72" s="54" t="str">
        <f>IF(AN67="","",#REF!*AN67)</f>
        <v/>
      </c>
      <c r="AO72" s="54" t="str">
        <f>IF(AO67="","",#REF!*AO67)</f>
        <v/>
      </c>
      <c r="AP72" s="54" t="str">
        <f>IF(AP67="","",#REF!*AP67)</f>
        <v/>
      </c>
      <c r="AQ72" s="54" t="str">
        <f>IF(AQ67="","",#REF!*AQ67)</f>
        <v/>
      </c>
      <c r="AR72" s="54" t="str">
        <f>IF(AR67="","",#REF!*AR67)</f>
        <v/>
      </c>
      <c r="AS72" s="54" t="str">
        <f>IF(AS67="","",#REF!*AS67)</f>
        <v/>
      </c>
      <c r="AT72" s="54" t="str">
        <f>IF(AT67="","",#REF!*AT67)</f>
        <v/>
      </c>
      <c r="AU72" s="54" t="str">
        <f>IF(AU67="","",#REF!*AU67)</f>
        <v/>
      </c>
      <c r="AV72" s="54" t="str">
        <f>IF(AV67="","",#REF!*AV67)</f>
        <v/>
      </c>
      <c r="AW72" s="54" t="str">
        <f>IF(AW67="","",#REF!*AW67)</f>
        <v/>
      </c>
      <c r="AX72" s="54" t="str">
        <f>IF(AX67="","",#REF!*AX67)</f>
        <v/>
      </c>
    </row>
    <row r="73" spans="1:50" s="1" customFormat="1" ht="12" thickBot="1">
      <c r="A73" s="25">
        <f>IF(A72="","",A72/(A70*100))</f>
        <v>0</v>
      </c>
      <c r="B73" s="53" t="s">
        <v>20</v>
      </c>
      <c r="C73" s="67" t="str">
        <f t="shared" ref="C73:J73" si="183">IF(C72="","",C72/(C70*100))</f>
        <v/>
      </c>
      <c r="D73" s="52" t="str">
        <f t="shared" si="183"/>
        <v/>
      </c>
      <c r="E73" s="52" t="str">
        <f t="shared" si="183"/>
        <v/>
      </c>
      <c r="F73" s="52" t="str">
        <f t="shared" si="183"/>
        <v/>
      </c>
      <c r="G73" s="52" t="str">
        <f t="shared" si="183"/>
        <v/>
      </c>
      <c r="H73" s="52" t="str">
        <f t="shared" si="183"/>
        <v/>
      </c>
      <c r="I73" s="52" t="str">
        <f t="shared" si="183"/>
        <v/>
      </c>
      <c r="J73" s="52" t="str">
        <f t="shared" si="183"/>
        <v/>
      </c>
      <c r="K73" s="52" t="str">
        <f t="shared" ref="K73" si="184">IF(K72="","",K72/(K70*100))</f>
        <v/>
      </c>
      <c r="L73" s="52" t="str">
        <f>IF(L72="","",L72/(L70*100))</f>
        <v/>
      </c>
      <c r="M73" s="52" t="str">
        <f t="shared" ref="M73:N73" si="185">IF(M72="","",M72/(M70*100))</f>
        <v/>
      </c>
      <c r="N73" s="52" t="str">
        <f t="shared" si="185"/>
        <v/>
      </c>
      <c r="O73" s="52" t="str">
        <f>IF(O72="","",O72/(O70*100))</f>
        <v/>
      </c>
      <c r="P73" s="52" t="str">
        <f>IF(P72="","",P72/(P70*100))</f>
        <v/>
      </c>
      <c r="Q73" s="52" t="str">
        <f t="shared" ref="Q73:R73" si="186">IF(Q72="","",Q72/(Q70*100))</f>
        <v/>
      </c>
      <c r="R73" s="52" t="str">
        <f t="shared" si="186"/>
        <v/>
      </c>
      <c r="S73" s="52" t="str">
        <f t="shared" ref="S73:AO73" si="187">IF(S72="","",S72/(S70*100))</f>
        <v/>
      </c>
      <c r="T73" s="52" t="str">
        <f t="shared" si="187"/>
        <v/>
      </c>
      <c r="U73" s="52" t="str">
        <f t="shared" si="187"/>
        <v/>
      </c>
      <c r="V73" s="52" t="str">
        <f t="shared" ref="V73" si="188">IF(V72="","",V72/(V70*100))</f>
        <v/>
      </c>
      <c r="W73" s="52" t="str">
        <f t="shared" si="187"/>
        <v/>
      </c>
      <c r="X73" s="52" t="str">
        <f t="shared" ref="X73" si="189">IF(X72="","",X72/(X70*100))</f>
        <v/>
      </c>
      <c r="Y73" s="52" t="str">
        <f t="shared" si="187"/>
        <v/>
      </c>
      <c r="Z73" s="52" t="str">
        <f t="shared" si="187"/>
        <v/>
      </c>
      <c r="AA73" s="52" t="str">
        <f t="shared" si="187"/>
        <v/>
      </c>
      <c r="AB73" s="52" t="str">
        <f t="shared" si="187"/>
        <v/>
      </c>
      <c r="AC73" s="52" t="str">
        <f t="shared" si="187"/>
        <v/>
      </c>
      <c r="AD73" s="52" t="str">
        <f>IF(AD72="","",AD72/(AD70*100))</f>
        <v/>
      </c>
      <c r="AE73" s="52" t="str">
        <f t="shared" si="187"/>
        <v/>
      </c>
      <c r="AF73" s="52" t="str">
        <f t="shared" si="187"/>
        <v/>
      </c>
      <c r="AG73" s="52" t="str">
        <f t="shared" si="187"/>
        <v/>
      </c>
      <c r="AH73" s="52" t="str">
        <f t="shared" si="187"/>
        <v/>
      </c>
      <c r="AI73" s="52" t="str">
        <f t="shared" si="187"/>
        <v/>
      </c>
      <c r="AJ73" s="52" t="str">
        <f t="shared" si="187"/>
        <v/>
      </c>
      <c r="AK73" s="52" t="str">
        <f t="shared" si="187"/>
        <v/>
      </c>
      <c r="AL73" s="52" t="str">
        <f t="shared" si="187"/>
        <v/>
      </c>
      <c r="AM73" s="52" t="str">
        <f t="shared" si="187"/>
        <v/>
      </c>
      <c r="AN73" s="52" t="str">
        <f t="shared" si="187"/>
        <v/>
      </c>
      <c r="AO73" s="52" t="str">
        <f t="shared" si="187"/>
        <v/>
      </c>
      <c r="AP73" s="52" t="str">
        <f t="shared" ref="AP73" si="190">IF(AP72="","",AP72/(AP70*100))</f>
        <v/>
      </c>
      <c r="AQ73" s="52" t="str">
        <f t="shared" ref="AQ73:AX73" si="191">IF(AQ72="","",AQ72/(AQ70*100))</f>
        <v/>
      </c>
      <c r="AR73" s="52" t="str">
        <f t="shared" si="191"/>
        <v/>
      </c>
      <c r="AS73" s="52" t="str">
        <f t="shared" si="191"/>
        <v/>
      </c>
      <c r="AT73" s="52" t="str">
        <f t="shared" si="191"/>
        <v/>
      </c>
      <c r="AU73" s="52" t="str">
        <f t="shared" si="191"/>
        <v/>
      </c>
      <c r="AV73" s="52" t="str">
        <f t="shared" si="191"/>
        <v/>
      </c>
      <c r="AW73" s="52" t="str">
        <f t="shared" si="191"/>
        <v/>
      </c>
      <c r="AX73" s="52" t="str">
        <f t="shared" si="191"/>
        <v/>
      </c>
    </row>
    <row r="74" spans="1:50" s="1" customFormat="1">
      <c r="A74" s="40" t="s">
        <v>78</v>
      </c>
      <c r="B74" s="39" t="s">
        <v>161</v>
      </c>
      <c r="C74" s="66">
        <v>10200</v>
      </c>
      <c r="D74" s="38">
        <v>10200</v>
      </c>
      <c r="E74" s="38">
        <v>10200</v>
      </c>
      <c r="F74" s="38">
        <v>10220</v>
      </c>
      <c r="G74" s="38">
        <v>10220</v>
      </c>
      <c r="H74" s="38">
        <v>10220</v>
      </c>
      <c r="I74" s="38">
        <v>10252</v>
      </c>
      <c r="J74" s="38">
        <v>10258</v>
      </c>
      <c r="K74" s="38">
        <v>10258</v>
      </c>
      <c r="L74" s="38">
        <v>10274</v>
      </c>
      <c r="M74" s="38">
        <v>10274</v>
      </c>
      <c r="N74" s="38">
        <v>10274</v>
      </c>
      <c r="O74" s="38">
        <v>10278</v>
      </c>
      <c r="P74" s="38">
        <v>10280</v>
      </c>
      <c r="Q74" s="38">
        <v>10280</v>
      </c>
      <c r="R74" s="38">
        <v>10280</v>
      </c>
      <c r="S74" s="38">
        <v>10296</v>
      </c>
      <c r="T74" s="38">
        <v>10296</v>
      </c>
      <c r="U74" s="38">
        <v>10304</v>
      </c>
      <c r="V74" s="38">
        <v>10304</v>
      </c>
      <c r="W74" s="38">
        <v>10314</v>
      </c>
      <c r="X74" s="38">
        <v>10314</v>
      </c>
      <c r="Y74" s="38">
        <v>10326</v>
      </c>
      <c r="Z74" s="38">
        <v>10336</v>
      </c>
      <c r="AA74" s="38">
        <v>10336</v>
      </c>
      <c r="AB74" s="38">
        <v>10336</v>
      </c>
      <c r="AC74" s="38">
        <v>10336</v>
      </c>
      <c r="AD74" s="38">
        <v>10362</v>
      </c>
      <c r="AE74" s="38">
        <v>10362</v>
      </c>
      <c r="AF74" s="38">
        <v>10362</v>
      </c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</row>
    <row r="75" spans="1:50" s="1" customFormat="1">
      <c r="A75" s="56" t="s">
        <v>162</v>
      </c>
      <c r="B75" s="30" t="s">
        <v>163</v>
      </c>
      <c r="C75" s="65">
        <v>993</v>
      </c>
      <c r="D75" s="29">
        <v>993</v>
      </c>
      <c r="E75" s="29">
        <v>993</v>
      </c>
      <c r="F75" s="29">
        <v>993</v>
      </c>
      <c r="G75" s="29">
        <v>993</v>
      </c>
      <c r="H75" s="29">
        <v>993</v>
      </c>
      <c r="I75" s="29">
        <v>993</v>
      </c>
      <c r="J75" s="29">
        <v>993</v>
      </c>
      <c r="K75" s="29">
        <v>993</v>
      </c>
      <c r="L75" s="29">
        <v>993</v>
      </c>
      <c r="M75" s="29">
        <v>993</v>
      </c>
      <c r="N75" s="29">
        <v>993</v>
      </c>
      <c r="O75" s="29">
        <v>993</v>
      </c>
      <c r="P75" s="29">
        <v>993</v>
      </c>
      <c r="Q75" s="29">
        <v>993</v>
      </c>
      <c r="R75" s="29">
        <v>993</v>
      </c>
      <c r="S75" s="29">
        <v>993</v>
      </c>
      <c r="T75" s="29">
        <v>993</v>
      </c>
      <c r="U75" s="29">
        <v>993</v>
      </c>
      <c r="V75" s="29">
        <v>993</v>
      </c>
      <c r="W75" s="29">
        <v>993</v>
      </c>
      <c r="X75" s="29">
        <v>993</v>
      </c>
      <c r="Y75" s="29">
        <v>993</v>
      </c>
      <c r="Z75" s="29">
        <v>993</v>
      </c>
      <c r="AA75" s="29">
        <v>993</v>
      </c>
      <c r="AB75" s="29">
        <v>993</v>
      </c>
      <c r="AC75" s="29">
        <v>993</v>
      </c>
      <c r="AD75" s="29">
        <v>993</v>
      </c>
      <c r="AE75" s="29">
        <v>993</v>
      </c>
      <c r="AF75" s="29">
        <v>993</v>
      </c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</row>
    <row r="76" spans="1:50" s="1" customFormat="1">
      <c r="A76" s="1">
        <v>2000</v>
      </c>
      <c r="B76" s="30" t="s">
        <v>7</v>
      </c>
      <c r="C76" s="65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</row>
    <row r="77" spans="1:50" s="1" customFormat="1">
      <c r="A77" s="36" t="s">
        <v>9</v>
      </c>
      <c r="B77" s="30" t="s">
        <v>8</v>
      </c>
      <c r="C77" s="65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</row>
    <row r="78" spans="1:50" s="11" customFormat="1">
      <c r="A78" s="28">
        <f>AVERAGE(C80:AO80)*30*1000</f>
        <v>167586.20689655171</v>
      </c>
      <c r="B78" s="33" t="s">
        <v>164</v>
      </c>
      <c r="C78" s="63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spans="1:50" s="1" customFormat="1">
      <c r="A79" s="31"/>
      <c r="B79" s="30" t="s">
        <v>165</v>
      </c>
      <c r="C79" s="65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</row>
    <row r="80" spans="1:50" s="1" customFormat="1">
      <c r="A80" s="28">
        <f>SUM(C80:AO80)</f>
        <v>162</v>
      </c>
      <c r="B80" s="55" t="s">
        <v>166</v>
      </c>
      <c r="C80" s="65"/>
      <c r="D80" s="54">
        <f t="shared" ref="D80:L80" si="192">IF(D74="","",D74-C74)</f>
        <v>0</v>
      </c>
      <c r="E80" s="54">
        <f t="shared" si="192"/>
        <v>0</v>
      </c>
      <c r="F80" s="54">
        <f t="shared" si="192"/>
        <v>20</v>
      </c>
      <c r="G80" s="54">
        <f t="shared" si="192"/>
        <v>0</v>
      </c>
      <c r="H80" s="54">
        <f t="shared" si="192"/>
        <v>0</v>
      </c>
      <c r="I80" s="54">
        <f t="shared" si="192"/>
        <v>32</v>
      </c>
      <c r="J80" s="54">
        <f t="shared" si="192"/>
        <v>6</v>
      </c>
      <c r="K80" s="54">
        <f t="shared" si="192"/>
        <v>0</v>
      </c>
      <c r="L80" s="54">
        <f t="shared" si="192"/>
        <v>16</v>
      </c>
      <c r="M80" s="54">
        <f t="shared" ref="M80:N80" si="193">IF(M74="","",M74-L74)</f>
        <v>0</v>
      </c>
      <c r="N80" s="54">
        <f t="shared" si="193"/>
        <v>0</v>
      </c>
      <c r="O80" s="54">
        <f t="shared" ref="O80:AO80" si="194">IF(O74="","",O74-N74)</f>
        <v>4</v>
      </c>
      <c r="P80" s="54">
        <f t="shared" si="194"/>
        <v>2</v>
      </c>
      <c r="Q80" s="54">
        <f t="shared" si="194"/>
        <v>0</v>
      </c>
      <c r="R80" s="54">
        <f t="shared" si="194"/>
        <v>0</v>
      </c>
      <c r="S80" s="54">
        <f t="shared" si="194"/>
        <v>16</v>
      </c>
      <c r="T80" s="54">
        <f t="shared" si="194"/>
        <v>0</v>
      </c>
      <c r="U80" s="54">
        <f t="shared" si="194"/>
        <v>8</v>
      </c>
      <c r="V80" s="54">
        <f t="shared" si="194"/>
        <v>0</v>
      </c>
      <c r="W80" s="54">
        <f t="shared" si="194"/>
        <v>10</v>
      </c>
      <c r="X80" s="54">
        <f t="shared" si="194"/>
        <v>0</v>
      </c>
      <c r="Y80" s="54">
        <f t="shared" si="194"/>
        <v>12</v>
      </c>
      <c r="Z80" s="54">
        <f t="shared" si="194"/>
        <v>10</v>
      </c>
      <c r="AA80" s="54">
        <f t="shared" si="194"/>
        <v>0</v>
      </c>
      <c r="AB80" s="54">
        <f t="shared" si="194"/>
        <v>0</v>
      </c>
      <c r="AC80" s="54">
        <f t="shared" si="194"/>
        <v>0</v>
      </c>
      <c r="AD80" s="54">
        <f>IF(AD74="","",AD74-AC74)</f>
        <v>26</v>
      </c>
      <c r="AE80" s="54">
        <f t="shared" si="194"/>
        <v>0</v>
      </c>
      <c r="AF80" s="54">
        <f t="shared" si="194"/>
        <v>0</v>
      </c>
      <c r="AG80" s="54" t="str">
        <f t="shared" si="194"/>
        <v/>
      </c>
      <c r="AH80" s="54" t="str">
        <f t="shared" si="194"/>
        <v/>
      </c>
      <c r="AI80" s="54" t="str">
        <f t="shared" si="194"/>
        <v/>
      </c>
      <c r="AJ80" s="54" t="str">
        <f t="shared" si="194"/>
        <v/>
      </c>
      <c r="AK80" s="54" t="str">
        <f t="shared" si="194"/>
        <v/>
      </c>
      <c r="AL80" s="54" t="str">
        <f t="shared" si="194"/>
        <v/>
      </c>
      <c r="AM80" s="54" t="str">
        <f t="shared" si="194"/>
        <v/>
      </c>
      <c r="AN80" s="54" t="str">
        <f t="shared" si="194"/>
        <v/>
      </c>
      <c r="AO80" s="54" t="str">
        <f t="shared" si="194"/>
        <v/>
      </c>
      <c r="AP80" s="54" t="str">
        <f t="shared" ref="AP80:AP81" si="195">IF(AP74="","",AP74-AO74)</f>
        <v/>
      </c>
      <c r="AQ80" s="54" t="str">
        <f t="shared" ref="AQ80:AQ81" si="196">IF(AQ74="","",AQ74-AP74)</f>
        <v/>
      </c>
      <c r="AR80" s="54" t="str">
        <f t="shared" ref="AR80:AR81" si="197">IF(AR74="","",AR74-AQ74)</f>
        <v/>
      </c>
      <c r="AS80" s="54" t="str">
        <f t="shared" ref="AS80:AS81" si="198">IF(AS74="","",AS74-AR74)</f>
        <v/>
      </c>
      <c r="AT80" s="54" t="str">
        <f t="shared" ref="AT80:AT81" si="199">IF(AT74="","",AT74-AS74)</f>
        <v/>
      </c>
      <c r="AU80" s="54" t="str">
        <f t="shared" ref="AU80:AU81" si="200">IF(AU74="","",AU74-AT74)</f>
        <v/>
      </c>
      <c r="AV80" s="54" t="str">
        <f t="shared" ref="AV80:AV81" si="201">IF(AV74="","",AV74-AU74)</f>
        <v/>
      </c>
      <c r="AW80" s="54" t="str">
        <f t="shared" ref="AW80:AW81" si="202">IF(AW74="","",AW74-AV74)</f>
        <v/>
      </c>
      <c r="AX80" s="54" t="str">
        <f t="shared" ref="AX80:AX81" si="203">IF(AX74="","",AX74-AW74)</f>
        <v/>
      </c>
    </row>
    <row r="81" spans="1:50" s="1" customFormat="1">
      <c r="A81" s="28">
        <f>SUM(C81:AO81)</f>
        <v>0</v>
      </c>
      <c r="B81" s="55" t="s">
        <v>167</v>
      </c>
      <c r="C81" s="65"/>
      <c r="D81" s="54">
        <f t="shared" ref="D81:L81" si="204">IF(D75="","",D75-C75)</f>
        <v>0</v>
      </c>
      <c r="E81" s="54">
        <f t="shared" si="204"/>
        <v>0</v>
      </c>
      <c r="F81" s="54">
        <f t="shared" si="204"/>
        <v>0</v>
      </c>
      <c r="G81" s="54">
        <f t="shared" si="204"/>
        <v>0</v>
      </c>
      <c r="H81" s="54">
        <f t="shared" si="204"/>
        <v>0</v>
      </c>
      <c r="I81" s="54">
        <f t="shared" si="204"/>
        <v>0</v>
      </c>
      <c r="J81" s="54">
        <f t="shared" si="204"/>
        <v>0</v>
      </c>
      <c r="K81" s="54">
        <f t="shared" si="204"/>
        <v>0</v>
      </c>
      <c r="L81" s="54">
        <f t="shared" si="204"/>
        <v>0</v>
      </c>
      <c r="M81" s="54">
        <f t="shared" ref="M81:N81" si="205">IF(M75="","",M75-L75)</f>
        <v>0</v>
      </c>
      <c r="N81" s="54">
        <f t="shared" si="205"/>
        <v>0</v>
      </c>
      <c r="O81" s="54">
        <f t="shared" ref="O81:AO81" si="206">IF(O75="","",O75-N75)</f>
        <v>0</v>
      </c>
      <c r="P81" s="54">
        <f t="shared" si="206"/>
        <v>0</v>
      </c>
      <c r="Q81" s="54">
        <f t="shared" si="206"/>
        <v>0</v>
      </c>
      <c r="R81" s="54">
        <f t="shared" si="206"/>
        <v>0</v>
      </c>
      <c r="S81" s="54">
        <f t="shared" si="206"/>
        <v>0</v>
      </c>
      <c r="T81" s="54">
        <f t="shared" si="206"/>
        <v>0</v>
      </c>
      <c r="U81" s="54">
        <f t="shared" si="206"/>
        <v>0</v>
      </c>
      <c r="V81" s="54">
        <f t="shared" si="206"/>
        <v>0</v>
      </c>
      <c r="W81" s="54">
        <f t="shared" si="206"/>
        <v>0</v>
      </c>
      <c r="X81" s="54">
        <f t="shared" si="206"/>
        <v>0</v>
      </c>
      <c r="Y81" s="54">
        <f t="shared" si="206"/>
        <v>0</v>
      </c>
      <c r="Z81" s="54">
        <f t="shared" si="206"/>
        <v>0</v>
      </c>
      <c r="AA81" s="54">
        <f t="shared" si="206"/>
        <v>0</v>
      </c>
      <c r="AB81" s="54">
        <f t="shared" si="206"/>
        <v>0</v>
      </c>
      <c r="AC81" s="54">
        <f t="shared" si="206"/>
        <v>0</v>
      </c>
      <c r="AD81" s="54">
        <f>IF(AD75="","",AD75-AC75)</f>
        <v>0</v>
      </c>
      <c r="AE81" s="54">
        <f t="shared" si="206"/>
        <v>0</v>
      </c>
      <c r="AF81" s="54">
        <f t="shared" si="206"/>
        <v>0</v>
      </c>
      <c r="AG81" s="54" t="str">
        <f t="shared" si="206"/>
        <v/>
      </c>
      <c r="AH81" s="54" t="str">
        <f t="shared" si="206"/>
        <v/>
      </c>
      <c r="AI81" s="54" t="str">
        <f t="shared" si="206"/>
        <v/>
      </c>
      <c r="AJ81" s="54" t="str">
        <f t="shared" si="206"/>
        <v/>
      </c>
      <c r="AK81" s="54" t="str">
        <f t="shared" si="206"/>
        <v/>
      </c>
      <c r="AL81" s="54" t="str">
        <f t="shared" si="206"/>
        <v/>
      </c>
      <c r="AM81" s="54" t="str">
        <f t="shared" si="206"/>
        <v/>
      </c>
      <c r="AN81" s="54" t="str">
        <f t="shared" si="206"/>
        <v/>
      </c>
      <c r="AO81" s="54" t="str">
        <f t="shared" si="206"/>
        <v/>
      </c>
      <c r="AP81" s="54" t="str">
        <f t="shared" si="195"/>
        <v/>
      </c>
      <c r="AQ81" s="54" t="str">
        <f t="shared" si="196"/>
        <v/>
      </c>
      <c r="AR81" s="54" t="str">
        <f t="shared" si="197"/>
        <v/>
      </c>
      <c r="AS81" s="54" t="str">
        <f t="shared" si="198"/>
        <v/>
      </c>
      <c r="AT81" s="54" t="str">
        <f t="shared" si="199"/>
        <v/>
      </c>
      <c r="AU81" s="54" t="str">
        <f t="shared" si="200"/>
        <v/>
      </c>
      <c r="AV81" s="54" t="str">
        <f t="shared" si="201"/>
        <v/>
      </c>
      <c r="AW81" s="54" t="str">
        <f t="shared" si="202"/>
        <v/>
      </c>
      <c r="AX81" s="54" t="str">
        <f t="shared" si="203"/>
        <v/>
      </c>
    </row>
    <row r="82" spans="1:50" s="1" customFormat="1">
      <c r="A82" s="28">
        <f>SUM(C82:AO82)</f>
        <v>0</v>
      </c>
      <c r="B82" s="55" t="s">
        <v>18</v>
      </c>
      <c r="C82" s="65"/>
      <c r="D82" s="54" t="str">
        <f>IF(D77="","",#REF!*D77)</f>
        <v/>
      </c>
      <c r="E82" s="54" t="str">
        <f>IF(E77="","",#REF!*E77)</f>
        <v/>
      </c>
      <c r="F82" s="54" t="str">
        <f>IF(F77="","",#REF!*F77)</f>
        <v/>
      </c>
      <c r="G82" s="54" t="str">
        <f>IF(G77="","",#REF!*G77)</f>
        <v/>
      </c>
      <c r="H82" s="54" t="str">
        <f>IF(H77="","",#REF!*H77)</f>
        <v/>
      </c>
      <c r="I82" s="54" t="str">
        <f>IF(I77="","",#REF!*I77)</f>
        <v/>
      </c>
      <c r="J82" s="54" t="str">
        <f>IF(J77="","",#REF!*J77)</f>
        <v/>
      </c>
      <c r="K82" s="54" t="str">
        <f>IF(K77="","",#REF!*K77)</f>
        <v/>
      </c>
      <c r="L82" s="54" t="str">
        <f>IF(L77="","",#REF!*L77)</f>
        <v/>
      </c>
      <c r="M82" s="54" t="str">
        <f>IF(M77="","",#REF!*M77)</f>
        <v/>
      </c>
      <c r="N82" s="54" t="str">
        <f>IF(N77="","",#REF!*N77)</f>
        <v/>
      </c>
      <c r="O82" s="54" t="str">
        <f>IF(O77="","",#REF!*O77)</f>
        <v/>
      </c>
      <c r="P82" s="54" t="str">
        <f>IF(P77="","",#REF!*P77)</f>
        <v/>
      </c>
      <c r="Q82" s="54" t="str">
        <f>IF(Q77="","",#REF!*Q77)</f>
        <v/>
      </c>
      <c r="R82" s="54" t="str">
        <f>IF(R77="","",#REF!*R77)</f>
        <v/>
      </c>
      <c r="S82" s="54" t="str">
        <f>IF(S77="","",#REF!*S77)</f>
        <v/>
      </c>
      <c r="T82" s="54" t="str">
        <f>IF(T77="","",#REF!*T77)</f>
        <v/>
      </c>
      <c r="U82" s="54" t="str">
        <f>IF(U77="","",#REF!*U77)</f>
        <v/>
      </c>
      <c r="V82" s="54" t="str">
        <f>IF(V77="","",#REF!*V77)</f>
        <v/>
      </c>
      <c r="W82" s="54" t="str">
        <f>IF(W77="","",#REF!*W77)</f>
        <v/>
      </c>
      <c r="X82" s="54" t="str">
        <f>IF(X77="","",#REF!*X77)</f>
        <v/>
      </c>
      <c r="Y82" s="54" t="str">
        <f>IF(Y77="","",#REF!*Y77)</f>
        <v/>
      </c>
      <c r="Z82" s="54" t="str">
        <f>IF(Z77="","",#REF!*Z77)</f>
        <v/>
      </c>
      <c r="AA82" s="54" t="str">
        <f>IF(AA77="","",#REF!*AA77)</f>
        <v/>
      </c>
      <c r="AB82" s="54" t="str">
        <f>IF(AB77="","",#REF!*AB77)</f>
        <v/>
      </c>
      <c r="AC82" s="54" t="str">
        <f>IF(AC77="","",#REF!*AC77)</f>
        <v/>
      </c>
      <c r="AD82" s="54" t="str">
        <f>IF(AD77="","",#REF!*AD77)</f>
        <v/>
      </c>
      <c r="AE82" s="54" t="str">
        <f>IF(AE77="","",#REF!*AE77)</f>
        <v/>
      </c>
      <c r="AF82" s="54" t="str">
        <f>IF(AF77="","",#REF!*AF77)</f>
        <v/>
      </c>
      <c r="AG82" s="54" t="str">
        <f>IF(AG77="","",#REF!*AG77)</f>
        <v/>
      </c>
      <c r="AH82" s="54" t="str">
        <f>IF(AH77="","",#REF!*AH77)</f>
        <v/>
      </c>
      <c r="AI82" s="54" t="str">
        <f>IF(AI77="","",#REF!*AI77)</f>
        <v/>
      </c>
      <c r="AJ82" s="54" t="str">
        <f>IF(AJ77="","",#REF!*AJ77)</f>
        <v/>
      </c>
      <c r="AK82" s="54" t="str">
        <f>IF(AK77="","",#REF!*AK77)</f>
        <v/>
      </c>
      <c r="AL82" s="54" t="str">
        <f>IF(AL77="","",#REF!*AL77)</f>
        <v/>
      </c>
      <c r="AM82" s="54" t="str">
        <f>IF(AM77="","",#REF!*AM77)</f>
        <v/>
      </c>
      <c r="AN82" s="54" t="str">
        <f>IF(AN77="","",#REF!*AN77)</f>
        <v/>
      </c>
      <c r="AO82" s="54" t="str">
        <f>IF(AO77="","",#REF!*AO77)</f>
        <v/>
      </c>
      <c r="AP82" s="54" t="str">
        <f>IF(AP77="","",#REF!*AP77)</f>
        <v/>
      </c>
      <c r="AQ82" s="54" t="str">
        <f>IF(AQ77="","",#REF!*AQ77)</f>
        <v/>
      </c>
      <c r="AR82" s="54" t="str">
        <f>IF(AR77="","",#REF!*AR77)</f>
        <v/>
      </c>
      <c r="AS82" s="54" t="str">
        <f>IF(AS77="","",#REF!*AS77)</f>
        <v/>
      </c>
      <c r="AT82" s="54" t="str">
        <f>IF(AT77="","",#REF!*AT77)</f>
        <v/>
      </c>
      <c r="AU82" s="54" t="str">
        <f>IF(AU77="","",#REF!*AU77)</f>
        <v/>
      </c>
      <c r="AV82" s="54" t="str">
        <f>IF(AV77="","",#REF!*AV77)</f>
        <v/>
      </c>
      <c r="AW82" s="54" t="str">
        <f>IF(AW77="","",#REF!*AW77)</f>
        <v/>
      </c>
      <c r="AX82" s="54" t="str">
        <f>IF(AX77="","",#REF!*AX77)</f>
        <v/>
      </c>
    </row>
    <row r="83" spans="1:50" s="1" customFormat="1" ht="12" thickBot="1">
      <c r="A83" s="25">
        <f>IF(A82="","",A82/(A80*100))</f>
        <v>0</v>
      </c>
      <c r="B83" s="53" t="s">
        <v>20</v>
      </c>
      <c r="C83" s="67"/>
      <c r="D83" s="52" t="str">
        <f t="shared" ref="D83:L83" si="207">IF(D82="","",D82/(D80*100))</f>
        <v/>
      </c>
      <c r="E83" s="52" t="str">
        <f t="shared" si="207"/>
        <v/>
      </c>
      <c r="F83" s="52" t="str">
        <f t="shared" si="207"/>
        <v/>
      </c>
      <c r="G83" s="52" t="str">
        <f t="shared" si="207"/>
        <v/>
      </c>
      <c r="H83" s="52" t="str">
        <f t="shared" si="207"/>
        <v/>
      </c>
      <c r="I83" s="52" t="str">
        <f t="shared" si="207"/>
        <v/>
      </c>
      <c r="J83" s="52" t="str">
        <f t="shared" si="207"/>
        <v/>
      </c>
      <c r="K83" s="52" t="str">
        <f t="shared" si="207"/>
        <v/>
      </c>
      <c r="L83" s="52" t="str">
        <f t="shared" si="207"/>
        <v/>
      </c>
      <c r="M83" s="52" t="str">
        <f t="shared" ref="M83:N83" si="208">IF(M82="","",M82/(M80*100))</f>
        <v/>
      </c>
      <c r="N83" s="52" t="str">
        <f t="shared" si="208"/>
        <v/>
      </c>
      <c r="O83" s="52" t="str">
        <f t="shared" ref="O83:AO83" si="209">IF(O82="","",O82/(O80*100))</f>
        <v/>
      </c>
      <c r="P83" s="52" t="str">
        <f t="shared" si="209"/>
        <v/>
      </c>
      <c r="Q83" s="52" t="str">
        <f t="shared" si="209"/>
        <v/>
      </c>
      <c r="R83" s="52" t="str">
        <f t="shared" si="209"/>
        <v/>
      </c>
      <c r="S83" s="52" t="str">
        <f t="shared" si="209"/>
        <v/>
      </c>
      <c r="T83" s="52" t="str">
        <f t="shared" si="209"/>
        <v/>
      </c>
      <c r="U83" s="52" t="str">
        <f t="shared" si="209"/>
        <v/>
      </c>
      <c r="V83" s="52" t="str">
        <f t="shared" si="209"/>
        <v/>
      </c>
      <c r="W83" s="52" t="str">
        <f t="shared" si="209"/>
        <v/>
      </c>
      <c r="X83" s="52" t="str">
        <f t="shared" ref="X83" si="210">IF(X82="","",X82/(X80*100))</f>
        <v/>
      </c>
      <c r="Y83" s="52" t="str">
        <f t="shared" si="209"/>
        <v/>
      </c>
      <c r="Z83" s="52" t="str">
        <f t="shared" si="209"/>
        <v/>
      </c>
      <c r="AA83" s="52" t="str">
        <f t="shared" si="209"/>
        <v/>
      </c>
      <c r="AB83" s="52" t="str">
        <f t="shared" si="209"/>
        <v/>
      </c>
      <c r="AC83" s="52" t="str">
        <f t="shared" si="209"/>
        <v/>
      </c>
      <c r="AD83" s="52" t="str">
        <f>IF(AD82="","",AD82/(AD80*100))</f>
        <v/>
      </c>
      <c r="AE83" s="52" t="str">
        <f t="shared" si="209"/>
        <v/>
      </c>
      <c r="AF83" s="52" t="str">
        <f t="shared" si="209"/>
        <v/>
      </c>
      <c r="AG83" s="52" t="str">
        <f t="shared" si="209"/>
        <v/>
      </c>
      <c r="AH83" s="52" t="str">
        <f t="shared" si="209"/>
        <v/>
      </c>
      <c r="AI83" s="52" t="str">
        <f t="shared" si="209"/>
        <v/>
      </c>
      <c r="AJ83" s="52" t="str">
        <f t="shared" si="209"/>
        <v/>
      </c>
      <c r="AK83" s="52" t="str">
        <f t="shared" si="209"/>
        <v/>
      </c>
      <c r="AL83" s="52" t="str">
        <f t="shared" si="209"/>
        <v/>
      </c>
      <c r="AM83" s="52" t="str">
        <f t="shared" si="209"/>
        <v/>
      </c>
      <c r="AN83" s="52" t="str">
        <f t="shared" si="209"/>
        <v/>
      </c>
      <c r="AO83" s="52" t="str">
        <f t="shared" si="209"/>
        <v/>
      </c>
      <c r="AP83" s="52" t="str">
        <f t="shared" ref="AP83" si="211">IF(AP82="","",AP82/(AP80*100))</f>
        <v/>
      </c>
      <c r="AQ83" s="52" t="str">
        <f t="shared" ref="AQ83:AX83" si="212">IF(AQ82="","",AQ82/(AQ80*100))</f>
        <v/>
      </c>
      <c r="AR83" s="52" t="str">
        <f t="shared" si="212"/>
        <v/>
      </c>
      <c r="AS83" s="52" t="str">
        <f t="shared" si="212"/>
        <v/>
      </c>
      <c r="AT83" s="52" t="str">
        <f t="shared" si="212"/>
        <v/>
      </c>
      <c r="AU83" s="52" t="str">
        <f t="shared" si="212"/>
        <v/>
      </c>
      <c r="AV83" s="52" t="str">
        <f t="shared" si="212"/>
        <v/>
      </c>
      <c r="AW83" s="52" t="str">
        <f t="shared" si="212"/>
        <v/>
      </c>
      <c r="AX83" s="52" t="str">
        <f t="shared" si="212"/>
        <v/>
      </c>
    </row>
    <row r="84" spans="1:50" s="1" customFormat="1">
      <c r="A84" s="22" t="s">
        <v>78</v>
      </c>
      <c r="B84" s="21" t="s">
        <v>171</v>
      </c>
      <c r="C84" s="20">
        <v>10899</v>
      </c>
      <c r="D84" s="20">
        <v>10899</v>
      </c>
      <c r="E84" s="20">
        <v>10899</v>
      </c>
      <c r="F84" s="20">
        <v>10954</v>
      </c>
      <c r="G84" s="20">
        <v>10954</v>
      </c>
      <c r="H84" s="20">
        <v>10954</v>
      </c>
      <c r="I84" s="20">
        <v>10989</v>
      </c>
      <c r="J84" s="20">
        <v>10989</v>
      </c>
      <c r="K84" s="20">
        <v>10989</v>
      </c>
      <c r="L84" s="20">
        <v>11069</v>
      </c>
      <c r="M84" s="20">
        <v>11069</v>
      </c>
      <c r="N84" s="20">
        <v>11069</v>
      </c>
      <c r="O84" s="20">
        <v>11069</v>
      </c>
      <c r="P84" s="20">
        <v>11174</v>
      </c>
      <c r="Q84" s="20">
        <v>11174</v>
      </c>
      <c r="R84" s="20">
        <v>11174</v>
      </c>
      <c r="S84" s="20">
        <v>11199</v>
      </c>
      <c r="T84" s="20">
        <v>11199</v>
      </c>
      <c r="U84" s="20">
        <v>11199</v>
      </c>
      <c r="V84" s="20">
        <v>11199</v>
      </c>
      <c r="W84" s="20">
        <v>11219</v>
      </c>
      <c r="X84" s="20">
        <v>11219</v>
      </c>
      <c r="Y84" s="20">
        <v>11219</v>
      </c>
      <c r="Z84" s="20">
        <v>11269</v>
      </c>
      <c r="AA84" s="20">
        <v>11269</v>
      </c>
      <c r="AB84" s="20">
        <v>11269</v>
      </c>
      <c r="AC84" s="20">
        <v>11269</v>
      </c>
      <c r="AD84" s="20">
        <v>11269</v>
      </c>
      <c r="AE84" s="20">
        <v>11269</v>
      </c>
      <c r="AF84" s="20">
        <v>11269</v>
      </c>
      <c r="AG84" s="20">
        <v>11290</v>
      </c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</row>
    <row r="85" spans="1:50" s="1" customFormat="1">
      <c r="A85" s="61" t="s">
        <v>172</v>
      </c>
      <c r="B85" s="9" t="s">
        <v>163</v>
      </c>
      <c r="C85" s="8">
        <v>2197</v>
      </c>
      <c r="D85" s="8">
        <v>2197</v>
      </c>
      <c r="E85" s="8">
        <v>2197</v>
      </c>
      <c r="F85" s="8">
        <v>2205</v>
      </c>
      <c r="G85" s="8">
        <v>2205</v>
      </c>
      <c r="H85" s="8">
        <v>2205</v>
      </c>
      <c r="I85" s="8">
        <v>2212</v>
      </c>
      <c r="J85" s="8">
        <v>2212</v>
      </c>
      <c r="K85" s="8">
        <v>2212</v>
      </c>
      <c r="L85" s="8">
        <v>2228</v>
      </c>
      <c r="M85" s="8">
        <v>2228</v>
      </c>
      <c r="N85" s="8">
        <v>2228</v>
      </c>
      <c r="O85" s="8">
        <v>2228</v>
      </c>
      <c r="P85" s="8">
        <v>2249</v>
      </c>
      <c r="Q85" s="8">
        <v>2249</v>
      </c>
      <c r="R85" s="8">
        <v>2249</v>
      </c>
      <c r="S85" s="8">
        <v>2254</v>
      </c>
      <c r="T85" s="8">
        <v>2254</v>
      </c>
      <c r="U85" s="8">
        <v>2254</v>
      </c>
      <c r="V85" s="8">
        <v>2254</v>
      </c>
      <c r="W85" s="8">
        <v>2258</v>
      </c>
      <c r="X85" s="8">
        <v>2258</v>
      </c>
      <c r="Y85" s="8">
        <v>2258</v>
      </c>
      <c r="Z85" s="8">
        <v>2268</v>
      </c>
      <c r="AA85" s="8">
        <v>2268</v>
      </c>
      <c r="AB85" s="8">
        <v>2268</v>
      </c>
      <c r="AC85" s="8">
        <v>2268</v>
      </c>
      <c r="AD85" s="8">
        <v>2268</v>
      </c>
      <c r="AE85" s="8">
        <v>2268</v>
      </c>
      <c r="AF85" s="8">
        <v>2268</v>
      </c>
      <c r="AG85" s="8">
        <v>2272</v>
      </c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s="1" customFormat="1">
      <c r="A86" s="15" t="s">
        <v>173</v>
      </c>
      <c r="B86" s="9" t="s">
        <v>7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s="1" customFormat="1">
      <c r="A87" s="14" t="s">
        <v>9</v>
      </c>
      <c r="B87" s="9" t="s">
        <v>8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s="11" customFormat="1">
      <c r="A88" s="7">
        <f>AVERAGE(C90:AO90)*30*100</f>
        <v>39100</v>
      </c>
      <c r="B88" s="13" t="s">
        <v>164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</row>
    <row r="89" spans="1:50" s="1" customFormat="1">
      <c r="A89" s="10"/>
      <c r="B89" s="9" t="s">
        <v>165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s="1" customFormat="1">
      <c r="A90" s="7">
        <f>SUM(C90:AO90)</f>
        <v>391</v>
      </c>
      <c r="B90" s="60" t="s">
        <v>15</v>
      </c>
      <c r="C90" s="59"/>
      <c r="D90" s="59">
        <f t="shared" ref="D90:I91" si="213">IF(D84="","",D84-C84)</f>
        <v>0</v>
      </c>
      <c r="E90" s="59">
        <f t="shared" si="213"/>
        <v>0</v>
      </c>
      <c r="F90" s="59">
        <f t="shared" si="213"/>
        <v>55</v>
      </c>
      <c r="G90" s="59">
        <f t="shared" si="213"/>
        <v>0</v>
      </c>
      <c r="H90" s="59">
        <f t="shared" si="213"/>
        <v>0</v>
      </c>
      <c r="I90" s="59">
        <f t="shared" si="213"/>
        <v>35</v>
      </c>
      <c r="J90" s="59">
        <f t="shared" ref="J90:K90" si="214">IF(J84="","",J84-I84)</f>
        <v>0</v>
      </c>
      <c r="K90" s="59">
        <f t="shared" si="214"/>
        <v>0</v>
      </c>
      <c r="L90" s="59">
        <f>IF(L84="","",L84-K84)</f>
        <v>80</v>
      </c>
      <c r="M90" s="59">
        <f t="shared" ref="M90:N90" si="215">IF(M84="","",M84-L84)</f>
        <v>0</v>
      </c>
      <c r="N90" s="59">
        <f t="shared" si="215"/>
        <v>0</v>
      </c>
      <c r="O90" s="59">
        <f t="shared" ref="O90" si="216">IF(O84="","",O84-N84)</f>
        <v>0</v>
      </c>
      <c r="P90" s="59">
        <f>IF(P84="","",P84-O84)</f>
        <v>105</v>
      </c>
      <c r="Q90" s="59">
        <f t="shared" ref="Q90:R90" si="217">IF(Q84="","",Q84-P84)</f>
        <v>0</v>
      </c>
      <c r="R90" s="59">
        <f t="shared" si="217"/>
        <v>0</v>
      </c>
      <c r="S90" s="59">
        <f t="shared" ref="S90:AO90" si="218">IF(S84="","",S84-R84)</f>
        <v>25</v>
      </c>
      <c r="T90" s="59">
        <f t="shared" ref="T90:T91" si="219">IF(T84="","",T84-S84)</f>
        <v>0</v>
      </c>
      <c r="U90" s="59">
        <f t="shared" ref="U90:U91" si="220">IF(U84="","",U84-T84)</f>
        <v>0</v>
      </c>
      <c r="V90" s="59">
        <f t="shared" ref="V90:V91" si="221">IF(V84="","",V84-U84)</f>
        <v>0</v>
      </c>
      <c r="W90" s="59">
        <f t="shared" si="218"/>
        <v>20</v>
      </c>
      <c r="X90" s="59">
        <f t="shared" si="218"/>
        <v>0</v>
      </c>
      <c r="Y90" s="59">
        <f t="shared" si="218"/>
        <v>0</v>
      </c>
      <c r="Z90" s="59">
        <f t="shared" si="218"/>
        <v>50</v>
      </c>
      <c r="AA90" s="59">
        <f t="shared" si="218"/>
        <v>0</v>
      </c>
      <c r="AB90" s="59">
        <f t="shared" si="218"/>
        <v>0</v>
      </c>
      <c r="AC90" s="59">
        <f t="shared" si="218"/>
        <v>0</v>
      </c>
      <c r="AD90" s="59">
        <f>IF(AD84="","",AD84-AC84)</f>
        <v>0</v>
      </c>
      <c r="AE90" s="59">
        <f t="shared" si="218"/>
        <v>0</v>
      </c>
      <c r="AF90" s="59">
        <f t="shared" si="218"/>
        <v>0</v>
      </c>
      <c r="AG90" s="59">
        <f t="shared" si="218"/>
        <v>21</v>
      </c>
      <c r="AH90" s="59" t="str">
        <f t="shared" si="218"/>
        <v/>
      </c>
      <c r="AI90" s="59" t="str">
        <f t="shared" si="218"/>
        <v/>
      </c>
      <c r="AJ90" s="59" t="str">
        <f t="shared" si="218"/>
        <v/>
      </c>
      <c r="AK90" s="59" t="str">
        <f t="shared" si="218"/>
        <v/>
      </c>
      <c r="AL90" s="59" t="str">
        <f t="shared" si="218"/>
        <v/>
      </c>
      <c r="AM90" s="59" t="str">
        <f t="shared" si="218"/>
        <v/>
      </c>
      <c r="AN90" s="59" t="str">
        <f t="shared" si="218"/>
        <v/>
      </c>
      <c r="AO90" s="59" t="str">
        <f t="shared" si="218"/>
        <v/>
      </c>
      <c r="AP90" s="59" t="str">
        <f t="shared" ref="AP90:AP91" si="222">IF(AP84="","",AP84-AO84)</f>
        <v/>
      </c>
      <c r="AQ90" s="59" t="str">
        <f t="shared" ref="AQ90:AQ91" si="223">IF(AQ84="","",AQ84-AP84)</f>
        <v/>
      </c>
      <c r="AR90" s="59" t="str">
        <f t="shared" ref="AR90:AR91" si="224">IF(AR84="","",AR84-AQ84)</f>
        <v/>
      </c>
      <c r="AS90" s="59" t="str">
        <f t="shared" ref="AS90:AS91" si="225">IF(AS84="","",AS84-AR84)</f>
        <v/>
      </c>
      <c r="AT90" s="59" t="str">
        <f t="shared" ref="AT90:AT91" si="226">IF(AT84="","",AT84-AS84)</f>
        <v/>
      </c>
      <c r="AU90" s="59" t="str">
        <f t="shared" ref="AU90:AU91" si="227">IF(AU84="","",AU84-AT84)</f>
        <v/>
      </c>
      <c r="AV90" s="59" t="str">
        <f t="shared" ref="AV90:AV91" si="228">IF(AV84="","",AV84-AU84)</f>
        <v/>
      </c>
      <c r="AW90" s="59" t="str">
        <f t="shared" ref="AW90:AW91" si="229">IF(AW84="","",AW84-AV84)</f>
        <v/>
      </c>
      <c r="AX90" s="59" t="str">
        <f t="shared" ref="AX90:AX91" si="230">IF(AX84="","",AX84-AW84)</f>
        <v/>
      </c>
    </row>
    <row r="91" spans="1:50" s="1" customFormat="1">
      <c r="A91" s="7">
        <f>SUM(C91:AO91)</f>
        <v>75</v>
      </c>
      <c r="B91" s="60" t="s">
        <v>167</v>
      </c>
      <c r="C91" s="59"/>
      <c r="D91" s="59">
        <f t="shared" si="213"/>
        <v>0</v>
      </c>
      <c r="E91" s="59">
        <f t="shared" si="213"/>
        <v>0</v>
      </c>
      <c r="F91" s="59">
        <f t="shared" si="213"/>
        <v>8</v>
      </c>
      <c r="G91" s="59">
        <f t="shared" si="213"/>
        <v>0</v>
      </c>
      <c r="H91" s="59">
        <f t="shared" si="213"/>
        <v>0</v>
      </c>
      <c r="I91" s="59">
        <f t="shared" si="213"/>
        <v>7</v>
      </c>
      <c r="J91" s="59">
        <f t="shared" ref="J91:K91" si="231">IF(J85="","",J85-I85)</f>
        <v>0</v>
      </c>
      <c r="K91" s="59">
        <f t="shared" si="231"/>
        <v>0</v>
      </c>
      <c r="L91" s="59">
        <f>IF(L85="","",L85-K85)</f>
        <v>16</v>
      </c>
      <c r="M91" s="59">
        <f t="shared" ref="M91:N91" si="232">IF(M85="","",M85-L85)</f>
        <v>0</v>
      </c>
      <c r="N91" s="59">
        <f t="shared" si="232"/>
        <v>0</v>
      </c>
      <c r="O91" s="59">
        <f t="shared" ref="O91" si="233">IF(O85="","",O85-N85)</f>
        <v>0</v>
      </c>
      <c r="P91" s="59">
        <f>IF(P85="","",P85-O85)</f>
        <v>21</v>
      </c>
      <c r="Q91" s="59">
        <f t="shared" ref="Q91:R91" si="234">IF(Q85="","",Q85-P85)</f>
        <v>0</v>
      </c>
      <c r="R91" s="59">
        <f t="shared" si="234"/>
        <v>0</v>
      </c>
      <c r="S91" s="59">
        <f t="shared" ref="S91:AO91" si="235">IF(S85="","",S85-R85)</f>
        <v>5</v>
      </c>
      <c r="T91" s="59">
        <f t="shared" si="219"/>
        <v>0</v>
      </c>
      <c r="U91" s="59">
        <f t="shared" si="220"/>
        <v>0</v>
      </c>
      <c r="V91" s="59">
        <f t="shared" si="221"/>
        <v>0</v>
      </c>
      <c r="W91" s="59">
        <f t="shared" si="235"/>
        <v>4</v>
      </c>
      <c r="X91" s="59">
        <f t="shared" si="235"/>
        <v>0</v>
      </c>
      <c r="Y91" s="59">
        <f t="shared" si="235"/>
        <v>0</v>
      </c>
      <c r="Z91" s="59">
        <f t="shared" si="235"/>
        <v>10</v>
      </c>
      <c r="AA91" s="59">
        <f t="shared" si="235"/>
        <v>0</v>
      </c>
      <c r="AB91" s="59">
        <f t="shared" si="235"/>
        <v>0</v>
      </c>
      <c r="AC91" s="59">
        <f t="shared" si="235"/>
        <v>0</v>
      </c>
      <c r="AD91" s="59">
        <f>IF(AD85="","",AD85-AC85)</f>
        <v>0</v>
      </c>
      <c r="AE91" s="59">
        <f t="shared" si="235"/>
        <v>0</v>
      </c>
      <c r="AF91" s="59">
        <f t="shared" si="235"/>
        <v>0</v>
      </c>
      <c r="AG91" s="59">
        <f t="shared" si="235"/>
        <v>4</v>
      </c>
      <c r="AH91" s="59" t="str">
        <f t="shared" si="235"/>
        <v/>
      </c>
      <c r="AI91" s="59" t="str">
        <f t="shared" si="235"/>
        <v/>
      </c>
      <c r="AJ91" s="59" t="str">
        <f t="shared" si="235"/>
        <v/>
      </c>
      <c r="AK91" s="59" t="str">
        <f t="shared" si="235"/>
        <v/>
      </c>
      <c r="AL91" s="59" t="str">
        <f t="shared" si="235"/>
        <v/>
      </c>
      <c r="AM91" s="59" t="str">
        <f t="shared" si="235"/>
        <v/>
      </c>
      <c r="AN91" s="59" t="str">
        <f t="shared" si="235"/>
        <v/>
      </c>
      <c r="AO91" s="59" t="str">
        <f t="shared" si="235"/>
        <v/>
      </c>
      <c r="AP91" s="59" t="str">
        <f t="shared" si="222"/>
        <v/>
      </c>
      <c r="AQ91" s="59" t="str">
        <f t="shared" si="223"/>
        <v/>
      </c>
      <c r="AR91" s="59" t="str">
        <f t="shared" si="224"/>
        <v/>
      </c>
      <c r="AS91" s="59" t="str">
        <f t="shared" si="225"/>
        <v/>
      </c>
      <c r="AT91" s="59" t="str">
        <f t="shared" si="226"/>
        <v/>
      </c>
      <c r="AU91" s="59" t="str">
        <f t="shared" si="227"/>
        <v/>
      </c>
      <c r="AV91" s="59" t="str">
        <f t="shared" si="228"/>
        <v/>
      </c>
      <c r="AW91" s="59" t="str">
        <f t="shared" si="229"/>
        <v/>
      </c>
      <c r="AX91" s="59" t="str">
        <f t="shared" si="230"/>
        <v/>
      </c>
    </row>
    <row r="92" spans="1:50" s="1" customFormat="1">
      <c r="A92" s="7">
        <f>SUM(C92:AO92)</f>
        <v>0</v>
      </c>
      <c r="B92" s="60" t="s">
        <v>18</v>
      </c>
      <c r="C92" s="59"/>
      <c r="D92" s="59" t="str">
        <f>IF(D87="","",#REF!*D87)</f>
        <v/>
      </c>
      <c r="E92" s="59" t="str">
        <f>IF(E87="","",#REF!*E87)</f>
        <v/>
      </c>
      <c r="F92" s="59" t="str">
        <f>IF(F87="","",#REF!*F87)</f>
        <v/>
      </c>
      <c r="G92" s="59" t="str">
        <f>IF(G87="","",#REF!*G87)</f>
        <v/>
      </c>
      <c r="H92" s="59" t="str">
        <f>IF(H87="","",#REF!*H87)</f>
        <v/>
      </c>
      <c r="I92" s="59" t="str">
        <f>IF(I87="","",#REF!*I87)</f>
        <v/>
      </c>
      <c r="J92" s="59" t="str">
        <f>IF(J87="","",#REF!*J87)</f>
        <v/>
      </c>
      <c r="K92" s="59" t="str">
        <f>IF(K87="","",#REF!*K87)</f>
        <v/>
      </c>
      <c r="L92" s="59" t="str">
        <f>IF(L87="","",#REF!*L87)</f>
        <v/>
      </c>
      <c r="M92" s="59" t="str">
        <f>IF(M87="","",#REF!*M87)</f>
        <v/>
      </c>
      <c r="N92" s="59" t="str">
        <f>IF(N87="","",#REF!*N87)</f>
        <v/>
      </c>
      <c r="O92" s="59" t="str">
        <f>IF(O87="","",#REF!*O87)</f>
        <v/>
      </c>
      <c r="P92" s="59" t="str">
        <f>IF(P87="","",#REF!*P87)</f>
        <v/>
      </c>
      <c r="Q92" s="59" t="str">
        <f>IF(Q87="","",#REF!*Q87)</f>
        <v/>
      </c>
      <c r="R92" s="59" t="str">
        <f>IF(R87="","",#REF!*R87)</f>
        <v/>
      </c>
      <c r="S92" s="59" t="str">
        <f>IF(S87="","",#REF!*S87)</f>
        <v/>
      </c>
      <c r="T92" s="59" t="str">
        <f>IF(T87="","",#REF!*T87)</f>
        <v/>
      </c>
      <c r="U92" s="59" t="str">
        <f>IF(U87="","",#REF!*U87)</f>
        <v/>
      </c>
      <c r="V92" s="59" t="str">
        <f>IF(V87="","",#REF!*V87)</f>
        <v/>
      </c>
      <c r="W92" s="59" t="str">
        <f>IF(W87="","",#REF!*W87)</f>
        <v/>
      </c>
      <c r="X92" s="59" t="str">
        <f>IF(X87="","",#REF!*X87)</f>
        <v/>
      </c>
      <c r="Y92" s="59" t="str">
        <f>IF(Y87="","",#REF!*Y87)</f>
        <v/>
      </c>
      <c r="Z92" s="59" t="str">
        <f>IF(Z87="","",#REF!*Z87)</f>
        <v/>
      </c>
      <c r="AA92" s="59" t="str">
        <f>IF(AA87="","",#REF!*AA87)</f>
        <v/>
      </c>
      <c r="AB92" s="59" t="str">
        <f>IF(AB87="","",#REF!*AB87)</f>
        <v/>
      </c>
      <c r="AC92" s="59" t="str">
        <f>IF(AC87="","",#REF!*AC87)</f>
        <v/>
      </c>
      <c r="AD92" s="59" t="str">
        <f>IF(AD87="","",#REF!*AD87)</f>
        <v/>
      </c>
      <c r="AE92" s="59" t="str">
        <f>IF(AE87="","",#REF!*AE87)</f>
        <v/>
      </c>
      <c r="AF92" s="59" t="str">
        <f>IF(AF87="","",#REF!*AF87)</f>
        <v/>
      </c>
      <c r="AG92" s="59" t="str">
        <f>IF(AG87="","",#REF!*AG87)</f>
        <v/>
      </c>
      <c r="AH92" s="59" t="str">
        <f>IF(AH87="","",#REF!*AH87)</f>
        <v/>
      </c>
      <c r="AI92" s="59" t="str">
        <f>IF(AI87="","",#REF!*AI87)</f>
        <v/>
      </c>
      <c r="AJ92" s="59" t="str">
        <f>IF(AJ87="","",#REF!*AJ87)</f>
        <v/>
      </c>
      <c r="AK92" s="59" t="str">
        <f>IF(AK87="","",#REF!*AK87)</f>
        <v/>
      </c>
      <c r="AL92" s="59" t="str">
        <f>IF(AL87="","",#REF!*AL87)</f>
        <v/>
      </c>
      <c r="AM92" s="59" t="str">
        <f>IF(AM87="","",#REF!*AM87)</f>
        <v/>
      </c>
      <c r="AN92" s="59" t="str">
        <f>IF(AN87="","",#REF!*AN87)</f>
        <v/>
      </c>
      <c r="AO92" s="59" t="str">
        <f>IF(AO87="","",#REF!*AO87)</f>
        <v/>
      </c>
      <c r="AP92" s="59" t="str">
        <f>IF(AP87="","",#REF!*AP87)</f>
        <v/>
      </c>
      <c r="AQ92" s="59" t="str">
        <f>IF(AQ87="","",#REF!*AQ87)</f>
        <v/>
      </c>
      <c r="AR92" s="59" t="str">
        <f>IF(AR87="","",#REF!*AR87)</f>
        <v/>
      </c>
      <c r="AS92" s="59" t="str">
        <f>IF(AS87="","",#REF!*AS87)</f>
        <v/>
      </c>
      <c r="AT92" s="59" t="str">
        <f>IF(AT87="","",#REF!*AT87)</f>
        <v/>
      </c>
      <c r="AU92" s="59" t="str">
        <f>IF(AU87="","",#REF!*AU87)</f>
        <v/>
      </c>
      <c r="AV92" s="59" t="str">
        <f>IF(AV87="","",#REF!*AV87)</f>
        <v/>
      </c>
      <c r="AW92" s="59" t="str">
        <f>IF(AW87="","",#REF!*AW87)</f>
        <v/>
      </c>
      <c r="AX92" s="59" t="str">
        <f>IF(AX87="","",#REF!*AX87)</f>
        <v/>
      </c>
    </row>
    <row r="93" spans="1:50" s="1" customFormat="1">
      <c r="A93" s="19">
        <f>IF(A92="","",A92/(A90*100))</f>
        <v>0</v>
      </c>
      <c r="B93" s="60" t="s">
        <v>20</v>
      </c>
      <c r="C93" s="62" t="str">
        <f t="shared" ref="C93:I93" si="236">IF(C92="","",C92/(C90*100))</f>
        <v/>
      </c>
      <c r="D93" s="62" t="str">
        <f t="shared" si="236"/>
        <v/>
      </c>
      <c r="E93" s="62" t="str">
        <f t="shared" si="236"/>
        <v/>
      </c>
      <c r="F93" s="62" t="str">
        <f t="shared" si="236"/>
        <v/>
      </c>
      <c r="G93" s="62" t="str">
        <f t="shared" si="236"/>
        <v/>
      </c>
      <c r="H93" s="62" t="str">
        <f t="shared" si="236"/>
        <v/>
      </c>
      <c r="I93" s="62" t="str">
        <f t="shared" si="236"/>
        <v/>
      </c>
      <c r="J93" s="62" t="str">
        <f t="shared" ref="J93:K93" si="237">IF(J92="","",J92/(J90*100))</f>
        <v/>
      </c>
      <c r="K93" s="62" t="str">
        <f t="shared" si="237"/>
        <v/>
      </c>
      <c r="L93" s="62" t="str">
        <f>IF(L92="","",L92/(L90*100))</f>
        <v/>
      </c>
      <c r="M93" s="62" t="str">
        <f t="shared" ref="M93:N93" si="238">IF(M92="","",M92/(M90*100))</f>
        <v/>
      </c>
      <c r="N93" s="62" t="str">
        <f t="shared" si="238"/>
        <v/>
      </c>
      <c r="O93" s="62" t="str">
        <f t="shared" ref="O93" si="239">IF(O92="","",O92/(O90*100))</f>
        <v/>
      </c>
      <c r="P93" s="62" t="str">
        <f>IF(P92="","",P92/(P90*100))</f>
        <v/>
      </c>
      <c r="Q93" s="62" t="str">
        <f t="shared" ref="Q93:R93" si="240">IF(Q92="","",Q92/(Q90*100))</f>
        <v/>
      </c>
      <c r="R93" s="62" t="str">
        <f t="shared" si="240"/>
        <v/>
      </c>
      <c r="S93" s="62" t="str">
        <f t="shared" ref="S93:AO93" si="241">IF(S92="","",S92/(S90*100))</f>
        <v/>
      </c>
      <c r="T93" s="62" t="str">
        <f t="shared" ref="T93:V93" si="242">IF(T92="","",T92/(T90*100))</f>
        <v/>
      </c>
      <c r="U93" s="62" t="str">
        <f t="shared" si="242"/>
        <v/>
      </c>
      <c r="V93" s="62" t="str">
        <f t="shared" si="242"/>
        <v/>
      </c>
      <c r="W93" s="62" t="str">
        <f t="shared" si="241"/>
        <v/>
      </c>
      <c r="X93" s="62" t="str">
        <f t="shared" ref="X93" si="243">IF(X92="","",X92/(X90*100))</f>
        <v/>
      </c>
      <c r="Y93" s="62" t="str">
        <f t="shared" si="241"/>
        <v/>
      </c>
      <c r="Z93" s="62" t="str">
        <f t="shared" si="241"/>
        <v/>
      </c>
      <c r="AA93" s="62" t="str">
        <f t="shared" si="241"/>
        <v/>
      </c>
      <c r="AB93" s="62" t="str">
        <f t="shared" si="241"/>
        <v/>
      </c>
      <c r="AC93" s="62" t="str">
        <f t="shared" si="241"/>
        <v/>
      </c>
      <c r="AD93" s="62" t="str">
        <f>IF(AD92="","",AD92/(AD90*100))</f>
        <v/>
      </c>
      <c r="AE93" s="62" t="str">
        <f t="shared" si="241"/>
        <v/>
      </c>
      <c r="AF93" s="62" t="str">
        <f t="shared" si="241"/>
        <v/>
      </c>
      <c r="AG93" s="62" t="str">
        <f t="shared" si="241"/>
        <v/>
      </c>
      <c r="AH93" s="62" t="str">
        <f t="shared" si="241"/>
        <v/>
      </c>
      <c r="AI93" s="62" t="str">
        <f t="shared" si="241"/>
        <v/>
      </c>
      <c r="AJ93" s="62" t="str">
        <f t="shared" si="241"/>
        <v/>
      </c>
      <c r="AK93" s="62" t="str">
        <f t="shared" si="241"/>
        <v/>
      </c>
      <c r="AL93" s="62" t="str">
        <f t="shared" si="241"/>
        <v/>
      </c>
      <c r="AM93" s="62" t="str">
        <f t="shared" si="241"/>
        <v/>
      </c>
      <c r="AN93" s="62" t="str">
        <f t="shared" si="241"/>
        <v/>
      </c>
      <c r="AO93" s="62" t="str">
        <f t="shared" si="241"/>
        <v/>
      </c>
      <c r="AP93" s="62" t="str">
        <f t="shared" ref="AP93" si="244">IF(AP92="","",AP92/(AP90*100))</f>
        <v/>
      </c>
      <c r="AQ93" s="62" t="str">
        <f t="shared" ref="AQ93:AX93" si="245">IF(AQ92="","",AQ92/(AQ90*100))</f>
        <v/>
      </c>
      <c r="AR93" s="62" t="str">
        <f t="shared" si="245"/>
        <v/>
      </c>
      <c r="AS93" s="62" t="str">
        <f t="shared" si="245"/>
        <v/>
      </c>
      <c r="AT93" s="62" t="str">
        <f t="shared" si="245"/>
        <v/>
      </c>
      <c r="AU93" s="62" t="str">
        <f t="shared" si="245"/>
        <v/>
      </c>
      <c r="AV93" s="62" t="str">
        <f t="shared" si="245"/>
        <v/>
      </c>
      <c r="AW93" s="62" t="str">
        <f t="shared" si="245"/>
        <v/>
      </c>
      <c r="AX93" s="62" t="str">
        <f t="shared" si="245"/>
        <v/>
      </c>
    </row>
    <row r="94" spans="1:50" s="1" customFormat="1">
      <c r="A94" s="17" t="s">
        <v>78</v>
      </c>
      <c r="B94" s="9" t="s">
        <v>171</v>
      </c>
      <c r="C94" s="8">
        <v>7518</v>
      </c>
      <c r="D94" s="8">
        <v>7518</v>
      </c>
      <c r="E94" s="8">
        <v>7518</v>
      </c>
      <c r="F94" s="8">
        <v>7558</v>
      </c>
      <c r="G94" s="8">
        <v>7558</v>
      </c>
      <c r="H94" s="8">
        <v>7558</v>
      </c>
      <c r="I94" s="8">
        <v>7583</v>
      </c>
      <c r="J94" s="8">
        <v>7583</v>
      </c>
      <c r="K94" s="8">
        <v>7583</v>
      </c>
      <c r="L94" s="8">
        <v>7618</v>
      </c>
      <c r="M94" s="8">
        <v>7618</v>
      </c>
      <c r="N94" s="8">
        <v>7618</v>
      </c>
      <c r="O94" s="8">
        <v>7618</v>
      </c>
      <c r="P94" s="8">
        <v>7708</v>
      </c>
      <c r="Q94" s="8">
        <v>7708</v>
      </c>
      <c r="R94" s="8">
        <v>7708</v>
      </c>
      <c r="S94" s="8">
        <v>7748</v>
      </c>
      <c r="T94" s="8">
        <v>7748</v>
      </c>
      <c r="U94" s="8">
        <v>7748</v>
      </c>
      <c r="V94" s="8">
        <v>7748</v>
      </c>
      <c r="W94" s="8">
        <v>7758</v>
      </c>
      <c r="X94" s="8">
        <v>7758</v>
      </c>
      <c r="Y94" s="8">
        <v>7758</v>
      </c>
      <c r="Z94" s="8">
        <v>7813</v>
      </c>
      <c r="AA94" s="8">
        <v>7813</v>
      </c>
      <c r="AB94" s="8">
        <v>7813</v>
      </c>
      <c r="AC94" s="8">
        <v>7813</v>
      </c>
      <c r="AD94" s="8">
        <v>7833</v>
      </c>
      <c r="AE94" s="8">
        <v>7833</v>
      </c>
      <c r="AF94" s="8">
        <v>7833</v>
      </c>
      <c r="AG94" s="8">
        <v>7858</v>
      </c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s="1" customFormat="1">
      <c r="A95" s="61" t="s">
        <v>172</v>
      </c>
      <c r="B95" s="9" t="s">
        <v>163</v>
      </c>
      <c r="C95" s="8">
        <v>1524</v>
      </c>
      <c r="D95" s="8">
        <v>1524</v>
      </c>
      <c r="E95" s="8">
        <v>1524</v>
      </c>
      <c r="F95" s="8">
        <v>1532</v>
      </c>
      <c r="G95" s="8">
        <v>1532</v>
      </c>
      <c r="H95" s="8">
        <v>1532</v>
      </c>
      <c r="I95" s="8">
        <v>1537</v>
      </c>
      <c r="J95" s="8">
        <v>1537</v>
      </c>
      <c r="K95" s="8">
        <v>1537</v>
      </c>
      <c r="L95" s="8">
        <v>1544</v>
      </c>
      <c r="M95" s="8">
        <v>1544</v>
      </c>
      <c r="N95" s="8">
        <v>1544</v>
      </c>
      <c r="O95" s="8">
        <v>1544</v>
      </c>
      <c r="P95" s="8">
        <v>1562</v>
      </c>
      <c r="Q95" s="8">
        <v>1562</v>
      </c>
      <c r="R95" s="8">
        <v>1562</v>
      </c>
      <c r="S95" s="8">
        <v>1570</v>
      </c>
      <c r="T95" s="8">
        <v>1570</v>
      </c>
      <c r="U95" s="8">
        <v>1570</v>
      </c>
      <c r="V95" s="8">
        <v>1570</v>
      </c>
      <c r="W95" s="8">
        <v>1572</v>
      </c>
      <c r="X95" s="8">
        <v>1572</v>
      </c>
      <c r="Y95" s="8">
        <v>1572</v>
      </c>
      <c r="Z95" s="8">
        <v>1583</v>
      </c>
      <c r="AA95" s="8">
        <v>1583</v>
      </c>
      <c r="AB95" s="8">
        <v>1583</v>
      </c>
      <c r="AC95" s="8">
        <v>1583</v>
      </c>
      <c r="AD95" s="8">
        <v>1587</v>
      </c>
      <c r="AE95" s="8">
        <v>1587</v>
      </c>
      <c r="AF95" s="8">
        <v>1587</v>
      </c>
      <c r="AG95" s="8">
        <v>1592</v>
      </c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s="1" customFormat="1">
      <c r="A96" s="15" t="s">
        <v>174</v>
      </c>
      <c r="B96" s="9" t="s">
        <v>7</v>
      </c>
      <c r="C96" s="7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s="1" customFormat="1">
      <c r="A97" s="14" t="s">
        <v>9</v>
      </c>
      <c r="B97" s="9" t="s">
        <v>8</v>
      </c>
      <c r="C97" s="7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s="11" customFormat="1">
      <c r="A98" s="7">
        <f>AVERAGE(C100:AO100)*30*100</f>
        <v>34000</v>
      </c>
      <c r="B98" s="13" t="s">
        <v>164</v>
      </c>
      <c r="C98" s="75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</row>
    <row r="99" spans="1:50" s="1" customFormat="1">
      <c r="A99" s="10"/>
      <c r="B99" s="9" t="s">
        <v>165</v>
      </c>
      <c r="C99" s="7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s="1" customFormat="1">
      <c r="A100" s="7">
        <f>SUM(C100:AO100)</f>
        <v>340</v>
      </c>
      <c r="B100" s="60" t="s">
        <v>15</v>
      </c>
      <c r="C100" s="74"/>
      <c r="D100" s="59">
        <f t="shared" ref="D100:P100" si="246">IF(D94="","",D94-C94)</f>
        <v>0</v>
      </c>
      <c r="E100" s="59">
        <f t="shared" si="246"/>
        <v>0</v>
      </c>
      <c r="F100" s="59">
        <f t="shared" si="246"/>
        <v>40</v>
      </c>
      <c r="G100" s="59">
        <f t="shared" si="246"/>
        <v>0</v>
      </c>
      <c r="H100" s="59">
        <f t="shared" si="246"/>
        <v>0</v>
      </c>
      <c r="I100" s="59">
        <f t="shared" si="246"/>
        <v>25</v>
      </c>
      <c r="J100" s="59">
        <f t="shared" si="246"/>
        <v>0</v>
      </c>
      <c r="K100" s="59">
        <f t="shared" si="246"/>
        <v>0</v>
      </c>
      <c r="L100" s="59">
        <f t="shared" si="246"/>
        <v>35</v>
      </c>
      <c r="M100" s="59">
        <f t="shared" si="246"/>
        <v>0</v>
      </c>
      <c r="N100" s="59">
        <f t="shared" si="246"/>
        <v>0</v>
      </c>
      <c r="O100" s="59">
        <f t="shared" si="246"/>
        <v>0</v>
      </c>
      <c r="P100" s="59">
        <f t="shared" si="246"/>
        <v>90</v>
      </c>
      <c r="Q100" s="59">
        <f t="shared" ref="Q100:R100" si="247">IF(Q94="","",Q94-P94)</f>
        <v>0</v>
      </c>
      <c r="R100" s="59">
        <f t="shared" si="247"/>
        <v>0</v>
      </c>
      <c r="S100" s="59">
        <f t="shared" ref="S100:AO100" si="248">IF(S94="","",S94-R94)</f>
        <v>40</v>
      </c>
      <c r="T100" s="59">
        <f t="shared" si="248"/>
        <v>0</v>
      </c>
      <c r="U100" s="59">
        <f t="shared" si="248"/>
        <v>0</v>
      </c>
      <c r="V100" s="59">
        <f t="shared" si="248"/>
        <v>0</v>
      </c>
      <c r="W100" s="59">
        <f t="shared" si="248"/>
        <v>10</v>
      </c>
      <c r="X100" s="59">
        <f t="shared" si="248"/>
        <v>0</v>
      </c>
      <c r="Y100" s="59">
        <f t="shared" si="248"/>
        <v>0</v>
      </c>
      <c r="Z100" s="59">
        <f t="shared" si="248"/>
        <v>55</v>
      </c>
      <c r="AA100" s="59">
        <f t="shared" si="248"/>
        <v>0</v>
      </c>
      <c r="AB100" s="59">
        <f t="shared" si="248"/>
        <v>0</v>
      </c>
      <c r="AC100" s="59">
        <f t="shared" si="248"/>
        <v>0</v>
      </c>
      <c r="AD100" s="59">
        <f>IF(AD94="","",AD94-AC94)</f>
        <v>20</v>
      </c>
      <c r="AE100" s="59">
        <f t="shared" si="248"/>
        <v>0</v>
      </c>
      <c r="AF100" s="59">
        <f t="shared" si="248"/>
        <v>0</v>
      </c>
      <c r="AG100" s="59">
        <f t="shared" si="248"/>
        <v>25</v>
      </c>
      <c r="AH100" s="59" t="str">
        <f t="shared" si="248"/>
        <v/>
      </c>
      <c r="AI100" s="59" t="str">
        <f t="shared" si="248"/>
        <v/>
      </c>
      <c r="AJ100" s="59" t="str">
        <f t="shared" si="248"/>
        <v/>
      </c>
      <c r="AK100" s="59" t="str">
        <f t="shared" si="248"/>
        <v/>
      </c>
      <c r="AL100" s="59" t="str">
        <f t="shared" si="248"/>
        <v/>
      </c>
      <c r="AM100" s="59" t="str">
        <f t="shared" si="248"/>
        <v/>
      </c>
      <c r="AN100" s="59" t="str">
        <f t="shared" si="248"/>
        <v/>
      </c>
      <c r="AO100" s="59" t="str">
        <f t="shared" si="248"/>
        <v/>
      </c>
      <c r="AP100" s="59" t="str">
        <f t="shared" ref="AP100:AP101" si="249">IF(AP94="","",AP94-AO94)</f>
        <v/>
      </c>
      <c r="AQ100" s="59" t="str">
        <f t="shared" ref="AQ100:AQ101" si="250">IF(AQ94="","",AQ94-AP94)</f>
        <v/>
      </c>
      <c r="AR100" s="59" t="str">
        <f t="shared" ref="AR100:AR101" si="251">IF(AR94="","",AR94-AQ94)</f>
        <v/>
      </c>
      <c r="AS100" s="59" t="str">
        <f t="shared" ref="AS100:AS101" si="252">IF(AS94="","",AS94-AR94)</f>
        <v/>
      </c>
      <c r="AT100" s="59" t="str">
        <f t="shared" ref="AT100:AT101" si="253">IF(AT94="","",AT94-AS94)</f>
        <v/>
      </c>
      <c r="AU100" s="59" t="str">
        <f t="shared" ref="AU100:AU101" si="254">IF(AU94="","",AU94-AT94)</f>
        <v/>
      </c>
      <c r="AV100" s="59" t="str">
        <f t="shared" ref="AV100:AV101" si="255">IF(AV94="","",AV94-AU94)</f>
        <v/>
      </c>
      <c r="AW100" s="59" t="str">
        <f t="shared" ref="AW100:AW101" si="256">IF(AW94="","",AW94-AV94)</f>
        <v/>
      </c>
      <c r="AX100" s="59" t="str">
        <f t="shared" ref="AX100:AX101" si="257">IF(AX94="","",AX94-AW94)</f>
        <v/>
      </c>
    </row>
    <row r="101" spans="1:50" s="1" customFormat="1">
      <c r="A101" s="7">
        <f>SUM(C101:AO101)</f>
        <v>68</v>
      </c>
      <c r="B101" s="60" t="s">
        <v>167</v>
      </c>
      <c r="C101" s="74"/>
      <c r="D101" s="59">
        <f t="shared" ref="D101:P101" si="258">IF(D95="","",D95-C95)</f>
        <v>0</v>
      </c>
      <c r="E101" s="59">
        <f t="shared" si="258"/>
        <v>0</v>
      </c>
      <c r="F101" s="59">
        <f t="shared" si="258"/>
        <v>8</v>
      </c>
      <c r="G101" s="59">
        <f t="shared" si="258"/>
        <v>0</v>
      </c>
      <c r="H101" s="59">
        <f t="shared" si="258"/>
        <v>0</v>
      </c>
      <c r="I101" s="59">
        <f t="shared" si="258"/>
        <v>5</v>
      </c>
      <c r="J101" s="59">
        <f t="shared" si="258"/>
        <v>0</v>
      </c>
      <c r="K101" s="59">
        <f t="shared" si="258"/>
        <v>0</v>
      </c>
      <c r="L101" s="59">
        <f t="shared" si="258"/>
        <v>7</v>
      </c>
      <c r="M101" s="59">
        <f t="shared" si="258"/>
        <v>0</v>
      </c>
      <c r="N101" s="59">
        <f t="shared" si="258"/>
        <v>0</v>
      </c>
      <c r="O101" s="59">
        <f t="shared" si="258"/>
        <v>0</v>
      </c>
      <c r="P101" s="59">
        <f t="shared" si="258"/>
        <v>18</v>
      </c>
      <c r="Q101" s="59">
        <f t="shared" ref="Q101:R101" si="259">IF(Q95="","",Q95-P95)</f>
        <v>0</v>
      </c>
      <c r="R101" s="59">
        <f t="shared" si="259"/>
        <v>0</v>
      </c>
      <c r="S101" s="59">
        <f t="shared" ref="S101:AO101" si="260">IF(S95="","",S95-R95)</f>
        <v>8</v>
      </c>
      <c r="T101" s="59">
        <f t="shared" si="260"/>
        <v>0</v>
      </c>
      <c r="U101" s="59">
        <f t="shared" si="260"/>
        <v>0</v>
      </c>
      <c r="V101" s="59">
        <f t="shared" si="260"/>
        <v>0</v>
      </c>
      <c r="W101" s="59">
        <f t="shared" si="260"/>
        <v>2</v>
      </c>
      <c r="X101" s="59">
        <f t="shared" si="260"/>
        <v>0</v>
      </c>
      <c r="Y101" s="59">
        <f t="shared" si="260"/>
        <v>0</v>
      </c>
      <c r="Z101" s="59">
        <f t="shared" si="260"/>
        <v>11</v>
      </c>
      <c r="AA101" s="59">
        <f t="shared" si="260"/>
        <v>0</v>
      </c>
      <c r="AB101" s="59">
        <f t="shared" si="260"/>
        <v>0</v>
      </c>
      <c r="AC101" s="59">
        <f t="shared" si="260"/>
        <v>0</v>
      </c>
      <c r="AD101" s="59">
        <f>IF(AD95="","",AD95-AC95)</f>
        <v>4</v>
      </c>
      <c r="AE101" s="59">
        <f t="shared" si="260"/>
        <v>0</v>
      </c>
      <c r="AF101" s="59">
        <f t="shared" si="260"/>
        <v>0</v>
      </c>
      <c r="AG101" s="59">
        <f t="shared" si="260"/>
        <v>5</v>
      </c>
      <c r="AH101" s="59" t="str">
        <f t="shared" si="260"/>
        <v/>
      </c>
      <c r="AI101" s="59" t="str">
        <f t="shared" si="260"/>
        <v/>
      </c>
      <c r="AJ101" s="59" t="str">
        <f t="shared" si="260"/>
        <v/>
      </c>
      <c r="AK101" s="59" t="str">
        <f t="shared" si="260"/>
        <v/>
      </c>
      <c r="AL101" s="59" t="str">
        <f t="shared" si="260"/>
        <v/>
      </c>
      <c r="AM101" s="59" t="str">
        <f t="shared" si="260"/>
        <v/>
      </c>
      <c r="AN101" s="59" t="str">
        <f t="shared" si="260"/>
        <v/>
      </c>
      <c r="AO101" s="59" t="str">
        <f t="shared" si="260"/>
        <v/>
      </c>
      <c r="AP101" s="59" t="str">
        <f t="shared" si="249"/>
        <v/>
      </c>
      <c r="AQ101" s="59" t="str">
        <f t="shared" si="250"/>
        <v/>
      </c>
      <c r="AR101" s="59" t="str">
        <f t="shared" si="251"/>
        <v/>
      </c>
      <c r="AS101" s="59" t="str">
        <f t="shared" si="252"/>
        <v/>
      </c>
      <c r="AT101" s="59" t="str">
        <f t="shared" si="253"/>
        <v/>
      </c>
      <c r="AU101" s="59" t="str">
        <f t="shared" si="254"/>
        <v/>
      </c>
      <c r="AV101" s="59" t="str">
        <f t="shared" si="255"/>
        <v/>
      </c>
      <c r="AW101" s="59" t="str">
        <f t="shared" si="256"/>
        <v/>
      </c>
      <c r="AX101" s="59" t="str">
        <f t="shared" si="257"/>
        <v/>
      </c>
    </row>
    <row r="102" spans="1:50" s="1" customFormat="1">
      <c r="A102" s="7">
        <f>SUM(C102:AO102)</f>
        <v>0</v>
      </c>
      <c r="B102" s="60" t="s">
        <v>18</v>
      </c>
      <c r="C102" s="74"/>
      <c r="D102" s="59" t="str">
        <f>IF(D97="","",#REF!*D97)</f>
        <v/>
      </c>
      <c r="E102" s="59" t="str">
        <f>IF(E97="","",#REF!*E97)</f>
        <v/>
      </c>
      <c r="F102" s="59" t="str">
        <f>IF(F97="","",#REF!*F97)</f>
        <v/>
      </c>
      <c r="G102" s="59" t="str">
        <f>IF(G97="","",#REF!*G97)</f>
        <v/>
      </c>
      <c r="H102" s="59" t="str">
        <f>IF(H97="","",#REF!*H97)</f>
        <v/>
      </c>
      <c r="I102" s="59" t="str">
        <f>IF(I97="","",#REF!*I97)</f>
        <v/>
      </c>
      <c r="J102" s="59" t="str">
        <f>IF(J97="","",#REF!*J97)</f>
        <v/>
      </c>
      <c r="K102" s="59" t="str">
        <f>IF(K97="","",#REF!*K97)</f>
        <v/>
      </c>
      <c r="L102" s="59" t="str">
        <f>IF(L97="","",#REF!*L97)</f>
        <v/>
      </c>
      <c r="M102" s="59" t="str">
        <f>IF(M97="","",#REF!*M97)</f>
        <v/>
      </c>
      <c r="N102" s="59" t="str">
        <f>IF(N97="","",#REF!*N97)</f>
        <v/>
      </c>
      <c r="O102" s="59" t="str">
        <f>IF(O97="","",#REF!*O97)</f>
        <v/>
      </c>
      <c r="P102" s="59" t="str">
        <f>IF(P97="","",#REF!*P97)</f>
        <v/>
      </c>
      <c r="Q102" s="59" t="str">
        <f>IF(Q97="","",#REF!*Q97)</f>
        <v/>
      </c>
      <c r="R102" s="59" t="str">
        <f>IF(R97="","",#REF!*R97)</f>
        <v/>
      </c>
      <c r="S102" s="59" t="str">
        <f>IF(S97="","",#REF!*S97)</f>
        <v/>
      </c>
      <c r="T102" s="59" t="str">
        <f>IF(T97="","",#REF!*T97)</f>
        <v/>
      </c>
      <c r="U102" s="59" t="str">
        <f>IF(U97="","",#REF!*U97)</f>
        <v/>
      </c>
      <c r="V102" s="59" t="str">
        <f>IF(V97="","",#REF!*V97)</f>
        <v/>
      </c>
      <c r="W102" s="59" t="str">
        <f>IF(W97="","",#REF!*W97)</f>
        <v/>
      </c>
      <c r="X102" s="59" t="str">
        <f>IF(X97="","",#REF!*X97)</f>
        <v/>
      </c>
      <c r="Y102" s="59" t="str">
        <f>IF(Y97="","",#REF!*Y97)</f>
        <v/>
      </c>
      <c r="Z102" s="59" t="str">
        <f>IF(Z97="","",#REF!*Z97)</f>
        <v/>
      </c>
      <c r="AA102" s="59" t="str">
        <f>IF(AA97="","",#REF!*AA97)</f>
        <v/>
      </c>
      <c r="AB102" s="59" t="str">
        <f>IF(AB97="","",#REF!*AB97)</f>
        <v/>
      </c>
      <c r="AC102" s="59" t="str">
        <f>IF(AC97="","",#REF!*AC97)</f>
        <v/>
      </c>
      <c r="AD102" s="59" t="str">
        <f>IF(AD97="","",#REF!*AD97)</f>
        <v/>
      </c>
      <c r="AE102" s="59" t="str">
        <f>IF(AE97="","",#REF!*AE97)</f>
        <v/>
      </c>
      <c r="AF102" s="59" t="str">
        <f>IF(AF97="","",#REF!*AF97)</f>
        <v/>
      </c>
      <c r="AG102" s="59" t="str">
        <f>IF(AG97="","",#REF!*AG97)</f>
        <v/>
      </c>
      <c r="AH102" s="59" t="str">
        <f>IF(AH97="","",#REF!*AH97)</f>
        <v/>
      </c>
      <c r="AI102" s="59" t="str">
        <f>IF(AI97="","",#REF!*AI97)</f>
        <v/>
      </c>
      <c r="AJ102" s="59" t="str">
        <f>IF(AJ97="","",#REF!*AJ97)</f>
        <v/>
      </c>
      <c r="AK102" s="59" t="str">
        <f>IF(AK97="","",#REF!*AK97)</f>
        <v/>
      </c>
      <c r="AL102" s="59" t="str">
        <f>IF(AL97="","",#REF!*AL97)</f>
        <v/>
      </c>
      <c r="AM102" s="59" t="str">
        <f>IF(AM97="","",#REF!*AM97)</f>
        <v/>
      </c>
      <c r="AN102" s="59" t="str">
        <f>IF(AN97="","",#REF!*AN97)</f>
        <v/>
      </c>
      <c r="AO102" s="59" t="str">
        <f>IF(AO97="","",#REF!*AO97)</f>
        <v/>
      </c>
      <c r="AP102" s="59" t="str">
        <f>IF(AP97="","",#REF!*AP97)</f>
        <v/>
      </c>
      <c r="AQ102" s="59" t="str">
        <f>IF(AQ97="","",#REF!*AQ97)</f>
        <v/>
      </c>
      <c r="AR102" s="59" t="str">
        <f>IF(AR97="","",#REF!*AR97)</f>
        <v/>
      </c>
      <c r="AS102" s="59" t="str">
        <f>IF(AS97="","",#REF!*AS97)</f>
        <v/>
      </c>
      <c r="AT102" s="59" t="str">
        <f>IF(AT97="","",#REF!*AT97)</f>
        <v/>
      </c>
      <c r="AU102" s="59" t="str">
        <f>IF(AU97="","",#REF!*AU97)</f>
        <v/>
      </c>
      <c r="AV102" s="59" t="str">
        <f>IF(AV97="","",#REF!*AV97)</f>
        <v/>
      </c>
      <c r="AW102" s="59" t="str">
        <f>IF(AW97="","",#REF!*AW97)</f>
        <v/>
      </c>
      <c r="AX102" s="59" t="str">
        <f>IF(AX97="","",#REF!*AX97)</f>
        <v/>
      </c>
    </row>
    <row r="103" spans="1:50" s="1" customFormat="1" ht="12" thickBot="1">
      <c r="A103" s="4">
        <f>IF(A102="","",A102/(A100*100))</f>
        <v>0</v>
      </c>
      <c r="B103" s="58" t="s">
        <v>20</v>
      </c>
      <c r="C103" s="77" t="str">
        <f t="shared" ref="C103:P103" si="261">IF(C102="","",C102/(C100*100))</f>
        <v/>
      </c>
      <c r="D103" s="57" t="str">
        <f t="shared" si="261"/>
        <v/>
      </c>
      <c r="E103" s="57" t="str">
        <f t="shared" si="261"/>
        <v/>
      </c>
      <c r="F103" s="57" t="str">
        <f t="shared" si="261"/>
        <v/>
      </c>
      <c r="G103" s="57" t="str">
        <f t="shared" si="261"/>
        <v/>
      </c>
      <c r="H103" s="57" t="str">
        <f t="shared" si="261"/>
        <v/>
      </c>
      <c r="I103" s="57" t="str">
        <f t="shared" si="261"/>
        <v/>
      </c>
      <c r="J103" s="57" t="str">
        <f t="shared" si="261"/>
        <v/>
      </c>
      <c r="K103" s="57" t="str">
        <f t="shared" si="261"/>
        <v/>
      </c>
      <c r="L103" s="57" t="str">
        <f t="shared" si="261"/>
        <v/>
      </c>
      <c r="M103" s="57" t="str">
        <f t="shared" si="261"/>
        <v/>
      </c>
      <c r="N103" s="57" t="str">
        <f t="shared" si="261"/>
        <v/>
      </c>
      <c r="O103" s="57" t="str">
        <f t="shared" si="261"/>
        <v/>
      </c>
      <c r="P103" s="57" t="str">
        <f t="shared" si="261"/>
        <v/>
      </c>
      <c r="Q103" s="57" t="str">
        <f t="shared" ref="Q103:R103" si="262">IF(Q102="","",Q102/(Q100*100))</f>
        <v/>
      </c>
      <c r="R103" s="57" t="str">
        <f t="shared" si="262"/>
        <v/>
      </c>
      <c r="S103" s="57" t="str">
        <f t="shared" ref="S103:AO103" si="263">IF(S102="","",S102/(S100*100))</f>
        <v/>
      </c>
      <c r="T103" s="57" t="str">
        <f t="shared" si="263"/>
        <v/>
      </c>
      <c r="U103" s="57" t="str">
        <f t="shared" si="263"/>
        <v/>
      </c>
      <c r="V103" s="57" t="str">
        <f t="shared" si="263"/>
        <v/>
      </c>
      <c r="W103" s="57" t="str">
        <f t="shared" si="263"/>
        <v/>
      </c>
      <c r="X103" s="57" t="str">
        <f t="shared" ref="X103" si="264">IF(X102="","",X102/(X100*100))</f>
        <v/>
      </c>
      <c r="Y103" s="57" t="str">
        <f t="shared" si="263"/>
        <v/>
      </c>
      <c r="Z103" s="57" t="str">
        <f t="shared" si="263"/>
        <v/>
      </c>
      <c r="AA103" s="57" t="str">
        <f t="shared" si="263"/>
        <v/>
      </c>
      <c r="AB103" s="57" t="str">
        <f t="shared" si="263"/>
        <v/>
      </c>
      <c r="AC103" s="57" t="str">
        <f t="shared" si="263"/>
        <v/>
      </c>
      <c r="AD103" s="57" t="str">
        <f>IF(AD102="","",AD102/(AD100*100))</f>
        <v/>
      </c>
      <c r="AE103" s="57" t="str">
        <f t="shared" si="263"/>
        <v/>
      </c>
      <c r="AF103" s="57" t="str">
        <f t="shared" si="263"/>
        <v/>
      </c>
      <c r="AG103" s="57" t="str">
        <f t="shared" si="263"/>
        <v/>
      </c>
      <c r="AH103" s="57" t="str">
        <f t="shared" si="263"/>
        <v/>
      </c>
      <c r="AI103" s="57" t="str">
        <f t="shared" si="263"/>
        <v/>
      </c>
      <c r="AJ103" s="57" t="str">
        <f t="shared" si="263"/>
        <v/>
      </c>
      <c r="AK103" s="57" t="str">
        <f t="shared" si="263"/>
        <v/>
      </c>
      <c r="AL103" s="57" t="str">
        <f t="shared" si="263"/>
        <v/>
      </c>
      <c r="AM103" s="57" t="str">
        <f t="shared" si="263"/>
        <v/>
      </c>
      <c r="AN103" s="57" t="str">
        <f t="shared" si="263"/>
        <v/>
      </c>
      <c r="AO103" s="57" t="str">
        <f t="shared" si="263"/>
        <v/>
      </c>
      <c r="AP103" s="57" t="str">
        <f t="shared" ref="AP103" si="265">IF(AP102="","",AP102/(AP100*100))</f>
        <v/>
      </c>
      <c r="AQ103" s="57" t="str">
        <f t="shared" ref="AQ103:AX103" si="266">IF(AQ102="","",AQ102/(AQ100*100))</f>
        <v/>
      </c>
      <c r="AR103" s="57" t="str">
        <f t="shared" si="266"/>
        <v/>
      </c>
      <c r="AS103" s="57" t="str">
        <f t="shared" si="266"/>
        <v/>
      </c>
      <c r="AT103" s="57" t="str">
        <f t="shared" si="266"/>
        <v/>
      </c>
      <c r="AU103" s="57" t="str">
        <f t="shared" si="266"/>
        <v/>
      </c>
      <c r="AV103" s="57" t="str">
        <f t="shared" si="266"/>
        <v/>
      </c>
      <c r="AW103" s="57" t="str">
        <f t="shared" si="266"/>
        <v/>
      </c>
      <c r="AX103" s="57" t="str">
        <f t="shared" si="266"/>
        <v/>
      </c>
    </row>
    <row r="104" spans="1:50" s="1" customFormat="1">
      <c r="A104" s="40" t="s">
        <v>113</v>
      </c>
      <c r="B104" s="39" t="s">
        <v>161</v>
      </c>
      <c r="C104" s="38"/>
      <c r="D104" s="38"/>
      <c r="E104" s="38"/>
      <c r="F104" s="38"/>
      <c r="G104" s="38">
        <v>8650</v>
      </c>
      <c r="H104" s="66">
        <v>8650</v>
      </c>
      <c r="I104" s="38">
        <v>8664</v>
      </c>
      <c r="J104" s="38">
        <v>8672</v>
      </c>
      <c r="K104" s="38">
        <v>8672</v>
      </c>
      <c r="L104" s="38">
        <v>8682</v>
      </c>
      <c r="M104" s="38">
        <v>8688</v>
      </c>
      <c r="N104" s="38">
        <v>8688</v>
      </c>
      <c r="O104" s="38">
        <v>8691</v>
      </c>
      <c r="P104" s="38">
        <v>8699</v>
      </c>
      <c r="Q104" s="38">
        <v>8699</v>
      </c>
      <c r="R104" s="38">
        <v>8699</v>
      </c>
      <c r="S104" s="38">
        <v>8699</v>
      </c>
      <c r="T104" s="38">
        <v>8715</v>
      </c>
      <c r="U104" s="38">
        <v>8718</v>
      </c>
      <c r="V104" s="38">
        <v>8718</v>
      </c>
      <c r="W104" s="38">
        <v>8725</v>
      </c>
      <c r="X104" s="38">
        <v>8725</v>
      </c>
      <c r="Y104" s="38">
        <v>8729</v>
      </c>
      <c r="Z104" s="38">
        <v>8729</v>
      </c>
      <c r="AA104" s="38">
        <v>8743</v>
      </c>
      <c r="AB104" s="38">
        <v>8743</v>
      </c>
      <c r="AC104" s="38">
        <v>8743</v>
      </c>
      <c r="AD104" s="38">
        <v>8755</v>
      </c>
      <c r="AE104" s="38">
        <v>8761</v>
      </c>
      <c r="AF104" s="38">
        <v>8761</v>
      </c>
      <c r="AG104" s="38">
        <v>8761</v>
      </c>
      <c r="AH104" s="38">
        <v>8761</v>
      </c>
      <c r="AI104" s="38">
        <v>8786</v>
      </c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</row>
    <row r="105" spans="1:50" s="1" customFormat="1">
      <c r="A105" s="56" t="s">
        <v>170</v>
      </c>
      <c r="B105" s="30" t="s">
        <v>163</v>
      </c>
      <c r="C105" s="29"/>
      <c r="D105" s="29"/>
      <c r="E105" s="29"/>
      <c r="F105" s="29"/>
      <c r="G105" s="29">
        <v>8605</v>
      </c>
      <c r="H105" s="65">
        <v>8605</v>
      </c>
      <c r="I105" s="29">
        <v>8619</v>
      </c>
      <c r="J105" s="29">
        <v>8627</v>
      </c>
      <c r="K105" s="29">
        <v>8627</v>
      </c>
      <c r="L105" s="29">
        <v>8637</v>
      </c>
      <c r="M105" s="29">
        <v>8643</v>
      </c>
      <c r="N105" s="29">
        <v>8643</v>
      </c>
      <c r="O105" s="29">
        <v>8646</v>
      </c>
      <c r="P105" s="29">
        <v>8654</v>
      </c>
      <c r="Q105" s="29">
        <v>8654</v>
      </c>
      <c r="R105" s="29">
        <v>8654</v>
      </c>
      <c r="S105" s="29">
        <v>8654</v>
      </c>
      <c r="T105" s="29">
        <v>8670</v>
      </c>
      <c r="U105" s="29">
        <v>8673</v>
      </c>
      <c r="V105" s="29">
        <v>8673</v>
      </c>
      <c r="W105" s="29">
        <v>8680</v>
      </c>
      <c r="X105" s="29">
        <v>8680</v>
      </c>
      <c r="Y105" s="29">
        <v>8684</v>
      </c>
      <c r="Z105" s="29">
        <v>8684</v>
      </c>
      <c r="AA105" s="29">
        <v>8698</v>
      </c>
      <c r="AB105" s="29">
        <v>8698</v>
      </c>
      <c r="AC105" s="29">
        <v>8698</v>
      </c>
      <c r="AD105" s="29">
        <v>8710</v>
      </c>
      <c r="AE105" s="29">
        <v>8716</v>
      </c>
      <c r="AF105" s="29">
        <v>8716</v>
      </c>
      <c r="AG105" s="29">
        <v>8716</v>
      </c>
      <c r="AH105" s="29">
        <v>8716</v>
      </c>
      <c r="AI105" s="29">
        <v>8741</v>
      </c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</row>
    <row r="106" spans="1:50" s="1" customFormat="1">
      <c r="A106" s="36" t="s">
        <v>9</v>
      </c>
      <c r="B106" s="30" t="s">
        <v>7</v>
      </c>
      <c r="C106" s="29"/>
      <c r="D106" s="29"/>
      <c r="E106" s="29"/>
      <c r="F106" s="29"/>
      <c r="G106" s="29"/>
      <c r="H106" s="65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</row>
    <row r="107" spans="1:50" s="1" customFormat="1">
      <c r="A107" s="28">
        <f>AVERAGE(C110:AO110)*30*1000</f>
        <v>145714.28571428568</v>
      </c>
      <c r="B107" s="30" t="s">
        <v>8</v>
      </c>
      <c r="C107" s="29"/>
      <c r="D107" s="29"/>
      <c r="E107" s="29"/>
      <c r="F107" s="29"/>
      <c r="G107" s="29"/>
      <c r="H107" s="65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</row>
    <row r="108" spans="1:50" s="11" customFormat="1">
      <c r="A108" s="34"/>
      <c r="B108" s="33" t="s">
        <v>164</v>
      </c>
      <c r="C108" s="32"/>
      <c r="D108" s="32"/>
      <c r="E108" s="32"/>
      <c r="F108" s="32"/>
      <c r="G108" s="32"/>
      <c r="H108" s="63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</row>
    <row r="109" spans="1:50" s="1" customFormat="1">
      <c r="A109" s="31"/>
      <c r="B109" s="30" t="s">
        <v>165</v>
      </c>
      <c r="C109" s="29"/>
      <c r="D109" s="29"/>
      <c r="E109" s="29"/>
      <c r="F109" s="29"/>
      <c r="G109" s="29"/>
      <c r="H109" s="65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</row>
    <row r="110" spans="1:50" s="1" customFormat="1">
      <c r="A110" s="28">
        <f>SUM(C110:AO110)</f>
        <v>136</v>
      </c>
      <c r="B110" s="55" t="s">
        <v>166</v>
      </c>
      <c r="C110" s="54"/>
      <c r="D110" s="54"/>
      <c r="E110" s="54"/>
      <c r="F110" s="54"/>
      <c r="G110" s="54"/>
      <c r="H110" s="65">
        <f t="shared" ref="H110:J111" si="267">IF(H104="","",H104-G104)</f>
        <v>0</v>
      </c>
      <c r="I110" s="54">
        <f t="shared" si="267"/>
        <v>14</v>
      </c>
      <c r="J110" s="54">
        <f t="shared" si="267"/>
        <v>8</v>
      </c>
      <c r="K110" s="54">
        <f t="shared" ref="K110:K111" si="268">IF(K104="","",K104-J104)</f>
        <v>0</v>
      </c>
      <c r="L110" s="54">
        <f t="shared" ref="L110:P111" si="269">IF(L104="","",L104-K104)</f>
        <v>10</v>
      </c>
      <c r="M110" s="54">
        <f t="shared" si="269"/>
        <v>6</v>
      </c>
      <c r="N110" s="54">
        <f t="shared" si="269"/>
        <v>0</v>
      </c>
      <c r="O110" s="54">
        <f t="shared" si="269"/>
        <v>3</v>
      </c>
      <c r="P110" s="54">
        <f t="shared" si="269"/>
        <v>8</v>
      </c>
      <c r="Q110" s="54">
        <f t="shared" ref="Q110:S110" si="270">IF(Q104="","",Q104-P104)</f>
        <v>0</v>
      </c>
      <c r="R110" s="54">
        <f t="shared" si="270"/>
        <v>0</v>
      </c>
      <c r="S110" s="54">
        <f t="shared" si="270"/>
        <v>0</v>
      </c>
      <c r="T110" s="54">
        <f t="shared" ref="T110:AO110" si="271">IF(T104="","",T104-S104)</f>
        <v>16</v>
      </c>
      <c r="U110" s="54">
        <f t="shared" si="271"/>
        <v>3</v>
      </c>
      <c r="V110" s="54">
        <f t="shared" si="271"/>
        <v>0</v>
      </c>
      <c r="W110" s="54">
        <f t="shared" si="271"/>
        <v>7</v>
      </c>
      <c r="X110" s="54">
        <f t="shared" si="271"/>
        <v>0</v>
      </c>
      <c r="Y110" s="54">
        <f t="shared" si="271"/>
        <v>4</v>
      </c>
      <c r="Z110" s="54">
        <f t="shared" si="271"/>
        <v>0</v>
      </c>
      <c r="AA110" s="54">
        <f t="shared" si="271"/>
        <v>14</v>
      </c>
      <c r="AB110" s="54">
        <f t="shared" si="271"/>
        <v>0</v>
      </c>
      <c r="AC110" s="54">
        <f t="shared" si="271"/>
        <v>0</v>
      </c>
      <c r="AD110" s="54">
        <f t="shared" si="271"/>
        <v>12</v>
      </c>
      <c r="AE110" s="54">
        <f t="shared" si="271"/>
        <v>6</v>
      </c>
      <c r="AF110" s="54">
        <f t="shared" si="271"/>
        <v>0</v>
      </c>
      <c r="AG110" s="54">
        <f t="shared" si="271"/>
        <v>0</v>
      </c>
      <c r="AH110" s="54">
        <f t="shared" si="271"/>
        <v>0</v>
      </c>
      <c r="AI110" s="54">
        <f t="shared" si="271"/>
        <v>25</v>
      </c>
      <c r="AJ110" s="54" t="str">
        <f t="shared" si="271"/>
        <v/>
      </c>
      <c r="AK110" s="54" t="str">
        <f t="shared" si="271"/>
        <v/>
      </c>
      <c r="AL110" s="54" t="str">
        <f t="shared" si="271"/>
        <v/>
      </c>
      <c r="AM110" s="54" t="str">
        <f t="shared" si="271"/>
        <v/>
      </c>
      <c r="AN110" s="54" t="str">
        <f t="shared" si="271"/>
        <v/>
      </c>
      <c r="AO110" s="54" t="str">
        <f t="shared" si="271"/>
        <v/>
      </c>
      <c r="AP110" s="54" t="str">
        <f t="shared" ref="AP110:AP111" si="272">IF(AP104="","",AP104-AO104)</f>
        <v/>
      </c>
      <c r="AQ110" s="54" t="str">
        <f t="shared" ref="AQ110:AQ111" si="273">IF(AQ104="","",AQ104-AP104)</f>
        <v/>
      </c>
      <c r="AR110" s="54" t="str">
        <f t="shared" ref="AR110:AR111" si="274">IF(AR104="","",AR104-AQ104)</f>
        <v/>
      </c>
      <c r="AS110" s="54" t="str">
        <f t="shared" ref="AS110:AS111" si="275">IF(AS104="","",AS104-AR104)</f>
        <v/>
      </c>
      <c r="AT110" s="54" t="str">
        <f t="shared" ref="AT110:AT111" si="276">IF(AT104="","",AT104-AS104)</f>
        <v/>
      </c>
      <c r="AU110" s="54" t="str">
        <f t="shared" ref="AU110:AU111" si="277">IF(AU104="","",AU104-AT104)</f>
        <v/>
      </c>
      <c r="AV110" s="54" t="str">
        <f t="shared" ref="AV110:AV111" si="278">IF(AV104="","",AV104-AU104)</f>
        <v/>
      </c>
      <c r="AW110" s="54" t="str">
        <f t="shared" ref="AW110:AW111" si="279">IF(AW104="","",AW104-AV104)</f>
        <v/>
      </c>
      <c r="AX110" s="54" t="str">
        <f t="shared" ref="AX110:AX111" si="280">IF(AX104="","",AX104-AW104)</f>
        <v/>
      </c>
    </row>
    <row r="111" spans="1:50" s="1" customFormat="1">
      <c r="A111" s="28">
        <f>SUM(C111:AO111)</f>
        <v>136</v>
      </c>
      <c r="B111" s="55" t="s">
        <v>167</v>
      </c>
      <c r="C111" s="54"/>
      <c r="D111" s="54"/>
      <c r="E111" s="54"/>
      <c r="F111" s="54"/>
      <c r="G111" s="54"/>
      <c r="H111" s="65">
        <f t="shared" si="267"/>
        <v>0</v>
      </c>
      <c r="I111" s="54">
        <f t="shared" si="267"/>
        <v>14</v>
      </c>
      <c r="J111" s="54">
        <f t="shared" si="267"/>
        <v>8</v>
      </c>
      <c r="K111" s="54">
        <f t="shared" si="268"/>
        <v>0</v>
      </c>
      <c r="L111" s="54">
        <f t="shared" si="269"/>
        <v>10</v>
      </c>
      <c r="M111" s="54">
        <f t="shared" si="269"/>
        <v>6</v>
      </c>
      <c r="N111" s="54">
        <f t="shared" si="269"/>
        <v>0</v>
      </c>
      <c r="O111" s="54">
        <f t="shared" si="269"/>
        <v>3</v>
      </c>
      <c r="P111" s="54">
        <f t="shared" si="269"/>
        <v>8</v>
      </c>
      <c r="Q111" s="54">
        <f t="shared" ref="Q111:S111" si="281">IF(Q105="","",Q105-P105)</f>
        <v>0</v>
      </c>
      <c r="R111" s="54">
        <f t="shared" si="281"/>
        <v>0</v>
      </c>
      <c r="S111" s="54">
        <f t="shared" si="281"/>
        <v>0</v>
      </c>
      <c r="T111" s="54">
        <f t="shared" ref="T111:AO111" si="282">IF(T105="","",T105-S105)</f>
        <v>16</v>
      </c>
      <c r="U111" s="54">
        <f t="shared" si="282"/>
        <v>3</v>
      </c>
      <c r="V111" s="54">
        <f t="shared" si="282"/>
        <v>0</v>
      </c>
      <c r="W111" s="54">
        <f t="shared" si="282"/>
        <v>7</v>
      </c>
      <c r="X111" s="54">
        <f t="shared" si="282"/>
        <v>0</v>
      </c>
      <c r="Y111" s="54">
        <f t="shared" si="282"/>
        <v>4</v>
      </c>
      <c r="Z111" s="54">
        <f t="shared" si="282"/>
        <v>0</v>
      </c>
      <c r="AA111" s="54">
        <f t="shared" si="282"/>
        <v>14</v>
      </c>
      <c r="AB111" s="54">
        <f t="shared" si="282"/>
        <v>0</v>
      </c>
      <c r="AC111" s="54">
        <f t="shared" si="282"/>
        <v>0</v>
      </c>
      <c r="AD111" s="54">
        <f t="shared" si="282"/>
        <v>12</v>
      </c>
      <c r="AE111" s="54">
        <f t="shared" si="282"/>
        <v>6</v>
      </c>
      <c r="AF111" s="54">
        <f t="shared" si="282"/>
        <v>0</v>
      </c>
      <c r="AG111" s="54">
        <f t="shared" si="282"/>
        <v>0</v>
      </c>
      <c r="AH111" s="54">
        <f t="shared" si="282"/>
        <v>0</v>
      </c>
      <c r="AI111" s="54">
        <f t="shared" si="282"/>
        <v>25</v>
      </c>
      <c r="AJ111" s="54" t="str">
        <f t="shared" si="282"/>
        <v/>
      </c>
      <c r="AK111" s="54" t="str">
        <f t="shared" si="282"/>
        <v/>
      </c>
      <c r="AL111" s="54" t="str">
        <f t="shared" si="282"/>
        <v/>
      </c>
      <c r="AM111" s="54" t="str">
        <f t="shared" si="282"/>
        <v/>
      </c>
      <c r="AN111" s="54" t="str">
        <f t="shared" si="282"/>
        <v/>
      </c>
      <c r="AO111" s="54" t="str">
        <f t="shared" si="282"/>
        <v/>
      </c>
      <c r="AP111" s="54" t="str">
        <f t="shared" si="272"/>
        <v/>
      </c>
      <c r="AQ111" s="54" t="str">
        <f t="shared" si="273"/>
        <v/>
      </c>
      <c r="AR111" s="54" t="str">
        <f t="shared" si="274"/>
        <v/>
      </c>
      <c r="AS111" s="54" t="str">
        <f t="shared" si="275"/>
        <v/>
      </c>
      <c r="AT111" s="54" t="str">
        <f t="shared" si="276"/>
        <v/>
      </c>
      <c r="AU111" s="54" t="str">
        <f t="shared" si="277"/>
        <v/>
      </c>
      <c r="AV111" s="54" t="str">
        <f t="shared" si="278"/>
        <v/>
      </c>
      <c r="AW111" s="54" t="str">
        <f t="shared" si="279"/>
        <v/>
      </c>
      <c r="AX111" s="54" t="str">
        <f t="shared" si="280"/>
        <v/>
      </c>
    </row>
    <row r="112" spans="1:50" s="1" customFormat="1">
      <c r="A112" s="28">
        <f>SUM(C112:AO112)</f>
        <v>0</v>
      </c>
      <c r="B112" s="55" t="s">
        <v>18</v>
      </c>
      <c r="C112" s="54"/>
      <c r="D112" s="54"/>
      <c r="E112" s="54"/>
      <c r="F112" s="54"/>
      <c r="G112" s="54"/>
      <c r="H112" s="65" t="str">
        <f>IF(H107="","",H111*H107)</f>
        <v/>
      </c>
      <c r="I112" s="54" t="str">
        <f>IF(I107="","",I111*I107)</f>
        <v/>
      </c>
      <c r="J112" s="54" t="str">
        <f>IF(J107="","",J111*J107)</f>
        <v/>
      </c>
      <c r="K112" s="54" t="str">
        <f t="shared" ref="K112" si="283">IF(K107="","",K111*K107)</f>
        <v/>
      </c>
      <c r="L112" s="54" t="str">
        <f>IF(L107="","",L111*L107)</f>
        <v/>
      </c>
      <c r="M112" s="54" t="str">
        <f>IF(M107="","",M111*M107)</f>
        <v/>
      </c>
      <c r="N112" s="54" t="str">
        <f>IF(N107="","",N111*N107)</f>
        <v/>
      </c>
      <c r="O112" s="54" t="str">
        <f>IF(O107="","",O111*O107)</f>
        <v/>
      </c>
      <c r="P112" s="54" t="str">
        <f>IF(P107="","",P111*P107)</f>
        <v/>
      </c>
      <c r="Q112" s="54" t="str">
        <f t="shared" ref="Q112:R112" si="284">IF(Q107="","",Q111*Q107)</f>
        <v/>
      </c>
      <c r="R112" s="54" t="str">
        <f t="shared" si="284"/>
        <v/>
      </c>
      <c r="S112" s="54" t="str">
        <f t="shared" ref="S112" si="285">IF(S107="","",S111*S107)</f>
        <v/>
      </c>
      <c r="T112" s="54" t="str">
        <f t="shared" ref="T112:AO112" si="286">IF(T107="","",T111*T107)</f>
        <v/>
      </c>
      <c r="U112" s="54" t="str">
        <f t="shared" si="286"/>
        <v/>
      </c>
      <c r="V112" s="54" t="str">
        <f t="shared" si="286"/>
        <v/>
      </c>
      <c r="W112" s="54" t="str">
        <f t="shared" si="286"/>
        <v/>
      </c>
      <c r="X112" s="54" t="str">
        <f t="shared" ref="X112" si="287">IF(X107="","",X111*X107)</f>
        <v/>
      </c>
      <c r="Y112" s="54" t="str">
        <f t="shared" si="286"/>
        <v/>
      </c>
      <c r="Z112" s="54" t="str">
        <f t="shared" ref="Z112" si="288">IF(Z107="","",Z111*Z107)</f>
        <v/>
      </c>
      <c r="AA112" s="54" t="str">
        <f t="shared" si="286"/>
        <v/>
      </c>
      <c r="AB112" s="54" t="str">
        <f t="shared" si="286"/>
        <v/>
      </c>
      <c r="AC112" s="54" t="str">
        <f t="shared" si="286"/>
        <v/>
      </c>
      <c r="AD112" s="54" t="str">
        <f t="shared" si="286"/>
        <v/>
      </c>
      <c r="AE112" s="54" t="str">
        <f t="shared" si="286"/>
        <v/>
      </c>
      <c r="AF112" s="54" t="str">
        <f t="shared" si="286"/>
        <v/>
      </c>
      <c r="AG112" s="54" t="str">
        <f t="shared" si="286"/>
        <v/>
      </c>
      <c r="AH112" s="54" t="str">
        <f t="shared" si="286"/>
        <v/>
      </c>
      <c r="AI112" s="54" t="str">
        <f t="shared" si="286"/>
        <v/>
      </c>
      <c r="AJ112" s="54" t="str">
        <f t="shared" si="286"/>
        <v/>
      </c>
      <c r="AK112" s="54" t="str">
        <f t="shared" si="286"/>
        <v/>
      </c>
      <c r="AL112" s="54" t="str">
        <f t="shared" si="286"/>
        <v/>
      </c>
      <c r="AM112" s="54" t="str">
        <f t="shared" si="286"/>
        <v/>
      </c>
      <c r="AN112" s="54" t="str">
        <f t="shared" si="286"/>
        <v/>
      </c>
      <c r="AO112" s="54" t="str">
        <f t="shared" si="286"/>
        <v/>
      </c>
      <c r="AP112" s="54" t="str">
        <f t="shared" ref="AP112" si="289">IF(AP107="","",AP111*AP107)</f>
        <v/>
      </c>
      <c r="AQ112" s="54" t="str">
        <f t="shared" ref="AQ112:AX112" si="290">IF(AQ107="","",AQ111*AQ107)</f>
        <v/>
      </c>
      <c r="AR112" s="54" t="str">
        <f t="shared" si="290"/>
        <v/>
      </c>
      <c r="AS112" s="54" t="str">
        <f t="shared" si="290"/>
        <v/>
      </c>
      <c r="AT112" s="54" t="str">
        <f t="shared" si="290"/>
        <v/>
      </c>
      <c r="AU112" s="54" t="str">
        <f t="shared" si="290"/>
        <v/>
      </c>
      <c r="AV112" s="54" t="str">
        <f t="shared" si="290"/>
        <v/>
      </c>
      <c r="AW112" s="54" t="str">
        <f t="shared" si="290"/>
        <v/>
      </c>
      <c r="AX112" s="54" t="str">
        <f t="shared" si="290"/>
        <v/>
      </c>
    </row>
    <row r="113" spans="1:50" s="1" customFormat="1" ht="12" thickBot="1">
      <c r="A113" s="25">
        <f>IF(A112="","",A112/(A110*100))</f>
        <v>0</v>
      </c>
      <c r="B113" s="53" t="s">
        <v>20</v>
      </c>
      <c r="C113" s="52"/>
      <c r="D113" s="52"/>
      <c r="E113" s="52"/>
      <c r="F113" s="52"/>
      <c r="G113" s="52" t="str">
        <f>IF(G112="","",G112/(G110*100))</f>
        <v/>
      </c>
      <c r="H113" s="67" t="str">
        <f>IF(H112="","",H112/(H110*100))</f>
        <v/>
      </c>
      <c r="I113" s="52" t="str">
        <f>IF(I112="","",I112/(I110*100))</f>
        <v/>
      </c>
      <c r="J113" s="52" t="str">
        <f>IF(J112="","",J112/(J110*100))</f>
        <v/>
      </c>
      <c r="K113" s="52" t="str">
        <f t="shared" ref="K113" si="291">IF(K112="","",K112/(K110*100))</f>
        <v/>
      </c>
      <c r="L113" s="52" t="str">
        <f>IF(L112="","",L112/(L110*100))</f>
        <v/>
      </c>
      <c r="M113" s="52" t="str">
        <f>IF(M112="","",M112/(M110*100))</f>
        <v/>
      </c>
      <c r="N113" s="52" t="str">
        <f>IF(N112="","",N112/(N110*100))</f>
        <v/>
      </c>
      <c r="O113" s="52" t="str">
        <f>IF(O112="","",O112/(O110*100))</f>
        <v/>
      </c>
      <c r="P113" s="52" t="str">
        <f>IF(P112="","",P112/(P110*100))</f>
        <v/>
      </c>
      <c r="Q113" s="52" t="str">
        <f t="shared" ref="Q113:R113" si="292">IF(Q112="","",Q112/(Q110*100))</f>
        <v/>
      </c>
      <c r="R113" s="52" t="str">
        <f t="shared" si="292"/>
        <v/>
      </c>
      <c r="S113" s="52" t="str">
        <f t="shared" ref="S113" si="293">IF(S112="","",S112/(S110*100))</f>
        <v/>
      </c>
      <c r="T113" s="52" t="str">
        <f t="shared" ref="T113:AO113" si="294">IF(T112="","",T112/(T110*100))</f>
        <v/>
      </c>
      <c r="U113" s="52" t="str">
        <f t="shared" si="294"/>
        <v/>
      </c>
      <c r="V113" s="52" t="str">
        <f t="shared" si="294"/>
        <v/>
      </c>
      <c r="W113" s="52" t="str">
        <f t="shared" si="294"/>
        <v/>
      </c>
      <c r="X113" s="52" t="str">
        <f t="shared" ref="X113" si="295">IF(X112="","",X112/(X110*100))</f>
        <v/>
      </c>
      <c r="Y113" s="52" t="str">
        <f t="shared" si="294"/>
        <v/>
      </c>
      <c r="Z113" s="52" t="str">
        <f t="shared" ref="Z113" si="296">IF(Z112="","",Z112/(Z110*100))</f>
        <v/>
      </c>
      <c r="AA113" s="52" t="str">
        <f t="shared" si="294"/>
        <v/>
      </c>
      <c r="AB113" s="52" t="str">
        <f t="shared" si="294"/>
        <v/>
      </c>
      <c r="AC113" s="52" t="str">
        <f t="shared" si="294"/>
        <v/>
      </c>
      <c r="AD113" s="52" t="str">
        <f t="shared" si="294"/>
        <v/>
      </c>
      <c r="AE113" s="52" t="str">
        <f t="shared" si="294"/>
        <v/>
      </c>
      <c r="AF113" s="52" t="str">
        <f t="shared" si="294"/>
        <v/>
      </c>
      <c r="AG113" s="52" t="str">
        <f t="shared" si="294"/>
        <v/>
      </c>
      <c r="AH113" s="52" t="str">
        <f t="shared" si="294"/>
        <v/>
      </c>
      <c r="AI113" s="52" t="str">
        <f t="shared" si="294"/>
        <v/>
      </c>
      <c r="AJ113" s="52" t="str">
        <f t="shared" si="294"/>
        <v/>
      </c>
      <c r="AK113" s="52" t="str">
        <f t="shared" si="294"/>
        <v/>
      </c>
      <c r="AL113" s="52" t="str">
        <f t="shared" si="294"/>
        <v/>
      </c>
      <c r="AM113" s="52" t="str">
        <f t="shared" si="294"/>
        <v/>
      </c>
      <c r="AN113" s="52" t="str">
        <f t="shared" si="294"/>
        <v/>
      </c>
      <c r="AO113" s="52" t="str">
        <f t="shared" si="294"/>
        <v/>
      </c>
      <c r="AP113" s="52" t="str">
        <f t="shared" ref="AP113" si="297">IF(AP112="","",AP112/(AP110*100))</f>
        <v/>
      </c>
      <c r="AQ113" s="52" t="str">
        <f t="shared" ref="AQ113:AX113" si="298">IF(AQ112="","",AQ112/(AQ110*100))</f>
        <v/>
      </c>
      <c r="AR113" s="52" t="str">
        <f t="shared" si="298"/>
        <v/>
      </c>
      <c r="AS113" s="52" t="str">
        <f t="shared" si="298"/>
        <v/>
      </c>
      <c r="AT113" s="52" t="str">
        <f t="shared" si="298"/>
        <v/>
      </c>
      <c r="AU113" s="52" t="str">
        <f t="shared" si="298"/>
        <v/>
      </c>
      <c r="AV113" s="52" t="str">
        <f t="shared" si="298"/>
        <v/>
      </c>
      <c r="AW113" s="52" t="str">
        <f t="shared" si="298"/>
        <v/>
      </c>
      <c r="AX113" s="52" t="str">
        <f t="shared" si="298"/>
        <v/>
      </c>
    </row>
    <row r="114" spans="1:50" s="1" customFormat="1">
      <c r="A114" s="40" t="s">
        <v>113</v>
      </c>
      <c r="B114" s="39" t="s">
        <v>161</v>
      </c>
      <c r="C114" s="38"/>
      <c r="D114" s="38"/>
      <c r="E114" s="38"/>
      <c r="F114" s="38"/>
      <c r="G114" s="38">
        <v>9868</v>
      </c>
      <c r="H114" s="66">
        <v>9868</v>
      </c>
      <c r="I114" s="38">
        <v>9874</v>
      </c>
      <c r="J114" s="38">
        <v>9876</v>
      </c>
      <c r="K114" s="38">
        <v>9876</v>
      </c>
      <c r="L114" s="38">
        <v>9882</v>
      </c>
      <c r="M114" s="38">
        <v>9890</v>
      </c>
      <c r="N114" s="38">
        <v>9890</v>
      </c>
      <c r="O114" s="38">
        <v>9904</v>
      </c>
      <c r="P114" s="38">
        <v>9906</v>
      </c>
      <c r="Q114" s="38">
        <v>9906</v>
      </c>
      <c r="R114" s="38">
        <v>9906</v>
      </c>
      <c r="S114" s="38">
        <v>9906</v>
      </c>
      <c r="T114" s="38">
        <v>9932</v>
      </c>
      <c r="U114" s="38">
        <v>9940</v>
      </c>
      <c r="V114" s="38">
        <v>9940</v>
      </c>
      <c r="W114" s="38">
        <v>9954</v>
      </c>
      <c r="X114" s="38">
        <v>9954</v>
      </c>
      <c r="Y114" s="38">
        <v>9972</v>
      </c>
      <c r="Z114" s="38">
        <v>9972</v>
      </c>
      <c r="AA114" s="38">
        <v>9978</v>
      </c>
      <c r="AB114" s="38">
        <v>9978</v>
      </c>
      <c r="AC114" s="38">
        <v>9978</v>
      </c>
      <c r="AD114" s="38">
        <v>9978</v>
      </c>
      <c r="AE114" s="38">
        <v>9984</v>
      </c>
      <c r="AF114" s="38">
        <v>9984</v>
      </c>
      <c r="AG114" s="38">
        <v>9984</v>
      </c>
      <c r="AH114" s="38">
        <v>9984</v>
      </c>
      <c r="AI114" s="38">
        <v>9984</v>
      </c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</row>
    <row r="115" spans="1:50" s="1" customFormat="1">
      <c r="A115" s="56" t="s">
        <v>162</v>
      </c>
      <c r="B115" s="30" t="s">
        <v>163</v>
      </c>
      <c r="C115" s="29"/>
      <c r="D115" s="29"/>
      <c r="E115" s="29"/>
      <c r="F115" s="29"/>
      <c r="G115" s="29">
        <v>906</v>
      </c>
      <c r="H115" s="65">
        <v>906</v>
      </c>
      <c r="I115" s="29">
        <v>906</v>
      </c>
      <c r="J115" s="29">
        <v>906</v>
      </c>
      <c r="K115" s="29">
        <v>906</v>
      </c>
      <c r="L115" s="29">
        <v>906</v>
      </c>
      <c r="M115" s="29">
        <v>906</v>
      </c>
      <c r="N115" s="29">
        <v>906</v>
      </c>
      <c r="O115" s="29">
        <v>906</v>
      </c>
      <c r="P115" s="29">
        <v>906</v>
      </c>
      <c r="Q115" s="29">
        <v>906</v>
      </c>
      <c r="R115" s="29">
        <v>906</v>
      </c>
      <c r="S115" s="29">
        <v>906</v>
      </c>
      <c r="T115" s="29">
        <v>906</v>
      </c>
      <c r="U115" s="29">
        <v>906</v>
      </c>
      <c r="V115" s="29">
        <v>906</v>
      </c>
      <c r="W115" s="29">
        <v>906</v>
      </c>
      <c r="X115" s="29">
        <v>906</v>
      </c>
      <c r="Y115" s="29">
        <v>906</v>
      </c>
      <c r="Z115" s="29">
        <v>906</v>
      </c>
      <c r="AA115" s="29">
        <v>906</v>
      </c>
      <c r="AB115" s="29">
        <v>906</v>
      </c>
      <c r="AC115" s="29">
        <v>906</v>
      </c>
      <c r="AD115" s="29">
        <v>906</v>
      </c>
      <c r="AE115" s="29">
        <v>906</v>
      </c>
      <c r="AF115" s="29">
        <v>906</v>
      </c>
      <c r="AG115" s="29">
        <v>906</v>
      </c>
      <c r="AH115" s="29">
        <v>906</v>
      </c>
      <c r="AI115" s="29">
        <v>906</v>
      </c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</row>
    <row r="116" spans="1:50" s="1" customFormat="1">
      <c r="A116" s="1">
        <v>2000</v>
      </c>
      <c r="B116" s="30" t="s">
        <v>7</v>
      </c>
      <c r="C116" s="29"/>
      <c r="D116" s="29"/>
      <c r="E116" s="29"/>
      <c r="F116" s="29"/>
      <c r="G116" s="29"/>
      <c r="H116" s="65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</row>
    <row r="117" spans="1:50" s="1" customFormat="1">
      <c r="A117" s="36" t="s">
        <v>9</v>
      </c>
      <c r="B117" s="30" t="s">
        <v>8</v>
      </c>
      <c r="C117" s="29"/>
      <c r="D117" s="29"/>
      <c r="E117" s="29"/>
      <c r="F117" s="29"/>
      <c r="G117" s="29"/>
      <c r="H117" s="65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</row>
    <row r="118" spans="1:50" s="11" customFormat="1">
      <c r="A118" s="28">
        <f>AVERAGE(C120:AO120)*30*1000</f>
        <v>124285.71428571429</v>
      </c>
      <c r="B118" s="33" t="s">
        <v>164</v>
      </c>
      <c r="C118" s="32"/>
      <c r="D118" s="32"/>
      <c r="E118" s="32"/>
      <c r="F118" s="32"/>
      <c r="G118" s="32"/>
      <c r="H118" s="63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</row>
    <row r="119" spans="1:50" s="1" customFormat="1">
      <c r="A119" s="31"/>
      <c r="B119" s="30" t="s">
        <v>165</v>
      </c>
      <c r="C119" s="29"/>
      <c r="D119" s="29"/>
      <c r="E119" s="29"/>
      <c r="F119" s="29"/>
      <c r="G119" s="29"/>
      <c r="H119" s="65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</row>
    <row r="120" spans="1:50" s="1" customFormat="1">
      <c r="A120" s="28">
        <f>SUM(C120:AX120)</f>
        <v>116</v>
      </c>
      <c r="B120" s="55" t="s">
        <v>166</v>
      </c>
      <c r="C120" s="54"/>
      <c r="D120" s="54"/>
      <c r="E120" s="54"/>
      <c r="F120" s="54"/>
      <c r="G120" s="54"/>
      <c r="H120" s="65">
        <f t="shared" ref="H120:M121" si="299">IF(H114="","",H114-G114)</f>
        <v>0</v>
      </c>
      <c r="I120" s="54">
        <f t="shared" si="299"/>
        <v>6</v>
      </c>
      <c r="J120" s="54">
        <f t="shared" si="299"/>
        <v>2</v>
      </c>
      <c r="K120" s="54">
        <f t="shared" si="299"/>
        <v>0</v>
      </c>
      <c r="L120" s="54">
        <f t="shared" si="299"/>
        <v>6</v>
      </c>
      <c r="M120" s="54">
        <f t="shared" si="299"/>
        <v>8</v>
      </c>
      <c r="N120" s="54">
        <f t="shared" ref="N120:N121" si="300">IF(N114="","",N114-M114)</f>
        <v>0</v>
      </c>
      <c r="O120" s="54">
        <f t="shared" ref="O120:AO120" si="301">IF(O114="","",O114-N114)</f>
        <v>14</v>
      </c>
      <c r="P120" s="54">
        <f t="shared" si="301"/>
        <v>2</v>
      </c>
      <c r="Q120" s="54">
        <f t="shared" si="301"/>
        <v>0</v>
      </c>
      <c r="R120" s="54">
        <f t="shared" si="301"/>
        <v>0</v>
      </c>
      <c r="S120" s="54">
        <f t="shared" si="301"/>
        <v>0</v>
      </c>
      <c r="T120" s="54">
        <f t="shared" si="301"/>
        <v>26</v>
      </c>
      <c r="U120" s="54">
        <f t="shared" si="301"/>
        <v>8</v>
      </c>
      <c r="V120" s="54">
        <f t="shared" si="301"/>
        <v>0</v>
      </c>
      <c r="W120" s="54">
        <f t="shared" si="301"/>
        <v>14</v>
      </c>
      <c r="X120" s="54">
        <f t="shared" si="301"/>
        <v>0</v>
      </c>
      <c r="Y120" s="54">
        <f t="shared" si="301"/>
        <v>18</v>
      </c>
      <c r="Z120" s="54">
        <f t="shared" si="301"/>
        <v>0</v>
      </c>
      <c r="AA120" s="54">
        <f t="shared" si="301"/>
        <v>6</v>
      </c>
      <c r="AB120" s="54">
        <f t="shared" si="301"/>
        <v>0</v>
      </c>
      <c r="AC120" s="54">
        <f t="shared" si="301"/>
        <v>0</v>
      </c>
      <c r="AD120" s="54">
        <f t="shared" si="301"/>
        <v>0</v>
      </c>
      <c r="AE120" s="54">
        <f t="shared" si="301"/>
        <v>6</v>
      </c>
      <c r="AF120" s="54">
        <f t="shared" si="301"/>
        <v>0</v>
      </c>
      <c r="AG120" s="54">
        <f t="shared" si="301"/>
        <v>0</v>
      </c>
      <c r="AH120" s="54">
        <f t="shared" si="301"/>
        <v>0</v>
      </c>
      <c r="AI120" s="54">
        <f t="shared" si="301"/>
        <v>0</v>
      </c>
      <c r="AJ120" s="54" t="str">
        <f t="shared" si="301"/>
        <v/>
      </c>
      <c r="AK120" s="54" t="str">
        <f t="shared" si="301"/>
        <v/>
      </c>
      <c r="AL120" s="54" t="str">
        <f t="shared" si="301"/>
        <v/>
      </c>
      <c r="AM120" s="54" t="str">
        <f t="shared" si="301"/>
        <v/>
      </c>
      <c r="AN120" s="54" t="str">
        <f t="shared" si="301"/>
        <v/>
      </c>
      <c r="AO120" s="54" t="str">
        <f t="shared" si="301"/>
        <v/>
      </c>
      <c r="AP120" s="54" t="str">
        <f t="shared" ref="AP120:AP121" si="302">IF(AP114="","",AP114-AO114)</f>
        <v/>
      </c>
      <c r="AQ120" s="54" t="str">
        <f t="shared" ref="AQ120:AQ121" si="303">IF(AQ114="","",AQ114-AP114)</f>
        <v/>
      </c>
      <c r="AR120" s="54" t="str">
        <f t="shared" ref="AR120:AR121" si="304">IF(AR114="","",AR114-AQ114)</f>
        <v/>
      </c>
      <c r="AS120" s="54" t="str">
        <f t="shared" ref="AS120:AS121" si="305">IF(AS114="","",AS114-AR114)</f>
        <v/>
      </c>
      <c r="AT120" s="54" t="str">
        <f t="shared" ref="AT120:AT121" si="306">IF(AT114="","",AT114-AS114)</f>
        <v/>
      </c>
      <c r="AU120" s="54" t="str">
        <f t="shared" ref="AU120:AU121" si="307">IF(AU114="","",AU114-AT114)</f>
        <v/>
      </c>
      <c r="AV120" s="54" t="str">
        <f t="shared" ref="AV120:AV121" si="308">IF(AV114="","",AV114-AU114)</f>
        <v/>
      </c>
      <c r="AW120" s="54" t="str">
        <f t="shared" ref="AW120:AW121" si="309">IF(AW114="","",AW114-AV114)</f>
        <v/>
      </c>
      <c r="AX120" s="54" t="str">
        <f t="shared" ref="AX120:AX121" si="310">IF(AX114="","",AX114-AW114)</f>
        <v/>
      </c>
    </row>
    <row r="121" spans="1:50" s="1" customFormat="1">
      <c r="A121" s="28">
        <f>SUM(C121:AO121)</f>
        <v>0</v>
      </c>
      <c r="B121" s="55" t="s">
        <v>167</v>
      </c>
      <c r="C121" s="54"/>
      <c r="D121" s="54"/>
      <c r="E121" s="54"/>
      <c r="F121" s="54"/>
      <c r="G121" s="54"/>
      <c r="H121" s="65">
        <f t="shared" si="299"/>
        <v>0</v>
      </c>
      <c r="I121" s="54">
        <f t="shared" si="299"/>
        <v>0</v>
      </c>
      <c r="J121" s="54">
        <f t="shared" si="299"/>
        <v>0</v>
      </c>
      <c r="K121" s="54">
        <f t="shared" si="299"/>
        <v>0</v>
      </c>
      <c r="L121" s="54">
        <f t="shared" si="299"/>
        <v>0</v>
      </c>
      <c r="M121" s="54">
        <f t="shared" si="299"/>
        <v>0</v>
      </c>
      <c r="N121" s="54">
        <f t="shared" si="300"/>
        <v>0</v>
      </c>
      <c r="O121" s="54">
        <f t="shared" ref="O121:AO121" si="311">IF(O115="","",O115-N115)</f>
        <v>0</v>
      </c>
      <c r="P121" s="54">
        <f t="shared" si="311"/>
        <v>0</v>
      </c>
      <c r="Q121" s="54">
        <f t="shared" si="311"/>
        <v>0</v>
      </c>
      <c r="R121" s="54">
        <f t="shared" si="311"/>
        <v>0</v>
      </c>
      <c r="S121" s="54">
        <f t="shared" si="311"/>
        <v>0</v>
      </c>
      <c r="T121" s="54">
        <f t="shared" si="311"/>
        <v>0</v>
      </c>
      <c r="U121" s="54">
        <f t="shared" si="311"/>
        <v>0</v>
      </c>
      <c r="V121" s="54">
        <f t="shared" si="311"/>
        <v>0</v>
      </c>
      <c r="W121" s="54">
        <f t="shared" si="311"/>
        <v>0</v>
      </c>
      <c r="X121" s="54">
        <f t="shared" si="311"/>
        <v>0</v>
      </c>
      <c r="Y121" s="54">
        <f t="shared" si="311"/>
        <v>0</v>
      </c>
      <c r="Z121" s="54">
        <f t="shared" si="311"/>
        <v>0</v>
      </c>
      <c r="AA121" s="54">
        <f t="shared" si="311"/>
        <v>0</v>
      </c>
      <c r="AB121" s="54">
        <f t="shared" si="311"/>
        <v>0</v>
      </c>
      <c r="AC121" s="54">
        <f t="shared" si="311"/>
        <v>0</v>
      </c>
      <c r="AD121" s="54">
        <f t="shared" si="311"/>
        <v>0</v>
      </c>
      <c r="AE121" s="54">
        <f t="shared" si="311"/>
        <v>0</v>
      </c>
      <c r="AF121" s="54">
        <f t="shared" si="311"/>
        <v>0</v>
      </c>
      <c r="AG121" s="54">
        <f t="shared" si="311"/>
        <v>0</v>
      </c>
      <c r="AH121" s="54">
        <f t="shared" si="311"/>
        <v>0</v>
      </c>
      <c r="AI121" s="54">
        <f t="shared" si="311"/>
        <v>0</v>
      </c>
      <c r="AJ121" s="54" t="str">
        <f t="shared" si="311"/>
        <v/>
      </c>
      <c r="AK121" s="54" t="str">
        <f t="shared" si="311"/>
        <v/>
      </c>
      <c r="AL121" s="54" t="str">
        <f t="shared" si="311"/>
        <v/>
      </c>
      <c r="AM121" s="54" t="str">
        <f t="shared" si="311"/>
        <v/>
      </c>
      <c r="AN121" s="54" t="str">
        <f t="shared" si="311"/>
        <v/>
      </c>
      <c r="AO121" s="54" t="str">
        <f t="shared" si="311"/>
        <v/>
      </c>
      <c r="AP121" s="54" t="str">
        <f t="shared" si="302"/>
        <v/>
      </c>
      <c r="AQ121" s="54" t="str">
        <f t="shared" si="303"/>
        <v/>
      </c>
      <c r="AR121" s="54" t="str">
        <f t="shared" si="304"/>
        <v/>
      </c>
      <c r="AS121" s="54" t="str">
        <f t="shared" si="305"/>
        <v/>
      </c>
      <c r="AT121" s="54" t="str">
        <f t="shared" si="306"/>
        <v/>
      </c>
      <c r="AU121" s="54" t="str">
        <f t="shared" si="307"/>
        <v/>
      </c>
      <c r="AV121" s="54" t="str">
        <f t="shared" si="308"/>
        <v/>
      </c>
      <c r="AW121" s="54" t="str">
        <f t="shared" si="309"/>
        <v/>
      </c>
      <c r="AX121" s="54" t="str">
        <f t="shared" si="310"/>
        <v/>
      </c>
    </row>
    <row r="122" spans="1:50" s="1" customFormat="1">
      <c r="A122" s="28">
        <f>SUM(C122:AO122)</f>
        <v>0</v>
      </c>
      <c r="B122" s="55" t="s">
        <v>18</v>
      </c>
      <c r="C122" s="54" t="str">
        <f>IF(C117="","",#REF!*C117)</f>
        <v/>
      </c>
      <c r="D122" s="54" t="str">
        <f>IF(D117="","",#REF!*D117)</f>
        <v/>
      </c>
      <c r="E122" s="54" t="str">
        <f>IF(E117="","",#REF!*E117)</f>
        <v/>
      </c>
      <c r="F122" s="54" t="str">
        <f>IF(F117="","",#REF!*F117)</f>
        <v/>
      </c>
      <c r="G122" s="54"/>
      <c r="H122" s="65" t="str">
        <f>IF(H117="","",#REF!*H117)</f>
        <v/>
      </c>
      <c r="I122" s="54" t="str">
        <f>IF(I117="","",#REF!*I117)</f>
        <v/>
      </c>
      <c r="J122" s="54" t="str">
        <f>IF(J117="","",#REF!*J117)</f>
        <v/>
      </c>
      <c r="K122" s="54" t="str">
        <f>IF(K117="","",#REF!*K117)</f>
        <v/>
      </c>
      <c r="L122" s="54" t="str">
        <f>IF(L117="","",#REF!*L117)</f>
        <v/>
      </c>
      <c r="M122" s="54" t="str">
        <f>IF(M117="","",#REF!*M117)</f>
        <v/>
      </c>
      <c r="N122" s="54" t="str">
        <f>IF(N117="","",#REF!*N117)</f>
        <v/>
      </c>
      <c r="O122" s="54" t="str">
        <f>IF(O117="","",#REF!*O117)</f>
        <v/>
      </c>
      <c r="P122" s="54" t="str">
        <f>IF(P117="","",#REF!*P117)</f>
        <v/>
      </c>
      <c r="Q122" s="54" t="str">
        <f>IF(Q117="","",#REF!*Q117)</f>
        <v/>
      </c>
      <c r="R122" s="54" t="str">
        <f>IF(R117="","",#REF!*R117)</f>
        <v/>
      </c>
      <c r="S122" s="54" t="str">
        <f>IF(S117="","",#REF!*S117)</f>
        <v/>
      </c>
      <c r="T122" s="54" t="str">
        <f>IF(T117="","",#REF!*T117)</f>
        <v/>
      </c>
      <c r="U122" s="54" t="str">
        <f>IF(U117="","",#REF!*U117)</f>
        <v/>
      </c>
      <c r="V122" s="54" t="str">
        <f>IF(V117="","",#REF!*V117)</f>
        <v/>
      </c>
      <c r="W122" s="54" t="str">
        <f>IF(W117="","",#REF!*W117)</f>
        <v/>
      </c>
      <c r="X122" s="54" t="str">
        <f>IF(X117="","",#REF!*X117)</f>
        <v/>
      </c>
      <c r="Y122" s="54" t="str">
        <f>IF(Y117="","",#REF!*Y117)</f>
        <v/>
      </c>
      <c r="Z122" s="54" t="str">
        <f>IF(Z117="","",#REF!*Z117)</f>
        <v/>
      </c>
      <c r="AA122" s="54" t="str">
        <f>IF(AA117="","",#REF!*AA117)</f>
        <v/>
      </c>
      <c r="AB122" s="54" t="str">
        <f>IF(AB117="","",#REF!*AB117)</f>
        <v/>
      </c>
      <c r="AC122" s="54" t="str">
        <f>IF(AC117="","",#REF!*AC117)</f>
        <v/>
      </c>
      <c r="AD122" s="54" t="str">
        <f>IF(AD117="","",#REF!*AD117)</f>
        <v/>
      </c>
      <c r="AE122" s="54" t="str">
        <f>IF(AE117="","",#REF!*AE117)</f>
        <v/>
      </c>
      <c r="AF122" s="54" t="str">
        <f>IF(AF117="","",#REF!*AF117)</f>
        <v/>
      </c>
      <c r="AG122" s="54" t="str">
        <f>IF(AG117="","",#REF!*AG117)</f>
        <v/>
      </c>
      <c r="AH122" s="54" t="str">
        <f>IF(AH117="","",#REF!*AH117)</f>
        <v/>
      </c>
      <c r="AI122" s="54" t="str">
        <f>IF(AI117="","",#REF!*AI117)</f>
        <v/>
      </c>
      <c r="AJ122" s="54" t="str">
        <f>IF(AJ117="","",#REF!*AJ117)</f>
        <v/>
      </c>
      <c r="AK122" s="54" t="str">
        <f>IF(AK117="","",#REF!*AK117)</f>
        <v/>
      </c>
      <c r="AL122" s="54" t="str">
        <f>IF(AL117="","",#REF!*AL117)</f>
        <v/>
      </c>
      <c r="AM122" s="54" t="str">
        <f>IF(AM117="","",#REF!*AM117)</f>
        <v/>
      </c>
      <c r="AN122" s="54" t="str">
        <f>IF(AN117="","",#REF!*AN117)</f>
        <v/>
      </c>
      <c r="AO122" s="54" t="str">
        <f>IF(AO117="","",#REF!*AO117)</f>
        <v/>
      </c>
      <c r="AP122" s="54" t="str">
        <f>IF(AP117="","",#REF!*AP117)</f>
        <v/>
      </c>
      <c r="AQ122" s="54" t="str">
        <f>IF(AQ117="","",#REF!*AQ117)</f>
        <v/>
      </c>
      <c r="AR122" s="54" t="str">
        <f>IF(AR117="","",#REF!*AR117)</f>
        <v/>
      </c>
      <c r="AS122" s="54" t="str">
        <f>IF(AS117="","",#REF!*AS117)</f>
        <v/>
      </c>
      <c r="AT122" s="54" t="str">
        <f>IF(AT117="","",#REF!*AT117)</f>
        <v/>
      </c>
      <c r="AU122" s="54" t="str">
        <f>IF(AU117="","",#REF!*AU117)</f>
        <v/>
      </c>
      <c r="AV122" s="54" t="str">
        <f>IF(AV117="","",#REF!*AV117)</f>
        <v/>
      </c>
      <c r="AW122" s="54" t="str">
        <f>IF(AW117="","",#REF!*AW117)</f>
        <v/>
      </c>
      <c r="AX122" s="54" t="str">
        <f>IF(AX117="","",#REF!*AX117)</f>
        <v/>
      </c>
    </row>
    <row r="123" spans="1:50" s="1" customFormat="1" ht="12" thickBot="1">
      <c r="A123" s="25">
        <f>IF(A122="","",A122/(A120*100))</f>
        <v>0</v>
      </c>
      <c r="B123" s="53" t="s">
        <v>20</v>
      </c>
      <c r="C123" s="52" t="str">
        <f t="shared" ref="C123:M123" si="312">IF(C122="","",C122/(C120*100))</f>
        <v/>
      </c>
      <c r="D123" s="52" t="str">
        <f t="shared" si="312"/>
        <v/>
      </c>
      <c r="E123" s="52" t="str">
        <f t="shared" si="312"/>
        <v/>
      </c>
      <c r="F123" s="52" t="str">
        <f t="shared" si="312"/>
        <v/>
      </c>
      <c r="G123" s="52" t="str">
        <f t="shared" si="312"/>
        <v/>
      </c>
      <c r="H123" s="67" t="str">
        <f t="shared" si="312"/>
        <v/>
      </c>
      <c r="I123" s="52" t="str">
        <f t="shared" si="312"/>
        <v/>
      </c>
      <c r="J123" s="52" t="str">
        <f t="shared" si="312"/>
        <v/>
      </c>
      <c r="K123" s="52" t="str">
        <f t="shared" si="312"/>
        <v/>
      </c>
      <c r="L123" s="52" t="str">
        <f t="shared" si="312"/>
        <v/>
      </c>
      <c r="M123" s="52" t="str">
        <f t="shared" si="312"/>
        <v/>
      </c>
      <c r="N123" s="52" t="str">
        <f t="shared" ref="N123" si="313">IF(N122="","",N122/(N120*100))</f>
        <v/>
      </c>
      <c r="O123" s="52" t="str">
        <f t="shared" ref="O123:AO123" si="314">IF(O122="","",O122/(O120*100))</f>
        <v/>
      </c>
      <c r="P123" s="52" t="str">
        <f t="shared" si="314"/>
        <v/>
      </c>
      <c r="Q123" s="52" t="str">
        <f t="shared" si="314"/>
        <v/>
      </c>
      <c r="R123" s="52" t="str">
        <f t="shared" si="314"/>
        <v/>
      </c>
      <c r="S123" s="52" t="str">
        <f t="shared" si="314"/>
        <v/>
      </c>
      <c r="T123" s="52" t="str">
        <f t="shared" si="314"/>
        <v/>
      </c>
      <c r="U123" s="52" t="str">
        <f t="shared" si="314"/>
        <v/>
      </c>
      <c r="V123" s="52" t="str">
        <f t="shared" si="314"/>
        <v/>
      </c>
      <c r="W123" s="52" t="str">
        <f t="shared" si="314"/>
        <v/>
      </c>
      <c r="X123" s="52" t="str">
        <f t="shared" ref="X123" si="315">IF(X122="","",X122/(X120*100))</f>
        <v/>
      </c>
      <c r="Y123" s="52" t="str">
        <f t="shared" si="314"/>
        <v/>
      </c>
      <c r="Z123" s="52" t="str">
        <f t="shared" si="314"/>
        <v/>
      </c>
      <c r="AA123" s="52" t="str">
        <f t="shared" si="314"/>
        <v/>
      </c>
      <c r="AB123" s="52" t="str">
        <f t="shared" si="314"/>
        <v/>
      </c>
      <c r="AC123" s="52" t="str">
        <f t="shared" si="314"/>
        <v/>
      </c>
      <c r="AD123" s="52" t="str">
        <f t="shared" si="314"/>
        <v/>
      </c>
      <c r="AE123" s="52" t="str">
        <f t="shared" si="314"/>
        <v/>
      </c>
      <c r="AF123" s="52" t="str">
        <f t="shared" si="314"/>
        <v/>
      </c>
      <c r="AG123" s="52" t="str">
        <f t="shared" si="314"/>
        <v/>
      </c>
      <c r="AH123" s="52" t="str">
        <f t="shared" si="314"/>
        <v/>
      </c>
      <c r="AI123" s="52" t="str">
        <f t="shared" si="314"/>
        <v/>
      </c>
      <c r="AJ123" s="52" t="str">
        <f t="shared" si="314"/>
        <v/>
      </c>
      <c r="AK123" s="52" t="str">
        <f t="shared" si="314"/>
        <v/>
      </c>
      <c r="AL123" s="52" t="str">
        <f t="shared" si="314"/>
        <v/>
      </c>
      <c r="AM123" s="52" t="str">
        <f t="shared" si="314"/>
        <v/>
      </c>
      <c r="AN123" s="52" t="str">
        <f t="shared" si="314"/>
        <v/>
      </c>
      <c r="AO123" s="52" t="str">
        <f t="shared" si="314"/>
        <v/>
      </c>
      <c r="AP123" s="52" t="str">
        <f t="shared" ref="AP123" si="316">IF(AP122="","",AP122/(AP120*100))</f>
        <v/>
      </c>
      <c r="AQ123" s="52" t="str">
        <f t="shared" ref="AQ123:AX123" si="317">IF(AQ122="","",AQ122/(AQ120*100))</f>
        <v/>
      </c>
      <c r="AR123" s="52" t="str">
        <f t="shared" si="317"/>
        <v/>
      </c>
      <c r="AS123" s="52" t="str">
        <f t="shared" si="317"/>
        <v/>
      </c>
      <c r="AT123" s="52" t="str">
        <f t="shared" si="317"/>
        <v/>
      </c>
      <c r="AU123" s="52" t="str">
        <f t="shared" si="317"/>
        <v/>
      </c>
      <c r="AV123" s="52" t="str">
        <f t="shared" si="317"/>
        <v/>
      </c>
      <c r="AW123" s="52" t="str">
        <f t="shared" si="317"/>
        <v/>
      </c>
      <c r="AX123" s="52" t="str">
        <f t="shared" si="317"/>
        <v/>
      </c>
    </row>
    <row r="124" spans="1:50" s="1" customFormat="1">
      <c r="A124" s="22" t="s">
        <v>113</v>
      </c>
      <c r="B124" s="21" t="s">
        <v>171</v>
      </c>
      <c r="C124" s="20"/>
      <c r="D124" s="20"/>
      <c r="E124" s="20"/>
      <c r="F124" s="20"/>
      <c r="G124" s="20">
        <v>20125</v>
      </c>
      <c r="H124" s="73">
        <v>20125</v>
      </c>
      <c r="I124" s="20">
        <v>20125</v>
      </c>
      <c r="J124" s="20">
        <v>20225</v>
      </c>
      <c r="K124" s="20">
        <v>20225</v>
      </c>
      <c r="L124" s="20">
        <v>20225</v>
      </c>
      <c r="M124" s="20">
        <v>20285</v>
      </c>
      <c r="N124" s="20">
        <v>20285</v>
      </c>
      <c r="O124" s="20">
        <v>20285</v>
      </c>
      <c r="P124" s="20">
        <v>20285</v>
      </c>
      <c r="Q124" s="20">
        <v>20445</v>
      </c>
      <c r="R124" s="20">
        <v>20445</v>
      </c>
      <c r="S124" s="20">
        <v>20445</v>
      </c>
      <c r="T124" s="20">
        <v>20480</v>
      </c>
      <c r="U124" s="20">
        <v>20480</v>
      </c>
      <c r="V124" s="20">
        <v>20480</v>
      </c>
      <c r="W124" s="20">
        <v>20480</v>
      </c>
      <c r="X124" s="20">
        <v>20532</v>
      </c>
      <c r="Y124" s="20">
        <v>20532</v>
      </c>
      <c r="Z124" s="20">
        <v>20532</v>
      </c>
      <c r="AA124" s="20">
        <v>20607</v>
      </c>
      <c r="AB124" s="20">
        <v>20607</v>
      </c>
      <c r="AC124" s="20">
        <v>20607</v>
      </c>
      <c r="AD124" s="20">
        <v>20607</v>
      </c>
      <c r="AE124" s="20">
        <v>20632</v>
      </c>
      <c r="AF124" s="20">
        <v>20632</v>
      </c>
      <c r="AG124" s="20">
        <v>20632</v>
      </c>
      <c r="AH124" s="20">
        <v>20632</v>
      </c>
      <c r="AI124" s="20">
        <v>20687</v>
      </c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</row>
    <row r="125" spans="1:50" s="1" customFormat="1">
      <c r="A125" s="61" t="s">
        <v>172</v>
      </c>
      <c r="B125" s="9" t="s">
        <v>163</v>
      </c>
      <c r="C125" s="8"/>
      <c r="D125" s="8"/>
      <c r="E125" s="8"/>
      <c r="F125" s="8"/>
      <c r="G125" s="8">
        <v>3966</v>
      </c>
      <c r="H125" s="74">
        <v>3966</v>
      </c>
      <c r="I125" s="8">
        <v>3966</v>
      </c>
      <c r="J125" s="8">
        <v>3986</v>
      </c>
      <c r="K125" s="8">
        <v>3986</v>
      </c>
      <c r="L125" s="8">
        <v>3986</v>
      </c>
      <c r="M125" s="8">
        <v>3998</v>
      </c>
      <c r="N125" s="8">
        <v>3998</v>
      </c>
      <c r="O125" s="8">
        <v>3998</v>
      </c>
      <c r="P125" s="8">
        <v>3998</v>
      </c>
      <c r="Q125" s="8">
        <v>4030</v>
      </c>
      <c r="R125" s="8">
        <v>4030</v>
      </c>
      <c r="S125" s="8">
        <v>4030</v>
      </c>
      <c r="T125" s="8">
        <v>4037</v>
      </c>
      <c r="U125" s="8">
        <v>4037</v>
      </c>
      <c r="V125" s="8">
        <v>4037</v>
      </c>
      <c r="W125" s="8">
        <v>4037</v>
      </c>
      <c r="X125" s="8">
        <v>4047</v>
      </c>
      <c r="Y125" s="8">
        <v>4047</v>
      </c>
      <c r="Z125" s="8">
        <v>4047</v>
      </c>
      <c r="AA125" s="8">
        <v>4062</v>
      </c>
      <c r="AB125" s="8">
        <v>4062</v>
      </c>
      <c r="AC125" s="8">
        <v>4062</v>
      </c>
      <c r="AD125" s="8">
        <v>4062</v>
      </c>
      <c r="AE125" s="8">
        <v>4067</v>
      </c>
      <c r="AF125" s="8">
        <v>4067</v>
      </c>
      <c r="AG125" s="8">
        <v>4067</v>
      </c>
      <c r="AH125" s="8">
        <v>4067</v>
      </c>
      <c r="AI125" s="8">
        <v>4078</v>
      </c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s="1" customFormat="1">
      <c r="A126" s="15" t="s">
        <v>173</v>
      </c>
      <c r="B126" s="9" t="s">
        <v>7</v>
      </c>
      <c r="C126" s="8"/>
      <c r="D126" s="8"/>
      <c r="E126" s="8"/>
      <c r="F126" s="8"/>
      <c r="G126" s="8"/>
      <c r="H126" s="7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s="1" customFormat="1">
      <c r="A127" s="14" t="s">
        <v>9</v>
      </c>
      <c r="B127" s="9" t="s">
        <v>8</v>
      </c>
      <c r="C127" s="8"/>
      <c r="D127" s="8"/>
      <c r="E127" s="8"/>
      <c r="F127" s="8"/>
      <c r="G127" s="8"/>
      <c r="H127" s="7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s="11" customFormat="1">
      <c r="A128" s="7">
        <f>AVERAGE(C130:AO130)*30*100</f>
        <v>60214.285714285725</v>
      </c>
      <c r="B128" s="13" t="s">
        <v>164</v>
      </c>
      <c r="C128" s="12"/>
      <c r="D128" s="12"/>
      <c r="E128" s="12"/>
      <c r="F128" s="12"/>
      <c r="G128" s="12"/>
      <c r="H128" s="75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</row>
    <row r="129" spans="1:50" s="1" customFormat="1">
      <c r="A129" s="10"/>
      <c r="B129" s="9" t="s">
        <v>165</v>
      </c>
      <c r="C129" s="8"/>
      <c r="D129" s="8"/>
      <c r="E129" s="8"/>
      <c r="F129" s="8"/>
      <c r="G129" s="8"/>
      <c r="H129" s="7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s="1" customFormat="1">
      <c r="A130" s="7">
        <f>SUM(C130:AO130)</f>
        <v>562</v>
      </c>
      <c r="B130" s="60" t="s">
        <v>15</v>
      </c>
      <c r="C130" s="59"/>
      <c r="D130" s="59"/>
      <c r="E130" s="59"/>
      <c r="F130" s="59"/>
      <c r="G130" s="59"/>
      <c r="H130" s="74">
        <f t="shared" ref="H130:J131" si="318">IF(H124="","",H124-G124)</f>
        <v>0</v>
      </c>
      <c r="I130" s="59">
        <f t="shared" si="318"/>
        <v>0</v>
      </c>
      <c r="J130" s="59">
        <f t="shared" si="318"/>
        <v>100</v>
      </c>
      <c r="K130" s="59">
        <f t="shared" ref="K130:L130" si="319">IF(K124="","",K124-J124)</f>
        <v>0</v>
      </c>
      <c r="L130" s="59">
        <f t="shared" si="319"/>
        <v>0</v>
      </c>
      <c r="M130" s="59">
        <f>IF(M124="","",M124-L124)</f>
        <v>60</v>
      </c>
      <c r="N130" s="59">
        <f t="shared" ref="N130:O131" si="320">IF(N124="","",N124-M124)</f>
        <v>0</v>
      </c>
      <c r="O130" s="59">
        <f t="shared" si="320"/>
        <v>0</v>
      </c>
      <c r="P130" s="59">
        <f t="shared" ref="P130:P131" si="321">IF(P124="","",P124-O124)</f>
        <v>0</v>
      </c>
      <c r="Q130" s="59">
        <f>IF(Q124="","",Q124-P124)</f>
        <v>160</v>
      </c>
      <c r="R130" s="59">
        <f t="shared" ref="R130:R131" si="322">IF(R124="","",R124-Q124)</f>
        <v>0</v>
      </c>
      <c r="S130" s="59">
        <f t="shared" ref="S130:S131" si="323">IF(S124="","",S124-R124)</f>
        <v>0</v>
      </c>
      <c r="T130" s="59">
        <f t="shared" ref="T130:AO130" si="324">IF(T124="","",T124-S124)</f>
        <v>35</v>
      </c>
      <c r="U130" s="59">
        <f t="shared" ref="U130:W131" si="325">IF(U124="","",U124-T124)</f>
        <v>0</v>
      </c>
      <c r="V130" s="59">
        <f t="shared" si="325"/>
        <v>0</v>
      </c>
      <c r="W130" s="59">
        <f t="shared" si="325"/>
        <v>0</v>
      </c>
      <c r="X130" s="59">
        <f t="shared" si="324"/>
        <v>52</v>
      </c>
      <c r="Y130" s="59">
        <f t="shared" si="324"/>
        <v>0</v>
      </c>
      <c r="Z130" s="59">
        <f t="shared" si="324"/>
        <v>0</v>
      </c>
      <c r="AA130" s="59">
        <f t="shared" si="324"/>
        <v>75</v>
      </c>
      <c r="AB130" s="59">
        <f t="shared" si="324"/>
        <v>0</v>
      </c>
      <c r="AC130" s="59">
        <f t="shared" si="324"/>
        <v>0</v>
      </c>
      <c r="AD130" s="59">
        <f t="shared" si="324"/>
        <v>0</v>
      </c>
      <c r="AE130" s="59">
        <f t="shared" si="324"/>
        <v>25</v>
      </c>
      <c r="AF130" s="59">
        <f t="shared" si="324"/>
        <v>0</v>
      </c>
      <c r="AG130" s="59">
        <f t="shared" si="324"/>
        <v>0</v>
      </c>
      <c r="AH130" s="59">
        <f t="shared" si="324"/>
        <v>0</v>
      </c>
      <c r="AI130" s="59">
        <f t="shared" si="324"/>
        <v>55</v>
      </c>
      <c r="AJ130" s="59" t="str">
        <f t="shared" si="324"/>
        <v/>
      </c>
      <c r="AK130" s="59" t="str">
        <f t="shared" si="324"/>
        <v/>
      </c>
      <c r="AL130" s="59" t="str">
        <f t="shared" si="324"/>
        <v/>
      </c>
      <c r="AM130" s="59" t="str">
        <f t="shared" si="324"/>
        <v/>
      </c>
      <c r="AN130" s="59" t="str">
        <f t="shared" si="324"/>
        <v/>
      </c>
      <c r="AO130" s="59" t="str">
        <f t="shared" si="324"/>
        <v/>
      </c>
      <c r="AP130" s="59" t="str">
        <f t="shared" ref="AP130:AP131" si="326">IF(AP124="","",AP124-AO124)</f>
        <v/>
      </c>
      <c r="AQ130" s="59" t="str">
        <f t="shared" ref="AQ130:AQ131" si="327">IF(AQ124="","",AQ124-AP124)</f>
        <v/>
      </c>
      <c r="AR130" s="59" t="str">
        <f t="shared" ref="AR130:AR131" si="328">IF(AR124="","",AR124-AQ124)</f>
        <v/>
      </c>
      <c r="AS130" s="59" t="str">
        <f t="shared" ref="AS130:AS131" si="329">IF(AS124="","",AS124-AR124)</f>
        <v/>
      </c>
      <c r="AT130" s="59" t="str">
        <f t="shared" ref="AT130:AT131" si="330">IF(AT124="","",AT124-AS124)</f>
        <v/>
      </c>
      <c r="AU130" s="59" t="str">
        <f t="shared" ref="AU130:AU131" si="331">IF(AU124="","",AU124-AT124)</f>
        <v/>
      </c>
      <c r="AV130" s="59" t="str">
        <f t="shared" ref="AV130:AV131" si="332">IF(AV124="","",AV124-AU124)</f>
        <v/>
      </c>
      <c r="AW130" s="59" t="str">
        <f t="shared" ref="AW130:AW131" si="333">IF(AW124="","",AW124-AV124)</f>
        <v/>
      </c>
      <c r="AX130" s="59" t="str">
        <f t="shared" ref="AX130:AX131" si="334">IF(AX124="","",AX124-AW124)</f>
        <v/>
      </c>
    </row>
    <row r="131" spans="1:50" s="1" customFormat="1">
      <c r="A131" s="7">
        <f>SUM(C131:AO131)</f>
        <v>112</v>
      </c>
      <c r="B131" s="60" t="s">
        <v>167</v>
      </c>
      <c r="C131" s="59"/>
      <c r="D131" s="59"/>
      <c r="E131" s="59"/>
      <c r="F131" s="59"/>
      <c r="G131" s="59"/>
      <c r="H131" s="74">
        <f t="shared" si="318"/>
        <v>0</v>
      </c>
      <c r="I131" s="59">
        <f t="shared" si="318"/>
        <v>0</v>
      </c>
      <c r="J131" s="59">
        <f t="shared" si="318"/>
        <v>20</v>
      </c>
      <c r="K131" s="59">
        <f t="shared" ref="K131:L131" si="335">IF(K125="","",K125-J125)</f>
        <v>0</v>
      </c>
      <c r="L131" s="59">
        <f t="shared" si="335"/>
        <v>0</v>
      </c>
      <c r="M131" s="59">
        <f>IF(M125="","",M125-L125)</f>
        <v>12</v>
      </c>
      <c r="N131" s="59">
        <f t="shared" si="320"/>
        <v>0</v>
      </c>
      <c r="O131" s="59">
        <f t="shared" si="320"/>
        <v>0</v>
      </c>
      <c r="P131" s="59">
        <f t="shared" si="321"/>
        <v>0</v>
      </c>
      <c r="Q131" s="59">
        <f>IF(Q125="","",Q125-P125)</f>
        <v>32</v>
      </c>
      <c r="R131" s="59">
        <f t="shared" si="322"/>
        <v>0</v>
      </c>
      <c r="S131" s="59">
        <f t="shared" si="323"/>
        <v>0</v>
      </c>
      <c r="T131" s="59">
        <f t="shared" ref="T131:AO131" si="336">IF(T125="","",T125-S125)</f>
        <v>7</v>
      </c>
      <c r="U131" s="59">
        <f t="shared" si="325"/>
        <v>0</v>
      </c>
      <c r="V131" s="59">
        <f t="shared" si="325"/>
        <v>0</v>
      </c>
      <c r="W131" s="59">
        <f t="shared" si="325"/>
        <v>0</v>
      </c>
      <c r="X131" s="59">
        <f t="shared" si="336"/>
        <v>10</v>
      </c>
      <c r="Y131" s="59">
        <f t="shared" si="336"/>
        <v>0</v>
      </c>
      <c r="Z131" s="59">
        <f t="shared" si="336"/>
        <v>0</v>
      </c>
      <c r="AA131" s="59">
        <f t="shared" si="336"/>
        <v>15</v>
      </c>
      <c r="AB131" s="59">
        <f t="shared" si="336"/>
        <v>0</v>
      </c>
      <c r="AC131" s="59">
        <f t="shared" si="336"/>
        <v>0</v>
      </c>
      <c r="AD131" s="59">
        <f>IF(AD125="","",AD125-AC125)</f>
        <v>0</v>
      </c>
      <c r="AE131" s="59">
        <f t="shared" si="336"/>
        <v>5</v>
      </c>
      <c r="AF131" s="59">
        <f t="shared" si="336"/>
        <v>0</v>
      </c>
      <c r="AG131" s="59">
        <f t="shared" si="336"/>
        <v>0</v>
      </c>
      <c r="AH131" s="59">
        <f t="shared" si="336"/>
        <v>0</v>
      </c>
      <c r="AI131" s="59">
        <f t="shared" si="336"/>
        <v>11</v>
      </c>
      <c r="AJ131" s="59" t="str">
        <f t="shared" si="336"/>
        <v/>
      </c>
      <c r="AK131" s="59" t="str">
        <f t="shared" si="336"/>
        <v/>
      </c>
      <c r="AL131" s="59" t="str">
        <f t="shared" si="336"/>
        <v/>
      </c>
      <c r="AM131" s="59" t="str">
        <f t="shared" si="336"/>
        <v/>
      </c>
      <c r="AN131" s="59" t="str">
        <f t="shared" si="336"/>
        <v/>
      </c>
      <c r="AO131" s="59" t="str">
        <f t="shared" si="336"/>
        <v/>
      </c>
      <c r="AP131" s="59" t="str">
        <f t="shared" si="326"/>
        <v/>
      </c>
      <c r="AQ131" s="59" t="str">
        <f t="shared" si="327"/>
        <v/>
      </c>
      <c r="AR131" s="59" t="str">
        <f t="shared" si="328"/>
        <v/>
      </c>
      <c r="AS131" s="59" t="str">
        <f t="shared" si="329"/>
        <v/>
      </c>
      <c r="AT131" s="59" t="str">
        <f t="shared" si="330"/>
        <v/>
      </c>
      <c r="AU131" s="59" t="str">
        <f t="shared" si="331"/>
        <v/>
      </c>
      <c r="AV131" s="59" t="str">
        <f t="shared" si="332"/>
        <v/>
      </c>
      <c r="AW131" s="59" t="str">
        <f t="shared" si="333"/>
        <v/>
      </c>
      <c r="AX131" s="59" t="str">
        <f t="shared" si="334"/>
        <v/>
      </c>
    </row>
    <row r="132" spans="1:50" s="1" customFormat="1">
      <c r="A132" s="7">
        <f>SUM(C132:AO132)</f>
        <v>0</v>
      </c>
      <c r="B132" s="60" t="s">
        <v>18</v>
      </c>
      <c r="C132" s="59"/>
      <c r="D132" s="59"/>
      <c r="E132" s="59"/>
      <c r="F132" s="59"/>
      <c r="G132" s="59"/>
      <c r="H132" s="74" t="str">
        <f>IF(H127="","",#REF!*H127)</f>
        <v/>
      </c>
      <c r="I132" s="59" t="str">
        <f>IF(I127="","",#REF!*I127)</f>
        <v/>
      </c>
      <c r="J132" s="59" t="str">
        <f>IF(J127="","",#REF!*J127)</f>
        <v/>
      </c>
      <c r="K132" s="59" t="str">
        <f>IF(K127="","",#REF!*K127)</f>
        <v/>
      </c>
      <c r="L132" s="59" t="str">
        <f>IF(L127="","",#REF!*L127)</f>
        <v/>
      </c>
      <c r="M132" s="59" t="str">
        <f>IF(M127="","",#REF!*M127)</f>
        <v/>
      </c>
      <c r="N132" s="59" t="str">
        <f>IF(N127="","",#REF!*N127)</f>
        <v/>
      </c>
      <c r="O132" s="59" t="str">
        <f>IF(O127="","",#REF!*O127)</f>
        <v/>
      </c>
      <c r="P132" s="59" t="str">
        <f>IF(P127="","",#REF!*P127)</f>
        <v/>
      </c>
      <c r="Q132" s="59" t="str">
        <f>IF(Q127="","",#REF!*Q127)</f>
        <v/>
      </c>
      <c r="R132" s="59" t="str">
        <f>IF(R127="","",#REF!*R127)</f>
        <v/>
      </c>
      <c r="S132" s="59" t="str">
        <f>IF(S127="","",#REF!*S127)</f>
        <v/>
      </c>
      <c r="T132" s="59" t="str">
        <f>IF(T127="","",#REF!*T127)</f>
        <v/>
      </c>
      <c r="U132" s="59" t="str">
        <f>IF(U127="","",#REF!*U127)</f>
        <v/>
      </c>
      <c r="V132" s="59" t="str">
        <f>IF(V127="","",#REF!*V127)</f>
        <v/>
      </c>
      <c r="W132" s="59" t="str">
        <f>IF(W127="","",#REF!*W127)</f>
        <v/>
      </c>
      <c r="X132" s="59" t="str">
        <f>IF(X127="","",#REF!*X127)</f>
        <v/>
      </c>
      <c r="Y132" s="59" t="str">
        <f>IF(Y127="","",#REF!*Y127)</f>
        <v/>
      </c>
      <c r="Z132" s="59" t="str">
        <f>IF(Z127="","",#REF!*Z127)</f>
        <v/>
      </c>
      <c r="AA132" s="59" t="str">
        <f>IF(AA127="","",#REF!*AA127)</f>
        <v/>
      </c>
      <c r="AB132" s="59" t="str">
        <f>IF(AB127="","",#REF!*AB127)</f>
        <v/>
      </c>
      <c r="AC132" s="59" t="str">
        <f>IF(AC127="","",#REF!*AC127)</f>
        <v/>
      </c>
      <c r="AD132" s="59" t="str">
        <f>IF(AD127="","",#REF!*AD127)</f>
        <v/>
      </c>
      <c r="AE132" s="59" t="str">
        <f>IF(AE127="","",#REF!*AE127)</f>
        <v/>
      </c>
      <c r="AF132" s="59" t="str">
        <f>IF(AF127="","",#REF!*AF127)</f>
        <v/>
      </c>
      <c r="AG132" s="59" t="str">
        <f>IF(AG127="","",#REF!*AG127)</f>
        <v/>
      </c>
      <c r="AH132" s="59" t="str">
        <f>IF(AH127="","",#REF!*AH127)</f>
        <v/>
      </c>
      <c r="AI132" s="59" t="str">
        <f>IF(AI127="","",#REF!*AI127)</f>
        <v/>
      </c>
      <c r="AJ132" s="59" t="str">
        <f>IF(AJ127="","",#REF!*AJ127)</f>
        <v/>
      </c>
      <c r="AK132" s="59" t="str">
        <f>IF(AK127="","",#REF!*AK127)</f>
        <v/>
      </c>
      <c r="AL132" s="59" t="str">
        <f>IF(AL127="","",#REF!*AL127)</f>
        <v/>
      </c>
      <c r="AM132" s="59" t="str">
        <f>IF(AM127="","",#REF!*AM127)</f>
        <v/>
      </c>
      <c r="AN132" s="59" t="str">
        <f>IF(AN127="","",#REF!*AN127)</f>
        <v/>
      </c>
      <c r="AO132" s="59" t="str">
        <f>IF(AO127="","",#REF!*AO127)</f>
        <v/>
      </c>
      <c r="AP132" s="59" t="str">
        <f>IF(AP127="","",#REF!*AP127)</f>
        <v/>
      </c>
      <c r="AQ132" s="59" t="str">
        <f>IF(AQ127="","",#REF!*AQ127)</f>
        <v/>
      </c>
      <c r="AR132" s="59" t="str">
        <f>IF(AR127="","",#REF!*AR127)</f>
        <v/>
      </c>
      <c r="AS132" s="59" t="str">
        <f>IF(AS127="","",#REF!*AS127)</f>
        <v/>
      </c>
      <c r="AT132" s="59" t="str">
        <f>IF(AT127="","",#REF!*AT127)</f>
        <v/>
      </c>
      <c r="AU132" s="59" t="str">
        <f>IF(AU127="","",#REF!*AU127)</f>
        <v/>
      </c>
      <c r="AV132" s="59" t="str">
        <f>IF(AV127="","",#REF!*AV127)</f>
        <v/>
      </c>
      <c r="AW132" s="59" t="str">
        <f>IF(AW127="","",#REF!*AW127)</f>
        <v/>
      </c>
      <c r="AX132" s="59" t="str">
        <f>IF(AX127="","",#REF!*AX127)</f>
        <v/>
      </c>
    </row>
    <row r="133" spans="1:50" s="1" customFormat="1">
      <c r="A133" s="19">
        <f>IF(A132="","",A132/(A130*100))</f>
        <v>0</v>
      </c>
      <c r="B133" s="60" t="s">
        <v>20</v>
      </c>
      <c r="C133" s="62"/>
      <c r="D133" s="62"/>
      <c r="E133" s="62"/>
      <c r="F133" s="62"/>
      <c r="G133" s="62" t="str">
        <f>IF(G132="","",G132/(G130*100))</f>
        <v/>
      </c>
      <c r="H133" s="76" t="str">
        <f>IF(H132="","",H132/(H130*100))</f>
        <v/>
      </c>
      <c r="I133" s="62" t="str">
        <f>IF(I132="","",I132/(I130*100))</f>
        <v/>
      </c>
      <c r="J133" s="62" t="str">
        <f>IF(J132="","",J132/(J130*100))</f>
        <v/>
      </c>
      <c r="K133" s="62" t="str">
        <f t="shared" ref="K133:L133" si="337">IF(K132="","",K132/(K130*100))</f>
        <v/>
      </c>
      <c r="L133" s="62" t="str">
        <f t="shared" si="337"/>
        <v/>
      </c>
      <c r="M133" s="62" t="str">
        <f>IF(M132="","",M132/(M130*100))</f>
        <v/>
      </c>
      <c r="N133" s="62" t="str">
        <f t="shared" ref="N133" si="338">IF(N132="","",N132/(N130*100))</f>
        <v/>
      </c>
      <c r="O133" s="62" t="str">
        <f t="shared" ref="O133:P133" si="339">IF(O132="","",O132/(O130*100))</f>
        <v/>
      </c>
      <c r="P133" s="62" t="str">
        <f t="shared" si="339"/>
        <v/>
      </c>
      <c r="Q133" s="62" t="str">
        <f>IF(Q132="","",Q132/(Q130*100))</f>
        <v/>
      </c>
      <c r="R133" s="62" t="str">
        <f t="shared" ref="R133:S133" si="340">IF(R132="","",R132/(R130*100))</f>
        <v/>
      </c>
      <c r="S133" s="62" t="str">
        <f t="shared" si="340"/>
        <v/>
      </c>
      <c r="T133" s="62" t="str">
        <f t="shared" ref="T133:AO133" si="341">IF(T132="","",T132/(T130*100))</f>
        <v/>
      </c>
      <c r="U133" s="62" t="str">
        <f>IF(U132="","",U132/(U130*100))</f>
        <v/>
      </c>
      <c r="V133" s="62" t="str">
        <f>IF(V132="","",V132/(V130*100))</f>
        <v/>
      </c>
      <c r="W133" s="62" t="str">
        <f>IF(W132="","",W132/(W130*100))</f>
        <v/>
      </c>
      <c r="X133" s="62" t="str">
        <f t="shared" si="341"/>
        <v/>
      </c>
      <c r="Y133" s="62" t="str">
        <f t="shared" ref="Y133:Z133" si="342">IF(Y132="","",Y132/(Y130*100))</f>
        <v/>
      </c>
      <c r="Z133" s="62" t="str">
        <f t="shared" si="342"/>
        <v/>
      </c>
      <c r="AA133" s="62" t="str">
        <f t="shared" si="341"/>
        <v/>
      </c>
      <c r="AB133" s="62" t="str">
        <f t="shared" si="341"/>
        <v/>
      </c>
      <c r="AC133" s="62" t="str">
        <f t="shared" si="341"/>
        <v/>
      </c>
      <c r="AD133" s="62" t="str">
        <f t="shared" si="341"/>
        <v/>
      </c>
      <c r="AE133" s="62" t="str">
        <f t="shared" si="341"/>
        <v/>
      </c>
      <c r="AF133" s="62" t="str">
        <f t="shared" si="341"/>
        <v/>
      </c>
      <c r="AG133" s="62" t="str">
        <f t="shared" si="341"/>
        <v/>
      </c>
      <c r="AH133" s="62" t="str">
        <f t="shared" si="341"/>
        <v/>
      </c>
      <c r="AI133" s="62" t="str">
        <f t="shared" si="341"/>
        <v/>
      </c>
      <c r="AJ133" s="62" t="str">
        <f t="shared" si="341"/>
        <v/>
      </c>
      <c r="AK133" s="62" t="str">
        <f t="shared" si="341"/>
        <v/>
      </c>
      <c r="AL133" s="62" t="str">
        <f t="shared" si="341"/>
        <v/>
      </c>
      <c r="AM133" s="62" t="str">
        <f t="shared" si="341"/>
        <v/>
      </c>
      <c r="AN133" s="62" t="str">
        <f t="shared" si="341"/>
        <v/>
      </c>
      <c r="AO133" s="62" t="str">
        <f t="shared" si="341"/>
        <v/>
      </c>
      <c r="AP133" s="62" t="str">
        <f t="shared" ref="AP133" si="343">IF(AP132="","",AP132/(AP130*100))</f>
        <v/>
      </c>
      <c r="AQ133" s="62" t="str">
        <f t="shared" ref="AQ133:AX133" si="344">IF(AQ132="","",AQ132/(AQ130*100))</f>
        <v/>
      </c>
      <c r="AR133" s="62" t="str">
        <f t="shared" si="344"/>
        <v/>
      </c>
      <c r="AS133" s="62" t="str">
        <f t="shared" si="344"/>
        <v/>
      </c>
      <c r="AT133" s="62" t="str">
        <f t="shared" si="344"/>
        <v/>
      </c>
      <c r="AU133" s="62" t="str">
        <f t="shared" si="344"/>
        <v/>
      </c>
      <c r="AV133" s="62" t="str">
        <f t="shared" si="344"/>
        <v/>
      </c>
      <c r="AW133" s="62" t="str">
        <f t="shared" si="344"/>
        <v/>
      </c>
      <c r="AX133" s="62" t="str">
        <f t="shared" si="344"/>
        <v/>
      </c>
    </row>
    <row r="134" spans="1:50" s="1" customFormat="1">
      <c r="A134" s="17" t="s">
        <v>113</v>
      </c>
      <c r="B134" s="9" t="s">
        <v>171</v>
      </c>
      <c r="C134" s="8"/>
      <c r="D134" s="8"/>
      <c r="E134" s="8"/>
      <c r="F134" s="8"/>
      <c r="G134" s="8">
        <v>15568</v>
      </c>
      <c r="H134" s="74">
        <v>15568</v>
      </c>
      <c r="I134" s="8">
        <v>15568</v>
      </c>
      <c r="J134" s="8">
        <v>15578</v>
      </c>
      <c r="K134" s="8">
        <v>15578</v>
      </c>
      <c r="L134" s="8">
        <v>15578</v>
      </c>
      <c r="M134" s="8">
        <v>15623</v>
      </c>
      <c r="N134" s="8">
        <v>15623</v>
      </c>
      <c r="O134" s="8">
        <v>15623</v>
      </c>
      <c r="P134" s="8">
        <v>15623</v>
      </c>
      <c r="Q134" s="8">
        <v>15648</v>
      </c>
      <c r="R134" s="8">
        <v>15648</v>
      </c>
      <c r="S134" s="8">
        <v>15648</v>
      </c>
      <c r="T134" s="8">
        <v>15673</v>
      </c>
      <c r="U134" s="8">
        <v>15673</v>
      </c>
      <c r="V134" s="8">
        <v>15673</v>
      </c>
      <c r="W134" s="8">
        <v>15673</v>
      </c>
      <c r="X134" s="8">
        <v>15693</v>
      </c>
      <c r="Y134" s="8">
        <v>15693</v>
      </c>
      <c r="Z134" s="8">
        <v>15693</v>
      </c>
      <c r="AA134" s="8">
        <v>15738</v>
      </c>
      <c r="AB134" s="8">
        <v>15738</v>
      </c>
      <c r="AC134" s="8">
        <v>15738</v>
      </c>
      <c r="AD134" s="8">
        <v>15738</v>
      </c>
      <c r="AE134" s="8">
        <v>15743</v>
      </c>
      <c r="AF134" s="8">
        <v>15743</v>
      </c>
      <c r="AG134" s="8">
        <v>15743</v>
      </c>
      <c r="AH134" s="8">
        <v>15743</v>
      </c>
      <c r="AI134" s="8">
        <v>15768</v>
      </c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s="1" customFormat="1">
      <c r="A135" s="61" t="s">
        <v>172</v>
      </c>
      <c r="B135" s="9" t="s">
        <v>163</v>
      </c>
      <c r="C135" s="8"/>
      <c r="D135" s="8"/>
      <c r="E135" s="8"/>
      <c r="F135" s="8"/>
      <c r="G135" s="8">
        <v>3140</v>
      </c>
      <c r="H135" s="74">
        <v>3140</v>
      </c>
      <c r="I135" s="8">
        <v>3140</v>
      </c>
      <c r="J135" s="8">
        <v>3142</v>
      </c>
      <c r="K135" s="8">
        <v>3142</v>
      </c>
      <c r="L135" s="8">
        <v>3142</v>
      </c>
      <c r="M135" s="8">
        <v>3151</v>
      </c>
      <c r="N135" s="8">
        <v>3151</v>
      </c>
      <c r="O135" s="8">
        <v>3151</v>
      </c>
      <c r="P135" s="8">
        <v>3151</v>
      </c>
      <c r="Q135" s="8">
        <v>3156</v>
      </c>
      <c r="R135" s="8">
        <v>3156</v>
      </c>
      <c r="S135" s="8">
        <v>3156</v>
      </c>
      <c r="T135" s="8">
        <v>3161</v>
      </c>
      <c r="U135" s="8">
        <v>3161</v>
      </c>
      <c r="V135" s="8">
        <v>3161</v>
      </c>
      <c r="W135" s="8">
        <v>3161</v>
      </c>
      <c r="X135" s="8">
        <v>3165</v>
      </c>
      <c r="Y135" s="8">
        <v>3165</v>
      </c>
      <c r="Z135" s="8">
        <v>3165</v>
      </c>
      <c r="AA135" s="8">
        <v>3174</v>
      </c>
      <c r="AB135" s="8">
        <v>3174</v>
      </c>
      <c r="AC135" s="8">
        <v>3174</v>
      </c>
      <c r="AD135" s="8">
        <v>3174</v>
      </c>
      <c r="AE135" s="8">
        <v>3175</v>
      </c>
      <c r="AF135" s="8">
        <v>3175</v>
      </c>
      <c r="AG135" s="8">
        <v>3175</v>
      </c>
      <c r="AH135" s="8">
        <v>3175</v>
      </c>
      <c r="AI135" s="8">
        <v>3180</v>
      </c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s="1" customFormat="1">
      <c r="A136" s="15" t="s">
        <v>174</v>
      </c>
      <c r="B136" s="9" t="s">
        <v>7</v>
      </c>
      <c r="C136" s="8"/>
      <c r="D136" s="8"/>
      <c r="E136" s="8"/>
      <c r="F136" s="8"/>
      <c r="G136" s="8"/>
      <c r="H136" s="7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s="1" customFormat="1">
      <c r="A137" s="14" t="s">
        <v>9</v>
      </c>
      <c r="B137" s="9" t="s">
        <v>8</v>
      </c>
      <c r="C137" s="8"/>
      <c r="D137" s="8"/>
      <c r="E137" s="8"/>
      <c r="F137" s="8"/>
      <c r="G137" s="8"/>
      <c r="H137" s="7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s="11" customFormat="1">
      <c r="A138" s="7">
        <f>AVERAGE(C140:AO140)*30*100</f>
        <v>21428.571428571431</v>
      </c>
      <c r="B138" s="13" t="s">
        <v>164</v>
      </c>
      <c r="C138" s="12"/>
      <c r="D138" s="12"/>
      <c r="E138" s="12"/>
      <c r="F138" s="12"/>
      <c r="G138" s="12"/>
      <c r="H138" s="75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</row>
    <row r="139" spans="1:50" s="1" customFormat="1">
      <c r="A139" s="10"/>
      <c r="B139" s="9" t="s">
        <v>165</v>
      </c>
      <c r="C139" s="8"/>
      <c r="D139" s="8"/>
      <c r="E139" s="8"/>
      <c r="F139" s="8"/>
      <c r="G139" s="8"/>
      <c r="H139" s="7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s="1" customFormat="1">
      <c r="A140" s="7">
        <f>SUM(C140:AO140)</f>
        <v>200</v>
      </c>
      <c r="B140" s="60" t="s">
        <v>15</v>
      </c>
      <c r="C140" s="59"/>
      <c r="D140" s="59"/>
      <c r="E140" s="59"/>
      <c r="F140" s="59"/>
      <c r="G140" s="59"/>
      <c r="H140" s="74">
        <f t="shared" ref="H140:Q140" si="345">IF(H134="","",H134-G134)</f>
        <v>0</v>
      </c>
      <c r="I140" s="59">
        <f t="shared" si="345"/>
        <v>0</v>
      </c>
      <c r="J140" s="59">
        <f t="shared" si="345"/>
        <v>10</v>
      </c>
      <c r="K140" s="59">
        <f t="shared" si="345"/>
        <v>0</v>
      </c>
      <c r="L140" s="59">
        <f t="shared" si="345"/>
        <v>0</v>
      </c>
      <c r="M140" s="59">
        <f t="shared" si="345"/>
        <v>45</v>
      </c>
      <c r="N140" s="59">
        <f t="shared" si="345"/>
        <v>0</v>
      </c>
      <c r="O140" s="59">
        <f t="shared" si="345"/>
        <v>0</v>
      </c>
      <c r="P140" s="59">
        <f t="shared" si="345"/>
        <v>0</v>
      </c>
      <c r="Q140" s="59">
        <f t="shared" si="345"/>
        <v>25</v>
      </c>
      <c r="R140" s="59">
        <f t="shared" ref="R140:R141" si="346">IF(R134="","",R134-Q134)</f>
        <v>0</v>
      </c>
      <c r="S140" s="59">
        <f t="shared" ref="S140:AO140" si="347">IF(S134="","",S134-R134)</f>
        <v>0</v>
      </c>
      <c r="T140" s="59">
        <f t="shared" si="347"/>
        <v>25</v>
      </c>
      <c r="U140" s="59">
        <f t="shared" si="347"/>
        <v>0</v>
      </c>
      <c r="V140" s="59">
        <f t="shared" si="347"/>
        <v>0</v>
      </c>
      <c r="W140" s="59">
        <f t="shared" si="347"/>
        <v>0</v>
      </c>
      <c r="X140" s="59">
        <f t="shared" si="347"/>
        <v>20</v>
      </c>
      <c r="Y140" s="59">
        <f t="shared" si="347"/>
        <v>0</v>
      </c>
      <c r="Z140" s="59">
        <f t="shared" si="347"/>
        <v>0</v>
      </c>
      <c r="AA140" s="59">
        <f t="shared" si="347"/>
        <v>45</v>
      </c>
      <c r="AB140" s="59">
        <f t="shared" si="347"/>
        <v>0</v>
      </c>
      <c r="AC140" s="59">
        <f t="shared" si="347"/>
        <v>0</v>
      </c>
      <c r="AD140" s="59">
        <f t="shared" si="347"/>
        <v>0</v>
      </c>
      <c r="AE140" s="59">
        <f t="shared" si="347"/>
        <v>5</v>
      </c>
      <c r="AF140" s="59">
        <f t="shared" si="347"/>
        <v>0</v>
      </c>
      <c r="AG140" s="59">
        <f t="shared" si="347"/>
        <v>0</v>
      </c>
      <c r="AH140" s="59">
        <f t="shared" si="347"/>
        <v>0</v>
      </c>
      <c r="AI140" s="59">
        <f t="shared" si="347"/>
        <v>25</v>
      </c>
      <c r="AJ140" s="59" t="str">
        <f t="shared" si="347"/>
        <v/>
      </c>
      <c r="AK140" s="59" t="str">
        <f t="shared" si="347"/>
        <v/>
      </c>
      <c r="AL140" s="59" t="str">
        <f t="shared" si="347"/>
        <v/>
      </c>
      <c r="AM140" s="59" t="str">
        <f t="shared" si="347"/>
        <v/>
      </c>
      <c r="AN140" s="59" t="str">
        <f t="shared" si="347"/>
        <v/>
      </c>
      <c r="AO140" s="59" t="str">
        <f t="shared" si="347"/>
        <v/>
      </c>
      <c r="AP140" s="59" t="str">
        <f t="shared" ref="AP140:AP141" si="348">IF(AP134="","",AP134-AO134)</f>
        <v/>
      </c>
      <c r="AQ140" s="59" t="str">
        <f t="shared" ref="AQ140:AQ141" si="349">IF(AQ134="","",AQ134-AP134)</f>
        <v/>
      </c>
      <c r="AR140" s="59" t="str">
        <f t="shared" ref="AR140:AR141" si="350">IF(AR134="","",AR134-AQ134)</f>
        <v/>
      </c>
      <c r="AS140" s="59" t="str">
        <f t="shared" ref="AS140:AS141" si="351">IF(AS134="","",AS134-AR134)</f>
        <v/>
      </c>
      <c r="AT140" s="59" t="str">
        <f t="shared" ref="AT140:AT141" si="352">IF(AT134="","",AT134-AS134)</f>
        <v/>
      </c>
      <c r="AU140" s="59" t="str">
        <f t="shared" ref="AU140:AU141" si="353">IF(AU134="","",AU134-AT134)</f>
        <v/>
      </c>
      <c r="AV140" s="59" t="str">
        <f t="shared" ref="AV140:AV141" si="354">IF(AV134="","",AV134-AU134)</f>
        <v/>
      </c>
      <c r="AW140" s="59" t="str">
        <f t="shared" ref="AW140:AW141" si="355">IF(AW134="","",AW134-AV134)</f>
        <v/>
      </c>
      <c r="AX140" s="59" t="str">
        <f t="shared" ref="AX140:AX141" si="356">IF(AX134="","",AX134-AW134)</f>
        <v/>
      </c>
    </row>
    <row r="141" spans="1:50" s="1" customFormat="1">
      <c r="A141" s="7">
        <f>SUM(C141:AO141)</f>
        <v>40</v>
      </c>
      <c r="B141" s="60" t="s">
        <v>167</v>
      </c>
      <c r="C141" s="59"/>
      <c r="D141" s="59"/>
      <c r="E141" s="59"/>
      <c r="F141" s="59"/>
      <c r="G141" s="59"/>
      <c r="H141" s="74">
        <f t="shared" ref="H141:Q141" si="357">IF(H135="","",H135-G135)</f>
        <v>0</v>
      </c>
      <c r="I141" s="59">
        <f t="shared" si="357"/>
        <v>0</v>
      </c>
      <c r="J141" s="59">
        <f t="shared" si="357"/>
        <v>2</v>
      </c>
      <c r="K141" s="59">
        <f t="shared" si="357"/>
        <v>0</v>
      </c>
      <c r="L141" s="59">
        <f t="shared" si="357"/>
        <v>0</v>
      </c>
      <c r="M141" s="59">
        <f t="shared" si="357"/>
        <v>9</v>
      </c>
      <c r="N141" s="59">
        <f t="shared" si="357"/>
        <v>0</v>
      </c>
      <c r="O141" s="59">
        <f t="shared" si="357"/>
        <v>0</v>
      </c>
      <c r="P141" s="59">
        <f t="shared" si="357"/>
        <v>0</v>
      </c>
      <c r="Q141" s="59">
        <f t="shared" si="357"/>
        <v>5</v>
      </c>
      <c r="R141" s="59">
        <f t="shared" si="346"/>
        <v>0</v>
      </c>
      <c r="S141" s="59">
        <f t="shared" ref="S141:AO141" si="358">IF(S135="","",S135-R135)</f>
        <v>0</v>
      </c>
      <c r="T141" s="59">
        <f t="shared" si="358"/>
        <v>5</v>
      </c>
      <c r="U141" s="59">
        <f t="shared" si="358"/>
        <v>0</v>
      </c>
      <c r="V141" s="59">
        <f t="shared" si="358"/>
        <v>0</v>
      </c>
      <c r="W141" s="59">
        <f t="shared" si="358"/>
        <v>0</v>
      </c>
      <c r="X141" s="59">
        <f t="shared" si="358"/>
        <v>4</v>
      </c>
      <c r="Y141" s="59">
        <f t="shared" si="358"/>
        <v>0</v>
      </c>
      <c r="Z141" s="59">
        <f t="shared" si="358"/>
        <v>0</v>
      </c>
      <c r="AA141" s="59">
        <f t="shared" si="358"/>
        <v>9</v>
      </c>
      <c r="AB141" s="59">
        <f t="shared" si="358"/>
        <v>0</v>
      </c>
      <c r="AC141" s="59">
        <f t="shared" si="358"/>
        <v>0</v>
      </c>
      <c r="AD141" s="59">
        <f t="shared" si="358"/>
        <v>0</v>
      </c>
      <c r="AE141" s="59">
        <f t="shared" si="358"/>
        <v>1</v>
      </c>
      <c r="AF141" s="59">
        <f t="shared" si="358"/>
        <v>0</v>
      </c>
      <c r="AG141" s="59">
        <f t="shared" si="358"/>
        <v>0</v>
      </c>
      <c r="AH141" s="59">
        <f t="shared" si="358"/>
        <v>0</v>
      </c>
      <c r="AI141" s="59">
        <f t="shared" si="358"/>
        <v>5</v>
      </c>
      <c r="AJ141" s="59" t="str">
        <f t="shared" si="358"/>
        <v/>
      </c>
      <c r="AK141" s="59" t="str">
        <f t="shared" si="358"/>
        <v/>
      </c>
      <c r="AL141" s="59" t="str">
        <f t="shared" si="358"/>
        <v/>
      </c>
      <c r="AM141" s="59" t="str">
        <f t="shared" si="358"/>
        <v/>
      </c>
      <c r="AN141" s="59" t="str">
        <f t="shared" si="358"/>
        <v/>
      </c>
      <c r="AO141" s="59" t="str">
        <f t="shared" si="358"/>
        <v/>
      </c>
      <c r="AP141" s="59" t="str">
        <f t="shared" si="348"/>
        <v/>
      </c>
      <c r="AQ141" s="59" t="str">
        <f t="shared" si="349"/>
        <v/>
      </c>
      <c r="AR141" s="59" t="str">
        <f t="shared" si="350"/>
        <v/>
      </c>
      <c r="AS141" s="59" t="str">
        <f t="shared" si="351"/>
        <v/>
      </c>
      <c r="AT141" s="59" t="str">
        <f t="shared" si="352"/>
        <v/>
      </c>
      <c r="AU141" s="59" t="str">
        <f t="shared" si="353"/>
        <v/>
      </c>
      <c r="AV141" s="59" t="str">
        <f t="shared" si="354"/>
        <v/>
      </c>
      <c r="AW141" s="59" t="str">
        <f t="shared" si="355"/>
        <v/>
      </c>
      <c r="AX141" s="59" t="str">
        <f t="shared" si="356"/>
        <v/>
      </c>
    </row>
    <row r="142" spans="1:50" s="1" customFormat="1">
      <c r="A142" s="7">
        <f>SUM(C142:AO142)</f>
        <v>0</v>
      </c>
      <c r="B142" s="60" t="s">
        <v>18</v>
      </c>
      <c r="C142" s="59"/>
      <c r="D142" s="59"/>
      <c r="E142" s="59"/>
      <c r="F142" s="59"/>
      <c r="G142" s="59" t="str">
        <f>IF(G137="","",#REF!*G137)</f>
        <v/>
      </c>
      <c r="H142" s="74" t="str">
        <f>IF(H137="","",#REF!*H137)</f>
        <v/>
      </c>
      <c r="I142" s="59" t="str">
        <f>IF(I137="","",#REF!*I137)</f>
        <v/>
      </c>
      <c r="J142" s="59" t="str">
        <f>IF(J137="","",#REF!*J137)</f>
        <v/>
      </c>
      <c r="K142" s="59" t="str">
        <f>IF(K137="","",#REF!*K137)</f>
        <v/>
      </c>
      <c r="L142" s="59" t="str">
        <f>IF(L137="","",#REF!*L137)</f>
        <v/>
      </c>
      <c r="M142" s="59" t="str">
        <f>IF(M137="","",#REF!*M137)</f>
        <v/>
      </c>
      <c r="N142" s="59" t="str">
        <f>IF(N137="","",#REF!*N137)</f>
        <v/>
      </c>
      <c r="O142" s="59" t="str">
        <f>IF(O137="","",#REF!*O137)</f>
        <v/>
      </c>
      <c r="P142" s="59" t="str">
        <f>IF(P137="","",#REF!*P137)</f>
        <v/>
      </c>
      <c r="Q142" s="59" t="str">
        <f>IF(Q137="","",#REF!*Q137)</f>
        <v/>
      </c>
      <c r="R142" s="59" t="str">
        <f>IF(R137="","",#REF!*R137)</f>
        <v/>
      </c>
      <c r="S142" s="59" t="str">
        <f>IF(S137="","",#REF!*S137)</f>
        <v/>
      </c>
      <c r="T142" s="59" t="str">
        <f>IF(T137="","",#REF!*T137)</f>
        <v/>
      </c>
      <c r="U142" s="59" t="str">
        <f>IF(U137="","",#REF!*U137)</f>
        <v/>
      </c>
      <c r="V142" s="59" t="str">
        <f>IF(V137="","",#REF!*V137)</f>
        <v/>
      </c>
      <c r="W142" s="59" t="str">
        <f>IF(W137="","",#REF!*W137)</f>
        <v/>
      </c>
      <c r="X142" s="59" t="str">
        <f>IF(X137="","",#REF!*X137)</f>
        <v/>
      </c>
      <c r="Y142" s="59" t="str">
        <f>IF(Y137="","",#REF!*Y137)</f>
        <v/>
      </c>
      <c r="Z142" s="59" t="str">
        <f>IF(Z137="","",#REF!*Z137)</f>
        <v/>
      </c>
      <c r="AA142" s="59" t="str">
        <f>IF(AA137="","",#REF!*AA137)</f>
        <v/>
      </c>
      <c r="AB142" s="59" t="str">
        <f>IF(AB137="","",#REF!*AB137)</f>
        <v/>
      </c>
      <c r="AC142" s="59" t="str">
        <f>IF(AC137="","",#REF!*AC137)</f>
        <v/>
      </c>
      <c r="AD142" s="59" t="str">
        <f>IF(AD137="","",#REF!*AD137)</f>
        <v/>
      </c>
      <c r="AE142" s="59" t="str">
        <f>IF(AE137="","",#REF!*AE137)</f>
        <v/>
      </c>
      <c r="AF142" s="59" t="str">
        <f>IF(AF137="","",#REF!*AF137)</f>
        <v/>
      </c>
      <c r="AG142" s="59" t="str">
        <f>IF(AG137="","",#REF!*AG137)</f>
        <v/>
      </c>
      <c r="AH142" s="59" t="str">
        <f>IF(AH137="","",#REF!*AH137)</f>
        <v/>
      </c>
      <c r="AI142" s="59" t="str">
        <f>IF(AI137="","",#REF!*AI137)</f>
        <v/>
      </c>
      <c r="AJ142" s="59" t="str">
        <f>IF(AJ137="","",#REF!*AJ137)</f>
        <v/>
      </c>
      <c r="AK142" s="59" t="str">
        <f>IF(AK137="","",#REF!*AK137)</f>
        <v/>
      </c>
      <c r="AL142" s="59" t="str">
        <f>IF(AL137="","",#REF!*AL137)</f>
        <v/>
      </c>
      <c r="AM142" s="59" t="str">
        <f>IF(AM137="","",#REF!*AM137)</f>
        <v/>
      </c>
      <c r="AN142" s="59" t="str">
        <f>IF(AN137="","",#REF!*AN137)</f>
        <v/>
      </c>
      <c r="AO142" s="59" t="str">
        <f>IF(AO137="","",#REF!*AO137)</f>
        <v/>
      </c>
      <c r="AP142" s="59" t="str">
        <f>IF(AP137="","",#REF!*AP137)</f>
        <v/>
      </c>
      <c r="AQ142" s="59" t="str">
        <f>IF(AQ137="","",#REF!*AQ137)</f>
        <v/>
      </c>
      <c r="AR142" s="59" t="str">
        <f>IF(AR137="","",#REF!*AR137)</f>
        <v/>
      </c>
      <c r="AS142" s="59" t="str">
        <f>IF(AS137="","",#REF!*AS137)</f>
        <v/>
      </c>
      <c r="AT142" s="59" t="str">
        <f>IF(AT137="","",#REF!*AT137)</f>
        <v/>
      </c>
      <c r="AU142" s="59" t="str">
        <f>IF(AU137="","",#REF!*AU137)</f>
        <v/>
      </c>
      <c r="AV142" s="59" t="str">
        <f>IF(AV137="","",#REF!*AV137)</f>
        <v/>
      </c>
      <c r="AW142" s="59" t="str">
        <f>IF(AW137="","",#REF!*AW137)</f>
        <v/>
      </c>
      <c r="AX142" s="59" t="str">
        <f>IF(AX137="","",#REF!*AX137)</f>
        <v/>
      </c>
    </row>
    <row r="143" spans="1:50" s="1" customFormat="1" ht="12" thickBot="1">
      <c r="A143" s="4">
        <f>IF(A142="","",A142/(A140*100))</f>
        <v>0</v>
      </c>
      <c r="B143" s="58" t="s">
        <v>20</v>
      </c>
      <c r="C143" s="57" t="str">
        <f t="shared" ref="C143:Q143" si="359">IF(C142="","",C142/(C140*100))</f>
        <v/>
      </c>
      <c r="D143" s="57" t="str">
        <f t="shared" si="359"/>
        <v/>
      </c>
      <c r="E143" s="57" t="str">
        <f t="shared" si="359"/>
        <v/>
      </c>
      <c r="F143" s="57" t="str">
        <f t="shared" si="359"/>
        <v/>
      </c>
      <c r="G143" s="57" t="str">
        <f t="shared" si="359"/>
        <v/>
      </c>
      <c r="H143" s="77" t="str">
        <f t="shared" si="359"/>
        <v/>
      </c>
      <c r="I143" s="57" t="str">
        <f t="shared" si="359"/>
        <v/>
      </c>
      <c r="J143" s="57" t="str">
        <f t="shared" si="359"/>
        <v/>
      </c>
      <c r="K143" s="57" t="str">
        <f t="shared" si="359"/>
        <v/>
      </c>
      <c r="L143" s="57" t="str">
        <f t="shared" si="359"/>
        <v/>
      </c>
      <c r="M143" s="57" t="str">
        <f t="shared" si="359"/>
        <v/>
      </c>
      <c r="N143" s="57" t="str">
        <f t="shared" si="359"/>
        <v/>
      </c>
      <c r="O143" s="57" t="str">
        <f t="shared" si="359"/>
        <v/>
      </c>
      <c r="P143" s="57" t="str">
        <f t="shared" si="359"/>
        <v/>
      </c>
      <c r="Q143" s="57" t="str">
        <f t="shared" si="359"/>
        <v/>
      </c>
      <c r="R143" s="57" t="str">
        <f t="shared" ref="R143" si="360">IF(R142="","",R142/(R140*100))</f>
        <v/>
      </c>
      <c r="S143" s="57" t="str">
        <f t="shared" ref="S143:AO143" si="361">IF(S142="","",S142/(S140*100))</f>
        <v/>
      </c>
      <c r="T143" s="57" t="str">
        <f t="shared" si="361"/>
        <v/>
      </c>
      <c r="U143" s="57" t="str">
        <f t="shared" si="361"/>
        <v/>
      </c>
      <c r="V143" s="57" t="str">
        <f t="shared" si="361"/>
        <v/>
      </c>
      <c r="W143" s="57" t="str">
        <f t="shared" si="361"/>
        <v/>
      </c>
      <c r="X143" s="57" t="str">
        <f t="shared" si="361"/>
        <v/>
      </c>
      <c r="Y143" s="57" t="str">
        <f t="shared" si="361"/>
        <v/>
      </c>
      <c r="Z143" s="57" t="str">
        <f t="shared" si="361"/>
        <v/>
      </c>
      <c r="AA143" s="57" t="str">
        <f t="shared" si="361"/>
        <v/>
      </c>
      <c r="AB143" s="57" t="str">
        <f t="shared" si="361"/>
        <v/>
      </c>
      <c r="AC143" s="57" t="str">
        <f t="shared" si="361"/>
        <v/>
      </c>
      <c r="AD143" s="57" t="str">
        <f t="shared" si="361"/>
        <v/>
      </c>
      <c r="AE143" s="57" t="str">
        <f t="shared" si="361"/>
        <v/>
      </c>
      <c r="AF143" s="57" t="str">
        <f t="shared" si="361"/>
        <v/>
      </c>
      <c r="AG143" s="57" t="str">
        <f t="shared" si="361"/>
        <v/>
      </c>
      <c r="AH143" s="57" t="str">
        <f t="shared" si="361"/>
        <v/>
      </c>
      <c r="AI143" s="57" t="str">
        <f t="shared" si="361"/>
        <v/>
      </c>
      <c r="AJ143" s="57" t="str">
        <f t="shared" si="361"/>
        <v/>
      </c>
      <c r="AK143" s="57" t="str">
        <f t="shared" si="361"/>
        <v/>
      </c>
      <c r="AL143" s="57" t="str">
        <f t="shared" si="361"/>
        <v/>
      </c>
      <c r="AM143" s="57" t="str">
        <f t="shared" si="361"/>
        <v/>
      </c>
      <c r="AN143" s="57" t="str">
        <f t="shared" si="361"/>
        <v/>
      </c>
      <c r="AO143" s="57" t="str">
        <f t="shared" si="361"/>
        <v/>
      </c>
      <c r="AP143" s="57" t="str">
        <f t="shared" ref="AP143" si="362">IF(AP142="","",AP142/(AP140*100))</f>
        <v/>
      </c>
      <c r="AQ143" s="57" t="str">
        <f t="shared" ref="AQ143:AX143" si="363">IF(AQ142="","",AQ142/(AQ140*100))</f>
        <v/>
      </c>
      <c r="AR143" s="57" t="str">
        <f t="shared" si="363"/>
        <v/>
      </c>
      <c r="AS143" s="57" t="str">
        <f t="shared" si="363"/>
        <v/>
      </c>
      <c r="AT143" s="57" t="str">
        <f t="shared" si="363"/>
        <v/>
      </c>
      <c r="AU143" s="57" t="str">
        <f t="shared" si="363"/>
        <v/>
      </c>
      <c r="AV143" s="57" t="str">
        <f t="shared" si="363"/>
        <v/>
      </c>
      <c r="AW143" s="57" t="str">
        <f t="shared" si="363"/>
        <v/>
      </c>
      <c r="AX143" s="57" t="str">
        <f t="shared" si="363"/>
        <v/>
      </c>
    </row>
    <row r="144" spans="1:50" s="1" customFormat="1">
      <c r="A144" s="40" t="s">
        <v>101</v>
      </c>
      <c r="B144" s="39" t="s">
        <v>161</v>
      </c>
      <c r="C144" s="38"/>
      <c r="D144" s="38"/>
      <c r="E144" s="38"/>
      <c r="F144" s="38"/>
      <c r="G144" s="38">
        <v>5351</v>
      </c>
      <c r="H144" s="66">
        <v>5351</v>
      </c>
      <c r="I144" s="38">
        <v>5351</v>
      </c>
      <c r="J144" s="38">
        <v>5353</v>
      </c>
      <c r="K144" s="38">
        <v>5353</v>
      </c>
      <c r="L144" s="38">
        <v>5355</v>
      </c>
      <c r="M144" s="38">
        <v>5360</v>
      </c>
      <c r="N144" s="38">
        <v>5360</v>
      </c>
      <c r="O144" s="38">
        <v>5360</v>
      </c>
      <c r="P144" s="38">
        <v>5360</v>
      </c>
      <c r="Q144" s="38">
        <v>5369</v>
      </c>
      <c r="R144" s="38">
        <v>5373</v>
      </c>
      <c r="S144" s="38">
        <v>5373</v>
      </c>
      <c r="T144" s="38">
        <v>5373</v>
      </c>
      <c r="U144" s="38">
        <v>5375</v>
      </c>
      <c r="V144" s="38">
        <v>5375</v>
      </c>
      <c r="W144" s="38">
        <v>5375</v>
      </c>
      <c r="X144" s="38">
        <v>5377</v>
      </c>
      <c r="Y144" s="38">
        <v>5386</v>
      </c>
      <c r="Z144" s="38">
        <v>5386</v>
      </c>
      <c r="AA144" s="38">
        <v>5396</v>
      </c>
      <c r="AB144" s="38">
        <v>5396</v>
      </c>
      <c r="AC144" s="38">
        <v>5396</v>
      </c>
      <c r="AD144" s="38">
        <v>5398</v>
      </c>
      <c r="AE144" s="38">
        <v>5400</v>
      </c>
      <c r="AF144" s="38">
        <v>5400</v>
      </c>
      <c r="AG144" s="38">
        <v>5400</v>
      </c>
      <c r="AH144" s="38">
        <v>5400</v>
      </c>
      <c r="AI144" s="38">
        <v>5410</v>
      </c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</row>
    <row r="145" spans="1:50" s="1" customFormat="1">
      <c r="A145" s="56" t="s">
        <v>169</v>
      </c>
      <c r="B145" s="30" t="s">
        <v>163</v>
      </c>
      <c r="C145" s="29"/>
      <c r="D145" s="29"/>
      <c r="E145" s="29"/>
      <c r="F145" s="29"/>
      <c r="G145" s="29">
        <v>4102</v>
      </c>
      <c r="H145" s="65">
        <v>4102</v>
      </c>
      <c r="I145" s="29">
        <v>4102</v>
      </c>
      <c r="J145" s="29">
        <v>4103</v>
      </c>
      <c r="K145" s="29">
        <v>4103</v>
      </c>
      <c r="L145" s="29">
        <v>4104</v>
      </c>
      <c r="M145" s="29">
        <v>4106</v>
      </c>
      <c r="N145" s="29">
        <v>4106</v>
      </c>
      <c r="O145" s="29">
        <v>4106</v>
      </c>
      <c r="P145" s="29">
        <v>4106</v>
      </c>
      <c r="Q145" s="29">
        <v>4109</v>
      </c>
      <c r="R145" s="29">
        <v>4111</v>
      </c>
      <c r="S145" s="29">
        <v>4111</v>
      </c>
      <c r="T145" s="29">
        <v>4111</v>
      </c>
      <c r="U145" s="29">
        <v>4112</v>
      </c>
      <c r="V145" s="29">
        <v>4112</v>
      </c>
      <c r="W145" s="29">
        <v>4112</v>
      </c>
      <c r="X145" s="29">
        <v>4113</v>
      </c>
      <c r="Y145" s="29">
        <v>4117</v>
      </c>
      <c r="Z145" s="29">
        <v>4117</v>
      </c>
      <c r="AA145" s="29">
        <v>4122</v>
      </c>
      <c r="AB145" s="29">
        <v>4122</v>
      </c>
      <c r="AC145" s="29">
        <v>4122</v>
      </c>
      <c r="AD145" s="29">
        <v>4123</v>
      </c>
      <c r="AE145" s="29">
        <v>4124</v>
      </c>
      <c r="AF145" s="29">
        <v>4124</v>
      </c>
      <c r="AG145" s="29">
        <v>4124</v>
      </c>
      <c r="AH145" s="29">
        <v>4124</v>
      </c>
      <c r="AI145" s="29">
        <v>4129</v>
      </c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</row>
    <row r="146" spans="1:50" s="1" customFormat="1">
      <c r="A146" s="36" t="s">
        <v>9</v>
      </c>
      <c r="B146" s="30" t="s">
        <v>7</v>
      </c>
      <c r="C146" s="29"/>
      <c r="D146" s="29"/>
      <c r="E146" s="29"/>
      <c r="F146" s="29"/>
      <c r="G146" s="29"/>
      <c r="H146" s="65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</row>
    <row r="147" spans="1:50" s="1" customFormat="1">
      <c r="A147" s="28">
        <f>AVERAGE(C150:AO150)*30*1000</f>
        <v>55384.61538461539</v>
      </c>
      <c r="B147" s="30" t="s">
        <v>8</v>
      </c>
      <c r="C147" s="29"/>
      <c r="D147" s="29"/>
      <c r="E147" s="29"/>
      <c r="F147" s="29"/>
      <c r="G147" s="29"/>
      <c r="H147" s="65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</row>
    <row r="148" spans="1:50" s="11" customFormat="1">
      <c r="A148" s="34"/>
      <c r="B148" s="33" t="s">
        <v>164</v>
      </c>
      <c r="C148" s="32"/>
      <c r="D148" s="32"/>
      <c r="E148" s="32"/>
      <c r="F148" s="32"/>
      <c r="G148" s="32"/>
      <c r="H148" s="63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</row>
    <row r="149" spans="1:50" s="1" customFormat="1">
      <c r="A149" s="31"/>
      <c r="B149" s="30" t="s">
        <v>165</v>
      </c>
      <c r="C149" s="29"/>
      <c r="D149" s="29"/>
      <c r="E149" s="29"/>
      <c r="F149" s="29"/>
      <c r="G149" s="29"/>
      <c r="H149" s="65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</row>
    <row r="150" spans="1:50" s="1" customFormat="1">
      <c r="A150" s="28">
        <f>SUM(C150:AO150)</f>
        <v>48</v>
      </c>
      <c r="B150" s="55" t="s">
        <v>166</v>
      </c>
      <c r="C150" s="54"/>
      <c r="D150" s="54"/>
      <c r="E150" s="54"/>
      <c r="F150" s="54"/>
      <c r="G150" s="54"/>
      <c r="H150" s="65">
        <f t="shared" ref="H150:P150" si="364">IF(H144="","",H144-G144)</f>
        <v>0</v>
      </c>
      <c r="I150" s="54">
        <f t="shared" si="364"/>
        <v>0</v>
      </c>
      <c r="J150" s="54">
        <f t="shared" si="364"/>
        <v>2</v>
      </c>
      <c r="K150" s="54">
        <f t="shared" si="364"/>
        <v>0</v>
      </c>
      <c r="L150" s="54">
        <f t="shared" si="364"/>
        <v>2</v>
      </c>
      <c r="M150" s="54">
        <f t="shared" si="364"/>
        <v>5</v>
      </c>
      <c r="N150" s="54">
        <f t="shared" si="364"/>
        <v>0</v>
      </c>
      <c r="O150" s="54">
        <f t="shared" si="364"/>
        <v>0</v>
      </c>
      <c r="P150" s="54">
        <f t="shared" si="364"/>
        <v>0</v>
      </c>
      <c r="Q150" s="54"/>
      <c r="R150" s="54">
        <f t="shared" ref="R150:AO150" si="365">IF(R144="","",R144-Q144)</f>
        <v>4</v>
      </c>
      <c r="S150" s="54">
        <f t="shared" si="365"/>
        <v>0</v>
      </c>
      <c r="T150" s="54">
        <f t="shared" si="365"/>
        <v>0</v>
      </c>
      <c r="U150" s="54">
        <f t="shared" si="365"/>
        <v>2</v>
      </c>
      <c r="V150" s="54">
        <f t="shared" ref="V150:W151" si="366">IF(V144="","",V144-U144)</f>
        <v>0</v>
      </c>
      <c r="W150" s="54">
        <f t="shared" si="366"/>
        <v>0</v>
      </c>
      <c r="X150" s="54"/>
      <c r="Y150" s="54">
        <f t="shared" si="365"/>
        <v>9</v>
      </c>
      <c r="Z150" s="54">
        <f t="shared" si="365"/>
        <v>0</v>
      </c>
      <c r="AA150" s="54">
        <f t="shared" si="365"/>
        <v>10</v>
      </c>
      <c r="AB150" s="54">
        <f t="shared" si="365"/>
        <v>0</v>
      </c>
      <c r="AC150" s="54">
        <f t="shared" si="365"/>
        <v>0</v>
      </c>
      <c r="AD150" s="54">
        <f t="shared" si="365"/>
        <v>2</v>
      </c>
      <c r="AE150" s="54">
        <f t="shared" si="365"/>
        <v>2</v>
      </c>
      <c r="AF150" s="54">
        <f t="shared" si="365"/>
        <v>0</v>
      </c>
      <c r="AG150" s="54">
        <f t="shared" si="365"/>
        <v>0</v>
      </c>
      <c r="AH150" s="54">
        <f t="shared" si="365"/>
        <v>0</v>
      </c>
      <c r="AI150" s="54">
        <f t="shared" si="365"/>
        <v>10</v>
      </c>
      <c r="AJ150" s="54" t="str">
        <f t="shared" si="365"/>
        <v/>
      </c>
      <c r="AK150" s="54" t="str">
        <f t="shared" si="365"/>
        <v/>
      </c>
      <c r="AL150" s="54" t="str">
        <f t="shared" si="365"/>
        <v/>
      </c>
      <c r="AM150" s="54" t="str">
        <f t="shared" si="365"/>
        <v/>
      </c>
      <c r="AN150" s="54" t="str">
        <f t="shared" si="365"/>
        <v/>
      </c>
      <c r="AO150" s="54" t="str">
        <f t="shared" si="365"/>
        <v/>
      </c>
      <c r="AP150" s="54" t="str">
        <f t="shared" ref="AP150:AP151" si="367">IF(AP144="","",AP144-AO144)</f>
        <v/>
      </c>
      <c r="AQ150" s="54" t="str">
        <f t="shared" ref="AQ150:AQ151" si="368">IF(AQ144="","",AQ144-AP144)</f>
        <v/>
      </c>
      <c r="AR150" s="54" t="str">
        <f t="shared" ref="AR150:AR151" si="369">IF(AR144="","",AR144-AQ144)</f>
        <v/>
      </c>
      <c r="AS150" s="54" t="str">
        <f t="shared" ref="AS150:AS151" si="370">IF(AS144="","",AS144-AR144)</f>
        <v/>
      </c>
      <c r="AT150" s="54" t="str">
        <f t="shared" ref="AT150:AT151" si="371">IF(AT144="","",AT144-AS144)</f>
        <v/>
      </c>
      <c r="AU150" s="54" t="str">
        <f t="shared" ref="AU150:AU151" si="372">IF(AU144="","",AU144-AT144)</f>
        <v/>
      </c>
      <c r="AV150" s="54" t="str">
        <f t="shared" ref="AV150:AV151" si="373">IF(AV144="","",AV144-AU144)</f>
        <v/>
      </c>
      <c r="AW150" s="54" t="str">
        <f t="shared" ref="AW150:AW151" si="374">IF(AW144="","",AW144-AV144)</f>
        <v/>
      </c>
      <c r="AX150" s="54" t="str">
        <f t="shared" ref="AX150:AX151" si="375">IF(AX144="","",AX144-AW144)</f>
        <v/>
      </c>
    </row>
    <row r="151" spans="1:50" s="1" customFormat="1">
      <c r="A151" s="28">
        <f>SUM(C151:AO151)</f>
        <v>23</v>
      </c>
      <c r="B151" s="55" t="s">
        <v>167</v>
      </c>
      <c r="C151" s="54"/>
      <c r="D151" s="54"/>
      <c r="E151" s="54"/>
      <c r="F151" s="54"/>
      <c r="G151" s="54"/>
      <c r="H151" s="65">
        <f t="shared" ref="H151:P151" si="376">IF(H145="","",H145-G145)</f>
        <v>0</v>
      </c>
      <c r="I151" s="54">
        <f t="shared" si="376"/>
        <v>0</v>
      </c>
      <c r="J151" s="54">
        <f t="shared" si="376"/>
        <v>1</v>
      </c>
      <c r="K151" s="54">
        <f t="shared" si="376"/>
        <v>0</v>
      </c>
      <c r="L151" s="54">
        <f t="shared" si="376"/>
        <v>1</v>
      </c>
      <c r="M151" s="54">
        <f t="shared" si="376"/>
        <v>2</v>
      </c>
      <c r="N151" s="54">
        <f t="shared" si="376"/>
        <v>0</v>
      </c>
      <c r="O151" s="54">
        <f t="shared" si="376"/>
        <v>0</v>
      </c>
      <c r="P151" s="54">
        <f t="shared" si="376"/>
        <v>0</v>
      </c>
      <c r="Q151" s="54"/>
      <c r="R151" s="54">
        <f t="shared" ref="R151:AO151" si="377">IF(R145="","",R145-Q145)</f>
        <v>2</v>
      </c>
      <c r="S151" s="54">
        <f t="shared" si="377"/>
        <v>0</v>
      </c>
      <c r="T151" s="54">
        <f t="shared" si="377"/>
        <v>0</v>
      </c>
      <c r="U151" s="54">
        <f t="shared" si="377"/>
        <v>1</v>
      </c>
      <c r="V151" s="54">
        <f t="shared" si="366"/>
        <v>0</v>
      </c>
      <c r="W151" s="54">
        <f t="shared" si="366"/>
        <v>0</v>
      </c>
      <c r="X151" s="54"/>
      <c r="Y151" s="54">
        <f t="shared" si="377"/>
        <v>4</v>
      </c>
      <c r="Z151" s="54">
        <f t="shared" si="377"/>
        <v>0</v>
      </c>
      <c r="AA151" s="54">
        <f t="shared" si="377"/>
        <v>5</v>
      </c>
      <c r="AB151" s="54">
        <f t="shared" si="377"/>
        <v>0</v>
      </c>
      <c r="AC151" s="54">
        <f t="shared" si="377"/>
        <v>0</v>
      </c>
      <c r="AD151" s="54">
        <f t="shared" si="377"/>
        <v>1</v>
      </c>
      <c r="AE151" s="54">
        <f t="shared" si="377"/>
        <v>1</v>
      </c>
      <c r="AF151" s="54">
        <f t="shared" si="377"/>
        <v>0</v>
      </c>
      <c r="AG151" s="54">
        <f t="shared" si="377"/>
        <v>0</v>
      </c>
      <c r="AH151" s="54">
        <f t="shared" si="377"/>
        <v>0</v>
      </c>
      <c r="AI151" s="54">
        <f t="shared" si="377"/>
        <v>5</v>
      </c>
      <c r="AJ151" s="54" t="str">
        <f t="shared" si="377"/>
        <v/>
      </c>
      <c r="AK151" s="54" t="str">
        <f t="shared" si="377"/>
        <v/>
      </c>
      <c r="AL151" s="54" t="str">
        <f t="shared" si="377"/>
        <v/>
      </c>
      <c r="AM151" s="54" t="str">
        <f t="shared" si="377"/>
        <v/>
      </c>
      <c r="AN151" s="54" t="str">
        <f t="shared" si="377"/>
        <v/>
      </c>
      <c r="AO151" s="54" t="str">
        <f t="shared" si="377"/>
        <v/>
      </c>
      <c r="AP151" s="54" t="str">
        <f t="shared" si="367"/>
        <v/>
      </c>
      <c r="AQ151" s="54" t="str">
        <f t="shared" si="368"/>
        <v/>
      </c>
      <c r="AR151" s="54" t="str">
        <f t="shared" si="369"/>
        <v/>
      </c>
      <c r="AS151" s="54" t="str">
        <f t="shared" si="370"/>
        <v/>
      </c>
      <c r="AT151" s="54" t="str">
        <f t="shared" si="371"/>
        <v/>
      </c>
      <c r="AU151" s="54" t="str">
        <f t="shared" si="372"/>
        <v/>
      </c>
      <c r="AV151" s="54" t="str">
        <f t="shared" si="373"/>
        <v/>
      </c>
      <c r="AW151" s="54" t="str">
        <f t="shared" si="374"/>
        <v/>
      </c>
      <c r="AX151" s="54" t="str">
        <f t="shared" si="375"/>
        <v/>
      </c>
    </row>
    <row r="152" spans="1:50" s="1" customFormat="1">
      <c r="A152" s="28">
        <f>SUM(C152:AO152)</f>
        <v>0</v>
      </c>
      <c r="B152" s="55" t="s">
        <v>18</v>
      </c>
      <c r="C152" s="54"/>
      <c r="D152" s="54"/>
      <c r="E152" s="54"/>
      <c r="F152" s="54"/>
      <c r="G152" s="54"/>
      <c r="H152" s="65" t="str">
        <f>IF(H147="","",#REF!*H147)</f>
        <v/>
      </c>
      <c r="I152" s="54" t="str">
        <f>IF(I147="","",#REF!*I147)</f>
        <v/>
      </c>
      <c r="J152" s="54" t="str">
        <f>IF(J147="","",#REF!*J147)</f>
        <v/>
      </c>
      <c r="K152" s="54" t="str">
        <f>IF(K147="","",#REF!*K147)</f>
        <v/>
      </c>
      <c r="L152" s="54" t="str">
        <f>IF(L147="","",#REF!*L147)</f>
        <v/>
      </c>
      <c r="M152" s="54" t="str">
        <f>IF(M147="","",#REF!*M147)</f>
        <v/>
      </c>
      <c r="N152" s="54" t="str">
        <f>IF(N147="","",#REF!*N147)</f>
        <v/>
      </c>
      <c r="O152" s="54" t="str">
        <f>IF(O147="","",#REF!*O147)</f>
        <v/>
      </c>
      <c r="P152" s="54" t="str">
        <f>IF(P147="","",#REF!*P147)</f>
        <v/>
      </c>
      <c r="Q152" s="54" t="str">
        <f>IF(Q147="","",#REF!*Q147)</f>
        <v/>
      </c>
      <c r="R152" s="54" t="str">
        <f>IF(R147="","",#REF!*R147)</f>
        <v/>
      </c>
      <c r="S152" s="54" t="str">
        <f>IF(S147="","",#REF!*S147)</f>
        <v/>
      </c>
      <c r="T152" s="54" t="str">
        <f>IF(T147="","",#REF!*T147)</f>
        <v/>
      </c>
      <c r="U152" s="54" t="str">
        <f>IF(U147="","",#REF!*U147)</f>
        <v/>
      </c>
      <c r="V152" s="54" t="str">
        <f>IF(V147="","",#REF!*V147)</f>
        <v/>
      </c>
      <c r="W152" s="54" t="str">
        <f>IF(W147="","",#REF!*W147)</f>
        <v/>
      </c>
      <c r="X152" s="54"/>
      <c r="Y152" s="54" t="str">
        <f>IF(Y147="","",#REF!*Y147)</f>
        <v/>
      </c>
      <c r="Z152" s="54" t="str">
        <f>IF(Z147="","",#REF!*Z147)</f>
        <v/>
      </c>
      <c r="AA152" s="54" t="str">
        <f>IF(AA147="","",#REF!*AA147)</f>
        <v/>
      </c>
      <c r="AB152" s="54" t="str">
        <f>IF(AB147="","",#REF!*AB147)</f>
        <v/>
      </c>
      <c r="AC152" s="54" t="str">
        <f>IF(AC147="","",#REF!*AC147)</f>
        <v/>
      </c>
      <c r="AD152" s="54" t="str">
        <f>IF(AD147="","",#REF!*AD147)</f>
        <v/>
      </c>
      <c r="AE152" s="54" t="str">
        <f>IF(AE147="","",#REF!*AE147)</f>
        <v/>
      </c>
      <c r="AF152" s="54" t="str">
        <f>IF(AF147="","",#REF!*AF147)</f>
        <v/>
      </c>
      <c r="AG152" s="54" t="str">
        <f>IF(AG147="","",#REF!*AG147)</f>
        <v/>
      </c>
      <c r="AH152" s="54" t="str">
        <f>IF(AH147="","",#REF!*AH147)</f>
        <v/>
      </c>
      <c r="AI152" s="54" t="str">
        <f>IF(AI147="","",#REF!*AI147)</f>
        <v/>
      </c>
      <c r="AJ152" s="54" t="str">
        <f>IF(AJ147="","",#REF!*AJ147)</f>
        <v/>
      </c>
      <c r="AK152" s="54" t="str">
        <f>IF(AK147="","",#REF!*AK147)</f>
        <v/>
      </c>
      <c r="AL152" s="54" t="str">
        <f>IF(AL147="","",#REF!*AL147)</f>
        <v/>
      </c>
      <c r="AM152" s="54" t="str">
        <f>IF(AM147="","",#REF!*AM147)</f>
        <v/>
      </c>
      <c r="AN152" s="54" t="str">
        <f>IF(AN147="","",#REF!*AN147)</f>
        <v/>
      </c>
      <c r="AO152" s="54" t="str">
        <f>IF(AO147="","",#REF!*AO147)</f>
        <v/>
      </c>
      <c r="AP152" s="54" t="str">
        <f>IF(AP147="","",#REF!*AP147)</f>
        <v/>
      </c>
      <c r="AQ152" s="54" t="str">
        <f>IF(AQ147="","",#REF!*AQ147)</f>
        <v/>
      </c>
      <c r="AR152" s="54" t="str">
        <f>IF(AR147="","",#REF!*AR147)</f>
        <v/>
      </c>
      <c r="AS152" s="54" t="str">
        <f>IF(AS147="","",#REF!*AS147)</f>
        <v/>
      </c>
      <c r="AT152" s="54" t="str">
        <f>IF(AT147="","",#REF!*AT147)</f>
        <v/>
      </c>
      <c r="AU152" s="54" t="str">
        <f>IF(AU147="","",#REF!*AU147)</f>
        <v/>
      </c>
      <c r="AV152" s="54" t="str">
        <f>IF(AV147="","",#REF!*AV147)</f>
        <v/>
      </c>
      <c r="AW152" s="54" t="str">
        <f>IF(AW147="","",#REF!*AW147)</f>
        <v/>
      </c>
      <c r="AX152" s="54" t="str">
        <f>IF(AX147="","",#REF!*AX147)</f>
        <v/>
      </c>
    </row>
    <row r="153" spans="1:50" s="1" customFormat="1" ht="12" thickBot="1">
      <c r="A153" s="25">
        <f>IF(A152="","",A152/(A150*100))</f>
        <v>0</v>
      </c>
      <c r="B153" s="53" t="s">
        <v>20</v>
      </c>
      <c r="C153" s="52" t="str">
        <f t="shared" ref="C153:AO153" si="378">IF(C152="","",C152/(C150*100))</f>
        <v/>
      </c>
      <c r="D153" s="52" t="str">
        <f t="shared" si="378"/>
        <v/>
      </c>
      <c r="E153" s="52" t="str">
        <f t="shared" si="378"/>
        <v/>
      </c>
      <c r="F153" s="52" t="str">
        <f t="shared" si="378"/>
        <v/>
      </c>
      <c r="G153" s="52" t="str">
        <f t="shared" si="378"/>
        <v/>
      </c>
      <c r="H153" s="67" t="str">
        <f t="shared" si="378"/>
        <v/>
      </c>
      <c r="I153" s="52" t="str">
        <f t="shared" si="378"/>
        <v/>
      </c>
      <c r="J153" s="52" t="str">
        <f t="shared" si="378"/>
        <v/>
      </c>
      <c r="K153" s="52" t="str">
        <f t="shared" si="378"/>
        <v/>
      </c>
      <c r="L153" s="52" t="str">
        <f t="shared" si="378"/>
        <v/>
      </c>
      <c r="M153" s="52" t="str">
        <f t="shared" si="378"/>
        <v/>
      </c>
      <c r="N153" s="52" t="str">
        <f t="shared" si="378"/>
        <v/>
      </c>
      <c r="O153" s="52" t="str">
        <f t="shared" si="378"/>
        <v/>
      </c>
      <c r="P153" s="52" t="str">
        <f t="shared" si="378"/>
        <v/>
      </c>
      <c r="Q153" s="52" t="str">
        <f t="shared" si="378"/>
        <v/>
      </c>
      <c r="R153" s="52" t="str">
        <f t="shared" si="378"/>
        <v/>
      </c>
      <c r="S153" s="52" t="str">
        <f t="shared" si="378"/>
        <v/>
      </c>
      <c r="T153" s="52" t="str">
        <f t="shared" si="378"/>
        <v/>
      </c>
      <c r="U153" s="52" t="str">
        <f t="shared" si="378"/>
        <v/>
      </c>
      <c r="V153" s="52" t="str">
        <f t="shared" si="378"/>
        <v/>
      </c>
      <c r="W153" s="52" t="str">
        <f t="shared" si="378"/>
        <v/>
      </c>
      <c r="X153" s="52" t="str">
        <f t="shared" si="378"/>
        <v/>
      </c>
      <c r="Y153" s="52" t="str">
        <f t="shared" si="378"/>
        <v/>
      </c>
      <c r="Z153" s="52" t="str">
        <f t="shared" si="378"/>
        <v/>
      </c>
      <c r="AA153" s="52" t="str">
        <f t="shared" si="378"/>
        <v/>
      </c>
      <c r="AB153" s="52" t="str">
        <f t="shared" si="378"/>
        <v/>
      </c>
      <c r="AC153" s="52" t="str">
        <f t="shared" si="378"/>
        <v/>
      </c>
      <c r="AD153" s="52" t="str">
        <f t="shared" si="378"/>
        <v/>
      </c>
      <c r="AE153" s="52" t="str">
        <f t="shared" si="378"/>
        <v/>
      </c>
      <c r="AF153" s="52" t="str">
        <f t="shared" si="378"/>
        <v/>
      </c>
      <c r="AG153" s="52" t="str">
        <f t="shared" si="378"/>
        <v/>
      </c>
      <c r="AH153" s="52" t="str">
        <f t="shared" si="378"/>
        <v/>
      </c>
      <c r="AI153" s="52" t="str">
        <f t="shared" si="378"/>
        <v/>
      </c>
      <c r="AJ153" s="52" t="str">
        <f t="shared" si="378"/>
        <v/>
      </c>
      <c r="AK153" s="52" t="str">
        <f t="shared" si="378"/>
        <v/>
      </c>
      <c r="AL153" s="52" t="str">
        <f t="shared" si="378"/>
        <v/>
      </c>
      <c r="AM153" s="52" t="str">
        <f t="shared" si="378"/>
        <v/>
      </c>
      <c r="AN153" s="52" t="str">
        <f t="shared" si="378"/>
        <v/>
      </c>
      <c r="AO153" s="52" t="str">
        <f t="shared" si="378"/>
        <v/>
      </c>
      <c r="AP153" s="52" t="str">
        <f t="shared" ref="AP153" si="379">IF(AP152="","",AP152/(AP150*100))</f>
        <v/>
      </c>
      <c r="AQ153" s="52" t="str">
        <f t="shared" ref="AQ153:AX153" si="380">IF(AQ152="","",AQ152/(AQ150*100))</f>
        <v/>
      </c>
      <c r="AR153" s="52" t="str">
        <f t="shared" si="380"/>
        <v/>
      </c>
      <c r="AS153" s="52" t="str">
        <f t="shared" si="380"/>
        <v/>
      </c>
      <c r="AT153" s="52" t="str">
        <f t="shared" si="380"/>
        <v/>
      </c>
      <c r="AU153" s="52" t="str">
        <f t="shared" si="380"/>
        <v/>
      </c>
      <c r="AV153" s="52" t="str">
        <f t="shared" si="380"/>
        <v/>
      </c>
      <c r="AW153" s="52" t="str">
        <f t="shared" si="380"/>
        <v/>
      </c>
      <c r="AX153" s="52" t="str">
        <f t="shared" si="380"/>
        <v/>
      </c>
    </row>
    <row r="154" spans="1:50" s="1" customFormat="1">
      <c r="A154" s="40" t="s">
        <v>175</v>
      </c>
      <c r="B154" s="39" t="s">
        <v>161</v>
      </c>
      <c r="C154" s="38"/>
      <c r="D154" s="38"/>
      <c r="E154" s="38"/>
      <c r="F154" s="38">
        <v>16523</v>
      </c>
      <c r="G154" s="66">
        <v>16523</v>
      </c>
      <c r="H154" s="38">
        <v>16523</v>
      </c>
      <c r="I154" s="38">
        <v>16523</v>
      </c>
      <c r="J154" s="38">
        <v>16591</v>
      </c>
      <c r="K154" s="121">
        <v>16613</v>
      </c>
      <c r="L154" s="38">
        <v>16631</v>
      </c>
      <c r="M154" s="38">
        <v>16651</v>
      </c>
      <c r="N154" s="121">
        <v>16685</v>
      </c>
      <c r="O154" s="38">
        <v>16695</v>
      </c>
      <c r="P154" s="38">
        <v>16699</v>
      </c>
      <c r="Q154" s="121">
        <v>16699</v>
      </c>
      <c r="R154" s="38">
        <v>16719</v>
      </c>
      <c r="S154" s="38">
        <v>16725</v>
      </c>
      <c r="T154" s="38">
        <v>16729</v>
      </c>
      <c r="U154" s="38">
        <v>16743</v>
      </c>
      <c r="V154" s="38">
        <v>16745</v>
      </c>
      <c r="W154" s="38">
        <v>16759</v>
      </c>
      <c r="X154" s="38">
        <v>16759</v>
      </c>
      <c r="Y154" s="38">
        <v>16779</v>
      </c>
      <c r="Z154" s="38">
        <v>16783</v>
      </c>
      <c r="AA154" s="38">
        <v>16783</v>
      </c>
      <c r="AB154" s="38">
        <v>16793</v>
      </c>
      <c r="AC154" s="38">
        <v>16795</v>
      </c>
      <c r="AD154" s="38">
        <v>16803</v>
      </c>
      <c r="AE154" s="38">
        <v>16803</v>
      </c>
      <c r="AF154" s="38">
        <v>16811</v>
      </c>
      <c r="AG154" s="38">
        <v>16813</v>
      </c>
      <c r="AH154" s="38">
        <v>16833</v>
      </c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</row>
    <row r="155" spans="1:50" s="1" customFormat="1">
      <c r="A155" s="37" t="s">
        <v>176</v>
      </c>
      <c r="B155" s="30" t="s">
        <v>177</v>
      </c>
      <c r="C155" s="29"/>
      <c r="D155" s="29"/>
      <c r="E155" s="29"/>
      <c r="F155" s="29">
        <v>5814</v>
      </c>
      <c r="G155" s="65">
        <v>5814</v>
      </c>
      <c r="H155" s="29">
        <v>5814</v>
      </c>
      <c r="I155" s="29">
        <v>5814</v>
      </c>
      <c r="J155" s="29">
        <v>5846</v>
      </c>
      <c r="K155" s="122">
        <v>5856</v>
      </c>
      <c r="L155" s="29">
        <v>5865</v>
      </c>
      <c r="M155" s="29">
        <v>5875</v>
      </c>
      <c r="N155" s="122">
        <v>5891</v>
      </c>
      <c r="O155" s="29">
        <v>5896</v>
      </c>
      <c r="P155" s="29">
        <v>5898</v>
      </c>
      <c r="Q155" s="122">
        <v>5898</v>
      </c>
      <c r="R155" s="29">
        <v>5908</v>
      </c>
      <c r="S155" s="29">
        <v>5911</v>
      </c>
      <c r="T155" s="29">
        <v>5913</v>
      </c>
      <c r="U155" s="29">
        <v>5919</v>
      </c>
      <c r="V155" s="29">
        <v>5920</v>
      </c>
      <c r="W155" s="29">
        <v>5923</v>
      </c>
      <c r="X155" s="29">
        <v>5923</v>
      </c>
      <c r="Y155" s="29">
        <v>5929</v>
      </c>
      <c r="Z155" s="29">
        <v>5929</v>
      </c>
      <c r="AA155" s="29">
        <v>5929</v>
      </c>
      <c r="AB155" s="29">
        <v>5932</v>
      </c>
      <c r="AC155" s="29">
        <v>5933</v>
      </c>
      <c r="AD155" s="29">
        <v>5937</v>
      </c>
      <c r="AE155" s="29">
        <v>5937</v>
      </c>
      <c r="AF155" s="29">
        <v>5939</v>
      </c>
      <c r="AG155" s="29">
        <v>5940</v>
      </c>
      <c r="AH155" s="29">
        <v>5950</v>
      </c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</row>
    <row r="156" spans="1:50" s="1" customFormat="1">
      <c r="A156" s="34"/>
      <c r="B156" s="30" t="s">
        <v>178</v>
      </c>
      <c r="C156" s="29"/>
      <c r="D156" s="29"/>
      <c r="E156" s="29"/>
      <c r="F156" s="29">
        <v>2802</v>
      </c>
      <c r="G156" s="65">
        <v>2802</v>
      </c>
      <c r="H156" s="29">
        <v>2802</v>
      </c>
      <c r="I156" s="29">
        <v>2802</v>
      </c>
      <c r="J156" s="29">
        <v>2804</v>
      </c>
      <c r="K156" s="122">
        <v>2805</v>
      </c>
      <c r="L156" s="29">
        <v>2805</v>
      </c>
      <c r="M156" s="29">
        <v>2805</v>
      </c>
      <c r="N156" s="122">
        <v>2806</v>
      </c>
      <c r="O156" s="29">
        <v>2806</v>
      </c>
      <c r="P156" s="29">
        <v>2806</v>
      </c>
      <c r="Q156" s="122">
        <v>2806</v>
      </c>
      <c r="R156" s="29">
        <v>2806</v>
      </c>
      <c r="S156" s="29">
        <v>2806</v>
      </c>
      <c r="T156" s="29">
        <v>2806</v>
      </c>
      <c r="U156" s="29">
        <v>2807</v>
      </c>
      <c r="V156" s="29">
        <v>2807</v>
      </c>
      <c r="W156" s="29">
        <v>2811</v>
      </c>
      <c r="X156" s="29">
        <v>2811</v>
      </c>
      <c r="Y156" s="29">
        <v>2815</v>
      </c>
      <c r="Z156" s="29">
        <v>2817</v>
      </c>
      <c r="AA156" s="29">
        <v>2817</v>
      </c>
      <c r="AB156" s="29">
        <v>2819</v>
      </c>
      <c r="AC156" s="29">
        <v>2819</v>
      </c>
      <c r="AD156" s="29">
        <v>2819</v>
      </c>
      <c r="AE156" s="29">
        <v>2819</v>
      </c>
      <c r="AF156" s="29">
        <v>2821</v>
      </c>
      <c r="AG156" s="29">
        <v>2821</v>
      </c>
      <c r="AH156" s="29">
        <v>2821</v>
      </c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</row>
    <row r="157" spans="1:50" s="1" customFormat="1">
      <c r="A157" s="36" t="s">
        <v>9</v>
      </c>
      <c r="B157" s="30" t="s">
        <v>7</v>
      </c>
      <c r="C157" s="29"/>
      <c r="D157" s="29"/>
      <c r="E157" s="29"/>
      <c r="F157" s="29"/>
      <c r="G157" s="65"/>
      <c r="H157" s="29"/>
      <c r="I157" s="29"/>
      <c r="J157" s="29"/>
      <c r="K157" s="122"/>
      <c r="L157" s="29"/>
      <c r="M157" s="29"/>
      <c r="N157" s="122"/>
      <c r="O157" s="29"/>
      <c r="P157" s="29"/>
      <c r="Q157" s="122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</row>
    <row r="158" spans="1:50" s="1" customFormat="1">
      <c r="A158" s="28">
        <f>AVERAGE(C161:AO161)*30*1000</f>
        <v>332142.8571428571</v>
      </c>
      <c r="B158" s="30" t="s">
        <v>8</v>
      </c>
      <c r="C158" s="29"/>
      <c r="D158" s="29"/>
      <c r="E158" s="29"/>
      <c r="F158" s="29"/>
      <c r="G158" s="65"/>
      <c r="H158" s="29"/>
      <c r="I158" s="29"/>
      <c r="J158" s="29"/>
      <c r="K158" s="122"/>
      <c r="L158" s="29"/>
      <c r="M158" s="29"/>
      <c r="N158" s="122"/>
      <c r="O158" s="29"/>
      <c r="P158" s="29"/>
      <c r="Q158" s="122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</row>
    <row r="159" spans="1:50" s="11" customFormat="1">
      <c r="A159" s="34"/>
      <c r="B159" s="33" t="s">
        <v>164</v>
      </c>
      <c r="C159" s="32"/>
      <c r="D159" s="32"/>
      <c r="E159" s="32"/>
      <c r="F159" s="32"/>
      <c r="G159" s="63"/>
      <c r="H159" s="32"/>
      <c r="I159" s="32"/>
      <c r="J159" s="32"/>
      <c r="K159" s="123"/>
      <c r="L159" s="32"/>
      <c r="M159" s="32"/>
      <c r="N159" s="123"/>
      <c r="O159" s="32"/>
      <c r="P159" s="32"/>
      <c r="Q159" s="123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</row>
    <row r="160" spans="1:50" s="1" customFormat="1">
      <c r="A160" s="31"/>
      <c r="B160" s="30" t="s">
        <v>165</v>
      </c>
      <c r="C160" s="29"/>
      <c r="D160" s="29"/>
      <c r="E160" s="29"/>
      <c r="F160" s="29"/>
      <c r="G160" s="65"/>
      <c r="H160" s="29"/>
      <c r="I160" s="29"/>
      <c r="J160" s="29"/>
      <c r="K160" s="122"/>
      <c r="L160" s="29"/>
      <c r="M160" s="29"/>
      <c r="N160" s="122"/>
      <c r="O160" s="29"/>
      <c r="P160" s="29"/>
      <c r="Q160" s="122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</row>
    <row r="161" spans="1:50" s="1" customFormat="1">
      <c r="A161" s="28">
        <f>SUM(C161:AO161)</f>
        <v>310</v>
      </c>
      <c r="B161" s="55" t="s">
        <v>166</v>
      </c>
      <c r="C161" s="54"/>
      <c r="D161" s="54"/>
      <c r="E161" s="54"/>
      <c r="F161" s="54"/>
      <c r="G161" s="65">
        <f t="shared" ref="G161:AO161" si="381">IF(G154="","",G154-F154)</f>
        <v>0</v>
      </c>
      <c r="H161" s="54">
        <f t="shared" si="381"/>
        <v>0</v>
      </c>
      <c r="I161" s="54">
        <f t="shared" si="381"/>
        <v>0</v>
      </c>
      <c r="J161" s="54">
        <f t="shared" si="381"/>
        <v>68</v>
      </c>
      <c r="K161" s="122">
        <f t="shared" si="381"/>
        <v>22</v>
      </c>
      <c r="L161" s="54">
        <f t="shared" si="381"/>
        <v>18</v>
      </c>
      <c r="M161" s="54">
        <f t="shared" si="381"/>
        <v>20</v>
      </c>
      <c r="N161" s="122">
        <f t="shared" si="381"/>
        <v>34</v>
      </c>
      <c r="O161" s="54">
        <f t="shared" si="381"/>
        <v>10</v>
      </c>
      <c r="P161" s="54">
        <f t="shared" si="381"/>
        <v>4</v>
      </c>
      <c r="Q161" s="122">
        <f t="shared" si="381"/>
        <v>0</v>
      </c>
      <c r="R161" s="54">
        <f t="shared" si="381"/>
        <v>20</v>
      </c>
      <c r="S161" s="54">
        <f t="shared" si="381"/>
        <v>6</v>
      </c>
      <c r="T161" s="54">
        <f t="shared" si="381"/>
        <v>4</v>
      </c>
      <c r="U161" s="54">
        <f t="shared" si="381"/>
        <v>14</v>
      </c>
      <c r="V161" s="54">
        <f t="shared" si="381"/>
        <v>2</v>
      </c>
      <c r="W161" s="54">
        <f t="shared" si="381"/>
        <v>14</v>
      </c>
      <c r="X161" s="54">
        <f t="shared" si="381"/>
        <v>0</v>
      </c>
      <c r="Y161" s="54">
        <f t="shared" si="381"/>
        <v>20</v>
      </c>
      <c r="Z161" s="54">
        <f t="shared" ref="Z161:AB163" si="382">IF(Z154="","",Z154-Y154)</f>
        <v>4</v>
      </c>
      <c r="AA161" s="54">
        <f t="shared" si="382"/>
        <v>0</v>
      </c>
      <c r="AB161" s="54">
        <f t="shared" si="382"/>
        <v>10</v>
      </c>
      <c r="AC161" s="54">
        <f t="shared" si="381"/>
        <v>2</v>
      </c>
      <c r="AD161" s="54">
        <f t="shared" si="381"/>
        <v>8</v>
      </c>
      <c r="AE161" s="54">
        <f t="shared" si="381"/>
        <v>0</v>
      </c>
      <c r="AF161" s="54">
        <f t="shared" si="381"/>
        <v>8</v>
      </c>
      <c r="AG161" s="54">
        <f t="shared" si="381"/>
        <v>2</v>
      </c>
      <c r="AH161" s="54">
        <f t="shared" si="381"/>
        <v>20</v>
      </c>
      <c r="AI161" s="54" t="str">
        <f t="shared" si="381"/>
        <v/>
      </c>
      <c r="AJ161" s="54" t="str">
        <f t="shared" si="381"/>
        <v/>
      </c>
      <c r="AK161" s="54" t="str">
        <f t="shared" si="381"/>
        <v/>
      </c>
      <c r="AL161" s="54" t="str">
        <f t="shared" si="381"/>
        <v/>
      </c>
      <c r="AM161" s="54" t="str">
        <f t="shared" si="381"/>
        <v/>
      </c>
      <c r="AN161" s="54" t="str">
        <f t="shared" si="381"/>
        <v/>
      </c>
      <c r="AO161" s="54" t="str">
        <f t="shared" si="381"/>
        <v/>
      </c>
      <c r="AP161" s="54" t="str">
        <f t="shared" ref="AP161:AP163" si="383">IF(AP154="","",AP154-AO154)</f>
        <v/>
      </c>
      <c r="AQ161" s="54" t="str">
        <f t="shared" ref="AQ161:AQ163" si="384">IF(AQ154="","",AQ154-AP154)</f>
        <v/>
      </c>
      <c r="AR161" s="54" t="str">
        <f t="shared" ref="AR161:AR163" si="385">IF(AR154="","",AR154-AQ154)</f>
        <v/>
      </c>
      <c r="AS161" s="54" t="str">
        <f t="shared" ref="AS161:AS163" si="386">IF(AS154="","",AS154-AR154)</f>
        <v/>
      </c>
      <c r="AT161" s="54" t="str">
        <f t="shared" ref="AT161:AT163" si="387">IF(AT154="","",AT154-AS154)</f>
        <v/>
      </c>
      <c r="AU161" s="54" t="str">
        <f t="shared" ref="AU161:AU163" si="388">IF(AU154="","",AU154-AT154)</f>
        <v/>
      </c>
      <c r="AV161" s="54" t="str">
        <f t="shared" ref="AV161:AV163" si="389">IF(AV154="","",AV154-AU154)</f>
        <v/>
      </c>
      <c r="AW161" s="54" t="str">
        <f t="shared" ref="AW161:AW163" si="390">IF(AW154="","",AW154-AV154)</f>
        <v/>
      </c>
      <c r="AX161" s="54" t="str">
        <f t="shared" ref="AX161:AX163" si="391">IF(AX154="","",AX154-AW154)</f>
        <v/>
      </c>
    </row>
    <row r="162" spans="1:50" s="1" customFormat="1">
      <c r="A162" s="28">
        <f>SUM(C162:AO162)</f>
        <v>136</v>
      </c>
      <c r="B162" s="55" t="s">
        <v>167</v>
      </c>
      <c r="C162" s="54"/>
      <c r="D162" s="54"/>
      <c r="E162" s="54"/>
      <c r="F162" s="54"/>
      <c r="G162" s="65">
        <f t="shared" ref="G162:AO162" si="392">IF(G155="","",G155-F155)</f>
        <v>0</v>
      </c>
      <c r="H162" s="54">
        <f t="shared" si="392"/>
        <v>0</v>
      </c>
      <c r="I162" s="54">
        <f t="shared" si="392"/>
        <v>0</v>
      </c>
      <c r="J162" s="54">
        <f t="shared" si="392"/>
        <v>32</v>
      </c>
      <c r="K162" s="122">
        <f t="shared" si="392"/>
        <v>10</v>
      </c>
      <c r="L162" s="54">
        <f t="shared" si="392"/>
        <v>9</v>
      </c>
      <c r="M162" s="54">
        <f t="shared" si="392"/>
        <v>10</v>
      </c>
      <c r="N162" s="122">
        <f t="shared" si="392"/>
        <v>16</v>
      </c>
      <c r="O162" s="54">
        <f t="shared" si="392"/>
        <v>5</v>
      </c>
      <c r="P162" s="54">
        <f t="shared" si="392"/>
        <v>2</v>
      </c>
      <c r="Q162" s="122">
        <f t="shared" si="392"/>
        <v>0</v>
      </c>
      <c r="R162" s="54">
        <f t="shared" si="392"/>
        <v>10</v>
      </c>
      <c r="S162" s="54">
        <f t="shared" si="392"/>
        <v>3</v>
      </c>
      <c r="T162" s="54">
        <f t="shared" si="392"/>
        <v>2</v>
      </c>
      <c r="U162" s="54">
        <f t="shared" si="392"/>
        <v>6</v>
      </c>
      <c r="V162" s="54">
        <f t="shared" si="392"/>
        <v>1</v>
      </c>
      <c r="W162" s="54">
        <f t="shared" si="392"/>
        <v>3</v>
      </c>
      <c r="X162" s="54">
        <f t="shared" si="392"/>
        <v>0</v>
      </c>
      <c r="Y162" s="54">
        <f t="shared" si="392"/>
        <v>6</v>
      </c>
      <c r="Z162" s="54">
        <f t="shared" si="382"/>
        <v>0</v>
      </c>
      <c r="AA162" s="54">
        <f t="shared" si="382"/>
        <v>0</v>
      </c>
      <c r="AB162" s="54">
        <f t="shared" si="382"/>
        <v>3</v>
      </c>
      <c r="AC162" s="54">
        <f t="shared" si="392"/>
        <v>1</v>
      </c>
      <c r="AD162" s="54">
        <f t="shared" si="392"/>
        <v>4</v>
      </c>
      <c r="AE162" s="54">
        <f t="shared" si="392"/>
        <v>0</v>
      </c>
      <c r="AF162" s="54">
        <f t="shared" si="392"/>
        <v>2</v>
      </c>
      <c r="AG162" s="54">
        <f t="shared" si="392"/>
        <v>1</v>
      </c>
      <c r="AH162" s="54">
        <f t="shared" si="392"/>
        <v>10</v>
      </c>
      <c r="AI162" s="54" t="str">
        <f t="shared" si="392"/>
        <v/>
      </c>
      <c r="AJ162" s="54" t="str">
        <f t="shared" si="392"/>
        <v/>
      </c>
      <c r="AK162" s="54" t="str">
        <f t="shared" si="392"/>
        <v/>
      </c>
      <c r="AL162" s="54" t="str">
        <f t="shared" si="392"/>
        <v/>
      </c>
      <c r="AM162" s="54" t="str">
        <f t="shared" si="392"/>
        <v/>
      </c>
      <c r="AN162" s="54" t="str">
        <f t="shared" si="392"/>
        <v/>
      </c>
      <c r="AO162" s="54" t="str">
        <f t="shared" si="392"/>
        <v/>
      </c>
      <c r="AP162" s="54" t="str">
        <f t="shared" si="383"/>
        <v/>
      </c>
      <c r="AQ162" s="54" t="str">
        <f t="shared" si="384"/>
        <v/>
      </c>
      <c r="AR162" s="54" t="str">
        <f t="shared" si="385"/>
        <v/>
      </c>
      <c r="AS162" s="54" t="str">
        <f t="shared" si="386"/>
        <v/>
      </c>
      <c r="AT162" s="54" t="str">
        <f t="shared" si="387"/>
        <v/>
      </c>
      <c r="AU162" s="54" t="str">
        <f t="shared" si="388"/>
        <v/>
      </c>
      <c r="AV162" s="54" t="str">
        <f t="shared" si="389"/>
        <v/>
      </c>
      <c r="AW162" s="54" t="str">
        <f t="shared" si="390"/>
        <v/>
      </c>
      <c r="AX162" s="54" t="str">
        <f t="shared" si="391"/>
        <v/>
      </c>
    </row>
    <row r="163" spans="1:50" s="1" customFormat="1">
      <c r="A163" s="28">
        <f>SUM(C163:AO163)</f>
        <v>19</v>
      </c>
      <c r="B163" s="55" t="s">
        <v>179</v>
      </c>
      <c r="C163" s="54"/>
      <c r="D163" s="54"/>
      <c r="E163" s="54"/>
      <c r="F163" s="54"/>
      <c r="G163" s="65">
        <f t="shared" ref="G163:AO163" si="393">IF(G156="","",G156-F156)</f>
        <v>0</v>
      </c>
      <c r="H163" s="54">
        <f t="shared" si="393"/>
        <v>0</v>
      </c>
      <c r="I163" s="54">
        <f t="shared" si="393"/>
        <v>0</v>
      </c>
      <c r="J163" s="54">
        <f t="shared" si="393"/>
        <v>2</v>
      </c>
      <c r="K163" s="122">
        <f t="shared" si="393"/>
        <v>1</v>
      </c>
      <c r="L163" s="54">
        <f t="shared" si="393"/>
        <v>0</v>
      </c>
      <c r="M163" s="54">
        <f t="shared" si="393"/>
        <v>0</v>
      </c>
      <c r="N163" s="122">
        <f t="shared" si="393"/>
        <v>1</v>
      </c>
      <c r="O163" s="54">
        <f t="shared" si="393"/>
        <v>0</v>
      </c>
      <c r="P163" s="54">
        <f t="shared" si="393"/>
        <v>0</v>
      </c>
      <c r="Q163" s="122">
        <f t="shared" si="393"/>
        <v>0</v>
      </c>
      <c r="R163" s="54">
        <f t="shared" si="393"/>
        <v>0</v>
      </c>
      <c r="S163" s="54">
        <f t="shared" si="393"/>
        <v>0</v>
      </c>
      <c r="T163" s="54">
        <f t="shared" si="393"/>
        <v>0</v>
      </c>
      <c r="U163" s="54">
        <f t="shared" si="393"/>
        <v>1</v>
      </c>
      <c r="V163" s="54">
        <f t="shared" si="393"/>
        <v>0</v>
      </c>
      <c r="W163" s="54">
        <f t="shared" si="393"/>
        <v>4</v>
      </c>
      <c r="X163" s="54">
        <f t="shared" si="393"/>
        <v>0</v>
      </c>
      <c r="Y163" s="54">
        <f t="shared" si="393"/>
        <v>4</v>
      </c>
      <c r="Z163" s="54">
        <f t="shared" si="382"/>
        <v>2</v>
      </c>
      <c r="AA163" s="54">
        <f t="shared" si="382"/>
        <v>0</v>
      </c>
      <c r="AB163" s="54">
        <f t="shared" si="382"/>
        <v>2</v>
      </c>
      <c r="AC163" s="54">
        <f t="shared" si="393"/>
        <v>0</v>
      </c>
      <c r="AD163" s="54">
        <f t="shared" si="393"/>
        <v>0</v>
      </c>
      <c r="AE163" s="54">
        <f t="shared" si="393"/>
        <v>0</v>
      </c>
      <c r="AF163" s="54">
        <f t="shared" si="393"/>
        <v>2</v>
      </c>
      <c r="AG163" s="54">
        <f t="shared" si="393"/>
        <v>0</v>
      </c>
      <c r="AH163" s="54">
        <f t="shared" si="393"/>
        <v>0</v>
      </c>
      <c r="AI163" s="54" t="str">
        <f t="shared" si="393"/>
        <v/>
      </c>
      <c r="AJ163" s="54" t="str">
        <f t="shared" si="393"/>
        <v/>
      </c>
      <c r="AK163" s="54" t="str">
        <f t="shared" si="393"/>
        <v/>
      </c>
      <c r="AL163" s="54" t="str">
        <f t="shared" si="393"/>
        <v/>
      </c>
      <c r="AM163" s="54" t="str">
        <f t="shared" si="393"/>
        <v/>
      </c>
      <c r="AN163" s="54" t="str">
        <f t="shared" si="393"/>
        <v/>
      </c>
      <c r="AO163" s="54" t="str">
        <f t="shared" si="393"/>
        <v/>
      </c>
      <c r="AP163" s="54" t="str">
        <f t="shared" si="383"/>
        <v/>
      </c>
      <c r="AQ163" s="54" t="str">
        <f t="shared" si="384"/>
        <v/>
      </c>
      <c r="AR163" s="54" t="str">
        <f t="shared" si="385"/>
        <v/>
      </c>
      <c r="AS163" s="54" t="str">
        <f t="shared" si="386"/>
        <v/>
      </c>
      <c r="AT163" s="54" t="str">
        <f t="shared" si="387"/>
        <v/>
      </c>
      <c r="AU163" s="54" t="str">
        <f t="shared" si="388"/>
        <v/>
      </c>
      <c r="AV163" s="54" t="str">
        <f t="shared" si="389"/>
        <v/>
      </c>
      <c r="AW163" s="54" t="str">
        <f t="shared" si="390"/>
        <v/>
      </c>
      <c r="AX163" s="54" t="str">
        <f t="shared" si="391"/>
        <v/>
      </c>
    </row>
    <row r="164" spans="1:50" s="1" customFormat="1">
      <c r="A164" s="28">
        <f>SUM(C164:AO164)</f>
        <v>0</v>
      </c>
      <c r="B164" s="55" t="s">
        <v>18</v>
      </c>
      <c r="C164" s="54" t="str">
        <f>IF(C158="","",C163*C158)</f>
        <v/>
      </c>
      <c r="D164" s="54" t="str">
        <f>IF(D158="","",D163*D158)</f>
        <v/>
      </c>
      <c r="E164" s="54" t="str">
        <f>IF(E158="","",E163*E158)</f>
        <v/>
      </c>
      <c r="F164" s="54"/>
      <c r="G164" s="65" t="str">
        <f t="shared" ref="G164:AO164" si="394">IF(G158="","",G163*G158)</f>
        <v/>
      </c>
      <c r="H164" s="54" t="str">
        <f t="shared" si="394"/>
        <v/>
      </c>
      <c r="I164" s="54" t="str">
        <f t="shared" si="394"/>
        <v/>
      </c>
      <c r="J164" s="54" t="str">
        <f t="shared" si="394"/>
        <v/>
      </c>
      <c r="K164" s="122" t="str">
        <f t="shared" si="394"/>
        <v/>
      </c>
      <c r="L164" s="54" t="str">
        <f t="shared" si="394"/>
        <v/>
      </c>
      <c r="M164" s="54" t="str">
        <f t="shared" si="394"/>
        <v/>
      </c>
      <c r="N164" s="122" t="str">
        <f t="shared" si="394"/>
        <v/>
      </c>
      <c r="O164" s="54" t="str">
        <f t="shared" si="394"/>
        <v/>
      </c>
      <c r="P164" s="54" t="str">
        <f t="shared" si="394"/>
        <v/>
      </c>
      <c r="Q164" s="122" t="str">
        <f t="shared" si="394"/>
        <v/>
      </c>
      <c r="R164" s="54" t="str">
        <f t="shared" si="394"/>
        <v/>
      </c>
      <c r="S164" s="54" t="str">
        <f t="shared" si="394"/>
        <v/>
      </c>
      <c r="T164" s="54" t="str">
        <f t="shared" si="394"/>
        <v/>
      </c>
      <c r="U164" s="54" t="str">
        <f t="shared" si="394"/>
        <v/>
      </c>
      <c r="V164" s="54" t="str">
        <f t="shared" si="394"/>
        <v/>
      </c>
      <c r="W164" s="54" t="str">
        <f t="shared" si="394"/>
        <v/>
      </c>
      <c r="X164" s="54" t="str">
        <f t="shared" ref="X164" si="395">IF(X158="","",X163*X158)</f>
        <v/>
      </c>
      <c r="Y164" s="54" t="str">
        <f t="shared" si="394"/>
        <v/>
      </c>
      <c r="Z164" s="54" t="str">
        <f>IF(Z158="","",Z163*Z158)</f>
        <v/>
      </c>
      <c r="AA164" s="54" t="str">
        <f>IF(AA158="","",AA163*AA158)</f>
        <v/>
      </c>
      <c r="AB164" s="54" t="str">
        <f>IF(AB158="","",AB163*AB158)</f>
        <v/>
      </c>
      <c r="AC164" s="54" t="str">
        <f t="shared" si="394"/>
        <v/>
      </c>
      <c r="AD164" s="54" t="str">
        <f t="shared" si="394"/>
        <v/>
      </c>
      <c r="AE164" s="54" t="str">
        <f t="shared" si="394"/>
        <v/>
      </c>
      <c r="AF164" s="54" t="str">
        <f t="shared" si="394"/>
        <v/>
      </c>
      <c r="AG164" s="54" t="str">
        <f t="shared" si="394"/>
        <v/>
      </c>
      <c r="AH164" s="54" t="str">
        <f t="shared" si="394"/>
        <v/>
      </c>
      <c r="AI164" s="54" t="str">
        <f t="shared" si="394"/>
        <v/>
      </c>
      <c r="AJ164" s="54" t="str">
        <f t="shared" si="394"/>
        <v/>
      </c>
      <c r="AK164" s="54" t="str">
        <f t="shared" si="394"/>
        <v/>
      </c>
      <c r="AL164" s="54" t="str">
        <f t="shared" si="394"/>
        <v/>
      </c>
      <c r="AM164" s="54" t="str">
        <f t="shared" si="394"/>
        <v/>
      </c>
      <c r="AN164" s="54" t="str">
        <f t="shared" si="394"/>
        <v/>
      </c>
      <c r="AO164" s="54" t="str">
        <f t="shared" si="394"/>
        <v/>
      </c>
      <c r="AP164" s="54" t="str">
        <f t="shared" ref="AP164" si="396">IF(AP158="","",AP163*AP158)</f>
        <v/>
      </c>
      <c r="AQ164" s="54" t="str">
        <f t="shared" ref="AQ164:AX164" si="397">IF(AQ158="","",AQ163*AQ158)</f>
        <v/>
      </c>
      <c r="AR164" s="54" t="str">
        <f t="shared" si="397"/>
        <v/>
      </c>
      <c r="AS164" s="54" t="str">
        <f t="shared" si="397"/>
        <v/>
      </c>
      <c r="AT164" s="54" t="str">
        <f t="shared" si="397"/>
        <v/>
      </c>
      <c r="AU164" s="54" t="str">
        <f t="shared" si="397"/>
        <v/>
      </c>
      <c r="AV164" s="54" t="str">
        <f t="shared" si="397"/>
        <v/>
      </c>
      <c r="AW164" s="54" t="str">
        <f t="shared" si="397"/>
        <v/>
      </c>
      <c r="AX164" s="54" t="str">
        <f t="shared" si="397"/>
        <v/>
      </c>
    </row>
    <row r="165" spans="1:50" s="1" customFormat="1" ht="12" thickBot="1">
      <c r="A165" s="25">
        <f>IF(A164="","",A164/(A161*100))</f>
        <v>0</v>
      </c>
      <c r="B165" s="53" t="s">
        <v>20</v>
      </c>
      <c r="C165" s="52" t="str">
        <f t="shared" ref="C165:AO165" si="398">IF(C164="","",C164/(C161*100))</f>
        <v/>
      </c>
      <c r="D165" s="52" t="str">
        <f t="shared" si="398"/>
        <v/>
      </c>
      <c r="E165" s="52" t="str">
        <f t="shared" si="398"/>
        <v/>
      </c>
      <c r="F165" s="52" t="str">
        <f t="shared" si="398"/>
        <v/>
      </c>
      <c r="G165" s="67" t="str">
        <f t="shared" si="398"/>
        <v/>
      </c>
      <c r="H165" s="52" t="str">
        <f t="shared" si="398"/>
        <v/>
      </c>
      <c r="I165" s="52" t="str">
        <f t="shared" si="398"/>
        <v/>
      </c>
      <c r="J165" s="52" t="str">
        <f t="shared" si="398"/>
        <v/>
      </c>
      <c r="K165" s="124" t="str">
        <f t="shared" si="398"/>
        <v/>
      </c>
      <c r="L165" s="52" t="str">
        <f t="shared" si="398"/>
        <v/>
      </c>
      <c r="M165" s="52" t="str">
        <f t="shared" si="398"/>
        <v/>
      </c>
      <c r="N165" s="124" t="str">
        <f t="shared" si="398"/>
        <v/>
      </c>
      <c r="O165" s="52" t="str">
        <f t="shared" si="398"/>
        <v/>
      </c>
      <c r="P165" s="52" t="str">
        <f t="shared" si="398"/>
        <v/>
      </c>
      <c r="Q165" s="124" t="str">
        <f t="shared" si="398"/>
        <v/>
      </c>
      <c r="R165" s="52" t="str">
        <f t="shared" si="398"/>
        <v/>
      </c>
      <c r="S165" s="52" t="str">
        <f t="shared" si="398"/>
        <v/>
      </c>
      <c r="T165" s="52" t="str">
        <f t="shared" si="398"/>
        <v/>
      </c>
      <c r="U165" s="52" t="str">
        <f t="shared" si="398"/>
        <v/>
      </c>
      <c r="V165" s="52" t="str">
        <f t="shared" si="398"/>
        <v/>
      </c>
      <c r="W165" s="52" t="str">
        <f t="shared" si="398"/>
        <v/>
      </c>
      <c r="X165" s="52" t="str">
        <f t="shared" ref="X165" si="399">IF(X164="","",X164/(X161*100))</f>
        <v/>
      </c>
      <c r="Y165" s="52" t="str">
        <f t="shared" si="398"/>
        <v/>
      </c>
      <c r="Z165" s="52" t="str">
        <f>IF(Z164="","",Z164/(Z161*100))</f>
        <v/>
      </c>
      <c r="AA165" s="52" t="str">
        <f>IF(AA164="","",AA164/(AA161*100))</f>
        <v/>
      </c>
      <c r="AB165" s="52" t="str">
        <f>IF(AB164="","",AB164/(AB161*100))</f>
        <v/>
      </c>
      <c r="AC165" s="52" t="str">
        <f t="shared" si="398"/>
        <v/>
      </c>
      <c r="AD165" s="52" t="str">
        <f t="shared" si="398"/>
        <v/>
      </c>
      <c r="AE165" s="52" t="str">
        <f t="shared" si="398"/>
        <v/>
      </c>
      <c r="AF165" s="52" t="str">
        <f t="shared" si="398"/>
        <v/>
      </c>
      <c r="AG165" s="52" t="str">
        <f t="shared" si="398"/>
        <v/>
      </c>
      <c r="AH165" s="52" t="str">
        <f t="shared" si="398"/>
        <v/>
      </c>
      <c r="AI165" s="52" t="str">
        <f t="shared" si="398"/>
        <v/>
      </c>
      <c r="AJ165" s="52" t="str">
        <f t="shared" si="398"/>
        <v/>
      </c>
      <c r="AK165" s="52" t="str">
        <f t="shared" si="398"/>
        <v/>
      </c>
      <c r="AL165" s="52" t="str">
        <f t="shared" si="398"/>
        <v/>
      </c>
      <c r="AM165" s="52" t="str">
        <f t="shared" si="398"/>
        <v/>
      </c>
      <c r="AN165" s="52" t="str">
        <f t="shared" si="398"/>
        <v/>
      </c>
      <c r="AO165" s="52" t="str">
        <f t="shared" si="398"/>
        <v/>
      </c>
      <c r="AP165" s="52" t="str">
        <f t="shared" ref="AP165" si="400">IF(AP164="","",AP164/(AP161*100))</f>
        <v/>
      </c>
      <c r="AQ165" s="52" t="str">
        <f t="shared" ref="AQ165:AX165" si="401">IF(AQ164="","",AQ164/(AQ161*100))</f>
        <v/>
      </c>
      <c r="AR165" s="52" t="str">
        <f t="shared" si="401"/>
        <v/>
      </c>
      <c r="AS165" s="52" t="str">
        <f t="shared" si="401"/>
        <v/>
      </c>
      <c r="AT165" s="52" t="str">
        <f t="shared" si="401"/>
        <v/>
      </c>
      <c r="AU165" s="52" t="str">
        <f t="shared" si="401"/>
        <v/>
      </c>
      <c r="AV165" s="52" t="str">
        <f t="shared" si="401"/>
        <v/>
      </c>
      <c r="AW165" s="52" t="str">
        <f t="shared" si="401"/>
        <v/>
      </c>
      <c r="AX165" s="52" t="str">
        <f t="shared" si="401"/>
        <v/>
      </c>
    </row>
    <row r="166" spans="1:50" s="1" customFormat="1">
      <c r="A166" s="40" t="s">
        <v>180</v>
      </c>
      <c r="B166" s="39" t="s">
        <v>161</v>
      </c>
      <c r="C166" s="38"/>
      <c r="D166" s="38"/>
      <c r="E166" s="38"/>
      <c r="F166" s="38">
        <v>6742</v>
      </c>
      <c r="G166" s="66">
        <v>6742</v>
      </c>
      <c r="H166" s="38">
        <v>6742</v>
      </c>
      <c r="I166" s="38">
        <v>6742</v>
      </c>
      <c r="J166" s="38">
        <v>6767</v>
      </c>
      <c r="K166" s="121">
        <v>6771</v>
      </c>
      <c r="L166" s="38">
        <v>6777</v>
      </c>
      <c r="M166" s="38">
        <v>6783</v>
      </c>
      <c r="N166" s="121">
        <v>6783</v>
      </c>
      <c r="O166" s="38">
        <v>6797</v>
      </c>
      <c r="P166" s="38">
        <v>6797</v>
      </c>
      <c r="Q166" s="121">
        <v>6797</v>
      </c>
      <c r="R166" s="38">
        <v>6821</v>
      </c>
      <c r="S166" s="38">
        <v>6823</v>
      </c>
      <c r="T166" s="38">
        <v>6823</v>
      </c>
      <c r="U166" s="38">
        <v>6823</v>
      </c>
      <c r="V166" s="38">
        <v>6843</v>
      </c>
      <c r="W166" s="38">
        <v>6850</v>
      </c>
      <c r="X166" s="38">
        <v>6850</v>
      </c>
      <c r="Y166" s="38">
        <v>6858</v>
      </c>
      <c r="Z166" s="38">
        <v>6858</v>
      </c>
      <c r="AA166" s="38">
        <v>6858</v>
      </c>
      <c r="AB166" s="38">
        <v>6914</v>
      </c>
      <c r="AC166" s="38">
        <v>6914</v>
      </c>
      <c r="AD166" s="38">
        <v>6936</v>
      </c>
      <c r="AE166" s="38">
        <v>6936</v>
      </c>
      <c r="AF166" s="38">
        <v>6940</v>
      </c>
      <c r="AG166" s="38">
        <v>6944</v>
      </c>
      <c r="AH166" s="38">
        <v>6948</v>
      </c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</row>
    <row r="167" spans="1:50" s="1" customFormat="1">
      <c r="A167" s="37" t="s">
        <v>176</v>
      </c>
      <c r="B167" s="30" t="s">
        <v>177</v>
      </c>
      <c r="C167" s="29"/>
      <c r="D167" s="29"/>
      <c r="E167" s="29"/>
      <c r="F167" s="29">
        <v>1601</v>
      </c>
      <c r="G167" s="65">
        <v>1601</v>
      </c>
      <c r="H167" s="29">
        <v>1601</v>
      </c>
      <c r="I167" s="29">
        <v>1601</v>
      </c>
      <c r="J167" s="29">
        <v>1612</v>
      </c>
      <c r="K167" s="122">
        <v>1614</v>
      </c>
      <c r="L167" s="29">
        <v>1617</v>
      </c>
      <c r="M167" s="29">
        <v>1619</v>
      </c>
      <c r="N167" s="122">
        <v>1619</v>
      </c>
      <c r="O167" s="29">
        <v>1623</v>
      </c>
      <c r="P167" s="29">
        <v>1623</v>
      </c>
      <c r="Q167" s="122">
        <v>1623</v>
      </c>
      <c r="R167" s="29">
        <v>1628</v>
      </c>
      <c r="S167" s="29">
        <v>1629</v>
      </c>
      <c r="T167" s="29">
        <v>1629</v>
      </c>
      <c r="U167" s="29">
        <v>1629</v>
      </c>
      <c r="V167" s="29">
        <v>1630</v>
      </c>
      <c r="W167" s="29">
        <v>1633</v>
      </c>
      <c r="X167" s="29">
        <v>1633</v>
      </c>
      <c r="Y167" s="29">
        <v>1635</v>
      </c>
      <c r="Z167" s="29">
        <v>1635</v>
      </c>
      <c r="AA167" s="29">
        <v>1635</v>
      </c>
      <c r="AB167" s="29">
        <v>1637</v>
      </c>
      <c r="AC167" s="29">
        <v>1637</v>
      </c>
      <c r="AD167" s="29">
        <v>1640</v>
      </c>
      <c r="AE167" s="29">
        <v>1640</v>
      </c>
      <c r="AF167" s="29">
        <v>1642</v>
      </c>
      <c r="AG167" s="29">
        <v>1642</v>
      </c>
      <c r="AH167" s="29">
        <v>1643</v>
      </c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</row>
    <row r="168" spans="1:50" s="1" customFormat="1">
      <c r="A168" s="34"/>
      <c r="B168" s="30" t="s">
        <v>178</v>
      </c>
      <c r="C168" s="29"/>
      <c r="D168" s="29"/>
      <c r="E168" s="29"/>
      <c r="F168" s="29">
        <v>1809</v>
      </c>
      <c r="G168" s="65">
        <v>1809</v>
      </c>
      <c r="H168" s="29">
        <v>1809</v>
      </c>
      <c r="I168" s="29">
        <v>1809</v>
      </c>
      <c r="J168" s="29">
        <v>1810</v>
      </c>
      <c r="K168" s="122">
        <v>1810</v>
      </c>
      <c r="L168" s="29">
        <v>1810</v>
      </c>
      <c r="M168" s="29">
        <v>1811</v>
      </c>
      <c r="N168" s="122">
        <v>1811</v>
      </c>
      <c r="O168" s="29">
        <v>1814</v>
      </c>
      <c r="P168" s="29">
        <v>1814</v>
      </c>
      <c r="Q168" s="122">
        <v>1814</v>
      </c>
      <c r="R168" s="29">
        <v>1821</v>
      </c>
      <c r="S168" s="29">
        <v>1821</v>
      </c>
      <c r="T168" s="29">
        <v>1821</v>
      </c>
      <c r="U168" s="29">
        <v>1821</v>
      </c>
      <c r="V168" s="29">
        <v>1829</v>
      </c>
      <c r="W168" s="29">
        <v>1831</v>
      </c>
      <c r="X168" s="29">
        <v>1831</v>
      </c>
      <c r="Y168" s="29">
        <v>1833</v>
      </c>
      <c r="Z168" s="29">
        <v>1833</v>
      </c>
      <c r="AA168" s="29">
        <v>1833</v>
      </c>
      <c r="AB168" s="29">
        <v>1859</v>
      </c>
      <c r="AC168" s="29">
        <v>1859</v>
      </c>
      <c r="AD168" s="29">
        <v>1867</v>
      </c>
      <c r="AE168" s="29">
        <v>1867</v>
      </c>
      <c r="AF168" s="29">
        <v>1867</v>
      </c>
      <c r="AG168" s="29">
        <v>1869</v>
      </c>
      <c r="AH168" s="29">
        <v>1870</v>
      </c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</row>
    <row r="169" spans="1:50" s="1" customFormat="1">
      <c r="A169" s="36" t="s">
        <v>9</v>
      </c>
      <c r="B169" s="30" t="s">
        <v>7</v>
      </c>
      <c r="C169" s="29"/>
      <c r="D169" s="29"/>
      <c r="E169" s="29"/>
      <c r="F169" s="29"/>
      <c r="G169" s="65"/>
      <c r="H169" s="29"/>
      <c r="I169" s="29"/>
      <c r="J169" s="29"/>
      <c r="K169" s="122"/>
      <c r="L169" s="29"/>
      <c r="M169" s="29"/>
      <c r="N169" s="122"/>
      <c r="O169" s="29"/>
      <c r="P169" s="29"/>
      <c r="Q169" s="122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</row>
    <row r="170" spans="1:50" s="1" customFormat="1">
      <c r="A170" s="28">
        <f>AVERAGE(C173:AO173)*30*1000</f>
        <v>220714.28571428568</v>
      </c>
      <c r="B170" s="30" t="s">
        <v>8</v>
      </c>
      <c r="C170" s="29"/>
      <c r="D170" s="29"/>
      <c r="E170" s="29"/>
      <c r="F170" s="29"/>
      <c r="G170" s="65"/>
      <c r="H170" s="29"/>
      <c r="I170" s="29"/>
      <c r="J170" s="29"/>
      <c r="K170" s="122"/>
      <c r="L170" s="29"/>
      <c r="M170" s="29"/>
      <c r="N170" s="122"/>
      <c r="O170" s="29"/>
      <c r="P170" s="29"/>
      <c r="Q170" s="122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</row>
    <row r="171" spans="1:50" s="11" customFormat="1">
      <c r="A171" s="34"/>
      <c r="B171" s="33" t="s">
        <v>164</v>
      </c>
      <c r="C171" s="32"/>
      <c r="D171" s="32"/>
      <c r="E171" s="32"/>
      <c r="F171" s="32"/>
      <c r="G171" s="63"/>
      <c r="H171" s="32"/>
      <c r="I171" s="32"/>
      <c r="J171" s="32"/>
      <c r="K171" s="123"/>
      <c r="L171" s="32"/>
      <c r="M171" s="32"/>
      <c r="N171" s="123"/>
      <c r="O171" s="32"/>
      <c r="P171" s="32"/>
      <c r="Q171" s="123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</row>
    <row r="172" spans="1:50" s="1" customFormat="1">
      <c r="A172" s="31"/>
      <c r="B172" s="30" t="s">
        <v>165</v>
      </c>
      <c r="C172" s="29"/>
      <c r="D172" s="29"/>
      <c r="E172" s="29"/>
      <c r="F172" s="29"/>
      <c r="G172" s="65"/>
      <c r="H172" s="29"/>
      <c r="I172" s="29"/>
      <c r="J172" s="29"/>
      <c r="K172" s="122"/>
      <c r="L172" s="29"/>
      <c r="M172" s="29"/>
      <c r="N172" s="122"/>
      <c r="O172" s="29"/>
      <c r="P172" s="29"/>
      <c r="Q172" s="122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</row>
    <row r="173" spans="1:50" s="1" customFormat="1">
      <c r="A173" s="28">
        <f>SUM(C173:AO173)</f>
        <v>206</v>
      </c>
      <c r="B173" s="55" t="s">
        <v>166</v>
      </c>
      <c r="C173" s="54"/>
      <c r="D173" s="54"/>
      <c r="E173" s="54"/>
      <c r="F173" s="54"/>
      <c r="G173" s="65">
        <f t="shared" ref="G173:AO173" si="402">IF(G166="","",G166-F166)</f>
        <v>0</v>
      </c>
      <c r="H173" s="54">
        <f t="shared" si="402"/>
        <v>0</v>
      </c>
      <c r="I173" s="54">
        <f t="shared" si="402"/>
        <v>0</v>
      </c>
      <c r="J173" s="54">
        <f t="shared" si="402"/>
        <v>25</v>
      </c>
      <c r="K173" s="122">
        <f t="shared" si="402"/>
        <v>4</v>
      </c>
      <c r="L173" s="54">
        <f t="shared" si="402"/>
        <v>6</v>
      </c>
      <c r="M173" s="54">
        <f t="shared" si="402"/>
        <v>6</v>
      </c>
      <c r="N173" s="122">
        <f t="shared" si="402"/>
        <v>0</v>
      </c>
      <c r="O173" s="54">
        <f t="shared" si="402"/>
        <v>14</v>
      </c>
      <c r="P173" s="54">
        <f t="shared" si="402"/>
        <v>0</v>
      </c>
      <c r="Q173" s="122">
        <f t="shared" si="402"/>
        <v>0</v>
      </c>
      <c r="R173" s="54">
        <f t="shared" si="402"/>
        <v>24</v>
      </c>
      <c r="S173" s="54">
        <f t="shared" si="402"/>
        <v>2</v>
      </c>
      <c r="T173" s="54">
        <f t="shared" si="402"/>
        <v>0</v>
      </c>
      <c r="U173" s="54">
        <f t="shared" si="402"/>
        <v>0</v>
      </c>
      <c r="V173" s="54">
        <f t="shared" si="402"/>
        <v>20</v>
      </c>
      <c r="W173" s="54">
        <f t="shared" si="402"/>
        <v>7</v>
      </c>
      <c r="X173" s="54">
        <f t="shared" si="402"/>
        <v>0</v>
      </c>
      <c r="Y173" s="54">
        <f t="shared" si="402"/>
        <v>8</v>
      </c>
      <c r="Z173" s="54">
        <f t="shared" ref="Z173:AB175" si="403">IF(Z166="","",Z166-Y166)</f>
        <v>0</v>
      </c>
      <c r="AA173" s="54">
        <f t="shared" si="403"/>
        <v>0</v>
      </c>
      <c r="AB173" s="54">
        <f t="shared" si="403"/>
        <v>56</v>
      </c>
      <c r="AC173" s="54">
        <f t="shared" si="402"/>
        <v>0</v>
      </c>
      <c r="AD173" s="54">
        <f t="shared" si="402"/>
        <v>22</v>
      </c>
      <c r="AE173" s="54">
        <f t="shared" si="402"/>
        <v>0</v>
      </c>
      <c r="AF173" s="54">
        <f t="shared" si="402"/>
        <v>4</v>
      </c>
      <c r="AG173" s="54">
        <f t="shared" si="402"/>
        <v>4</v>
      </c>
      <c r="AH173" s="54">
        <f t="shared" si="402"/>
        <v>4</v>
      </c>
      <c r="AI173" s="54" t="str">
        <f t="shared" si="402"/>
        <v/>
      </c>
      <c r="AJ173" s="54" t="str">
        <f t="shared" si="402"/>
        <v/>
      </c>
      <c r="AK173" s="54" t="str">
        <f t="shared" si="402"/>
        <v/>
      </c>
      <c r="AL173" s="54" t="str">
        <f t="shared" si="402"/>
        <v/>
      </c>
      <c r="AM173" s="54" t="str">
        <f t="shared" si="402"/>
        <v/>
      </c>
      <c r="AN173" s="54" t="str">
        <f t="shared" si="402"/>
        <v/>
      </c>
      <c r="AO173" s="54" t="str">
        <f t="shared" si="402"/>
        <v/>
      </c>
      <c r="AP173" s="54" t="str">
        <f t="shared" ref="AP173:AP175" si="404">IF(AP166="","",AP166-AO166)</f>
        <v/>
      </c>
      <c r="AQ173" s="54" t="str">
        <f t="shared" ref="AQ173:AQ175" si="405">IF(AQ166="","",AQ166-AP166)</f>
        <v/>
      </c>
      <c r="AR173" s="54" t="str">
        <f t="shared" ref="AR173:AR175" si="406">IF(AR166="","",AR166-AQ166)</f>
        <v/>
      </c>
      <c r="AS173" s="54" t="str">
        <f t="shared" ref="AS173:AS175" si="407">IF(AS166="","",AS166-AR166)</f>
        <v/>
      </c>
      <c r="AT173" s="54" t="str">
        <f t="shared" ref="AT173:AT175" si="408">IF(AT166="","",AT166-AS166)</f>
        <v/>
      </c>
      <c r="AU173" s="54" t="str">
        <f t="shared" ref="AU173:AU175" si="409">IF(AU166="","",AU166-AT166)</f>
        <v/>
      </c>
      <c r="AV173" s="54" t="str">
        <f t="shared" ref="AV173:AV175" si="410">IF(AV166="","",AV166-AU166)</f>
        <v/>
      </c>
      <c r="AW173" s="54" t="str">
        <f t="shared" ref="AW173:AW175" si="411">IF(AW166="","",AW166-AV166)</f>
        <v/>
      </c>
      <c r="AX173" s="54" t="str">
        <f t="shared" ref="AX173:AX175" si="412">IF(AX166="","",AX166-AW166)</f>
        <v/>
      </c>
    </row>
    <row r="174" spans="1:50" s="1" customFormat="1">
      <c r="A174" s="28">
        <f>SUM(C174:AO174)</f>
        <v>42</v>
      </c>
      <c r="B174" s="55" t="s">
        <v>167</v>
      </c>
      <c r="C174" s="54"/>
      <c r="D174" s="54"/>
      <c r="E174" s="54"/>
      <c r="F174" s="54"/>
      <c r="G174" s="65">
        <f t="shared" ref="G174:AO174" si="413">IF(G167="","",G167-F167)</f>
        <v>0</v>
      </c>
      <c r="H174" s="54">
        <f t="shared" si="413"/>
        <v>0</v>
      </c>
      <c r="I174" s="54">
        <f t="shared" si="413"/>
        <v>0</v>
      </c>
      <c r="J174" s="54">
        <f t="shared" si="413"/>
        <v>11</v>
      </c>
      <c r="K174" s="122">
        <f t="shared" si="413"/>
        <v>2</v>
      </c>
      <c r="L174" s="54">
        <f t="shared" si="413"/>
        <v>3</v>
      </c>
      <c r="M174" s="54">
        <f t="shared" si="413"/>
        <v>2</v>
      </c>
      <c r="N174" s="122">
        <f t="shared" si="413"/>
        <v>0</v>
      </c>
      <c r="O174" s="54">
        <f t="shared" si="413"/>
        <v>4</v>
      </c>
      <c r="P174" s="54">
        <f t="shared" si="413"/>
        <v>0</v>
      </c>
      <c r="Q174" s="122">
        <f t="shared" si="413"/>
        <v>0</v>
      </c>
      <c r="R174" s="54">
        <f t="shared" si="413"/>
        <v>5</v>
      </c>
      <c r="S174" s="54">
        <f t="shared" si="413"/>
        <v>1</v>
      </c>
      <c r="T174" s="54">
        <f t="shared" si="413"/>
        <v>0</v>
      </c>
      <c r="U174" s="54">
        <f t="shared" si="413"/>
        <v>0</v>
      </c>
      <c r="V174" s="54">
        <f t="shared" si="413"/>
        <v>1</v>
      </c>
      <c r="W174" s="54">
        <f t="shared" si="413"/>
        <v>3</v>
      </c>
      <c r="X174" s="54">
        <f t="shared" si="413"/>
        <v>0</v>
      </c>
      <c r="Y174" s="54">
        <f t="shared" si="413"/>
        <v>2</v>
      </c>
      <c r="Z174" s="54">
        <f t="shared" si="403"/>
        <v>0</v>
      </c>
      <c r="AA174" s="54">
        <f t="shared" si="403"/>
        <v>0</v>
      </c>
      <c r="AB174" s="54">
        <f t="shared" si="403"/>
        <v>2</v>
      </c>
      <c r="AC174" s="54">
        <f t="shared" si="413"/>
        <v>0</v>
      </c>
      <c r="AD174" s="54">
        <f t="shared" si="413"/>
        <v>3</v>
      </c>
      <c r="AE174" s="54">
        <f t="shared" si="413"/>
        <v>0</v>
      </c>
      <c r="AF174" s="54">
        <f t="shared" si="413"/>
        <v>2</v>
      </c>
      <c r="AG174" s="54">
        <f t="shared" si="413"/>
        <v>0</v>
      </c>
      <c r="AH174" s="54">
        <f t="shared" si="413"/>
        <v>1</v>
      </c>
      <c r="AI174" s="54" t="str">
        <f t="shared" si="413"/>
        <v/>
      </c>
      <c r="AJ174" s="54" t="str">
        <f t="shared" si="413"/>
        <v/>
      </c>
      <c r="AK174" s="54" t="str">
        <f t="shared" si="413"/>
        <v/>
      </c>
      <c r="AL174" s="54" t="str">
        <f t="shared" si="413"/>
        <v/>
      </c>
      <c r="AM174" s="54" t="str">
        <f t="shared" si="413"/>
        <v/>
      </c>
      <c r="AN174" s="54" t="str">
        <f t="shared" si="413"/>
        <v/>
      </c>
      <c r="AO174" s="54" t="str">
        <f t="shared" si="413"/>
        <v/>
      </c>
      <c r="AP174" s="54" t="str">
        <f t="shared" si="404"/>
        <v/>
      </c>
      <c r="AQ174" s="54" t="str">
        <f t="shared" si="405"/>
        <v/>
      </c>
      <c r="AR174" s="54" t="str">
        <f t="shared" si="406"/>
        <v/>
      </c>
      <c r="AS174" s="54" t="str">
        <f t="shared" si="407"/>
        <v/>
      </c>
      <c r="AT174" s="54" t="str">
        <f t="shared" si="408"/>
        <v/>
      </c>
      <c r="AU174" s="54" t="str">
        <f t="shared" si="409"/>
        <v/>
      </c>
      <c r="AV174" s="54" t="str">
        <f t="shared" si="410"/>
        <v/>
      </c>
      <c r="AW174" s="54" t="str">
        <f t="shared" si="411"/>
        <v/>
      </c>
      <c r="AX174" s="54" t="str">
        <f t="shared" si="412"/>
        <v/>
      </c>
    </row>
    <row r="175" spans="1:50" s="1" customFormat="1">
      <c r="A175" s="28">
        <f>SUM(C175:AO175)</f>
        <v>61</v>
      </c>
      <c r="B175" s="55" t="s">
        <v>179</v>
      </c>
      <c r="C175" s="54"/>
      <c r="D175" s="54"/>
      <c r="E175" s="54"/>
      <c r="F175" s="54"/>
      <c r="G175" s="65">
        <f t="shared" ref="G175:AO175" si="414">IF(G168="","",G168-F168)</f>
        <v>0</v>
      </c>
      <c r="H175" s="54">
        <f t="shared" si="414"/>
        <v>0</v>
      </c>
      <c r="I175" s="54">
        <f t="shared" si="414"/>
        <v>0</v>
      </c>
      <c r="J175" s="54">
        <f t="shared" si="414"/>
        <v>1</v>
      </c>
      <c r="K175" s="122">
        <f t="shared" si="414"/>
        <v>0</v>
      </c>
      <c r="L175" s="54">
        <f t="shared" si="414"/>
        <v>0</v>
      </c>
      <c r="M175" s="54">
        <f t="shared" si="414"/>
        <v>1</v>
      </c>
      <c r="N175" s="122">
        <f t="shared" si="414"/>
        <v>0</v>
      </c>
      <c r="O175" s="54">
        <f t="shared" si="414"/>
        <v>3</v>
      </c>
      <c r="P175" s="54">
        <f t="shared" si="414"/>
        <v>0</v>
      </c>
      <c r="Q175" s="122">
        <f t="shared" si="414"/>
        <v>0</v>
      </c>
      <c r="R175" s="54">
        <f t="shared" si="414"/>
        <v>7</v>
      </c>
      <c r="S175" s="54">
        <f t="shared" si="414"/>
        <v>0</v>
      </c>
      <c r="T175" s="54">
        <f t="shared" si="414"/>
        <v>0</v>
      </c>
      <c r="U175" s="54">
        <f t="shared" si="414"/>
        <v>0</v>
      </c>
      <c r="V175" s="54">
        <f t="shared" si="414"/>
        <v>8</v>
      </c>
      <c r="W175" s="54">
        <f t="shared" si="414"/>
        <v>2</v>
      </c>
      <c r="X175" s="54">
        <f t="shared" si="414"/>
        <v>0</v>
      </c>
      <c r="Y175" s="54">
        <f t="shared" si="414"/>
        <v>2</v>
      </c>
      <c r="Z175" s="54">
        <f t="shared" si="403"/>
        <v>0</v>
      </c>
      <c r="AA175" s="54">
        <f t="shared" si="403"/>
        <v>0</v>
      </c>
      <c r="AB175" s="54">
        <f t="shared" si="403"/>
        <v>26</v>
      </c>
      <c r="AC175" s="54">
        <f t="shared" si="414"/>
        <v>0</v>
      </c>
      <c r="AD175" s="54">
        <f t="shared" si="414"/>
        <v>8</v>
      </c>
      <c r="AE175" s="54">
        <f t="shared" si="414"/>
        <v>0</v>
      </c>
      <c r="AF175" s="54">
        <f t="shared" si="414"/>
        <v>0</v>
      </c>
      <c r="AG175" s="54">
        <f t="shared" si="414"/>
        <v>2</v>
      </c>
      <c r="AH175" s="54">
        <f t="shared" si="414"/>
        <v>1</v>
      </c>
      <c r="AI175" s="54" t="str">
        <f t="shared" si="414"/>
        <v/>
      </c>
      <c r="AJ175" s="54" t="str">
        <f t="shared" si="414"/>
        <v/>
      </c>
      <c r="AK175" s="54" t="str">
        <f t="shared" si="414"/>
        <v/>
      </c>
      <c r="AL175" s="54" t="str">
        <f t="shared" si="414"/>
        <v/>
      </c>
      <c r="AM175" s="54" t="str">
        <f t="shared" si="414"/>
        <v/>
      </c>
      <c r="AN175" s="54" t="str">
        <f t="shared" si="414"/>
        <v/>
      </c>
      <c r="AO175" s="54" t="str">
        <f t="shared" si="414"/>
        <v/>
      </c>
      <c r="AP175" s="54" t="str">
        <f t="shared" si="404"/>
        <v/>
      </c>
      <c r="AQ175" s="54" t="str">
        <f t="shared" si="405"/>
        <v/>
      </c>
      <c r="AR175" s="54" t="str">
        <f t="shared" si="406"/>
        <v/>
      </c>
      <c r="AS175" s="54" t="str">
        <f t="shared" si="407"/>
        <v/>
      </c>
      <c r="AT175" s="54" t="str">
        <f t="shared" si="408"/>
        <v/>
      </c>
      <c r="AU175" s="54" t="str">
        <f t="shared" si="409"/>
        <v/>
      </c>
      <c r="AV175" s="54" t="str">
        <f t="shared" si="410"/>
        <v/>
      </c>
      <c r="AW175" s="54" t="str">
        <f t="shared" si="411"/>
        <v/>
      </c>
      <c r="AX175" s="54" t="str">
        <f t="shared" si="412"/>
        <v/>
      </c>
    </row>
    <row r="176" spans="1:50" s="1" customFormat="1">
      <c r="A176" s="28">
        <f>SUM(C176:AO176)</f>
        <v>0</v>
      </c>
      <c r="B176" s="55" t="s">
        <v>18</v>
      </c>
      <c r="C176" s="54"/>
      <c r="D176" s="54"/>
      <c r="E176" s="54"/>
      <c r="F176" s="54"/>
      <c r="G176" s="65" t="str">
        <f t="shared" ref="G176:AO176" si="415">IF(G170="","",G175*G170)</f>
        <v/>
      </c>
      <c r="H176" s="54" t="str">
        <f t="shared" si="415"/>
        <v/>
      </c>
      <c r="I176" s="54" t="str">
        <f t="shared" si="415"/>
        <v/>
      </c>
      <c r="J176" s="54" t="str">
        <f t="shared" si="415"/>
        <v/>
      </c>
      <c r="K176" s="122" t="str">
        <f t="shared" si="415"/>
        <v/>
      </c>
      <c r="L176" s="54" t="str">
        <f t="shared" si="415"/>
        <v/>
      </c>
      <c r="M176" s="54" t="str">
        <f t="shared" si="415"/>
        <v/>
      </c>
      <c r="N176" s="122" t="str">
        <f t="shared" si="415"/>
        <v/>
      </c>
      <c r="O176" s="54" t="str">
        <f t="shared" si="415"/>
        <v/>
      </c>
      <c r="P176" s="54" t="str">
        <f t="shared" si="415"/>
        <v/>
      </c>
      <c r="Q176" s="122" t="str">
        <f t="shared" si="415"/>
        <v/>
      </c>
      <c r="R176" s="54" t="str">
        <f t="shared" si="415"/>
        <v/>
      </c>
      <c r="S176" s="54" t="str">
        <f t="shared" si="415"/>
        <v/>
      </c>
      <c r="T176" s="54" t="str">
        <f t="shared" si="415"/>
        <v/>
      </c>
      <c r="U176" s="54" t="str">
        <f t="shared" si="415"/>
        <v/>
      </c>
      <c r="V176" s="54" t="str">
        <f t="shared" si="415"/>
        <v/>
      </c>
      <c r="W176" s="54" t="str">
        <f t="shared" si="415"/>
        <v/>
      </c>
      <c r="X176" s="54" t="str">
        <f t="shared" ref="X176" si="416">IF(X170="","",X175*X170)</f>
        <v/>
      </c>
      <c r="Y176" s="54" t="str">
        <f t="shared" si="415"/>
        <v/>
      </c>
      <c r="Z176" s="54" t="str">
        <f>IF(Z170="","",Z175*Z170)</f>
        <v/>
      </c>
      <c r="AA176" s="54" t="str">
        <f>IF(AA170="","",AA175*AA170)</f>
        <v/>
      </c>
      <c r="AB176" s="54" t="str">
        <f>IF(AB170="","",AB175*AB170)</f>
        <v/>
      </c>
      <c r="AC176" s="54" t="str">
        <f t="shared" si="415"/>
        <v/>
      </c>
      <c r="AD176" s="54" t="str">
        <f t="shared" si="415"/>
        <v/>
      </c>
      <c r="AE176" s="54" t="str">
        <f t="shared" si="415"/>
        <v/>
      </c>
      <c r="AF176" s="54" t="str">
        <f t="shared" si="415"/>
        <v/>
      </c>
      <c r="AG176" s="54" t="str">
        <f t="shared" si="415"/>
        <v/>
      </c>
      <c r="AH176" s="54" t="str">
        <f t="shared" si="415"/>
        <v/>
      </c>
      <c r="AI176" s="54" t="str">
        <f t="shared" si="415"/>
        <v/>
      </c>
      <c r="AJ176" s="54" t="str">
        <f t="shared" si="415"/>
        <v/>
      </c>
      <c r="AK176" s="54" t="str">
        <f t="shared" si="415"/>
        <v/>
      </c>
      <c r="AL176" s="54" t="str">
        <f t="shared" si="415"/>
        <v/>
      </c>
      <c r="AM176" s="54" t="str">
        <f t="shared" si="415"/>
        <v/>
      </c>
      <c r="AN176" s="54" t="str">
        <f t="shared" si="415"/>
        <v/>
      </c>
      <c r="AO176" s="54" t="str">
        <f t="shared" si="415"/>
        <v/>
      </c>
      <c r="AP176" s="54" t="str">
        <f t="shared" ref="AP176" si="417">IF(AP170="","",AP175*AP170)</f>
        <v/>
      </c>
      <c r="AQ176" s="54" t="str">
        <f t="shared" ref="AQ176:AX176" si="418">IF(AQ170="","",AQ175*AQ170)</f>
        <v/>
      </c>
      <c r="AR176" s="54" t="str">
        <f t="shared" si="418"/>
        <v/>
      </c>
      <c r="AS176" s="54" t="str">
        <f t="shared" si="418"/>
        <v/>
      </c>
      <c r="AT176" s="54" t="str">
        <f t="shared" si="418"/>
        <v/>
      </c>
      <c r="AU176" s="54" t="str">
        <f t="shared" si="418"/>
        <v/>
      </c>
      <c r="AV176" s="54" t="str">
        <f t="shared" si="418"/>
        <v/>
      </c>
      <c r="AW176" s="54" t="str">
        <f t="shared" si="418"/>
        <v/>
      </c>
      <c r="AX176" s="54" t="str">
        <f t="shared" si="418"/>
        <v/>
      </c>
    </row>
    <row r="177" spans="1:50" s="1" customFormat="1" ht="12" thickBot="1">
      <c r="A177" s="25">
        <f>IF(A176="","",A176/(A173*100))</f>
        <v>0</v>
      </c>
      <c r="B177" s="53" t="s">
        <v>20</v>
      </c>
      <c r="C177" s="52" t="str">
        <f t="shared" ref="C177:AO177" si="419">IF(C176="","",C176/(C173*100))</f>
        <v/>
      </c>
      <c r="D177" s="52" t="str">
        <f t="shared" si="419"/>
        <v/>
      </c>
      <c r="E177" s="52" t="str">
        <f t="shared" si="419"/>
        <v/>
      </c>
      <c r="F177" s="52" t="str">
        <f t="shared" si="419"/>
        <v/>
      </c>
      <c r="G177" s="67" t="str">
        <f t="shared" si="419"/>
        <v/>
      </c>
      <c r="H177" s="52" t="str">
        <f t="shared" si="419"/>
        <v/>
      </c>
      <c r="I177" s="52" t="str">
        <f t="shared" si="419"/>
        <v/>
      </c>
      <c r="J177" s="52" t="str">
        <f t="shared" si="419"/>
        <v/>
      </c>
      <c r="K177" s="124" t="str">
        <f t="shared" si="419"/>
        <v/>
      </c>
      <c r="L177" s="52" t="str">
        <f t="shared" si="419"/>
        <v/>
      </c>
      <c r="M177" s="52" t="str">
        <f t="shared" si="419"/>
        <v/>
      </c>
      <c r="N177" s="124" t="str">
        <f t="shared" si="419"/>
        <v/>
      </c>
      <c r="O177" s="52" t="str">
        <f t="shared" si="419"/>
        <v/>
      </c>
      <c r="P177" s="52" t="str">
        <f t="shared" si="419"/>
        <v/>
      </c>
      <c r="Q177" s="124" t="str">
        <f t="shared" si="419"/>
        <v/>
      </c>
      <c r="R177" s="52" t="str">
        <f t="shared" si="419"/>
        <v/>
      </c>
      <c r="S177" s="52" t="str">
        <f t="shared" si="419"/>
        <v/>
      </c>
      <c r="T177" s="52" t="str">
        <f t="shared" si="419"/>
        <v/>
      </c>
      <c r="U177" s="52" t="str">
        <f t="shared" si="419"/>
        <v/>
      </c>
      <c r="V177" s="52" t="str">
        <f t="shared" si="419"/>
        <v/>
      </c>
      <c r="W177" s="52" t="str">
        <f>IF(W176="","",W176/(W173*100))</f>
        <v/>
      </c>
      <c r="X177" s="52" t="str">
        <f>IF(X176="","",X176/(X173*100))</f>
        <v/>
      </c>
      <c r="Y177" s="52" t="str">
        <f t="shared" si="419"/>
        <v/>
      </c>
      <c r="Z177" s="52" t="str">
        <f>IF(Z176="","",Z176/(Z173*100))</f>
        <v/>
      </c>
      <c r="AA177" s="52" t="str">
        <f>IF(AA176="","",AA176/(AA173*100))</f>
        <v/>
      </c>
      <c r="AB177" s="52" t="str">
        <f>IF(AB176="","",AB176/(AB173*100))</f>
        <v/>
      </c>
      <c r="AC177" s="52" t="str">
        <f t="shared" si="419"/>
        <v/>
      </c>
      <c r="AD177" s="52" t="str">
        <f t="shared" si="419"/>
        <v/>
      </c>
      <c r="AE177" s="52" t="str">
        <f t="shared" si="419"/>
        <v/>
      </c>
      <c r="AF177" s="52" t="str">
        <f t="shared" si="419"/>
        <v/>
      </c>
      <c r="AG177" s="52" t="str">
        <f t="shared" si="419"/>
        <v/>
      </c>
      <c r="AH177" s="52" t="str">
        <f t="shared" si="419"/>
        <v/>
      </c>
      <c r="AI177" s="52" t="str">
        <f t="shared" si="419"/>
        <v/>
      </c>
      <c r="AJ177" s="52" t="str">
        <f t="shared" si="419"/>
        <v/>
      </c>
      <c r="AK177" s="52" t="str">
        <f t="shared" si="419"/>
        <v/>
      </c>
      <c r="AL177" s="52" t="str">
        <f t="shared" si="419"/>
        <v/>
      </c>
      <c r="AM177" s="52" t="str">
        <f t="shared" si="419"/>
        <v/>
      </c>
      <c r="AN177" s="52" t="str">
        <f t="shared" si="419"/>
        <v/>
      </c>
      <c r="AO177" s="52" t="str">
        <f t="shared" si="419"/>
        <v/>
      </c>
      <c r="AP177" s="52" t="str">
        <f t="shared" ref="AP177" si="420">IF(AP176="","",AP176/(AP173*100))</f>
        <v/>
      </c>
      <c r="AQ177" s="52" t="str">
        <f t="shared" ref="AQ177:AX177" si="421">IF(AQ176="","",AQ176/(AQ173*100))</f>
        <v/>
      </c>
      <c r="AR177" s="52" t="str">
        <f t="shared" si="421"/>
        <v/>
      </c>
      <c r="AS177" s="52" t="str">
        <f t="shared" si="421"/>
        <v/>
      </c>
      <c r="AT177" s="52" t="str">
        <f t="shared" si="421"/>
        <v/>
      </c>
      <c r="AU177" s="52" t="str">
        <f t="shared" si="421"/>
        <v/>
      </c>
      <c r="AV177" s="52" t="str">
        <f t="shared" si="421"/>
        <v/>
      </c>
      <c r="AW177" s="52" t="str">
        <f t="shared" si="421"/>
        <v/>
      </c>
      <c r="AX177" s="52" t="str">
        <f t="shared" si="421"/>
        <v/>
      </c>
    </row>
    <row r="178" spans="1:50" s="1" customFormat="1">
      <c r="A178" s="22" t="s">
        <v>180</v>
      </c>
      <c r="B178" s="21" t="s">
        <v>171</v>
      </c>
      <c r="C178" s="20"/>
      <c r="D178" s="20"/>
      <c r="E178" s="20"/>
      <c r="F178" s="20">
        <v>5970</v>
      </c>
      <c r="G178" s="73">
        <v>5970</v>
      </c>
      <c r="H178" s="20">
        <v>5970</v>
      </c>
      <c r="I178" s="20">
        <v>5970</v>
      </c>
      <c r="J178" s="20">
        <v>6010</v>
      </c>
      <c r="K178" s="116">
        <v>6010</v>
      </c>
      <c r="L178" s="20">
        <v>6010</v>
      </c>
      <c r="M178" s="20">
        <v>6070</v>
      </c>
      <c r="N178" s="116">
        <v>6070</v>
      </c>
      <c r="O178" s="20">
        <v>6070</v>
      </c>
      <c r="P178" s="20">
        <v>6080</v>
      </c>
      <c r="Q178" s="116">
        <v>6080</v>
      </c>
      <c r="R178" s="20">
        <v>6080</v>
      </c>
      <c r="S178" s="20">
        <v>6135</v>
      </c>
      <c r="T178" s="20">
        <v>6135</v>
      </c>
      <c r="U178" s="20">
        <v>6135</v>
      </c>
      <c r="V178" s="20">
        <v>6135</v>
      </c>
      <c r="W178" s="20">
        <v>6165</v>
      </c>
      <c r="X178" s="20">
        <v>6165</v>
      </c>
      <c r="Y178" s="20">
        <v>6165</v>
      </c>
      <c r="Z178" s="20">
        <v>6210</v>
      </c>
      <c r="AA178" s="20">
        <v>6210</v>
      </c>
      <c r="AB178" s="20">
        <v>6210</v>
      </c>
      <c r="AC178" s="20">
        <v>6210</v>
      </c>
      <c r="AD178" s="20">
        <v>6210</v>
      </c>
      <c r="AE178" s="20">
        <v>6261</v>
      </c>
      <c r="AF178" s="20">
        <v>6261</v>
      </c>
      <c r="AG178" s="20">
        <v>6261</v>
      </c>
      <c r="AH178" s="20">
        <v>6267</v>
      </c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</row>
    <row r="179" spans="1:50" s="1" customFormat="1">
      <c r="A179" s="61" t="s">
        <v>172</v>
      </c>
      <c r="B179" s="9" t="s">
        <v>163</v>
      </c>
      <c r="C179" s="8"/>
      <c r="D179" s="8"/>
      <c r="E179" s="8"/>
      <c r="F179" s="8">
        <v>1165</v>
      </c>
      <c r="G179" s="74">
        <v>1165</v>
      </c>
      <c r="H179" s="8">
        <v>1165</v>
      </c>
      <c r="I179" s="8">
        <v>1165</v>
      </c>
      <c r="J179" s="8">
        <v>1173</v>
      </c>
      <c r="K179" s="117">
        <v>1173</v>
      </c>
      <c r="L179" s="8">
        <v>1173</v>
      </c>
      <c r="M179" s="8">
        <v>1185</v>
      </c>
      <c r="N179" s="117">
        <v>1185</v>
      </c>
      <c r="O179" s="8">
        <v>1185</v>
      </c>
      <c r="P179" s="8">
        <v>1187</v>
      </c>
      <c r="Q179" s="117">
        <v>1187</v>
      </c>
      <c r="R179" s="8">
        <v>1187</v>
      </c>
      <c r="S179" s="8">
        <v>1194</v>
      </c>
      <c r="T179" s="8">
        <v>1194</v>
      </c>
      <c r="U179" s="8">
        <v>1194</v>
      </c>
      <c r="V179" s="8">
        <v>1194</v>
      </c>
      <c r="W179" s="8">
        <v>1200</v>
      </c>
      <c r="X179" s="8">
        <v>1200</v>
      </c>
      <c r="Y179" s="8">
        <v>1200</v>
      </c>
      <c r="Z179" s="8">
        <v>1208</v>
      </c>
      <c r="AA179" s="8">
        <v>1208</v>
      </c>
      <c r="AB179" s="8">
        <v>1208</v>
      </c>
      <c r="AC179" s="8">
        <v>1208</v>
      </c>
      <c r="AD179" s="8">
        <v>1208</v>
      </c>
      <c r="AE179" s="8">
        <v>1219</v>
      </c>
      <c r="AF179" s="8">
        <v>1219</v>
      </c>
      <c r="AG179" s="8">
        <v>1219</v>
      </c>
      <c r="AH179" s="8">
        <v>1220</v>
      </c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s="1" customFormat="1">
      <c r="A180" s="15" t="s">
        <v>173</v>
      </c>
      <c r="B180" s="9" t="s">
        <v>7</v>
      </c>
      <c r="C180" s="8"/>
      <c r="D180" s="8"/>
      <c r="E180" s="8"/>
      <c r="F180" s="8"/>
      <c r="G180" s="74"/>
      <c r="H180" s="8"/>
      <c r="I180" s="8"/>
      <c r="J180" s="8"/>
      <c r="K180" s="117"/>
      <c r="L180" s="8"/>
      <c r="M180" s="8"/>
      <c r="N180" s="117"/>
      <c r="O180" s="8"/>
      <c r="P180" s="8"/>
      <c r="Q180" s="117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s="1" customFormat="1">
      <c r="A181" s="14" t="s">
        <v>9</v>
      </c>
      <c r="B181" s="9" t="s">
        <v>8</v>
      </c>
      <c r="C181" s="8"/>
      <c r="D181" s="8"/>
      <c r="E181" s="8"/>
      <c r="F181" s="8"/>
      <c r="G181" s="74"/>
      <c r="H181" s="8"/>
      <c r="I181" s="8"/>
      <c r="J181" s="8"/>
      <c r="K181" s="117"/>
      <c r="L181" s="8"/>
      <c r="M181" s="8"/>
      <c r="N181" s="117"/>
      <c r="O181" s="8"/>
      <c r="P181" s="8"/>
      <c r="Q181" s="117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s="11" customFormat="1">
      <c r="A182" s="7">
        <f>AVERAGE(C184:AO184)*30*100</f>
        <v>31821.428571428572</v>
      </c>
      <c r="B182" s="13" t="s">
        <v>164</v>
      </c>
      <c r="C182" s="12"/>
      <c r="D182" s="12"/>
      <c r="E182" s="12"/>
      <c r="F182" s="12"/>
      <c r="G182" s="75"/>
      <c r="H182" s="12"/>
      <c r="I182" s="12"/>
      <c r="J182" s="12"/>
      <c r="K182" s="118"/>
      <c r="L182" s="12"/>
      <c r="M182" s="12"/>
      <c r="N182" s="118"/>
      <c r="O182" s="12"/>
      <c r="P182" s="12"/>
      <c r="Q182" s="118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</row>
    <row r="183" spans="1:50" s="1" customFormat="1">
      <c r="A183" s="10"/>
      <c r="B183" s="9" t="s">
        <v>165</v>
      </c>
      <c r="C183" s="8"/>
      <c r="D183" s="8"/>
      <c r="E183" s="8"/>
      <c r="F183" s="8"/>
      <c r="G183" s="74"/>
      <c r="H183" s="8"/>
      <c r="I183" s="8"/>
      <c r="J183" s="8"/>
      <c r="K183" s="117"/>
      <c r="L183" s="8"/>
      <c r="M183" s="8"/>
      <c r="N183" s="117"/>
      <c r="O183" s="8"/>
      <c r="P183" s="8"/>
      <c r="Q183" s="117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s="1" customFormat="1">
      <c r="A184" s="7">
        <f>SUM(C184:AO184)</f>
        <v>297</v>
      </c>
      <c r="B184" s="60" t="s">
        <v>15</v>
      </c>
      <c r="C184" s="59"/>
      <c r="D184" s="59"/>
      <c r="E184" s="59"/>
      <c r="F184" s="59"/>
      <c r="G184" s="74">
        <f t="shared" ref="G184:J185" si="422">IF(G178="","",G178-F178)</f>
        <v>0</v>
      </c>
      <c r="H184" s="59">
        <f t="shared" si="422"/>
        <v>0</v>
      </c>
      <c r="I184" s="59">
        <f t="shared" si="422"/>
        <v>0</v>
      </c>
      <c r="J184" s="59">
        <f t="shared" si="422"/>
        <v>40</v>
      </c>
      <c r="K184" s="117">
        <f t="shared" ref="K184:L184" si="423">IF(K178="","",K178-J178)</f>
        <v>0</v>
      </c>
      <c r="L184" s="59">
        <f t="shared" si="423"/>
        <v>0</v>
      </c>
      <c r="M184" s="59">
        <f t="shared" ref="M184:AO184" si="424">IF(M178="","",M178-L178)</f>
        <v>60</v>
      </c>
      <c r="N184" s="117">
        <f t="shared" si="424"/>
        <v>0</v>
      </c>
      <c r="O184" s="59">
        <f t="shared" si="424"/>
        <v>0</v>
      </c>
      <c r="P184" s="59">
        <f t="shared" si="424"/>
        <v>10</v>
      </c>
      <c r="Q184" s="117">
        <f t="shared" si="424"/>
        <v>0</v>
      </c>
      <c r="R184" s="59">
        <f t="shared" si="424"/>
        <v>0</v>
      </c>
      <c r="S184" s="59">
        <f t="shared" si="424"/>
        <v>55</v>
      </c>
      <c r="T184" s="59">
        <f t="shared" ref="T184:V185" si="425">IF(T178="","",T178-S178)</f>
        <v>0</v>
      </c>
      <c r="U184" s="59">
        <f t="shared" si="425"/>
        <v>0</v>
      </c>
      <c r="V184" s="59">
        <f t="shared" si="425"/>
        <v>0</v>
      </c>
      <c r="W184" s="59">
        <f t="shared" si="424"/>
        <v>30</v>
      </c>
      <c r="X184" s="59">
        <f t="shared" si="424"/>
        <v>0</v>
      </c>
      <c r="Y184" s="59">
        <f t="shared" si="424"/>
        <v>0</v>
      </c>
      <c r="Z184" s="59">
        <f t="shared" ref="Z184:AG185" si="426">IF(Z178="","",Z178-Y178)</f>
        <v>45</v>
      </c>
      <c r="AA184" s="59">
        <f t="shared" si="426"/>
        <v>0</v>
      </c>
      <c r="AB184" s="59">
        <f t="shared" si="426"/>
        <v>0</v>
      </c>
      <c r="AC184" s="59">
        <f t="shared" si="426"/>
        <v>0</v>
      </c>
      <c r="AD184" s="59">
        <f t="shared" si="426"/>
        <v>0</v>
      </c>
      <c r="AE184" s="59">
        <f t="shared" si="426"/>
        <v>51</v>
      </c>
      <c r="AF184" s="59">
        <f t="shared" si="426"/>
        <v>0</v>
      </c>
      <c r="AG184" s="59">
        <f t="shared" si="426"/>
        <v>0</v>
      </c>
      <c r="AH184" s="59">
        <f t="shared" si="424"/>
        <v>6</v>
      </c>
      <c r="AI184" s="59" t="str">
        <f t="shared" si="424"/>
        <v/>
      </c>
      <c r="AJ184" s="59" t="str">
        <f t="shared" si="424"/>
        <v/>
      </c>
      <c r="AK184" s="59" t="str">
        <f t="shared" si="424"/>
        <v/>
      </c>
      <c r="AL184" s="59" t="str">
        <f t="shared" si="424"/>
        <v/>
      </c>
      <c r="AM184" s="59" t="str">
        <f t="shared" si="424"/>
        <v/>
      </c>
      <c r="AN184" s="59" t="str">
        <f t="shared" si="424"/>
        <v/>
      </c>
      <c r="AO184" s="59" t="str">
        <f t="shared" si="424"/>
        <v/>
      </c>
      <c r="AP184" s="59" t="str">
        <f t="shared" ref="AP184:AP185" si="427">IF(AP178="","",AP178-AO178)</f>
        <v/>
      </c>
      <c r="AQ184" s="59" t="str">
        <f t="shared" ref="AQ184:AQ185" si="428">IF(AQ178="","",AQ178-AP178)</f>
        <v/>
      </c>
      <c r="AR184" s="59" t="str">
        <f t="shared" ref="AR184:AR185" si="429">IF(AR178="","",AR178-AQ178)</f>
        <v/>
      </c>
      <c r="AS184" s="59" t="str">
        <f t="shared" ref="AS184:AS185" si="430">IF(AS178="","",AS178-AR178)</f>
        <v/>
      </c>
      <c r="AT184" s="59" t="str">
        <f t="shared" ref="AT184:AT185" si="431">IF(AT178="","",AT178-AS178)</f>
        <v/>
      </c>
      <c r="AU184" s="59" t="str">
        <f t="shared" ref="AU184:AU185" si="432">IF(AU178="","",AU178-AT178)</f>
        <v/>
      </c>
      <c r="AV184" s="59" t="str">
        <f t="shared" ref="AV184:AV185" si="433">IF(AV178="","",AV178-AU178)</f>
        <v/>
      </c>
      <c r="AW184" s="59" t="str">
        <f t="shared" ref="AW184:AW185" si="434">IF(AW178="","",AW178-AV178)</f>
        <v/>
      </c>
      <c r="AX184" s="59" t="str">
        <f t="shared" ref="AX184:AX185" si="435">IF(AX178="","",AX178-AW178)</f>
        <v/>
      </c>
    </row>
    <row r="185" spans="1:50" s="1" customFormat="1">
      <c r="A185" s="7">
        <f>SUM(C185:AO185)</f>
        <v>55</v>
      </c>
      <c r="B185" s="60" t="s">
        <v>167</v>
      </c>
      <c r="C185" s="59"/>
      <c r="D185" s="59"/>
      <c r="E185" s="59"/>
      <c r="F185" s="59"/>
      <c r="G185" s="74">
        <f t="shared" si="422"/>
        <v>0</v>
      </c>
      <c r="H185" s="59">
        <f t="shared" si="422"/>
        <v>0</v>
      </c>
      <c r="I185" s="59">
        <f t="shared" si="422"/>
        <v>0</v>
      </c>
      <c r="J185" s="59">
        <f t="shared" si="422"/>
        <v>8</v>
      </c>
      <c r="K185" s="117">
        <f t="shared" ref="K185:L185" si="436">IF(K179="","",K179-J179)</f>
        <v>0</v>
      </c>
      <c r="L185" s="59">
        <f t="shared" si="436"/>
        <v>0</v>
      </c>
      <c r="M185" s="59">
        <f t="shared" ref="M185:AO185" si="437">IF(M179="","",M179-L179)</f>
        <v>12</v>
      </c>
      <c r="N185" s="117">
        <f t="shared" si="437"/>
        <v>0</v>
      </c>
      <c r="O185" s="59">
        <f t="shared" si="437"/>
        <v>0</v>
      </c>
      <c r="P185" s="59">
        <f t="shared" si="437"/>
        <v>2</v>
      </c>
      <c r="Q185" s="117">
        <f t="shared" si="437"/>
        <v>0</v>
      </c>
      <c r="R185" s="59">
        <f t="shared" si="437"/>
        <v>0</v>
      </c>
      <c r="S185" s="59">
        <f t="shared" si="437"/>
        <v>7</v>
      </c>
      <c r="T185" s="59">
        <f t="shared" si="425"/>
        <v>0</v>
      </c>
      <c r="U185" s="59">
        <f t="shared" si="425"/>
        <v>0</v>
      </c>
      <c r="V185" s="59">
        <f t="shared" si="425"/>
        <v>0</v>
      </c>
      <c r="W185" s="59">
        <f t="shared" si="437"/>
        <v>6</v>
      </c>
      <c r="X185" s="59">
        <f t="shared" si="437"/>
        <v>0</v>
      </c>
      <c r="Y185" s="59">
        <f t="shared" si="437"/>
        <v>0</v>
      </c>
      <c r="Z185" s="59">
        <f t="shared" si="426"/>
        <v>8</v>
      </c>
      <c r="AA185" s="59">
        <f t="shared" si="426"/>
        <v>0</v>
      </c>
      <c r="AB185" s="59">
        <f t="shared" si="426"/>
        <v>0</v>
      </c>
      <c r="AC185" s="59">
        <f t="shared" si="426"/>
        <v>0</v>
      </c>
      <c r="AD185" s="59">
        <f t="shared" si="426"/>
        <v>0</v>
      </c>
      <c r="AE185" s="59">
        <f t="shared" si="426"/>
        <v>11</v>
      </c>
      <c r="AF185" s="59">
        <f t="shared" si="426"/>
        <v>0</v>
      </c>
      <c r="AG185" s="59">
        <f t="shared" si="426"/>
        <v>0</v>
      </c>
      <c r="AH185" s="59">
        <f t="shared" si="437"/>
        <v>1</v>
      </c>
      <c r="AI185" s="59" t="str">
        <f t="shared" si="437"/>
        <v/>
      </c>
      <c r="AJ185" s="59" t="str">
        <f t="shared" si="437"/>
        <v/>
      </c>
      <c r="AK185" s="59" t="str">
        <f t="shared" si="437"/>
        <v/>
      </c>
      <c r="AL185" s="59" t="str">
        <f t="shared" si="437"/>
        <v/>
      </c>
      <c r="AM185" s="59" t="str">
        <f t="shared" si="437"/>
        <v/>
      </c>
      <c r="AN185" s="59" t="str">
        <f t="shared" si="437"/>
        <v/>
      </c>
      <c r="AO185" s="59" t="str">
        <f t="shared" si="437"/>
        <v/>
      </c>
      <c r="AP185" s="59" t="str">
        <f t="shared" si="427"/>
        <v/>
      </c>
      <c r="AQ185" s="59" t="str">
        <f t="shared" si="428"/>
        <v/>
      </c>
      <c r="AR185" s="59" t="str">
        <f t="shared" si="429"/>
        <v/>
      </c>
      <c r="AS185" s="59" t="str">
        <f t="shared" si="430"/>
        <v/>
      </c>
      <c r="AT185" s="59" t="str">
        <f t="shared" si="431"/>
        <v/>
      </c>
      <c r="AU185" s="59" t="str">
        <f t="shared" si="432"/>
        <v/>
      </c>
      <c r="AV185" s="59" t="str">
        <f t="shared" si="433"/>
        <v/>
      </c>
      <c r="AW185" s="59" t="str">
        <f t="shared" si="434"/>
        <v/>
      </c>
      <c r="AX185" s="59" t="str">
        <f t="shared" si="435"/>
        <v/>
      </c>
    </row>
    <row r="186" spans="1:50" s="1" customFormat="1">
      <c r="A186" s="7">
        <f>SUM(C186:AO186)</f>
        <v>0</v>
      </c>
      <c r="B186" s="60" t="s">
        <v>18</v>
      </c>
      <c r="C186" s="59"/>
      <c r="D186" s="59"/>
      <c r="E186" s="59"/>
      <c r="F186" s="59"/>
      <c r="G186" s="74" t="str">
        <f>IF(G181="","",#REF!*G181)</f>
        <v/>
      </c>
      <c r="H186" s="59" t="str">
        <f>IF(H181="","",#REF!*H181)</f>
        <v/>
      </c>
      <c r="I186" s="59" t="str">
        <f>IF(I181="","",#REF!*I181)</f>
        <v/>
      </c>
      <c r="J186" s="59" t="str">
        <f>IF(J181="","",#REF!*J181)</f>
        <v/>
      </c>
      <c r="K186" s="117" t="str">
        <f>IF(K181="","",#REF!*K181)</f>
        <v/>
      </c>
      <c r="L186" s="59" t="str">
        <f>IF(L181="","",#REF!*L181)</f>
        <v/>
      </c>
      <c r="M186" s="59" t="str">
        <f>IF(M181="","",#REF!*M181)</f>
        <v/>
      </c>
      <c r="N186" s="117" t="str">
        <f>IF(N181="","",#REF!*N181)</f>
        <v/>
      </c>
      <c r="O186" s="59" t="str">
        <f>IF(O181="","",#REF!*O181)</f>
        <v/>
      </c>
      <c r="P186" s="59" t="str">
        <f>IF(P181="","",#REF!*P181)</f>
        <v/>
      </c>
      <c r="Q186" s="117" t="str">
        <f>IF(Q181="","",#REF!*Q181)</f>
        <v/>
      </c>
      <c r="R186" s="59" t="str">
        <f>IF(R181="","",#REF!*R181)</f>
        <v/>
      </c>
      <c r="S186" s="59" t="str">
        <f>IF(S181="","",#REF!*S181)</f>
        <v/>
      </c>
      <c r="T186" s="59" t="str">
        <f>IF(T181="","",#REF!*T181)</f>
        <v/>
      </c>
      <c r="U186" s="59" t="str">
        <f>IF(U181="","",#REF!*U181)</f>
        <v/>
      </c>
      <c r="V186" s="59" t="str">
        <f>IF(V181="","",#REF!*V181)</f>
        <v/>
      </c>
      <c r="W186" s="59" t="str">
        <f>IF(W181="","",#REF!*W181)</f>
        <v/>
      </c>
      <c r="X186" s="59" t="str">
        <f>IF(X181="","",#REF!*X181)</f>
        <v/>
      </c>
      <c r="Y186" s="59" t="str">
        <f>IF(Y181="","",#REF!*Y181)</f>
        <v/>
      </c>
      <c r="Z186" s="59" t="str">
        <f>IF(Z181="","",#REF!*Z181)</f>
        <v/>
      </c>
      <c r="AA186" s="59" t="str">
        <f>IF(AA181="","",#REF!*AA181)</f>
        <v/>
      </c>
      <c r="AB186" s="59" t="str">
        <f>IF(AB181="","",#REF!*AB181)</f>
        <v/>
      </c>
      <c r="AC186" s="59" t="str">
        <f>IF(AC181="","",#REF!*AC181)</f>
        <v/>
      </c>
      <c r="AD186" s="59" t="str">
        <f>IF(AD181="","",#REF!*AD181)</f>
        <v/>
      </c>
      <c r="AE186" s="59" t="str">
        <f>IF(AE181="","",#REF!*AE181)</f>
        <v/>
      </c>
      <c r="AF186" s="59" t="str">
        <f>IF(AF181="","",#REF!*AF181)</f>
        <v/>
      </c>
      <c r="AG186" s="59" t="str">
        <f>IF(AG181="","",#REF!*AG181)</f>
        <v/>
      </c>
      <c r="AH186" s="59" t="str">
        <f>IF(AH181="","",#REF!*AH181)</f>
        <v/>
      </c>
      <c r="AI186" s="59" t="str">
        <f>IF(AI181="","",#REF!*AI181)</f>
        <v/>
      </c>
      <c r="AJ186" s="59" t="str">
        <f>IF(AJ181="","",#REF!*AJ181)</f>
        <v/>
      </c>
      <c r="AK186" s="59" t="str">
        <f>IF(AK181="","",#REF!*AK181)</f>
        <v/>
      </c>
      <c r="AL186" s="59" t="str">
        <f>IF(AL181="","",#REF!*AL181)</f>
        <v/>
      </c>
      <c r="AM186" s="59" t="str">
        <f>IF(AM181="","",#REF!*AM181)</f>
        <v/>
      </c>
      <c r="AN186" s="59" t="str">
        <f>IF(AN181="","",#REF!*AN181)</f>
        <v/>
      </c>
      <c r="AO186" s="59" t="str">
        <f>IF(AO181="","",#REF!*AO181)</f>
        <v/>
      </c>
      <c r="AP186" s="59" t="str">
        <f>IF(AP181="","",#REF!*AP181)</f>
        <v/>
      </c>
      <c r="AQ186" s="59" t="str">
        <f>IF(AQ181="","",#REF!*AQ181)</f>
        <v/>
      </c>
      <c r="AR186" s="59" t="str">
        <f>IF(AR181="","",#REF!*AR181)</f>
        <v/>
      </c>
      <c r="AS186" s="59" t="str">
        <f>IF(AS181="","",#REF!*AS181)</f>
        <v/>
      </c>
      <c r="AT186" s="59" t="str">
        <f>IF(AT181="","",#REF!*AT181)</f>
        <v/>
      </c>
      <c r="AU186" s="59" t="str">
        <f>IF(AU181="","",#REF!*AU181)</f>
        <v/>
      </c>
      <c r="AV186" s="59" t="str">
        <f>IF(AV181="","",#REF!*AV181)</f>
        <v/>
      </c>
      <c r="AW186" s="59" t="str">
        <f>IF(AW181="","",#REF!*AW181)</f>
        <v/>
      </c>
      <c r="AX186" s="59" t="str">
        <f>IF(AX181="","",#REF!*AX181)</f>
        <v/>
      </c>
    </row>
    <row r="187" spans="1:50" s="1" customFormat="1">
      <c r="A187" s="19">
        <f>IF(A186="","",A186/(A184*100))</f>
        <v>0</v>
      </c>
      <c r="B187" s="60" t="s">
        <v>20</v>
      </c>
      <c r="C187" s="62" t="str">
        <f t="shared" ref="C187:J187" si="438">IF(C186="","",C186/(C184*100))</f>
        <v/>
      </c>
      <c r="D187" s="62" t="str">
        <f t="shared" si="438"/>
        <v/>
      </c>
      <c r="E187" s="62" t="str">
        <f t="shared" si="438"/>
        <v/>
      </c>
      <c r="F187" s="62" t="str">
        <f t="shared" si="438"/>
        <v/>
      </c>
      <c r="G187" s="76" t="str">
        <f t="shared" si="438"/>
        <v/>
      </c>
      <c r="H187" s="62" t="str">
        <f t="shared" si="438"/>
        <v/>
      </c>
      <c r="I187" s="62" t="str">
        <f t="shared" si="438"/>
        <v/>
      </c>
      <c r="J187" s="62" t="str">
        <f t="shared" si="438"/>
        <v/>
      </c>
      <c r="K187" s="119" t="str">
        <f t="shared" ref="K187:L187" si="439">IF(K186="","",K186/(K184*100))</f>
        <v/>
      </c>
      <c r="L187" s="62" t="str">
        <f t="shared" si="439"/>
        <v/>
      </c>
      <c r="M187" s="62" t="str">
        <f t="shared" ref="M187:AO187" si="440">IF(M186="","",M186/(M184*100))</f>
        <v/>
      </c>
      <c r="N187" s="119" t="str">
        <f t="shared" si="440"/>
        <v/>
      </c>
      <c r="O187" s="62" t="str">
        <f t="shared" si="440"/>
        <v/>
      </c>
      <c r="P187" s="62" t="str">
        <f t="shared" si="440"/>
        <v/>
      </c>
      <c r="Q187" s="119" t="str">
        <f t="shared" si="440"/>
        <v/>
      </c>
      <c r="R187" s="62" t="str">
        <f t="shared" si="440"/>
        <v/>
      </c>
      <c r="S187" s="62" t="str">
        <f t="shared" si="440"/>
        <v/>
      </c>
      <c r="T187" s="62" t="str">
        <f>IF(T186="","",T186/(T184*100))</f>
        <v/>
      </c>
      <c r="U187" s="62" t="str">
        <f>IF(U186="","",U186/(U184*100))</f>
        <v/>
      </c>
      <c r="V187" s="62" t="str">
        <f>IF(V186="","",V186/(V184*100))</f>
        <v/>
      </c>
      <c r="W187" s="62" t="str">
        <f t="shared" si="440"/>
        <v/>
      </c>
      <c r="X187" s="62" t="str">
        <f t="shared" ref="X187:Y187" si="441">IF(X186="","",X186/(X184*100))</f>
        <v/>
      </c>
      <c r="Y187" s="62" t="str">
        <f t="shared" si="441"/>
        <v/>
      </c>
      <c r="Z187" s="62" t="str">
        <f t="shared" ref="Z187:AG187" si="442">IF(Z186="","",Z186/(Z184*100))</f>
        <v/>
      </c>
      <c r="AA187" s="62" t="str">
        <f t="shared" si="442"/>
        <v/>
      </c>
      <c r="AB187" s="62" t="str">
        <f t="shared" si="442"/>
        <v/>
      </c>
      <c r="AC187" s="62" t="str">
        <f t="shared" si="442"/>
        <v/>
      </c>
      <c r="AD187" s="62" t="str">
        <f t="shared" si="442"/>
        <v/>
      </c>
      <c r="AE187" s="62" t="str">
        <f t="shared" si="442"/>
        <v/>
      </c>
      <c r="AF187" s="62" t="str">
        <f t="shared" si="442"/>
        <v/>
      </c>
      <c r="AG187" s="62" t="str">
        <f t="shared" si="442"/>
        <v/>
      </c>
      <c r="AH187" s="62" t="str">
        <f t="shared" si="440"/>
        <v/>
      </c>
      <c r="AI187" s="62" t="str">
        <f t="shared" si="440"/>
        <v/>
      </c>
      <c r="AJ187" s="62" t="str">
        <f t="shared" si="440"/>
        <v/>
      </c>
      <c r="AK187" s="62" t="str">
        <f t="shared" si="440"/>
        <v/>
      </c>
      <c r="AL187" s="62" t="str">
        <f t="shared" si="440"/>
        <v/>
      </c>
      <c r="AM187" s="62" t="str">
        <f t="shared" si="440"/>
        <v/>
      </c>
      <c r="AN187" s="62" t="str">
        <f t="shared" si="440"/>
        <v/>
      </c>
      <c r="AO187" s="62" t="str">
        <f t="shared" si="440"/>
        <v/>
      </c>
      <c r="AP187" s="62" t="str">
        <f t="shared" ref="AP187" si="443">IF(AP186="","",AP186/(AP184*100))</f>
        <v/>
      </c>
      <c r="AQ187" s="62" t="str">
        <f t="shared" ref="AQ187:AX187" si="444">IF(AQ186="","",AQ186/(AQ184*100))</f>
        <v/>
      </c>
      <c r="AR187" s="62" t="str">
        <f t="shared" si="444"/>
        <v/>
      </c>
      <c r="AS187" s="62" t="str">
        <f t="shared" si="444"/>
        <v/>
      </c>
      <c r="AT187" s="62" t="str">
        <f t="shared" si="444"/>
        <v/>
      </c>
      <c r="AU187" s="62" t="str">
        <f t="shared" si="444"/>
        <v/>
      </c>
      <c r="AV187" s="62" t="str">
        <f t="shared" si="444"/>
        <v/>
      </c>
      <c r="AW187" s="62" t="str">
        <f t="shared" si="444"/>
        <v/>
      </c>
      <c r="AX187" s="62" t="str">
        <f t="shared" si="444"/>
        <v/>
      </c>
    </row>
    <row r="188" spans="1:50" s="1" customFormat="1">
      <c r="A188" s="17" t="s">
        <v>180</v>
      </c>
      <c r="B188" s="9" t="s">
        <v>171</v>
      </c>
      <c r="C188" s="8"/>
      <c r="D188" s="8"/>
      <c r="E188" s="8"/>
      <c r="F188" s="8">
        <v>9192</v>
      </c>
      <c r="G188" s="74">
        <v>9192</v>
      </c>
      <c r="H188" s="8">
        <v>9192</v>
      </c>
      <c r="I188" s="8">
        <v>9192</v>
      </c>
      <c r="J188" s="8">
        <v>9297</v>
      </c>
      <c r="K188" s="117">
        <v>9297</v>
      </c>
      <c r="L188" s="8">
        <v>9297</v>
      </c>
      <c r="M188" s="8">
        <v>9502</v>
      </c>
      <c r="N188" s="117">
        <v>9502</v>
      </c>
      <c r="O188" s="8">
        <v>9502</v>
      </c>
      <c r="P188" s="8">
        <v>9525</v>
      </c>
      <c r="Q188" s="117">
        <v>9525</v>
      </c>
      <c r="R188" s="8">
        <v>9525</v>
      </c>
      <c r="S188" s="8">
        <v>9610</v>
      </c>
      <c r="T188" s="8">
        <v>9610</v>
      </c>
      <c r="U188" s="8">
        <v>9610</v>
      </c>
      <c r="V188" s="8">
        <v>9610</v>
      </c>
      <c r="W188" s="8">
        <v>9625</v>
      </c>
      <c r="X188" s="8">
        <v>9625</v>
      </c>
      <c r="Y188" s="8">
        <v>9625</v>
      </c>
      <c r="Z188" s="8">
        <v>9710</v>
      </c>
      <c r="AA188" s="8">
        <v>9710</v>
      </c>
      <c r="AB188" s="8">
        <v>9710</v>
      </c>
      <c r="AC188" s="8">
        <v>9710</v>
      </c>
      <c r="AD188" s="8">
        <v>9710</v>
      </c>
      <c r="AE188" s="8">
        <v>9775</v>
      </c>
      <c r="AF188" s="8">
        <v>9775</v>
      </c>
      <c r="AG188" s="8">
        <v>9775</v>
      </c>
      <c r="AH188" s="8">
        <v>9900</v>
      </c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s="1" customFormat="1">
      <c r="A189" s="61" t="s">
        <v>172</v>
      </c>
      <c r="B189" s="9" t="s">
        <v>163</v>
      </c>
      <c r="C189" s="8"/>
      <c r="D189" s="8"/>
      <c r="E189" s="8"/>
      <c r="F189" s="8">
        <v>1510</v>
      </c>
      <c r="G189" s="74">
        <v>1510</v>
      </c>
      <c r="H189" s="8">
        <v>1510</v>
      </c>
      <c r="I189" s="8">
        <v>1510</v>
      </c>
      <c r="J189" s="8">
        <v>1531</v>
      </c>
      <c r="K189" s="117">
        <v>1531</v>
      </c>
      <c r="L189" s="8">
        <v>1531</v>
      </c>
      <c r="M189" s="8">
        <v>1573</v>
      </c>
      <c r="N189" s="117">
        <v>1573</v>
      </c>
      <c r="O189" s="8">
        <v>1573</v>
      </c>
      <c r="P189" s="8">
        <v>1577</v>
      </c>
      <c r="Q189" s="117">
        <v>1577</v>
      </c>
      <c r="R189" s="8">
        <v>1577</v>
      </c>
      <c r="S189" s="8">
        <v>1594</v>
      </c>
      <c r="T189" s="8">
        <v>1594</v>
      </c>
      <c r="U189" s="8">
        <v>1594</v>
      </c>
      <c r="V189" s="8">
        <v>1594</v>
      </c>
      <c r="W189" s="8">
        <v>1597</v>
      </c>
      <c r="X189" s="8">
        <v>1597</v>
      </c>
      <c r="Y189" s="8">
        <v>1597</v>
      </c>
      <c r="Z189" s="8">
        <v>1614</v>
      </c>
      <c r="AA189" s="8">
        <v>1614</v>
      </c>
      <c r="AB189" s="8">
        <v>1614</v>
      </c>
      <c r="AC189" s="8">
        <v>1614</v>
      </c>
      <c r="AD189" s="8">
        <v>1614</v>
      </c>
      <c r="AE189" s="8">
        <v>1627</v>
      </c>
      <c r="AF189" s="8">
        <v>1627</v>
      </c>
      <c r="AG189" s="8">
        <v>1627</v>
      </c>
      <c r="AH189" s="8">
        <v>1652</v>
      </c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s="1" customFormat="1">
      <c r="A190" s="15" t="s">
        <v>174</v>
      </c>
      <c r="B190" s="9" t="s">
        <v>7</v>
      </c>
      <c r="C190" s="8"/>
      <c r="D190" s="8"/>
      <c r="E190" s="8"/>
      <c r="F190" s="8"/>
      <c r="G190" s="74"/>
      <c r="H190" s="8"/>
      <c r="I190" s="8"/>
      <c r="J190" s="8"/>
      <c r="K190" s="117"/>
      <c r="L190" s="8"/>
      <c r="M190" s="8"/>
      <c r="N190" s="117"/>
      <c r="O190" s="8"/>
      <c r="P190" s="8"/>
      <c r="Q190" s="117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s="1" customFormat="1">
      <c r="A191" s="14" t="s">
        <v>9</v>
      </c>
      <c r="B191" s="9" t="s">
        <v>8</v>
      </c>
      <c r="C191" s="8"/>
      <c r="D191" s="8"/>
      <c r="E191" s="8"/>
      <c r="F191" s="8"/>
      <c r="G191" s="74"/>
      <c r="H191" s="8"/>
      <c r="I191" s="8"/>
      <c r="J191" s="8"/>
      <c r="K191" s="117"/>
      <c r="L191" s="8"/>
      <c r="M191" s="8"/>
      <c r="N191" s="117"/>
      <c r="O191" s="8"/>
      <c r="P191" s="8"/>
      <c r="Q191" s="117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s="11" customFormat="1">
      <c r="A192" s="7">
        <f>AVERAGE(C194:AO194)*30*100</f>
        <v>75857.142857142855</v>
      </c>
      <c r="B192" s="13" t="s">
        <v>164</v>
      </c>
      <c r="C192" s="12"/>
      <c r="D192" s="12"/>
      <c r="E192" s="12"/>
      <c r="F192" s="12"/>
      <c r="G192" s="75"/>
      <c r="H192" s="12"/>
      <c r="I192" s="12"/>
      <c r="J192" s="12"/>
      <c r="K192" s="118"/>
      <c r="L192" s="12"/>
      <c r="M192" s="12"/>
      <c r="N192" s="118"/>
      <c r="O192" s="12"/>
      <c r="P192" s="12"/>
      <c r="Q192" s="118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</row>
    <row r="193" spans="1:50" s="1" customFormat="1">
      <c r="A193" s="10"/>
      <c r="B193" s="9" t="s">
        <v>165</v>
      </c>
      <c r="C193" s="8"/>
      <c r="D193" s="8"/>
      <c r="E193" s="8"/>
      <c r="F193" s="8"/>
      <c r="G193" s="74"/>
      <c r="H193" s="8"/>
      <c r="I193" s="8"/>
      <c r="J193" s="8"/>
      <c r="K193" s="117"/>
      <c r="L193" s="8"/>
      <c r="M193" s="8"/>
      <c r="N193" s="117"/>
      <c r="O193" s="8"/>
      <c r="P193" s="8"/>
      <c r="Q193" s="117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s="1" customFormat="1">
      <c r="A194" s="7">
        <f>SUM(C194:AO194)</f>
        <v>708</v>
      </c>
      <c r="B194" s="60" t="s">
        <v>15</v>
      </c>
      <c r="C194" s="59"/>
      <c r="D194" s="59"/>
      <c r="E194" s="59"/>
      <c r="F194" s="59"/>
      <c r="G194" s="74">
        <f t="shared" ref="G194:AO194" si="445">IF(G188="","",G188-F188)</f>
        <v>0</v>
      </c>
      <c r="H194" s="59">
        <f t="shared" si="445"/>
        <v>0</v>
      </c>
      <c r="I194" s="59">
        <f t="shared" si="445"/>
        <v>0</v>
      </c>
      <c r="J194" s="59">
        <f t="shared" si="445"/>
        <v>105</v>
      </c>
      <c r="K194" s="117">
        <f t="shared" si="445"/>
        <v>0</v>
      </c>
      <c r="L194" s="59">
        <f t="shared" si="445"/>
        <v>0</v>
      </c>
      <c r="M194" s="59">
        <f t="shared" si="445"/>
        <v>205</v>
      </c>
      <c r="N194" s="117">
        <f t="shared" si="445"/>
        <v>0</v>
      </c>
      <c r="O194" s="59">
        <f t="shared" si="445"/>
        <v>0</v>
      </c>
      <c r="P194" s="59">
        <f t="shared" si="445"/>
        <v>23</v>
      </c>
      <c r="Q194" s="117">
        <f t="shared" si="445"/>
        <v>0</v>
      </c>
      <c r="R194" s="59">
        <f t="shared" si="445"/>
        <v>0</v>
      </c>
      <c r="S194" s="59">
        <f t="shared" si="445"/>
        <v>85</v>
      </c>
      <c r="T194" s="59">
        <f t="shared" si="445"/>
        <v>0</v>
      </c>
      <c r="U194" s="59">
        <f t="shared" si="445"/>
        <v>0</v>
      </c>
      <c r="V194" s="59">
        <f t="shared" si="445"/>
        <v>0</v>
      </c>
      <c r="W194" s="59">
        <f t="shared" si="445"/>
        <v>15</v>
      </c>
      <c r="X194" s="59">
        <f t="shared" si="445"/>
        <v>0</v>
      </c>
      <c r="Y194" s="59">
        <f t="shared" si="445"/>
        <v>0</v>
      </c>
      <c r="Z194" s="59">
        <f t="shared" ref="Z194:AB195" si="446">IF(Z188="","",Z188-Y188)</f>
        <v>85</v>
      </c>
      <c r="AA194" s="59">
        <f t="shared" si="446"/>
        <v>0</v>
      </c>
      <c r="AB194" s="59">
        <f t="shared" si="446"/>
        <v>0</v>
      </c>
      <c r="AC194" s="59">
        <f t="shared" si="445"/>
        <v>0</v>
      </c>
      <c r="AD194" s="59">
        <f t="shared" si="445"/>
        <v>0</v>
      </c>
      <c r="AE194" s="59">
        <f t="shared" si="445"/>
        <v>65</v>
      </c>
      <c r="AF194" s="59">
        <f t="shared" si="445"/>
        <v>0</v>
      </c>
      <c r="AG194" s="59">
        <f t="shared" si="445"/>
        <v>0</v>
      </c>
      <c r="AH194" s="59">
        <f t="shared" si="445"/>
        <v>125</v>
      </c>
      <c r="AI194" s="59" t="str">
        <f t="shared" si="445"/>
        <v/>
      </c>
      <c r="AJ194" s="59" t="str">
        <f t="shared" si="445"/>
        <v/>
      </c>
      <c r="AK194" s="59" t="str">
        <f t="shared" si="445"/>
        <v/>
      </c>
      <c r="AL194" s="59" t="str">
        <f t="shared" si="445"/>
        <v/>
      </c>
      <c r="AM194" s="59" t="str">
        <f t="shared" si="445"/>
        <v/>
      </c>
      <c r="AN194" s="59" t="str">
        <f t="shared" si="445"/>
        <v/>
      </c>
      <c r="AO194" s="59" t="str">
        <f t="shared" si="445"/>
        <v/>
      </c>
      <c r="AP194" s="59" t="str">
        <f t="shared" ref="AP194:AP195" si="447">IF(AP188="","",AP188-AO188)</f>
        <v/>
      </c>
      <c r="AQ194" s="59" t="str">
        <f t="shared" ref="AQ194:AQ195" si="448">IF(AQ188="","",AQ188-AP188)</f>
        <v/>
      </c>
      <c r="AR194" s="59" t="str">
        <f t="shared" ref="AR194:AR195" si="449">IF(AR188="","",AR188-AQ188)</f>
        <v/>
      </c>
      <c r="AS194" s="59" t="str">
        <f t="shared" ref="AS194:AS195" si="450">IF(AS188="","",AS188-AR188)</f>
        <v/>
      </c>
      <c r="AT194" s="59" t="str">
        <f t="shared" ref="AT194:AT195" si="451">IF(AT188="","",AT188-AS188)</f>
        <v/>
      </c>
      <c r="AU194" s="59" t="str">
        <f t="shared" ref="AU194:AU195" si="452">IF(AU188="","",AU188-AT188)</f>
        <v/>
      </c>
      <c r="AV194" s="59" t="str">
        <f t="shared" ref="AV194:AV195" si="453">IF(AV188="","",AV188-AU188)</f>
        <v/>
      </c>
      <c r="AW194" s="59" t="str">
        <f t="shared" ref="AW194:AW195" si="454">IF(AW188="","",AW188-AV188)</f>
        <v/>
      </c>
      <c r="AX194" s="59" t="str">
        <f t="shared" ref="AX194:AX195" si="455">IF(AX188="","",AX188-AW188)</f>
        <v/>
      </c>
    </row>
    <row r="195" spans="1:50" s="1" customFormat="1">
      <c r="A195" s="7">
        <f>SUM(C195:AO195)</f>
        <v>142</v>
      </c>
      <c r="B195" s="60" t="s">
        <v>167</v>
      </c>
      <c r="C195" s="59"/>
      <c r="D195" s="59"/>
      <c r="E195" s="59"/>
      <c r="F195" s="59"/>
      <c r="G195" s="74">
        <f t="shared" ref="G195:AO195" si="456">IF(G189="","",G189-F189)</f>
        <v>0</v>
      </c>
      <c r="H195" s="59">
        <f t="shared" si="456"/>
        <v>0</v>
      </c>
      <c r="I195" s="59">
        <f t="shared" si="456"/>
        <v>0</v>
      </c>
      <c r="J195" s="59">
        <f t="shared" si="456"/>
        <v>21</v>
      </c>
      <c r="K195" s="117">
        <f t="shared" si="456"/>
        <v>0</v>
      </c>
      <c r="L195" s="59">
        <f t="shared" si="456"/>
        <v>0</v>
      </c>
      <c r="M195" s="59">
        <f t="shared" si="456"/>
        <v>42</v>
      </c>
      <c r="N195" s="117">
        <f t="shared" si="456"/>
        <v>0</v>
      </c>
      <c r="O195" s="59">
        <f t="shared" si="456"/>
        <v>0</v>
      </c>
      <c r="P195" s="59">
        <f t="shared" si="456"/>
        <v>4</v>
      </c>
      <c r="Q195" s="117">
        <f t="shared" si="456"/>
        <v>0</v>
      </c>
      <c r="R195" s="59">
        <f t="shared" si="456"/>
        <v>0</v>
      </c>
      <c r="S195" s="59">
        <f t="shared" si="456"/>
        <v>17</v>
      </c>
      <c r="T195" s="59">
        <f t="shared" si="456"/>
        <v>0</v>
      </c>
      <c r="U195" s="59">
        <f t="shared" si="456"/>
        <v>0</v>
      </c>
      <c r="V195" s="59">
        <f t="shared" si="456"/>
        <v>0</v>
      </c>
      <c r="W195" s="59">
        <f t="shared" si="456"/>
        <v>3</v>
      </c>
      <c r="X195" s="59">
        <f t="shared" si="456"/>
        <v>0</v>
      </c>
      <c r="Y195" s="59">
        <f t="shared" si="456"/>
        <v>0</v>
      </c>
      <c r="Z195" s="59">
        <f t="shared" si="446"/>
        <v>17</v>
      </c>
      <c r="AA195" s="59">
        <f t="shared" si="446"/>
        <v>0</v>
      </c>
      <c r="AB195" s="59">
        <f t="shared" si="446"/>
        <v>0</v>
      </c>
      <c r="AC195" s="59">
        <f t="shared" si="456"/>
        <v>0</v>
      </c>
      <c r="AD195" s="59">
        <f t="shared" si="456"/>
        <v>0</v>
      </c>
      <c r="AE195" s="59">
        <f t="shared" si="456"/>
        <v>13</v>
      </c>
      <c r="AF195" s="59">
        <f t="shared" si="456"/>
        <v>0</v>
      </c>
      <c r="AG195" s="59">
        <f t="shared" si="456"/>
        <v>0</v>
      </c>
      <c r="AH195" s="59">
        <f t="shared" si="456"/>
        <v>25</v>
      </c>
      <c r="AI195" s="59" t="str">
        <f t="shared" si="456"/>
        <v/>
      </c>
      <c r="AJ195" s="59" t="str">
        <f t="shared" si="456"/>
        <v/>
      </c>
      <c r="AK195" s="59" t="str">
        <f t="shared" si="456"/>
        <v/>
      </c>
      <c r="AL195" s="59" t="str">
        <f t="shared" si="456"/>
        <v/>
      </c>
      <c r="AM195" s="59" t="str">
        <f t="shared" si="456"/>
        <v/>
      </c>
      <c r="AN195" s="59" t="str">
        <f t="shared" si="456"/>
        <v/>
      </c>
      <c r="AO195" s="59" t="str">
        <f t="shared" si="456"/>
        <v/>
      </c>
      <c r="AP195" s="59" t="str">
        <f t="shared" si="447"/>
        <v/>
      </c>
      <c r="AQ195" s="59" t="str">
        <f t="shared" si="448"/>
        <v/>
      </c>
      <c r="AR195" s="59" t="str">
        <f t="shared" si="449"/>
        <v/>
      </c>
      <c r="AS195" s="59" t="str">
        <f t="shared" si="450"/>
        <v/>
      </c>
      <c r="AT195" s="59" t="str">
        <f t="shared" si="451"/>
        <v/>
      </c>
      <c r="AU195" s="59" t="str">
        <f t="shared" si="452"/>
        <v/>
      </c>
      <c r="AV195" s="59" t="str">
        <f t="shared" si="453"/>
        <v/>
      </c>
      <c r="AW195" s="59" t="str">
        <f t="shared" si="454"/>
        <v/>
      </c>
      <c r="AX195" s="59" t="str">
        <f t="shared" si="455"/>
        <v/>
      </c>
    </row>
    <row r="196" spans="1:50" s="1" customFormat="1">
      <c r="A196" s="7">
        <f>SUM(C196:AO196)</f>
        <v>0</v>
      </c>
      <c r="B196" s="60" t="s">
        <v>18</v>
      </c>
      <c r="C196" s="59"/>
      <c r="D196" s="59"/>
      <c r="E196" s="59"/>
      <c r="F196" s="59"/>
      <c r="G196" s="74" t="str">
        <f>IF(G191="","",#REF!*G191)</f>
        <v/>
      </c>
      <c r="H196" s="59" t="str">
        <f>IF(H191="","",#REF!*H191)</f>
        <v/>
      </c>
      <c r="I196" s="59" t="str">
        <f>IF(I191="","",#REF!*I191)</f>
        <v/>
      </c>
      <c r="J196" s="59" t="str">
        <f>IF(J191="","",#REF!*J191)</f>
        <v/>
      </c>
      <c r="K196" s="117" t="str">
        <f>IF(K191="","",#REF!*K191)</f>
        <v/>
      </c>
      <c r="L196" s="59" t="str">
        <f>IF(L191="","",#REF!*L191)</f>
        <v/>
      </c>
      <c r="M196" s="59" t="str">
        <f>IF(M191="","",#REF!*M191)</f>
        <v/>
      </c>
      <c r="N196" s="117" t="str">
        <f>IF(N191="","",#REF!*N191)</f>
        <v/>
      </c>
      <c r="O196" s="59" t="str">
        <f>IF(O191="","",#REF!*O191)</f>
        <v/>
      </c>
      <c r="P196" s="59" t="str">
        <f>IF(P191="","",#REF!*P191)</f>
        <v/>
      </c>
      <c r="Q196" s="117" t="str">
        <f>IF(Q191="","",#REF!*Q191)</f>
        <v/>
      </c>
      <c r="R196" s="59" t="str">
        <f>IF(R191="","",#REF!*R191)</f>
        <v/>
      </c>
      <c r="S196" s="59" t="str">
        <f>IF(S191="","",#REF!*S191)</f>
        <v/>
      </c>
      <c r="T196" s="59" t="str">
        <f>IF(T191="","",#REF!*T191)</f>
        <v/>
      </c>
      <c r="U196" s="59" t="str">
        <f>IF(U191="","",#REF!*U191)</f>
        <v/>
      </c>
      <c r="V196" s="59" t="str">
        <f>IF(V191="","",#REF!*V191)</f>
        <v/>
      </c>
      <c r="W196" s="59" t="str">
        <f>IF(W191="","",#REF!*W191)</f>
        <v/>
      </c>
      <c r="X196" s="59" t="str">
        <f>IF(X191="","",#REF!*X191)</f>
        <v/>
      </c>
      <c r="Y196" s="59" t="str">
        <f>IF(Y191="","",#REF!*Y191)</f>
        <v/>
      </c>
      <c r="Z196" s="59" t="str">
        <f>IF(Z191="","",#REF!*Z191)</f>
        <v/>
      </c>
      <c r="AA196" s="59" t="str">
        <f>IF(AA191="","",#REF!*AA191)</f>
        <v/>
      </c>
      <c r="AB196" s="59" t="str">
        <f>IF(AB191="","",#REF!*AB191)</f>
        <v/>
      </c>
      <c r="AC196" s="59" t="str">
        <f>IF(AC191="","",#REF!*AC191)</f>
        <v/>
      </c>
      <c r="AD196" s="59" t="str">
        <f>IF(AD191="","",#REF!*AD191)</f>
        <v/>
      </c>
      <c r="AE196" s="59" t="str">
        <f>IF(AE191="","",#REF!*AE191)</f>
        <v/>
      </c>
      <c r="AF196" s="59" t="str">
        <f>IF(AF191="","",#REF!*AF191)</f>
        <v/>
      </c>
      <c r="AG196" s="59" t="str">
        <f>IF(AG191="","",#REF!*AG191)</f>
        <v/>
      </c>
      <c r="AH196" s="59" t="str">
        <f>IF(AH191="","",#REF!*AH191)</f>
        <v/>
      </c>
      <c r="AI196" s="59" t="str">
        <f>IF(AI191="","",#REF!*AI191)</f>
        <v/>
      </c>
      <c r="AJ196" s="59" t="str">
        <f>IF(AJ191="","",#REF!*AJ191)</f>
        <v/>
      </c>
      <c r="AK196" s="59" t="str">
        <f>IF(AK191="","",#REF!*AK191)</f>
        <v/>
      </c>
      <c r="AL196" s="59" t="str">
        <f>IF(AL191="","",#REF!*AL191)</f>
        <v/>
      </c>
      <c r="AM196" s="59" t="str">
        <f>IF(AM191="","",#REF!*AM191)</f>
        <v/>
      </c>
      <c r="AN196" s="59" t="str">
        <f>IF(AN191="","",#REF!*AN191)</f>
        <v/>
      </c>
      <c r="AO196" s="59" t="str">
        <f>IF(AO191="","",#REF!*AO191)</f>
        <v/>
      </c>
      <c r="AP196" s="59" t="str">
        <f>IF(AP191="","",#REF!*AP191)</f>
        <v/>
      </c>
      <c r="AQ196" s="59" t="str">
        <f>IF(AQ191="","",#REF!*AQ191)</f>
        <v/>
      </c>
      <c r="AR196" s="59" t="str">
        <f>IF(AR191="","",#REF!*AR191)</f>
        <v/>
      </c>
      <c r="AS196" s="59" t="str">
        <f>IF(AS191="","",#REF!*AS191)</f>
        <v/>
      </c>
      <c r="AT196" s="59" t="str">
        <f>IF(AT191="","",#REF!*AT191)</f>
        <v/>
      </c>
      <c r="AU196" s="59" t="str">
        <f>IF(AU191="","",#REF!*AU191)</f>
        <v/>
      </c>
      <c r="AV196" s="59" t="str">
        <f>IF(AV191="","",#REF!*AV191)</f>
        <v/>
      </c>
      <c r="AW196" s="59" t="str">
        <f>IF(AW191="","",#REF!*AW191)</f>
        <v/>
      </c>
      <c r="AX196" s="59" t="str">
        <f>IF(AX191="","",#REF!*AX191)</f>
        <v/>
      </c>
    </row>
    <row r="197" spans="1:50" s="1" customFormat="1" ht="12" thickBot="1">
      <c r="A197" s="4">
        <f>IF(A196="","",A196/(A194*100))</f>
        <v>0</v>
      </c>
      <c r="B197" s="58" t="s">
        <v>20</v>
      </c>
      <c r="C197" s="57" t="str">
        <f t="shared" ref="C197:AO197" si="457">IF(C196="","",C196/(C194*100))</f>
        <v/>
      </c>
      <c r="D197" s="57" t="str">
        <f t="shared" si="457"/>
        <v/>
      </c>
      <c r="E197" s="57" t="str">
        <f t="shared" si="457"/>
        <v/>
      </c>
      <c r="F197" s="57" t="str">
        <f t="shared" si="457"/>
        <v/>
      </c>
      <c r="G197" s="77" t="str">
        <f t="shared" si="457"/>
        <v/>
      </c>
      <c r="H197" s="57" t="str">
        <f t="shared" si="457"/>
        <v/>
      </c>
      <c r="I197" s="57" t="str">
        <f t="shared" si="457"/>
        <v/>
      </c>
      <c r="J197" s="57" t="str">
        <f t="shared" si="457"/>
        <v/>
      </c>
      <c r="K197" s="120" t="str">
        <f t="shared" si="457"/>
        <v/>
      </c>
      <c r="L197" s="57" t="str">
        <f t="shared" si="457"/>
        <v/>
      </c>
      <c r="M197" s="57" t="str">
        <f t="shared" si="457"/>
        <v/>
      </c>
      <c r="N197" s="120" t="str">
        <f t="shared" si="457"/>
        <v/>
      </c>
      <c r="O197" s="57" t="str">
        <f t="shared" si="457"/>
        <v/>
      </c>
      <c r="P197" s="57" t="str">
        <f t="shared" si="457"/>
        <v/>
      </c>
      <c r="Q197" s="120" t="str">
        <f t="shared" si="457"/>
        <v/>
      </c>
      <c r="R197" s="57" t="str">
        <f t="shared" si="457"/>
        <v/>
      </c>
      <c r="S197" s="57" t="str">
        <f t="shared" si="457"/>
        <v/>
      </c>
      <c r="T197" s="57" t="str">
        <f t="shared" si="457"/>
        <v/>
      </c>
      <c r="U197" s="57" t="str">
        <f t="shared" si="457"/>
        <v/>
      </c>
      <c r="V197" s="57" t="str">
        <f t="shared" si="457"/>
        <v/>
      </c>
      <c r="W197" s="57" t="str">
        <f t="shared" si="457"/>
        <v/>
      </c>
      <c r="X197" s="57" t="str">
        <f t="shared" ref="X197" si="458">IF(X196="","",X196/(X194*100))</f>
        <v/>
      </c>
      <c r="Y197" s="57" t="str">
        <f t="shared" si="457"/>
        <v/>
      </c>
      <c r="Z197" s="57" t="str">
        <f>IF(Z196="","",Z196/(Z194*100))</f>
        <v/>
      </c>
      <c r="AA197" s="57" t="str">
        <f>IF(AA196="","",AA196/(AA194*100))</f>
        <v/>
      </c>
      <c r="AB197" s="57" t="str">
        <f>IF(AB196="","",AB196/(AB194*100))</f>
        <v/>
      </c>
      <c r="AC197" s="57" t="str">
        <f t="shared" si="457"/>
        <v/>
      </c>
      <c r="AD197" s="57" t="str">
        <f t="shared" si="457"/>
        <v/>
      </c>
      <c r="AE197" s="57" t="str">
        <f t="shared" si="457"/>
        <v/>
      </c>
      <c r="AF197" s="57" t="str">
        <f t="shared" si="457"/>
        <v/>
      </c>
      <c r="AG197" s="57" t="str">
        <f t="shared" si="457"/>
        <v/>
      </c>
      <c r="AH197" s="57" t="str">
        <f t="shared" si="457"/>
        <v/>
      </c>
      <c r="AI197" s="57" t="str">
        <f t="shared" si="457"/>
        <v/>
      </c>
      <c r="AJ197" s="57" t="str">
        <f t="shared" si="457"/>
        <v/>
      </c>
      <c r="AK197" s="57" t="str">
        <f t="shared" si="457"/>
        <v/>
      </c>
      <c r="AL197" s="57" t="str">
        <f t="shared" si="457"/>
        <v/>
      </c>
      <c r="AM197" s="57" t="str">
        <f t="shared" si="457"/>
        <v/>
      </c>
      <c r="AN197" s="57" t="str">
        <f t="shared" si="457"/>
        <v/>
      </c>
      <c r="AO197" s="57" t="str">
        <f t="shared" si="457"/>
        <v/>
      </c>
      <c r="AP197" s="57" t="str">
        <f t="shared" ref="AP197" si="459">IF(AP196="","",AP196/(AP194*100))</f>
        <v/>
      </c>
      <c r="AQ197" s="57" t="str">
        <f t="shared" ref="AQ197:AX197" si="460">IF(AQ196="","",AQ196/(AQ194*100))</f>
        <v/>
      </c>
      <c r="AR197" s="57" t="str">
        <f t="shared" si="460"/>
        <v/>
      </c>
      <c r="AS197" s="57" t="str">
        <f t="shared" si="460"/>
        <v/>
      </c>
      <c r="AT197" s="57" t="str">
        <f t="shared" si="460"/>
        <v/>
      </c>
      <c r="AU197" s="57" t="str">
        <f t="shared" si="460"/>
        <v/>
      </c>
      <c r="AV197" s="57" t="str">
        <f t="shared" si="460"/>
        <v/>
      </c>
      <c r="AW197" s="57" t="str">
        <f t="shared" si="460"/>
        <v/>
      </c>
      <c r="AX197" s="57" t="str">
        <f t="shared" si="460"/>
        <v/>
      </c>
    </row>
    <row r="198" spans="1:50" s="1" customFormat="1">
      <c r="A198" s="40" t="s">
        <v>181</v>
      </c>
      <c r="B198" s="39" t="s">
        <v>161</v>
      </c>
      <c r="C198" s="38"/>
      <c r="D198" s="38"/>
      <c r="E198" s="38"/>
      <c r="F198" s="38">
        <v>22348</v>
      </c>
      <c r="G198" s="66">
        <v>22348</v>
      </c>
      <c r="H198" s="38">
        <v>22348</v>
      </c>
      <c r="I198" s="38">
        <v>22348</v>
      </c>
      <c r="J198" s="38">
        <v>22376</v>
      </c>
      <c r="K198" s="121">
        <v>22387</v>
      </c>
      <c r="L198" s="38">
        <v>22399</v>
      </c>
      <c r="M198" s="38">
        <v>22403</v>
      </c>
      <c r="N198" s="121">
        <v>22407</v>
      </c>
      <c r="O198" s="38">
        <v>22410</v>
      </c>
      <c r="P198" s="38">
        <v>22421</v>
      </c>
      <c r="Q198" s="121">
        <v>22421</v>
      </c>
      <c r="R198" s="38">
        <v>22440</v>
      </c>
      <c r="S198" s="38">
        <v>22455</v>
      </c>
      <c r="T198" s="38">
        <v>22469</v>
      </c>
      <c r="U198" s="38">
        <v>22485</v>
      </c>
      <c r="V198" s="38">
        <v>22487</v>
      </c>
      <c r="W198" s="38">
        <v>22495</v>
      </c>
      <c r="X198" s="38">
        <v>22495</v>
      </c>
      <c r="Y198" s="38">
        <v>22517</v>
      </c>
      <c r="Z198" s="38">
        <v>22539</v>
      </c>
      <c r="AA198" s="38">
        <v>22539</v>
      </c>
      <c r="AB198" s="38">
        <v>22565</v>
      </c>
      <c r="AC198" s="38">
        <v>22581</v>
      </c>
      <c r="AD198" s="38">
        <v>22594</v>
      </c>
      <c r="AE198" s="38">
        <v>22594</v>
      </c>
      <c r="AF198" s="38">
        <v>22615</v>
      </c>
      <c r="AG198" s="38">
        <v>22656</v>
      </c>
      <c r="AH198" s="38">
        <v>22660</v>
      </c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</row>
    <row r="199" spans="1:50" s="1" customFormat="1">
      <c r="A199" s="37" t="s">
        <v>176</v>
      </c>
      <c r="B199" s="30" t="s">
        <v>177</v>
      </c>
      <c r="C199" s="29"/>
      <c r="D199" s="29"/>
      <c r="E199" s="29"/>
      <c r="F199" s="29">
        <v>9412</v>
      </c>
      <c r="G199" s="65">
        <v>9412</v>
      </c>
      <c r="H199" s="29">
        <v>9412</v>
      </c>
      <c r="I199" s="29">
        <v>9412</v>
      </c>
      <c r="J199" s="29">
        <v>9419</v>
      </c>
      <c r="K199" s="122">
        <v>9424</v>
      </c>
      <c r="L199" s="29">
        <v>9429</v>
      </c>
      <c r="M199" s="29">
        <v>9431</v>
      </c>
      <c r="N199" s="122">
        <v>9432</v>
      </c>
      <c r="O199" s="29">
        <v>9432</v>
      </c>
      <c r="P199" s="29">
        <v>9436</v>
      </c>
      <c r="Q199" s="122">
        <v>9436</v>
      </c>
      <c r="R199" s="29">
        <v>9443</v>
      </c>
      <c r="S199" s="29">
        <v>9445</v>
      </c>
      <c r="T199" s="29">
        <v>9448</v>
      </c>
      <c r="U199" s="29">
        <v>9453</v>
      </c>
      <c r="V199" s="29">
        <v>9454</v>
      </c>
      <c r="W199" s="29">
        <v>9458</v>
      </c>
      <c r="X199" s="29">
        <v>9458</v>
      </c>
      <c r="Y199" s="29">
        <v>9467</v>
      </c>
      <c r="Z199" s="29">
        <v>9476</v>
      </c>
      <c r="AA199" s="29">
        <v>9476</v>
      </c>
      <c r="AB199" s="29">
        <v>9486</v>
      </c>
      <c r="AC199" s="29">
        <v>9491</v>
      </c>
      <c r="AD199" s="29">
        <v>9497</v>
      </c>
      <c r="AE199" s="29">
        <v>9497</v>
      </c>
      <c r="AF199" s="29">
        <v>9505</v>
      </c>
      <c r="AG199" s="29">
        <v>9523</v>
      </c>
      <c r="AH199" s="29">
        <v>9524</v>
      </c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</row>
    <row r="200" spans="1:50" s="1" customFormat="1">
      <c r="A200" s="34"/>
      <c r="B200" s="30" t="s">
        <v>178</v>
      </c>
      <c r="C200" s="29"/>
      <c r="D200" s="29"/>
      <c r="E200" s="29"/>
      <c r="F200" s="29">
        <v>4367</v>
      </c>
      <c r="G200" s="65">
        <v>4367</v>
      </c>
      <c r="H200" s="29">
        <v>4367</v>
      </c>
      <c r="I200" s="29">
        <v>4367</v>
      </c>
      <c r="J200" s="29">
        <v>4381</v>
      </c>
      <c r="K200" s="122">
        <v>4383</v>
      </c>
      <c r="L200" s="29">
        <v>4385</v>
      </c>
      <c r="M200" s="29">
        <v>4385</v>
      </c>
      <c r="N200" s="122">
        <v>4387</v>
      </c>
      <c r="O200" s="29">
        <v>4390</v>
      </c>
      <c r="P200" s="29">
        <v>4393</v>
      </c>
      <c r="Q200" s="122">
        <v>4393</v>
      </c>
      <c r="R200" s="29">
        <v>4399</v>
      </c>
      <c r="S200" s="29">
        <v>4410</v>
      </c>
      <c r="T200" s="29">
        <v>4418</v>
      </c>
      <c r="U200" s="29">
        <v>4425</v>
      </c>
      <c r="V200" s="29">
        <v>4425</v>
      </c>
      <c r="W200" s="29">
        <v>4425</v>
      </c>
      <c r="X200" s="29">
        <v>4425</v>
      </c>
      <c r="Y200" s="29">
        <v>4431</v>
      </c>
      <c r="Z200" s="29">
        <v>4435</v>
      </c>
      <c r="AA200" s="29">
        <v>4435</v>
      </c>
      <c r="AB200" s="29">
        <v>4441</v>
      </c>
      <c r="AC200" s="29">
        <v>4447</v>
      </c>
      <c r="AD200" s="29">
        <v>4448</v>
      </c>
      <c r="AE200" s="29">
        <v>4448</v>
      </c>
      <c r="AF200" s="29">
        <v>4454</v>
      </c>
      <c r="AG200" s="29">
        <v>4459</v>
      </c>
      <c r="AH200" s="29">
        <v>4461</v>
      </c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</row>
    <row r="201" spans="1:50" s="1" customFormat="1">
      <c r="A201" s="36" t="s">
        <v>9</v>
      </c>
      <c r="B201" s="30" t="s">
        <v>7</v>
      </c>
      <c r="C201" s="29"/>
      <c r="D201" s="29"/>
      <c r="E201" s="29"/>
      <c r="F201" s="29"/>
      <c r="G201" s="65"/>
      <c r="H201" s="29"/>
      <c r="I201" s="29"/>
      <c r="J201" s="29"/>
      <c r="K201" s="122"/>
      <c r="L201" s="29"/>
      <c r="M201" s="29"/>
      <c r="N201" s="122"/>
      <c r="O201" s="29"/>
      <c r="P201" s="29"/>
      <c r="Q201" s="122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</row>
    <row r="202" spans="1:50" s="1" customFormat="1">
      <c r="A202" s="28">
        <f>AVERAGE(C205:AO205)*30*1000</f>
        <v>334285.71428571426</v>
      </c>
      <c r="B202" s="30" t="s">
        <v>8</v>
      </c>
      <c r="C202" s="29"/>
      <c r="D202" s="29"/>
      <c r="E202" s="29"/>
      <c r="F202" s="29"/>
      <c r="G202" s="65"/>
      <c r="H202" s="29"/>
      <c r="I202" s="29"/>
      <c r="J202" s="29"/>
      <c r="K202" s="122"/>
      <c r="L202" s="29"/>
      <c r="M202" s="29"/>
      <c r="N202" s="122"/>
      <c r="O202" s="29"/>
      <c r="P202" s="29"/>
      <c r="Q202" s="122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</row>
    <row r="203" spans="1:50" s="11" customFormat="1">
      <c r="A203" s="34"/>
      <c r="B203" s="33" t="s">
        <v>164</v>
      </c>
      <c r="C203" s="32"/>
      <c r="D203" s="32"/>
      <c r="E203" s="32"/>
      <c r="F203" s="32"/>
      <c r="G203" s="63"/>
      <c r="H203" s="32"/>
      <c r="I203" s="32"/>
      <c r="J203" s="32"/>
      <c r="K203" s="123"/>
      <c r="L203" s="32"/>
      <c r="M203" s="32"/>
      <c r="N203" s="123"/>
      <c r="O203" s="32"/>
      <c r="P203" s="32"/>
      <c r="Q203" s="123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</row>
    <row r="204" spans="1:50" s="1" customFormat="1">
      <c r="A204" s="31"/>
      <c r="B204" s="30" t="s">
        <v>165</v>
      </c>
      <c r="C204" s="29"/>
      <c r="D204" s="29"/>
      <c r="E204" s="29"/>
      <c r="F204" s="29"/>
      <c r="G204" s="65"/>
      <c r="H204" s="29"/>
      <c r="I204" s="29"/>
      <c r="J204" s="29"/>
      <c r="K204" s="122"/>
      <c r="L204" s="29"/>
      <c r="M204" s="29"/>
      <c r="N204" s="122"/>
      <c r="O204" s="29"/>
      <c r="P204" s="29"/>
      <c r="Q204" s="122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</row>
    <row r="205" spans="1:50" s="1" customFormat="1">
      <c r="A205" s="28">
        <f>SUM(C205:AO205)</f>
        <v>312</v>
      </c>
      <c r="B205" s="55" t="s">
        <v>166</v>
      </c>
      <c r="C205" s="54"/>
      <c r="D205" s="54"/>
      <c r="E205" s="54"/>
      <c r="F205" s="54"/>
      <c r="G205" s="65">
        <f t="shared" ref="G205:AO205" si="461">IF(G198="","",G198-F198)</f>
        <v>0</v>
      </c>
      <c r="H205" s="54">
        <f t="shared" si="461"/>
        <v>0</v>
      </c>
      <c r="I205" s="54">
        <f t="shared" si="461"/>
        <v>0</v>
      </c>
      <c r="J205" s="54">
        <f t="shared" si="461"/>
        <v>28</v>
      </c>
      <c r="K205" s="122">
        <f t="shared" si="461"/>
        <v>11</v>
      </c>
      <c r="L205" s="54">
        <f t="shared" si="461"/>
        <v>12</v>
      </c>
      <c r="M205" s="54">
        <f t="shared" si="461"/>
        <v>4</v>
      </c>
      <c r="N205" s="122">
        <f t="shared" si="461"/>
        <v>4</v>
      </c>
      <c r="O205" s="54">
        <f t="shared" si="461"/>
        <v>3</v>
      </c>
      <c r="P205" s="54">
        <f t="shared" si="461"/>
        <v>11</v>
      </c>
      <c r="Q205" s="122">
        <f t="shared" si="461"/>
        <v>0</v>
      </c>
      <c r="R205" s="54">
        <f t="shared" si="461"/>
        <v>19</v>
      </c>
      <c r="S205" s="54">
        <f t="shared" si="461"/>
        <v>15</v>
      </c>
      <c r="T205" s="54">
        <f t="shared" si="461"/>
        <v>14</v>
      </c>
      <c r="U205" s="54">
        <f t="shared" si="461"/>
        <v>16</v>
      </c>
      <c r="V205" s="54">
        <f t="shared" si="461"/>
        <v>2</v>
      </c>
      <c r="W205" s="54">
        <f t="shared" si="461"/>
        <v>8</v>
      </c>
      <c r="X205" s="54">
        <f t="shared" si="461"/>
        <v>0</v>
      </c>
      <c r="Y205" s="54">
        <f t="shared" si="461"/>
        <v>22</v>
      </c>
      <c r="Z205" s="54">
        <f t="shared" ref="Z205:AB207" si="462">IF(Z198="","",Z198-Y198)</f>
        <v>22</v>
      </c>
      <c r="AA205" s="54">
        <f t="shared" si="462"/>
        <v>0</v>
      </c>
      <c r="AB205" s="54">
        <f t="shared" si="462"/>
        <v>26</v>
      </c>
      <c r="AC205" s="54">
        <f t="shared" si="461"/>
        <v>16</v>
      </c>
      <c r="AD205" s="54">
        <f>IF(AD198="","",AD198-AC198)</f>
        <v>13</v>
      </c>
      <c r="AE205" s="54">
        <f t="shared" si="461"/>
        <v>0</v>
      </c>
      <c r="AF205" s="54">
        <f t="shared" si="461"/>
        <v>21</v>
      </c>
      <c r="AG205" s="54">
        <f t="shared" si="461"/>
        <v>41</v>
      </c>
      <c r="AH205" s="54">
        <f t="shared" si="461"/>
        <v>4</v>
      </c>
      <c r="AI205" s="54" t="str">
        <f t="shared" si="461"/>
        <v/>
      </c>
      <c r="AJ205" s="54" t="str">
        <f t="shared" si="461"/>
        <v/>
      </c>
      <c r="AK205" s="54" t="str">
        <f t="shared" si="461"/>
        <v/>
      </c>
      <c r="AL205" s="54" t="str">
        <f t="shared" si="461"/>
        <v/>
      </c>
      <c r="AM205" s="54" t="str">
        <f t="shared" si="461"/>
        <v/>
      </c>
      <c r="AN205" s="54" t="str">
        <f t="shared" si="461"/>
        <v/>
      </c>
      <c r="AO205" s="54" t="str">
        <f t="shared" si="461"/>
        <v/>
      </c>
      <c r="AP205" s="54" t="str">
        <f t="shared" ref="AP205:AP207" si="463">IF(AP198="","",AP198-AO198)</f>
        <v/>
      </c>
      <c r="AQ205" s="54" t="str">
        <f t="shared" ref="AQ205:AQ207" si="464">IF(AQ198="","",AQ198-AP198)</f>
        <v/>
      </c>
      <c r="AR205" s="54" t="str">
        <f t="shared" ref="AR205:AR207" si="465">IF(AR198="","",AR198-AQ198)</f>
        <v/>
      </c>
      <c r="AS205" s="54" t="str">
        <f t="shared" ref="AS205:AS207" si="466">IF(AS198="","",AS198-AR198)</f>
        <v/>
      </c>
      <c r="AT205" s="54" t="str">
        <f t="shared" ref="AT205:AT207" si="467">IF(AT198="","",AT198-AS198)</f>
        <v/>
      </c>
      <c r="AU205" s="54" t="str">
        <f t="shared" ref="AU205:AU207" si="468">IF(AU198="","",AU198-AT198)</f>
        <v/>
      </c>
      <c r="AV205" s="54" t="str">
        <f t="shared" ref="AV205:AV207" si="469">IF(AV198="","",AV198-AU198)</f>
        <v/>
      </c>
      <c r="AW205" s="54" t="str">
        <f t="shared" ref="AW205:AW207" si="470">IF(AW198="","",AW198-AV198)</f>
        <v/>
      </c>
      <c r="AX205" s="54" t="str">
        <f t="shared" ref="AX205:AX207" si="471">IF(AX198="","",AX198-AW198)</f>
        <v/>
      </c>
    </row>
    <row r="206" spans="1:50" s="1" customFormat="1">
      <c r="A206" s="28">
        <f>SUM(C206:AO206)</f>
        <v>112</v>
      </c>
      <c r="B206" s="55" t="s">
        <v>167</v>
      </c>
      <c r="C206" s="54"/>
      <c r="D206" s="54"/>
      <c r="E206" s="54"/>
      <c r="F206" s="54"/>
      <c r="G206" s="65">
        <f t="shared" ref="G206:AO206" si="472">IF(G199="","",G199-F199)</f>
        <v>0</v>
      </c>
      <c r="H206" s="54">
        <f t="shared" si="472"/>
        <v>0</v>
      </c>
      <c r="I206" s="54">
        <f t="shared" si="472"/>
        <v>0</v>
      </c>
      <c r="J206" s="54">
        <f t="shared" si="472"/>
        <v>7</v>
      </c>
      <c r="K206" s="122">
        <f t="shared" si="472"/>
        <v>5</v>
      </c>
      <c r="L206" s="54">
        <f t="shared" si="472"/>
        <v>5</v>
      </c>
      <c r="M206" s="54">
        <f t="shared" si="472"/>
        <v>2</v>
      </c>
      <c r="N206" s="122">
        <f t="shared" si="472"/>
        <v>1</v>
      </c>
      <c r="O206" s="54">
        <f t="shared" si="472"/>
        <v>0</v>
      </c>
      <c r="P206" s="54">
        <f t="shared" si="472"/>
        <v>4</v>
      </c>
      <c r="Q206" s="122">
        <f t="shared" si="472"/>
        <v>0</v>
      </c>
      <c r="R206" s="54">
        <f t="shared" si="472"/>
        <v>7</v>
      </c>
      <c r="S206" s="54">
        <f t="shared" si="472"/>
        <v>2</v>
      </c>
      <c r="T206" s="54">
        <f t="shared" si="472"/>
        <v>3</v>
      </c>
      <c r="U206" s="54">
        <f t="shared" si="472"/>
        <v>5</v>
      </c>
      <c r="V206" s="54">
        <f t="shared" si="472"/>
        <v>1</v>
      </c>
      <c r="W206" s="54">
        <f t="shared" si="472"/>
        <v>4</v>
      </c>
      <c r="X206" s="54">
        <f t="shared" si="472"/>
        <v>0</v>
      </c>
      <c r="Y206" s="54">
        <f t="shared" si="472"/>
        <v>9</v>
      </c>
      <c r="Z206" s="54">
        <f t="shared" si="462"/>
        <v>9</v>
      </c>
      <c r="AA206" s="54">
        <f t="shared" si="462"/>
        <v>0</v>
      </c>
      <c r="AB206" s="54">
        <f t="shared" si="462"/>
        <v>10</v>
      </c>
      <c r="AC206" s="54">
        <f t="shared" si="472"/>
        <v>5</v>
      </c>
      <c r="AD206" s="54">
        <f>IF(AD199="","",AD199-AC199)</f>
        <v>6</v>
      </c>
      <c r="AE206" s="54">
        <f t="shared" si="472"/>
        <v>0</v>
      </c>
      <c r="AF206" s="54">
        <f t="shared" si="472"/>
        <v>8</v>
      </c>
      <c r="AG206" s="54">
        <f t="shared" si="472"/>
        <v>18</v>
      </c>
      <c r="AH206" s="54">
        <f t="shared" si="472"/>
        <v>1</v>
      </c>
      <c r="AI206" s="54" t="str">
        <f t="shared" si="472"/>
        <v/>
      </c>
      <c r="AJ206" s="54" t="str">
        <f t="shared" si="472"/>
        <v/>
      </c>
      <c r="AK206" s="54" t="str">
        <f t="shared" si="472"/>
        <v/>
      </c>
      <c r="AL206" s="54" t="str">
        <f t="shared" si="472"/>
        <v/>
      </c>
      <c r="AM206" s="54" t="str">
        <f t="shared" si="472"/>
        <v/>
      </c>
      <c r="AN206" s="54" t="str">
        <f t="shared" si="472"/>
        <v/>
      </c>
      <c r="AO206" s="54" t="str">
        <f t="shared" si="472"/>
        <v/>
      </c>
      <c r="AP206" s="54" t="str">
        <f t="shared" si="463"/>
        <v/>
      </c>
      <c r="AQ206" s="54" t="str">
        <f t="shared" si="464"/>
        <v/>
      </c>
      <c r="AR206" s="54" t="str">
        <f t="shared" si="465"/>
        <v/>
      </c>
      <c r="AS206" s="54" t="str">
        <f t="shared" si="466"/>
        <v/>
      </c>
      <c r="AT206" s="54" t="str">
        <f t="shared" si="467"/>
        <v/>
      </c>
      <c r="AU206" s="54" t="str">
        <f t="shared" si="468"/>
        <v/>
      </c>
      <c r="AV206" s="54" t="str">
        <f t="shared" si="469"/>
        <v/>
      </c>
      <c r="AW206" s="54" t="str">
        <f t="shared" si="470"/>
        <v/>
      </c>
      <c r="AX206" s="54" t="str">
        <f t="shared" si="471"/>
        <v/>
      </c>
    </row>
    <row r="207" spans="1:50" s="1" customFormat="1">
      <c r="A207" s="28">
        <f>SUM(C207:AO207)</f>
        <v>94</v>
      </c>
      <c r="B207" s="55" t="s">
        <v>179</v>
      </c>
      <c r="C207" s="54"/>
      <c r="D207" s="54"/>
      <c r="E207" s="54"/>
      <c r="F207" s="54"/>
      <c r="G207" s="65">
        <f t="shared" ref="G207:AO207" si="473">IF(G200="","",G200-F200)</f>
        <v>0</v>
      </c>
      <c r="H207" s="54">
        <f t="shared" si="473"/>
        <v>0</v>
      </c>
      <c r="I207" s="54">
        <f t="shared" si="473"/>
        <v>0</v>
      </c>
      <c r="J207" s="54">
        <f t="shared" si="473"/>
        <v>14</v>
      </c>
      <c r="K207" s="122">
        <f t="shared" si="473"/>
        <v>2</v>
      </c>
      <c r="L207" s="54">
        <f t="shared" si="473"/>
        <v>2</v>
      </c>
      <c r="M207" s="54">
        <f t="shared" si="473"/>
        <v>0</v>
      </c>
      <c r="N207" s="122">
        <f t="shared" si="473"/>
        <v>2</v>
      </c>
      <c r="O207" s="54">
        <f t="shared" si="473"/>
        <v>3</v>
      </c>
      <c r="P207" s="54">
        <f t="shared" si="473"/>
        <v>3</v>
      </c>
      <c r="Q207" s="122">
        <f t="shared" si="473"/>
        <v>0</v>
      </c>
      <c r="R207" s="54">
        <f t="shared" si="473"/>
        <v>6</v>
      </c>
      <c r="S207" s="54">
        <f t="shared" si="473"/>
        <v>11</v>
      </c>
      <c r="T207" s="54">
        <f t="shared" si="473"/>
        <v>8</v>
      </c>
      <c r="U207" s="54">
        <f t="shared" si="473"/>
        <v>7</v>
      </c>
      <c r="V207" s="54">
        <f t="shared" si="473"/>
        <v>0</v>
      </c>
      <c r="W207" s="54">
        <f t="shared" si="473"/>
        <v>0</v>
      </c>
      <c r="X207" s="54">
        <f t="shared" si="473"/>
        <v>0</v>
      </c>
      <c r="Y207" s="54">
        <f t="shared" si="473"/>
        <v>6</v>
      </c>
      <c r="Z207" s="54">
        <f t="shared" si="462"/>
        <v>4</v>
      </c>
      <c r="AA207" s="54">
        <f t="shared" si="462"/>
        <v>0</v>
      </c>
      <c r="AB207" s="54">
        <f t="shared" si="462"/>
        <v>6</v>
      </c>
      <c r="AC207" s="54">
        <f t="shared" si="473"/>
        <v>6</v>
      </c>
      <c r="AD207" s="54">
        <f t="shared" si="473"/>
        <v>1</v>
      </c>
      <c r="AE207" s="54">
        <f t="shared" si="473"/>
        <v>0</v>
      </c>
      <c r="AF207" s="54">
        <f t="shared" si="473"/>
        <v>6</v>
      </c>
      <c r="AG207" s="54">
        <f t="shared" si="473"/>
        <v>5</v>
      </c>
      <c r="AH207" s="54">
        <f t="shared" si="473"/>
        <v>2</v>
      </c>
      <c r="AI207" s="54" t="str">
        <f t="shared" si="473"/>
        <v/>
      </c>
      <c r="AJ207" s="54" t="str">
        <f t="shared" si="473"/>
        <v/>
      </c>
      <c r="AK207" s="54" t="str">
        <f t="shared" si="473"/>
        <v/>
      </c>
      <c r="AL207" s="54" t="str">
        <f t="shared" si="473"/>
        <v/>
      </c>
      <c r="AM207" s="54" t="str">
        <f t="shared" si="473"/>
        <v/>
      </c>
      <c r="AN207" s="54" t="str">
        <f t="shared" si="473"/>
        <v/>
      </c>
      <c r="AO207" s="54" t="str">
        <f t="shared" si="473"/>
        <v/>
      </c>
      <c r="AP207" s="54" t="str">
        <f t="shared" si="463"/>
        <v/>
      </c>
      <c r="AQ207" s="54" t="str">
        <f t="shared" si="464"/>
        <v/>
      </c>
      <c r="AR207" s="54" t="str">
        <f t="shared" si="465"/>
        <v/>
      </c>
      <c r="AS207" s="54" t="str">
        <f t="shared" si="466"/>
        <v/>
      </c>
      <c r="AT207" s="54" t="str">
        <f t="shared" si="467"/>
        <v/>
      </c>
      <c r="AU207" s="54" t="str">
        <f t="shared" si="468"/>
        <v/>
      </c>
      <c r="AV207" s="54" t="str">
        <f t="shared" si="469"/>
        <v/>
      </c>
      <c r="AW207" s="54" t="str">
        <f t="shared" si="470"/>
        <v/>
      </c>
      <c r="AX207" s="54" t="str">
        <f t="shared" si="471"/>
        <v/>
      </c>
    </row>
    <row r="208" spans="1:50" s="1" customFormat="1">
      <c r="A208" s="28">
        <f>SUM(C208:AO208)</f>
        <v>0</v>
      </c>
      <c r="B208" s="55" t="s">
        <v>18</v>
      </c>
      <c r="C208" s="54" t="str">
        <f t="shared" ref="C208:AO208" si="474">IF(C202="","",C207*C202)</f>
        <v/>
      </c>
      <c r="D208" s="54" t="str">
        <f t="shared" si="474"/>
        <v/>
      </c>
      <c r="E208" s="54" t="str">
        <f t="shared" si="474"/>
        <v/>
      </c>
      <c r="F208" s="54" t="str">
        <f t="shared" si="474"/>
        <v/>
      </c>
      <c r="G208" s="65" t="str">
        <f t="shared" si="474"/>
        <v/>
      </c>
      <c r="H208" s="54" t="str">
        <f t="shared" si="474"/>
        <v/>
      </c>
      <c r="I208" s="54" t="str">
        <f t="shared" si="474"/>
        <v/>
      </c>
      <c r="J208" s="54" t="str">
        <f t="shared" si="474"/>
        <v/>
      </c>
      <c r="K208" s="122" t="str">
        <f t="shared" si="474"/>
        <v/>
      </c>
      <c r="L208" s="54" t="str">
        <f t="shared" si="474"/>
        <v/>
      </c>
      <c r="M208" s="54" t="str">
        <f t="shared" si="474"/>
        <v/>
      </c>
      <c r="N208" s="122" t="str">
        <f t="shared" si="474"/>
        <v/>
      </c>
      <c r="O208" s="54" t="str">
        <f t="shared" si="474"/>
        <v/>
      </c>
      <c r="P208" s="54" t="str">
        <f t="shared" si="474"/>
        <v/>
      </c>
      <c r="Q208" s="122" t="str">
        <f t="shared" si="474"/>
        <v/>
      </c>
      <c r="R208" s="54" t="str">
        <f t="shared" si="474"/>
        <v/>
      </c>
      <c r="S208" s="54" t="str">
        <f t="shared" si="474"/>
        <v/>
      </c>
      <c r="T208" s="54" t="str">
        <f t="shared" si="474"/>
        <v/>
      </c>
      <c r="U208" s="54" t="str">
        <f t="shared" si="474"/>
        <v/>
      </c>
      <c r="V208" s="54" t="str">
        <f t="shared" si="474"/>
        <v/>
      </c>
      <c r="W208" s="54" t="str">
        <f t="shared" si="474"/>
        <v/>
      </c>
      <c r="X208" s="54" t="str">
        <f t="shared" ref="X208" si="475">IF(X202="","",X207*X202)</f>
        <v/>
      </c>
      <c r="Y208" s="54" t="str">
        <f t="shared" si="474"/>
        <v/>
      </c>
      <c r="Z208" s="54" t="str">
        <f>IF(Z202="","",Z207*Z202)</f>
        <v/>
      </c>
      <c r="AA208" s="54" t="str">
        <f>IF(AA202="","",AA207*AA202)</f>
        <v/>
      </c>
      <c r="AB208" s="54" t="str">
        <f>IF(AB202="","",AB207*AB202)</f>
        <v/>
      </c>
      <c r="AC208" s="54" t="str">
        <f t="shared" si="474"/>
        <v/>
      </c>
      <c r="AD208" s="54" t="str">
        <f t="shared" si="474"/>
        <v/>
      </c>
      <c r="AE208" s="54" t="str">
        <f t="shared" si="474"/>
        <v/>
      </c>
      <c r="AF208" s="54" t="str">
        <f t="shared" si="474"/>
        <v/>
      </c>
      <c r="AG208" s="54" t="str">
        <f t="shared" si="474"/>
        <v/>
      </c>
      <c r="AH208" s="54" t="str">
        <f t="shared" si="474"/>
        <v/>
      </c>
      <c r="AI208" s="54" t="str">
        <f t="shared" si="474"/>
        <v/>
      </c>
      <c r="AJ208" s="54" t="str">
        <f t="shared" si="474"/>
        <v/>
      </c>
      <c r="AK208" s="54" t="str">
        <f t="shared" si="474"/>
        <v/>
      </c>
      <c r="AL208" s="54" t="str">
        <f t="shared" si="474"/>
        <v/>
      </c>
      <c r="AM208" s="54" t="str">
        <f t="shared" si="474"/>
        <v/>
      </c>
      <c r="AN208" s="54" t="str">
        <f t="shared" si="474"/>
        <v/>
      </c>
      <c r="AO208" s="54" t="str">
        <f t="shared" si="474"/>
        <v/>
      </c>
      <c r="AP208" s="54" t="str">
        <f t="shared" ref="AP208" si="476">IF(AP202="","",AP207*AP202)</f>
        <v/>
      </c>
      <c r="AQ208" s="54" t="str">
        <f t="shared" ref="AQ208:AX208" si="477">IF(AQ202="","",AQ207*AQ202)</f>
        <v/>
      </c>
      <c r="AR208" s="54" t="str">
        <f t="shared" si="477"/>
        <v/>
      </c>
      <c r="AS208" s="54" t="str">
        <f t="shared" si="477"/>
        <v/>
      </c>
      <c r="AT208" s="54" t="str">
        <f t="shared" si="477"/>
        <v/>
      </c>
      <c r="AU208" s="54" t="str">
        <f t="shared" si="477"/>
        <v/>
      </c>
      <c r="AV208" s="54" t="str">
        <f t="shared" si="477"/>
        <v/>
      </c>
      <c r="AW208" s="54" t="str">
        <f t="shared" si="477"/>
        <v/>
      </c>
      <c r="AX208" s="54" t="str">
        <f t="shared" si="477"/>
        <v/>
      </c>
    </row>
    <row r="209" spans="1:50" s="1" customFormat="1" ht="12" thickBot="1">
      <c r="A209" s="25">
        <f>IF(A208="","",A208/(A205*100))</f>
        <v>0</v>
      </c>
      <c r="B209" s="53" t="s">
        <v>20</v>
      </c>
      <c r="C209" s="52" t="str">
        <f t="shared" ref="C209:AO209" si="478">IF(C208="","",C208/(C205*100))</f>
        <v/>
      </c>
      <c r="D209" s="52" t="str">
        <f t="shared" si="478"/>
        <v/>
      </c>
      <c r="E209" s="52" t="str">
        <f t="shared" si="478"/>
        <v/>
      </c>
      <c r="F209" s="52" t="str">
        <f t="shared" si="478"/>
        <v/>
      </c>
      <c r="G209" s="67" t="str">
        <f t="shared" si="478"/>
        <v/>
      </c>
      <c r="H209" s="52" t="str">
        <f t="shared" si="478"/>
        <v/>
      </c>
      <c r="I209" s="52" t="str">
        <f t="shared" si="478"/>
        <v/>
      </c>
      <c r="J209" s="52" t="str">
        <f t="shared" si="478"/>
        <v/>
      </c>
      <c r="K209" s="124" t="str">
        <f t="shared" si="478"/>
        <v/>
      </c>
      <c r="L209" s="52" t="str">
        <f t="shared" si="478"/>
        <v/>
      </c>
      <c r="M209" s="52" t="str">
        <f t="shared" si="478"/>
        <v/>
      </c>
      <c r="N209" s="124" t="str">
        <f t="shared" si="478"/>
        <v/>
      </c>
      <c r="O209" s="52" t="str">
        <f t="shared" si="478"/>
        <v/>
      </c>
      <c r="P209" s="52" t="str">
        <f t="shared" si="478"/>
        <v/>
      </c>
      <c r="Q209" s="124" t="str">
        <f t="shared" si="478"/>
        <v/>
      </c>
      <c r="R209" s="52" t="str">
        <f t="shared" si="478"/>
        <v/>
      </c>
      <c r="S209" s="52" t="str">
        <f t="shared" si="478"/>
        <v/>
      </c>
      <c r="T209" s="52" t="str">
        <f t="shared" si="478"/>
        <v/>
      </c>
      <c r="U209" s="52" t="str">
        <f t="shared" si="478"/>
        <v/>
      </c>
      <c r="V209" s="52" t="str">
        <f t="shared" si="478"/>
        <v/>
      </c>
      <c r="W209" s="52" t="str">
        <f t="shared" si="478"/>
        <v/>
      </c>
      <c r="X209" s="52" t="str">
        <f t="shared" ref="X209" si="479">IF(X208="","",X208/(X205*100))</f>
        <v/>
      </c>
      <c r="Y209" s="52" t="str">
        <f t="shared" si="478"/>
        <v/>
      </c>
      <c r="Z209" s="52" t="str">
        <f>IF(Z208="","",Z208/(Z205*100))</f>
        <v/>
      </c>
      <c r="AA209" s="52" t="str">
        <f>IF(AA208="","",AA208/(AA205*100))</f>
        <v/>
      </c>
      <c r="AB209" s="52" t="str">
        <f>IF(AB208="","",AB208/(AB205*100))</f>
        <v/>
      </c>
      <c r="AC209" s="52" t="str">
        <f t="shared" si="478"/>
        <v/>
      </c>
      <c r="AD209" s="52" t="str">
        <f t="shared" si="478"/>
        <v/>
      </c>
      <c r="AE209" s="52" t="str">
        <f t="shared" si="478"/>
        <v/>
      </c>
      <c r="AF209" s="52" t="str">
        <f t="shared" si="478"/>
        <v/>
      </c>
      <c r="AG209" s="52" t="str">
        <f t="shared" si="478"/>
        <v/>
      </c>
      <c r="AH209" s="52" t="str">
        <f t="shared" si="478"/>
        <v/>
      </c>
      <c r="AI209" s="52" t="str">
        <f t="shared" si="478"/>
        <v/>
      </c>
      <c r="AJ209" s="52" t="str">
        <f t="shared" si="478"/>
        <v/>
      </c>
      <c r="AK209" s="52" t="str">
        <f t="shared" si="478"/>
        <v/>
      </c>
      <c r="AL209" s="52" t="str">
        <f t="shared" si="478"/>
        <v/>
      </c>
      <c r="AM209" s="52" t="str">
        <f t="shared" si="478"/>
        <v/>
      </c>
      <c r="AN209" s="52" t="str">
        <f t="shared" si="478"/>
        <v/>
      </c>
      <c r="AO209" s="52" t="str">
        <f t="shared" si="478"/>
        <v/>
      </c>
      <c r="AP209" s="52" t="str">
        <f t="shared" ref="AP209" si="480">IF(AP208="","",AP208/(AP205*100))</f>
        <v/>
      </c>
      <c r="AQ209" s="52" t="str">
        <f t="shared" ref="AQ209:AX209" si="481">IF(AQ208="","",AQ208/(AQ205*100))</f>
        <v/>
      </c>
      <c r="AR209" s="52" t="str">
        <f t="shared" si="481"/>
        <v/>
      </c>
      <c r="AS209" s="52" t="str">
        <f t="shared" si="481"/>
        <v/>
      </c>
      <c r="AT209" s="52" t="str">
        <f t="shared" si="481"/>
        <v/>
      </c>
      <c r="AU209" s="52" t="str">
        <f t="shared" si="481"/>
        <v/>
      </c>
      <c r="AV209" s="52" t="str">
        <f t="shared" si="481"/>
        <v/>
      </c>
      <c r="AW209" s="52" t="str">
        <f t="shared" si="481"/>
        <v/>
      </c>
      <c r="AX209" s="52" t="str">
        <f t="shared" si="481"/>
        <v/>
      </c>
    </row>
    <row r="210" spans="1:50" s="93" customFormat="1">
      <c r="A210" s="40" t="s">
        <v>151</v>
      </c>
      <c r="B210" s="39" t="s">
        <v>161</v>
      </c>
      <c r="C210" s="38"/>
      <c r="D210" s="38"/>
      <c r="E210" s="38"/>
      <c r="F210" s="38">
        <v>9909</v>
      </c>
      <c r="G210" s="66">
        <v>9909</v>
      </c>
      <c r="H210" s="38">
        <v>9909</v>
      </c>
      <c r="I210" s="38">
        <v>9909</v>
      </c>
      <c r="J210" s="38">
        <v>9918</v>
      </c>
      <c r="K210" s="121">
        <v>9922</v>
      </c>
      <c r="L210" s="38">
        <v>9930</v>
      </c>
      <c r="M210" s="38">
        <v>9934</v>
      </c>
      <c r="N210" s="121">
        <v>9936</v>
      </c>
      <c r="O210" s="38">
        <v>9938</v>
      </c>
      <c r="P210" s="38">
        <v>9951</v>
      </c>
      <c r="Q210" s="121">
        <v>9951</v>
      </c>
      <c r="R210" s="38">
        <v>9961</v>
      </c>
      <c r="S210" s="38">
        <v>9964</v>
      </c>
      <c r="T210" s="38">
        <v>9964</v>
      </c>
      <c r="U210" s="38">
        <v>9964</v>
      </c>
      <c r="V210" s="38">
        <v>9964</v>
      </c>
      <c r="W210" s="38">
        <v>9973</v>
      </c>
      <c r="X210" s="38">
        <v>9973</v>
      </c>
      <c r="Y210" s="38">
        <v>9981</v>
      </c>
      <c r="Z210" s="38">
        <v>9984</v>
      </c>
      <c r="AA210" s="38">
        <v>9984</v>
      </c>
      <c r="AB210" s="38">
        <v>9984</v>
      </c>
      <c r="AC210" s="38">
        <v>9984</v>
      </c>
      <c r="AD210" s="38">
        <v>9984</v>
      </c>
      <c r="AE210" s="38">
        <v>9996</v>
      </c>
      <c r="AF210" s="38">
        <v>9999</v>
      </c>
      <c r="AG210" s="38">
        <v>10007</v>
      </c>
      <c r="AH210" s="38">
        <v>10011</v>
      </c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</row>
    <row r="211" spans="1:50" s="93" customFormat="1">
      <c r="A211" s="37" t="s">
        <v>162</v>
      </c>
      <c r="B211" s="30" t="s">
        <v>177</v>
      </c>
      <c r="C211" s="29"/>
      <c r="D211" s="29"/>
      <c r="E211" s="29"/>
      <c r="F211" s="29">
        <v>9918</v>
      </c>
      <c r="G211" s="65">
        <v>9918</v>
      </c>
      <c r="H211" s="29">
        <v>9918</v>
      </c>
      <c r="I211" s="29">
        <v>9918</v>
      </c>
      <c r="J211" s="29">
        <v>9927</v>
      </c>
      <c r="K211" s="122">
        <v>9931</v>
      </c>
      <c r="L211" s="29">
        <v>9939</v>
      </c>
      <c r="M211" s="29">
        <v>9943</v>
      </c>
      <c r="N211" s="122">
        <v>9945</v>
      </c>
      <c r="O211" s="29">
        <v>9947</v>
      </c>
      <c r="P211" s="29">
        <v>9960</v>
      </c>
      <c r="Q211" s="122">
        <v>9960</v>
      </c>
      <c r="R211" s="29">
        <v>9970</v>
      </c>
      <c r="S211" s="29">
        <v>9973</v>
      </c>
      <c r="T211" s="29">
        <v>9973</v>
      </c>
      <c r="U211" s="29">
        <v>9973</v>
      </c>
      <c r="V211" s="29">
        <v>9973</v>
      </c>
      <c r="W211" s="29">
        <v>9982</v>
      </c>
      <c r="X211" s="29">
        <v>9982</v>
      </c>
      <c r="Y211" s="29">
        <v>9990</v>
      </c>
      <c r="Z211" s="29">
        <v>9993</v>
      </c>
      <c r="AA211" s="29">
        <v>9993</v>
      </c>
      <c r="AB211" s="29">
        <v>9993</v>
      </c>
      <c r="AC211" s="29">
        <v>9993</v>
      </c>
      <c r="AD211" s="29">
        <v>9993</v>
      </c>
      <c r="AE211" s="29">
        <v>10005</v>
      </c>
      <c r="AF211" s="29">
        <v>10008</v>
      </c>
      <c r="AG211" s="29">
        <v>10016</v>
      </c>
      <c r="AH211" s="29">
        <v>10020</v>
      </c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</row>
    <row r="212" spans="1:50" s="93" customFormat="1">
      <c r="A212" s="34"/>
      <c r="B212" s="30" t="s">
        <v>182</v>
      </c>
      <c r="C212" s="29"/>
      <c r="D212" s="29"/>
      <c r="E212" s="29"/>
      <c r="F212" s="29">
        <v>145</v>
      </c>
      <c r="G212" s="65">
        <v>145</v>
      </c>
      <c r="H212" s="29">
        <v>145</v>
      </c>
      <c r="I212" s="29">
        <v>145</v>
      </c>
      <c r="J212" s="29">
        <v>145</v>
      </c>
      <c r="K212" s="122">
        <v>145</v>
      </c>
      <c r="L212" s="29">
        <v>145</v>
      </c>
      <c r="M212" s="29">
        <v>145</v>
      </c>
      <c r="N212" s="122">
        <v>146</v>
      </c>
      <c r="O212" s="29">
        <v>146</v>
      </c>
      <c r="P212" s="29">
        <v>146</v>
      </c>
      <c r="Q212" s="122">
        <v>146</v>
      </c>
      <c r="R212" s="29">
        <v>146</v>
      </c>
      <c r="S212" s="29">
        <v>146</v>
      </c>
      <c r="T212" s="29">
        <v>146</v>
      </c>
      <c r="U212" s="29">
        <v>146</v>
      </c>
      <c r="V212" s="29">
        <v>146</v>
      </c>
      <c r="W212" s="29">
        <v>146</v>
      </c>
      <c r="X212" s="29">
        <v>146</v>
      </c>
      <c r="Y212" s="29">
        <v>146</v>
      </c>
      <c r="Z212" s="29">
        <v>146</v>
      </c>
      <c r="AA212" s="29">
        <v>146</v>
      </c>
      <c r="AB212" s="29">
        <v>146</v>
      </c>
      <c r="AC212" s="29">
        <v>146</v>
      </c>
      <c r="AD212" s="29">
        <v>146</v>
      </c>
      <c r="AE212" s="29">
        <v>146</v>
      </c>
      <c r="AF212" s="29">
        <v>146</v>
      </c>
      <c r="AG212" s="29">
        <v>147</v>
      </c>
      <c r="AH212" s="29">
        <v>147</v>
      </c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</row>
    <row r="213" spans="1:50" s="93" customFormat="1">
      <c r="A213" s="36" t="s">
        <v>9</v>
      </c>
      <c r="B213" s="30" t="s">
        <v>7</v>
      </c>
      <c r="C213" s="29"/>
      <c r="D213" s="29"/>
      <c r="E213" s="29"/>
      <c r="F213" s="29"/>
      <c r="G213" s="65"/>
      <c r="H213" s="29"/>
      <c r="I213" s="29"/>
      <c r="J213" s="29"/>
      <c r="K213" s="122"/>
      <c r="L213" s="29"/>
      <c r="M213" s="29"/>
      <c r="N213" s="122"/>
      <c r="O213" s="29"/>
      <c r="P213" s="29"/>
      <c r="Q213" s="122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</row>
    <row r="214" spans="1:50" s="93" customFormat="1">
      <c r="A214" s="28">
        <f>AVERAGE(C217:AO217)*30*1000</f>
        <v>109285.71428571428</v>
      </c>
      <c r="B214" s="30" t="s">
        <v>8</v>
      </c>
      <c r="C214" s="29"/>
      <c r="D214" s="29"/>
      <c r="E214" s="29"/>
      <c r="F214" s="29"/>
      <c r="G214" s="65"/>
      <c r="H214" s="29"/>
      <c r="I214" s="29"/>
      <c r="J214" s="29"/>
      <c r="K214" s="122"/>
      <c r="L214" s="29"/>
      <c r="M214" s="29"/>
      <c r="N214" s="122"/>
      <c r="O214" s="29"/>
      <c r="P214" s="29"/>
      <c r="Q214" s="122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</row>
    <row r="215" spans="1:50" s="94" customFormat="1">
      <c r="A215" s="34"/>
      <c r="B215" s="33" t="s">
        <v>164</v>
      </c>
      <c r="C215" s="32"/>
      <c r="D215" s="32"/>
      <c r="E215" s="32"/>
      <c r="F215" s="32"/>
      <c r="G215" s="63"/>
      <c r="H215" s="32"/>
      <c r="I215" s="32"/>
      <c r="J215" s="32"/>
      <c r="K215" s="123"/>
      <c r="L215" s="32"/>
      <c r="M215" s="32"/>
      <c r="N215" s="123"/>
      <c r="O215" s="32"/>
      <c r="P215" s="32"/>
      <c r="Q215" s="123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</row>
    <row r="216" spans="1:50" s="93" customFormat="1">
      <c r="A216" s="31"/>
      <c r="B216" s="30" t="s">
        <v>165</v>
      </c>
      <c r="C216" s="29"/>
      <c r="D216" s="29"/>
      <c r="E216" s="29"/>
      <c r="F216" s="29"/>
      <c r="G216" s="65"/>
      <c r="H216" s="29"/>
      <c r="I216" s="29"/>
      <c r="J216" s="29"/>
      <c r="K216" s="122"/>
      <c r="L216" s="29"/>
      <c r="M216" s="29"/>
      <c r="N216" s="122"/>
      <c r="O216" s="29"/>
      <c r="P216" s="29"/>
      <c r="Q216" s="122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</row>
    <row r="217" spans="1:50" s="93" customFormat="1">
      <c r="A217" s="28">
        <f>SUM(C217:AO217)</f>
        <v>102</v>
      </c>
      <c r="B217" s="55" t="s">
        <v>166</v>
      </c>
      <c r="C217" s="54"/>
      <c r="D217" s="54"/>
      <c r="E217" s="54"/>
      <c r="F217" s="54"/>
      <c r="G217" s="65">
        <f t="shared" ref="G217:AO217" si="482">IF(G210="","",G210-F210)</f>
        <v>0</v>
      </c>
      <c r="H217" s="54">
        <f t="shared" si="482"/>
        <v>0</v>
      </c>
      <c r="I217" s="54">
        <f t="shared" si="482"/>
        <v>0</v>
      </c>
      <c r="J217" s="54">
        <f t="shared" si="482"/>
        <v>9</v>
      </c>
      <c r="K217" s="122">
        <f t="shared" si="482"/>
        <v>4</v>
      </c>
      <c r="L217" s="54">
        <f t="shared" si="482"/>
        <v>8</v>
      </c>
      <c r="M217" s="54">
        <f t="shared" si="482"/>
        <v>4</v>
      </c>
      <c r="N217" s="122">
        <f t="shared" si="482"/>
        <v>2</v>
      </c>
      <c r="O217" s="54">
        <f t="shared" si="482"/>
        <v>2</v>
      </c>
      <c r="P217" s="54">
        <f t="shared" si="482"/>
        <v>13</v>
      </c>
      <c r="Q217" s="122">
        <f t="shared" si="482"/>
        <v>0</v>
      </c>
      <c r="R217" s="54">
        <f t="shared" si="482"/>
        <v>10</v>
      </c>
      <c r="S217" s="54">
        <f t="shared" si="482"/>
        <v>3</v>
      </c>
      <c r="T217" s="54">
        <f t="shared" si="482"/>
        <v>0</v>
      </c>
      <c r="U217" s="54">
        <f t="shared" si="482"/>
        <v>0</v>
      </c>
      <c r="V217" s="54">
        <f t="shared" si="482"/>
        <v>0</v>
      </c>
      <c r="W217" s="54">
        <f t="shared" si="482"/>
        <v>9</v>
      </c>
      <c r="X217" s="54">
        <f t="shared" si="482"/>
        <v>0</v>
      </c>
      <c r="Y217" s="54">
        <f t="shared" si="482"/>
        <v>8</v>
      </c>
      <c r="Z217" s="54">
        <f t="shared" ref="Z217:AB219" si="483">IF(Z210="","",Z210-Y210)</f>
        <v>3</v>
      </c>
      <c r="AA217" s="54">
        <f t="shared" si="483"/>
        <v>0</v>
      </c>
      <c r="AB217" s="54">
        <f t="shared" si="483"/>
        <v>0</v>
      </c>
      <c r="AC217" s="54">
        <f t="shared" si="482"/>
        <v>0</v>
      </c>
      <c r="AD217" s="54">
        <f t="shared" si="482"/>
        <v>0</v>
      </c>
      <c r="AE217" s="54">
        <f t="shared" si="482"/>
        <v>12</v>
      </c>
      <c r="AF217" s="54">
        <f t="shared" si="482"/>
        <v>3</v>
      </c>
      <c r="AG217" s="54">
        <f t="shared" si="482"/>
        <v>8</v>
      </c>
      <c r="AH217" s="54">
        <f t="shared" si="482"/>
        <v>4</v>
      </c>
      <c r="AI217" s="54" t="str">
        <f t="shared" si="482"/>
        <v/>
      </c>
      <c r="AJ217" s="54" t="str">
        <f t="shared" si="482"/>
        <v/>
      </c>
      <c r="AK217" s="54" t="str">
        <f t="shared" si="482"/>
        <v/>
      </c>
      <c r="AL217" s="54" t="str">
        <f t="shared" si="482"/>
        <v/>
      </c>
      <c r="AM217" s="54" t="str">
        <f t="shared" si="482"/>
        <v/>
      </c>
      <c r="AN217" s="54" t="str">
        <f t="shared" si="482"/>
        <v/>
      </c>
      <c r="AO217" s="54" t="str">
        <f t="shared" si="482"/>
        <v/>
      </c>
      <c r="AP217" s="54" t="str">
        <f t="shared" ref="AP217:AP219" si="484">IF(AP210="","",AP210-AO210)</f>
        <v/>
      </c>
      <c r="AQ217" s="54" t="str">
        <f t="shared" ref="AQ217:AX217" si="485">IF(AQ210="","",AQ210-AP210)</f>
        <v/>
      </c>
      <c r="AR217" s="54" t="str">
        <f t="shared" si="485"/>
        <v/>
      </c>
      <c r="AS217" s="54" t="str">
        <f t="shared" si="485"/>
        <v/>
      </c>
      <c r="AT217" s="54" t="str">
        <f t="shared" si="485"/>
        <v/>
      </c>
      <c r="AU217" s="54" t="str">
        <f t="shared" si="485"/>
        <v/>
      </c>
      <c r="AV217" s="54" t="str">
        <f t="shared" si="485"/>
        <v/>
      </c>
      <c r="AW217" s="54" t="str">
        <f t="shared" si="485"/>
        <v/>
      </c>
      <c r="AX217" s="54" t="str">
        <f t="shared" si="485"/>
        <v/>
      </c>
    </row>
    <row r="218" spans="1:50" s="93" customFormat="1">
      <c r="A218" s="28">
        <f>SUM(C218:AO218)</f>
        <v>102</v>
      </c>
      <c r="B218" s="55" t="s">
        <v>167</v>
      </c>
      <c r="C218" s="54"/>
      <c r="D218" s="54"/>
      <c r="E218" s="54"/>
      <c r="F218" s="54"/>
      <c r="G218" s="65">
        <f t="shared" ref="G218:AO218" si="486">IF(G211="","",G211-F211)</f>
        <v>0</v>
      </c>
      <c r="H218" s="54">
        <f t="shared" si="486"/>
        <v>0</v>
      </c>
      <c r="I218" s="54">
        <f t="shared" si="486"/>
        <v>0</v>
      </c>
      <c r="J218" s="54">
        <f t="shared" si="486"/>
        <v>9</v>
      </c>
      <c r="K218" s="122">
        <f t="shared" si="486"/>
        <v>4</v>
      </c>
      <c r="L218" s="54">
        <f t="shared" si="486"/>
        <v>8</v>
      </c>
      <c r="M218" s="54">
        <f t="shared" si="486"/>
        <v>4</v>
      </c>
      <c r="N218" s="122">
        <f t="shared" si="486"/>
        <v>2</v>
      </c>
      <c r="O218" s="54">
        <f t="shared" si="486"/>
        <v>2</v>
      </c>
      <c r="P218" s="54">
        <f t="shared" si="486"/>
        <v>13</v>
      </c>
      <c r="Q218" s="122">
        <f t="shared" si="486"/>
        <v>0</v>
      </c>
      <c r="R218" s="54">
        <f t="shared" si="486"/>
        <v>10</v>
      </c>
      <c r="S218" s="54">
        <f t="shared" si="486"/>
        <v>3</v>
      </c>
      <c r="T218" s="54">
        <f t="shared" si="486"/>
        <v>0</v>
      </c>
      <c r="U218" s="54">
        <f t="shared" si="486"/>
        <v>0</v>
      </c>
      <c r="V218" s="54">
        <f t="shared" si="486"/>
        <v>0</v>
      </c>
      <c r="W218" s="54">
        <f t="shared" si="486"/>
        <v>9</v>
      </c>
      <c r="X218" s="54">
        <f t="shared" si="486"/>
        <v>0</v>
      </c>
      <c r="Y218" s="54">
        <f t="shared" si="486"/>
        <v>8</v>
      </c>
      <c r="Z218" s="54">
        <f t="shared" si="483"/>
        <v>3</v>
      </c>
      <c r="AA218" s="54">
        <f t="shared" si="483"/>
        <v>0</v>
      </c>
      <c r="AB218" s="54">
        <f t="shared" si="483"/>
        <v>0</v>
      </c>
      <c r="AC218" s="54">
        <f t="shared" si="486"/>
        <v>0</v>
      </c>
      <c r="AD218" s="54">
        <f t="shared" si="486"/>
        <v>0</v>
      </c>
      <c r="AE218" s="54">
        <f t="shared" si="486"/>
        <v>12</v>
      </c>
      <c r="AF218" s="54">
        <f t="shared" si="486"/>
        <v>3</v>
      </c>
      <c r="AG218" s="54">
        <f t="shared" si="486"/>
        <v>8</v>
      </c>
      <c r="AH218" s="54">
        <f t="shared" si="486"/>
        <v>4</v>
      </c>
      <c r="AI218" s="54" t="str">
        <f t="shared" si="486"/>
        <v/>
      </c>
      <c r="AJ218" s="54" t="str">
        <f t="shared" si="486"/>
        <v/>
      </c>
      <c r="AK218" s="54" t="str">
        <f t="shared" si="486"/>
        <v/>
      </c>
      <c r="AL218" s="54" t="str">
        <f t="shared" si="486"/>
        <v/>
      </c>
      <c r="AM218" s="54" t="str">
        <f t="shared" si="486"/>
        <v/>
      </c>
      <c r="AN218" s="54" t="str">
        <f t="shared" si="486"/>
        <v/>
      </c>
      <c r="AO218" s="54" t="str">
        <f t="shared" si="486"/>
        <v/>
      </c>
      <c r="AP218" s="54" t="str">
        <f t="shared" si="484"/>
        <v/>
      </c>
      <c r="AQ218" s="54" t="str">
        <f t="shared" ref="AQ218:AX218" si="487">IF(AQ211="","",AQ211-AP211)</f>
        <v/>
      </c>
      <c r="AR218" s="54" t="str">
        <f t="shared" si="487"/>
        <v/>
      </c>
      <c r="AS218" s="54" t="str">
        <f t="shared" si="487"/>
        <v/>
      </c>
      <c r="AT218" s="54" t="str">
        <f t="shared" si="487"/>
        <v/>
      </c>
      <c r="AU218" s="54" t="str">
        <f t="shared" si="487"/>
        <v/>
      </c>
      <c r="AV218" s="54" t="str">
        <f t="shared" si="487"/>
        <v/>
      </c>
      <c r="AW218" s="54" t="str">
        <f t="shared" si="487"/>
        <v/>
      </c>
      <c r="AX218" s="54" t="str">
        <f t="shared" si="487"/>
        <v/>
      </c>
    </row>
    <row r="219" spans="1:50" s="93" customFormat="1">
      <c r="A219" s="28">
        <f>SUM(C219:AO219)</f>
        <v>2</v>
      </c>
      <c r="B219" s="55" t="s">
        <v>179</v>
      </c>
      <c r="C219" s="54"/>
      <c r="D219" s="54"/>
      <c r="E219" s="54"/>
      <c r="F219" s="54"/>
      <c r="G219" s="65">
        <f t="shared" ref="G219:AO219" si="488">IF(G212="","",G212-F212)</f>
        <v>0</v>
      </c>
      <c r="H219" s="54">
        <f t="shared" si="488"/>
        <v>0</v>
      </c>
      <c r="I219" s="54">
        <f t="shared" si="488"/>
        <v>0</v>
      </c>
      <c r="J219" s="54">
        <f t="shared" si="488"/>
        <v>0</v>
      </c>
      <c r="K219" s="122">
        <f t="shared" si="488"/>
        <v>0</v>
      </c>
      <c r="L219" s="54">
        <f t="shared" si="488"/>
        <v>0</v>
      </c>
      <c r="M219" s="54">
        <f t="shared" si="488"/>
        <v>0</v>
      </c>
      <c r="N219" s="122">
        <f t="shared" si="488"/>
        <v>1</v>
      </c>
      <c r="O219" s="54">
        <f t="shared" si="488"/>
        <v>0</v>
      </c>
      <c r="P219" s="54">
        <f t="shared" si="488"/>
        <v>0</v>
      </c>
      <c r="Q219" s="122">
        <f t="shared" si="488"/>
        <v>0</v>
      </c>
      <c r="R219" s="54">
        <f t="shared" si="488"/>
        <v>0</v>
      </c>
      <c r="S219" s="54">
        <f t="shared" si="488"/>
        <v>0</v>
      </c>
      <c r="T219" s="54">
        <f t="shared" si="488"/>
        <v>0</v>
      </c>
      <c r="U219" s="54">
        <f t="shared" si="488"/>
        <v>0</v>
      </c>
      <c r="V219" s="54">
        <f t="shared" si="488"/>
        <v>0</v>
      </c>
      <c r="W219" s="54">
        <f t="shared" si="488"/>
        <v>0</v>
      </c>
      <c r="X219" s="54">
        <f t="shared" si="488"/>
        <v>0</v>
      </c>
      <c r="Y219" s="54">
        <f t="shared" si="488"/>
        <v>0</v>
      </c>
      <c r="Z219" s="54">
        <f t="shared" si="483"/>
        <v>0</v>
      </c>
      <c r="AA219" s="54">
        <f t="shared" si="483"/>
        <v>0</v>
      </c>
      <c r="AB219" s="54">
        <f t="shared" si="483"/>
        <v>0</v>
      </c>
      <c r="AC219" s="54">
        <f t="shared" si="488"/>
        <v>0</v>
      </c>
      <c r="AD219" s="54">
        <f t="shared" si="488"/>
        <v>0</v>
      </c>
      <c r="AE219" s="54">
        <f t="shared" si="488"/>
        <v>0</v>
      </c>
      <c r="AF219" s="54">
        <f t="shared" si="488"/>
        <v>0</v>
      </c>
      <c r="AG219" s="54">
        <f t="shared" si="488"/>
        <v>1</v>
      </c>
      <c r="AH219" s="54">
        <f t="shared" si="488"/>
        <v>0</v>
      </c>
      <c r="AI219" s="54" t="str">
        <f t="shared" si="488"/>
        <v/>
      </c>
      <c r="AJ219" s="54" t="str">
        <f t="shared" si="488"/>
        <v/>
      </c>
      <c r="AK219" s="54" t="str">
        <f t="shared" si="488"/>
        <v/>
      </c>
      <c r="AL219" s="54" t="str">
        <f t="shared" si="488"/>
        <v/>
      </c>
      <c r="AM219" s="54" t="str">
        <f t="shared" si="488"/>
        <v/>
      </c>
      <c r="AN219" s="54" t="str">
        <f t="shared" si="488"/>
        <v/>
      </c>
      <c r="AO219" s="54" t="str">
        <f t="shared" si="488"/>
        <v/>
      </c>
      <c r="AP219" s="54" t="str">
        <f t="shared" si="484"/>
        <v/>
      </c>
      <c r="AQ219" s="54" t="str">
        <f t="shared" ref="AQ219:AX219" si="489">IF(AQ212="","",AQ212-AP212)</f>
        <v/>
      </c>
      <c r="AR219" s="54" t="str">
        <f t="shared" si="489"/>
        <v/>
      </c>
      <c r="AS219" s="54" t="str">
        <f t="shared" si="489"/>
        <v/>
      </c>
      <c r="AT219" s="54" t="str">
        <f t="shared" si="489"/>
        <v/>
      </c>
      <c r="AU219" s="54" t="str">
        <f t="shared" si="489"/>
        <v/>
      </c>
      <c r="AV219" s="54" t="str">
        <f t="shared" si="489"/>
        <v/>
      </c>
      <c r="AW219" s="54" t="str">
        <f t="shared" si="489"/>
        <v/>
      </c>
      <c r="AX219" s="54" t="str">
        <f t="shared" si="489"/>
        <v/>
      </c>
    </row>
    <row r="220" spans="1:50" s="93" customFormat="1">
      <c r="A220" s="28">
        <f>SUM(C220:AO220)</f>
        <v>0</v>
      </c>
      <c r="B220" s="55" t="s">
        <v>18</v>
      </c>
      <c r="C220" s="54"/>
      <c r="D220" s="54"/>
      <c r="E220" s="54"/>
      <c r="F220" s="54"/>
      <c r="G220" s="65" t="str">
        <f t="shared" ref="G220:AO220" si="490">IF(G214="","",G219*G214)</f>
        <v/>
      </c>
      <c r="H220" s="54" t="str">
        <f t="shared" si="490"/>
        <v/>
      </c>
      <c r="I220" s="54" t="str">
        <f t="shared" si="490"/>
        <v/>
      </c>
      <c r="J220" s="54" t="str">
        <f t="shared" si="490"/>
        <v/>
      </c>
      <c r="K220" s="122" t="str">
        <f t="shared" si="490"/>
        <v/>
      </c>
      <c r="L220" s="54" t="str">
        <f t="shared" si="490"/>
        <v/>
      </c>
      <c r="M220" s="54" t="str">
        <f t="shared" si="490"/>
        <v/>
      </c>
      <c r="N220" s="122" t="str">
        <f t="shared" si="490"/>
        <v/>
      </c>
      <c r="O220" s="54" t="str">
        <f t="shared" si="490"/>
        <v/>
      </c>
      <c r="P220" s="54" t="str">
        <f t="shared" si="490"/>
        <v/>
      </c>
      <c r="Q220" s="122" t="str">
        <f t="shared" si="490"/>
        <v/>
      </c>
      <c r="R220" s="54" t="str">
        <f t="shared" si="490"/>
        <v/>
      </c>
      <c r="S220" s="54" t="str">
        <f t="shared" si="490"/>
        <v/>
      </c>
      <c r="T220" s="54" t="str">
        <f t="shared" si="490"/>
        <v/>
      </c>
      <c r="U220" s="54" t="str">
        <f t="shared" si="490"/>
        <v/>
      </c>
      <c r="V220" s="54" t="str">
        <f t="shared" si="490"/>
        <v/>
      </c>
      <c r="W220" s="54" t="str">
        <f t="shared" si="490"/>
        <v/>
      </c>
      <c r="X220" s="54" t="str">
        <f t="shared" ref="X220" si="491">IF(X214="","",X219*X214)</f>
        <v/>
      </c>
      <c r="Y220" s="54" t="str">
        <f t="shared" si="490"/>
        <v/>
      </c>
      <c r="Z220" s="54" t="str">
        <f>IF(Z214="","",Z219*Z214)</f>
        <v/>
      </c>
      <c r="AA220" s="54" t="str">
        <f>IF(AA214="","",AA219*AA214)</f>
        <v/>
      </c>
      <c r="AB220" s="54" t="str">
        <f>IF(AB214="","",AB219*AB214)</f>
        <v/>
      </c>
      <c r="AC220" s="54" t="str">
        <f t="shared" si="490"/>
        <v/>
      </c>
      <c r="AD220" s="54" t="str">
        <f t="shared" si="490"/>
        <v/>
      </c>
      <c r="AE220" s="54" t="str">
        <f t="shared" si="490"/>
        <v/>
      </c>
      <c r="AF220" s="54" t="str">
        <f t="shared" si="490"/>
        <v/>
      </c>
      <c r="AG220" s="54" t="str">
        <f t="shared" si="490"/>
        <v/>
      </c>
      <c r="AH220" s="54" t="str">
        <f t="shared" si="490"/>
        <v/>
      </c>
      <c r="AI220" s="54" t="str">
        <f t="shared" si="490"/>
        <v/>
      </c>
      <c r="AJ220" s="54" t="str">
        <f t="shared" si="490"/>
        <v/>
      </c>
      <c r="AK220" s="54" t="str">
        <f t="shared" si="490"/>
        <v/>
      </c>
      <c r="AL220" s="54" t="str">
        <f t="shared" si="490"/>
        <v/>
      </c>
      <c r="AM220" s="54" t="str">
        <f t="shared" si="490"/>
        <v/>
      </c>
      <c r="AN220" s="54" t="str">
        <f t="shared" si="490"/>
        <v/>
      </c>
      <c r="AO220" s="54" t="str">
        <f t="shared" si="490"/>
        <v/>
      </c>
      <c r="AP220" s="54" t="str">
        <f t="shared" ref="AP220" si="492">IF(AP214="","",AP219*AP214)</f>
        <v/>
      </c>
      <c r="AQ220" s="54" t="str">
        <f t="shared" ref="AQ220:AX220" si="493">IF(AQ214="","",AQ219*AQ214)</f>
        <v/>
      </c>
      <c r="AR220" s="54" t="str">
        <f t="shared" si="493"/>
        <v/>
      </c>
      <c r="AS220" s="54" t="str">
        <f t="shared" si="493"/>
        <v/>
      </c>
      <c r="AT220" s="54" t="str">
        <f t="shared" si="493"/>
        <v/>
      </c>
      <c r="AU220" s="54" t="str">
        <f t="shared" si="493"/>
        <v/>
      </c>
      <c r="AV220" s="54" t="str">
        <f t="shared" si="493"/>
        <v/>
      </c>
      <c r="AW220" s="54" t="str">
        <f t="shared" si="493"/>
        <v/>
      </c>
      <c r="AX220" s="54" t="str">
        <f t="shared" si="493"/>
        <v/>
      </c>
    </row>
    <row r="221" spans="1:50" s="93" customFormat="1" ht="12" thickBot="1">
      <c r="A221" s="25">
        <f>IF(A220="","",A220/(A217*100))</f>
        <v>0</v>
      </c>
      <c r="B221" s="53" t="s">
        <v>20</v>
      </c>
      <c r="C221" s="52"/>
      <c r="D221" s="52"/>
      <c r="E221" s="52"/>
      <c r="F221" s="52" t="str">
        <f t="shared" ref="F221:AO221" si="494">IF(F220="","",F220/(F217*100))</f>
        <v/>
      </c>
      <c r="G221" s="67" t="str">
        <f t="shared" si="494"/>
        <v/>
      </c>
      <c r="H221" s="52" t="str">
        <f t="shared" si="494"/>
        <v/>
      </c>
      <c r="I221" s="52" t="str">
        <f t="shared" si="494"/>
        <v/>
      </c>
      <c r="J221" s="52" t="str">
        <f t="shared" si="494"/>
        <v/>
      </c>
      <c r="K221" s="124" t="str">
        <f t="shared" si="494"/>
        <v/>
      </c>
      <c r="L221" s="52" t="str">
        <f t="shared" si="494"/>
        <v/>
      </c>
      <c r="M221" s="52" t="str">
        <f t="shared" si="494"/>
        <v/>
      </c>
      <c r="N221" s="124" t="str">
        <f t="shared" si="494"/>
        <v/>
      </c>
      <c r="O221" s="52" t="str">
        <f t="shared" si="494"/>
        <v/>
      </c>
      <c r="P221" s="52" t="str">
        <f t="shared" si="494"/>
        <v/>
      </c>
      <c r="Q221" s="124" t="str">
        <f t="shared" si="494"/>
        <v/>
      </c>
      <c r="R221" s="52" t="str">
        <f t="shared" si="494"/>
        <v/>
      </c>
      <c r="S221" s="52" t="str">
        <f t="shared" si="494"/>
        <v/>
      </c>
      <c r="T221" s="52" t="str">
        <f t="shared" si="494"/>
        <v/>
      </c>
      <c r="U221" s="52" t="str">
        <f t="shared" si="494"/>
        <v/>
      </c>
      <c r="V221" s="52" t="str">
        <f t="shared" si="494"/>
        <v/>
      </c>
      <c r="W221" s="52" t="str">
        <f t="shared" si="494"/>
        <v/>
      </c>
      <c r="X221" s="52" t="str">
        <f t="shared" ref="X221" si="495">IF(X220="","",X220/(X217*100))</f>
        <v/>
      </c>
      <c r="Y221" s="52" t="str">
        <f t="shared" si="494"/>
        <v/>
      </c>
      <c r="Z221" s="52" t="str">
        <f>IF(Z220="","",Z220/(Z217*100))</f>
        <v/>
      </c>
      <c r="AA221" s="52" t="str">
        <f>IF(AA220="","",AA220/(AA217*100))</f>
        <v/>
      </c>
      <c r="AB221" s="52" t="str">
        <f>IF(AB220="","",AB220/(AB217*100))</f>
        <v/>
      </c>
      <c r="AC221" s="52" t="str">
        <f t="shared" si="494"/>
        <v/>
      </c>
      <c r="AD221" s="52" t="str">
        <f t="shared" si="494"/>
        <v/>
      </c>
      <c r="AE221" s="52" t="str">
        <f t="shared" si="494"/>
        <v/>
      </c>
      <c r="AF221" s="52" t="str">
        <f t="shared" si="494"/>
        <v/>
      </c>
      <c r="AG221" s="52" t="str">
        <f t="shared" si="494"/>
        <v/>
      </c>
      <c r="AH221" s="52" t="str">
        <f t="shared" si="494"/>
        <v/>
      </c>
      <c r="AI221" s="52" t="str">
        <f t="shared" si="494"/>
        <v/>
      </c>
      <c r="AJ221" s="52" t="str">
        <f t="shared" si="494"/>
        <v/>
      </c>
      <c r="AK221" s="52" t="str">
        <f t="shared" si="494"/>
        <v/>
      </c>
      <c r="AL221" s="52" t="str">
        <f t="shared" si="494"/>
        <v/>
      </c>
      <c r="AM221" s="52" t="str">
        <f t="shared" si="494"/>
        <v/>
      </c>
      <c r="AN221" s="52" t="str">
        <f t="shared" si="494"/>
        <v/>
      </c>
      <c r="AO221" s="52" t="str">
        <f t="shared" si="494"/>
        <v/>
      </c>
      <c r="AP221" s="52" t="str">
        <f t="shared" ref="AP221" si="496">IF(AP220="","",AP220/(AP217*100))</f>
        <v/>
      </c>
      <c r="AQ221" s="52" t="str">
        <f t="shared" ref="AQ221:AX221" si="497">IF(AQ220="","",AQ220/(AQ217*100))</f>
        <v/>
      </c>
      <c r="AR221" s="52" t="str">
        <f t="shared" si="497"/>
        <v/>
      </c>
      <c r="AS221" s="52" t="str">
        <f t="shared" si="497"/>
        <v/>
      </c>
      <c r="AT221" s="52" t="str">
        <f t="shared" si="497"/>
        <v/>
      </c>
      <c r="AU221" s="52" t="str">
        <f t="shared" si="497"/>
        <v/>
      </c>
      <c r="AV221" s="52" t="str">
        <f t="shared" si="497"/>
        <v/>
      </c>
      <c r="AW221" s="52" t="str">
        <f t="shared" si="497"/>
        <v/>
      </c>
      <c r="AX221" s="52" t="str">
        <f t="shared" si="497"/>
        <v/>
      </c>
    </row>
  </sheetData>
  <phoneticPr fontId="2"/>
  <pageMargins left="0.7" right="0.7" top="0.75" bottom="0.75" header="0.3" footer="0.3"/>
  <pageSetup paperSize="300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44E3-B3F5-40BC-B718-6A33CC42056B}">
  <dimension ref="A1:AW402"/>
  <sheetViews>
    <sheetView workbookViewId="0">
      <pane xSplit="2" ySplit="2" topLeftCell="X366" activePane="bottomRight" state="frozen"/>
      <selection pane="topRight" activeCell="O1" sqref="O1"/>
      <selection pane="bottomLeft" activeCell="A161" sqref="A161"/>
      <selection pane="bottomRight" activeCell="AD390" sqref="AD390"/>
    </sheetView>
  </sheetViews>
  <sheetFormatPr baseColWidth="10" defaultColWidth="9.1640625" defaultRowHeight="11"/>
  <cols>
    <col min="1" max="1" width="10.1640625" style="69" customWidth="1"/>
    <col min="2" max="2" width="6.5" style="69" customWidth="1"/>
    <col min="3" max="42" width="8.6640625" style="69" customWidth="1"/>
    <col min="43" max="44" width="8.6640625" style="69" bestFit="1" customWidth="1"/>
    <col min="45" max="48" width="9.1640625" style="69"/>
    <col min="49" max="49" width="9.1640625" style="111" bestFit="1" customWidth="1"/>
    <col min="50" max="16384" width="9.1640625" style="69"/>
  </cols>
  <sheetData>
    <row r="1" spans="1:44" s="1" customFormat="1">
      <c r="A1" s="50">
        <f>SUM(A9,A21,A33,A45,A57,A69,A81,A93,A105,A117,A129,A141,A153,A165,A177,A189,A201,A213,A225,A237,A249,A261,A273+A381+A393,A285,A297,A309,A321,A333,A345,A357,A369)</f>
        <v>1938107.1428571427</v>
      </c>
      <c r="B1" s="49" t="s">
        <v>0</v>
      </c>
      <c r="C1" s="48">
        <v>46070</v>
      </c>
      <c r="D1" s="48">
        <f t="shared" ref="D1:AO1" si="0">C1+1</f>
        <v>46071</v>
      </c>
      <c r="E1" s="48">
        <f t="shared" si="0"/>
        <v>46072</v>
      </c>
      <c r="F1" s="48">
        <f t="shared" si="0"/>
        <v>46073</v>
      </c>
      <c r="G1" s="48">
        <f t="shared" si="0"/>
        <v>46074</v>
      </c>
      <c r="H1" s="48">
        <f t="shared" si="0"/>
        <v>46075</v>
      </c>
      <c r="I1" s="48">
        <f t="shared" si="0"/>
        <v>46076</v>
      </c>
      <c r="J1" s="48">
        <f t="shared" si="0"/>
        <v>46077</v>
      </c>
      <c r="K1" s="48">
        <f t="shared" si="0"/>
        <v>46078</v>
      </c>
      <c r="L1" s="48">
        <f t="shared" si="0"/>
        <v>46079</v>
      </c>
      <c r="M1" s="48">
        <f t="shared" si="0"/>
        <v>46080</v>
      </c>
      <c r="N1" s="48">
        <f t="shared" si="0"/>
        <v>46081</v>
      </c>
      <c r="O1" s="48">
        <f t="shared" si="0"/>
        <v>46082</v>
      </c>
      <c r="P1" s="48">
        <f t="shared" si="0"/>
        <v>46083</v>
      </c>
      <c r="Q1" s="48">
        <f t="shared" si="0"/>
        <v>46084</v>
      </c>
      <c r="R1" s="48">
        <f t="shared" si="0"/>
        <v>46085</v>
      </c>
      <c r="S1" s="48">
        <f t="shared" si="0"/>
        <v>46086</v>
      </c>
      <c r="T1" s="48">
        <f t="shared" si="0"/>
        <v>46087</v>
      </c>
      <c r="U1" s="48">
        <f t="shared" si="0"/>
        <v>46088</v>
      </c>
      <c r="V1" s="48">
        <f>U1+1</f>
        <v>46089</v>
      </c>
      <c r="W1" s="48">
        <f t="shared" si="0"/>
        <v>46090</v>
      </c>
      <c r="X1" s="48">
        <f t="shared" si="0"/>
        <v>46091</v>
      </c>
      <c r="Y1" s="48">
        <f t="shared" si="0"/>
        <v>46092</v>
      </c>
      <c r="Z1" s="48">
        <f t="shared" si="0"/>
        <v>46093</v>
      </c>
      <c r="AA1" s="48">
        <f t="shared" si="0"/>
        <v>46094</v>
      </c>
      <c r="AB1" s="48">
        <f t="shared" si="0"/>
        <v>46095</v>
      </c>
      <c r="AC1" s="48">
        <f t="shared" si="0"/>
        <v>46096</v>
      </c>
      <c r="AD1" s="48">
        <f t="shared" si="0"/>
        <v>46097</v>
      </c>
      <c r="AE1" s="48">
        <f t="shared" si="0"/>
        <v>46098</v>
      </c>
      <c r="AF1" s="48">
        <f t="shared" si="0"/>
        <v>46099</v>
      </c>
      <c r="AG1" s="48">
        <f t="shared" si="0"/>
        <v>46100</v>
      </c>
      <c r="AH1" s="48">
        <f t="shared" si="0"/>
        <v>46101</v>
      </c>
      <c r="AI1" s="48">
        <f t="shared" si="0"/>
        <v>46102</v>
      </c>
      <c r="AJ1" s="48">
        <f t="shared" si="0"/>
        <v>46103</v>
      </c>
      <c r="AK1" s="48">
        <f t="shared" si="0"/>
        <v>46104</v>
      </c>
      <c r="AL1" s="48">
        <f t="shared" si="0"/>
        <v>46105</v>
      </c>
      <c r="AM1" s="48">
        <f t="shared" si="0"/>
        <v>46106</v>
      </c>
      <c r="AN1" s="48">
        <f t="shared" si="0"/>
        <v>46107</v>
      </c>
      <c r="AO1" s="48">
        <f t="shared" si="0"/>
        <v>46108</v>
      </c>
      <c r="AP1" s="48">
        <f t="shared" ref="AP1:AR1" si="1">AO1+1</f>
        <v>46109</v>
      </c>
      <c r="AQ1" s="48">
        <f t="shared" si="1"/>
        <v>46110</v>
      </c>
      <c r="AR1" s="48">
        <f t="shared" si="1"/>
        <v>46111</v>
      </c>
    </row>
    <row r="2" spans="1:44" s="1" customFormat="1" ht="12" thickBot="1">
      <c r="A2" s="47"/>
      <c r="B2" s="46">
        <f>SUM(C2:AO2)</f>
        <v>18089</v>
      </c>
      <c r="C2" s="112">
        <v>0</v>
      </c>
      <c r="D2" s="125">
        <f t="shared" ref="D2:AO2" si="2">SUM(D10,D22,D34,D46,D58,D70,D82,D94,D106,D118,D130,D142,D154,D166,D178,D190,D202,D214,D226,D238,D250,D262,D274,D286,D298,D310,D322,D334,D346,D358,D370,D382,D394)</f>
        <v>0</v>
      </c>
      <c r="E2" s="125">
        <f t="shared" si="2"/>
        <v>0</v>
      </c>
      <c r="F2" s="125">
        <f t="shared" si="2"/>
        <v>2181</v>
      </c>
      <c r="G2" s="125">
        <f t="shared" si="2"/>
        <v>0</v>
      </c>
      <c r="H2" s="125">
        <f t="shared" si="2"/>
        <v>0</v>
      </c>
      <c r="I2" s="125">
        <f t="shared" si="2"/>
        <v>2653</v>
      </c>
      <c r="J2" s="125">
        <f t="shared" si="2"/>
        <v>0</v>
      </c>
      <c r="K2" s="125">
        <f t="shared" si="2"/>
        <v>0</v>
      </c>
      <c r="L2" s="125">
        <f t="shared" si="2"/>
        <v>828</v>
      </c>
      <c r="M2" s="125">
        <f t="shared" si="2"/>
        <v>0</v>
      </c>
      <c r="N2" s="125">
        <f t="shared" si="2"/>
        <v>0</v>
      </c>
      <c r="O2" s="125">
        <f t="shared" si="2"/>
        <v>3506</v>
      </c>
      <c r="P2" s="125">
        <f t="shared" si="2"/>
        <v>0</v>
      </c>
      <c r="Q2" s="125">
        <f t="shared" si="2"/>
        <v>0</v>
      </c>
      <c r="R2" s="125">
        <f t="shared" si="2"/>
        <v>0</v>
      </c>
      <c r="S2" s="125">
        <f t="shared" si="2"/>
        <v>1671</v>
      </c>
      <c r="T2" s="125">
        <f t="shared" si="2"/>
        <v>0</v>
      </c>
      <c r="U2" s="125">
        <f t="shared" si="2"/>
        <v>0</v>
      </c>
      <c r="V2" s="125">
        <f>SUM(V10,V22,V34,V46,V58,V70,V82,V94,V106,V118,V130,V142,V154,V166,V178,V190,V202,V214,V226,V238,V250,V262,V274,V286,V298,V310,V322,V334,V346,V358,V370,V382,V394)</f>
        <v>1902</v>
      </c>
      <c r="W2" s="125">
        <f t="shared" si="2"/>
        <v>0</v>
      </c>
      <c r="X2" s="125">
        <f t="shared" si="2"/>
        <v>0</v>
      </c>
      <c r="Y2" s="125">
        <f t="shared" si="2"/>
        <v>729</v>
      </c>
      <c r="Z2" s="125">
        <f t="shared" si="2"/>
        <v>0</v>
      </c>
      <c r="AA2" s="125">
        <f t="shared" si="2"/>
        <v>2014</v>
      </c>
      <c r="AB2" s="125">
        <f t="shared" si="2"/>
        <v>0</v>
      </c>
      <c r="AC2" s="125">
        <f t="shared" si="2"/>
        <v>0</v>
      </c>
      <c r="AD2" s="125">
        <f t="shared" si="2"/>
        <v>2605</v>
      </c>
      <c r="AE2" s="125">
        <f t="shared" si="2"/>
        <v>0</v>
      </c>
      <c r="AF2" s="125">
        <f t="shared" si="2"/>
        <v>0</v>
      </c>
      <c r="AG2" s="125">
        <f t="shared" si="2"/>
        <v>0</v>
      </c>
      <c r="AH2" s="125">
        <f t="shared" si="2"/>
        <v>0</v>
      </c>
      <c r="AI2" s="125">
        <f t="shared" si="2"/>
        <v>0</v>
      </c>
      <c r="AJ2" s="125">
        <f t="shared" si="2"/>
        <v>0</v>
      </c>
      <c r="AK2" s="125">
        <f t="shared" si="2"/>
        <v>0</v>
      </c>
      <c r="AL2" s="125">
        <f t="shared" si="2"/>
        <v>0</v>
      </c>
      <c r="AM2" s="125">
        <f t="shared" si="2"/>
        <v>0</v>
      </c>
      <c r="AN2" s="125">
        <f t="shared" si="2"/>
        <v>0</v>
      </c>
      <c r="AO2" s="125">
        <f t="shared" si="2"/>
        <v>0</v>
      </c>
      <c r="AP2" s="125">
        <f t="shared" ref="AP2:AR2" si="3">SUM(AP10,AP22,AP34,AP46,AP58,AP70,AP82,AP94,AP106,AP118,AP130,AP142,AP154,AP166,AP178,AP190,AP202,AP214,AP226,AP238,AP250,AP262,AP274,AP286,AP298,AP310,AP322,AP334,AP346,AP358,AP370,AP382,AP394)</f>
        <v>0</v>
      </c>
      <c r="AQ2" s="125">
        <f t="shared" si="3"/>
        <v>0</v>
      </c>
      <c r="AR2" s="125">
        <f t="shared" si="3"/>
        <v>0</v>
      </c>
    </row>
    <row r="3" spans="1:44" s="1" customFormat="1">
      <c r="A3" s="40" t="s">
        <v>180</v>
      </c>
      <c r="B3" s="39" t="s">
        <v>2</v>
      </c>
      <c r="C3" s="66">
        <v>9801</v>
      </c>
      <c r="D3" s="38">
        <v>9801</v>
      </c>
      <c r="E3" s="38">
        <v>9801</v>
      </c>
      <c r="F3" s="38">
        <v>9817</v>
      </c>
      <c r="G3" s="121">
        <v>9817</v>
      </c>
      <c r="H3" s="38">
        <v>9817</v>
      </c>
      <c r="I3" s="38">
        <v>9824</v>
      </c>
      <c r="J3" s="38">
        <v>9824</v>
      </c>
      <c r="K3" s="38">
        <v>9824</v>
      </c>
      <c r="L3" s="38">
        <v>9830</v>
      </c>
      <c r="M3" s="38">
        <v>9830</v>
      </c>
      <c r="N3" s="38">
        <v>9830</v>
      </c>
      <c r="O3" s="38">
        <v>9858</v>
      </c>
      <c r="P3" s="38">
        <v>9858</v>
      </c>
      <c r="Q3" s="38">
        <v>9858</v>
      </c>
      <c r="R3" s="38">
        <v>9858</v>
      </c>
      <c r="S3" s="38">
        <v>9876</v>
      </c>
      <c r="T3" s="38">
        <v>9876</v>
      </c>
      <c r="U3" s="38">
        <v>9876</v>
      </c>
      <c r="V3" s="38">
        <v>9957</v>
      </c>
      <c r="W3" s="38">
        <v>9957</v>
      </c>
      <c r="X3" s="38">
        <v>9957</v>
      </c>
      <c r="Y3" s="38">
        <v>9957</v>
      </c>
      <c r="Z3" s="38">
        <v>9957</v>
      </c>
      <c r="AA3" s="38">
        <v>9972</v>
      </c>
      <c r="AB3" s="38">
        <v>9972</v>
      </c>
      <c r="AC3" s="38">
        <v>9972</v>
      </c>
      <c r="AD3" s="38">
        <v>9991</v>
      </c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</row>
    <row r="4" spans="1:44" s="1" customFormat="1">
      <c r="A4" s="37" t="s">
        <v>131</v>
      </c>
      <c r="B4" s="30" t="s">
        <v>4</v>
      </c>
      <c r="C4" s="65">
        <v>598</v>
      </c>
      <c r="D4" s="29">
        <f>IF(D$3="","",C4)</f>
        <v>598</v>
      </c>
      <c r="E4" s="29">
        <f>IF(E$3="","",D4)</f>
        <v>598</v>
      </c>
      <c r="F4" s="29">
        <f>IF(F$3="","",E4)</f>
        <v>598</v>
      </c>
      <c r="G4" s="122">
        <f>IF(G$3="","",F4)</f>
        <v>598</v>
      </c>
      <c r="H4" s="29">
        <f>IF(H$3="","",G4)</f>
        <v>598</v>
      </c>
      <c r="I4" s="29">
        <v>598</v>
      </c>
      <c r="J4" s="122">
        <f>IF(J$3="","",I4)</f>
        <v>598</v>
      </c>
      <c r="K4" s="29">
        <f>IF(K$3="","",J4)</f>
        <v>598</v>
      </c>
      <c r="L4" s="29">
        <f>IF(L$3="","",K4)</f>
        <v>598</v>
      </c>
      <c r="M4" s="29">
        <f>IF(M$3="","",L4)</f>
        <v>598</v>
      </c>
      <c r="N4" s="29">
        <f>IF(N$3="","",M4)</f>
        <v>598</v>
      </c>
      <c r="O4" s="29">
        <v>598</v>
      </c>
      <c r="P4" s="122">
        <f t="shared" ref="P4:AO4" si="4">IF(P$3="","",O4)</f>
        <v>598</v>
      </c>
      <c r="Q4" s="29">
        <f t="shared" si="4"/>
        <v>598</v>
      </c>
      <c r="R4" s="29">
        <f t="shared" si="4"/>
        <v>598</v>
      </c>
      <c r="S4" s="29">
        <v>599</v>
      </c>
      <c r="T4" s="29">
        <f t="shared" si="4"/>
        <v>599</v>
      </c>
      <c r="U4" s="29">
        <f t="shared" si="4"/>
        <v>599</v>
      </c>
      <c r="V4" s="29">
        <v>600</v>
      </c>
      <c r="W4" s="29">
        <f t="shared" si="4"/>
        <v>600</v>
      </c>
      <c r="X4" s="29">
        <f t="shared" si="4"/>
        <v>600</v>
      </c>
      <c r="Y4" s="29">
        <f t="shared" si="4"/>
        <v>600</v>
      </c>
      <c r="Z4" s="29">
        <f t="shared" si="4"/>
        <v>600</v>
      </c>
      <c r="AA4" s="29">
        <f t="shared" si="4"/>
        <v>600</v>
      </c>
      <c r="AB4" s="29">
        <f t="shared" si="4"/>
        <v>600</v>
      </c>
      <c r="AC4" s="29">
        <f t="shared" si="4"/>
        <v>600</v>
      </c>
      <c r="AD4" s="29">
        <v>600</v>
      </c>
      <c r="AE4" s="29" t="str">
        <f t="shared" si="4"/>
        <v/>
      </c>
      <c r="AF4" s="29" t="str">
        <f t="shared" si="4"/>
        <v/>
      </c>
      <c r="AG4" s="29" t="str">
        <f t="shared" si="4"/>
        <v/>
      </c>
      <c r="AH4" s="29" t="str">
        <f t="shared" si="4"/>
        <v/>
      </c>
      <c r="AI4" s="29" t="str">
        <f t="shared" si="4"/>
        <v/>
      </c>
      <c r="AJ4" s="29" t="str">
        <f t="shared" si="4"/>
        <v/>
      </c>
      <c r="AK4" s="29" t="str">
        <f t="shared" si="4"/>
        <v/>
      </c>
      <c r="AL4" s="29" t="str">
        <f t="shared" si="4"/>
        <v/>
      </c>
      <c r="AM4" s="29" t="str">
        <f t="shared" si="4"/>
        <v/>
      </c>
      <c r="AN4" s="29" t="str">
        <f t="shared" si="4"/>
        <v/>
      </c>
      <c r="AO4" s="29" t="str">
        <f t="shared" si="4"/>
        <v/>
      </c>
      <c r="AP4" s="29" t="str">
        <f t="shared" ref="AP4:AR4" si="5">IF(AP$3="","",AO4)</f>
        <v/>
      </c>
      <c r="AQ4" s="29" t="str">
        <f t="shared" si="5"/>
        <v/>
      </c>
      <c r="AR4" s="29" t="str">
        <f t="shared" si="5"/>
        <v/>
      </c>
    </row>
    <row r="5" spans="1:44" s="1" customFormat="1">
      <c r="A5" s="41">
        <v>1</v>
      </c>
      <c r="B5" s="30" t="s">
        <v>5</v>
      </c>
      <c r="C5" s="65">
        <v>4</v>
      </c>
      <c r="D5" s="29">
        <f t="shared" ref="D5:AO5" si="6">IF(D3="","",(C5+C6))</f>
        <v>4</v>
      </c>
      <c r="E5" s="29">
        <f t="shared" si="6"/>
        <v>4</v>
      </c>
      <c r="F5" s="29">
        <f t="shared" si="6"/>
        <v>4</v>
      </c>
      <c r="G5" s="122">
        <f t="shared" si="6"/>
        <v>4</v>
      </c>
      <c r="H5" s="29">
        <f t="shared" si="6"/>
        <v>4</v>
      </c>
      <c r="I5" s="29">
        <f t="shared" si="6"/>
        <v>4</v>
      </c>
      <c r="J5" s="122">
        <f t="shared" si="6"/>
        <v>4</v>
      </c>
      <c r="K5" s="29">
        <f t="shared" si="6"/>
        <v>4</v>
      </c>
      <c r="L5" s="29">
        <f t="shared" si="6"/>
        <v>4</v>
      </c>
      <c r="M5" s="29">
        <f t="shared" si="6"/>
        <v>4</v>
      </c>
      <c r="N5" s="29">
        <f t="shared" si="6"/>
        <v>4</v>
      </c>
      <c r="O5" s="29">
        <f t="shared" si="6"/>
        <v>4</v>
      </c>
      <c r="P5" s="122">
        <f t="shared" si="6"/>
        <v>4</v>
      </c>
      <c r="Q5" s="29">
        <f t="shared" si="6"/>
        <v>4</v>
      </c>
      <c r="R5" s="29">
        <f t="shared" si="6"/>
        <v>4</v>
      </c>
      <c r="S5" s="29">
        <v>3</v>
      </c>
      <c r="T5" s="29">
        <f t="shared" si="6"/>
        <v>4</v>
      </c>
      <c r="U5" s="29">
        <f t="shared" si="6"/>
        <v>4</v>
      </c>
      <c r="V5" s="29">
        <v>3</v>
      </c>
      <c r="W5" s="29">
        <f t="shared" si="6"/>
        <v>4</v>
      </c>
      <c r="X5" s="29">
        <f t="shared" si="6"/>
        <v>4</v>
      </c>
      <c r="Y5" s="29">
        <f t="shared" si="6"/>
        <v>4</v>
      </c>
      <c r="Z5" s="29">
        <f t="shared" si="6"/>
        <v>4</v>
      </c>
      <c r="AA5" s="29">
        <f t="shared" si="6"/>
        <v>4</v>
      </c>
      <c r="AB5" s="29">
        <f t="shared" si="6"/>
        <v>4</v>
      </c>
      <c r="AC5" s="29">
        <f t="shared" si="6"/>
        <v>4</v>
      </c>
      <c r="AD5" s="29">
        <v>3</v>
      </c>
      <c r="AE5" s="29" t="str">
        <f t="shared" si="6"/>
        <v/>
      </c>
      <c r="AF5" s="29" t="str">
        <f t="shared" si="6"/>
        <v/>
      </c>
      <c r="AG5" s="29" t="str">
        <f t="shared" si="6"/>
        <v/>
      </c>
      <c r="AH5" s="29" t="str">
        <f t="shared" si="6"/>
        <v/>
      </c>
      <c r="AI5" s="29" t="str">
        <f t="shared" si="6"/>
        <v/>
      </c>
      <c r="AJ5" s="29" t="str">
        <f t="shared" si="6"/>
        <v/>
      </c>
      <c r="AK5" s="29" t="str">
        <f t="shared" si="6"/>
        <v/>
      </c>
      <c r="AL5" s="29" t="str">
        <f t="shared" si="6"/>
        <v/>
      </c>
      <c r="AM5" s="29" t="str">
        <f t="shared" si="6"/>
        <v/>
      </c>
      <c r="AN5" s="29" t="str">
        <f t="shared" si="6"/>
        <v/>
      </c>
      <c r="AO5" s="29" t="str">
        <f t="shared" si="6"/>
        <v/>
      </c>
      <c r="AP5" s="29" t="str">
        <f t="shared" ref="AP5:AR5" si="7">IF(AP3="","",(AO5+AO6))</f>
        <v/>
      </c>
      <c r="AQ5" s="29" t="str">
        <f t="shared" si="7"/>
        <v/>
      </c>
      <c r="AR5" s="29" t="str">
        <f t="shared" si="7"/>
        <v/>
      </c>
    </row>
    <row r="6" spans="1:44" s="1" customFormat="1">
      <c r="A6" s="101" t="s">
        <v>6</v>
      </c>
      <c r="B6" s="30" t="s">
        <v>7</v>
      </c>
      <c r="C6" s="65"/>
      <c r="D6" s="29"/>
      <c r="E6" s="29"/>
      <c r="F6" s="29"/>
      <c r="G6" s="122"/>
      <c r="H6" s="29"/>
      <c r="I6" s="29"/>
      <c r="J6" s="122"/>
      <c r="K6" s="29"/>
      <c r="L6" s="29"/>
      <c r="M6" s="29"/>
      <c r="N6" s="29"/>
      <c r="O6" s="29"/>
      <c r="P6" s="122"/>
      <c r="Q6" s="29"/>
      <c r="R6" s="29"/>
      <c r="S6" s="29">
        <v>1</v>
      </c>
      <c r="T6" s="29"/>
      <c r="U6" s="29"/>
      <c r="V6" s="29">
        <v>1</v>
      </c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s="1" customFormat="1">
      <c r="A7" s="102">
        <f>+(A10+A22+A34+A46)*100</f>
        <v>107000</v>
      </c>
      <c r="B7" s="30" t="s">
        <v>8</v>
      </c>
      <c r="C7" s="64">
        <v>750</v>
      </c>
      <c r="D7" s="35">
        <f t="shared" ref="D7:I7" si="8">IF(D3="","",C7)</f>
        <v>750</v>
      </c>
      <c r="E7" s="35">
        <f t="shared" si="8"/>
        <v>750</v>
      </c>
      <c r="F7" s="35">
        <f t="shared" si="8"/>
        <v>750</v>
      </c>
      <c r="G7" s="383">
        <f t="shared" si="8"/>
        <v>750</v>
      </c>
      <c r="H7" s="35">
        <f t="shared" si="8"/>
        <v>750</v>
      </c>
      <c r="I7" s="35">
        <f t="shared" si="8"/>
        <v>750</v>
      </c>
      <c r="J7" s="383">
        <v>550</v>
      </c>
      <c r="K7" s="35">
        <f>IF(K3="","",J7)</f>
        <v>550</v>
      </c>
      <c r="L7" s="35">
        <f>IF(L3="","",K7)</f>
        <v>550</v>
      </c>
      <c r="M7" s="35">
        <v>750</v>
      </c>
      <c r="N7" s="35">
        <f t="shared" ref="N7:AO7" si="9">IF(N3="","",M7)</f>
        <v>750</v>
      </c>
      <c r="O7" s="35">
        <f t="shared" si="9"/>
        <v>750</v>
      </c>
      <c r="P7" s="383">
        <f t="shared" si="9"/>
        <v>750</v>
      </c>
      <c r="Q7" s="35">
        <f t="shared" si="9"/>
        <v>750</v>
      </c>
      <c r="R7" s="35">
        <f t="shared" si="9"/>
        <v>750</v>
      </c>
      <c r="S7" s="35">
        <f t="shared" si="9"/>
        <v>750</v>
      </c>
      <c r="T7" s="35">
        <f t="shared" si="9"/>
        <v>750</v>
      </c>
      <c r="U7" s="35">
        <f t="shared" si="9"/>
        <v>750</v>
      </c>
      <c r="V7" s="35">
        <f>IF(V3="","",U7)</f>
        <v>750</v>
      </c>
      <c r="W7" s="35">
        <f t="shared" si="9"/>
        <v>750</v>
      </c>
      <c r="X7" s="35">
        <f t="shared" si="9"/>
        <v>750</v>
      </c>
      <c r="Y7" s="35">
        <f t="shared" si="9"/>
        <v>750</v>
      </c>
      <c r="Z7" s="35">
        <f t="shared" si="9"/>
        <v>750</v>
      </c>
      <c r="AA7" s="35">
        <f t="shared" si="9"/>
        <v>750</v>
      </c>
      <c r="AB7" s="35">
        <f t="shared" si="9"/>
        <v>750</v>
      </c>
      <c r="AC7" s="35">
        <f t="shared" si="9"/>
        <v>750</v>
      </c>
      <c r="AD7" s="35">
        <f t="shared" si="9"/>
        <v>750</v>
      </c>
      <c r="AE7" s="35" t="str">
        <f t="shared" si="9"/>
        <v/>
      </c>
      <c r="AF7" s="35" t="str">
        <f t="shared" si="9"/>
        <v/>
      </c>
      <c r="AG7" s="35" t="str">
        <f t="shared" si="9"/>
        <v/>
      </c>
      <c r="AH7" s="35" t="str">
        <f t="shared" si="9"/>
        <v/>
      </c>
      <c r="AI7" s="35" t="str">
        <f t="shared" si="9"/>
        <v/>
      </c>
      <c r="AJ7" s="35" t="str">
        <f t="shared" si="9"/>
        <v/>
      </c>
      <c r="AK7" s="35" t="str">
        <f t="shared" si="9"/>
        <v/>
      </c>
      <c r="AL7" s="35" t="str">
        <f t="shared" si="9"/>
        <v/>
      </c>
      <c r="AM7" s="35" t="str">
        <f t="shared" si="9"/>
        <v/>
      </c>
      <c r="AN7" s="35" t="str">
        <f t="shared" si="9"/>
        <v/>
      </c>
      <c r="AO7" s="35" t="str">
        <f t="shared" si="9"/>
        <v/>
      </c>
      <c r="AP7" s="35" t="str">
        <f t="shared" ref="AP7:AR7" si="10">IF(AP3="","",AO7)</f>
        <v/>
      </c>
      <c r="AQ7" s="35" t="str">
        <f t="shared" si="10"/>
        <v/>
      </c>
      <c r="AR7" s="35" t="str">
        <f t="shared" si="10"/>
        <v/>
      </c>
    </row>
    <row r="8" spans="1:44" s="11" customFormat="1">
      <c r="A8" s="14" t="s">
        <v>9</v>
      </c>
      <c r="B8" s="33" t="s">
        <v>10</v>
      </c>
      <c r="C8" s="63" t="s">
        <v>47</v>
      </c>
      <c r="D8" s="32" t="str">
        <f t="shared" ref="D8:I8" si="11">IF(D3="","",C8)</f>
        <v>サンリオボアキーケース</v>
      </c>
      <c r="E8" s="32" t="str">
        <f t="shared" si="11"/>
        <v>サンリオボアキーケース</v>
      </c>
      <c r="F8" s="32" t="str">
        <f t="shared" si="11"/>
        <v>サンリオボアキーケース</v>
      </c>
      <c r="G8" s="123" t="str">
        <f t="shared" si="11"/>
        <v>サンリオボアキーケース</v>
      </c>
      <c r="H8" s="32" t="str">
        <f t="shared" si="11"/>
        <v>サンリオボアキーケース</v>
      </c>
      <c r="I8" s="32" t="str">
        <f t="shared" si="11"/>
        <v>サンリオボアキーケース</v>
      </c>
      <c r="J8" s="123" t="s">
        <v>117</v>
      </c>
      <c r="K8" s="32" t="str">
        <f>IF(K3="","",J8)</f>
        <v>ギャルキティ</v>
      </c>
      <c r="L8" s="32" t="str">
        <f>IF(L3="","",K8)</f>
        <v>ギャルキティ</v>
      </c>
      <c r="M8" s="32" t="s">
        <v>183</v>
      </c>
      <c r="N8" s="32" t="str">
        <f t="shared" ref="N8:AO8" si="12">IF(N3="","",M8)</f>
        <v>キーケース</v>
      </c>
      <c r="O8" s="32" t="str">
        <f t="shared" si="12"/>
        <v>キーケース</v>
      </c>
      <c r="P8" s="123" t="str">
        <f t="shared" si="12"/>
        <v>キーケース</v>
      </c>
      <c r="Q8" s="32" t="str">
        <f t="shared" si="12"/>
        <v>キーケース</v>
      </c>
      <c r="R8" s="32" t="str">
        <f t="shared" si="12"/>
        <v>キーケース</v>
      </c>
      <c r="S8" s="32" t="str">
        <f t="shared" si="12"/>
        <v>キーケース</v>
      </c>
      <c r="T8" s="32" t="str">
        <f t="shared" si="12"/>
        <v>キーケース</v>
      </c>
      <c r="U8" s="32" t="str">
        <f t="shared" si="12"/>
        <v>キーケース</v>
      </c>
      <c r="V8" s="32" t="str">
        <f>IF(V3="","",U8)</f>
        <v>キーケース</v>
      </c>
      <c r="W8" s="32" t="str">
        <f t="shared" si="12"/>
        <v>キーケース</v>
      </c>
      <c r="X8" s="32" t="str">
        <f t="shared" si="12"/>
        <v>キーケース</v>
      </c>
      <c r="Y8" s="32" t="str">
        <f t="shared" si="12"/>
        <v>キーケース</v>
      </c>
      <c r="Z8" s="32" t="str">
        <f t="shared" si="12"/>
        <v>キーケース</v>
      </c>
      <c r="AA8" s="32" t="str">
        <f t="shared" si="12"/>
        <v>キーケース</v>
      </c>
      <c r="AB8" s="32" t="str">
        <f t="shared" si="12"/>
        <v>キーケース</v>
      </c>
      <c r="AC8" s="32" t="str">
        <f t="shared" si="12"/>
        <v>キーケース</v>
      </c>
      <c r="AD8" s="32" t="str">
        <f t="shared" si="12"/>
        <v>キーケース</v>
      </c>
      <c r="AE8" s="32" t="str">
        <f t="shared" si="12"/>
        <v/>
      </c>
      <c r="AF8" s="32" t="str">
        <f t="shared" si="12"/>
        <v/>
      </c>
      <c r="AG8" s="32" t="str">
        <f t="shared" si="12"/>
        <v/>
      </c>
      <c r="AH8" s="32" t="str">
        <f t="shared" si="12"/>
        <v/>
      </c>
      <c r="AI8" s="32" t="str">
        <f t="shared" si="12"/>
        <v/>
      </c>
      <c r="AJ8" s="32" t="str">
        <f t="shared" si="12"/>
        <v/>
      </c>
      <c r="AK8" s="32" t="str">
        <f t="shared" si="12"/>
        <v/>
      </c>
      <c r="AL8" s="32" t="str">
        <f t="shared" si="12"/>
        <v/>
      </c>
      <c r="AM8" s="32" t="str">
        <f t="shared" si="12"/>
        <v/>
      </c>
      <c r="AN8" s="32" t="str">
        <f t="shared" si="12"/>
        <v/>
      </c>
      <c r="AO8" s="32" t="str">
        <f t="shared" si="12"/>
        <v/>
      </c>
      <c r="AP8" s="32" t="str">
        <f t="shared" ref="AP8:AR8" si="13">IF(AP3="","",AO8)</f>
        <v/>
      </c>
      <c r="AQ8" s="32" t="str">
        <f t="shared" si="13"/>
        <v/>
      </c>
      <c r="AR8" s="32" t="str">
        <f t="shared" si="13"/>
        <v/>
      </c>
    </row>
    <row r="9" spans="1:44" s="1" customFormat="1">
      <c r="A9" s="7">
        <f>AVERAGE(C10:AS10)*30*100</f>
        <v>20357.142857142855</v>
      </c>
      <c r="B9" s="30" t="s">
        <v>14</v>
      </c>
      <c r="C9" s="65"/>
      <c r="D9" s="29"/>
      <c r="E9" s="29"/>
      <c r="F9" s="29"/>
      <c r="G9" s="122"/>
      <c r="H9" s="29"/>
      <c r="I9" s="29"/>
      <c r="J9" s="122"/>
      <c r="K9" s="29"/>
      <c r="L9" s="29"/>
      <c r="M9" s="29"/>
      <c r="N9" s="29"/>
      <c r="O9" s="29"/>
      <c r="P9" s="122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</row>
    <row r="10" spans="1:44" s="1" customFormat="1">
      <c r="A10" s="7">
        <f>SUM(C10:AS10)</f>
        <v>190</v>
      </c>
      <c r="B10" s="27" t="s">
        <v>15</v>
      </c>
      <c r="C10" s="65">
        <v>0</v>
      </c>
      <c r="D10" s="26">
        <f t="shared" ref="D10:AO10" si="14">IF(D3="","",D3-C3)</f>
        <v>0</v>
      </c>
      <c r="E10" s="26">
        <f t="shared" si="14"/>
        <v>0</v>
      </c>
      <c r="F10" s="26">
        <f t="shared" si="14"/>
        <v>16</v>
      </c>
      <c r="G10" s="122">
        <f t="shared" si="14"/>
        <v>0</v>
      </c>
      <c r="H10" s="26">
        <f t="shared" si="14"/>
        <v>0</v>
      </c>
      <c r="I10" s="26">
        <f t="shared" si="14"/>
        <v>7</v>
      </c>
      <c r="J10" s="122">
        <f t="shared" si="14"/>
        <v>0</v>
      </c>
      <c r="K10" s="26">
        <f t="shared" si="14"/>
        <v>0</v>
      </c>
      <c r="L10" s="26">
        <f t="shared" si="14"/>
        <v>6</v>
      </c>
      <c r="M10" s="26">
        <f t="shared" si="14"/>
        <v>0</v>
      </c>
      <c r="N10" s="26">
        <f t="shared" si="14"/>
        <v>0</v>
      </c>
      <c r="O10" s="26">
        <f t="shared" si="14"/>
        <v>28</v>
      </c>
      <c r="P10" s="122">
        <f t="shared" si="14"/>
        <v>0</v>
      </c>
      <c r="Q10" s="26">
        <f t="shared" si="14"/>
        <v>0</v>
      </c>
      <c r="R10" s="26">
        <f t="shared" si="14"/>
        <v>0</v>
      </c>
      <c r="S10" s="26">
        <f t="shared" si="14"/>
        <v>18</v>
      </c>
      <c r="T10" s="26">
        <f t="shared" si="14"/>
        <v>0</v>
      </c>
      <c r="U10" s="26">
        <f t="shared" si="14"/>
        <v>0</v>
      </c>
      <c r="V10" s="26">
        <f>IF(V3="","",V3-U3)</f>
        <v>81</v>
      </c>
      <c r="W10" s="26">
        <f t="shared" si="14"/>
        <v>0</v>
      </c>
      <c r="X10" s="26">
        <f t="shared" si="14"/>
        <v>0</v>
      </c>
      <c r="Y10" s="26">
        <f t="shared" si="14"/>
        <v>0</v>
      </c>
      <c r="Z10" s="26">
        <f t="shared" si="14"/>
        <v>0</v>
      </c>
      <c r="AA10" s="26">
        <f t="shared" si="14"/>
        <v>15</v>
      </c>
      <c r="AB10" s="26">
        <f t="shared" si="14"/>
        <v>0</v>
      </c>
      <c r="AC10" s="26">
        <f t="shared" si="14"/>
        <v>0</v>
      </c>
      <c r="AD10" s="26">
        <f t="shared" si="14"/>
        <v>19</v>
      </c>
      <c r="AE10" s="26" t="str">
        <f t="shared" si="14"/>
        <v/>
      </c>
      <c r="AF10" s="26" t="str">
        <f t="shared" si="14"/>
        <v/>
      </c>
      <c r="AG10" s="26" t="str">
        <f t="shared" si="14"/>
        <v/>
      </c>
      <c r="AH10" s="26" t="str">
        <f t="shared" si="14"/>
        <v/>
      </c>
      <c r="AI10" s="26" t="str">
        <f t="shared" si="14"/>
        <v/>
      </c>
      <c r="AJ10" s="26" t="str">
        <f t="shared" si="14"/>
        <v/>
      </c>
      <c r="AK10" s="26" t="str">
        <f t="shared" si="14"/>
        <v/>
      </c>
      <c r="AL10" s="26" t="str">
        <f t="shared" si="14"/>
        <v/>
      </c>
      <c r="AM10" s="26" t="str">
        <f t="shared" si="14"/>
        <v/>
      </c>
      <c r="AN10" s="26" t="str">
        <f t="shared" si="14"/>
        <v/>
      </c>
      <c r="AO10" s="26" t="str">
        <f t="shared" si="14"/>
        <v/>
      </c>
      <c r="AP10" s="26" t="str">
        <f t="shared" ref="AP10:AR10" si="15">IF(AP3="","",AP3-AO3)</f>
        <v/>
      </c>
      <c r="AQ10" s="26" t="str">
        <f t="shared" si="15"/>
        <v/>
      </c>
      <c r="AR10" s="26" t="str">
        <f t="shared" si="15"/>
        <v/>
      </c>
    </row>
    <row r="11" spans="1:44" s="1" customFormat="1">
      <c r="A11" s="7">
        <f>SUM(C11:AS11)</f>
        <v>2</v>
      </c>
      <c r="B11" s="27" t="s">
        <v>16</v>
      </c>
      <c r="C11" s="65">
        <v>0</v>
      </c>
      <c r="D11" s="26">
        <f t="shared" ref="D11:AO11" si="16">IF(D4="","",D4-C4)</f>
        <v>0</v>
      </c>
      <c r="E11" s="26">
        <f t="shared" si="16"/>
        <v>0</v>
      </c>
      <c r="F11" s="26">
        <f t="shared" si="16"/>
        <v>0</v>
      </c>
      <c r="G11" s="122">
        <f t="shared" si="16"/>
        <v>0</v>
      </c>
      <c r="H11" s="26">
        <f t="shared" si="16"/>
        <v>0</v>
      </c>
      <c r="I11" s="26">
        <f t="shared" si="16"/>
        <v>0</v>
      </c>
      <c r="J11" s="122">
        <f t="shared" si="16"/>
        <v>0</v>
      </c>
      <c r="K11" s="26">
        <f t="shared" si="16"/>
        <v>0</v>
      </c>
      <c r="L11" s="26">
        <f t="shared" si="16"/>
        <v>0</v>
      </c>
      <c r="M11" s="26">
        <f t="shared" si="16"/>
        <v>0</v>
      </c>
      <c r="N11" s="26">
        <f t="shared" si="16"/>
        <v>0</v>
      </c>
      <c r="O11" s="26">
        <f t="shared" si="16"/>
        <v>0</v>
      </c>
      <c r="P11" s="122">
        <f t="shared" si="16"/>
        <v>0</v>
      </c>
      <c r="Q11" s="26">
        <f t="shared" si="16"/>
        <v>0</v>
      </c>
      <c r="R11" s="26">
        <f t="shared" si="16"/>
        <v>0</v>
      </c>
      <c r="S11" s="26">
        <f t="shared" si="16"/>
        <v>1</v>
      </c>
      <c r="T11" s="26">
        <f t="shared" si="16"/>
        <v>0</v>
      </c>
      <c r="U11" s="26">
        <f t="shared" si="16"/>
        <v>0</v>
      </c>
      <c r="V11" s="26">
        <f>IF(V4="","",V4-U4)</f>
        <v>1</v>
      </c>
      <c r="W11" s="26">
        <f t="shared" si="16"/>
        <v>0</v>
      </c>
      <c r="X11" s="26">
        <f t="shared" si="16"/>
        <v>0</v>
      </c>
      <c r="Y11" s="26">
        <f t="shared" si="16"/>
        <v>0</v>
      </c>
      <c r="Z11" s="26">
        <f t="shared" si="16"/>
        <v>0</v>
      </c>
      <c r="AA11" s="26">
        <f t="shared" si="16"/>
        <v>0</v>
      </c>
      <c r="AB11" s="26">
        <f t="shared" si="16"/>
        <v>0</v>
      </c>
      <c r="AC11" s="26">
        <f t="shared" si="16"/>
        <v>0</v>
      </c>
      <c r="AD11" s="26">
        <f t="shared" si="16"/>
        <v>0</v>
      </c>
      <c r="AE11" s="26" t="str">
        <f t="shared" si="16"/>
        <v/>
      </c>
      <c r="AF11" s="26" t="str">
        <f t="shared" si="16"/>
        <v/>
      </c>
      <c r="AG11" s="26" t="str">
        <f t="shared" si="16"/>
        <v/>
      </c>
      <c r="AH11" s="26" t="str">
        <f t="shared" si="16"/>
        <v/>
      </c>
      <c r="AI11" s="26" t="str">
        <f t="shared" si="16"/>
        <v/>
      </c>
      <c r="AJ11" s="26" t="str">
        <f t="shared" si="16"/>
        <v/>
      </c>
      <c r="AK11" s="26" t="str">
        <f t="shared" si="16"/>
        <v/>
      </c>
      <c r="AL11" s="26" t="str">
        <f t="shared" si="16"/>
        <v/>
      </c>
      <c r="AM11" s="26" t="str">
        <f t="shared" si="16"/>
        <v/>
      </c>
      <c r="AN11" s="26" t="str">
        <f t="shared" si="16"/>
        <v/>
      </c>
      <c r="AO11" s="26" t="str">
        <f t="shared" si="16"/>
        <v/>
      </c>
      <c r="AP11" s="26" t="str">
        <f t="shared" ref="AP11:AR11" si="17">IF(AP4="","",AP4-AO4)</f>
        <v/>
      </c>
      <c r="AQ11" s="26" t="str">
        <f t="shared" si="17"/>
        <v/>
      </c>
      <c r="AR11" s="26" t="str">
        <f t="shared" si="17"/>
        <v/>
      </c>
    </row>
    <row r="12" spans="1:44" s="1" customFormat="1">
      <c r="A12" s="7">
        <f>SUM(C12:AS12)</f>
        <v>3</v>
      </c>
      <c r="B12" s="27" t="s">
        <v>17</v>
      </c>
      <c r="C12" s="65">
        <v>0</v>
      </c>
      <c r="D12" s="26">
        <f t="shared" ref="D12:AO12" si="18">IF(D5="","",C5+C6-D5)</f>
        <v>0</v>
      </c>
      <c r="E12" s="26">
        <f t="shared" si="18"/>
        <v>0</v>
      </c>
      <c r="F12" s="26">
        <f t="shared" si="18"/>
        <v>0</v>
      </c>
      <c r="G12" s="122">
        <f t="shared" si="18"/>
        <v>0</v>
      </c>
      <c r="H12" s="26">
        <f t="shared" si="18"/>
        <v>0</v>
      </c>
      <c r="I12" s="26">
        <f t="shared" si="18"/>
        <v>0</v>
      </c>
      <c r="J12" s="122">
        <f t="shared" si="18"/>
        <v>0</v>
      </c>
      <c r="K12" s="26">
        <f t="shared" si="18"/>
        <v>0</v>
      </c>
      <c r="L12" s="26">
        <f t="shared" si="18"/>
        <v>0</v>
      </c>
      <c r="M12" s="26">
        <f t="shared" si="18"/>
        <v>0</v>
      </c>
      <c r="N12" s="26">
        <f t="shared" si="18"/>
        <v>0</v>
      </c>
      <c r="O12" s="26">
        <f t="shared" si="18"/>
        <v>0</v>
      </c>
      <c r="P12" s="122">
        <f t="shared" si="18"/>
        <v>0</v>
      </c>
      <c r="Q12" s="26">
        <f t="shared" si="18"/>
        <v>0</v>
      </c>
      <c r="R12" s="26">
        <f t="shared" si="18"/>
        <v>0</v>
      </c>
      <c r="S12" s="26">
        <f t="shared" si="18"/>
        <v>1</v>
      </c>
      <c r="T12" s="26">
        <f t="shared" si="18"/>
        <v>0</v>
      </c>
      <c r="U12" s="26">
        <f t="shared" si="18"/>
        <v>0</v>
      </c>
      <c r="V12" s="26">
        <f>IF(V5="","",U5+U6-V5)</f>
        <v>1</v>
      </c>
      <c r="W12" s="26">
        <f t="shared" si="18"/>
        <v>0</v>
      </c>
      <c r="X12" s="26">
        <f t="shared" si="18"/>
        <v>0</v>
      </c>
      <c r="Y12" s="26">
        <f t="shared" si="18"/>
        <v>0</v>
      </c>
      <c r="Z12" s="26">
        <f t="shared" si="18"/>
        <v>0</v>
      </c>
      <c r="AA12" s="26">
        <f t="shared" si="18"/>
        <v>0</v>
      </c>
      <c r="AB12" s="26">
        <f t="shared" si="18"/>
        <v>0</v>
      </c>
      <c r="AC12" s="26">
        <f t="shared" si="18"/>
        <v>0</v>
      </c>
      <c r="AD12" s="26">
        <f t="shared" si="18"/>
        <v>1</v>
      </c>
      <c r="AE12" s="26" t="str">
        <f t="shared" si="18"/>
        <v/>
      </c>
      <c r="AF12" s="26" t="str">
        <f t="shared" si="18"/>
        <v/>
      </c>
      <c r="AG12" s="26" t="str">
        <f t="shared" si="18"/>
        <v/>
      </c>
      <c r="AH12" s="26" t="str">
        <f t="shared" si="18"/>
        <v/>
      </c>
      <c r="AI12" s="26" t="str">
        <f t="shared" si="18"/>
        <v/>
      </c>
      <c r="AJ12" s="26" t="str">
        <f t="shared" si="18"/>
        <v/>
      </c>
      <c r="AK12" s="26" t="str">
        <f t="shared" si="18"/>
        <v/>
      </c>
      <c r="AL12" s="26" t="str">
        <f t="shared" si="18"/>
        <v/>
      </c>
      <c r="AM12" s="26" t="str">
        <f t="shared" si="18"/>
        <v/>
      </c>
      <c r="AN12" s="26" t="str">
        <f t="shared" si="18"/>
        <v/>
      </c>
      <c r="AO12" s="26" t="str">
        <f t="shared" si="18"/>
        <v/>
      </c>
      <c r="AP12" s="26" t="str">
        <f t="shared" ref="AP12:AR12" si="19">IF(AP5="","",AO5+AO6-AP5)</f>
        <v/>
      </c>
      <c r="AQ12" s="26" t="str">
        <f t="shared" si="19"/>
        <v/>
      </c>
      <c r="AR12" s="26" t="str">
        <f t="shared" si="19"/>
        <v/>
      </c>
    </row>
    <row r="13" spans="1:44" s="1" customFormat="1">
      <c r="A13" s="7">
        <f>SUM(C13:AS13)</f>
        <v>2250</v>
      </c>
      <c r="B13" s="27" t="s">
        <v>18</v>
      </c>
      <c r="C13" s="65">
        <v>0</v>
      </c>
      <c r="D13" s="26">
        <f t="shared" ref="D13:AO13" si="20">IF(D3="","",D12*D7)</f>
        <v>0</v>
      </c>
      <c r="E13" s="26">
        <f t="shared" si="20"/>
        <v>0</v>
      </c>
      <c r="F13" s="26">
        <f t="shared" si="20"/>
        <v>0</v>
      </c>
      <c r="G13" s="122">
        <f t="shared" si="20"/>
        <v>0</v>
      </c>
      <c r="H13" s="26">
        <f t="shared" si="20"/>
        <v>0</v>
      </c>
      <c r="I13" s="26">
        <f t="shared" si="20"/>
        <v>0</v>
      </c>
      <c r="J13" s="122">
        <f t="shared" si="20"/>
        <v>0</v>
      </c>
      <c r="K13" s="26">
        <f t="shared" si="20"/>
        <v>0</v>
      </c>
      <c r="L13" s="26">
        <f t="shared" si="20"/>
        <v>0</v>
      </c>
      <c r="M13" s="26">
        <f t="shared" si="20"/>
        <v>0</v>
      </c>
      <c r="N13" s="26">
        <f t="shared" si="20"/>
        <v>0</v>
      </c>
      <c r="O13" s="26">
        <f t="shared" si="20"/>
        <v>0</v>
      </c>
      <c r="P13" s="122">
        <f t="shared" si="20"/>
        <v>0</v>
      </c>
      <c r="Q13" s="26">
        <f t="shared" si="20"/>
        <v>0</v>
      </c>
      <c r="R13" s="26">
        <f t="shared" si="20"/>
        <v>0</v>
      </c>
      <c r="S13" s="26">
        <f t="shared" si="20"/>
        <v>750</v>
      </c>
      <c r="T13" s="26">
        <f t="shared" si="20"/>
        <v>0</v>
      </c>
      <c r="U13" s="26">
        <f t="shared" si="20"/>
        <v>0</v>
      </c>
      <c r="V13" s="26">
        <f>IF(V3="","",V12*V7)</f>
        <v>750</v>
      </c>
      <c r="W13" s="26">
        <f t="shared" si="20"/>
        <v>0</v>
      </c>
      <c r="X13" s="26">
        <f t="shared" si="20"/>
        <v>0</v>
      </c>
      <c r="Y13" s="26">
        <f t="shared" si="20"/>
        <v>0</v>
      </c>
      <c r="Z13" s="26">
        <f t="shared" si="20"/>
        <v>0</v>
      </c>
      <c r="AA13" s="26">
        <f t="shared" si="20"/>
        <v>0</v>
      </c>
      <c r="AB13" s="26">
        <f t="shared" si="20"/>
        <v>0</v>
      </c>
      <c r="AC13" s="26">
        <f t="shared" si="20"/>
        <v>0</v>
      </c>
      <c r="AD13" s="26">
        <f t="shared" si="20"/>
        <v>750</v>
      </c>
      <c r="AE13" s="26" t="str">
        <f t="shared" si="20"/>
        <v/>
      </c>
      <c r="AF13" s="26" t="str">
        <f t="shared" si="20"/>
        <v/>
      </c>
      <c r="AG13" s="26" t="str">
        <f t="shared" si="20"/>
        <v/>
      </c>
      <c r="AH13" s="26" t="str">
        <f t="shared" si="20"/>
        <v/>
      </c>
      <c r="AI13" s="26" t="str">
        <f t="shared" si="20"/>
        <v/>
      </c>
      <c r="AJ13" s="26" t="str">
        <f t="shared" si="20"/>
        <v/>
      </c>
      <c r="AK13" s="26" t="str">
        <f t="shared" si="20"/>
        <v/>
      </c>
      <c r="AL13" s="26" t="str">
        <f t="shared" si="20"/>
        <v/>
      </c>
      <c r="AM13" s="26" t="str">
        <f t="shared" si="20"/>
        <v/>
      </c>
      <c r="AN13" s="26" t="str">
        <f t="shared" si="20"/>
        <v/>
      </c>
      <c r="AO13" s="26" t="str">
        <f t="shared" si="20"/>
        <v/>
      </c>
      <c r="AP13" s="26" t="str">
        <f t="shared" ref="AP13:AR13" si="21">IF(AP3="","",AP12*AP7)</f>
        <v/>
      </c>
      <c r="AQ13" s="26" t="str">
        <f t="shared" si="21"/>
        <v/>
      </c>
      <c r="AR13" s="26" t="str">
        <f t="shared" si="21"/>
        <v/>
      </c>
    </row>
    <row r="14" spans="1:44" s="1" customFormat="1" ht="12" thickBot="1">
      <c r="A14" s="4">
        <f>IF(A13="","",A13/(A10*100))</f>
        <v>0.11842105263157894</v>
      </c>
      <c r="B14" s="27" t="s">
        <v>20</v>
      </c>
      <c r="C14" s="68" t="s">
        <v>21</v>
      </c>
      <c r="D14" s="44" t="str">
        <f t="shared" ref="D14:AO14" si="22">IF(D13="","",IF(D13=0,"",D13/(D10*100)))</f>
        <v/>
      </c>
      <c r="E14" s="44" t="str">
        <f t="shared" si="22"/>
        <v/>
      </c>
      <c r="F14" s="44" t="str">
        <f t="shared" si="22"/>
        <v/>
      </c>
      <c r="G14" s="384" t="str">
        <f t="shared" si="22"/>
        <v/>
      </c>
      <c r="H14" s="44" t="str">
        <f t="shared" si="22"/>
        <v/>
      </c>
      <c r="I14" s="44" t="str">
        <f t="shared" si="22"/>
        <v/>
      </c>
      <c r="J14" s="384" t="str">
        <f t="shared" si="22"/>
        <v/>
      </c>
      <c r="K14" s="44" t="str">
        <f t="shared" si="22"/>
        <v/>
      </c>
      <c r="L14" s="44" t="str">
        <f t="shared" si="22"/>
        <v/>
      </c>
      <c r="M14" s="44" t="str">
        <f t="shared" si="22"/>
        <v/>
      </c>
      <c r="N14" s="44" t="str">
        <f t="shared" si="22"/>
        <v/>
      </c>
      <c r="O14" s="44" t="str">
        <f t="shared" si="22"/>
        <v/>
      </c>
      <c r="P14" s="384" t="str">
        <f t="shared" si="22"/>
        <v/>
      </c>
      <c r="Q14" s="44" t="str">
        <f t="shared" si="22"/>
        <v/>
      </c>
      <c r="R14" s="44" t="str">
        <f t="shared" si="22"/>
        <v/>
      </c>
      <c r="S14" s="44">
        <f t="shared" si="22"/>
        <v>0.41666666666666669</v>
      </c>
      <c r="T14" s="44" t="str">
        <f t="shared" si="22"/>
        <v/>
      </c>
      <c r="U14" s="44" t="str">
        <f t="shared" si="22"/>
        <v/>
      </c>
      <c r="V14" s="44">
        <f>IF(V13="","",IF(V13=0,"",V13/(V10*100)))</f>
        <v>9.2592592592592587E-2</v>
      </c>
      <c r="W14" s="44" t="str">
        <f t="shared" si="22"/>
        <v/>
      </c>
      <c r="X14" s="44" t="str">
        <f t="shared" si="22"/>
        <v/>
      </c>
      <c r="Y14" s="44" t="str">
        <f t="shared" si="22"/>
        <v/>
      </c>
      <c r="Z14" s="44" t="str">
        <f t="shared" si="22"/>
        <v/>
      </c>
      <c r="AA14" s="44" t="str">
        <f t="shared" si="22"/>
        <v/>
      </c>
      <c r="AB14" s="44" t="str">
        <f t="shared" si="22"/>
        <v/>
      </c>
      <c r="AC14" s="44" t="str">
        <f t="shared" si="22"/>
        <v/>
      </c>
      <c r="AD14" s="44">
        <f t="shared" si="22"/>
        <v>0.39473684210526316</v>
      </c>
      <c r="AE14" s="44" t="str">
        <f t="shared" si="22"/>
        <v/>
      </c>
      <c r="AF14" s="44" t="str">
        <f t="shared" si="22"/>
        <v/>
      </c>
      <c r="AG14" s="44" t="str">
        <f t="shared" si="22"/>
        <v/>
      </c>
      <c r="AH14" s="44" t="str">
        <f t="shared" si="22"/>
        <v/>
      </c>
      <c r="AI14" s="44" t="str">
        <f t="shared" si="22"/>
        <v/>
      </c>
      <c r="AJ14" s="44" t="str">
        <f t="shared" si="22"/>
        <v/>
      </c>
      <c r="AK14" s="44" t="str">
        <f t="shared" si="22"/>
        <v/>
      </c>
      <c r="AL14" s="44" t="str">
        <f t="shared" si="22"/>
        <v/>
      </c>
      <c r="AM14" s="44" t="str">
        <f t="shared" si="22"/>
        <v/>
      </c>
      <c r="AN14" s="44" t="str">
        <f t="shared" si="22"/>
        <v/>
      </c>
      <c r="AO14" s="44" t="str">
        <f t="shared" si="22"/>
        <v/>
      </c>
      <c r="AP14" s="44" t="str">
        <f t="shared" ref="AP14:AR14" si="23">IF(AP13="","",IF(AP13=0,"",AP13/(AP10*100)))</f>
        <v/>
      </c>
      <c r="AQ14" s="44" t="str">
        <f t="shared" si="23"/>
        <v/>
      </c>
      <c r="AR14" s="44" t="str">
        <f t="shared" si="23"/>
        <v/>
      </c>
    </row>
    <row r="15" spans="1:44" s="1" customFormat="1">
      <c r="A15" s="43" t="s">
        <v>180</v>
      </c>
      <c r="B15" s="42" t="s">
        <v>2</v>
      </c>
      <c r="C15" s="64">
        <v>11213</v>
      </c>
      <c r="D15" s="35">
        <f>IF(D$3="","",C15)</f>
        <v>11213</v>
      </c>
      <c r="E15" s="35">
        <f>IF(E$3="","",D15)</f>
        <v>11213</v>
      </c>
      <c r="F15" s="35">
        <v>11285</v>
      </c>
      <c r="G15" s="383">
        <f>IF(G$3="","",F15)</f>
        <v>11285</v>
      </c>
      <c r="H15" s="35">
        <f>IF(H$3="","",G15)</f>
        <v>11285</v>
      </c>
      <c r="I15" s="35">
        <v>11379</v>
      </c>
      <c r="J15" s="383">
        <f>IF(J$3="","",I15)</f>
        <v>11379</v>
      </c>
      <c r="K15" s="35">
        <f>IF(K$3="","",J15)</f>
        <v>11379</v>
      </c>
      <c r="L15" s="35">
        <v>11397</v>
      </c>
      <c r="M15" s="35">
        <f>IF(M$3="","",L15)</f>
        <v>11397</v>
      </c>
      <c r="N15" s="35">
        <f>IF(N$3="","",M15)</f>
        <v>11397</v>
      </c>
      <c r="O15" s="35">
        <v>11427</v>
      </c>
      <c r="P15" s="383">
        <f t="shared" ref="P15:AO15" si="24">IF(P$3="","",O15)</f>
        <v>11427</v>
      </c>
      <c r="Q15" s="35">
        <f t="shared" si="24"/>
        <v>11427</v>
      </c>
      <c r="R15" s="35">
        <f t="shared" si="24"/>
        <v>11427</v>
      </c>
      <c r="S15" s="35">
        <v>11447</v>
      </c>
      <c r="T15" s="35">
        <f t="shared" si="24"/>
        <v>11447</v>
      </c>
      <c r="U15" s="35">
        <f t="shared" si="24"/>
        <v>11447</v>
      </c>
      <c r="V15" s="35">
        <v>11497</v>
      </c>
      <c r="W15" s="35">
        <f t="shared" si="24"/>
        <v>11497</v>
      </c>
      <c r="X15" s="35">
        <f t="shared" si="24"/>
        <v>11497</v>
      </c>
      <c r="Y15" s="35">
        <f t="shared" si="24"/>
        <v>11497</v>
      </c>
      <c r="Z15" s="35">
        <f t="shared" si="24"/>
        <v>11497</v>
      </c>
      <c r="AA15" s="35">
        <v>11522</v>
      </c>
      <c r="AB15" s="35">
        <f t="shared" si="24"/>
        <v>11522</v>
      </c>
      <c r="AC15" s="35">
        <f t="shared" si="24"/>
        <v>11522</v>
      </c>
      <c r="AD15" s="35">
        <v>11535</v>
      </c>
      <c r="AE15" s="35" t="str">
        <f t="shared" si="24"/>
        <v/>
      </c>
      <c r="AF15" s="35" t="str">
        <f t="shared" si="24"/>
        <v/>
      </c>
      <c r="AG15" s="35" t="str">
        <f t="shared" si="24"/>
        <v/>
      </c>
      <c r="AH15" s="35" t="str">
        <f t="shared" si="24"/>
        <v/>
      </c>
      <c r="AI15" s="35" t="str">
        <f t="shared" si="24"/>
        <v/>
      </c>
      <c r="AJ15" s="35" t="str">
        <f t="shared" si="24"/>
        <v/>
      </c>
      <c r="AK15" s="35" t="str">
        <f t="shared" si="24"/>
        <v/>
      </c>
      <c r="AL15" s="35" t="str">
        <f t="shared" si="24"/>
        <v/>
      </c>
      <c r="AM15" s="35" t="str">
        <f t="shared" si="24"/>
        <v/>
      </c>
      <c r="AN15" s="35" t="str">
        <f t="shared" si="24"/>
        <v/>
      </c>
      <c r="AO15" s="35" t="str">
        <f t="shared" si="24"/>
        <v/>
      </c>
      <c r="AP15" s="35" t="str">
        <f t="shared" ref="AP15:AR15" si="25">IF(AP$3="","",AO15)</f>
        <v/>
      </c>
      <c r="AQ15" s="35" t="str">
        <f t="shared" si="25"/>
        <v/>
      </c>
      <c r="AR15" s="35" t="str">
        <f t="shared" si="25"/>
        <v/>
      </c>
    </row>
    <row r="16" spans="1:44" s="1" customFormat="1">
      <c r="A16" s="37" t="s">
        <v>184</v>
      </c>
      <c r="B16" s="30" t="s">
        <v>4</v>
      </c>
      <c r="C16" s="65">
        <v>998</v>
      </c>
      <c r="D16" s="29">
        <f>IF(D$3="","",C16)</f>
        <v>998</v>
      </c>
      <c r="E16" s="29">
        <f>IF(E$3="","",D16)</f>
        <v>998</v>
      </c>
      <c r="F16" s="29">
        <f>IF(F$3="","",E16)</f>
        <v>998</v>
      </c>
      <c r="G16" s="122">
        <f>IF(G$3="","",F16)</f>
        <v>998</v>
      </c>
      <c r="H16" s="29">
        <f>IF(H$3="","",G16)</f>
        <v>998</v>
      </c>
      <c r="I16" s="29">
        <v>999</v>
      </c>
      <c r="J16" s="122">
        <f>IF(J$3="","",I16)</f>
        <v>999</v>
      </c>
      <c r="K16" s="29">
        <f>IF(K$3="","",J16)</f>
        <v>999</v>
      </c>
      <c r="L16" s="29">
        <f>IF(L$3="","",K16)</f>
        <v>999</v>
      </c>
      <c r="M16" s="29">
        <f>IF(M$3="","",L16)</f>
        <v>999</v>
      </c>
      <c r="N16" s="29">
        <f>IF(N$3="","",M16)</f>
        <v>999</v>
      </c>
      <c r="O16" s="29">
        <f>IF(O$3="","",N16)</f>
        <v>999</v>
      </c>
      <c r="P16" s="122">
        <f t="shared" ref="P16:AO16" si="26">IF(P$3="","",O16)</f>
        <v>999</v>
      </c>
      <c r="Q16" s="29">
        <f t="shared" si="26"/>
        <v>999</v>
      </c>
      <c r="R16" s="29">
        <f t="shared" si="26"/>
        <v>999</v>
      </c>
      <c r="S16" s="29">
        <f t="shared" si="26"/>
        <v>999</v>
      </c>
      <c r="T16" s="29">
        <f t="shared" si="26"/>
        <v>999</v>
      </c>
      <c r="U16" s="29">
        <f t="shared" si="26"/>
        <v>999</v>
      </c>
      <c r="V16" s="29">
        <f>IF(V$3="","",U16)</f>
        <v>999</v>
      </c>
      <c r="W16" s="29">
        <f t="shared" si="26"/>
        <v>999</v>
      </c>
      <c r="X16" s="29">
        <f t="shared" si="26"/>
        <v>999</v>
      </c>
      <c r="Y16" s="29">
        <f t="shared" si="26"/>
        <v>999</v>
      </c>
      <c r="Z16" s="29">
        <f t="shared" si="26"/>
        <v>999</v>
      </c>
      <c r="AA16" s="29">
        <f t="shared" si="26"/>
        <v>999</v>
      </c>
      <c r="AB16" s="29">
        <f t="shared" si="26"/>
        <v>999</v>
      </c>
      <c r="AC16" s="29">
        <f t="shared" si="26"/>
        <v>999</v>
      </c>
      <c r="AD16" s="29">
        <v>1000</v>
      </c>
      <c r="AE16" s="29" t="str">
        <f t="shared" si="26"/>
        <v/>
      </c>
      <c r="AF16" s="29" t="str">
        <f t="shared" si="26"/>
        <v/>
      </c>
      <c r="AG16" s="29" t="str">
        <f t="shared" si="26"/>
        <v/>
      </c>
      <c r="AH16" s="29" t="str">
        <f t="shared" si="26"/>
        <v/>
      </c>
      <c r="AI16" s="29" t="str">
        <f t="shared" si="26"/>
        <v/>
      </c>
      <c r="AJ16" s="29" t="str">
        <f t="shared" si="26"/>
        <v/>
      </c>
      <c r="AK16" s="29" t="str">
        <f t="shared" si="26"/>
        <v/>
      </c>
      <c r="AL16" s="29" t="str">
        <f t="shared" si="26"/>
        <v/>
      </c>
      <c r="AM16" s="29" t="str">
        <f t="shared" si="26"/>
        <v/>
      </c>
      <c r="AN16" s="29" t="str">
        <f t="shared" si="26"/>
        <v/>
      </c>
      <c r="AO16" s="29" t="str">
        <f t="shared" si="26"/>
        <v/>
      </c>
      <c r="AP16" s="29" t="str">
        <f t="shared" ref="AP16:AR16" si="27">IF(AP$3="","",AO16)</f>
        <v/>
      </c>
      <c r="AQ16" s="29" t="str">
        <f t="shared" si="27"/>
        <v/>
      </c>
      <c r="AR16" s="29" t="str">
        <f t="shared" si="27"/>
        <v/>
      </c>
    </row>
    <row r="17" spans="1:44" s="1" customFormat="1">
      <c r="A17" s="41">
        <v>2</v>
      </c>
      <c r="B17" s="30" t="s">
        <v>5</v>
      </c>
      <c r="C17" s="65">
        <v>4</v>
      </c>
      <c r="D17" s="29">
        <f>IF(D15="","",(C17+C18))</f>
        <v>4</v>
      </c>
      <c r="E17" s="29">
        <f>IF(E15="","",(D17+D18))</f>
        <v>4</v>
      </c>
      <c r="F17" s="29">
        <f>IF(F15="","",(E17+E18))</f>
        <v>4</v>
      </c>
      <c r="G17" s="122">
        <f>IF(G15="","",(F17+F18))</f>
        <v>4</v>
      </c>
      <c r="H17" s="29">
        <f>IF(H15="","",(G17+G18))</f>
        <v>4</v>
      </c>
      <c r="I17" s="29">
        <v>3</v>
      </c>
      <c r="J17" s="122">
        <f t="shared" ref="J17:AO17" si="28">IF(J15="","",(I17+I18))</f>
        <v>4</v>
      </c>
      <c r="K17" s="29">
        <f t="shared" si="28"/>
        <v>4</v>
      </c>
      <c r="L17" s="29">
        <f t="shared" si="28"/>
        <v>4</v>
      </c>
      <c r="M17" s="29">
        <f t="shared" si="28"/>
        <v>5</v>
      </c>
      <c r="N17" s="29">
        <f t="shared" si="28"/>
        <v>5</v>
      </c>
      <c r="O17" s="29">
        <f t="shared" si="28"/>
        <v>5</v>
      </c>
      <c r="P17" s="122">
        <f t="shared" si="28"/>
        <v>5</v>
      </c>
      <c r="Q17" s="29">
        <f t="shared" si="28"/>
        <v>5</v>
      </c>
      <c r="R17" s="29">
        <f t="shared" si="28"/>
        <v>5</v>
      </c>
      <c r="S17" s="29">
        <f t="shared" si="28"/>
        <v>5</v>
      </c>
      <c r="T17" s="29">
        <f t="shared" si="28"/>
        <v>5</v>
      </c>
      <c r="U17" s="29">
        <f t="shared" si="28"/>
        <v>5</v>
      </c>
      <c r="V17" s="29">
        <f>IF(V15="","",(U17+U18))</f>
        <v>5</v>
      </c>
      <c r="W17" s="29">
        <f t="shared" si="28"/>
        <v>5</v>
      </c>
      <c r="X17" s="29">
        <f t="shared" si="28"/>
        <v>5</v>
      </c>
      <c r="Y17" s="29">
        <f t="shared" si="28"/>
        <v>5</v>
      </c>
      <c r="Z17" s="29">
        <f t="shared" si="28"/>
        <v>5</v>
      </c>
      <c r="AA17" s="29">
        <f t="shared" si="28"/>
        <v>5</v>
      </c>
      <c r="AB17" s="29">
        <f t="shared" si="28"/>
        <v>5</v>
      </c>
      <c r="AC17" s="29">
        <f t="shared" si="28"/>
        <v>5</v>
      </c>
      <c r="AD17" s="29">
        <v>4</v>
      </c>
      <c r="AE17" s="29" t="str">
        <f t="shared" si="28"/>
        <v/>
      </c>
      <c r="AF17" s="29" t="str">
        <f t="shared" si="28"/>
        <v/>
      </c>
      <c r="AG17" s="29" t="str">
        <f t="shared" si="28"/>
        <v/>
      </c>
      <c r="AH17" s="29" t="str">
        <f t="shared" si="28"/>
        <v/>
      </c>
      <c r="AI17" s="29" t="str">
        <f t="shared" si="28"/>
        <v/>
      </c>
      <c r="AJ17" s="29" t="str">
        <f t="shared" si="28"/>
        <v/>
      </c>
      <c r="AK17" s="29" t="str">
        <f t="shared" si="28"/>
        <v/>
      </c>
      <c r="AL17" s="29" t="str">
        <f t="shared" si="28"/>
        <v/>
      </c>
      <c r="AM17" s="29" t="str">
        <f t="shared" si="28"/>
        <v/>
      </c>
      <c r="AN17" s="29" t="str">
        <f t="shared" si="28"/>
        <v/>
      </c>
      <c r="AO17" s="29" t="str">
        <f t="shared" si="28"/>
        <v/>
      </c>
      <c r="AP17" s="29" t="str">
        <f t="shared" ref="AP17:AR17" si="29">IF(AP15="","",(AO17+AO18))</f>
        <v/>
      </c>
      <c r="AQ17" s="29" t="str">
        <f t="shared" si="29"/>
        <v/>
      </c>
      <c r="AR17" s="29" t="str">
        <f t="shared" si="29"/>
        <v/>
      </c>
    </row>
    <row r="18" spans="1:44" s="1" customFormat="1">
      <c r="A18" s="14"/>
      <c r="B18" s="30" t="s">
        <v>7</v>
      </c>
      <c r="C18" s="65"/>
      <c r="D18" s="29"/>
      <c r="E18" s="29"/>
      <c r="F18" s="29"/>
      <c r="G18" s="122"/>
      <c r="H18" s="29"/>
      <c r="I18" s="29">
        <v>1</v>
      </c>
      <c r="J18" s="122"/>
      <c r="K18" s="29"/>
      <c r="L18" s="29">
        <v>1</v>
      </c>
      <c r="M18" s="29"/>
      <c r="N18" s="29"/>
      <c r="O18" s="29"/>
      <c r="P18" s="122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</row>
    <row r="19" spans="1:44" s="1" customFormat="1">
      <c r="A19" s="7"/>
      <c r="B19" s="30" t="s">
        <v>8</v>
      </c>
      <c r="C19" s="64">
        <v>750</v>
      </c>
      <c r="D19" s="35">
        <f t="shared" ref="D19:AO19" si="30">IF(D15="","",C19)</f>
        <v>750</v>
      </c>
      <c r="E19" s="35">
        <f t="shared" si="30"/>
        <v>750</v>
      </c>
      <c r="F19" s="35">
        <f t="shared" si="30"/>
        <v>750</v>
      </c>
      <c r="G19" s="383">
        <f t="shared" si="30"/>
        <v>750</v>
      </c>
      <c r="H19" s="35">
        <f t="shared" si="30"/>
        <v>750</v>
      </c>
      <c r="I19" s="35">
        <f t="shared" si="30"/>
        <v>750</v>
      </c>
      <c r="J19" s="383">
        <f t="shared" si="30"/>
        <v>750</v>
      </c>
      <c r="K19" s="35">
        <f t="shared" si="30"/>
        <v>750</v>
      </c>
      <c r="L19" s="35">
        <f t="shared" si="30"/>
        <v>750</v>
      </c>
      <c r="M19" s="35">
        <f t="shared" si="30"/>
        <v>750</v>
      </c>
      <c r="N19" s="35">
        <f t="shared" si="30"/>
        <v>750</v>
      </c>
      <c r="O19" s="35">
        <f t="shared" si="30"/>
        <v>750</v>
      </c>
      <c r="P19" s="383">
        <f t="shared" si="30"/>
        <v>750</v>
      </c>
      <c r="Q19" s="35">
        <f t="shared" si="30"/>
        <v>750</v>
      </c>
      <c r="R19" s="35">
        <f t="shared" si="30"/>
        <v>750</v>
      </c>
      <c r="S19" s="35">
        <f t="shared" si="30"/>
        <v>750</v>
      </c>
      <c r="T19" s="35">
        <f t="shared" si="30"/>
        <v>750</v>
      </c>
      <c r="U19" s="35">
        <f t="shared" si="30"/>
        <v>750</v>
      </c>
      <c r="V19" s="35">
        <f>IF(V15="","",U19)</f>
        <v>750</v>
      </c>
      <c r="W19" s="35">
        <f t="shared" si="30"/>
        <v>750</v>
      </c>
      <c r="X19" s="35">
        <f t="shared" si="30"/>
        <v>750</v>
      </c>
      <c r="Y19" s="35">
        <f t="shared" si="30"/>
        <v>750</v>
      </c>
      <c r="Z19" s="35">
        <f t="shared" si="30"/>
        <v>750</v>
      </c>
      <c r="AA19" s="35">
        <f t="shared" si="30"/>
        <v>750</v>
      </c>
      <c r="AB19" s="35">
        <f t="shared" si="30"/>
        <v>750</v>
      </c>
      <c r="AC19" s="35">
        <f t="shared" si="30"/>
        <v>750</v>
      </c>
      <c r="AD19" s="35">
        <f t="shared" si="30"/>
        <v>750</v>
      </c>
      <c r="AE19" s="35" t="str">
        <f t="shared" si="30"/>
        <v/>
      </c>
      <c r="AF19" s="35" t="str">
        <f t="shared" si="30"/>
        <v/>
      </c>
      <c r="AG19" s="35" t="str">
        <f t="shared" si="30"/>
        <v/>
      </c>
      <c r="AH19" s="35" t="str">
        <f t="shared" si="30"/>
        <v/>
      </c>
      <c r="AI19" s="35" t="str">
        <f t="shared" si="30"/>
        <v/>
      </c>
      <c r="AJ19" s="35" t="str">
        <f t="shared" si="30"/>
        <v/>
      </c>
      <c r="AK19" s="35" t="str">
        <f t="shared" si="30"/>
        <v/>
      </c>
      <c r="AL19" s="35" t="str">
        <f t="shared" si="30"/>
        <v/>
      </c>
      <c r="AM19" s="35" t="str">
        <f t="shared" si="30"/>
        <v/>
      </c>
      <c r="AN19" s="35" t="str">
        <f t="shared" si="30"/>
        <v/>
      </c>
      <c r="AO19" s="35" t="str">
        <f t="shared" si="30"/>
        <v/>
      </c>
      <c r="AP19" s="35" t="str">
        <f t="shared" ref="AP19:AR19" si="31">IF(AP15="","",AO19)</f>
        <v/>
      </c>
      <c r="AQ19" s="35" t="str">
        <f t="shared" si="31"/>
        <v/>
      </c>
      <c r="AR19" s="35" t="str">
        <f t="shared" si="31"/>
        <v/>
      </c>
    </row>
    <row r="20" spans="1:44" s="11" customFormat="1">
      <c r="A20" s="14" t="s">
        <v>9</v>
      </c>
      <c r="B20" s="33" t="s">
        <v>10</v>
      </c>
      <c r="C20" s="63" t="s">
        <v>185</v>
      </c>
      <c r="D20" s="32" t="str">
        <f t="shared" ref="D20:AO20" si="32">IF(D15="","",C20)</f>
        <v>サンリオバンズ</v>
      </c>
      <c r="E20" s="32" t="str">
        <f t="shared" si="32"/>
        <v>サンリオバンズ</v>
      </c>
      <c r="F20" s="32" t="str">
        <f t="shared" si="32"/>
        <v>サンリオバンズ</v>
      </c>
      <c r="G20" s="123" t="str">
        <f t="shared" si="32"/>
        <v>サンリオバンズ</v>
      </c>
      <c r="H20" s="32" t="str">
        <f t="shared" si="32"/>
        <v>サンリオバンズ</v>
      </c>
      <c r="I20" s="32" t="str">
        <f t="shared" si="32"/>
        <v>サンリオバンズ</v>
      </c>
      <c r="J20" s="123" t="str">
        <f t="shared" si="32"/>
        <v>サンリオバンズ</v>
      </c>
      <c r="K20" s="32" t="str">
        <f t="shared" si="32"/>
        <v>サンリオバンズ</v>
      </c>
      <c r="L20" s="32" t="str">
        <f t="shared" si="32"/>
        <v>サンリオバンズ</v>
      </c>
      <c r="M20" s="32" t="str">
        <f t="shared" si="32"/>
        <v>サンリオバンズ</v>
      </c>
      <c r="N20" s="32" t="str">
        <f t="shared" si="32"/>
        <v>サンリオバンズ</v>
      </c>
      <c r="O20" s="32" t="str">
        <f t="shared" si="32"/>
        <v>サンリオバンズ</v>
      </c>
      <c r="P20" s="123" t="str">
        <f t="shared" si="32"/>
        <v>サンリオバンズ</v>
      </c>
      <c r="Q20" s="32" t="str">
        <f t="shared" si="32"/>
        <v>サンリオバンズ</v>
      </c>
      <c r="R20" s="32" t="str">
        <f t="shared" si="32"/>
        <v>サンリオバンズ</v>
      </c>
      <c r="S20" s="32" t="str">
        <f t="shared" si="32"/>
        <v>サンリオバンズ</v>
      </c>
      <c r="T20" s="32" t="str">
        <f t="shared" si="32"/>
        <v>サンリオバンズ</v>
      </c>
      <c r="U20" s="32" t="str">
        <f t="shared" si="32"/>
        <v>サンリオバンズ</v>
      </c>
      <c r="V20" s="32" t="str">
        <f>IF(V15="","",U20)</f>
        <v>サンリオバンズ</v>
      </c>
      <c r="W20" s="32" t="str">
        <f t="shared" si="32"/>
        <v>サンリオバンズ</v>
      </c>
      <c r="X20" s="32" t="str">
        <f t="shared" si="32"/>
        <v>サンリオバンズ</v>
      </c>
      <c r="Y20" s="32" t="str">
        <f t="shared" si="32"/>
        <v>サンリオバンズ</v>
      </c>
      <c r="Z20" s="32" t="str">
        <f t="shared" si="32"/>
        <v>サンリオバンズ</v>
      </c>
      <c r="AA20" s="32" t="str">
        <f t="shared" si="32"/>
        <v>サンリオバンズ</v>
      </c>
      <c r="AB20" s="32" t="str">
        <f t="shared" si="32"/>
        <v>サンリオバンズ</v>
      </c>
      <c r="AC20" s="32" t="str">
        <f t="shared" si="32"/>
        <v>サンリオバンズ</v>
      </c>
      <c r="AD20" s="32" t="str">
        <f t="shared" si="32"/>
        <v>サンリオバンズ</v>
      </c>
      <c r="AE20" s="32" t="str">
        <f t="shared" si="32"/>
        <v/>
      </c>
      <c r="AF20" s="32" t="str">
        <f t="shared" si="32"/>
        <v/>
      </c>
      <c r="AG20" s="32" t="str">
        <f t="shared" si="32"/>
        <v/>
      </c>
      <c r="AH20" s="32" t="str">
        <f t="shared" si="32"/>
        <v/>
      </c>
      <c r="AI20" s="32" t="str">
        <f t="shared" si="32"/>
        <v/>
      </c>
      <c r="AJ20" s="32" t="str">
        <f t="shared" si="32"/>
        <v/>
      </c>
      <c r="AK20" s="32" t="str">
        <f t="shared" si="32"/>
        <v/>
      </c>
      <c r="AL20" s="32" t="str">
        <f t="shared" si="32"/>
        <v/>
      </c>
      <c r="AM20" s="32" t="str">
        <f t="shared" si="32"/>
        <v/>
      </c>
      <c r="AN20" s="32" t="str">
        <f t="shared" si="32"/>
        <v/>
      </c>
      <c r="AO20" s="32" t="str">
        <f t="shared" si="32"/>
        <v/>
      </c>
      <c r="AP20" s="32" t="str">
        <f t="shared" ref="AP20:AR20" si="33">IF(AP15="","",AO20)</f>
        <v/>
      </c>
      <c r="AQ20" s="32" t="str">
        <f t="shared" si="33"/>
        <v/>
      </c>
      <c r="AR20" s="32" t="str">
        <f t="shared" si="33"/>
        <v/>
      </c>
    </row>
    <row r="21" spans="1:44" s="1" customFormat="1">
      <c r="A21" s="7">
        <f>AVERAGE(C22:AS22)*30*100</f>
        <v>34500</v>
      </c>
      <c r="B21" s="30" t="s">
        <v>14</v>
      </c>
      <c r="C21" s="65"/>
      <c r="D21" s="29"/>
      <c r="E21" s="29"/>
      <c r="F21" s="29"/>
      <c r="G21" s="122"/>
      <c r="H21" s="29"/>
      <c r="I21" s="29"/>
      <c r="J21" s="122"/>
      <c r="K21" s="29"/>
      <c r="L21" s="29"/>
      <c r="M21" s="29"/>
      <c r="N21" s="29"/>
      <c r="O21" s="29"/>
      <c r="P21" s="122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</row>
    <row r="22" spans="1:44" s="1" customFormat="1">
      <c r="A22" s="7">
        <f>SUM(C22:AS22)</f>
        <v>322</v>
      </c>
      <c r="B22" s="27" t="s">
        <v>15</v>
      </c>
      <c r="C22" s="65">
        <v>0</v>
      </c>
      <c r="D22" s="26">
        <f t="shared" ref="D22:AO22" si="34">IF(D15="","",D15-C15)</f>
        <v>0</v>
      </c>
      <c r="E22" s="26">
        <f t="shared" si="34"/>
        <v>0</v>
      </c>
      <c r="F22" s="26">
        <f t="shared" si="34"/>
        <v>72</v>
      </c>
      <c r="G22" s="122">
        <f t="shared" si="34"/>
        <v>0</v>
      </c>
      <c r="H22" s="26">
        <f t="shared" si="34"/>
        <v>0</v>
      </c>
      <c r="I22" s="26">
        <f t="shared" si="34"/>
        <v>94</v>
      </c>
      <c r="J22" s="122">
        <f t="shared" si="34"/>
        <v>0</v>
      </c>
      <c r="K22" s="26">
        <f t="shared" si="34"/>
        <v>0</v>
      </c>
      <c r="L22" s="26">
        <f t="shared" si="34"/>
        <v>18</v>
      </c>
      <c r="M22" s="26">
        <f t="shared" si="34"/>
        <v>0</v>
      </c>
      <c r="N22" s="26">
        <f t="shared" si="34"/>
        <v>0</v>
      </c>
      <c r="O22" s="26">
        <f t="shared" si="34"/>
        <v>30</v>
      </c>
      <c r="P22" s="122">
        <f t="shared" si="34"/>
        <v>0</v>
      </c>
      <c r="Q22" s="26">
        <f t="shared" si="34"/>
        <v>0</v>
      </c>
      <c r="R22" s="26">
        <f t="shared" si="34"/>
        <v>0</v>
      </c>
      <c r="S22" s="26">
        <f t="shared" si="34"/>
        <v>20</v>
      </c>
      <c r="T22" s="26">
        <f t="shared" si="34"/>
        <v>0</v>
      </c>
      <c r="U22" s="26">
        <f t="shared" si="34"/>
        <v>0</v>
      </c>
      <c r="V22" s="26">
        <f>IF(V15="","",V15-U15)</f>
        <v>50</v>
      </c>
      <c r="W22" s="26">
        <f t="shared" si="34"/>
        <v>0</v>
      </c>
      <c r="X22" s="26">
        <f t="shared" si="34"/>
        <v>0</v>
      </c>
      <c r="Y22" s="26">
        <f t="shared" si="34"/>
        <v>0</v>
      </c>
      <c r="Z22" s="26">
        <f t="shared" si="34"/>
        <v>0</v>
      </c>
      <c r="AA22" s="26">
        <f t="shared" si="34"/>
        <v>25</v>
      </c>
      <c r="AB22" s="26">
        <f t="shared" si="34"/>
        <v>0</v>
      </c>
      <c r="AC22" s="26">
        <f t="shared" si="34"/>
        <v>0</v>
      </c>
      <c r="AD22" s="26">
        <f t="shared" si="34"/>
        <v>13</v>
      </c>
      <c r="AE22" s="26" t="str">
        <f t="shared" si="34"/>
        <v/>
      </c>
      <c r="AF22" s="26" t="str">
        <f t="shared" si="34"/>
        <v/>
      </c>
      <c r="AG22" s="26" t="str">
        <f t="shared" si="34"/>
        <v/>
      </c>
      <c r="AH22" s="26" t="str">
        <f t="shared" si="34"/>
        <v/>
      </c>
      <c r="AI22" s="26" t="str">
        <f t="shared" si="34"/>
        <v/>
      </c>
      <c r="AJ22" s="26" t="str">
        <f t="shared" si="34"/>
        <v/>
      </c>
      <c r="AK22" s="26" t="str">
        <f t="shared" si="34"/>
        <v/>
      </c>
      <c r="AL22" s="26" t="str">
        <f t="shared" si="34"/>
        <v/>
      </c>
      <c r="AM22" s="26" t="str">
        <f t="shared" si="34"/>
        <v/>
      </c>
      <c r="AN22" s="26" t="str">
        <f t="shared" si="34"/>
        <v/>
      </c>
      <c r="AO22" s="26" t="str">
        <f t="shared" si="34"/>
        <v/>
      </c>
      <c r="AP22" s="26" t="str">
        <f t="shared" ref="AP22:AR22" si="35">IF(AP15="","",AP15-AO15)</f>
        <v/>
      </c>
      <c r="AQ22" s="26" t="str">
        <f t="shared" si="35"/>
        <v/>
      </c>
      <c r="AR22" s="26" t="str">
        <f t="shared" si="35"/>
        <v/>
      </c>
    </row>
    <row r="23" spans="1:44" s="1" customFormat="1">
      <c r="A23" s="7">
        <f>SUM(C23:AS23)</f>
        <v>2</v>
      </c>
      <c r="B23" s="27" t="s">
        <v>16</v>
      </c>
      <c r="C23" s="65">
        <v>0</v>
      </c>
      <c r="D23" s="26">
        <f t="shared" ref="D23:AO23" si="36">IF(D16="","",D16-C16)</f>
        <v>0</v>
      </c>
      <c r="E23" s="26">
        <f t="shared" si="36"/>
        <v>0</v>
      </c>
      <c r="F23" s="26">
        <f t="shared" si="36"/>
        <v>0</v>
      </c>
      <c r="G23" s="122">
        <f t="shared" si="36"/>
        <v>0</v>
      </c>
      <c r="H23" s="26">
        <f t="shared" si="36"/>
        <v>0</v>
      </c>
      <c r="I23" s="26">
        <f t="shared" si="36"/>
        <v>1</v>
      </c>
      <c r="J23" s="122">
        <f t="shared" si="36"/>
        <v>0</v>
      </c>
      <c r="K23" s="26">
        <f t="shared" si="36"/>
        <v>0</v>
      </c>
      <c r="L23" s="26">
        <f t="shared" si="36"/>
        <v>0</v>
      </c>
      <c r="M23" s="26">
        <f t="shared" si="36"/>
        <v>0</v>
      </c>
      <c r="N23" s="26">
        <f t="shared" si="36"/>
        <v>0</v>
      </c>
      <c r="O23" s="26">
        <f t="shared" si="36"/>
        <v>0</v>
      </c>
      <c r="P23" s="122">
        <f t="shared" si="36"/>
        <v>0</v>
      </c>
      <c r="Q23" s="26">
        <f t="shared" si="36"/>
        <v>0</v>
      </c>
      <c r="R23" s="26">
        <f t="shared" si="36"/>
        <v>0</v>
      </c>
      <c r="S23" s="26">
        <f t="shared" si="36"/>
        <v>0</v>
      </c>
      <c r="T23" s="26">
        <f t="shared" si="36"/>
        <v>0</v>
      </c>
      <c r="U23" s="26">
        <f t="shared" si="36"/>
        <v>0</v>
      </c>
      <c r="V23" s="26">
        <f>IF(V16="","",V16-U16)</f>
        <v>0</v>
      </c>
      <c r="W23" s="26">
        <f t="shared" si="36"/>
        <v>0</v>
      </c>
      <c r="X23" s="26">
        <f t="shared" si="36"/>
        <v>0</v>
      </c>
      <c r="Y23" s="26">
        <f t="shared" si="36"/>
        <v>0</v>
      </c>
      <c r="Z23" s="26">
        <f t="shared" si="36"/>
        <v>0</v>
      </c>
      <c r="AA23" s="26">
        <f t="shared" si="36"/>
        <v>0</v>
      </c>
      <c r="AB23" s="26">
        <f t="shared" si="36"/>
        <v>0</v>
      </c>
      <c r="AC23" s="26">
        <f t="shared" si="36"/>
        <v>0</v>
      </c>
      <c r="AD23" s="26">
        <f t="shared" si="36"/>
        <v>1</v>
      </c>
      <c r="AE23" s="26" t="str">
        <f t="shared" si="36"/>
        <v/>
      </c>
      <c r="AF23" s="26" t="str">
        <f t="shared" si="36"/>
        <v/>
      </c>
      <c r="AG23" s="26" t="str">
        <f t="shared" si="36"/>
        <v/>
      </c>
      <c r="AH23" s="26" t="str">
        <f t="shared" si="36"/>
        <v/>
      </c>
      <c r="AI23" s="26" t="str">
        <f t="shared" si="36"/>
        <v/>
      </c>
      <c r="AJ23" s="26" t="str">
        <f t="shared" si="36"/>
        <v/>
      </c>
      <c r="AK23" s="26" t="str">
        <f t="shared" si="36"/>
        <v/>
      </c>
      <c r="AL23" s="26" t="str">
        <f t="shared" si="36"/>
        <v/>
      </c>
      <c r="AM23" s="26" t="str">
        <f t="shared" si="36"/>
        <v/>
      </c>
      <c r="AN23" s="26" t="str">
        <f t="shared" si="36"/>
        <v/>
      </c>
      <c r="AO23" s="26" t="str">
        <f t="shared" si="36"/>
        <v/>
      </c>
      <c r="AP23" s="26" t="str">
        <f t="shared" ref="AP23:AR23" si="37">IF(AP16="","",AP16-AO16)</f>
        <v/>
      </c>
      <c r="AQ23" s="26" t="str">
        <f t="shared" si="37"/>
        <v/>
      </c>
      <c r="AR23" s="26" t="str">
        <f t="shared" si="37"/>
        <v/>
      </c>
    </row>
    <row r="24" spans="1:44" s="1" customFormat="1">
      <c r="A24" s="7">
        <f>SUM(C24:AS24)</f>
        <v>2</v>
      </c>
      <c r="B24" s="27" t="s">
        <v>17</v>
      </c>
      <c r="C24" s="65">
        <v>0</v>
      </c>
      <c r="D24" s="26">
        <f t="shared" ref="D24:AO24" si="38">IF(D17="","",C17+C18-D17)</f>
        <v>0</v>
      </c>
      <c r="E24" s="26">
        <f t="shared" si="38"/>
        <v>0</v>
      </c>
      <c r="F24" s="26">
        <f t="shared" si="38"/>
        <v>0</v>
      </c>
      <c r="G24" s="122">
        <f t="shared" si="38"/>
        <v>0</v>
      </c>
      <c r="H24" s="26">
        <f t="shared" si="38"/>
        <v>0</v>
      </c>
      <c r="I24" s="26">
        <f t="shared" si="38"/>
        <v>1</v>
      </c>
      <c r="J24" s="122">
        <f t="shared" si="38"/>
        <v>0</v>
      </c>
      <c r="K24" s="26">
        <f t="shared" si="38"/>
        <v>0</v>
      </c>
      <c r="L24" s="26">
        <f t="shared" si="38"/>
        <v>0</v>
      </c>
      <c r="M24" s="26">
        <f t="shared" si="38"/>
        <v>0</v>
      </c>
      <c r="N24" s="26">
        <f t="shared" si="38"/>
        <v>0</v>
      </c>
      <c r="O24" s="26">
        <f t="shared" si="38"/>
        <v>0</v>
      </c>
      <c r="P24" s="122">
        <f t="shared" si="38"/>
        <v>0</v>
      </c>
      <c r="Q24" s="26">
        <f t="shared" si="38"/>
        <v>0</v>
      </c>
      <c r="R24" s="26">
        <f t="shared" si="38"/>
        <v>0</v>
      </c>
      <c r="S24" s="26">
        <f t="shared" si="38"/>
        <v>0</v>
      </c>
      <c r="T24" s="26">
        <f t="shared" si="38"/>
        <v>0</v>
      </c>
      <c r="U24" s="26">
        <f t="shared" si="38"/>
        <v>0</v>
      </c>
      <c r="V24" s="26">
        <f>IF(V17="","",U17+U18-V17)</f>
        <v>0</v>
      </c>
      <c r="W24" s="26">
        <f t="shared" si="38"/>
        <v>0</v>
      </c>
      <c r="X24" s="26">
        <f t="shared" si="38"/>
        <v>0</v>
      </c>
      <c r="Y24" s="26">
        <f t="shared" si="38"/>
        <v>0</v>
      </c>
      <c r="Z24" s="26">
        <f t="shared" si="38"/>
        <v>0</v>
      </c>
      <c r="AA24" s="26">
        <f t="shared" si="38"/>
        <v>0</v>
      </c>
      <c r="AB24" s="26">
        <f t="shared" si="38"/>
        <v>0</v>
      </c>
      <c r="AC24" s="26">
        <f t="shared" si="38"/>
        <v>0</v>
      </c>
      <c r="AD24" s="26">
        <f t="shared" si="38"/>
        <v>1</v>
      </c>
      <c r="AE24" s="26" t="str">
        <f t="shared" si="38"/>
        <v/>
      </c>
      <c r="AF24" s="26" t="str">
        <f t="shared" si="38"/>
        <v/>
      </c>
      <c r="AG24" s="26" t="str">
        <f t="shared" si="38"/>
        <v/>
      </c>
      <c r="AH24" s="26" t="str">
        <f t="shared" si="38"/>
        <v/>
      </c>
      <c r="AI24" s="26" t="str">
        <f t="shared" si="38"/>
        <v/>
      </c>
      <c r="AJ24" s="26" t="str">
        <f t="shared" si="38"/>
        <v/>
      </c>
      <c r="AK24" s="26" t="str">
        <f t="shared" si="38"/>
        <v/>
      </c>
      <c r="AL24" s="26" t="str">
        <f t="shared" si="38"/>
        <v/>
      </c>
      <c r="AM24" s="26" t="str">
        <f t="shared" si="38"/>
        <v/>
      </c>
      <c r="AN24" s="26" t="str">
        <f t="shared" si="38"/>
        <v/>
      </c>
      <c r="AO24" s="26" t="str">
        <f t="shared" si="38"/>
        <v/>
      </c>
      <c r="AP24" s="26" t="str">
        <f t="shared" ref="AP24:AR24" si="39">IF(AP17="","",AO17+AO18-AP17)</f>
        <v/>
      </c>
      <c r="AQ24" s="26" t="str">
        <f t="shared" si="39"/>
        <v/>
      </c>
      <c r="AR24" s="26" t="str">
        <f t="shared" si="39"/>
        <v/>
      </c>
    </row>
    <row r="25" spans="1:44" s="1" customFormat="1">
      <c r="A25" s="7">
        <f>SUM(C25:AS25)</f>
        <v>1500</v>
      </c>
      <c r="B25" s="27" t="s">
        <v>18</v>
      </c>
      <c r="C25" s="65">
        <v>0</v>
      </c>
      <c r="D25" s="26">
        <f t="shared" ref="D25:AO25" si="40">IF(D15="","",D24*D19)</f>
        <v>0</v>
      </c>
      <c r="E25" s="26">
        <f t="shared" si="40"/>
        <v>0</v>
      </c>
      <c r="F25" s="26">
        <f t="shared" si="40"/>
        <v>0</v>
      </c>
      <c r="G25" s="122">
        <f t="shared" si="40"/>
        <v>0</v>
      </c>
      <c r="H25" s="26">
        <f t="shared" si="40"/>
        <v>0</v>
      </c>
      <c r="I25" s="26">
        <f t="shared" si="40"/>
        <v>750</v>
      </c>
      <c r="J25" s="122">
        <f t="shared" si="40"/>
        <v>0</v>
      </c>
      <c r="K25" s="26">
        <f t="shared" si="40"/>
        <v>0</v>
      </c>
      <c r="L25" s="26">
        <f t="shared" si="40"/>
        <v>0</v>
      </c>
      <c r="M25" s="26">
        <f t="shared" si="40"/>
        <v>0</v>
      </c>
      <c r="N25" s="26">
        <f t="shared" si="40"/>
        <v>0</v>
      </c>
      <c r="O25" s="26">
        <f t="shared" si="40"/>
        <v>0</v>
      </c>
      <c r="P25" s="122">
        <f t="shared" si="40"/>
        <v>0</v>
      </c>
      <c r="Q25" s="26">
        <f t="shared" si="40"/>
        <v>0</v>
      </c>
      <c r="R25" s="26">
        <f t="shared" si="40"/>
        <v>0</v>
      </c>
      <c r="S25" s="26">
        <f t="shared" si="40"/>
        <v>0</v>
      </c>
      <c r="T25" s="26">
        <f t="shared" si="40"/>
        <v>0</v>
      </c>
      <c r="U25" s="26">
        <f t="shared" si="40"/>
        <v>0</v>
      </c>
      <c r="V25" s="26">
        <f>IF(V15="","",V24*V19)</f>
        <v>0</v>
      </c>
      <c r="W25" s="26">
        <f t="shared" si="40"/>
        <v>0</v>
      </c>
      <c r="X25" s="26">
        <f t="shared" si="40"/>
        <v>0</v>
      </c>
      <c r="Y25" s="26">
        <f t="shared" si="40"/>
        <v>0</v>
      </c>
      <c r="Z25" s="26">
        <f t="shared" si="40"/>
        <v>0</v>
      </c>
      <c r="AA25" s="26">
        <f t="shared" si="40"/>
        <v>0</v>
      </c>
      <c r="AB25" s="26">
        <f t="shared" si="40"/>
        <v>0</v>
      </c>
      <c r="AC25" s="26">
        <f t="shared" si="40"/>
        <v>0</v>
      </c>
      <c r="AD25" s="26">
        <f t="shared" si="40"/>
        <v>750</v>
      </c>
      <c r="AE25" s="26" t="str">
        <f t="shared" si="40"/>
        <v/>
      </c>
      <c r="AF25" s="26" t="str">
        <f t="shared" si="40"/>
        <v/>
      </c>
      <c r="AG25" s="26" t="str">
        <f t="shared" si="40"/>
        <v/>
      </c>
      <c r="AH25" s="26" t="str">
        <f t="shared" si="40"/>
        <v/>
      </c>
      <c r="AI25" s="26" t="str">
        <f t="shared" si="40"/>
        <v/>
      </c>
      <c r="AJ25" s="26" t="str">
        <f t="shared" si="40"/>
        <v/>
      </c>
      <c r="AK25" s="26" t="str">
        <f t="shared" si="40"/>
        <v/>
      </c>
      <c r="AL25" s="26" t="str">
        <f t="shared" si="40"/>
        <v/>
      </c>
      <c r="AM25" s="26" t="str">
        <f t="shared" si="40"/>
        <v/>
      </c>
      <c r="AN25" s="26" t="str">
        <f t="shared" si="40"/>
        <v/>
      </c>
      <c r="AO25" s="26" t="str">
        <f t="shared" si="40"/>
        <v/>
      </c>
      <c r="AP25" s="26" t="str">
        <f t="shared" ref="AP25:AR25" si="41">IF(AP15="","",AP24*AP19)</f>
        <v/>
      </c>
      <c r="AQ25" s="26" t="str">
        <f t="shared" si="41"/>
        <v/>
      </c>
      <c r="AR25" s="26" t="str">
        <f t="shared" si="41"/>
        <v/>
      </c>
    </row>
    <row r="26" spans="1:44" s="1" customFormat="1" ht="12" thickBot="1">
      <c r="A26" s="4">
        <f>IF(A25="","",A25/(A22*100))</f>
        <v>4.6583850931677016E-2</v>
      </c>
      <c r="B26" s="27" t="s">
        <v>20</v>
      </c>
      <c r="C26" s="68" t="s">
        <v>21</v>
      </c>
      <c r="D26" s="44" t="str">
        <f t="shared" ref="D26:AO26" si="42">IF(D25="","",IF(D25=0,"",D25/(D22*100)))</f>
        <v/>
      </c>
      <c r="E26" s="44" t="str">
        <f t="shared" si="42"/>
        <v/>
      </c>
      <c r="F26" s="44" t="str">
        <f t="shared" si="42"/>
        <v/>
      </c>
      <c r="G26" s="384" t="str">
        <f t="shared" si="42"/>
        <v/>
      </c>
      <c r="H26" s="44" t="str">
        <f t="shared" si="42"/>
        <v/>
      </c>
      <c r="I26" s="44">
        <f t="shared" si="42"/>
        <v>7.9787234042553196E-2</v>
      </c>
      <c r="J26" s="384" t="str">
        <f t="shared" si="42"/>
        <v/>
      </c>
      <c r="K26" s="44" t="str">
        <f t="shared" si="42"/>
        <v/>
      </c>
      <c r="L26" s="44" t="str">
        <f t="shared" si="42"/>
        <v/>
      </c>
      <c r="M26" s="44" t="str">
        <f t="shared" si="42"/>
        <v/>
      </c>
      <c r="N26" s="44" t="str">
        <f t="shared" si="42"/>
        <v/>
      </c>
      <c r="O26" s="44" t="str">
        <f t="shared" si="42"/>
        <v/>
      </c>
      <c r="P26" s="384" t="str">
        <f t="shared" si="42"/>
        <v/>
      </c>
      <c r="Q26" s="44" t="str">
        <f t="shared" si="42"/>
        <v/>
      </c>
      <c r="R26" s="44" t="str">
        <f t="shared" si="42"/>
        <v/>
      </c>
      <c r="S26" s="44" t="str">
        <f t="shared" si="42"/>
        <v/>
      </c>
      <c r="T26" s="44" t="str">
        <f t="shared" si="42"/>
        <v/>
      </c>
      <c r="U26" s="44" t="str">
        <f t="shared" si="42"/>
        <v/>
      </c>
      <c r="V26" s="44" t="str">
        <f>IF(V25="","",IF(V25=0,"",V25/(V22*100)))</f>
        <v/>
      </c>
      <c r="W26" s="44" t="str">
        <f t="shared" si="42"/>
        <v/>
      </c>
      <c r="X26" s="44" t="str">
        <f t="shared" si="42"/>
        <v/>
      </c>
      <c r="Y26" s="44" t="str">
        <f t="shared" si="42"/>
        <v/>
      </c>
      <c r="Z26" s="44" t="str">
        <f t="shared" si="42"/>
        <v/>
      </c>
      <c r="AA26" s="44" t="str">
        <f t="shared" si="42"/>
        <v/>
      </c>
      <c r="AB26" s="44" t="str">
        <f t="shared" si="42"/>
        <v/>
      </c>
      <c r="AC26" s="44" t="str">
        <f t="shared" si="42"/>
        <v/>
      </c>
      <c r="AD26" s="44">
        <f t="shared" si="42"/>
        <v>0.57692307692307687</v>
      </c>
      <c r="AE26" s="44" t="str">
        <f t="shared" si="42"/>
        <v/>
      </c>
      <c r="AF26" s="44" t="str">
        <f t="shared" si="42"/>
        <v/>
      </c>
      <c r="AG26" s="44" t="str">
        <f t="shared" si="42"/>
        <v/>
      </c>
      <c r="AH26" s="44" t="str">
        <f t="shared" si="42"/>
        <v/>
      </c>
      <c r="AI26" s="44" t="str">
        <f t="shared" si="42"/>
        <v/>
      </c>
      <c r="AJ26" s="44" t="str">
        <f t="shared" si="42"/>
        <v/>
      </c>
      <c r="AK26" s="44" t="str">
        <f t="shared" si="42"/>
        <v/>
      </c>
      <c r="AL26" s="44" t="str">
        <f t="shared" si="42"/>
        <v/>
      </c>
      <c r="AM26" s="44" t="str">
        <f t="shared" si="42"/>
        <v/>
      </c>
      <c r="AN26" s="44" t="str">
        <f t="shared" si="42"/>
        <v/>
      </c>
      <c r="AO26" s="44" t="str">
        <f t="shared" si="42"/>
        <v/>
      </c>
      <c r="AP26" s="44" t="str">
        <f t="shared" ref="AP26:AR26" si="43">IF(AP25="","",IF(AP25=0,"",AP25/(AP22*100)))</f>
        <v/>
      </c>
      <c r="AQ26" s="44" t="str">
        <f t="shared" si="43"/>
        <v/>
      </c>
      <c r="AR26" s="44" t="str">
        <f t="shared" si="43"/>
        <v/>
      </c>
    </row>
    <row r="27" spans="1:44" s="1" customFormat="1">
      <c r="A27" s="43" t="s">
        <v>180</v>
      </c>
      <c r="B27" s="42" t="s">
        <v>2</v>
      </c>
      <c r="C27" s="64">
        <v>15809</v>
      </c>
      <c r="D27" s="35">
        <f>IF(D$3="","",C27)</f>
        <v>15809</v>
      </c>
      <c r="E27" s="35">
        <f>IF(E$3="","",D27)</f>
        <v>15809</v>
      </c>
      <c r="F27" s="35">
        <v>15849</v>
      </c>
      <c r="G27" s="383">
        <f>IF(G$3="","",F27)</f>
        <v>15849</v>
      </c>
      <c r="H27" s="35">
        <f>IF(H$3="","",G27)</f>
        <v>15849</v>
      </c>
      <c r="I27" s="35">
        <v>15918</v>
      </c>
      <c r="J27" s="383">
        <f>IF(J$3="","",I27)</f>
        <v>15918</v>
      </c>
      <c r="K27" s="35">
        <f>IF(K$3="","",J27)</f>
        <v>15918</v>
      </c>
      <c r="L27" s="35">
        <v>15936</v>
      </c>
      <c r="M27" s="35">
        <f>IF(M$3="","",L27)</f>
        <v>15936</v>
      </c>
      <c r="N27" s="35">
        <f>IF(N$3="","",M27)</f>
        <v>15936</v>
      </c>
      <c r="O27" s="35">
        <v>15955</v>
      </c>
      <c r="P27" s="383">
        <f t="shared" ref="P27:AO27" si="44">IF(P$3="","",O27)</f>
        <v>15955</v>
      </c>
      <c r="Q27" s="35">
        <f t="shared" si="44"/>
        <v>15955</v>
      </c>
      <c r="R27" s="35">
        <f t="shared" si="44"/>
        <v>15955</v>
      </c>
      <c r="S27" s="35">
        <v>15990</v>
      </c>
      <c r="T27" s="35">
        <f t="shared" si="44"/>
        <v>15990</v>
      </c>
      <c r="U27" s="35">
        <f t="shared" si="44"/>
        <v>15990</v>
      </c>
      <c r="V27" s="35">
        <v>16032</v>
      </c>
      <c r="W27" s="35">
        <f t="shared" si="44"/>
        <v>16032</v>
      </c>
      <c r="X27" s="35">
        <f t="shared" si="44"/>
        <v>16032</v>
      </c>
      <c r="Y27" s="35">
        <f t="shared" si="44"/>
        <v>16032</v>
      </c>
      <c r="Z27" s="35">
        <f t="shared" si="44"/>
        <v>16032</v>
      </c>
      <c r="AA27" s="35">
        <v>16057</v>
      </c>
      <c r="AB27" s="35">
        <f t="shared" si="44"/>
        <v>16057</v>
      </c>
      <c r="AC27" s="35">
        <f t="shared" si="44"/>
        <v>16057</v>
      </c>
      <c r="AD27" s="35">
        <v>16082</v>
      </c>
      <c r="AE27" s="35" t="str">
        <f t="shared" si="44"/>
        <v/>
      </c>
      <c r="AF27" s="35" t="str">
        <f t="shared" si="44"/>
        <v/>
      </c>
      <c r="AG27" s="35" t="str">
        <f t="shared" si="44"/>
        <v/>
      </c>
      <c r="AH27" s="35" t="str">
        <f t="shared" si="44"/>
        <v/>
      </c>
      <c r="AI27" s="35" t="str">
        <f t="shared" si="44"/>
        <v/>
      </c>
      <c r="AJ27" s="35" t="str">
        <f t="shared" si="44"/>
        <v/>
      </c>
      <c r="AK27" s="35" t="str">
        <f t="shared" si="44"/>
        <v/>
      </c>
      <c r="AL27" s="35" t="str">
        <f t="shared" si="44"/>
        <v/>
      </c>
      <c r="AM27" s="35" t="str">
        <f t="shared" si="44"/>
        <v/>
      </c>
      <c r="AN27" s="35" t="str">
        <f t="shared" si="44"/>
        <v/>
      </c>
      <c r="AO27" s="35" t="str">
        <f t="shared" si="44"/>
        <v/>
      </c>
      <c r="AP27" s="35" t="str">
        <f t="shared" ref="AP27:AR27" si="45">IF(AP$3="","",AO27)</f>
        <v/>
      </c>
      <c r="AQ27" s="35" t="str">
        <f t="shared" si="45"/>
        <v/>
      </c>
      <c r="AR27" s="35" t="str">
        <f t="shared" si="45"/>
        <v/>
      </c>
    </row>
    <row r="28" spans="1:44" s="1" customFormat="1">
      <c r="A28" s="37" t="s">
        <v>184</v>
      </c>
      <c r="B28" s="30" t="s">
        <v>4</v>
      </c>
      <c r="C28" s="65">
        <v>1281</v>
      </c>
      <c r="D28" s="29">
        <f>IF(D$3="","",C28)</f>
        <v>1281</v>
      </c>
      <c r="E28" s="29">
        <f>IF(E$3="","",D28)</f>
        <v>1281</v>
      </c>
      <c r="F28" s="29">
        <v>1282</v>
      </c>
      <c r="G28" s="122">
        <f>IF(G$3="","",F28)</f>
        <v>1282</v>
      </c>
      <c r="H28" s="29">
        <f>IF(H$3="","",G28)</f>
        <v>1282</v>
      </c>
      <c r="I28" s="29">
        <v>1283</v>
      </c>
      <c r="J28" s="122">
        <f>IF(J$3="","",I28)</f>
        <v>1283</v>
      </c>
      <c r="K28" s="29">
        <f>IF(K$3="","",J28)</f>
        <v>1283</v>
      </c>
      <c r="L28" s="29">
        <f>IF(L$3="","",K28)</f>
        <v>1283</v>
      </c>
      <c r="M28" s="29">
        <f>IF(M$3="","",L28)</f>
        <v>1283</v>
      </c>
      <c r="N28" s="29">
        <f>IF(N$3="","",M28)</f>
        <v>1283</v>
      </c>
      <c r="O28" s="29">
        <v>1284</v>
      </c>
      <c r="P28" s="122">
        <f t="shared" ref="P28:AO28" si="46">IF(P$3="","",O28)</f>
        <v>1284</v>
      </c>
      <c r="Q28" s="29">
        <f t="shared" si="46"/>
        <v>1284</v>
      </c>
      <c r="R28" s="29">
        <f t="shared" si="46"/>
        <v>1284</v>
      </c>
      <c r="S28" s="29">
        <v>1285</v>
      </c>
      <c r="T28" s="29">
        <f t="shared" si="46"/>
        <v>1285</v>
      </c>
      <c r="U28" s="29">
        <f t="shared" si="46"/>
        <v>1285</v>
      </c>
      <c r="V28" s="29">
        <v>1286</v>
      </c>
      <c r="W28" s="29">
        <f t="shared" si="46"/>
        <v>1286</v>
      </c>
      <c r="X28" s="29">
        <f t="shared" si="46"/>
        <v>1286</v>
      </c>
      <c r="Y28" s="29">
        <f t="shared" si="46"/>
        <v>1286</v>
      </c>
      <c r="Z28" s="29">
        <f t="shared" si="46"/>
        <v>1286</v>
      </c>
      <c r="AA28" s="29">
        <f t="shared" si="46"/>
        <v>1286</v>
      </c>
      <c r="AB28" s="29">
        <f t="shared" si="46"/>
        <v>1286</v>
      </c>
      <c r="AC28" s="29">
        <f t="shared" si="46"/>
        <v>1286</v>
      </c>
      <c r="AD28" s="29">
        <v>1287</v>
      </c>
      <c r="AE28" s="29" t="str">
        <f t="shared" si="46"/>
        <v/>
      </c>
      <c r="AF28" s="29" t="str">
        <f t="shared" si="46"/>
        <v/>
      </c>
      <c r="AG28" s="29" t="str">
        <f t="shared" si="46"/>
        <v/>
      </c>
      <c r="AH28" s="29" t="str">
        <f t="shared" si="46"/>
        <v/>
      </c>
      <c r="AI28" s="29" t="str">
        <f t="shared" si="46"/>
        <v/>
      </c>
      <c r="AJ28" s="29" t="str">
        <f t="shared" si="46"/>
        <v/>
      </c>
      <c r="AK28" s="29" t="str">
        <f t="shared" si="46"/>
        <v/>
      </c>
      <c r="AL28" s="29" t="str">
        <f t="shared" si="46"/>
        <v/>
      </c>
      <c r="AM28" s="29" t="str">
        <f t="shared" si="46"/>
        <v/>
      </c>
      <c r="AN28" s="29" t="str">
        <f t="shared" si="46"/>
        <v/>
      </c>
      <c r="AO28" s="29" t="str">
        <f t="shared" si="46"/>
        <v/>
      </c>
      <c r="AP28" s="29" t="str">
        <f t="shared" ref="AP28:AR28" si="47">IF(AP$3="","",AO28)</f>
        <v/>
      </c>
      <c r="AQ28" s="29" t="str">
        <f t="shared" si="47"/>
        <v/>
      </c>
      <c r="AR28" s="29" t="str">
        <f t="shared" si="47"/>
        <v/>
      </c>
    </row>
    <row r="29" spans="1:44" s="1" customFormat="1">
      <c r="A29" s="41">
        <v>3</v>
      </c>
      <c r="B29" s="30" t="s">
        <v>5</v>
      </c>
      <c r="C29" s="65">
        <v>7</v>
      </c>
      <c r="D29" s="29">
        <f>IF(D27="","",(C29+C30))</f>
        <v>7</v>
      </c>
      <c r="E29" s="29">
        <f>IF(E27="","",(D29+D30))</f>
        <v>7</v>
      </c>
      <c r="F29" s="29">
        <v>5</v>
      </c>
      <c r="G29" s="122">
        <f>IF(G27="","",(F29+F30))</f>
        <v>5</v>
      </c>
      <c r="H29" s="29">
        <f>IF(H27="","",(G29+G30))</f>
        <v>5</v>
      </c>
      <c r="I29" s="29">
        <v>4</v>
      </c>
      <c r="J29" s="122">
        <f>IF(J27="","",(I29+I30))</f>
        <v>6</v>
      </c>
      <c r="K29" s="29">
        <f>IF(K27="","",(J29+J30))</f>
        <v>6</v>
      </c>
      <c r="L29" s="29">
        <f>IF(L27="","",(K29+K30))</f>
        <v>6</v>
      </c>
      <c r="M29" s="29">
        <f>IF(M27="","",(L29+L30))</f>
        <v>6</v>
      </c>
      <c r="N29" s="29">
        <f>IF(N27="","",(M29+M30))</f>
        <v>6</v>
      </c>
      <c r="O29" s="29">
        <v>5</v>
      </c>
      <c r="P29" s="122">
        <f t="shared" ref="P29:AO29" si="48">IF(P27="","",(O29+O30))</f>
        <v>5</v>
      </c>
      <c r="Q29" s="29">
        <f t="shared" si="48"/>
        <v>5</v>
      </c>
      <c r="R29" s="29">
        <f t="shared" si="48"/>
        <v>5</v>
      </c>
      <c r="S29" s="29">
        <v>4</v>
      </c>
      <c r="T29" s="29">
        <f t="shared" si="48"/>
        <v>6</v>
      </c>
      <c r="U29" s="29">
        <f t="shared" si="48"/>
        <v>6</v>
      </c>
      <c r="V29" s="29">
        <v>5</v>
      </c>
      <c r="W29" s="29">
        <f t="shared" si="48"/>
        <v>5</v>
      </c>
      <c r="X29" s="29">
        <f t="shared" si="48"/>
        <v>5</v>
      </c>
      <c r="Y29" s="29">
        <f t="shared" si="48"/>
        <v>5</v>
      </c>
      <c r="Z29" s="29">
        <f t="shared" si="48"/>
        <v>5</v>
      </c>
      <c r="AA29" s="29">
        <f t="shared" si="48"/>
        <v>5</v>
      </c>
      <c r="AB29" s="29">
        <f t="shared" si="48"/>
        <v>5</v>
      </c>
      <c r="AC29" s="29">
        <f t="shared" si="48"/>
        <v>5</v>
      </c>
      <c r="AD29" s="29">
        <v>4</v>
      </c>
      <c r="AE29" s="29" t="str">
        <f t="shared" si="48"/>
        <v/>
      </c>
      <c r="AF29" s="29" t="str">
        <f t="shared" si="48"/>
        <v/>
      </c>
      <c r="AG29" s="29" t="str">
        <f t="shared" si="48"/>
        <v/>
      </c>
      <c r="AH29" s="29" t="str">
        <f t="shared" si="48"/>
        <v/>
      </c>
      <c r="AI29" s="29" t="str">
        <f t="shared" si="48"/>
        <v/>
      </c>
      <c r="AJ29" s="29" t="str">
        <f t="shared" si="48"/>
        <v/>
      </c>
      <c r="AK29" s="29" t="str">
        <f t="shared" si="48"/>
        <v/>
      </c>
      <c r="AL29" s="29" t="str">
        <f t="shared" si="48"/>
        <v/>
      </c>
      <c r="AM29" s="29" t="str">
        <f t="shared" si="48"/>
        <v/>
      </c>
      <c r="AN29" s="29" t="str">
        <f t="shared" si="48"/>
        <v/>
      </c>
      <c r="AO29" s="29" t="str">
        <f t="shared" si="48"/>
        <v/>
      </c>
      <c r="AP29" s="29" t="str">
        <f t="shared" ref="AP29:AR29" si="49">IF(AP27="","",(AO29+AO30))</f>
        <v/>
      </c>
      <c r="AQ29" s="29" t="str">
        <f t="shared" si="49"/>
        <v/>
      </c>
      <c r="AR29" s="29" t="str">
        <f t="shared" si="49"/>
        <v/>
      </c>
    </row>
    <row r="30" spans="1:44" s="1" customFormat="1">
      <c r="A30" s="14"/>
      <c r="B30" s="30" t="s">
        <v>7</v>
      </c>
      <c r="C30" s="65"/>
      <c r="D30" s="29"/>
      <c r="E30" s="29"/>
      <c r="F30" s="29"/>
      <c r="G30" s="122"/>
      <c r="H30" s="29"/>
      <c r="I30" s="29">
        <v>2</v>
      </c>
      <c r="J30" s="122"/>
      <c r="K30" s="29"/>
      <c r="L30" s="29"/>
      <c r="M30" s="29"/>
      <c r="N30" s="29"/>
      <c r="O30" s="29"/>
      <c r="P30" s="122"/>
      <c r="Q30" s="29"/>
      <c r="R30" s="29"/>
      <c r="S30" s="29">
        <v>2</v>
      </c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 s="1" customFormat="1">
      <c r="A31" s="7"/>
      <c r="B31" s="30" t="s">
        <v>8</v>
      </c>
      <c r="C31" s="64">
        <v>300</v>
      </c>
      <c r="D31" s="35">
        <f t="shared" ref="D31:AO31" si="50">IF(D27="","",C31)</f>
        <v>300</v>
      </c>
      <c r="E31" s="35">
        <f t="shared" si="50"/>
        <v>300</v>
      </c>
      <c r="F31" s="35">
        <f t="shared" si="50"/>
        <v>300</v>
      </c>
      <c r="G31" s="383">
        <f t="shared" si="50"/>
        <v>300</v>
      </c>
      <c r="H31" s="35">
        <f t="shared" si="50"/>
        <v>300</v>
      </c>
      <c r="I31" s="35">
        <f t="shared" si="50"/>
        <v>300</v>
      </c>
      <c r="J31" s="383">
        <f t="shared" si="50"/>
        <v>300</v>
      </c>
      <c r="K31" s="35">
        <f t="shared" si="50"/>
        <v>300</v>
      </c>
      <c r="L31" s="35">
        <f t="shared" si="50"/>
        <v>300</v>
      </c>
      <c r="M31" s="35">
        <f t="shared" si="50"/>
        <v>300</v>
      </c>
      <c r="N31" s="35">
        <f t="shared" si="50"/>
        <v>300</v>
      </c>
      <c r="O31" s="35">
        <f t="shared" si="50"/>
        <v>300</v>
      </c>
      <c r="P31" s="383">
        <f t="shared" si="50"/>
        <v>300</v>
      </c>
      <c r="Q31" s="35">
        <f t="shared" si="50"/>
        <v>300</v>
      </c>
      <c r="R31" s="35">
        <f t="shared" si="50"/>
        <v>300</v>
      </c>
      <c r="S31" s="35">
        <f t="shared" si="50"/>
        <v>300</v>
      </c>
      <c r="T31" s="35">
        <f t="shared" si="50"/>
        <v>300</v>
      </c>
      <c r="U31" s="35">
        <f t="shared" si="50"/>
        <v>300</v>
      </c>
      <c r="V31" s="35">
        <f>IF(V27="","",U31)</f>
        <v>300</v>
      </c>
      <c r="W31" s="35">
        <f t="shared" si="50"/>
        <v>300</v>
      </c>
      <c r="X31" s="35">
        <f t="shared" si="50"/>
        <v>300</v>
      </c>
      <c r="Y31" s="35">
        <f t="shared" si="50"/>
        <v>300</v>
      </c>
      <c r="Z31" s="35">
        <f t="shared" si="50"/>
        <v>300</v>
      </c>
      <c r="AA31" s="35">
        <f t="shared" si="50"/>
        <v>300</v>
      </c>
      <c r="AB31" s="35">
        <f t="shared" si="50"/>
        <v>300</v>
      </c>
      <c r="AC31" s="35">
        <f t="shared" si="50"/>
        <v>300</v>
      </c>
      <c r="AD31" s="35">
        <f t="shared" si="50"/>
        <v>300</v>
      </c>
      <c r="AE31" s="35" t="str">
        <f t="shared" si="50"/>
        <v/>
      </c>
      <c r="AF31" s="35" t="str">
        <f t="shared" si="50"/>
        <v/>
      </c>
      <c r="AG31" s="35" t="str">
        <f t="shared" si="50"/>
        <v/>
      </c>
      <c r="AH31" s="35" t="str">
        <f t="shared" si="50"/>
        <v/>
      </c>
      <c r="AI31" s="35" t="str">
        <f t="shared" si="50"/>
        <v/>
      </c>
      <c r="AJ31" s="35" t="str">
        <f t="shared" si="50"/>
        <v/>
      </c>
      <c r="AK31" s="35" t="str">
        <f t="shared" si="50"/>
        <v/>
      </c>
      <c r="AL31" s="35" t="str">
        <f t="shared" si="50"/>
        <v/>
      </c>
      <c r="AM31" s="35" t="str">
        <f t="shared" si="50"/>
        <v/>
      </c>
      <c r="AN31" s="35" t="str">
        <f t="shared" si="50"/>
        <v/>
      </c>
      <c r="AO31" s="35" t="str">
        <f t="shared" si="50"/>
        <v/>
      </c>
      <c r="AP31" s="35" t="str">
        <f t="shared" ref="AP31:AR31" si="51">IF(AP27="","",AO31)</f>
        <v/>
      </c>
      <c r="AQ31" s="35" t="str">
        <f t="shared" si="51"/>
        <v/>
      </c>
      <c r="AR31" s="35" t="str">
        <f t="shared" si="51"/>
        <v/>
      </c>
    </row>
    <row r="32" spans="1:44" s="11" customFormat="1">
      <c r="A32" s="14" t="s">
        <v>9</v>
      </c>
      <c r="B32" s="33" t="s">
        <v>10</v>
      </c>
      <c r="C32" s="63" t="s">
        <v>34</v>
      </c>
      <c r="D32" s="32" t="str">
        <f t="shared" ref="D32:AO32" si="52">IF(D27="","",C32)</f>
        <v>ラブブMC</v>
      </c>
      <c r="E32" s="32" t="str">
        <f t="shared" si="52"/>
        <v>ラブブMC</v>
      </c>
      <c r="F32" s="32" t="str">
        <f t="shared" si="52"/>
        <v>ラブブMC</v>
      </c>
      <c r="G32" s="123" t="str">
        <f t="shared" si="52"/>
        <v>ラブブMC</v>
      </c>
      <c r="H32" s="32" t="str">
        <f t="shared" si="52"/>
        <v>ラブブMC</v>
      </c>
      <c r="I32" s="32" t="str">
        <f t="shared" si="52"/>
        <v>ラブブMC</v>
      </c>
      <c r="J32" s="123" t="str">
        <f t="shared" si="52"/>
        <v>ラブブMC</v>
      </c>
      <c r="K32" s="32" t="str">
        <f t="shared" si="52"/>
        <v>ラブブMC</v>
      </c>
      <c r="L32" s="32" t="str">
        <f t="shared" si="52"/>
        <v>ラブブMC</v>
      </c>
      <c r="M32" s="32" t="str">
        <f t="shared" si="52"/>
        <v>ラブブMC</v>
      </c>
      <c r="N32" s="32" t="str">
        <f t="shared" si="52"/>
        <v>ラブブMC</v>
      </c>
      <c r="O32" s="32" t="str">
        <f t="shared" si="52"/>
        <v>ラブブMC</v>
      </c>
      <c r="P32" s="123" t="str">
        <f t="shared" si="52"/>
        <v>ラブブMC</v>
      </c>
      <c r="Q32" s="32" t="str">
        <f t="shared" si="52"/>
        <v>ラブブMC</v>
      </c>
      <c r="R32" s="32" t="str">
        <f t="shared" si="52"/>
        <v>ラブブMC</v>
      </c>
      <c r="S32" s="32" t="str">
        <f t="shared" si="52"/>
        <v>ラブブMC</v>
      </c>
      <c r="T32" s="32" t="str">
        <f t="shared" si="52"/>
        <v>ラブブMC</v>
      </c>
      <c r="U32" s="32" t="str">
        <f t="shared" si="52"/>
        <v>ラブブMC</v>
      </c>
      <c r="V32" s="32" t="str">
        <f>IF(V27="","",U32)</f>
        <v>ラブブMC</v>
      </c>
      <c r="W32" s="32" t="str">
        <f t="shared" si="52"/>
        <v>ラブブMC</v>
      </c>
      <c r="X32" s="32" t="str">
        <f t="shared" si="52"/>
        <v>ラブブMC</v>
      </c>
      <c r="Y32" s="32" t="str">
        <f t="shared" si="52"/>
        <v>ラブブMC</v>
      </c>
      <c r="Z32" s="32" t="str">
        <f t="shared" si="52"/>
        <v>ラブブMC</v>
      </c>
      <c r="AA32" s="32" t="str">
        <f t="shared" si="52"/>
        <v>ラブブMC</v>
      </c>
      <c r="AB32" s="32" t="str">
        <f t="shared" si="52"/>
        <v>ラブブMC</v>
      </c>
      <c r="AC32" s="32" t="str">
        <f t="shared" si="52"/>
        <v>ラブブMC</v>
      </c>
      <c r="AD32" s="32" t="str">
        <f t="shared" si="52"/>
        <v>ラブブMC</v>
      </c>
      <c r="AE32" s="32" t="str">
        <f t="shared" si="52"/>
        <v/>
      </c>
      <c r="AF32" s="32" t="str">
        <f t="shared" si="52"/>
        <v/>
      </c>
      <c r="AG32" s="32" t="str">
        <f t="shared" si="52"/>
        <v/>
      </c>
      <c r="AH32" s="32" t="str">
        <f t="shared" si="52"/>
        <v/>
      </c>
      <c r="AI32" s="32" t="str">
        <f t="shared" si="52"/>
        <v/>
      </c>
      <c r="AJ32" s="32" t="str">
        <f t="shared" si="52"/>
        <v/>
      </c>
      <c r="AK32" s="32" t="str">
        <f t="shared" si="52"/>
        <v/>
      </c>
      <c r="AL32" s="32" t="str">
        <f t="shared" si="52"/>
        <v/>
      </c>
      <c r="AM32" s="32" t="str">
        <f t="shared" si="52"/>
        <v/>
      </c>
      <c r="AN32" s="32" t="str">
        <f t="shared" si="52"/>
        <v/>
      </c>
      <c r="AO32" s="32" t="str">
        <f t="shared" si="52"/>
        <v/>
      </c>
      <c r="AP32" s="32" t="str">
        <f t="shared" ref="AP32:AR32" si="53">IF(AP27="","",AO32)</f>
        <v/>
      </c>
      <c r="AQ32" s="32" t="str">
        <f t="shared" si="53"/>
        <v/>
      </c>
      <c r="AR32" s="32" t="str">
        <f t="shared" si="53"/>
        <v/>
      </c>
    </row>
    <row r="33" spans="1:44" s="1" customFormat="1">
      <c r="A33" s="7">
        <f>AVERAGE(C34:AS34)*30*100</f>
        <v>29250</v>
      </c>
      <c r="B33" s="30" t="s">
        <v>14</v>
      </c>
      <c r="C33" s="65"/>
      <c r="D33" s="29"/>
      <c r="E33" s="29"/>
      <c r="F33" s="29"/>
      <c r="G33" s="122"/>
      <c r="H33" s="29"/>
      <c r="I33" s="29"/>
      <c r="J33" s="122"/>
      <c r="K33" s="29"/>
      <c r="L33" s="29"/>
      <c r="M33" s="29"/>
      <c r="N33" s="29"/>
      <c r="O33" s="29"/>
      <c r="P33" s="122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</row>
    <row r="34" spans="1:44" s="1" customFormat="1">
      <c r="A34" s="7">
        <f>SUM(C34:AS34)</f>
        <v>273</v>
      </c>
      <c r="B34" s="27" t="s">
        <v>15</v>
      </c>
      <c r="C34" s="65">
        <v>0</v>
      </c>
      <c r="D34" s="26">
        <f t="shared" ref="D34:AO34" si="54">IF(D27="","",D27-C27)</f>
        <v>0</v>
      </c>
      <c r="E34" s="26">
        <f t="shared" si="54"/>
        <v>0</v>
      </c>
      <c r="F34" s="26">
        <f t="shared" si="54"/>
        <v>40</v>
      </c>
      <c r="G34" s="122">
        <f t="shared" si="54"/>
        <v>0</v>
      </c>
      <c r="H34" s="26">
        <f t="shared" si="54"/>
        <v>0</v>
      </c>
      <c r="I34" s="26">
        <f t="shared" si="54"/>
        <v>69</v>
      </c>
      <c r="J34" s="122">
        <f t="shared" si="54"/>
        <v>0</v>
      </c>
      <c r="K34" s="26">
        <f t="shared" si="54"/>
        <v>0</v>
      </c>
      <c r="L34" s="26">
        <f t="shared" si="54"/>
        <v>18</v>
      </c>
      <c r="M34" s="26">
        <f t="shared" si="54"/>
        <v>0</v>
      </c>
      <c r="N34" s="26">
        <f t="shared" si="54"/>
        <v>0</v>
      </c>
      <c r="O34" s="26">
        <f t="shared" si="54"/>
        <v>19</v>
      </c>
      <c r="P34" s="122">
        <f t="shared" si="54"/>
        <v>0</v>
      </c>
      <c r="Q34" s="26">
        <f t="shared" si="54"/>
        <v>0</v>
      </c>
      <c r="R34" s="26">
        <f t="shared" si="54"/>
        <v>0</v>
      </c>
      <c r="S34" s="26">
        <f t="shared" si="54"/>
        <v>35</v>
      </c>
      <c r="T34" s="26">
        <f t="shared" si="54"/>
        <v>0</v>
      </c>
      <c r="U34" s="26">
        <f t="shared" si="54"/>
        <v>0</v>
      </c>
      <c r="V34" s="26">
        <f>IF(V27="","",V27-U27)</f>
        <v>42</v>
      </c>
      <c r="W34" s="26">
        <f t="shared" si="54"/>
        <v>0</v>
      </c>
      <c r="X34" s="26">
        <f t="shared" si="54"/>
        <v>0</v>
      </c>
      <c r="Y34" s="26">
        <f t="shared" si="54"/>
        <v>0</v>
      </c>
      <c r="Z34" s="26">
        <f t="shared" si="54"/>
        <v>0</v>
      </c>
      <c r="AA34" s="26">
        <f t="shared" si="54"/>
        <v>25</v>
      </c>
      <c r="AB34" s="26">
        <f t="shared" si="54"/>
        <v>0</v>
      </c>
      <c r="AC34" s="26">
        <f t="shared" si="54"/>
        <v>0</v>
      </c>
      <c r="AD34" s="26">
        <f t="shared" si="54"/>
        <v>25</v>
      </c>
      <c r="AE34" s="26" t="str">
        <f t="shared" si="54"/>
        <v/>
      </c>
      <c r="AF34" s="26" t="str">
        <f t="shared" si="54"/>
        <v/>
      </c>
      <c r="AG34" s="26" t="str">
        <f t="shared" si="54"/>
        <v/>
      </c>
      <c r="AH34" s="26" t="str">
        <f t="shared" si="54"/>
        <v/>
      </c>
      <c r="AI34" s="26" t="str">
        <f t="shared" si="54"/>
        <v/>
      </c>
      <c r="AJ34" s="26" t="str">
        <f t="shared" si="54"/>
        <v/>
      </c>
      <c r="AK34" s="26" t="str">
        <f t="shared" si="54"/>
        <v/>
      </c>
      <c r="AL34" s="26" t="str">
        <f t="shared" si="54"/>
        <v/>
      </c>
      <c r="AM34" s="26" t="str">
        <f t="shared" si="54"/>
        <v/>
      </c>
      <c r="AN34" s="26" t="str">
        <f t="shared" si="54"/>
        <v/>
      </c>
      <c r="AO34" s="26" t="str">
        <f t="shared" si="54"/>
        <v/>
      </c>
      <c r="AP34" s="26" t="str">
        <f t="shared" ref="AP34:AR34" si="55">IF(AP27="","",AP27-AO27)</f>
        <v/>
      </c>
      <c r="AQ34" s="26" t="str">
        <f t="shared" si="55"/>
        <v/>
      </c>
      <c r="AR34" s="26" t="str">
        <f t="shared" si="55"/>
        <v/>
      </c>
    </row>
    <row r="35" spans="1:44" s="1" customFormat="1">
      <c r="A35" s="7">
        <f>SUM(C35:AS35)</f>
        <v>6</v>
      </c>
      <c r="B35" s="27" t="s">
        <v>16</v>
      </c>
      <c r="C35" s="65">
        <v>0</v>
      </c>
      <c r="D35" s="26">
        <f t="shared" ref="D35:AO35" si="56">IF(D28="","",D28-C28)</f>
        <v>0</v>
      </c>
      <c r="E35" s="26">
        <f t="shared" si="56"/>
        <v>0</v>
      </c>
      <c r="F35" s="26">
        <f t="shared" si="56"/>
        <v>1</v>
      </c>
      <c r="G35" s="122">
        <f t="shared" si="56"/>
        <v>0</v>
      </c>
      <c r="H35" s="26">
        <f t="shared" si="56"/>
        <v>0</v>
      </c>
      <c r="I35" s="26">
        <f t="shared" si="56"/>
        <v>1</v>
      </c>
      <c r="J35" s="122">
        <f t="shared" si="56"/>
        <v>0</v>
      </c>
      <c r="K35" s="26">
        <f t="shared" si="56"/>
        <v>0</v>
      </c>
      <c r="L35" s="26">
        <f t="shared" si="56"/>
        <v>0</v>
      </c>
      <c r="M35" s="26">
        <f t="shared" si="56"/>
        <v>0</v>
      </c>
      <c r="N35" s="26">
        <f t="shared" si="56"/>
        <v>0</v>
      </c>
      <c r="O35" s="26">
        <f t="shared" si="56"/>
        <v>1</v>
      </c>
      <c r="P35" s="122">
        <f t="shared" si="56"/>
        <v>0</v>
      </c>
      <c r="Q35" s="26">
        <f t="shared" si="56"/>
        <v>0</v>
      </c>
      <c r="R35" s="26">
        <f t="shared" si="56"/>
        <v>0</v>
      </c>
      <c r="S35" s="26">
        <f t="shared" si="56"/>
        <v>1</v>
      </c>
      <c r="T35" s="26">
        <f t="shared" si="56"/>
        <v>0</v>
      </c>
      <c r="U35" s="26">
        <f t="shared" si="56"/>
        <v>0</v>
      </c>
      <c r="V35" s="26">
        <f>IF(V28="","",V28-U28)</f>
        <v>1</v>
      </c>
      <c r="W35" s="26">
        <f t="shared" si="56"/>
        <v>0</v>
      </c>
      <c r="X35" s="26">
        <f t="shared" si="56"/>
        <v>0</v>
      </c>
      <c r="Y35" s="26">
        <f t="shared" si="56"/>
        <v>0</v>
      </c>
      <c r="Z35" s="26">
        <f t="shared" si="56"/>
        <v>0</v>
      </c>
      <c r="AA35" s="26">
        <f t="shared" si="56"/>
        <v>0</v>
      </c>
      <c r="AB35" s="26">
        <f t="shared" si="56"/>
        <v>0</v>
      </c>
      <c r="AC35" s="26">
        <f t="shared" si="56"/>
        <v>0</v>
      </c>
      <c r="AD35" s="26">
        <f t="shared" si="56"/>
        <v>1</v>
      </c>
      <c r="AE35" s="26" t="str">
        <f t="shared" si="56"/>
        <v/>
      </c>
      <c r="AF35" s="26" t="str">
        <f t="shared" si="56"/>
        <v/>
      </c>
      <c r="AG35" s="26" t="str">
        <f t="shared" si="56"/>
        <v/>
      </c>
      <c r="AH35" s="26" t="str">
        <f t="shared" si="56"/>
        <v/>
      </c>
      <c r="AI35" s="26" t="str">
        <f t="shared" si="56"/>
        <v/>
      </c>
      <c r="AJ35" s="26" t="str">
        <f t="shared" si="56"/>
        <v/>
      </c>
      <c r="AK35" s="26" t="str">
        <f t="shared" si="56"/>
        <v/>
      </c>
      <c r="AL35" s="26" t="str">
        <f t="shared" si="56"/>
        <v/>
      </c>
      <c r="AM35" s="26" t="str">
        <f t="shared" si="56"/>
        <v/>
      </c>
      <c r="AN35" s="26" t="str">
        <f t="shared" si="56"/>
        <v/>
      </c>
      <c r="AO35" s="26" t="str">
        <f t="shared" si="56"/>
        <v/>
      </c>
      <c r="AP35" s="26" t="str">
        <f t="shared" ref="AP35:AR35" si="57">IF(AP28="","",AP28-AO28)</f>
        <v/>
      </c>
      <c r="AQ35" s="26" t="str">
        <f t="shared" si="57"/>
        <v/>
      </c>
      <c r="AR35" s="26" t="str">
        <f t="shared" si="57"/>
        <v/>
      </c>
    </row>
    <row r="36" spans="1:44" s="1" customFormat="1">
      <c r="A36" s="7">
        <f>SUM(C36:AS36)</f>
        <v>7</v>
      </c>
      <c r="B36" s="27" t="s">
        <v>17</v>
      </c>
      <c r="C36" s="65">
        <v>0</v>
      </c>
      <c r="D36" s="26">
        <f t="shared" ref="D36:AO36" si="58">IF(D29="","",C29+C30-D29)</f>
        <v>0</v>
      </c>
      <c r="E36" s="26">
        <f t="shared" si="58"/>
        <v>0</v>
      </c>
      <c r="F36" s="26">
        <f t="shared" si="58"/>
        <v>2</v>
      </c>
      <c r="G36" s="122">
        <f t="shared" si="58"/>
        <v>0</v>
      </c>
      <c r="H36" s="26">
        <f t="shared" si="58"/>
        <v>0</v>
      </c>
      <c r="I36" s="26">
        <f t="shared" si="58"/>
        <v>1</v>
      </c>
      <c r="J36" s="122">
        <f t="shared" si="58"/>
        <v>0</v>
      </c>
      <c r="K36" s="26">
        <f t="shared" si="58"/>
        <v>0</v>
      </c>
      <c r="L36" s="26">
        <f t="shared" si="58"/>
        <v>0</v>
      </c>
      <c r="M36" s="26">
        <f t="shared" si="58"/>
        <v>0</v>
      </c>
      <c r="N36" s="26">
        <f t="shared" si="58"/>
        <v>0</v>
      </c>
      <c r="O36" s="26">
        <f t="shared" si="58"/>
        <v>1</v>
      </c>
      <c r="P36" s="122">
        <f t="shared" si="58"/>
        <v>0</v>
      </c>
      <c r="Q36" s="26">
        <f t="shared" si="58"/>
        <v>0</v>
      </c>
      <c r="R36" s="26">
        <f t="shared" si="58"/>
        <v>0</v>
      </c>
      <c r="S36" s="26">
        <f t="shared" si="58"/>
        <v>1</v>
      </c>
      <c r="T36" s="26">
        <f t="shared" si="58"/>
        <v>0</v>
      </c>
      <c r="U36" s="26">
        <f t="shared" si="58"/>
        <v>0</v>
      </c>
      <c r="V36" s="26">
        <f>IF(V29="","",U29+U30-V29)</f>
        <v>1</v>
      </c>
      <c r="W36" s="26">
        <f t="shared" si="58"/>
        <v>0</v>
      </c>
      <c r="X36" s="26">
        <f t="shared" si="58"/>
        <v>0</v>
      </c>
      <c r="Y36" s="26">
        <f t="shared" si="58"/>
        <v>0</v>
      </c>
      <c r="Z36" s="26">
        <f t="shared" si="58"/>
        <v>0</v>
      </c>
      <c r="AA36" s="26">
        <f t="shared" si="58"/>
        <v>0</v>
      </c>
      <c r="AB36" s="26">
        <f t="shared" si="58"/>
        <v>0</v>
      </c>
      <c r="AC36" s="26">
        <f t="shared" si="58"/>
        <v>0</v>
      </c>
      <c r="AD36" s="26">
        <f t="shared" si="58"/>
        <v>1</v>
      </c>
      <c r="AE36" s="26" t="str">
        <f t="shared" si="58"/>
        <v/>
      </c>
      <c r="AF36" s="26" t="str">
        <f t="shared" si="58"/>
        <v/>
      </c>
      <c r="AG36" s="26" t="str">
        <f t="shared" si="58"/>
        <v/>
      </c>
      <c r="AH36" s="26" t="str">
        <f t="shared" si="58"/>
        <v/>
      </c>
      <c r="AI36" s="26" t="str">
        <f t="shared" si="58"/>
        <v/>
      </c>
      <c r="AJ36" s="26" t="str">
        <f t="shared" si="58"/>
        <v/>
      </c>
      <c r="AK36" s="26" t="str">
        <f t="shared" si="58"/>
        <v/>
      </c>
      <c r="AL36" s="26" t="str">
        <f t="shared" si="58"/>
        <v/>
      </c>
      <c r="AM36" s="26" t="str">
        <f t="shared" si="58"/>
        <v/>
      </c>
      <c r="AN36" s="26" t="str">
        <f t="shared" si="58"/>
        <v/>
      </c>
      <c r="AO36" s="26" t="str">
        <f t="shared" si="58"/>
        <v/>
      </c>
      <c r="AP36" s="26" t="str">
        <f t="shared" ref="AP36:AR36" si="59">IF(AP29="","",AO29+AO30-AP29)</f>
        <v/>
      </c>
      <c r="AQ36" s="26" t="str">
        <f t="shared" si="59"/>
        <v/>
      </c>
      <c r="AR36" s="26" t="str">
        <f t="shared" si="59"/>
        <v/>
      </c>
    </row>
    <row r="37" spans="1:44" s="1" customFormat="1">
      <c r="A37" s="7">
        <f>SUM(C37:AS37)</f>
        <v>2100</v>
      </c>
      <c r="B37" s="27" t="s">
        <v>18</v>
      </c>
      <c r="C37" s="65">
        <v>0</v>
      </c>
      <c r="D37" s="26">
        <f t="shared" ref="D37:AO37" si="60">IF(D27="","",D36*D31)</f>
        <v>0</v>
      </c>
      <c r="E37" s="26">
        <f t="shared" si="60"/>
        <v>0</v>
      </c>
      <c r="F37" s="26">
        <f t="shared" si="60"/>
        <v>600</v>
      </c>
      <c r="G37" s="122">
        <f t="shared" si="60"/>
        <v>0</v>
      </c>
      <c r="H37" s="26">
        <f t="shared" si="60"/>
        <v>0</v>
      </c>
      <c r="I37" s="26">
        <f t="shared" si="60"/>
        <v>300</v>
      </c>
      <c r="J37" s="122">
        <f t="shared" si="60"/>
        <v>0</v>
      </c>
      <c r="K37" s="26">
        <f t="shared" si="60"/>
        <v>0</v>
      </c>
      <c r="L37" s="26">
        <f t="shared" si="60"/>
        <v>0</v>
      </c>
      <c r="M37" s="26">
        <f t="shared" si="60"/>
        <v>0</v>
      </c>
      <c r="N37" s="26">
        <f t="shared" si="60"/>
        <v>0</v>
      </c>
      <c r="O37" s="26">
        <f t="shared" si="60"/>
        <v>300</v>
      </c>
      <c r="P37" s="122">
        <f t="shared" si="60"/>
        <v>0</v>
      </c>
      <c r="Q37" s="26">
        <f t="shared" si="60"/>
        <v>0</v>
      </c>
      <c r="R37" s="26">
        <f t="shared" si="60"/>
        <v>0</v>
      </c>
      <c r="S37" s="26">
        <f t="shared" si="60"/>
        <v>300</v>
      </c>
      <c r="T37" s="26">
        <f t="shared" si="60"/>
        <v>0</v>
      </c>
      <c r="U37" s="26">
        <f t="shared" si="60"/>
        <v>0</v>
      </c>
      <c r="V37" s="26">
        <f>IF(V27="","",V36*V31)</f>
        <v>300</v>
      </c>
      <c r="W37" s="26">
        <f t="shared" si="60"/>
        <v>0</v>
      </c>
      <c r="X37" s="26">
        <f t="shared" si="60"/>
        <v>0</v>
      </c>
      <c r="Y37" s="26">
        <f t="shared" si="60"/>
        <v>0</v>
      </c>
      <c r="Z37" s="26">
        <f t="shared" si="60"/>
        <v>0</v>
      </c>
      <c r="AA37" s="26">
        <f t="shared" si="60"/>
        <v>0</v>
      </c>
      <c r="AB37" s="26">
        <f t="shared" si="60"/>
        <v>0</v>
      </c>
      <c r="AC37" s="26">
        <f t="shared" si="60"/>
        <v>0</v>
      </c>
      <c r="AD37" s="26">
        <f t="shared" si="60"/>
        <v>300</v>
      </c>
      <c r="AE37" s="26" t="str">
        <f t="shared" si="60"/>
        <v/>
      </c>
      <c r="AF37" s="26" t="str">
        <f t="shared" si="60"/>
        <v/>
      </c>
      <c r="AG37" s="26" t="str">
        <f t="shared" si="60"/>
        <v/>
      </c>
      <c r="AH37" s="26" t="str">
        <f t="shared" si="60"/>
        <v/>
      </c>
      <c r="AI37" s="26" t="str">
        <f t="shared" si="60"/>
        <v/>
      </c>
      <c r="AJ37" s="26" t="str">
        <f t="shared" si="60"/>
        <v/>
      </c>
      <c r="AK37" s="26" t="str">
        <f t="shared" si="60"/>
        <v/>
      </c>
      <c r="AL37" s="26" t="str">
        <f t="shared" si="60"/>
        <v/>
      </c>
      <c r="AM37" s="26" t="str">
        <f t="shared" si="60"/>
        <v/>
      </c>
      <c r="AN37" s="26" t="str">
        <f t="shared" si="60"/>
        <v/>
      </c>
      <c r="AO37" s="26" t="str">
        <f t="shared" si="60"/>
        <v/>
      </c>
      <c r="AP37" s="26" t="str">
        <f t="shared" ref="AP37:AR37" si="61">IF(AP27="","",AP36*AP31)</f>
        <v/>
      </c>
      <c r="AQ37" s="26" t="str">
        <f t="shared" si="61"/>
        <v/>
      </c>
      <c r="AR37" s="26" t="str">
        <f t="shared" si="61"/>
        <v/>
      </c>
    </row>
    <row r="38" spans="1:44" s="1" customFormat="1" ht="12" thickBot="1">
      <c r="A38" s="4">
        <f>IF(A37="","",A37/(A34*100))</f>
        <v>7.6923076923076927E-2</v>
      </c>
      <c r="B38" s="27" t="s">
        <v>20</v>
      </c>
      <c r="C38" s="68" t="s">
        <v>21</v>
      </c>
      <c r="D38" s="44" t="str">
        <f t="shared" ref="D38:AO38" si="62">IF(D37="","",IF(D37=0,"",D37/(D34*100)))</f>
        <v/>
      </c>
      <c r="E38" s="44" t="str">
        <f t="shared" si="62"/>
        <v/>
      </c>
      <c r="F38" s="44">
        <f t="shared" si="62"/>
        <v>0.15</v>
      </c>
      <c r="G38" s="384" t="str">
        <f t="shared" si="62"/>
        <v/>
      </c>
      <c r="H38" s="44" t="str">
        <f t="shared" si="62"/>
        <v/>
      </c>
      <c r="I38" s="44">
        <f t="shared" si="62"/>
        <v>4.3478260869565216E-2</v>
      </c>
      <c r="J38" s="384" t="str">
        <f t="shared" si="62"/>
        <v/>
      </c>
      <c r="K38" s="44" t="str">
        <f t="shared" si="62"/>
        <v/>
      </c>
      <c r="L38" s="44" t="str">
        <f t="shared" si="62"/>
        <v/>
      </c>
      <c r="M38" s="44" t="str">
        <f t="shared" si="62"/>
        <v/>
      </c>
      <c r="N38" s="44" t="str">
        <f t="shared" si="62"/>
        <v/>
      </c>
      <c r="O38" s="44">
        <f t="shared" si="62"/>
        <v>0.15789473684210525</v>
      </c>
      <c r="P38" s="384" t="str">
        <f t="shared" si="62"/>
        <v/>
      </c>
      <c r="Q38" s="44" t="str">
        <f t="shared" si="62"/>
        <v/>
      </c>
      <c r="R38" s="44" t="str">
        <f t="shared" si="62"/>
        <v/>
      </c>
      <c r="S38" s="44">
        <f t="shared" si="62"/>
        <v>8.5714285714285715E-2</v>
      </c>
      <c r="T38" s="44" t="str">
        <f t="shared" si="62"/>
        <v/>
      </c>
      <c r="U38" s="44" t="str">
        <f t="shared" si="62"/>
        <v/>
      </c>
      <c r="V38" s="44">
        <f>IF(V37="","",IF(V37=0,"",V37/(V34*100)))</f>
        <v>7.1428571428571425E-2</v>
      </c>
      <c r="W38" s="44" t="str">
        <f t="shared" si="62"/>
        <v/>
      </c>
      <c r="X38" s="44" t="str">
        <f t="shared" si="62"/>
        <v/>
      </c>
      <c r="Y38" s="44" t="str">
        <f t="shared" si="62"/>
        <v/>
      </c>
      <c r="Z38" s="44" t="str">
        <f t="shared" si="62"/>
        <v/>
      </c>
      <c r="AA38" s="44" t="str">
        <f t="shared" si="62"/>
        <v/>
      </c>
      <c r="AB38" s="44" t="str">
        <f t="shared" si="62"/>
        <v/>
      </c>
      <c r="AC38" s="44" t="str">
        <f t="shared" si="62"/>
        <v/>
      </c>
      <c r="AD38" s="44">
        <f t="shared" si="62"/>
        <v>0.12</v>
      </c>
      <c r="AE38" s="44" t="str">
        <f t="shared" si="62"/>
        <v/>
      </c>
      <c r="AF38" s="44" t="str">
        <f t="shared" si="62"/>
        <v/>
      </c>
      <c r="AG38" s="44" t="str">
        <f t="shared" si="62"/>
        <v/>
      </c>
      <c r="AH38" s="44" t="str">
        <f t="shared" si="62"/>
        <v/>
      </c>
      <c r="AI38" s="44" t="str">
        <f t="shared" si="62"/>
        <v/>
      </c>
      <c r="AJ38" s="44" t="str">
        <f t="shared" si="62"/>
        <v/>
      </c>
      <c r="AK38" s="44" t="str">
        <f t="shared" si="62"/>
        <v/>
      </c>
      <c r="AL38" s="44" t="str">
        <f t="shared" si="62"/>
        <v/>
      </c>
      <c r="AM38" s="44" t="str">
        <f t="shared" si="62"/>
        <v/>
      </c>
      <c r="AN38" s="44" t="str">
        <f t="shared" si="62"/>
        <v/>
      </c>
      <c r="AO38" s="44" t="str">
        <f t="shared" si="62"/>
        <v/>
      </c>
      <c r="AP38" s="44" t="str">
        <f t="shared" ref="AP38:AR38" si="63">IF(AP37="","",IF(AP37=0,"",AP37/(AP34*100)))</f>
        <v/>
      </c>
      <c r="AQ38" s="44" t="str">
        <f t="shared" si="63"/>
        <v/>
      </c>
      <c r="AR38" s="44" t="str">
        <f t="shared" si="63"/>
        <v/>
      </c>
    </row>
    <row r="39" spans="1:44" s="1" customFormat="1">
      <c r="A39" s="43" t="s">
        <v>180</v>
      </c>
      <c r="B39" s="42" t="s">
        <v>2</v>
      </c>
      <c r="C39" s="64">
        <v>11596</v>
      </c>
      <c r="D39" s="35">
        <f>IF(D$3="","",C39)</f>
        <v>11596</v>
      </c>
      <c r="E39" s="35">
        <f>IF(E$3="","",D39)</f>
        <v>11596</v>
      </c>
      <c r="F39" s="35">
        <v>11607</v>
      </c>
      <c r="G39" s="383">
        <f>IF(G$3="","",F39)</f>
        <v>11607</v>
      </c>
      <c r="H39" s="35">
        <f>IF(H$3="","",G39)</f>
        <v>11607</v>
      </c>
      <c r="I39" s="35">
        <v>11620</v>
      </c>
      <c r="J39" s="383">
        <f>IF(J$3="","",I39)</f>
        <v>11620</v>
      </c>
      <c r="K39" s="35">
        <f>IF(K$3="","",J39)</f>
        <v>11620</v>
      </c>
      <c r="L39" s="35">
        <v>11669</v>
      </c>
      <c r="M39" s="35">
        <f>IF(M$3="","",L39)</f>
        <v>11669</v>
      </c>
      <c r="N39" s="35">
        <f>IF(N$3="","",M39)</f>
        <v>11669</v>
      </c>
      <c r="O39" s="35">
        <v>11712</v>
      </c>
      <c r="P39" s="383">
        <f t="shared" ref="P39:AO39" si="64">IF(P$3="","",O39)</f>
        <v>11712</v>
      </c>
      <c r="Q39" s="35">
        <f t="shared" si="64"/>
        <v>11712</v>
      </c>
      <c r="R39" s="35">
        <f t="shared" si="64"/>
        <v>11712</v>
      </c>
      <c r="S39" s="35">
        <v>11738</v>
      </c>
      <c r="T39" s="35">
        <f t="shared" si="64"/>
        <v>11738</v>
      </c>
      <c r="U39" s="35">
        <f t="shared" si="64"/>
        <v>11738</v>
      </c>
      <c r="V39" s="35">
        <v>11791</v>
      </c>
      <c r="W39" s="35">
        <f t="shared" si="64"/>
        <v>11791</v>
      </c>
      <c r="X39" s="35">
        <f t="shared" si="64"/>
        <v>11791</v>
      </c>
      <c r="Y39" s="35">
        <f t="shared" si="64"/>
        <v>11791</v>
      </c>
      <c r="Z39" s="35">
        <f t="shared" si="64"/>
        <v>11791</v>
      </c>
      <c r="AA39" s="35">
        <v>11838</v>
      </c>
      <c r="AB39" s="35">
        <f t="shared" si="64"/>
        <v>11838</v>
      </c>
      <c r="AC39" s="35">
        <f t="shared" si="64"/>
        <v>11838</v>
      </c>
      <c r="AD39" s="35">
        <v>11881</v>
      </c>
      <c r="AE39" s="35" t="str">
        <f t="shared" si="64"/>
        <v/>
      </c>
      <c r="AF39" s="35" t="str">
        <f t="shared" si="64"/>
        <v/>
      </c>
      <c r="AG39" s="35" t="str">
        <f t="shared" si="64"/>
        <v/>
      </c>
      <c r="AH39" s="35" t="str">
        <f t="shared" si="64"/>
        <v/>
      </c>
      <c r="AI39" s="35" t="str">
        <f t="shared" si="64"/>
        <v/>
      </c>
      <c r="AJ39" s="35" t="str">
        <f t="shared" si="64"/>
        <v/>
      </c>
      <c r="AK39" s="35" t="str">
        <f t="shared" si="64"/>
        <v/>
      </c>
      <c r="AL39" s="35" t="str">
        <f t="shared" si="64"/>
        <v/>
      </c>
      <c r="AM39" s="35" t="str">
        <f t="shared" si="64"/>
        <v/>
      </c>
      <c r="AN39" s="35" t="str">
        <f t="shared" si="64"/>
        <v/>
      </c>
      <c r="AO39" s="35" t="str">
        <f t="shared" si="64"/>
        <v/>
      </c>
      <c r="AP39" s="35" t="str">
        <f t="shared" ref="AP39:AR39" si="65">IF(AP$3="","",AO39)</f>
        <v/>
      </c>
      <c r="AQ39" s="35" t="str">
        <f t="shared" si="65"/>
        <v/>
      </c>
      <c r="AR39" s="35" t="str">
        <f t="shared" si="65"/>
        <v/>
      </c>
    </row>
    <row r="40" spans="1:44" s="1" customFormat="1">
      <c r="A40" s="37" t="s">
        <v>184</v>
      </c>
      <c r="B40" s="30" t="s">
        <v>4</v>
      </c>
      <c r="C40" s="65">
        <v>645</v>
      </c>
      <c r="D40" s="29">
        <f>IF(D$3="","",C40)</f>
        <v>645</v>
      </c>
      <c r="E40" s="29">
        <f>IF(E$3="","",D40)</f>
        <v>645</v>
      </c>
      <c r="F40" s="29">
        <v>646</v>
      </c>
      <c r="G40" s="122">
        <f>IF(G$3="","",F40)</f>
        <v>646</v>
      </c>
      <c r="H40" s="29">
        <f>IF(H$3="","",G40)</f>
        <v>646</v>
      </c>
      <c r="I40" s="29">
        <v>650</v>
      </c>
      <c r="J40" s="122">
        <f>IF(J$3="","",I40)</f>
        <v>650</v>
      </c>
      <c r="K40" s="29">
        <f>IF(K$3="","",J40)</f>
        <v>650</v>
      </c>
      <c r="L40" s="29">
        <f>IF(L$3="","",K40)</f>
        <v>650</v>
      </c>
      <c r="M40" s="29">
        <f>IF(M$3="","",L40)</f>
        <v>650</v>
      </c>
      <c r="N40" s="29">
        <f>IF(N$3="","",M40)</f>
        <v>650</v>
      </c>
      <c r="O40" s="29">
        <v>658</v>
      </c>
      <c r="P40" s="122">
        <f t="shared" ref="P40:AO40" si="66">IF(P$3="","",O40)</f>
        <v>658</v>
      </c>
      <c r="Q40" s="29">
        <f t="shared" si="66"/>
        <v>658</v>
      </c>
      <c r="R40" s="29">
        <f t="shared" si="66"/>
        <v>658</v>
      </c>
      <c r="S40" s="29">
        <v>668</v>
      </c>
      <c r="T40" s="29">
        <f t="shared" si="66"/>
        <v>668</v>
      </c>
      <c r="U40" s="29">
        <f t="shared" si="66"/>
        <v>668</v>
      </c>
      <c r="V40" s="29">
        <f>IF(V$3="","",U40)</f>
        <v>668</v>
      </c>
      <c r="W40" s="29">
        <f t="shared" si="66"/>
        <v>668</v>
      </c>
      <c r="X40" s="29">
        <f t="shared" si="66"/>
        <v>668</v>
      </c>
      <c r="Y40" s="29">
        <f t="shared" si="66"/>
        <v>668</v>
      </c>
      <c r="Z40" s="29">
        <f t="shared" si="66"/>
        <v>668</v>
      </c>
      <c r="AA40" s="29">
        <v>669</v>
      </c>
      <c r="AB40" s="29">
        <f t="shared" si="66"/>
        <v>669</v>
      </c>
      <c r="AC40" s="29">
        <f t="shared" si="66"/>
        <v>669</v>
      </c>
      <c r="AD40" s="29">
        <v>670</v>
      </c>
      <c r="AE40" s="29" t="str">
        <f t="shared" si="66"/>
        <v/>
      </c>
      <c r="AF40" s="29" t="str">
        <f t="shared" si="66"/>
        <v/>
      </c>
      <c r="AG40" s="29" t="str">
        <f t="shared" si="66"/>
        <v/>
      </c>
      <c r="AH40" s="29" t="str">
        <f t="shared" si="66"/>
        <v/>
      </c>
      <c r="AI40" s="29" t="str">
        <f t="shared" si="66"/>
        <v/>
      </c>
      <c r="AJ40" s="29" t="str">
        <f t="shared" si="66"/>
        <v/>
      </c>
      <c r="AK40" s="29" t="str">
        <f t="shared" si="66"/>
        <v/>
      </c>
      <c r="AL40" s="29" t="str">
        <f t="shared" si="66"/>
        <v/>
      </c>
      <c r="AM40" s="29" t="str">
        <f t="shared" si="66"/>
        <v/>
      </c>
      <c r="AN40" s="29" t="str">
        <f t="shared" si="66"/>
        <v/>
      </c>
      <c r="AO40" s="29" t="str">
        <f t="shared" si="66"/>
        <v/>
      </c>
      <c r="AP40" s="29" t="str">
        <f t="shared" ref="AP40:AR40" si="67">IF(AP$3="","",AO40)</f>
        <v/>
      </c>
      <c r="AQ40" s="29" t="str">
        <f t="shared" si="67"/>
        <v/>
      </c>
      <c r="AR40" s="29" t="str">
        <f t="shared" si="67"/>
        <v/>
      </c>
    </row>
    <row r="41" spans="1:44" s="1" customFormat="1">
      <c r="A41" s="41">
        <v>4</v>
      </c>
      <c r="B41" s="30" t="s">
        <v>5</v>
      </c>
      <c r="C41" s="65">
        <v>2</v>
      </c>
      <c r="D41" s="29">
        <f>IF(D39="","",(C41+C42))</f>
        <v>2</v>
      </c>
      <c r="E41" s="29">
        <f>IF(E39="","",(D41+D42))</f>
        <v>2</v>
      </c>
      <c r="F41" s="29">
        <v>0</v>
      </c>
      <c r="G41" s="122">
        <f>IF(G39="","",(F41+F42))</f>
        <v>4</v>
      </c>
      <c r="H41" s="29">
        <f>IF(H39="","",(G41+G42))</f>
        <v>4</v>
      </c>
      <c r="I41" s="29">
        <v>0</v>
      </c>
      <c r="J41" s="122">
        <f>IF(J39="","",(I41+I42))</f>
        <v>3</v>
      </c>
      <c r="K41" s="29">
        <f>IF(K39="","",(J41+J42))</f>
        <v>3</v>
      </c>
      <c r="L41" s="29">
        <v>1</v>
      </c>
      <c r="M41" s="29">
        <f>IF(M39="","",(L41+L42))</f>
        <v>10</v>
      </c>
      <c r="N41" s="29">
        <f>IF(N39="","",(M41+M42))</f>
        <v>10</v>
      </c>
      <c r="O41" s="29">
        <v>1</v>
      </c>
      <c r="P41" s="122">
        <f t="shared" ref="P41:AO41" si="68">IF(P39="","",(O41+O42))</f>
        <v>10</v>
      </c>
      <c r="Q41" s="29">
        <f t="shared" si="68"/>
        <v>10</v>
      </c>
      <c r="R41" s="29">
        <f t="shared" si="68"/>
        <v>10</v>
      </c>
      <c r="S41" s="29">
        <v>0</v>
      </c>
      <c r="T41" s="29">
        <f t="shared" si="68"/>
        <v>5</v>
      </c>
      <c r="U41" s="29">
        <f t="shared" si="68"/>
        <v>5</v>
      </c>
      <c r="V41" s="29">
        <f>IF(V39="","",(U41+U42))</f>
        <v>5</v>
      </c>
      <c r="W41" s="29">
        <f t="shared" si="68"/>
        <v>5</v>
      </c>
      <c r="X41" s="29">
        <f t="shared" si="68"/>
        <v>5</v>
      </c>
      <c r="Y41" s="29">
        <f t="shared" si="68"/>
        <v>5</v>
      </c>
      <c r="Z41" s="29">
        <f t="shared" si="68"/>
        <v>5</v>
      </c>
      <c r="AA41" s="29">
        <f>IF(AA39="","",(Z41+Z42))</f>
        <v>10</v>
      </c>
      <c r="AB41" s="29">
        <f>IF(AB39="","",(AA41+AA42))</f>
        <v>10</v>
      </c>
      <c r="AC41" s="29">
        <f>IF(AC39="","",(AB41+AB42))</f>
        <v>10</v>
      </c>
      <c r="AD41" s="29">
        <v>8</v>
      </c>
      <c r="AE41" s="29" t="str">
        <f t="shared" si="68"/>
        <v/>
      </c>
      <c r="AF41" s="29" t="str">
        <f t="shared" si="68"/>
        <v/>
      </c>
      <c r="AG41" s="29" t="str">
        <f t="shared" si="68"/>
        <v/>
      </c>
      <c r="AH41" s="29" t="str">
        <f t="shared" si="68"/>
        <v/>
      </c>
      <c r="AI41" s="29" t="str">
        <f t="shared" si="68"/>
        <v/>
      </c>
      <c r="AJ41" s="29" t="str">
        <f t="shared" si="68"/>
        <v/>
      </c>
      <c r="AK41" s="29" t="str">
        <f t="shared" si="68"/>
        <v/>
      </c>
      <c r="AL41" s="29" t="str">
        <f t="shared" si="68"/>
        <v/>
      </c>
      <c r="AM41" s="29" t="str">
        <f t="shared" si="68"/>
        <v/>
      </c>
      <c r="AN41" s="29" t="str">
        <f t="shared" si="68"/>
        <v/>
      </c>
      <c r="AO41" s="29" t="str">
        <f t="shared" si="68"/>
        <v/>
      </c>
      <c r="AP41" s="29" t="str">
        <f t="shared" ref="AP41" si="69">IF(AP39="","",(AO41+AO42))</f>
        <v/>
      </c>
      <c r="AQ41" s="29" t="str">
        <f t="shared" ref="AQ41:AR41" si="70">IF(AQ39="","",(AP41+AP42))</f>
        <v/>
      </c>
      <c r="AR41" s="29" t="str">
        <f t="shared" si="70"/>
        <v/>
      </c>
    </row>
    <row r="42" spans="1:44" s="1" customFormat="1">
      <c r="A42" s="14"/>
      <c r="B42" s="30" t="s">
        <v>7</v>
      </c>
      <c r="C42" s="65"/>
      <c r="D42" s="29"/>
      <c r="E42" s="29"/>
      <c r="F42" s="29">
        <v>4</v>
      </c>
      <c r="G42" s="122"/>
      <c r="H42" s="29"/>
      <c r="I42" s="29">
        <v>3</v>
      </c>
      <c r="J42" s="122"/>
      <c r="K42" s="29"/>
      <c r="L42" s="29">
        <v>9</v>
      </c>
      <c r="M42" s="29"/>
      <c r="N42" s="29"/>
      <c r="O42" s="29">
        <v>9</v>
      </c>
      <c r="P42" s="122"/>
      <c r="Q42" s="29"/>
      <c r="R42" s="29"/>
      <c r="S42" s="29">
        <v>5</v>
      </c>
      <c r="T42" s="29"/>
      <c r="U42" s="29"/>
      <c r="V42" s="29"/>
      <c r="W42" s="29"/>
      <c r="X42" s="29"/>
      <c r="Y42" s="29"/>
      <c r="Z42" s="29">
        <v>5</v>
      </c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 s="1" customFormat="1">
      <c r="A43" s="7"/>
      <c r="B43" s="30" t="s">
        <v>8</v>
      </c>
      <c r="C43" s="64">
        <v>400</v>
      </c>
      <c r="D43" s="35">
        <f t="shared" ref="D43:I43" si="71">IF(D39="","",C43)</f>
        <v>400</v>
      </c>
      <c r="E43" s="35">
        <f t="shared" si="71"/>
        <v>400</v>
      </c>
      <c r="F43" s="35">
        <f t="shared" si="71"/>
        <v>400</v>
      </c>
      <c r="G43" s="383">
        <f t="shared" si="71"/>
        <v>400</v>
      </c>
      <c r="H43" s="35">
        <f t="shared" si="71"/>
        <v>400</v>
      </c>
      <c r="I43" s="35">
        <f t="shared" si="71"/>
        <v>400</v>
      </c>
      <c r="J43" s="383">
        <v>500</v>
      </c>
      <c r="K43" s="35">
        <f>IF(K39="","",J43)</f>
        <v>500</v>
      </c>
      <c r="L43" s="35">
        <f>IF(L39="","",K43)</f>
        <v>500</v>
      </c>
      <c r="M43" s="35">
        <v>200</v>
      </c>
      <c r="N43" s="35">
        <f t="shared" ref="N43:AO43" si="72">IF(N39="","",M43)</f>
        <v>200</v>
      </c>
      <c r="O43" s="35">
        <f t="shared" si="72"/>
        <v>200</v>
      </c>
      <c r="P43" s="383">
        <f t="shared" si="72"/>
        <v>200</v>
      </c>
      <c r="Q43" s="35">
        <f t="shared" si="72"/>
        <v>200</v>
      </c>
      <c r="R43" s="35">
        <f t="shared" si="72"/>
        <v>200</v>
      </c>
      <c r="S43" s="35">
        <f t="shared" si="72"/>
        <v>200</v>
      </c>
      <c r="T43" s="35">
        <f t="shared" si="72"/>
        <v>200</v>
      </c>
      <c r="U43" s="35">
        <f t="shared" si="72"/>
        <v>200</v>
      </c>
      <c r="V43" s="35">
        <f>IF(V39="","",U43)</f>
        <v>200</v>
      </c>
      <c r="W43" s="35">
        <f t="shared" si="72"/>
        <v>200</v>
      </c>
      <c r="X43" s="35">
        <f t="shared" si="72"/>
        <v>200</v>
      </c>
      <c r="Y43" s="35">
        <f t="shared" si="72"/>
        <v>200</v>
      </c>
      <c r="Z43" s="35">
        <f t="shared" si="72"/>
        <v>200</v>
      </c>
      <c r="AA43" s="35">
        <f t="shared" si="72"/>
        <v>200</v>
      </c>
      <c r="AB43" s="35">
        <f t="shared" si="72"/>
        <v>200</v>
      </c>
      <c r="AC43" s="35">
        <f t="shared" si="72"/>
        <v>200</v>
      </c>
      <c r="AD43" s="35">
        <f t="shared" si="72"/>
        <v>200</v>
      </c>
      <c r="AE43" s="35" t="str">
        <f t="shared" si="72"/>
        <v/>
      </c>
      <c r="AF43" s="35" t="str">
        <f t="shared" si="72"/>
        <v/>
      </c>
      <c r="AG43" s="35" t="str">
        <f t="shared" si="72"/>
        <v/>
      </c>
      <c r="AH43" s="35" t="str">
        <f t="shared" si="72"/>
        <v/>
      </c>
      <c r="AI43" s="35" t="str">
        <f t="shared" si="72"/>
        <v/>
      </c>
      <c r="AJ43" s="35" t="str">
        <f t="shared" si="72"/>
        <v/>
      </c>
      <c r="AK43" s="35" t="str">
        <f t="shared" si="72"/>
        <v/>
      </c>
      <c r="AL43" s="35" t="str">
        <f t="shared" si="72"/>
        <v/>
      </c>
      <c r="AM43" s="35" t="str">
        <f t="shared" si="72"/>
        <v/>
      </c>
      <c r="AN43" s="35" t="str">
        <f t="shared" si="72"/>
        <v/>
      </c>
      <c r="AO43" s="35" t="str">
        <f t="shared" si="72"/>
        <v/>
      </c>
      <c r="AP43" s="35" t="str">
        <f t="shared" ref="AP43" si="73">IF(AP39="","",AO43)</f>
        <v/>
      </c>
      <c r="AQ43" s="35" t="str">
        <f t="shared" ref="AQ43:AR43" si="74">IF(AQ39="","",AP43)</f>
        <v/>
      </c>
      <c r="AR43" s="35" t="str">
        <f t="shared" si="74"/>
        <v/>
      </c>
    </row>
    <row r="44" spans="1:44" s="11" customFormat="1">
      <c r="A44" s="14" t="s">
        <v>9</v>
      </c>
      <c r="B44" s="33" t="s">
        <v>10</v>
      </c>
      <c r="C44" s="63" t="s">
        <v>186</v>
      </c>
      <c r="D44" s="32" t="str">
        <f t="shared" ref="D44:I44" si="75">IF(D39="","",C44)</f>
        <v>ケーキSQ</v>
      </c>
      <c r="E44" s="32" t="str">
        <f t="shared" si="75"/>
        <v>ケーキSQ</v>
      </c>
      <c r="F44" s="32" t="str">
        <f t="shared" si="75"/>
        <v>ケーキSQ</v>
      </c>
      <c r="G44" s="123" t="str">
        <f t="shared" si="75"/>
        <v>ケーキSQ</v>
      </c>
      <c r="H44" s="32" t="str">
        <f t="shared" si="75"/>
        <v>ケーキSQ</v>
      </c>
      <c r="I44" s="32" t="str">
        <f t="shared" si="75"/>
        <v>ケーキSQ</v>
      </c>
      <c r="J44" s="123" t="s">
        <v>187</v>
      </c>
      <c r="K44" s="32" t="str">
        <f>IF(K39="","",J44)</f>
        <v>サンリオボア</v>
      </c>
      <c r="L44" s="32" t="str">
        <f>IF(L39="","",K44)</f>
        <v>サンリオボア</v>
      </c>
      <c r="M44" s="32" t="s">
        <v>188</v>
      </c>
      <c r="N44" s="32" t="str">
        <f t="shared" ref="N44:AO44" si="76">IF(N39="","",M44)</f>
        <v>海外シール</v>
      </c>
      <c r="O44" s="32" t="str">
        <f t="shared" si="76"/>
        <v>海外シール</v>
      </c>
      <c r="P44" s="123" t="str">
        <f t="shared" si="76"/>
        <v>海外シール</v>
      </c>
      <c r="Q44" s="32" t="str">
        <f t="shared" si="76"/>
        <v>海外シール</v>
      </c>
      <c r="R44" s="32" t="str">
        <f t="shared" si="76"/>
        <v>海外シール</v>
      </c>
      <c r="S44" s="32" t="str">
        <f t="shared" si="76"/>
        <v>海外シール</v>
      </c>
      <c r="T44" s="32" t="str">
        <f t="shared" si="76"/>
        <v>海外シール</v>
      </c>
      <c r="U44" s="32" t="str">
        <f t="shared" si="76"/>
        <v>海外シール</v>
      </c>
      <c r="V44" s="32" t="str">
        <f>IF(V39="","",U44)</f>
        <v>海外シール</v>
      </c>
      <c r="W44" s="32" t="str">
        <f t="shared" si="76"/>
        <v>海外シール</v>
      </c>
      <c r="X44" s="32" t="str">
        <f t="shared" si="76"/>
        <v>海外シール</v>
      </c>
      <c r="Y44" s="32" t="str">
        <f t="shared" si="76"/>
        <v>海外シール</v>
      </c>
      <c r="Z44" s="32" t="str">
        <f t="shared" si="76"/>
        <v>海外シール</v>
      </c>
      <c r="AA44" s="32" t="str">
        <f t="shared" si="76"/>
        <v>海外シール</v>
      </c>
      <c r="AB44" s="32" t="str">
        <f t="shared" si="76"/>
        <v>海外シール</v>
      </c>
      <c r="AC44" s="32" t="str">
        <f t="shared" si="76"/>
        <v>海外シール</v>
      </c>
      <c r="AD44" s="32" t="str">
        <f t="shared" si="76"/>
        <v>海外シール</v>
      </c>
      <c r="AE44" s="32" t="str">
        <f t="shared" si="76"/>
        <v/>
      </c>
      <c r="AF44" s="32" t="str">
        <f t="shared" si="76"/>
        <v/>
      </c>
      <c r="AG44" s="32" t="str">
        <f t="shared" si="76"/>
        <v/>
      </c>
      <c r="AH44" s="32" t="str">
        <f t="shared" si="76"/>
        <v/>
      </c>
      <c r="AI44" s="32" t="str">
        <f t="shared" si="76"/>
        <v/>
      </c>
      <c r="AJ44" s="32" t="str">
        <f t="shared" si="76"/>
        <v/>
      </c>
      <c r="AK44" s="32" t="str">
        <f t="shared" si="76"/>
        <v/>
      </c>
      <c r="AL44" s="32" t="str">
        <f t="shared" si="76"/>
        <v/>
      </c>
      <c r="AM44" s="32" t="str">
        <f t="shared" si="76"/>
        <v/>
      </c>
      <c r="AN44" s="32" t="str">
        <f t="shared" si="76"/>
        <v/>
      </c>
      <c r="AO44" s="32" t="str">
        <f t="shared" si="76"/>
        <v/>
      </c>
      <c r="AP44" s="32" t="str">
        <f t="shared" ref="AP44" si="77">IF(AP39="","",AO44)</f>
        <v/>
      </c>
      <c r="AQ44" s="32" t="str">
        <f t="shared" ref="AQ44:AR44" si="78">IF(AQ39="","",AP44)</f>
        <v/>
      </c>
      <c r="AR44" s="32" t="str">
        <f t="shared" si="78"/>
        <v/>
      </c>
    </row>
    <row r="45" spans="1:44" s="1" customFormat="1">
      <c r="A45" s="7">
        <f>AVERAGE(C46:AS46)*30*100</f>
        <v>30535.71428571429</v>
      </c>
      <c r="B45" s="30" t="s">
        <v>14</v>
      </c>
      <c r="C45" s="65"/>
      <c r="D45" s="29"/>
      <c r="E45" s="29"/>
      <c r="F45" s="29"/>
      <c r="G45" s="122"/>
      <c r="H45" s="29"/>
      <c r="I45" s="29"/>
      <c r="J45" s="122"/>
      <c r="K45" s="29"/>
      <c r="L45" s="29"/>
      <c r="M45" s="29"/>
      <c r="N45" s="29"/>
      <c r="O45" s="29"/>
      <c r="P45" s="122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 s="1" customFormat="1">
      <c r="A46" s="7">
        <f>SUM(C46:AS46)</f>
        <v>285</v>
      </c>
      <c r="B46" s="27" t="s">
        <v>15</v>
      </c>
      <c r="C46" s="65">
        <v>0</v>
      </c>
      <c r="D46" s="26">
        <f t="shared" ref="D46:AO46" si="79">IF(D39="","",D39-C39)</f>
        <v>0</v>
      </c>
      <c r="E46" s="26">
        <f t="shared" si="79"/>
        <v>0</v>
      </c>
      <c r="F46" s="26">
        <f t="shared" si="79"/>
        <v>11</v>
      </c>
      <c r="G46" s="122">
        <f t="shared" si="79"/>
        <v>0</v>
      </c>
      <c r="H46" s="26">
        <f t="shared" si="79"/>
        <v>0</v>
      </c>
      <c r="I46" s="26">
        <f t="shared" si="79"/>
        <v>13</v>
      </c>
      <c r="J46" s="122">
        <f t="shared" si="79"/>
        <v>0</v>
      </c>
      <c r="K46" s="26">
        <f t="shared" si="79"/>
        <v>0</v>
      </c>
      <c r="L46" s="26">
        <f t="shared" si="79"/>
        <v>49</v>
      </c>
      <c r="M46" s="26">
        <f t="shared" si="79"/>
        <v>0</v>
      </c>
      <c r="N46" s="26">
        <f t="shared" si="79"/>
        <v>0</v>
      </c>
      <c r="O46" s="26">
        <f t="shared" si="79"/>
        <v>43</v>
      </c>
      <c r="P46" s="122">
        <f t="shared" si="79"/>
        <v>0</v>
      </c>
      <c r="Q46" s="26">
        <f t="shared" si="79"/>
        <v>0</v>
      </c>
      <c r="R46" s="26">
        <f t="shared" si="79"/>
        <v>0</v>
      </c>
      <c r="S46" s="26">
        <f t="shared" si="79"/>
        <v>26</v>
      </c>
      <c r="T46" s="26">
        <f t="shared" si="79"/>
        <v>0</v>
      </c>
      <c r="U46" s="26">
        <f t="shared" si="79"/>
        <v>0</v>
      </c>
      <c r="V46" s="26">
        <f>IF(V39="","",V39-U39)</f>
        <v>53</v>
      </c>
      <c r="W46" s="26">
        <f t="shared" si="79"/>
        <v>0</v>
      </c>
      <c r="X46" s="26">
        <f t="shared" si="79"/>
        <v>0</v>
      </c>
      <c r="Y46" s="26">
        <f t="shared" si="79"/>
        <v>0</v>
      </c>
      <c r="Z46" s="26">
        <f t="shared" si="79"/>
        <v>0</v>
      </c>
      <c r="AA46" s="26">
        <f t="shared" si="79"/>
        <v>47</v>
      </c>
      <c r="AB46" s="26">
        <f t="shared" si="79"/>
        <v>0</v>
      </c>
      <c r="AC46" s="26">
        <f t="shared" si="79"/>
        <v>0</v>
      </c>
      <c r="AD46" s="26">
        <f t="shared" si="79"/>
        <v>43</v>
      </c>
      <c r="AE46" s="26" t="str">
        <f t="shared" si="79"/>
        <v/>
      </c>
      <c r="AF46" s="26" t="str">
        <f t="shared" si="79"/>
        <v/>
      </c>
      <c r="AG46" s="26" t="str">
        <f t="shared" si="79"/>
        <v/>
      </c>
      <c r="AH46" s="26" t="str">
        <f t="shared" si="79"/>
        <v/>
      </c>
      <c r="AI46" s="26" t="str">
        <f t="shared" si="79"/>
        <v/>
      </c>
      <c r="AJ46" s="26" t="str">
        <f t="shared" si="79"/>
        <v/>
      </c>
      <c r="AK46" s="26" t="str">
        <f t="shared" si="79"/>
        <v/>
      </c>
      <c r="AL46" s="26" t="str">
        <f t="shared" si="79"/>
        <v/>
      </c>
      <c r="AM46" s="26" t="str">
        <f t="shared" si="79"/>
        <v/>
      </c>
      <c r="AN46" s="26" t="str">
        <f t="shared" si="79"/>
        <v/>
      </c>
      <c r="AO46" s="26" t="str">
        <f t="shared" si="79"/>
        <v/>
      </c>
      <c r="AP46" s="26" t="str">
        <f t="shared" ref="AP46:AP47" si="80">IF(AP39="","",AP39-AO39)</f>
        <v/>
      </c>
      <c r="AQ46" s="26" t="str">
        <f t="shared" ref="AQ46:AR47" si="81">IF(AQ39="","",AQ39-AP39)</f>
        <v/>
      </c>
      <c r="AR46" s="26" t="str">
        <f t="shared" si="81"/>
        <v/>
      </c>
    </row>
    <row r="47" spans="1:44" s="1" customFormat="1">
      <c r="A47" s="7">
        <f>SUM(C47:AS47)</f>
        <v>25</v>
      </c>
      <c r="B47" s="27" t="s">
        <v>16</v>
      </c>
      <c r="C47" s="65">
        <v>0</v>
      </c>
      <c r="D47" s="26">
        <f t="shared" ref="D47:AO47" si="82">IF(D40="","",D40-C40)</f>
        <v>0</v>
      </c>
      <c r="E47" s="26">
        <f t="shared" si="82"/>
        <v>0</v>
      </c>
      <c r="F47" s="26">
        <f t="shared" si="82"/>
        <v>1</v>
      </c>
      <c r="G47" s="122">
        <f t="shared" si="82"/>
        <v>0</v>
      </c>
      <c r="H47" s="26">
        <f t="shared" si="82"/>
        <v>0</v>
      </c>
      <c r="I47" s="26">
        <f t="shared" si="82"/>
        <v>4</v>
      </c>
      <c r="J47" s="122">
        <f t="shared" si="82"/>
        <v>0</v>
      </c>
      <c r="K47" s="26">
        <f t="shared" si="82"/>
        <v>0</v>
      </c>
      <c r="L47" s="26">
        <f t="shared" si="82"/>
        <v>0</v>
      </c>
      <c r="M47" s="26">
        <f t="shared" si="82"/>
        <v>0</v>
      </c>
      <c r="N47" s="26">
        <f t="shared" si="82"/>
        <v>0</v>
      </c>
      <c r="O47" s="26">
        <f t="shared" si="82"/>
        <v>8</v>
      </c>
      <c r="P47" s="122">
        <f t="shared" si="82"/>
        <v>0</v>
      </c>
      <c r="Q47" s="26">
        <f t="shared" si="82"/>
        <v>0</v>
      </c>
      <c r="R47" s="26">
        <f t="shared" si="82"/>
        <v>0</v>
      </c>
      <c r="S47" s="26">
        <f t="shared" si="82"/>
        <v>10</v>
      </c>
      <c r="T47" s="26">
        <f t="shared" si="82"/>
        <v>0</v>
      </c>
      <c r="U47" s="26">
        <f t="shared" si="82"/>
        <v>0</v>
      </c>
      <c r="V47" s="26">
        <f>IF(V40="","",V40-U40)</f>
        <v>0</v>
      </c>
      <c r="W47" s="26">
        <f t="shared" si="82"/>
        <v>0</v>
      </c>
      <c r="X47" s="26">
        <f t="shared" si="82"/>
        <v>0</v>
      </c>
      <c r="Y47" s="26">
        <f t="shared" si="82"/>
        <v>0</v>
      </c>
      <c r="Z47" s="26">
        <f t="shared" si="82"/>
        <v>0</v>
      </c>
      <c r="AA47" s="26">
        <f t="shared" si="82"/>
        <v>1</v>
      </c>
      <c r="AB47" s="26">
        <f t="shared" si="82"/>
        <v>0</v>
      </c>
      <c r="AC47" s="26">
        <f t="shared" si="82"/>
        <v>0</v>
      </c>
      <c r="AD47" s="26">
        <f t="shared" si="82"/>
        <v>1</v>
      </c>
      <c r="AE47" s="26" t="str">
        <f t="shared" si="82"/>
        <v/>
      </c>
      <c r="AF47" s="26" t="str">
        <f t="shared" si="82"/>
        <v/>
      </c>
      <c r="AG47" s="26" t="str">
        <f t="shared" si="82"/>
        <v/>
      </c>
      <c r="AH47" s="26" t="str">
        <f t="shared" si="82"/>
        <v/>
      </c>
      <c r="AI47" s="26" t="str">
        <f t="shared" si="82"/>
        <v/>
      </c>
      <c r="AJ47" s="26" t="str">
        <f t="shared" si="82"/>
        <v/>
      </c>
      <c r="AK47" s="26" t="str">
        <f t="shared" si="82"/>
        <v/>
      </c>
      <c r="AL47" s="26" t="str">
        <f t="shared" si="82"/>
        <v/>
      </c>
      <c r="AM47" s="26" t="str">
        <f t="shared" si="82"/>
        <v/>
      </c>
      <c r="AN47" s="26" t="str">
        <f t="shared" si="82"/>
        <v/>
      </c>
      <c r="AO47" s="26" t="str">
        <f t="shared" si="82"/>
        <v/>
      </c>
      <c r="AP47" s="26" t="str">
        <f t="shared" si="80"/>
        <v/>
      </c>
      <c r="AQ47" s="26" t="str">
        <f t="shared" si="81"/>
        <v/>
      </c>
      <c r="AR47" s="26" t="str">
        <f t="shared" si="81"/>
        <v/>
      </c>
    </row>
    <row r="48" spans="1:44" s="1" customFormat="1">
      <c r="A48" s="7">
        <f>SUM(C48:AS48)</f>
        <v>29</v>
      </c>
      <c r="B48" s="27" t="s">
        <v>17</v>
      </c>
      <c r="C48" s="65">
        <v>0</v>
      </c>
      <c r="D48" s="26">
        <f t="shared" ref="D48:AO48" si="83">IF(D41="","",C41+C42-D41)</f>
        <v>0</v>
      </c>
      <c r="E48" s="26">
        <f t="shared" si="83"/>
        <v>0</v>
      </c>
      <c r="F48" s="26">
        <f t="shared" si="83"/>
        <v>2</v>
      </c>
      <c r="G48" s="122">
        <f t="shared" si="83"/>
        <v>0</v>
      </c>
      <c r="H48" s="26">
        <f t="shared" si="83"/>
        <v>0</v>
      </c>
      <c r="I48" s="26">
        <f t="shared" si="83"/>
        <v>4</v>
      </c>
      <c r="J48" s="122">
        <f t="shared" si="83"/>
        <v>0</v>
      </c>
      <c r="K48" s="26">
        <f t="shared" si="83"/>
        <v>0</v>
      </c>
      <c r="L48" s="26">
        <f t="shared" si="83"/>
        <v>2</v>
      </c>
      <c r="M48" s="26">
        <f t="shared" si="83"/>
        <v>0</v>
      </c>
      <c r="N48" s="26">
        <f t="shared" si="83"/>
        <v>0</v>
      </c>
      <c r="O48" s="26">
        <f t="shared" si="83"/>
        <v>9</v>
      </c>
      <c r="P48" s="122">
        <f t="shared" si="83"/>
        <v>0</v>
      </c>
      <c r="Q48" s="26">
        <f t="shared" si="83"/>
        <v>0</v>
      </c>
      <c r="R48" s="26">
        <f t="shared" si="83"/>
        <v>0</v>
      </c>
      <c r="S48" s="26">
        <f t="shared" si="83"/>
        <v>10</v>
      </c>
      <c r="T48" s="26">
        <f t="shared" si="83"/>
        <v>0</v>
      </c>
      <c r="U48" s="26">
        <f t="shared" si="83"/>
        <v>0</v>
      </c>
      <c r="V48" s="26">
        <f>IF(V41="","",U41+U42-V41)</f>
        <v>0</v>
      </c>
      <c r="W48" s="26">
        <f t="shared" si="83"/>
        <v>0</v>
      </c>
      <c r="X48" s="26">
        <f t="shared" si="83"/>
        <v>0</v>
      </c>
      <c r="Y48" s="26">
        <f t="shared" si="83"/>
        <v>0</v>
      </c>
      <c r="Z48" s="26">
        <f t="shared" si="83"/>
        <v>0</v>
      </c>
      <c r="AA48" s="26">
        <f t="shared" si="83"/>
        <v>0</v>
      </c>
      <c r="AB48" s="26">
        <f t="shared" si="83"/>
        <v>0</v>
      </c>
      <c r="AC48" s="26">
        <f t="shared" si="83"/>
        <v>0</v>
      </c>
      <c r="AD48" s="26">
        <f t="shared" si="83"/>
        <v>2</v>
      </c>
      <c r="AE48" s="26" t="str">
        <f t="shared" si="83"/>
        <v/>
      </c>
      <c r="AF48" s="26" t="str">
        <f t="shared" si="83"/>
        <v/>
      </c>
      <c r="AG48" s="26" t="str">
        <f t="shared" si="83"/>
        <v/>
      </c>
      <c r="AH48" s="26" t="str">
        <f t="shared" si="83"/>
        <v/>
      </c>
      <c r="AI48" s="26" t="str">
        <f t="shared" si="83"/>
        <v/>
      </c>
      <c r="AJ48" s="26" t="str">
        <f t="shared" si="83"/>
        <v/>
      </c>
      <c r="AK48" s="26" t="str">
        <f t="shared" si="83"/>
        <v/>
      </c>
      <c r="AL48" s="26" t="str">
        <f t="shared" si="83"/>
        <v/>
      </c>
      <c r="AM48" s="26" t="str">
        <f t="shared" si="83"/>
        <v/>
      </c>
      <c r="AN48" s="26" t="str">
        <f t="shared" si="83"/>
        <v/>
      </c>
      <c r="AO48" s="26" t="str">
        <f t="shared" si="83"/>
        <v/>
      </c>
      <c r="AP48" s="26" t="str">
        <f t="shared" ref="AP48" si="84">IF(AP41="","",AO41+AO42-AP41)</f>
        <v/>
      </c>
      <c r="AQ48" s="26" t="str">
        <f t="shared" ref="AQ48:AR48" si="85">IF(AQ41="","",AP41+AP42-AQ41)</f>
        <v/>
      </c>
      <c r="AR48" s="26" t="str">
        <f t="shared" si="85"/>
        <v/>
      </c>
    </row>
    <row r="49" spans="1:44" s="1" customFormat="1">
      <c r="A49" s="7">
        <f>SUM(C49:AS49)</f>
        <v>7600</v>
      </c>
      <c r="B49" s="27" t="s">
        <v>18</v>
      </c>
      <c r="C49" s="65">
        <v>0</v>
      </c>
      <c r="D49" s="26">
        <f t="shared" ref="D49:AO49" si="86">IF(D39="","",D48*D43)</f>
        <v>0</v>
      </c>
      <c r="E49" s="26">
        <f t="shared" si="86"/>
        <v>0</v>
      </c>
      <c r="F49" s="26">
        <f t="shared" si="86"/>
        <v>800</v>
      </c>
      <c r="G49" s="122">
        <f t="shared" si="86"/>
        <v>0</v>
      </c>
      <c r="H49" s="26">
        <f t="shared" si="86"/>
        <v>0</v>
      </c>
      <c r="I49" s="26">
        <f t="shared" si="86"/>
        <v>1600</v>
      </c>
      <c r="J49" s="122">
        <f t="shared" si="86"/>
        <v>0</v>
      </c>
      <c r="K49" s="26">
        <f t="shared" si="86"/>
        <v>0</v>
      </c>
      <c r="L49" s="26">
        <f t="shared" si="86"/>
        <v>1000</v>
      </c>
      <c r="M49" s="26">
        <f t="shared" si="86"/>
        <v>0</v>
      </c>
      <c r="N49" s="26">
        <f t="shared" si="86"/>
        <v>0</v>
      </c>
      <c r="O49" s="26">
        <f t="shared" si="86"/>
        <v>1800</v>
      </c>
      <c r="P49" s="122">
        <f t="shared" si="86"/>
        <v>0</v>
      </c>
      <c r="Q49" s="26">
        <f t="shared" si="86"/>
        <v>0</v>
      </c>
      <c r="R49" s="26">
        <f t="shared" si="86"/>
        <v>0</v>
      </c>
      <c r="S49" s="26">
        <f t="shared" si="86"/>
        <v>2000</v>
      </c>
      <c r="T49" s="26">
        <f t="shared" si="86"/>
        <v>0</v>
      </c>
      <c r="U49" s="26">
        <f t="shared" si="86"/>
        <v>0</v>
      </c>
      <c r="V49" s="26">
        <f>IF(V39="","",V48*V43)</f>
        <v>0</v>
      </c>
      <c r="W49" s="26">
        <f t="shared" si="86"/>
        <v>0</v>
      </c>
      <c r="X49" s="26">
        <f t="shared" si="86"/>
        <v>0</v>
      </c>
      <c r="Y49" s="26">
        <f t="shared" si="86"/>
        <v>0</v>
      </c>
      <c r="Z49" s="26">
        <f t="shared" si="86"/>
        <v>0</v>
      </c>
      <c r="AA49" s="26">
        <f t="shared" si="86"/>
        <v>0</v>
      </c>
      <c r="AB49" s="26">
        <f t="shared" si="86"/>
        <v>0</v>
      </c>
      <c r="AC49" s="26">
        <f t="shared" si="86"/>
        <v>0</v>
      </c>
      <c r="AD49" s="26">
        <f t="shared" si="86"/>
        <v>400</v>
      </c>
      <c r="AE49" s="26" t="str">
        <f t="shared" si="86"/>
        <v/>
      </c>
      <c r="AF49" s="26" t="str">
        <f t="shared" si="86"/>
        <v/>
      </c>
      <c r="AG49" s="26" t="str">
        <f t="shared" si="86"/>
        <v/>
      </c>
      <c r="AH49" s="26" t="str">
        <f t="shared" si="86"/>
        <v/>
      </c>
      <c r="AI49" s="26" t="str">
        <f t="shared" si="86"/>
        <v/>
      </c>
      <c r="AJ49" s="26" t="str">
        <f t="shared" si="86"/>
        <v/>
      </c>
      <c r="AK49" s="26" t="str">
        <f t="shared" si="86"/>
        <v/>
      </c>
      <c r="AL49" s="26" t="str">
        <f t="shared" si="86"/>
        <v/>
      </c>
      <c r="AM49" s="26" t="str">
        <f t="shared" si="86"/>
        <v/>
      </c>
      <c r="AN49" s="26" t="str">
        <f t="shared" si="86"/>
        <v/>
      </c>
      <c r="AO49" s="26" t="str">
        <f t="shared" si="86"/>
        <v/>
      </c>
      <c r="AP49" s="26" t="str">
        <f t="shared" ref="AP49:AR49" si="87">IF(AP39="","",AP48*AP43)</f>
        <v/>
      </c>
      <c r="AQ49" s="26" t="str">
        <f t="shared" si="87"/>
        <v/>
      </c>
      <c r="AR49" s="26" t="str">
        <f t="shared" si="87"/>
        <v/>
      </c>
    </row>
    <row r="50" spans="1:44" s="1" customFormat="1" ht="12" thickBot="1">
      <c r="A50" s="4">
        <f>IF(A49="","",A49/(A46*100))</f>
        <v>0.26666666666666666</v>
      </c>
      <c r="B50" s="24" t="s">
        <v>20</v>
      </c>
      <c r="C50" s="67" t="s">
        <v>21</v>
      </c>
      <c r="D50" s="23" t="str">
        <f t="shared" ref="D50:AO50" si="88">IF(D49="","",IF(D49=0,"",D49/(D46*100)))</f>
        <v/>
      </c>
      <c r="E50" s="23" t="str">
        <f t="shared" si="88"/>
        <v/>
      </c>
      <c r="F50" s="23">
        <f t="shared" si="88"/>
        <v>0.72727272727272729</v>
      </c>
      <c r="G50" s="124" t="str">
        <f t="shared" si="88"/>
        <v/>
      </c>
      <c r="H50" s="23" t="str">
        <f t="shared" si="88"/>
        <v/>
      </c>
      <c r="I50" s="23">
        <f t="shared" si="88"/>
        <v>1.2307692307692308</v>
      </c>
      <c r="J50" s="124" t="str">
        <f t="shared" si="88"/>
        <v/>
      </c>
      <c r="K50" s="23" t="str">
        <f t="shared" si="88"/>
        <v/>
      </c>
      <c r="L50" s="23">
        <f t="shared" si="88"/>
        <v>0.20408163265306123</v>
      </c>
      <c r="M50" s="23" t="str">
        <f t="shared" si="88"/>
        <v/>
      </c>
      <c r="N50" s="23" t="str">
        <f t="shared" si="88"/>
        <v/>
      </c>
      <c r="O50" s="23">
        <f t="shared" si="88"/>
        <v>0.41860465116279072</v>
      </c>
      <c r="P50" s="124" t="str">
        <f t="shared" si="88"/>
        <v/>
      </c>
      <c r="Q50" s="23" t="str">
        <f t="shared" si="88"/>
        <v/>
      </c>
      <c r="R50" s="23" t="str">
        <f t="shared" si="88"/>
        <v/>
      </c>
      <c r="S50" s="23">
        <f t="shared" si="88"/>
        <v>0.76923076923076927</v>
      </c>
      <c r="T50" s="23" t="str">
        <f t="shared" si="88"/>
        <v/>
      </c>
      <c r="U50" s="23" t="str">
        <f t="shared" si="88"/>
        <v/>
      </c>
      <c r="V50" s="23" t="str">
        <f>IF(V49="","",IF(V49=0,"",V49/(V46*100)))</f>
        <v/>
      </c>
      <c r="W50" s="23" t="str">
        <f t="shared" si="88"/>
        <v/>
      </c>
      <c r="X50" s="23" t="str">
        <f t="shared" si="88"/>
        <v/>
      </c>
      <c r="Y50" s="23" t="str">
        <f t="shared" si="88"/>
        <v/>
      </c>
      <c r="Z50" s="23" t="str">
        <f t="shared" si="88"/>
        <v/>
      </c>
      <c r="AA50" s="23" t="str">
        <f t="shared" si="88"/>
        <v/>
      </c>
      <c r="AB50" s="23" t="str">
        <f t="shared" si="88"/>
        <v/>
      </c>
      <c r="AC50" s="23" t="str">
        <f t="shared" si="88"/>
        <v/>
      </c>
      <c r="AD50" s="23">
        <f t="shared" si="88"/>
        <v>9.3023255813953487E-2</v>
      </c>
      <c r="AE50" s="23" t="str">
        <f t="shared" si="88"/>
        <v/>
      </c>
      <c r="AF50" s="23" t="str">
        <f t="shared" si="88"/>
        <v/>
      </c>
      <c r="AG50" s="23" t="str">
        <f t="shared" si="88"/>
        <v/>
      </c>
      <c r="AH50" s="23" t="str">
        <f t="shared" si="88"/>
        <v/>
      </c>
      <c r="AI50" s="23" t="str">
        <f t="shared" si="88"/>
        <v/>
      </c>
      <c r="AJ50" s="23" t="str">
        <f t="shared" si="88"/>
        <v/>
      </c>
      <c r="AK50" s="23" t="str">
        <f t="shared" si="88"/>
        <v/>
      </c>
      <c r="AL50" s="23" t="str">
        <f t="shared" si="88"/>
        <v/>
      </c>
      <c r="AM50" s="23" t="str">
        <f t="shared" si="88"/>
        <v/>
      </c>
      <c r="AN50" s="23" t="str">
        <f t="shared" si="88"/>
        <v/>
      </c>
      <c r="AO50" s="23" t="str">
        <f t="shared" si="88"/>
        <v/>
      </c>
      <c r="AP50" s="23" t="str">
        <f t="shared" ref="AP50:AR50" si="89">IF(AP49="","",IF(AP49=0,"",AP49/(AP46*100)))</f>
        <v/>
      </c>
      <c r="AQ50" s="23" t="str">
        <f t="shared" si="89"/>
        <v/>
      </c>
      <c r="AR50" s="23" t="str">
        <f t="shared" si="89"/>
        <v/>
      </c>
    </row>
    <row r="51" spans="1:44" s="1" customFormat="1">
      <c r="A51" s="40" t="s">
        <v>180</v>
      </c>
      <c r="B51" s="39" t="s">
        <v>2</v>
      </c>
      <c r="C51" s="66">
        <v>5365</v>
      </c>
      <c r="D51" s="38">
        <f>IF(D$3="","",C51)</f>
        <v>5365</v>
      </c>
      <c r="E51" s="38">
        <f>IF(E$3="","",D51)</f>
        <v>5365</v>
      </c>
      <c r="F51" s="38">
        <v>5402</v>
      </c>
      <c r="G51" s="121">
        <f>IF(G$3="","",F51)</f>
        <v>5402</v>
      </c>
      <c r="H51" s="38">
        <f>IF(H$3="","",G51)</f>
        <v>5402</v>
      </c>
      <c r="I51" s="38">
        <v>5461</v>
      </c>
      <c r="J51" s="121">
        <f>IF(J$3="","",I51)</f>
        <v>5461</v>
      </c>
      <c r="K51" s="38">
        <f>IF(K$3="","",J51)</f>
        <v>5461</v>
      </c>
      <c r="L51" s="38">
        <v>5469</v>
      </c>
      <c r="M51" s="38">
        <f>IF(M$3="","",L51)</f>
        <v>5469</v>
      </c>
      <c r="N51" s="38">
        <f>IF(N$3="","",M51)</f>
        <v>5469</v>
      </c>
      <c r="O51" s="38">
        <v>5524</v>
      </c>
      <c r="P51" s="121">
        <f t="shared" ref="P51:AO51" si="90">IF(P$3="","",O51)</f>
        <v>5524</v>
      </c>
      <c r="Q51" s="38">
        <f t="shared" si="90"/>
        <v>5524</v>
      </c>
      <c r="R51" s="38">
        <f t="shared" si="90"/>
        <v>5524</v>
      </c>
      <c r="S51" s="38">
        <v>5540</v>
      </c>
      <c r="T51" s="38">
        <f t="shared" si="90"/>
        <v>5540</v>
      </c>
      <c r="U51" s="38">
        <f t="shared" si="90"/>
        <v>5540</v>
      </c>
      <c r="V51" s="38">
        <v>5557</v>
      </c>
      <c r="W51" s="38">
        <f t="shared" si="90"/>
        <v>5557</v>
      </c>
      <c r="X51" s="38">
        <f t="shared" si="90"/>
        <v>5557</v>
      </c>
      <c r="Y51" s="38">
        <f t="shared" si="90"/>
        <v>5557</v>
      </c>
      <c r="Z51" s="38">
        <f t="shared" si="90"/>
        <v>5557</v>
      </c>
      <c r="AA51" s="38">
        <v>5606</v>
      </c>
      <c r="AB51" s="38">
        <f t="shared" si="90"/>
        <v>5606</v>
      </c>
      <c r="AC51" s="38">
        <f t="shared" si="90"/>
        <v>5606</v>
      </c>
      <c r="AD51" s="38">
        <v>5628</v>
      </c>
      <c r="AE51" s="38" t="str">
        <f t="shared" si="90"/>
        <v/>
      </c>
      <c r="AF51" s="38" t="str">
        <f t="shared" si="90"/>
        <v/>
      </c>
      <c r="AG51" s="38" t="str">
        <f t="shared" si="90"/>
        <v/>
      </c>
      <c r="AH51" s="38" t="str">
        <f t="shared" si="90"/>
        <v/>
      </c>
      <c r="AI51" s="38" t="str">
        <f t="shared" si="90"/>
        <v/>
      </c>
      <c r="AJ51" s="38" t="str">
        <f t="shared" si="90"/>
        <v/>
      </c>
      <c r="AK51" s="38" t="str">
        <f t="shared" si="90"/>
        <v/>
      </c>
      <c r="AL51" s="38" t="str">
        <f t="shared" si="90"/>
        <v/>
      </c>
      <c r="AM51" s="38" t="str">
        <f t="shared" si="90"/>
        <v/>
      </c>
      <c r="AN51" s="38" t="str">
        <f t="shared" si="90"/>
        <v/>
      </c>
      <c r="AO51" s="38" t="str">
        <f t="shared" si="90"/>
        <v/>
      </c>
      <c r="AP51" s="38" t="str">
        <f t="shared" ref="AP51:AR51" si="91">IF(AP$3="","",AO51)</f>
        <v/>
      </c>
      <c r="AQ51" s="38" t="str">
        <f t="shared" si="91"/>
        <v/>
      </c>
      <c r="AR51" s="38" t="str">
        <f t="shared" si="91"/>
        <v/>
      </c>
    </row>
    <row r="52" spans="1:44" s="1" customFormat="1">
      <c r="A52" s="37" t="s">
        <v>28</v>
      </c>
      <c r="B52" s="30" t="s">
        <v>4</v>
      </c>
      <c r="C52" s="65">
        <v>104</v>
      </c>
      <c r="D52" s="29">
        <f>IF(D$3="","",C52)</f>
        <v>104</v>
      </c>
      <c r="E52" s="29">
        <f>IF(E$3="","",D52)</f>
        <v>104</v>
      </c>
      <c r="F52" s="29">
        <f>IF(F$3="","",E52)</f>
        <v>104</v>
      </c>
      <c r="G52" s="122">
        <f>IF(G$3="","",F52)</f>
        <v>104</v>
      </c>
      <c r="H52" s="29">
        <f>IF(H$3="","",G52)</f>
        <v>104</v>
      </c>
      <c r="I52" s="29">
        <v>105</v>
      </c>
      <c r="J52" s="122">
        <f>IF(J$3="","",I52)</f>
        <v>105</v>
      </c>
      <c r="K52" s="29">
        <f>IF(K$3="","",J52)</f>
        <v>105</v>
      </c>
      <c r="L52" s="29">
        <f>IF(L$3="","",K52)</f>
        <v>105</v>
      </c>
      <c r="M52" s="29">
        <f>IF(M$3="","",L52)</f>
        <v>105</v>
      </c>
      <c r="N52" s="29">
        <f>IF(N$3="","",M52)</f>
        <v>105</v>
      </c>
      <c r="O52" s="29">
        <v>106</v>
      </c>
      <c r="P52" s="122">
        <f t="shared" ref="P52:AO52" si="92">IF(P$3="","",O52)</f>
        <v>106</v>
      </c>
      <c r="Q52" s="29">
        <f t="shared" si="92"/>
        <v>106</v>
      </c>
      <c r="R52" s="29">
        <f t="shared" si="92"/>
        <v>106</v>
      </c>
      <c r="S52" s="29">
        <f t="shared" si="92"/>
        <v>106</v>
      </c>
      <c r="T52" s="29">
        <f t="shared" si="92"/>
        <v>106</v>
      </c>
      <c r="U52" s="29">
        <f t="shared" si="92"/>
        <v>106</v>
      </c>
      <c r="V52" s="29">
        <f>IF(V$3="","",U52)</f>
        <v>106</v>
      </c>
      <c r="W52" s="29">
        <f t="shared" si="92"/>
        <v>106</v>
      </c>
      <c r="X52" s="29">
        <f t="shared" si="92"/>
        <v>106</v>
      </c>
      <c r="Y52" s="29">
        <f t="shared" si="92"/>
        <v>106</v>
      </c>
      <c r="Z52" s="29">
        <f t="shared" si="92"/>
        <v>106</v>
      </c>
      <c r="AA52" s="29">
        <v>106</v>
      </c>
      <c r="AB52" s="29">
        <f t="shared" si="92"/>
        <v>106</v>
      </c>
      <c r="AC52" s="29">
        <f t="shared" si="92"/>
        <v>106</v>
      </c>
      <c r="AD52" s="29">
        <v>107</v>
      </c>
      <c r="AE52" s="29" t="str">
        <f t="shared" si="92"/>
        <v/>
      </c>
      <c r="AF52" s="29" t="str">
        <f t="shared" si="92"/>
        <v/>
      </c>
      <c r="AG52" s="29" t="str">
        <f t="shared" si="92"/>
        <v/>
      </c>
      <c r="AH52" s="29" t="str">
        <f t="shared" si="92"/>
        <v/>
      </c>
      <c r="AI52" s="29" t="str">
        <f t="shared" si="92"/>
        <v/>
      </c>
      <c r="AJ52" s="29" t="str">
        <f t="shared" si="92"/>
        <v/>
      </c>
      <c r="AK52" s="29" t="str">
        <f t="shared" si="92"/>
        <v/>
      </c>
      <c r="AL52" s="29" t="str">
        <f t="shared" si="92"/>
        <v/>
      </c>
      <c r="AM52" s="29" t="str">
        <f t="shared" si="92"/>
        <v/>
      </c>
      <c r="AN52" s="29" t="str">
        <f t="shared" si="92"/>
        <v/>
      </c>
      <c r="AO52" s="29" t="str">
        <f t="shared" si="92"/>
        <v/>
      </c>
      <c r="AP52" s="29" t="str">
        <f t="shared" ref="AP52:AR52" si="93">IF(AP$3="","",AO52)</f>
        <v/>
      </c>
      <c r="AQ52" s="29" t="str">
        <f t="shared" si="93"/>
        <v/>
      </c>
      <c r="AR52" s="29" t="str">
        <f t="shared" si="93"/>
        <v/>
      </c>
    </row>
    <row r="53" spans="1:44" s="1" customFormat="1">
      <c r="A53" s="41">
        <v>1</v>
      </c>
      <c r="B53" s="30" t="s">
        <v>5</v>
      </c>
      <c r="C53" s="65">
        <v>5</v>
      </c>
      <c r="D53" s="29">
        <f>IF(D51="","",(C53+C54))</f>
        <v>5</v>
      </c>
      <c r="E53" s="29">
        <f>IF(E51="","",(D53+D54))</f>
        <v>5</v>
      </c>
      <c r="F53" s="29">
        <f>IF(F51="","",(E53+E54))</f>
        <v>5</v>
      </c>
      <c r="G53" s="122">
        <f>IF(G51="","",(F53+F54))</f>
        <v>5</v>
      </c>
      <c r="H53" s="29">
        <f>IF(H51="","",(G53+G54))</f>
        <v>5</v>
      </c>
      <c r="I53" s="29">
        <v>4</v>
      </c>
      <c r="J53" s="122">
        <f>IF(J51="","",(I53+I54))</f>
        <v>5</v>
      </c>
      <c r="K53" s="29">
        <f>IF(K51="","",(J53+J54))</f>
        <v>5</v>
      </c>
      <c r="L53" s="29">
        <f>IF(L51="","",(K53+K54))</f>
        <v>5</v>
      </c>
      <c r="M53" s="29">
        <f>IF(M51="","",(L53+L54))</f>
        <v>5</v>
      </c>
      <c r="N53" s="29">
        <f>IF(N51="","",(M53+M54))</f>
        <v>5</v>
      </c>
      <c r="O53" s="29">
        <v>4</v>
      </c>
      <c r="P53" s="122">
        <f t="shared" ref="P53:AO53" si="94">IF(P51="","",(O53+O54))</f>
        <v>4</v>
      </c>
      <c r="Q53" s="29">
        <f t="shared" si="94"/>
        <v>4</v>
      </c>
      <c r="R53" s="29">
        <f t="shared" si="94"/>
        <v>4</v>
      </c>
      <c r="S53" s="29">
        <f t="shared" si="94"/>
        <v>4</v>
      </c>
      <c r="T53" s="29">
        <f t="shared" si="94"/>
        <v>4</v>
      </c>
      <c r="U53" s="29">
        <f t="shared" si="94"/>
        <v>4</v>
      </c>
      <c r="V53" s="29">
        <f>IF(V51="","",(U53+U54))</f>
        <v>4</v>
      </c>
      <c r="W53" s="29">
        <f t="shared" si="94"/>
        <v>5</v>
      </c>
      <c r="X53" s="29">
        <f t="shared" si="94"/>
        <v>5</v>
      </c>
      <c r="Y53" s="29">
        <f t="shared" si="94"/>
        <v>5</v>
      </c>
      <c r="Z53" s="29">
        <f t="shared" si="94"/>
        <v>5</v>
      </c>
      <c r="AA53" s="29">
        <f t="shared" si="94"/>
        <v>5</v>
      </c>
      <c r="AB53" s="29">
        <f t="shared" si="94"/>
        <v>5</v>
      </c>
      <c r="AC53" s="29">
        <f t="shared" si="94"/>
        <v>5</v>
      </c>
      <c r="AD53" s="29">
        <f t="shared" si="94"/>
        <v>5</v>
      </c>
      <c r="AE53" s="29" t="str">
        <f t="shared" si="94"/>
        <v/>
      </c>
      <c r="AF53" s="29" t="str">
        <f t="shared" si="94"/>
        <v/>
      </c>
      <c r="AG53" s="29" t="str">
        <f t="shared" si="94"/>
        <v/>
      </c>
      <c r="AH53" s="29" t="str">
        <f t="shared" si="94"/>
        <v/>
      </c>
      <c r="AI53" s="29" t="str">
        <f t="shared" si="94"/>
        <v/>
      </c>
      <c r="AJ53" s="29" t="str">
        <f t="shared" si="94"/>
        <v/>
      </c>
      <c r="AK53" s="29" t="str">
        <f t="shared" si="94"/>
        <v/>
      </c>
      <c r="AL53" s="29" t="str">
        <f t="shared" si="94"/>
        <v/>
      </c>
      <c r="AM53" s="29" t="str">
        <f t="shared" si="94"/>
        <v/>
      </c>
      <c r="AN53" s="29" t="str">
        <f t="shared" si="94"/>
        <v/>
      </c>
      <c r="AO53" s="29" t="str">
        <f t="shared" si="94"/>
        <v/>
      </c>
      <c r="AP53" s="29" t="str">
        <f t="shared" ref="AP53" si="95">IF(AP51="","",(AO53+AO54))</f>
        <v/>
      </c>
      <c r="AQ53" s="29" t="str">
        <f t="shared" ref="AQ53:AR53" si="96">IF(AQ51="","",(AP53+AP54))</f>
        <v/>
      </c>
      <c r="AR53" s="29" t="str">
        <f t="shared" si="96"/>
        <v/>
      </c>
    </row>
    <row r="54" spans="1:44" s="1" customFormat="1">
      <c r="A54" s="101" t="s">
        <v>6</v>
      </c>
      <c r="B54" s="30" t="s">
        <v>7</v>
      </c>
      <c r="C54" s="65"/>
      <c r="D54" s="29"/>
      <c r="E54" s="29"/>
      <c r="F54" s="29"/>
      <c r="G54" s="122"/>
      <c r="H54" s="29"/>
      <c r="I54" s="29">
        <v>1</v>
      </c>
      <c r="J54" s="122"/>
      <c r="K54" s="29"/>
      <c r="L54" s="29"/>
      <c r="M54" s="29"/>
      <c r="N54" s="29"/>
      <c r="O54" s="29"/>
      <c r="P54" s="122"/>
      <c r="Q54" s="29"/>
      <c r="R54" s="29"/>
      <c r="S54" s="29"/>
      <c r="T54" s="29"/>
      <c r="U54" s="29"/>
      <c r="V54" s="29">
        <v>1</v>
      </c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</row>
    <row r="55" spans="1:44" s="1" customFormat="1">
      <c r="A55" s="102">
        <f>+(A58+A70+A82+A94)*100</f>
        <v>132200</v>
      </c>
      <c r="B55" s="30" t="s">
        <v>8</v>
      </c>
      <c r="C55" s="64">
        <v>450</v>
      </c>
      <c r="D55" s="35">
        <f t="shared" ref="D55:AO55" si="97">IF(D51="","",C55)</f>
        <v>450</v>
      </c>
      <c r="E55" s="35">
        <f t="shared" si="97"/>
        <v>450</v>
      </c>
      <c r="F55" s="35">
        <f t="shared" si="97"/>
        <v>450</v>
      </c>
      <c r="G55" s="383">
        <f t="shared" si="97"/>
        <v>450</v>
      </c>
      <c r="H55" s="35">
        <f t="shared" si="97"/>
        <v>450</v>
      </c>
      <c r="I55" s="35">
        <f t="shared" si="97"/>
        <v>450</v>
      </c>
      <c r="J55" s="383">
        <f t="shared" si="97"/>
        <v>450</v>
      </c>
      <c r="K55" s="35">
        <f t="shared" si="97"/>
        <v>450</v>
      </c>
      <c r="L55" s="35">
        <f t="shared" si="97"/>
        <v>450</v>
      </c>
      <c r="M55" s="35">
        <f t="shared" si="97"/>
        <v>450</v>
      </c>
      <c r="N55" s="35">
        <f t="shared" si="97"/>
        <v>450</v>
      </c>
      <c r="O55" s="35">
        <f t="shared" si="97"/>
        <v>450</v>
      </c>
      <c r="P55" s="383">
        <f t="shared" si="97"/>
        <v>450</v>
      </c>
      <c r="Q55" s="35">
        <f t="shared" si="97"/>
        <v>450</v>
      </c>
      <c r="R55" s="35">
        <f t="shared" si="97"/>
        <v>450</v>
      </c>
      <c r="S55" s="35">
        <f t="shared" si="97"/>
        <v>450</v>
      </c>
      <c r="T55" s="35">
        <f t="shared" si="97"/>
        <v>450</v>
      </c>
      <c r="U55" s="35">
        <f t="shared" si="97"/>
        <v>450</v>
      </c>
      <c r="V55" s="35">
        <f>IF(V51="","",U55)</f>
        <v>450</v>
      </c>
      <c r="W55" s="35">
        <v>850</v>
      </c>
      <c r="X55" s="35">
        <f t="shared" si="97"/>
        <v>850</v>
      </c>
      <c r="Y55" s="35">
        <f t="shared" si="97"/>
        <v>850</v>
      </c>
      <c r="Z55" s="35">
        <f t="shared" si="97"/>
        <v>850</v>
      </c>
      <c r="AA55" s="35">
        <f t="shared" si="97"/>
        <v>850</v>
      </c>
      <c r="AB55" s="35">
        <f t="shared" si="97"/>
        <v>850</v>
      </c>
      <c r="AC55" s="35">
        <f t="shared" si="97"/>
        <v>850</v>
      </c>
      <c r="AD55" s="35">
        <f t="shared" si="97"/>
        <v>850</v>
      </c>
      <c r="AE55" s="35" t="str">
        <f t="shared" si="97"/>
        <v/>
      </c>
      <c r="AF55" s="35" t="str">
        <f t="shared" si="97"/>
        <v/>
      </c>
      <c r="AG55" s="35" t="str">
        <f t="shared" si="97"/>
        <v/>
      </c>
      <c r="AH55" s="35" t="str">
        <f t="shared" si="97"/>
        <v/>
      </c>
      <c r="AI55" s="35" t="str">
        <f t="shared" si="97"/>
        <v/>
      </c>
      <c r="AJ55" s="35" t="str">
        <f t="shared" si="97"/>
        <v/>
      </c>
      <c r="AK55" s="35" t="str">
        <f t="shared" si="97"/>
        <v/>
      </c>
      <c r="AL55" s="35" t="str">
        <f t="shared" si="97"/>
        <v/>
      </c>
      <c r="AM55" s="35" t="str">
        <f t="shared" si="97"/>
        <v/>
      </c>
      <c r="AN55" s="35" t="str">
        <f t="shared" si="97"/>
        <v/>
      </c>
      <c r="AO55" s="35" t="str">
        <f t="shared" si="97"/>
        <v/>
      </c>
      <c r="AP55" s="35" t="str">
        <f t="shared" ref="AP55" si="98">IF(AP51="","",AO55)</f>
        <v/>
      </c>
      <c r="AQ55" s="35" t="str">
        <f t="shared" ref="AQ55:AR55" si="99">IF(AQ51="","",AP55)</f>
        <v/>
      </c>
      <c r="AR55" s="35" t="str">
        <f t="shared" si="99"/>
        <v/>
      </c>
    </row>
    <row r="56" spans="1:44" s="11" customFormat="1">
      <c r="A56" s="14" t="s">
        <v>9</v>
      </c>
      <c r="B56" s="33" t="s">
        <v>10</v>
      </c>
      <c r="C56" s="63" t="s">
        <v>102</v>
      </c>
      <c r="D56" s="32" t="str">
        <f t="shared" ref="D56:AO56" si="100">IF(D51="","",C56)</f>
        <v>モンチッチMC</v>
      </c>
      <c r="E56" s="32" t="str">
        <f t="shared" si="100"/>
        <v>モンチッチMC</v>
      </c>
      <c r="F56" s="32" t="str">
        <f t="shared" si="100"/>
        <v>モンチッチMC</v>
      </c>
      <c r="G56" s="123" t="str">
        <f t="shared" si="100"/>
        <v>モンチッチMC</v>
      </c>
      <c r="H56" s="32" t="str">
        <f t="shared" si="100"/>
        <v>モンチッチMC</v>
      </c>
      <c r="I56" s="32" t="str">
        <f t="shared" si="100"/>
        <v>モンチッチMC</v>
      </c>
      <c r="J56" s="123" t="str">
        <f t="shared" si="100"/>
        <v>モンチッチMC</v>
      </c>
      <c r="K56" s="32" t="str">
        <f t="shared" si="100"/>
        <v>モンチッチMC</v>
      </c>
      <c r="L56" s="32" t="str">
        <f t="shared" si="100"/>
        <v>モンチッチMC</v>
      </c>
      <c r="M56" s="32" t="str">
        <f t="shared" si="100"/>
        <v>モンチッチMC</v>
      </c>
      <c r="N56" s="32" t="str">
        <f t="shared" si="100"/>
        <v>モンチッチMC</v>
      </c>
      <c r="O56" s="32" t="str">
        <f t="shared" si="100"/>
        <v>モンチッチMC</v>
      </c>
      <c r="P56" s="123" t="str">
        <f t="shared" si="100"/>
        <v>モンチッチMC</v>
      </c>
      <c r="Q56" s="32" t="str">
        <f t="shared" si="100"/>
        <v>モンチッチMC</v>
      </c>
      <c r="R56" s="32" t="str">
        <f t="shared" si="100"/>
        <v>モンチッチMC</v>
      </c>
      <c r="S56" s="32" t="str">
        <f t="shared" si="100"/>
        <v>モンチッチMC</v>
      </c>
      <c r="T56" s="32" t="str">
        <f t="shared" si="100"/>
        <v>モンチッチMC</v>
      </c>
      <c r="U56" s="32" t="str">
        <f t="shared" si="100"/>
        <v>モンチッチMC</v>
      </c>
      <c r="V56" s="32" t="str">
        <f>IF(V51="","",U56)</f>
        <v>モンチッチMC</v>
      </c>
      <c r="W56" s="32" t="s">
        <v>413</v>
      </c>
      <c r="X56" s="32" t="str">
        <f t="shared" si="100"/>
        <v>GAMETWS</v>
      </c>
      <c r="Y56" s="32" t="str">
        <f t="shared" si="100"/>
        <v>GAMETWS</v>
      </c>
      <c r="Z56" s="32" t="str">
        <f t="shared" si="100"/>
        <v>GAMETWS</v>
      </c>
      <c r="AA56" s="32" t="str">
        <f t="shared" si="100"/>
        <v>GAMETWS</v>
      </c>
      <c r="AB56" s="32" t="str">
        <f t="shared" si="100"/>
        <v>GAMETWS</v>
      </c>
      <c r="AC56" s="32" t="str">
        <f t="shared" si="100"/>
        <v>GAMETWS</v>
      </c>
      <c r="AD56" s="32" t="str">
        <f t="shared" si="100"/>
        <v>GAMETWS</v>
      </c>
      <c r="AE56" s="32" t="str">
        <f t="shared" si="100"/>
        <v/>
      </c>
      <c r="AF56" s="32" t="str">
        <f t="shared" si="100"/>
        <v/>
      </c>
      <c r="AG56" s="32" t="str">
        <f t="shared" si="100"/>
        <v/>
      </c>
      <c r="AH56" s="32" t="str">
        <f t="shared" si="100"/>
        <v/>
      </c>
      <c r="AI56" s="32" t="str">
        <f t="shared" si="100"/>
        <v/>
      </c>
      <c r="AJ56" s="32" t="str">
        <f t="shared" si="100"/>
        <v/>
      </c>
      <c r="AK56" s="32" t="str">
        <f t="shared" si="100"/>
        <v/>
      </c>
      <c r="AL56" s="32" t="str">
        <f t="shared" si="100"/>
        <v/>
      </c>
      <c r="AM56" s="32" t="str">
        <f t="shared" si="100"/>
        <v/>
      </c>
      <c r="AN56" s="32" t="str">
        <f t="shared" si="100"/>
        <v/>
      </c>
      <c r="AO56" s="32" t="str">
        <f t="shared" si="100"/>
        <v/>
      </c>
      <c r="AP56" s="32" t="str">
        <f t="shared" ref="AP56" si="101">IF(AP51="","",AO56)</f>
        <v/>
      </c>
      <c r="AQ56" s="32" t="str">
        <f t="shared" ref="AQ56:AR56" si="102">IF(AQ51="","",AP56)</f>
        <v/>
      </c>
      <c r="AR56" s="32" t="str">
        <f t="shared" si="102"/>
        <v/>
      </c>
    </row>
    <row r="57" spans="1:44" s="1" customFormat="1">
      <c r="A57" s="7">
        <f>AVERAGE(C58:AS58)*30*100</f>
        <v>28178.571428571428</v>
      </c>
      <c r="B57" s="30" t="s">
        <v>14</v>
      </c>
      <c r="C57" s="65"/>
      <c r="D57" s="29"/>
      <c r="E57" s="29"/>
      <c r="F57" s="29"/>
      <c r="G57" s="122"/>
      <c r="H57" s="29"/>
      <c r="I57" s="29"/>
      <c r="J57" s="122"/>
      <c r="K57" s="29"/>
      <c r="L57" s="29"/>
      <c r="M57" s="29"/>
      <c r="N57" s="29"/>
      <c r="O57" s="29"/>
      <c r="P57" s="122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</row>
    <row r="58" spans="1:44" s="1" customFormat="1">
      <c r="A58" s="7">
        <f>SUM(C58:AS58)</f>
        <v>263</v>
      </c>
      <c r="B58" s="27" t="s">
        <v>15</v>
      </c>
      <c r="C58" s="65">
        <v>0</v>
      </c>
      <c r="D58" s="26">
        <f t="shared" ref="D58:AO58" si="103">IF(D51="","",D51-C51)</f>
        <v>0</v>
      </c>
      <c r="E58" s="26">
        <f t="shared" si="103"/>
        <v>0</v>
      </c>
      <c r="F58" s="26">
        <f t="shared" si="103"/>
        <v>37</v>
      </c>
      <c r="G58" s="122">
        <f t="shared" si="103"/>
        <v>0</v>
      </c>
      <c r="H58" s="26">
        <f t="shared" si="103"/>
        <v>0</v>
      </c>
      <c r="I58" s="26">
        <f t="shared" si="103"/>
        <v>59</v>
      </c>
      <c r="J58" s="122">
        <f t="shared" si="103"/>
        <v>0</v>
      </c>
      <c r="K58" s="26">
        <f t="shared" si="103"/>
        <v>0</v>
      </c>
      <c r="L58" s="26">
        <f t="shared" si="103"/>
        <v>8</v>
      </c>
      <c r="M58" s="26">
        <f t="shared" si="103"/>
        <v>0</v>
      </c>
      <c r="N58" s="26">
        <f t="shared" si="103"/>
        <v>0</v>
      </c>
      <c r="O58" s="26">
        <f t="shared" si="103"/>
        <v>55</v>
      </c>
      <c r="P58" s="122">
        <f t="shared" si="103"/>
        <v>0</v>
      </c>
      <c r="Q58" s="26">
        <f t="shared" si="103"/>
        <v>0</v>
      </c>
      <c r="R58" s="26">
        <f t="shared" si="103"/>
        <v>0</v>
      </c>
      <c r="S58" s="26">
        <f t="shared" si="103"/>
        <v>16</v>
      </c>
      <c r="T58" s="26">
        <f t="shared" si="103"/>
        <v>0</v>
      </c>
      <c r="U58" s="26">
        <f t="shared" si="103"/>
        <v>0</v>
      </c>
      <c r="V58" s="26">
        <f>IF(V51="","",V51-U51)</f>
        <v>17</v>
      </c>
      <c r="W58" s="26">
        <f t="shared" si="103"/>
        <v>0</v>
      </c>
      <c r="X58" s="26">
        <f t="shared" si="103"/>
        <v>0</v>
      </c>
      <c r="Y58" s="26">
        <f t="shared" si="103"/>
        <v>0</v>
      </c>
      <c r="Z58" s="26">
        <f t="shared" si="103"/>
        <v>0</v>
      </c>
      <c r="AA58" s="26">
        <f t="shared" si="103"/>
        <v>49</v>
      </c>
      <c r="AB58" s="26">
        <f t="shared" si="103"/>
        <v>0</v>
      </c>
      <c r="AC58" s="26">
        <f t="shared" si="103"/>
        <v>0</v>
      </c>
      <c r="AD58" s="26">
        <f t="shared" si="103"/>
        <v>22</v>
      </c>
      <c r="AE58" s="26" t="str">
        <f t="shared" si="103"/>
        <v/>
      </c>
      <c r="AF58" s="26" t="str">
        <f t="shared" si="103"/>
        <v/>
      </c>
      <c r="AG58" s="26" t="str">
        <f t="shared" si="103"/>
        <v/>
      </c>
      <c r="AH58" s="26" t="str">
        <f t="shared" si="103"/>
        <v/>
      </c>
      <c r="AI58" s="26" t="str">
        <f t="shared" si="103"/>
        <v/>
      </c>
      <c r="AJ58" s="26" t="str">
        <f t="shared" si="103"/>
        <v/>
      </c>
      <c r="AK58" s="26" t="str">
        <f t="shared" si="103"/>
        <v/>
      </c>
      <c r="AL58" s="26" t="str">
        <f t="shared" si="103"/>
        <v/>
      </c>
      <c r="AM58" s="26" t="str">
        <f t="shared" si="103"/>
        <v/>
      </c>
      <c r="AN58" s="26" t="str">
        <f t="shared" si="103"/>
        <v/>
      </c>
      <c r="AO58" s="26" t="str">
        <f t="shared" si="103"/>
        <v/>
      </c>
      <c r="AP58" s="26" t="str">
        <f t="shared" ref="AP58:AP59" si="104">IF(AP51="","",AP51-AO51)</f>
        <v/>
      </c>
      <c r="AQ58" s="26" t="str">
        <f t="shared" ref="AQ58:AR59" si="105">IF(AQ51="","",AQ51-AP51)</f>
        <v/>
      </c>
      <c r="AR58" s="26" t="str">
        <f t="shared" si="105"/>
        <v/>
      </c>
    </row>
    <row r="59" spans="1:44" s="1" customFormat="1">
      <c r="A59" s="7">
        <f>SUM(C59:AS59)</f>
        <v>3</v>
      </c>
      <c r="B59" s="27" t="s">
        <v>16</v>
      </c>
      <c r="C59" s="65">
        <v>0</v>
      </c>
      <c r="D59" s="26">
        <f t="shared" ref="D59:AO59" si="106">IF(D52="","",D52-C52)</f>
        <v>0</v>
      </c>
      <c r="E59" s="26">
        <f t="shared" si="106"/>
        <v>0</v>
      </c>
      <c r="F59" s="26">
        <f t="shared" si="106"/>
        <v>0</v>
      </c>
      <c r="G59" s="122">
        <f t="shared" si="106"/>
        <v>0</v>
      </c>
      <c r="H59" s="26">
        <f t="shared" si="106"/>
        <v>0</v>
      </c>
      <c r="I59" s="26">
        <f t="shared" si="106"/>
        <v>1</v>
      </c>
      <c r="J59" s="122">
        <f t="shared" si="106"/>
        <v>0</v>
      </c>
      <c r="K59" s="26">
        <f t="shared" si="106"/>
        <v>0</v>
      </c>
      <c r="L59" s="26">
        <f t="shared" si="106"/>
        <v>0</v>
      </c>
      <c r="M59" s="26">
        <f t="shared" si="106"/>
        <v>0</v>
      </c>
      <c r="N59" s="26">
        <f t="shared" si="106"/>
        <v>0</v>
      </c>
      <c r="O59" s="26">
        <f t="shared" si="106"/>
        <v>1</v>
      </c>
      <c r="P59" s="122">
        <f t="shared" si="106"/>
        <v>0</v>
      </c>
      <c r="Q59" s="26">
        <f t="shared" si="106"/>
        <v>0</v>
      </c>
      <c r="R59" s="26">
        <f t="shared" si="106"/>
        <v>0</v>
      </c>
      <c r="S59" s="26">
        <f t="shared" si="106"/>
        <v>0</v>
      </c>
      <c r="T59" s="26">
        <f t="shared" si="106"/>
        <v>0</v>
      </c>
      <c r="U59" s="26">
        <f t="shared" si="106"/>
        <v>0</v>
      </c>
      <c r="V59" s="26">
        <f>IF(V52="","",V52-U52)</f>
        <v>0</v>
      </c>
      <c r="W59" s="26">
        <f t="shared" si="106"/>
        <v>0</v>
      </c>
      <c r="X59" s="26">
        <f t="shared" si="106"/>
        <v>0</v>
      </c>
      <c r="Y59" s="26">
        <f t="shared" si="106"/>
        <v>0</v>
      </c>
      <c r="Z59" s="26">
        <f t="shared" si="106"/>
        <v>0</v>
      </c>
      <c r="AA59" s="26">
        <f t="shared" si="106"/>
        <v>0</v>
      </c>
      <c r="AB59" s="26">
        <f t="shared" si="106"/>
        <v>0</v>
      </c>
      <c r="AC59" s="26">
        <f t="shared" si="106"/>
        <v>0</v>
      </c>
      <c r="AD59" s="26">
        <f t="shared" si="106"/>
        <v>1</v>
      </c>
      <c r="AE59" s="26" t="str">
        <f t="shared" si="106"/>
        <v/>
      </c>
      <c r="AF59" s="26" t="str">
        <f t="shared" si="106"/>
        <v/>
      </c>
      <c r="AG59" s="26" t="str">
        <f t="shared" si="106"/>
        <v/>
      </c>
      <c r="AH59" s="26" t="str">
        <f t="shared" si="106"/>
        <v/>
      </c>
      <c r="AI59" s="26" t="str">
        <f t="shared" si="106"/>
        <v/>
      </c>
      <c r="AJ59" s="26" t="str">
        <f t="shared" si="106"/>
        <v/>
      </c>
      <c r="AK59" s="26" t="str">
        <f t="shared" si="106"/>
        <v/>
      </c>
      <c r="AL59" s="26" t="str">
        <f t="shared" si="106"/>
        <v/>
      </c>
      <c r="AM59" s="26" t="str">
        <f t="shared" si="106"/>
        <v/>
      </c>
      <c r="AN59" s="26" t="str">
        <f t="shared" si="106"/>
        <v/>
      </c>
      <c r="AO59" s="26" t="str">
        <f t="shared" si="106"/>
        <v/>
      </c>
      <c r="AP59" s="26" t="str">
        <f t="shared" si="104"/>
        <v/>
      </c>
      <c r="AQ59" s="26" t="str">
        <f t="shared" si="105"/>
        <v/>
      </c>
      <c r="AR59" s="26" t="str">
        <f t="shared" si="105"/>
        <v/>
      </c>
    </row>
    <row r="60" spans="1:44" s="1" customFormat="1">
      <c r="A60" s="7">
        <f>SUM(C60:AS60)</f>
        <v>2</v>
      </c>
      <c r="B60" s="27" t="s">
        <v>17</v>
      </c>
      <c r="C60" s="65">
        <v>0</v>
      </c>
      <c r="D60" s="26">
        <f t="shared" ref="D60:AO60" si="107">IF(D53="","",C53+C54-D53)</f>
        <v>0</v>
      </c>
      <c r="E60" s="26">
        <f t="shared" si="107"/>
        <v>0</v>
      </c>
      <c r="F60" s="26">
        <f t="shared" si="107"/>
        <v>0</v>
      </c>
      <c r="G60" s="122">
        <f t="shared" si="107"/>
        <v>0</v>
      </c>
      <c r="H60" s="26">
        <f t="shared" si="107"/>
        <v>0</v>
      </c>
      <c r="I60" s="26">
        <f t="shared" si="107"/>
        <v>1</v>
      </c>
      <c r="J60" s="122">
        <f t="shared" si="107"/>
        <v>0</v>
      </c>
      <c r="K60" s="26">
        <f t="shared" si="107"/>
        <v>0</v>
      </c>
      <c r="L60" s="26">
        <f t="shared" si="107"/>
        <v>0</v>
      </c>
      <c r="M60" s="26">
        <f t="shared" si="107"/>
        <v>0</v>
      </c>
      <c r="N60" s="26">
        <f t="shared" si="107"/>
        <v>0</v>
      </c>
      <c r="O60" s="26">
        <f t="shared" si="107"/>
        <v>1</v>
      </c>
      <c r="P60" s="122">
        <f t="shared" si="107"/>
        <v>0</v>
      </c>
      <c r="Q60" s="26">
        <f t="shared" si="107"/>
        <v>0</v>
      </c>
      <c r="R60" s="26">
        <f t="shared" si="107"/>
        <v>0</v>
      </c>
      <c r="S60" s="26">
        <f t="shared" si="107"/>
        <v>0</v>
      </c>
      <c r="T60" s="26">
        <f t="shared" si="107"/>
        <v>0</v>
      </c>
      <c r="U60" s="26">
        <f t="shared" si="107"/>
        <v>0</v>
      </c>
      <c r="V60" s="26">
        <f>IF(V53="","",U53+U54-V53)</f>
        <v>0</v>
      </c>
      <c r="W60" s="26">
        <f t="shared" si="107"/>
        <v>0</v>
      </c>
      <c r="X60" s="26">
        <f t="shared" si="107"/>
        <v>0</v>
      </c>
      <c r="Y60" s="26">
        <f t="shared" si="107"/>
        <v>0</v>
      </c>
      <c r="Z60" s="26">
        <f t="shared" si="107"/>
        <v>0</v>
      </c>
      <c r="AA60" s="26">
        <f t="shared" si="107"/>
        <v>0</v>
      </c>
      <c r="AB60" s="26">
        <f t="shared" si="107"/>
        <v>0</v>
      </c>
      <c r="AC60" s="26">
        <f t="shared" si="107"/>
        <v>0</v>
      </c>
      <c r="AD60" s="26">
        <f t="shared" si="107"/>
        <v>0</v>
      </c>
      <c r="AE60" s="26" t="str">
        <f t="shared" si="107"/>
        <v/>
      </c>
      <c r="AF60" s="26" t="str">
        <f t="shared" si="107"/>
        <v/>
      </c>
      <c r="AG60" s="26" t="str">
        <f t="shared" si="107"/>
        <v/>
      </c>
      <c r="AH60" s="26" t="str">
        <f t="shared" si="107"/>
        <v/>
      </c>
      <c r="AI60" s="26" t="str">
        <f t="shared" si="107"/>
        <v/>
      </c>
      <c r="AJ60" s="26" t="str">
        <f t="shared" si="107"/>
        <v/>
      </c>
      <c r="AK60" s="26" t="str">
        <f t="shared" si="107"/>
        <v/>
      </c>
      <c r="AL60" s="26" t="str">
        <f t="shared" si="107"/>
        <v/>
      </c>
      <c r="AM60" s="26" t="str">
        <f t="shared" si="107"/>
        <v/>
      </c>
      <c r="AN60" s="26" t="str">
        <f t="shared" si="107"/>
        <v/>
      </c>
      <c r="AO60" s="26" t="str">
        <f t="shared" si="107"/>
        <v/>
      </c>
      <c r="AP60" s="26" t="str">
        <f t="shared" ref="AP60" si="108">IF(AP53="","",AO53+AO54-AP53)</f>
        <v/>
      </c>
      <c r="AQ60" s="26" t="str">
        <f t="shared" ref="AQ60:AR60" si="109">IF(AQ53="","",AP53+AP54-AQ53)</f>
        <v/>
      </c>
      <c r="AR60" s="26" t="str">
        <f t="shared" si="109"/>
        <v/>
      </c>
    </row>
    <row r="61" spans="1:44" s="1" customFormat="1">
      <c r="A61" s="7">
        <f>SUM(C61:AS61)</f>
        <v>900</v>
      </c>
      <c r="B61" s="27" t="s">
        <v>18</v>
      </c>
      <c r="C61" s="65">
        <v>0</v>
      </c>
      <c r="D61" s="26">
        <f t="shared" ref="D61:AO61" si="110">IF(D51="","",D60*D55)</f>
        <v>0</v>
      </c>
      <c r="E61" s="26">
        <f t="shared" si="110"/>
        <v>0</v>
      </c>
      <c r="F61" s="26">
        <f t="shared" si="110"/>
        <v>0</v>
      </c>
      <c r="G61" s="122">
        <f t="shared" si="110"/>
        <v>0</v>
      </c>
      <c r="H61" s="26">
        <f t="shared" si="110"/>
        <v>0</v>
      </c>
      <c r="I61" s="26">
        <f t="shared" si="110"/>
        <v>450</v>
      </c>
      <c r="J61" s="122">
        <f t="shared" si="110"/>
        <v>0</v>
      </c>
      <c r="K61" s="26">
        <f t="shared" si="110"/>
        <v>0</v>
      </c>
      <c r="L61" s="26">
        <f t="shared" si="110"/>
        <v>0</v>
      </c>
      <c r="M61" s="26">
        <f t="shared" si="110"/>
        <v>0</v>
      </c>
      <c r="N61" s="26">
        <f t="shared" si="110"/>
        <v>0</v>
      </c>
      <c r="O61" s="26">
        <f t="shared" si="110"/>
        <v>450</v>
      </c>
      <c r="P61" s="122">
        <f t="shared" si="110"/>
        <v>0</v>
      </c>
      <c r="Q61" s="26">
        <f t="shared" si="110"/>
        <v>0</v>
      </c>
      <c r="R61" s="26">
        <f t="shared" si="110"/>
        <v>0</v>
      </c>
      <c r="S61" s="26">
        <f t="shared" si="110"/>
        <v>0</v>
      </c>
      <c r="T61" s="26">
        <f t="shared" si="110"/>
        <v>0</v>
      </c>
      <c r="U61" s="26">
        <f t="shared" si="110"/>
        <v>0</v>
      </c>
      <c r="V61" s="26">
        <f>IF(V51="","",V60*V55)</f>
        <v>0</v>
      </c>
      <c r="W61" s="26">
        <f t="shared" si="110"/>
        <v>0</v>
      </c>
      <c r="X61" s="26">
        <f t="shared" si="110"/>
        <v>0</v>
      </c>
      <c r="Y61" s="26">
        <f t="shared" si="110"/>
        <v>0</v>
      </c>
      <c r="Z61" s="26">
        <f t="shared" si="110"/>
        <v>0</v>
      </c>
      <c r="AA61" s="26">
        <f t="shared" si="110"/>
        <v>0</v>
      </c>
      <c r="AB61" s="26">
        <f t="shared" si="110"/>
        <v>0</v>
      </c>
      <c r="AC61" s="26">
        <f t="shared" si="110"/>
        <v>0</v>
      </c>
      <c r="AD61" s="26">
        <f t="shared" si="110"/>
        <v>0</v>
      </c>
      <c r="AE61" s="26" t="str">
        <f t="shared" si="110"/>
        <v/>
      </c>
      <c r="AF61" s="26" t="str">
        <f t="shared" si="110"/>
        <v/>
      </c>
      <c r="AG61" s="26" t="str">
        <f t="shared" si="110"/>
        <v/>
      </c>
      <c r="AH61" s="26" t="str">
        <f t="shared" si="110"/>
        <v/>
      </c>
      <c r="AI61" s="26" t="str">
        <f t="shared" si="110"/>
        <v/>
      </c>
      <c r="AJ61" s="26" t="str">
        <f t="shared" si="110"/>
        <v/>
      </c>
      <c r="AK61" s="26" t="str">
        <f t="shared" si="110"/>
        <v/>
      </c>
      <c r="AL61" s="26" t="str">
        <f t="shared" si="110"/>
        <v/>
      </c>
      <c r="AM61" s="26" t="str">
        <f t="shared" si="110"/>
        <v/>
      </c>
      <c r="AN61" s="26" t="str">
        <f t="shared" si="110"/>
        <v/>
      </c>
      <c r="AO61" s="26" t="str">
        <f t="shared" si="110"/>
        <v/>
      </c>
      <c r="AP61" s="26" t="str">
        <f t="shared" ref="AP61:AR61" si="111">IF(AP51="","",AP60*AP55)</f>
        <v/>
      </c>
      <c r="AQ61" s="26" t="str">
        <f t="shared" si="111"/>
        <v/>
      </c>
      <c r="AR61" s="26" t="str">
        <f t="shared" si="111"/>
        <v/>
      </c>
    </row>
    <row r="62" spans="1:44" s="1" customFormat="1" ht="12" thickBot="1">
      <c r="A62" s="4">
        <f>IF(A61="","",A61/(A58*100))</f>
        <v>3.4220532319391636E-2</v>
      </c>
      <c r="B62" s="27" t="s">
        <v>20</v>
      </c>
      <c r="C62" s="68" t="s">
        <v>21</v>
      </c>
      <c r="D62" s="44" t="str">
        <f t="shared" ref="D62:AO62" si="112">IF(D61="","",IF(D61=0,"",D61/(D58*100)))</f>
        <v/>
      </c>
      <c r="E62" s="44" t="str">
        <f t="shared" si="112"/>
        <v/>
      </c>
      <c r="F62" s="44" t="str">
        <f t="shared" si="112"/>
        <v/>
      </c>
      <c r="G62" s="384" t="str">
        <f t="shared" si="112"/>
        <v/>
      </c>
      <c r="H62" s="44" t="str">
        <f t="shared" si="112"/>
        <v/>
      </c>
      <c r="I62" s="44">
        <f t="shared" si="112"/>
        <v>7.6271186440677971E-2</v>
      </c>
      <c r="J62" s="384" t="str">
        <f t="shared" si="112"/>
        <v/>
      </c>
      <c r="K62" s="44" t="str">
        <f t="shared" si="112"/>
        <v/>
      </c>
      <c r="L62" s="44" t="str">
        <f t="shared" si="112"/>
        <v/>
      </c>
      <c r="M62" s="44" t="str">
        <f t="shared" si="112"/>
        <v/>
      </c>
      <c r="N62" s="44" t="str">
        <f t="shared" si="112"/>
        <v/>
      </c>
      <c r="O62" s="44">
        <f t="shared" si="112"/>
        <v>8.1818181818181818E-2</v>
      </c>
      <c r="P62" s="384" t="str">
        <f t="shared" si="112"/>
        <v/>
      </c>
      <c r="Q62" s="44" t="str">
        <f t="shared" si="112"/>
        <v/>
      </c>
      <c r="R62" s="44" t="str">
        <f t="shared" si="112"/>
        <v/>
      </c>
      <c r="S62" s="44" t="str">
        <f t="shared" si="112"/>
        <v/>
      </c>
      <c r="T62" s="44" t="str">
        <f t="shared" si="112"/>
        <v/>
      </c>
      <c r="U62" s="44" t="str">
        <f t="shared" si="112"/>
        <v/>
      </c>
      <c r="V62" s="44" t="str">
        <f>IF(V61="","",IF(V61=0,"",V61/(V58*100)))</f>
        <v/>
      </c>
      <c r="W62" s="44" t="str">
        <f t="shared" si="112"/>
        <v/>
      </c>
      <c r="X62" s="44" t="str">
        <f t="shared" si="112"/>
        <v/>
      </c>
      <c r="Y62" s="44" t="str">
        <f t="shared" si="112"/>
        <v/>
      </c>
      <c r="Z62" s="44" t="str">
        <f t="shared" si="112"/>
        <v/>
      </c>
      <c r="AA62" s="44" t="str">
        <f t="shared" si="112"/>
        <v/>
      </c>
      <c r="AB62" s="44" t="str">
        <f t="shared" si="112"/>
        <v/>
      </c>
      <c r="AC62" s="44" t="str">
        <f t="shared" si="112"/>
        <v/>
      </c>
      <c r="AD62" s="44" t="str">
        <f t="shared" si="112"/>
        <v/>
      </c>
      <c r="AE62" s="44" t="str">
        <f t="shared" si="112"/>
        <v/>
      </c>
      <c r="AF62" s="44" t="str">
        <f t="shared" si="112"/>
        <v/>
      </c>
      <c r="AG62" s="44" t="str">
        <f t="shared" si="112"/>
        <v/>
      </c>
      <c r="AH62" s="44" t="str">
        <f t="shared" si="112"/>
        <v/>
      </c>
      <c r="AI62" s="44" t="str">
        <f t="shared" si="112"/>
        <v/>
      </c>
      <c r="AJ62" s="44" t="str">
        <f t="shared" si="112"/>
        <v/>
      </c>
      <c r="AK62" s="44" t="str">
        <f t="shared" si="112"/>
        <v/>
      </c>
      <c r="AL62" s="44" t="str">
        <f t="shared" si="112"/>
        <v/>
      </c>
      <c r="AM62" s="44" t="str">
        <f t="shared" si="112"/>
        <v/>
      </c>
      <c r="AN62" s="44" t="str">
        <f t="shared" si="112"/>
        <v/>
      </c>
      <c r="AO62" s="44" t="str">
        <f t="shared" si="112"/>
        <v/>
      </c>
      <c r="AP62" s="44" t="str">
        <f t="shared" ref="AP62:AR62" si="113">IF(AP61="","",IF(AP61=0,"",AP61/(AP58*100)))</f>
        <v/>
      </c>
      <c r="AQ62" s="44" t="str">
        <f t="shared" si="113"/>
        <v/>
      </c>
      <c r="AR62" s="44" t="str">
        <f t="shared" si="113"/>
        <v/>
      </c>
    </row>
    <row r="63" spans="1:44" s="1" customFormat="1">
      <c r="A63" s="43" t="s">
        <v>180</v>
      </c>
      <c r="B63" s="42" t="s">
        <v>2</v>
      </c>
      <c r="C63" s="64">
        <v>5212</v>
      </c>
      <c r="D63" s="35">
        <f>IF(D$3="","",C63)</f>
        <v>5212</v>
      </c>
      <c r="E63" s="35">
        <f>IF(E$3="","",D63)</f>
        <v>5212</v>
      </c>
      <c r="F63" s="35">
        <v>5216</v>
      </c>
      <c r="G63" s="383">
        <f>IF(G$3="","",F63)</f>
        <v>5216</v>
      </c>
      <c r="H63" s="35">
        <f>IF(H$3="","",G63)</f>
        <v>5216</v>
      </c>
      <c r="I63" s="35">
        <v>5227</v>
      </c>
      <c r="J63" s="383">
        <f>IF(J$3="","",I63)</f>
        <v>5227</v>
      </c>
      <c r="K63" s="35">
        <f>IF(K$3="","",J63)</f>
        <v>5227</v>
      </c>
      <c r="L63" s="35">
        <v>5234</v>
      </c>
      <c r="M63" s="35">
        <f>IF(M$3="","",L63)</f>
        <v>5234</v>
      </c>
      <c r="N63" s="35">
        <f>IF(N$3="","",M63)</f>
        <v>5234</v>
      </c>
      <c r="O63" s="35">
        <v>5250</v>
      </c>
      <c r="P63" s="383">
        <f t="shared" ref="P63:AO63" si="114">IF(P$3="","",O63)</f>
        <v>5250</v>
      </c>
      <c r="Q63" s="35">
        <f t="shared" si="114"/>
        <v>5250</v>
      </c>
      <c r="R63" s="35">
        <f t="shared" si="114"/>
        <v>5250</v>
      </c>
      <c r="S63" s="35">
        <v>5257</v>
      </c>
      <c r="T63" s="35">
        <f t="shared" si="114"/>
        <v>5257</v>
      </c>
      <c r="U63" s="35">
        <f t="shared" si="114"/>
        <v>5257</v>
      </c>
      <c r="V63" s="35">
        <v>5264</v>
      </c>
      <c r="W63" s="35">
        <f t="shared" si="114"/>
        <v>5264</v>
      </c>
      <c r="X63" s="35">
        <f t="shared" si="114"/>
        <v>5264</v>
      </c>
      <c r="Y63" s="35">
        <f t="shared" si="114"/>
        <v>5264</v>
      </c>
      <c r="Z63" s="35">
        <f t="shared" si="114"/>
        <v>5264</v>
      </c>
      <c r="AA63" s="35">
        <v>5283</v>
      </c>
      <c r="AB63" s="35">
        <f t="shared" si="114"/>
        <v>5283</v>
      </c>
      <c r="AC63" s="35">
        <f t="shared" si="114"/>
        <v>5283</v>
      </c>
      <c r="AD63" s="35">
        <v>5295</v>
      </c>
      <c r="AE63" s="35" t="str">
        <f t="shared" si="114"/>
        <v/>
      </c>
      <c r="AF63" s="35" t="str">
        <f t="shared" si="114"/>
        <v/>
      </c>
      <c r="AG63" s="35" t="str">
        <f t="shared" si="114"/>
        <v/>
      </c>
      <c r="AH63" s="35" t="str">
        <f t="shared" si="114"/>
        <v/>
      </c>
      <c r="AI63" s="35" t="str">
        <f t="shared" si="114"/>
        <v/>
      </c>
      <c r="AJ63" s="35" t="str">
        <f t="shared" si="114"/>
        <v/>
      </c>
      <c r="AK63" s="35" t="str">
        <f t="shared" si="114"/>
        <v/>
      </c>
      <c r="AL63" s="35" t="str">
        <f t="shared" si="114"/>
        <v/>
      </c>
      <c r="AM63" s="35" t="str">
        <f t="shared" si="114"/>
        <v/>
      </c>
      <c r="AN63" s="35" t="str">
        <f t="shared" si="114"/>
        <v/>
      </c>
      <c r="AO63" s="35" t="str">
        <f t="shared" si="114"/>
        <v/>
      </c>
      <c r="AP63" s="35" t="str">
        <f t="shared" ref="AP63:AR63" si="115">IF(AP$3="","",AO63)</f>
        <v/>
      </c>
      <c r="AQ63" s="35" t="str">
        <f t="shared" si="115"/>
        <v/>
      </c>
      <c r="AR63" s="35" t="str">
        <f t="shared" si="115"/>
        <v/>
      </c>
    </row>
    <row r="64" spans="1:44" s="1" customFormat="1">
      <c r="A64" s="37" t="s">
        <v>30</v>
      </c>
      <c r="B64" s="30" t="s">
        <v>4</v>
      </c>
      <c r="C64" s="65">
        <v>111</v>
      </c>
      <c r="D64" s="29">
        <f>IF(D$3="","",C64)</f>
        <v>111</v>
      </c>
      <c r="E64" s="29">
        <f>IF(E$3="","",D64)</f>
        <v>111</v>
      </c>
      <c r="F64" s="29">
        <v>112</v>
      </c>
      <c r="G64" s="122">
        <f>IF(G$3="","",F64)</f>
        <v>112</v>
      </c>
      <c r="H64" s="29">
        <f>IF(H$3="","",G64)</f>
        <v>112</v>
      </c>
      <c r="I64" s="29">
        <v>113</v>
      </c>
      <c r="J64" s="122">
        <f>IF(J$3="","",I64)</f>
        <v>113</v>
      </c>
      <c r="K64" s="29">
        <f>IF(K$3="","",J64)</f>
        <v>113</v>
      </c>
      <c r="L64" s="29">
        <f>IF(L$3="","",K64)</f>
        <v>113</v>
      </c>
      <c r="M64" s="29">
        <f>IF(M$3="","",L64)</f>
        <v>113</v>
      </c>
      <c r="N64" s="29">
        <f>IF(N$3="","",M64)</f>
        <v>113</v>
      </c>
      <c r="O64" s="29">
        <f>IF(O$3="","",N64)</f>
        <v>113</v>
      </c>
      <c r="P64" s="122">
        <f t="shared" ref="P64:AO64" si="116">IF(P$3="","",O64)</f>
        <v>113</v>
      </c>
      <c r="Q64" s="29">
        <f t="shared" si="116"/>
        <v>113</v>
      </c>
      <c r="R64" s="29">
        <f t="shared" si="116"/>
        <v>113</v>
      </c>
      <c r="S64" s="29">
        <f t="shared" si="116"/>
        <v>113</v>
      </c>
      <c r="T64" s="29">
        <f t="shared" si="116"/>
        <v>113</v>
      </c>
      <c r="U64" s="29">
        <f t="shared" si="116"/>
        <v>113</v>
      </c>
      <c r="V64" s="29">
        <v>113</v>
      </c>
      <c r="W64" s="29">
        <f t="shared" si="116"/>
        <v>113</v>
      </c>
      <c r="X64" s="29">
        <f t="shared" si="116"/>
        <v>113</v>
      </c>
      <c r="Y64" s="29">
        <f t="shared" si="116"/>
        <v>113</v>
      </c>
      <c r="Z64" s="29">
        <f t="shared" si="116"/>
        <v>113</v>
      </c>
      <c r="AA64" s="29">
        <v>113</v>
      </c>
      <c r="AB64" s="29">
        <f t="shared" si="116"/>
        <v>113</v>
      </c>
      <c r="AC64" s="29">
        <f t="shared" si="116"/>
        <v>113</v>
      </c>
      <c r="AD64" s="29">
        <v>113</v>
      </c>
      <c r="AE64" s="29" t="str">
        <f t="shared" si="116"/>
        <v/>
      </c>
      <c r="AF64" s="29" t="str">
        <f t="shared" si="116"/>
        <v/>
      </c>
      <c r="AG64" s="29" t="str">
        <f t="shared" si="116"/>
        <v/>
      </c>
      <c r="AH64" s="29" t="str">
        <f t="shared" si="116"/>
        <v/>
      </c>
      <c r="AI64" s="29" t="str">
        <f t="shared" si="116"/>
        <v/>
      </c>
      <c r="AJ64" s="29" t="str">
        <f t="shared" si="116"/>
        <v/>
      </c>
      <c r="AK64" s="29" t="str">
        <f t="shared" si="116"/>
        <v/>
      </c>
      <c r="AL64" s="29" t="str">
        <f t="shared" si="116"/>
        <v/>
      </c>
      <c r="AM64" s="29" t="str">
        <f t="shared" si="116"/>
        <v/>
      </c>
      <c r="AN64" s="29" t="str">
        <f t="shared" si="116"/>
        <v/>
      </c>
      <c r="AO64" s="29" t="str">
        <f t="shared" si="116"/>
        <v/>
      </c>
      <c r="AP64" s="29" t="str">
        <f t="shared" ref="AP64:AR64" si="117">IF(AP$3="","",AO64)</f>
        <v/>
      </c>
      <c r="AQ64" s="29" t="str">
        <f t="shared" si="117"/>
        <v/>
      </c>
      <c r="AR64" s="29" t="str">
        <f t="shared" si="117"/>
        <v/>
      </c>
    </row>
    <row r="65" spans="1:44" s="1" customFormat="1">
      <c r="A65" s="41">
        <v>2</v>
      </c>
      <c r="B65" s="30" t="s">
        <v>5</v>
      </c>
      <c r="C65" s="65">
        <v>7</v>
      </c>
      <c r="D65" s="29">
        <f>IF(D63="","",(C65+C66))</f>
        <v>7</v>
      </c>
      <c r="E65" s="29">
        <f>IF(E63="","",(D65+D66))</f>
        <v>7</v>
      </c>
      <c r="F65" s="29">
        <v>4</v>
      </c>
      <c r="G65" s="122">
        <f>IF(G63="","",(F65+F66))</f>
        <v>4</v>
      </c>
      <c r="H65" s="29">
        <f>IF(H63="","",(G65+G66))</f>
        <v>4</v>
      </c>
      <c r="I65" s="29">
        <v>3</v>
      </c>
      <c r="J65" s="122">
        <f t="shared" ref="J65:AO65" si="118">IF(J63="","",(I65+I66))</f>
        <v>7</v>
      </c>
      <c r="K65" s="29">
        <f t="shared" si="118"/>
        <v>7</v>
      </c>
      <c r="L65" s="29">
        <f t="shared" si="118"/>
        <v>7</v>
      </c>
      <c r="M65" s="29">
        <f t="shared" si="118"/>
        <v>7</v>
      </c>
      <c r="N65" s="29">
        <f t="shared" si="118"/>
        <v>7</v>
      </c>
      <c r="O65" s="29">
        <f t="shared" si="118"/>
        <v>7</v>
      </c>
      <c r="P65" s="122">
        <f t="shared" si="118"/>
        <v>7</v>
      </c>
      <c r="Q65" s="29">
        <f t="shared" si="118"/>
        <v>7</v>
      </c>
      <c r="R65" s="29">
        <f t="shared" si="118"/>
        <v>7</v>
      </c>
      <c r="S65" s="29">
        <f t="shared" si="118"/>
        <v>7</v>
      </c>
      <c r="T65" s="29">
        <f t="shared" si="118"/>
        <v>7</v>
      </c>
      <c r="U65" s="29">
        <f t="shared" si="118"/>
        <v>7</v>
      </c>
      <c r="V65" s="29">
        <f>IF(V63="","",(U65+U66))</f>
        <v>7</v>
      </c>
      <c r="W65" s="29">
        <f t="shared" si="118"/>
        <v>4</v>
      </c>
      <c r="X65" s="29">
        <f t="shared" si="118"/>
        <v>4</v>
      </c>
      <c r="Y65" s="29">
        <f t="shared" si="118"/>
        <v>4</v>
      </c>
      <c r="Z65" s="29">
        <f t="shared" si="118"/>
        <v>4</v>
      </c>
      <c r="AA65" s="29">
        <f t="shared" si="118"/>
        <v>4</v>
      </c>
      <c r="AB65" s="29">
        <f t="shared" si="118"/>
        <v>4</v>
      </c>
      <c r="AC65" s="29">
        <f t="shared" si="118"/>
        <v>4</v>
      </c>
      <c r="AD65" s="29">
        <f t="shared" si="118"/>
        <v>4</v>
      </c>
      <c r="AE65" s="29" t="str">
        <f t="shared" si="118"/>
        <v/>
      </c>
      <c r="AF65" s="29" t="str">
        <f t="shared" si="118"/>
        <v/>
      </c>
      <c r="AG65" s="29" t="str">
        <f t="shared" si="118"/>
        <v/>
      </c>
      <c r="AH65" s="29" t="str">
        <f t="shared" si="118"/>
        <v/>
      </c>
      <c r="AI65" s="29" t="str">
        <f t="shared" si="118"/>
        <v/>
      </c>
      <c r="AJ65" s="29" t="str">
        <f t="shared" si="118"/>
        <v/>
      </c>
      <c r="AK65" s="29" t="str">
        <f t="shared" si="118"/>
        <v/>
      </c>
      <c r="AL65" s="29" t="str">
        <f t="shared" si="118"/>
        <v/>
      </c>
      <c r="AM65" s="29" t="str">
        <f t="shared" si="118"/>
        <v/>
      </c>
      <c r="AN65" s="29" t="str">
        <f t="shared" si="118"/>
        <v/>
      </c>
      <c r="AO65" s="29" t="str">
        <f t="shared" si="118"/>
        <v/>
      </c>
      <c r="AP65" s="29" t="str">
        <f t="shared" ref="AP65" si="119">IF(AP63="","",(AO65+AO66))</f>
        <v/>
      </c>
      <c r="AQ65" s="29" t="str">
        <f t="shared" ref="AQ65:AR65" si="120">IF(AQ63="","",(AP65+AP66))</f>
        <v/>
      </c>
      <c r="AR65" s="29" t="str">
        <f t="shared" si="120"/>
        <v/>
      </c>
    </row>
    <row r="66" spans="1:44" s="1" customFormat="1">
      <c r="A66" s="14"/>
      <c r="B66" s="30" t="s">
        <v>7</v>
      </c>
      <c r="C66" s="65"/>
      <c r="D66" s="29"/>
      <c r="E66" s="29"/>
      <c r="F66" s="29"/>
      <c r="G66" s="122"/>
      <c r="H66" s="29"/>
      <c r="I66" s="29">
        <v>4</v>
      </c>
      <c r="J66" s="122"/>
      <c r="K66" s="29"/>
      <c r="L66" s="29"/>
      <c r="M66" s="29"/>
      <c r="N66" s="29"/>
      <c r="O66" s="29"/>
      <c r="P66" s="122"/>
      <c r="Q66" s="29"/>
      <c r="R66" s="29"/>
      <c r="S66" s="29"/>
      <c r="T66" s="29"/>
      <c r="U66" s="29"/>
      <c r="V66" s="29">
        <v>-3</v>
      </c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</row>
    <row r="67" spans="1:44" s="1" customFormat="1">
      <c r="A67" s="7"/>
      <c r="B67" s="30" t="s">
        <v>8</v>
      </c>
      <c r="C67" s="64">
        <v>869.00000000000011</v>
      </c>
      <c r="D67" s="35">
        <f t="shared" ref="D67:I67" si="121">IF(D63="","",C67)</f>
        <v>869.00000000000011</v>
      </c>
      <c r="E67" s="35">
        <f t="shared" si="121"/>
        <v>869.00000000000011</v>
      </c>
      <c r="F67" s="35">
        <f t="shared" si="121"/>
        <v>869.00000000000011</v>
      </c>
      <c r="G67" s="383">
        <f t="shared" si="121"/>
        <v>869.00000000000011</v>
      </c>
      <c r="H67" s="35">
        <f t="shared" si="121"/>
        <v>869.00000000000011</v>
      </c>
      <c r="I67" s="35">
        <f t="shared" si="121"/>
        <v>869.00000000000011</v>
      </c>
      <c r="J67" s="383">
        <v>850</v>
      </c>
      <c r="K67" s="35">
        <f t="shared" ref="K67:AO67" si="122">IF(K63="","",J67)</f>
        <v>850</v>
      </c>
      <c r="L67" s="35">
        <f t="shared" si="122"/>
        <v>850</v>
      </c>
      <c r="M67" s="35">
        <f t="shared" si="122"/>
        <v>850</v>
      </c>
      <c r="N67" s="35">
        <f t="shared" si="122"/>
        <v>850</v>
      </c>
      <c r="O67" s="35">
        <f t="shared" si="122"/>
        <v>850</v>
      </c>
      <c r="P67" s="383">
        <f t="shared" si="122"/>
        <v>850</v>
      </c>
      <c r="Q67" s="35">
        <f t="shared" si="122"/>
        <v>850</v>
      </c>
      <c r="R67" s="35">
        <f t="shared" si="122"/>
        <v>850</v>
      </c>
      <c r="S67" s="35">
        <f t="shared" si="122"/>
        <v>850</v>
      </c>
      <c r="T67" s="35">
        <f t="shared" si="122"/>
        <v>850</v>
      </c>
      <c r="U67" s="35">
        <f t="shared" si="122"/>
        <v>850</v>
      </c>
      <c r="V67" s="35">
        <f>IF(V63="","",U67)</f>
        <v>850</v>
      </c>
      <c r="W67" s="35">
        <f t="shared" si="122"/>
        <v>850</v>
      </c>
      <c r="X67" s="35">
        <f t="shared" si="122"/>
        <v>850</v>
      </c>
      <c r="Y67" s="35">
        <f t="shared" si="122"/>
        <v>850</v>
      </c>
      <c r="Z67" s="35">
        <f t="shared" si="122"/>
        <v>850</v>
      </c>
      <c r="AA67" s="35">
        <f t="shared" si="122"/>
        <v>850</v>
      </c>
      <c r="AB67" s="35">
        <f t="shared" si="122"/>
        <v>850</v>
      </c>
      <c r="AC67" s="35">
        <f t="shared" si="122"/>
        <v>850</v>
      </c>
      <c r="AD67" s="35">
        <f t="shared" si="122"/>
        <v>850</v>
      </c>
      <c r="AE67" s="35" t="str">
        <f t="shared" si="122"/>
        <v/>
      </c>
      <c r="AF67" s="35" t="str">
        <f t="shared" si="122"/>
        <v/>
      </c>
      <c r="AG67" s="35" t="str">
        <f t="shared" si="122"/>
        <v/>
      </c>
      <c r="AH67" s="35" t="str">
        <f t="shared" si="122"/>
        <v/>
      </c>
      <c r="AI67" s="35" t="str">
        <f t="shared" si="122"/>
        <v/>
      </c>
      <c r="AJ67" s="35" t="str">
        <f t="shared" si="122"/>
        <v/>
      </c>
      <c r="AK67" s="35" t="str">
        <f t="shared" si="122"/>
        <v/>
      </c>
      <c r="AL67" s="35" t="str">
        <f t="shared" si="122"/>
        <v/>
      </c>
      <c r="AM67" s="35" t="str">
        <f t="shared" si="122"/>
        <v/>
      </c>
      <c r="AN67" s="35" t="str">
        <f t="shared" si="122"/>
        <v/>
      </c>
      <c r="AO67" s="35" t="str">
        <f t="shared" si="122"/>
        <v/>
      </c>
      <c r="AP67" s="35" t="str">
        <f t="shared" ref="AP67" si="123">IF(AP63="","",AO67)</f>
        <v/>
      </c>
      <c r="AQ67" s="35" t="str">
        <f t="shared" ref="AQ67:AR67" si="124">IF(AQ63="","",AP67)</f>
        <v/>
      </c>
      <c r="AR67" s="35" t="str">
        <f t="shared" si="124"/>
        <v/>
      </c>
    </row>
    <row r="68" spans="1:44" s="11" customFormat="1">
      <c r="A68" s="14" t="s">
        <v>9</v>
      </c>
      <c r="B68" s="33" t="s">
        <v>10</v>
      </c>
      <c r="C68" s="63" t="s">
        <v>93</v>
      </c>
      <c r="D68" s="32" t="str">
        <f t="shared" ref="D68:I68" si="125">IF(D63="","",C68)</f>
        <v>NICI</v>
      </c>
      <c r="E68" s="32" t="str">
        <f t="shared" si="125"/>
        <v>NICI</v>
      </c>
      <c r="F68" s="32" t="str">
        <f t="shared" si="125"/>
        <v>NICI</v>
      </c>
      <c r="G68" s="123" t="str">
        <f t="shared" si="125"/>
        <v>NICI</v>
      </c>
      <c r="H68" s="32" t="str">
        <f t="shared" si="125"/>
        <v>NICI</v>
      </c>
      <c r="I68" s="32" t="str">
        <f t="shared" si="125"/>
        <v>NICI</v>
      </c>
      <c r="J68" s="123" t="s">
        <v>88</v>
      </c>
      <c r="K68" s="32" t="str">
        <f t="shared" ref="K68:AO68" si="126">IF(K63="","",J68)</f>
        <v>ギャルキティMC</v>
      </c>
      <c r="L68" s="32" t="str">
        <f t="shared" si="126"/>
        <v>ギャルキティMC</v>
      </c>
      <c r="M68" s="32" t="str">
        <f t="shared" si="126"/>
        <v>ギャルキティMC</v>
      </c>
      <c r="N68" s="32" t="str">
        <f t="shared" si="126"/>
        <v>ギャルキティMC</v>
      </c>
      <c r="O68" s="32" t="str">
        <f t="shared" si="126"/>
        <v>ギャルキティMC</v>
      </c>
      <c r="P68" s="123" t="str">
        <f t="shared" si="126"/>
        <v>ギャルキティMC</v>
      </c>
      <c r="Q68" s="32" t="str">
        <f t="shared" si="126"/>
        <v>ギャルキティMC</v>
      </c>
      <c r="R68" s="32" t="str">
        <f t="shared" si="126"/>
        <v>ギャルキティMC</v>
      </c>
      <c r="S68" s="32" t="str">
        <f t="shared" si="126"/>
        <v>ギャルキティMC</v>
      </c>
      <c r="T68" s="32" t="str">
        <f t="shared" si="126"/>
        <v>ギャルキティMC</v>
      </c>
      <c r="U68" s="32" t="str">
        <f t="shared" si="126"/>
        <v>ギャルキティMC</v>
      </c>
      <c r="V68" s="32" t="str">
        <f>IF(V63="","",U68)</f>
        <v>ギャルキティMC</v>
      </c>
      <c r="W68" s="32" t="s">
        <v>102</v>
      </c>
      <c r="X68" s="32" t="str">
        <f t="shared" si="126"/>
        <v>モンチッチMC</v>
      </c>
      <c r="Y68" s="32" t="str">
        <f t="shared" si="126"/>
        <v>モンチッチMC</v>
      </c>
      <c r="Z68" s="32" t="str">
        <f t="shared" si="126"/>
        <v>モンチッチMC</v>
      </c>
      <c r="AA68" s="32" t="str">
        <f t="shared" si="126"/>
        <v>モンチッチMC</v>
      </c>
      <c r="AB68" s="32" t="str">
        <f t="shared" si="126"/>
        <v>モンチッチMC</v>
      </c>
      <c r="AC68" s="32" t="str">
        <f t="shared" si="126"/>
        <v>モンチッチMC</v>
      </c>
      <c r="AD68" s="32" t="str">
        <f t="shared" si="126"/>
        <v>モンチッチMC</v>
      </c>
      <c r="AE68" s="32" t="str">
        <f t="shared" si="126"/>
        <v/>
      </c>
      <c r="AF68" s="32" t="str">
        <f t="shared" si="126"/>
        <v/>
      </c>
      <c r="AG68" s="32" t="str">
        <f t="shared" si="126"/>
        <v/>
      </c>
      <c r="AH68" s="32" t="str">
        <f t="shared" si="126"/>
        <v/>
      </c>
      <c r="AI68" s="32" t="str">
        <f t="shared" si="126"/>
        <v/>
      </c>
      <c r="AJ68" s="32" t="str">
        <f t="shared" si="126"/>
        <v/>
      </c>
      <c r="AK68" s="32" t="str">
        <f t="shared" si="126"/>
        <v/>
      </c>
      <c r="AL68" s="32" t="str">
        <f t="shared" si="126"/>
        <v/>
      </c>
      <c r="AM68" s="32" t="str">
        <f t="shared" si="126"/>
        <v/>
      </c>
      <c r="AN68" s="32" t="str">
        <f t="shared" si="126"/>
        <v/>
      </c>
      <c r="AO68" s="32" t="str">
        <f t="shared" si="126"/>
        <v/>
      </c>
      <c r="AP68" s="32" t="str">
        <f t="shared" ref="AP68" si="127">IF(AP63="","",AO68)</f>
        <v/>
      </c>
      <c r="AQ68" s="32" t="str">
        <f t="shared" ref="AQ68:AR68" si="128">IF(AQ63="","",AP68)</f>
        <v/>
      </c>
      <c r="AR68" s="32" t="str">
        <f t="shared" si="128"/>
        <v/>
      </c>
    </row>
    <row r="69" spans="1:44" s="1" customFormat="1">
      <c r="A69" s="7">
        <f>AVERAGE(C70:AS70)*30*100</f>
        <v>8892.8571428571431</v>
      </c>
      <c r="B69" s="30" t="s">
        <v>14</v>
      </c>
      <c r="C69" s="65"/>
      <c r="D69" s="29"/>
      <c r="E69" s="29"/>
      <c r="F69" s="29"/>
      <c r="G69" s="122"/>
      <c r="H69" s="29"/>
      <c r="I69" s="29"/>
      <c r="J69" s="122"/>
      <c r="K69" s="29"/>
      <c r="L69" s="29"/>
      <c r="M69" s="29"/>
      <c r="N69" s="29"/>
      <c r="O69" s="29"/>
      <c r="P69" s="122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</row>
    <row r="70" spans="1:44" s="1" customFormat="1">
      <c r="A70" s="7">
        <f>SUM(C70:AS70)</f>
        <v>83</v>
      </c>
      <c r="B70" s="27" t="s">
        <v>15</v>
      </c>
      <c r="C70" s="65">
        <v>0</v>
      </c>
      <c r="D70" s="26">
        <f t="shared" ref="D70:AO70" si="129">IF(D63="","",D63-C63)</f>
        <v>0</v>
      </c>
      <c r="E70" s="26">
        <f t="shared" si="129"/>
        <v>0</v>
      </c>
      <c r="F70" s="26">
        <f t="shared" si="129"/>
        <v>4</v>
      </c>
      <c r="G70" s="122">
        <f t="shared" si="129"/>
        <v>0</v>
      </c>
      <c r="H70" s="26">
        <f t="shared" si="129"/>
        <v>0</v>
      </c>
      <c r="I70" s="26">
        <f t="shared" si="129"/>
        <v>11</v>
      </c>
      <c r="J70" s="122">
        <f t="shared" si="129"/>
        <v>0</v>
      </c>
      <c r="K70" s="26">
        <f t="shared" si="129"/>
        <v>0</v>
      </c>
      <c r="L70" s="26">
        <f t="shared" si="129"/>
        <v>7</v>
      </c>
      <c r="M70" s="26">
        <f t="shared" si="129"/>
        <v>0</v>
      </c>
      <c r="N70" s="26">
        <f t="shared" si="129"/>
        <v>0</v>
      </c>
      <c r="O70" s="26">
        <f t="shared" si="129"/>
        <v>16</v>
      </c>
      <c r="P70" s="122">
        <f t="shared" si="129"/>
        <v>0</v>
      </c>
      <c r="Q70" s="26">
        <f t="shared" si="129"/>
        <v>0</v>
      </c>
      <c r="R70" s="26">
        <f t="shared" si="129"/>
        <v>0</v>
      </c>
      <c r="S70" s="26">
        <f t="shared" si="129"/>
        <v>7</v>
      </c>
      <c r="T70" s="26">
        <f t="shared" si="129"/>
        <v>0</v>
      </c>
      <c r="U70" s="26">
        <f t="shared" si="129"/>
        <v>0</v>
      </c>
      <c r="V70" s="26">
        <f>IF(V63="","",V63-U63)</f>
        <v>7</v>
      </c>
      <c r="W70" s="26">
        <f t="shared" si="129"/>
        <v>0</v>
      </c>
      <c r="X70" s="26">
        <f t="shared" si="129"/>
        <v>0</v>
      </c>
      <c r="Y70" s="26">
        <f t="shared" si="129"/>
        <v>0</v>
      </c>
      <c r="Z70" s="26">
        <f t="shared" si="129"/>
        <v>0</v>
      </c>
      <c r="AA70" s="26">
        <f t="shared" si="129"/>
        <v>19</v>
      </c>
      <c r="AB70" s="26">
        <f t="shared" si="129"/>
        <v>0</v>
      </c>
      <c r="AC70" s="26">
        <f t="shared" si="129"/>
        <v>0</v>
      </c>
      <c r="AD70" s="26">
        <f t="shared" si="129"/>
        <v>12</v>
      </c>
      <c r="AE70" s="26" t="str">
        <f t="shared" si="129"/>
        <v/>
      </c>
      <c r="AF70" s="26" t="str">
        <f t="shared" si="129"/>
        <v/>
      </c>
      <c r="AG70" s="26" t="str">
        <f t="shared" si="129"/>
        <v/>
      </c>
      <c r="AH70" s="26" t="str">
        <f t="shared" si="129"/>
        <v/>
      </c>
      <c r="AI70" s="26" t="str">
        <f t="shared" si="129"/>
        <v/>
      </c>
      <c r="AJ70" s="26" t="str">
        <f t="shared" si="129"/>
        <v/>
      </c>
      <c r="AK70" s="26" t="str">
        <f t="shared" si="129"/>
        <v/>
      </c>
      <c r="AL70" s="26" t="str">
        <f t="shared" si="129"/>
        <v/>
      </c>
      <c r="AM70" s="26" t="str">
        <f t="shared" si="129"/>
        <v/>
      </c>
      <c r="AN70" s="26" t="str">
        <f t="shared" si="129"/>
        <v/>
      </c>
      <c r="AO70" s="26" t="str">
        <f t="shared" si="129"/>
        <v/>
      </c>
      <c r="AP70" s="26" t="str">
        <f t="shared" ref="AP70:AP71" si="130">IF(AP63="","",AP63-AO63)</f>
        <v/>
      </c>
      <c r="AQ70" s="26" t="str">
        <f t="shared" ref="AQ70:AR71" si="131">IF(AQ63="","",AQ63-AP63)</f>
        <v/>
      </c>
      <c r="AR70" s="26" t="str">
        <f t="shared" si="131"/>
        <v/>
      </c>
    </row>
    <row r="71" spans="1:44" s="1" customFormat="1">
      <c r="A71" s="7">
        <f>SUM(C71:AS71)</f>
        <v>2</v>
      </c>
      <c r="B71" s="27" t="s">
        <v>16</v>
      </c>
      <c r="C71" s="65">
        <v>0</v>
      </c>
      <c r="D71" s="26">
        <f t="shared" ref="D71:AO71" si="132">IF(D64="","",D64-C64)</f>
        <v>0</v>
      </c>
      <c r="E71" s="26">
        <f t="shared" si="132"/>
        <v>0</v>
      </c>
      <c r="F71" s="26">
        <f t="shared" si="132"/>
        <v>1</v>
      </c>
      <c r="G71" s="122">
        <f t="shared" si="132"/>
        <v>0</v>
      </c>
      <c r="H71" s="26">
        <f t="shared" si="132"/>
        <v>0</v>
      </c>
      <c r="I71" s="26">
        <f t="shared" si="132"/>
        <v>1</v>
      </c>
      <c r="J71" s="122">
        <f t="shared" si="132"/>
        <v>0</v>
      </c>
      <c r="K71" s="26">
        <f t="shared" si="132"/>
        <v>0</v>
      </c>
      <c r="L71" s="26">
        <f t="shared" si="132"/>
        <v>0</v>
      </c>
      <c r="M71" s="26">
        <f t="shared" si="132"/>
        <v>0</v>
      </c>
      <c r="N71" s="26">
        <f t="shared" si="132"/>
        <v>0</v>
      </c>
      <c r="O71" s="26">
        <f t="shared" si="132"/>
        <v>0</v>
      </c>
      <c r="P71" s="122">
        <f t="shared" si="132"/>
        <v>0</v>
      </c>
      <c r="Q71" s="26">
        <f t="shared" si="132"/>
        <v>0</v>
      </c>
      <c r="R71" s="26">
        <f t="shared" si="132"/>
        <v>0</v>
      </c>
      <c r="S71" s="26">
        <f t="shared" si="132"/>
        <v>0</v>
      </c>
      <c r="T71" s="26">
        <f t="shared" si="132"/>
        <v>0</v>
      </c>
      <c r="U71" s="26">
        <f t="shared" si="132"/>
        <v>0</v>
      </c>
      <c r="V71" s="26">
        <f>IF(V64="","",V64-U64)</f>
        <v>0</v>
      </c>
      <c r="W71" s="26">
        <f t="shared" si="132"/>
        <v>0</v>
      </c>
      <c r="X71" s="26">
        <f t="shared" si="132"/>
        <v>0</v>
      </c>
      <c r="Y71" s="26">
        <f t="shared" si="132"/>
        <v>0</v>
      </c>
      <c r="Z71" s="26">
        <f t="shared" si="132"/>
        <v>0</v>
      </c>
      <c r="AA71" s="26">
        <f t="shared" si="132"/>
        <v>0</v>
      </c>
      <c r="AB71" s="26">
        <f t="shared" si="132"/>
        <v>0</v>
      </c>
      <c r="AC71" s="26">
        <f t="shared" si="132"/>
        <v>0</v>
      </c>
      <c r="AD71" s="26">
        <f t="shared" si="132"/>
        <v>0</v>
      </c>
      <c r="AE71" s="26" t="str">
        <f t="shared" si="132"/>
        <v/>
      </c>
      <c r="AF71" s="26" t="str">
        <f t="shared" si="132"/>
        <v/>
      </c>
      <c r="AG71" s="26" t="str">
        <f t="shared" si="132"/>
        <v/>
      </c>
      <c r="AH71" s="26" t="str">
        <f t="shared" si="132"/>
        <v/>
      </c>
      <c r="AI71" s="26" t="str">
        <f t="shared" si="132"/>
        <v/>
      </c>
      <c r="AJ71" s="26" t="str">
        <f t="shared" si="132"/>
        <v/>
      </c>
      <c r="AK71" s="26" t="str">
        <f t="shared" si="132"/>
        <v/>
      </c>
      <c r="AL71" s="26" t="str">
        <f t="shared" si="132"/>
        <v/>
      </c>
      <c r="AM71" s="26" t="str">
        <f t="shared" si="132"/>
        <v/>
      </c>
      <c r="AN71" s="26" t="str">
        <f t="shared" si="132"/>
        <v/>
      </c>
      <c r="AO71" s="26" t="str">
        <f t="shared" si="132"/>
        <v/>
      </c>
      <c r="AP71" s="26" t="str">
        <f t="shared" si="130"/>
        <v/>
      </c>
      <c r="AQ71" s="26" t="str">
        <f t="shared" si="131"/>
        <v/>
      </c>
      <c r="AR71" s="26" t="str">
        <f t="shared" si="131"/>
        <v/>
      </c>
    </row>
    <row r="72" spans="1:44" s="1" customFormat="1">
      <c r="A72" s="7">
        <f>SUM(C72:AS72)</f>
        <v>4</v>
      </c>
      <c r="B72" s="27" t="s">
        <v>17</v>
      </c>
      <c r="C72" s="65">
        <v>0</v>
      </c>
      <c r="D72" s="26">
        <f t="shared" ref="D72:AO72" si="133">IF(D65="","",C65+C66-D65)</f>
        <v>0</v>
      </c>
      <c r="E72" s="26">
        <f t="shared" si="133"/>
        <v>0</v>
      </c>
      <c r="F72" s="26">
        <f t="shared" si="133"/>
        <v>3</v>
      </c>
      <c r="G72" s="122">
        <f t="shared" si="133"/>
        <v>0</v>
      </c>
      <c r="H72" s="26">
        <f t="shared" si="133"/>
        <v>0</v>
      </c>
      <c r="I72" s="26">
        <f t="shared" si="133"/>
        <v>1</v>
      </c>
      <c r="J72" s="122">
        <f t="shared" si="133"/>
        <v>0</v>
      </c>
      <c r="K72" s="26">
        <f t="shared" si="133"/>
        <v>0</v>
      </c>
      <c r="L72" s="26">
        <f t="shared" si="133"/>
        <v>0</v>
      </c>
      <c r="M72" s="26">
        <f t="shared" si="133"/>
        <v>0</v>
      </c>
      <c r="N72" s="26">
        <f t="shared" si="133"/>
        <v>0</v>
      </c>
      <c r="O72" s="26">
        <f t="shared" si="133"/>
        <v>0</v>
      </c>
      <c r="P72" s="122">
        <f t="shared" si="133"/>
        <v>0</v>
      </c>
      <c r="Q72" s="26">
        <f t="shared" si="133"/>
        <v>0</v>
      </c>
      <c r="R72" s="26">
        <f t="shared" si="133"/>
        <v>0</v>
      </c>
      <c r="S72" s="26">
        <f t="shared" si="133"/>
        <v>0</v>
      </c>
      <c r="T72" s="26">
        <f t="shared" si="133"/>
        <v>0</v>
      </c>
      <c r="U72" s="26">
        <f t="shared" si="133"/>
        <v>0</v>
      </c>
      <c r="V72" s="26">
        <f>IF(V65="","",U65+U66-V65)</f>
        <v>0</v>
      </c>
      <c r="W72" s="26">
        <f t="shared" si="133"/>
        <v>0</v>
      </c>
      <c r="X72" s="26">
        <f t="shared" si="133"/>
        <v>0</v>
      </c>
      <c r="Y72" s="26">
        <f t="shared" si="133"/>
        <v>0</v>
      </c>
      <c r="Z72" s="26">
        <f t="shared" si="133"/>
        <v>0</v>
      </c>
      <c r="AA72" s="26">
        <f t="shared" si="133"/>
        <v>0</v>
      </c>
      <c r="AB72" s="26">
        <f t="shared" si="133"/>
        <v>0</v>
      </c>
      <c r="AC72" s="26">
        <f t="shared" si="133"/>
        <v>0</v>
      </c>
      <c r="AD72" s="26">
        <f t="shared" si="133"/>
        <v>0</v>
      </c>
      <c r="AE72" s="26" t="str">
        <f t="shared" si="133"/>
        <v/>
      </c>
      <c r="AF72" s="26" t="str">
        <f t="shared" si="133"/>
        <v/>
      </c>
      <c r="AG72" s="26" t="str">
        <f t="shared" si="133"/>
        <v/>
      </c>
      <c r="AH72" s="26" t="str">
        <f t="shared" si="133"/>
        <v/>
      </c>
      <c r="AI72" s="26" t="str">
        <f t="shared" si="133"/>
        <v/>
      </c>
      <c r="AJ72" s="26" t="str">
        <f t="shared" si="133"/>
        <v/>
      </c>
      <c r="AK72" s="26" t="str">
        <f t="shared" si="133"/>
        <v/>
      </c>
      <c r="AL72" s="26" t="str">
        <f t="shared" si="133"/>
        <v/>
      </c>
      <c r="AM72" s="26" t="str">
        <f t="shared" si="133"/>
        <v/>
      </c>
      <c r="AN72" s="26" t="str">
        <f t="shared" si="133"/>
        <v/>
      </c>
      <c r="AO72" s="26" t="str">
        <f t="shared" si="133"/>
        <v/>
      </c>
      <c r="AP72" s="26" t="str">
        <f t="shared" ref="AP72" si="134">IF(AP65="","",AO65+AO66-AP65)</f>
        <v/>
      </c>
      <c r="AQ72" s="26" t="str">
        <f t="shared" ref="AQ72:AR72" si="135">IF(AQ65="","",AP65+AP66-AQ65)</f>
        <v/>
      </c>
      <c r="AR72" s="26" t="str">
        <f t="shared" si="135"/>
        <v/>
      </c>
    </row>
    <row r="73" spans="1:44" s="1" customFormat="1">
      <c r="A73" s="7">
        <f>SUM(C73:AS73)</f>
        <v>3476.0000000000005</v>
      </c>
      <c r="B73" s="27" t="s">
        <v>18</v>
      </c>
      <c r="C73" s="65">
        <v>0</v>
      </c>
      <c r="D73" s="26">
        <f t="shared" ref="D73:AO73" si="136">IF(D63="","",D72*D67)</f>
        <v>0</v>
      </c>
      <c r="E73" s="26">
        <f t="shared" si="136"/>
        <v>0</v>
      </c>
      <c r="F73" s="26">
        <f t="shared" si="136"/>
        <v>2607.0000000000005</v>
      </c>
      <c r="G73" s="122">
        <f t="shared" si="136"/>
        <v>0</v>
      </c>
      <c r="H73" s="26">
        <f t="shared" si="136"/>
        <v>0</v>
      </c>
      <c r="I73" s="26">
        <f t="shared" si="136"/>
        <v>869.00000000000011</v>
      </c>
      <c r="J73" s="122">
        <f t="shared" si="136"/>
        <v>0</v>
      </c>
      <c r="K73" s="26">
        <f t="shared" si="136"/>
        <v>0</v>
      </c>
      <c r="L73" s="26">
        <f t="shared" si="136"/>
        <v>0</v>
      </c>
      <c r="M73" s="26">
        <f t="shared" si="136"/>
        <v>0</v>
      </c>
      <c r="N73" s="26">
        <f t="shared" si="136"/>
        <v>0</v>
      </c>
      <c r="O73" s="26">
        <f t="shared" si="136"/>
        <v>0</v>
      </c>
      <c r="P73" s="122">
        <f t="shared" si="136"/>
        <v>0</v>
      </c>
      <c r="Q73" s="26">
        <f t="shared" si="136"/>
        <v>0</v>
      </c>
      <c r="R73" s="26">
        <f t="shared" si="136"/>
        <v>0</v>
      </c>
      <c r="S73" s="26">
        <f t="shared" si="136"/>
        <v>0</v>
      </c>
      <c r="T73" s="26">
        <f t="shared" si="136"/>
        <v>0</v>
      </c>
      <c r="U73" s="26">
        <f t="shared" si="136"/>
        <v>0</v>
      </c>
      <c r="V73" s="26">
        <f>IF(V63="","",V72*V67)</f>
        <v>0</v>
      </c>
      <c r="W73" s="26">
        <f t="shared" si="136"/>
        <v>0</v>
      </c>
      <c r="X73" s="26">
        <f t="shared" si="136"/>
        <v>0</v>
      </c>
      <c r="Y73" s="26">
        <f t="shared" si="136"/>
        <v>0</v>
      </c>
      <c r="Z73" s="26">
        <f t="shared" si="136"/>
        <v>0</v>
      </c>
      <c r="AA73" s="26">
        <f t="shared" si="136"/>
        <v>0</v>
      </c>
      <c r="AB73" s="26">
        <f t="shared" si="136"/>
        <v>0</v>
      </c>
      <c r="AC73" s="26">
        <f t="shared" si="136"/>
        <v>0</v>
      </c>
      <c r="AD73" s="26">
        <f t="shared" si="136"/>
        <v>0</v>
      </c>
      <c r="AE73" s="26" t="str">
        <f t="shared" si="136"/>
        <v/>
      </c>
      <c r="AF73" s="26" t="str">
        <f t="shared" si="136"/>
        <v/>
      </c>
      <c r="AG73" s="26" t="str">
        <f t="shared" si="136"/>
        <v/>
      </c>
      <c r="AH73" s="26" t="str">
        <f t="shared" si="136"/>
        <v/>
      </c>
      <c r="AI73" s="26" t="str">
        <f t="shared" si="136"/>
        <v/>
      </c>
      <c r="AJ73" s="26" t="str">
        <f t="shared" si="136"/>
        <v/>
      </c>
      <c r="AK73" s="26" t="str">
        <f t="shared" si="136"/>
        <v/>
      </c>
      <c r="AL73" s="26" t="str">
        <f t="shared" si="136"/>
        <v/>
      </c>
      <c r="AM73" s="26" t="str">
        <f t="shared" si="136"/>
        <v/>
      </c>
      <c r="AN73" s="26" t="str">
        <f t="shared" si="136"/>
        <v/>
      </c>
      <c r="AO73" s="26" t="str">
        <f t="shared" si="136"/>
        <v/>
      </c>
      <c r="AP73" s="26" t="str">
        <f t="shared" ref="AP73:AR73" si="137">IF(AP63="","",AP72*AP67)</f>
        <v/>
      </c>
      <c r="AQ73" s="26" t="str">
        <f t="shared" si="137"/>
        <v/>
      </c>
      <c r="AR73" s="26" t="str">
        <f t="shared" si="137"/>
        <v/>
      </c>
    </row>
    <row r="74" spans="1:44" s="1" customFormat="1" ht="12" thickBot="1">
      <c r="A74" s="4">
        <f>IF(A73="","",A73/(A70*100))</f>
        <v>0.41879518072289162</v>
      </c>
      <c r="B74" s="27" t="s">
        <v>20</v>
      </c>
      <c r="C74" s="68" t="s">
        <v>21</v>
      </c>
      <c r="D74" s="44" t="str">
        <f t="shared" ref="D74:AO74" si="138">IF(D73="","",IF(D73=0,"",D73/(D70*100)))</f>
        <v/>
      </c>
      <c r="E74" s="44" t="str">
        <f t="shared" si="138"/>
        <v/>
      </c>
      <c r="F74" s="44">
        <f t="shared" si="138"/>
        <v>6.517500000000001</v>
      </c>
      <c r="G74" s="384" t="str">
        <f t="shared" si="138"/>
        <v/>
      </c>
      <c r="H74" s="44" t="str">
        <f t="shared" si="138"/>
        <v/>
      </c>
      <c r="I74" s="44">
        <f t="shared" si="138"/>
        <v>0.79000000000000015</v>
      </c>
      <c r="J74" s="384" t="str">
        <f t="shared" si="138"/>
        <v/>
      </c>
      <c r="K74" s="44" t="str">
        <f t="shared" si="138"/>
        <v/>
      </c>
      <c r="L74" s="44" t="str">
        <f t="shared" si="138"/>
        <v/>
      </c>
      <c r="M74" s="44" t="str">
        <f t="shared" si="138"/>
        <v/>
      </c>
      <c r="N74" s="44" t="str">
        <f t="shared" si="138"/>
        <v/>
      </c>
      <c r="O74" s="44" t="str">
        <f t="shared" si="138"/>
        <v/>
      </c>
      <c r="P74" s="384" t="str">
        <f t="shared" si="138"/>
        <v/>
      </c>
      <c r="Q74" s="44" t="str">
        <f t="shared" si="138"/>
        <v/>
      </c>
      <c r="R74" s="44" t="str">
        <f t="shared" si="138"/>
        <v/>
      </c>
      <c r="S74" s="44" t="str">
        <f t="shared" si="138"/>
        <v/>
      </c>
      <c r="T74" s="44" t="str">
        <f t="shared" si="138"/>
        <v/>
      </c>
      <c r="U74" s="44" t="str">
        <f t="shared" si="138"/>
        <v/>
      </c>
      <c r="V74" s="44" t="str">
        <f>IF(V73="","",IF(V73=0,"",V73/(V70*100)))</f>
        <v/>
      </c>
      <c r="W74" s="44" t="str">
        <f t="shared" si="138"/>
        <v/>
      </c>
      <c r="X74" s="44" t="str">
        <f t="shared" si="138"/>
        <v/>
      </c>
      <c r="Y74" s="44" t="str">
        <f t="shared" si="138"/>
        <v/>
      </c>
      <c r="Z74" s="44" t="str">
        <f t="shared" si="138"/>
        <v/>
      </c>
      <c r="AA74" s="44" t="str">
        <f t="shared" si="138"/>
        <v/>
      </c>
      <c r="AB74" s="44" t="str">
        <f t="shared" si="138"/>
        <v/>
      </c>
      <c r="AC74" s="44" t="str">
        <f t="shared" si="138"/>
        <v/>
      </c>
      <c r="AD74" s="44" t="str">
        <f t="shared" si="138"/>
        <v/>
      </c>
      <c r="AE74" s="44" t="str">
        <f t="shared" si="138"/>
        <v/>
      </c>
      <c r="AF74" s="44" t="str">
        <f t="shared" si="138"/>
        <v/>
      </c>
      <c r="AG74" s="44" t="str">
        <f t="shared" si="138"/>
        <v/>
      </c>
      <c r="AH74" s="44" t="str">
        <f t="shared" si="138"/>
        <v/>
      </c>
      <c r="AI74" s="44" t="str">
        <f t="shared" si="138"/>
        <v/>
      </c>
      <c r="AJ74" s="44" t="str">
        <f t="shared" si="138"/>
        <v/>
      </c>
      <c r="AK74" s="44" t="str">
        <f t="shared" si="138"/>
        <v/>
      </c>
      <c r="AL74" s="44" t="str">
        <f t="shared" si="138"/>
        <v/>
      </c>
      <c r="AM74" s="44" t="str">
        <f t="shared" si="138"/>
        <v/>
      </c>
      <c r="AN74" s="44" t="str">
        <f t="shared" si="138"/>
        <v/>
      </c>
      <c r="AO74" s="44" t="str">
        <f t="shared" si="138"/>
        <v/>
      </c>
      <c r="AP74" s="44" t="str">
        <f t="shared" ref="AP74:AR74" si="139">IF(AP73="","",IF(AP73=0,"",AP73/(AP70*100)))</f>
        <v/>
      </c>
      <c r="AQ74" s="44" t="str">
        <f t="shared" si="139"/>
        <v/>
      </c>
      <c r="AR74" s="44" t="str">
        <f t="shared" si="139"/>
        <v/>
      </c>
    </row>
    <row r="75" spans="1:44" s="1" customFormat="1">
      <c r="A75" s="43" t="s">
        <v>180</v>
      </c>
      <c r="B75" s="42" t="s">
        <v>2</v>
      </c>
      <c r="C75" s="64">
        <v>5671</v>
      </c>
      <c r="D75" s="35">
        <f>IF(D$3="","",C75)</f>
        <v>5671</v>
      </c>
      <c r="E75" s="35">
        <f>IF(E$3="","",D75)</f>
        <v>5671</v>
      </c>
      <c r="F75" s="35">
        <v>5694</v>
      </c>
      <c r="G75" s="383">
        <f>IF(G$3="","",F75)</f>
        <v>5694</v>
      </c>
      <c r="H75" s="35">
        <f>IF(H$3="","",G75)</f>
        <v>5694</v>
      </c>
      <c r="I75" s="35">
        <v>5787</v>
      </c>
      <c r="J75" s="383">
        <f>IF(J$3="","",I75)</f>
        <v>5787</v>
      </c>
      <c r="K75" s="35">
        <f>IF(K$3="","",J75)</f>
        <v>5787</v>
      </c>
      <c r="L75" s="35">
        <v>5801</v>
      </c>
      <c r="M75" s="35">
        <f>IF(M$3="","",L75)</f>
        <v>5801</v>
      </c>
      <c r="N75" s="35">
        <f>IF(N$3="","",M75)</f>
        <v>5801</v>
      </c>
      <c r="O75" s="35">
        <v>5834</v>
      </c>
      <c r="P75" s="383">
        <f t="shared" ref="P75:AO75" si="140">IF(P$3="","",O75)</f>
        <v>5834</v>
      </c>
      <c r="Q75" s="35">
        <f t="shared" si="140"/>
        <v>5834</v>
      </c>
      <c r="R75" s="35">
        <f t="shared" si="140"/>
        <v>5834</v>
      </c>
      <c r="S75" s="35">
        <v>5846</v>
      </c>
      <c r="T75" s="35">
        <f t="shared" si="140"/>
        <v>5846</v>
      </c>
      <c r="U75" s="35">
        <f t="shared" si="140"/>
        <v>5846</v>
      </c>
      <c r="V75" s="35">
        <v>5869</v>
      </c>
      <c r="W75" s="35">
        <f t="shared" si="140"/>
        <v>5869</v>
      </c>
      <c r="X75" s="35">
        <f t="shared" si="140"/>
        <v>5869</v>
      </c>
      <c r="Y75" s="35">
        <f t="shared" si="140"/>
        <v>5869</v>
      </c>
      <c r="Z75" s="35">
        <f t="shared" si="140"/>
        <v>5869</v>
      </c>
      <c r="AA75" s="35">
        <v>5885</v>
      </c>
      <c r="AB75" s="35">
        <f t="shared" si="140"/>
        <v>5885</v>
      </c>
      <c r="AC75" s="35">
        <f t="shared" si="140"/>
        <v>5885</v>
      </c>
      <c r="AD75" s="35">
        <v>5913</v>
      </c>
      <c r="AE75" s="35" t="str">
        <f t="shared" si="140"/>
        <v/>
      </c>
      <c r="AF75" s="35" t="str">
        <f t="shared" si="140"/>
        <v/>
      </c>
      <c r="AG75" s="35" t="str">
        <f t="shared" si="140"/>
        <v/>
      </c>
      <c r="AH75" s="35" t="str">
        <f t="shared" si="140"/>
        <v/>
      </c>
      <c r="AI75" s="35" t="str">
        <f t="shared" si="140"/>
        <v/>
      </c>
      <c r="AJ75" s="35" t="str">
        <f t="shared" si="140"/>
        <v/>
      </c>
      <c r="AK75" s="35" t="str">
        <f t="shared" si="140"/>
        <v/>
      </c>
      <c r="AL75" s="35" t="str">
        <f t="shared" si="140"/>
        <v/>
      </c>
      <c r="AM75" s="35" t="str">
        <f t="shared" si="140"/>
        <v/>
      </c>
      <c r="AN75" s="35" t="str">
        <f t="shared" si="140"/>
        <v/>
      </c>
      <c r="AO75" s="35" t="str">
        <f t="shared" si="140"/>
        <v/>
      </c>
      <c r="AP75" s="35" t="str">
        <f t="shared" ref="AP75:AR75" si="141">IF(AP$3="","",AO75)</f>
        <v/>
      </c>
      <c r="AQ75" s="35" t="str">
        <f t="shared" si="141"/>
        <v/>
      </c>
      <c r="AR75" s="35" t="str">
        <f t="shared" si="141"/>
        <v/>
      </c>
    </row>
    <row r="76" spans="1:44" s="1" customFormat="1">
      <c r="A76" s="37" t="s">
        <v>30</v>
      </c>
      <c r="B76" s="30" t="s">
        <v>4</v>
      </c>
      <c r="C76" s="65">
        <v>133</v>
      </c>
      <c r="D76" s="29">
        <f>IF(D$3="","",C76)</f>
        <v>133</v>
      </c>
      <c r="E76" s="29">
        <f>IF(E$3="","",D76)</f>
        <v>133</v>
      </c>
      <c r="F76" s="29">
        <f>IF(F$3="","",E76)</f>
        <v>133</v>
      </c>
      <c r="G76" s="122">
        <f>IF(G$3="","",F76)</f>
        <v>133</v>
      </c>
      <c r="H76" s="29">
        <f>IF(H$3="","",G76)</f>
        <v>133</v>
      </c>
      <c r="I76" s="29">
        <v>138</v>
      </c>
      <c r="J76" s="122">
        <f>IF(J$3="","",I76)</f>
        <v>138</v>
      </c>
      <c r="K76" s="29">
        <f>IF(K$3="","",J76)</f>
        <v>138</v>
      </c>
      <c r="L76" s="29">
        <v>139</v>
      </c>
      <c r="M76" s="29">
        <f>IF(M$3="","",L76)</f>
        <v>139</v>
      </c>
      <c r="N76" s="29">
        <f>IF(N$3="","",M76)</f>
        <v>139</v>
      </c>
      <c r="O76" s="29">
        <v>140</v>
      </c>
      <c r="P76" s="122">
        <f t="shared" ref="P76:AO76" si="142">IF(P$3="","",O76)</f>
        <v>140</v>
      </c>
      <c r="Q76" s="29">
        <f t="shared" si="142"/>
        <v>140</v>
      </c>
      <c r="R76" s="29">
        <f t="shared" si="142"/>
        <v>140</v>
      </c>
      <c r="S76" s="29">
        <v>142</v>
      </c>
      <c r="T76" s="29">
        <f t="shared" si="142"/>
        <v>142</v>
      </c>
      <c r="U76" s="29">
        <f t="shared" si="142"/>
        <v>142</v>
      </c>
      <c r="V76" s="29">
        <f>IF(V$3="","",U76)</f>
        <v>142</v>
      </c>
      <c r="W76" s="29">
        <f t="shared" si="142"/>
        <v>142</v>
      </c>
      <c r="X76" s="29">
        <f t="shared" si="142"/>
        <v>142</v>
      </c>
      <c r="Y76" s="29">
        <f t="shared" si="142"/>
        <v>142</v>
      </c>
      <c r="Z76" s="29">
        <f t="shared" si="142"/>
        <v>142</v>
      </c>
      <c r="AA76" s="29">
        <v>143</v>
      </c>
      <c r="AB76" s="29">
        <f t="shared" si="142"/>
        <v>143</v>
      </c>
      <c r="AC76" s="29">
        <f t="shared" si="142"/>
        <v>143</v>
      </c>
      <c r="AD76" s="29">
        <v>146</v>
      </c>
      <c r="AE76" s="29" t="str">
        <f t="shared" si="142"/>
        <v/>
      </c>
      <c r="AF76" s="29" t="str">
        <f t="shared" si="142"/>
        <v/>
      </c>
      <c r="AG76" s="29" t="str">
        <f t="shared" si="142"/>
        <v/>
      </c>
      <c r="AH76" s="29" t="str">
        <f t="shared" si="142"/>
        <v/>
      </c>
      <c r="AI76" s="29" t="str">
        <f t="shared" si="142"/>
        <v/>
      </c>
      <c r="AJ76" s="29" t="str">
        <f t="shared" si="142"/>
        <v/>
      </c>
      <c r="AK76" s="29" t="str">
        <f t="shared" si="142"/>
        <v/>
      </c>
      <c r="AL76" s="29" t="str">
        <f t="shared" si="142"/>
        <v/>
      </c>
      <c r="AM76" s="29" t="str">
        <f t="shared" si="142"/>
        <v/>
      </c>
      <c r="AN76" s="29" t="str">
        <f t="shared" si="142"/>
        <v/>
      </c>
      <c r="AO76" s="29" t="str">
        <f t="shared" si="142"/>
        <v/>
      </c>
      <c r="AP76" s="29" t="str">
        <f t="shared" ref="AP76:AR76" si="143">IF(AP$3="","",AO76)</f>
        <v/>
      </c>
      <c r="AQ76" s="29" t="str">
        <f t="shared" si="143"/>
        <v/>
      </c>
      <c r="AR76" s="29" t="str">
        <f t="shared" si="143"/>
        <v/>
      </c>
    </row>
    <row r="77" spans="1:44" s="1" customFormat="1">
      <c r="A77" s="41">
        <v>3</v>
      </c>
      <c r="B77" s="30" t="s">
        <v>5</v>
      </c>
      <c r="C77" s="65">
        <v>14</v>
      </c>
      <c r="D77" s="29">
        <f>IF(D75="","",(C77+C78))</f>
        <v>14</v>
      </c>
      <c r="E77" s="29">
        <f>IF(E75="","",(D77+D78))</f>
        <v>14</v>
      </c>
      <c r="F77" s="29">
        <v>13</v>
      </c>
      <c r="G77" s="122">
        <f>IF(G75="","",(F77+F78))</f>
        <v>13</v>
      </c>
      <c r="H77" s="29">
        <f>IF(H75="","",(G77+G78))</f>
        <v>13</v>
      </c>
      <c r="I77" s="29">
        <v>8</v>
      </c>
      <c r="J77" s="122">
        <f>IF(J75="","",(I77+I78))</f>
        <v>8</v>
      </c>
      <c r="K77" s="29">
        <f>IF(K75="","",(J77+J78))</f>
        <v>8</v>
      </c>
      <c r="L77" s="29">
        <v>6</v>
      </c>
      <c r="M77" s="29">
        <f>IF(M75="","",(L77+L78))</f>
        <v>10</v>
      </c>
      <c r="N77" s="29">
        <f>IF(N75="","",(M77+M78))</f>
        <v>10</v>
      </c>
      <c r="O77" s="29">
        <v>9</v>
      </c>
      <c r="P77" s="122">
        <f t="shared" ref="P77:AO77" si="144">IF(P75="","",(O77+O78))</f>
        <v>9</v>
      </c>
      <c r="Q77" s="29">
        <f t="shared" si="144"/>
        <v>9</v>
      </c>
      <c r="R77" s="29">
        <f t="shared" si="144"/>
        <v>9</v>
      </c>
      <c r="S77" s="29">
        <v>6</v>
      </c>
      <c r="T77" s="29">
        <f t="shared" si="144"/>
        <v>6</v>
      </c>
      <c r="U77" s="29">
        <f t="shared" si="144"/>
        <v>6</v>
      </c>
      <c r="V77" s="29">
        <f>IF(V75="","",(U77+U78))</f>
        <v>6</v>
      </c>
      <c r="W77" s="29">
        <f t="shared" si="144"/>
        <v>9</v>
      </c>
      <c r="X77" s="29">
        <f t="shared" si="144"/>
        <v>9</v>
      </c>
      <c r="Y77" s="29">
        <f t="shared" si="144"/>
        <v>9</v>
      </c>
      <c r="Z77" s="29">
        <f t="shared" si="144"/>
        <v>9</v>
      </c>
      <c r="AA77" s="29">
        <v>8</v>
      </c>
      <c r="AB77" s="29">
        <f t="shared" si="144"/>
        <v>8</v>
      </c>
      <c r="AC77" s="29">
        <f t="shared" si="144"/>
        <v>8</v>
      </c>
      <c r="AD77" s="29">
        <v>5</v>
      </c>
      <c r="AE77" s="29" t="str">
        <f t="shared" si="144"/>
        <v/>
      </c>
      <c r="AF77" s="29" t="str">
        <f t="shared" si="144"/>
        <v/>
      </c>
      <c r="AG77" s="29" t="str">
        <f t="shared" si="144"/>
        <v/>
      </c>
      <c r="AH77" s="29" t="str">
        <f t="shared" si="144"/>
        <v/>
      </c>
      <c r="AI77" s="29" t="str">
        <f t="shared" si="144"/>
        <v/>
      </c>
      <c r="AJ77" s="29" t="str">
        <f t="shared" si="144"/>
        <v/>
      </c>
      <c r="AK77" s="29" t="str">
        <f t="shared" si="144"/>
        <v/>
      </c>
      <c r="AL77" s="29" t="str">
        <f t="shared" si="144"/>
        <v/>
      </c>
      <c r="AM77" s="29" t="str">
        <f t="shared" si="144"/>
        <v/>
      </c>
      <c r="AN77" s="29" t="str">
        <f t="shared" si="144"/>
        <v/>
      </c>
      <c r="AO77" s="29" t="str">
        <f t="shared" si="144"/>
        <v/>
      </c>
      <c r="AP77" s="29" t="str">
        <f t="shared" ref="AP77" si="145">IF(AP75="","",(AO77+AO78))</f>
        <v/>
      </c>
      <c r="AQ77" s="29" t="str">
        <f t="shared" ref="AQ77:AR77" si="146">IF(AQ75="","",(AP77+AP78))</f>
        <v/>
      </c>
      <c r="AR77" s="29" t="str">
        <f t="shared" si="146"/>
        <v/>
      </c>
    </row>
    <row r="78" spans="1:44" s="1" customFormat="1">
      <c r="A78" s="14"/>
      <c r="B78" s="30" t="s">
        <v>7</v>
      </c>
      <c r="C78" s="65"/>
      <c r="D78" s="29"/>
      <c r="E78" s="29"/>
      <c r="F78" s="29"/>
      <c r="G78" s="122"/>
      <c r="H78" s="29"/>
      <c r="I78" s="29"/>
      <c r="J78" s="122"/>
      <c r="K78" s="29"/>
      <c r="L78" s="29">
        <v>4</v>
      </c>
      <c r="M78" s="29"/>
      <c r="N78" s="29"/>
      <c r="O78" s="29"/>
      <c r="P78" s="122"/>
      <c r="Q78" s="29"/>
      <c r="R78" s="29"/>
      <c r="S78" s="29"/>
      <c r="T78" s="29"/>
      <c r="U78" s="29"/>
      <c r="V78" s="29">
        <v>3</v>
      </c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</row>
    <row r="79" spans="1:44" s="1" customFormat="1">
      <c r="A79" s="7"/>
      <c r="B79" s="30" t="s">
        <v>8</v>
      </c>
      <c r="C79" s="64">
        <v>60</v>
      </c>
      <c r="D79" s="35">
        <f t="shared" ref="D79:AO79" si="147">IF(D75="","",C79)</f>
        <v>60</v>
      </c>
      <c r="E79" s="35">
        <f t="shared" si="147"/>
        <v>60</v>
      </c>
      <c r="F79" s="35">
        <f t="shared" si="147"/>
        <v>60</v>
      </c>
      <c r="G79" s="383">
        <f t="shared" si="147"/>
        <v>60</v>
      </c>
      <c r="H79" s="35">
        <f t="shared" si="147"/>
        <v>60</v>
      </c>
      <c r="I79" s="35">
        <f t="shared" si="147"/>
        <v>60</v>
      </c>
      <c r="J79" s="383">
        <f t="shared" si="147"/>
        <v>60</v>
      </c>
      <c r="K79" s="35">
        <f t="shared" si="147"/>
        <v>60</v>
      </c>
      <c r="L79" s="35">
        <f t="shared" si="147"/>
        <v>60</v>
      </c>
      <c r="M79" s="35">
        <f t="shared" si="147"/>
        <v>60</v>
      </c>
      <c r="N79" s="35">
        <f t="shared" si="147"/>
        <v>60</v>
      </c>
      <c r="O79" s="35">
        <f t="shared" si="147"/>
        <v>60</v>
      </c>
      <c r="P79" s="383">
        <f t="shared" si="147"/>
        <v>60</v>
      </c>
      <c r="Q79" s="35">
        <f t="shared" si="147"/>
        <v>60</v>
      </c>
      <c r="R79" s="35">
        <f t="shared" si="147"/>
        <v>60</v>
      </c>
      <c r="S79" s="35">
        <f t="shared" si="147"/>
        <v>60</v>
      </c>
      <c r="T79" s="35">
        <f t="shared" si="147"/>
        <v>60</v>
      </c>
      <c r="U79" s="35">
        <f t="shared" si="147"/>
        <v>60</v>
      </c>
      <c r="V79" s="35">
        <f>IF(V75="","",U79)</f>
        <v>60</v>
      </c>
      <c r="W79" s="35">
        <f t="shared" si="147"/>
        <v>60</v>
      </c>
      <c r="X79" s="35">
        <f t="shared" si="147"/>
        <v>60</v>
      </c>
      <c r="Y79" s="35">
        <f t="shared" si="147"/>
        <v>60</v>
      </c>
      <c r="Z79" s="35">
        <f t="shared" si="147"/>
        <v>60</v>
      </c>
      <c r="AA79" s="35">
        <f t="shared" si="147"/>
        <v>60</v>
      </c>
      <c r="AB79" s="35">
        <f t="shared" si="147"/>
        <v>60</v>
      </c>
      <c r="AC79" s="35">
        <f t="shared" si="147"/>
        <v>60</v>
      </c>
      <c r="AD79" s="35">
        <f t="shared" si="147"/>
        <v>60</v>
      </c>
      <c r="AE79" s="35" t="str">
        <f t="shared" si="147"/>
        <v/>
      </c>
      <c r="AF79" s="35" t="str">
        <f t="shared" si="147"/>
        <v/>
      </c>
      <c r="AG79" s="35" t="str">
        <f t="shared" si="147"/>
        <v/>
      </c>
      <c r="AH79" s="35" t="str">
        <f t="shared" si="147"/>
        <v/>
      </c>
      <c r="AI79" s="35" t="str">
        <f t="shared" si="147"/>
        <v/>
      </c>
      <c r="AJ79" s="35" t="str">
        <f t="shared" si="147"/>
        <v/>
      </c>
      <c r="AK79" s="35" t="str">
        <f t="shared" si="147"/>
        <v/>
      </c>
      <c r="AL79" s="35" t="str">
        <f t="shared" si="147"/>
        <v/>
      </c>
      <c r="AM79" s="35" t="str">
        <f t="shared" si="147"/>
        <v/>
      </c>
      <c r="AN79" s="35" t="str">
        <f t="shared" si="147"/>
        <v/>
      </c>
      <c r="AO79" s="35" t="str">
        <f t="shared" si="147"/>
        <v/>
      </c>
      <c r="AP79" s="35" t="str">
        <f t="shared" ref="AP79" si="148">IF(AP75="","",AO79)</f>
        <v/>
      </c>
      <c r="AQ79" s="35" t="str">
        <f t="shared" ref="AQ79:AR79" si="149">IF(AQ75="","",AP79)</f>
        <v/>
      </c>
      <c r="AR79" s="35" t="str">
        <f t="shared" si="149"/>
        <v/>
      </c>
    </row>
    <row r="80" spans="1:44" s="11" customFormat="1">
      <c r="A80" s="14" t="s">
        <v>9</v>
      </c>
      <c r="B80" s="33" t="s">
        <v>10</v>
      </c>
      <c r="C80" s="63" t="s">
        <v>189</v>
      </c>
      <c r="D80" s="32" t="str">
        <f t="shared" ref="D80:AO80" si="150">IF(D75="","",C80)</f>
        <v>しば犬たまご</v>
      </c>
      <c r="E80" s="32" t="str">
        <f t="shared" si="150"/>
        <v>しば犬たまご</v>
      </c>
      <c r="F80" s="32" t="str">
        <f t="shared" si="150"/>
        <v>しば犬たまご</v>
      </c>
      <c r="G80" s="123" t="str">
        <f t="shared" si="150"/>
        <v>しば犬たまご</v>
      </c>
      <c r="H80" s="32" t="str">
        <f t="shared" si="150"/>
        <v>しば犬たまご</v>
      </c>
      <c r="I80" s="32" t="str">
        <f t="shared" si="150"/>
        <v>しば犬たまご</v>
      </c>
      <c r="J80" s="123" t="str">
        <f t="shared" si="150"/>
        <v>しば犬たまご</v>
      </c>
      <c r="K80" s="32" t="str">
        <f t="shared" si="150"/>
        <v>しば犬たまご</v>
      </c>
      <c r="L80" s="32" t="str">
        <f t="shared" si="150"/>
        <v>しば犬たまご</v>
      </c>
      <c r="M80" s="32" t="str">
        <f t="shared" si="150"/>
        <v>しば犬たまご</v>
      </c>
      <c r="N80" s="32" t="str">
        <f t="shared" si="150"/>
        <v>しば犬たまご</v>
      </c>
      <c r="O80" s="32" t="str">
        <f t="shared" si="150"/>
        <v>しば犬たまご</v>
      </c>
      <c r="P80" s="123" t="str">
        <f t="shared" si="150"/>
        <v>しば犬たまご</v>
      </c>
      <c r="Q80" s="32" t="str">
        <f t="shared" si="150"/>
        <v>しば犬たまご</v>
      </c>
      <c r="R80" s="32" t="str">
        <f t="shared" si="150"/>
        <v>しば犬たまご</v>
      </c>
      <c r="S80" s="32" t="str">
        <f t="shared" si="150"/>
        <v>しば犬たまご</v>
      </c>
      <c r="T80" s="32" t="str">
        <f t="shared" si="150"/>
        <v>しば犬たまご</v>
      </c>
      <c r="U80" s="32" t="str">
        <f t="shared" si="150"/>
        <v>しば犬たまご</v>
      </c>
      <c r="V80" s="32" t="str">
        <f>IF(V75="","",U80)</f>
        <v>しば犬たまご</v>
      </c>
      <c r="W80" s="32" t="str">
        <f t="shared" si="150"/>
        <v>しば犬たまご</v>
      </c>
      <c r="X80" s="32" t="str">
        <f t="shared" si="150"/>
        <v>しば犬たまご</v>
      </c>
      <c r="Y80" s="32" t="str">
        <f t="shared" si="150"/>
        <v>しば犬たまご</v>
      </c>
      <c r="Z80" s="32" t="str">
        <f t="shared" si="150"/>
        <v>しば犬たまご</v>
      </c>
      <c r="AA80" s="32" t="str">
        <f t="shared" si="150"/>
        <v>しば犬たまご</v>
      </c>
      <c r="AB80" s="32" t="str">
        <f t="shared" si="150"/>
        <v>しば犬たまご</v>
      </c>
      <c r="AC80" s="32" t="str">
        <f t="shared" si="150"/>
        <v>しば犬たまご</v>
      </c>
      <c r="AD80" s="32" t="str">
        <f t="shared" si="150"/>
        <v>しば犬たまご</v>
      </c>
      <c r="AE80" s="32" t="str">
        <f t="shared" si="150"/>
        <v/>
      </c>
      <c r="AF80" s="32" t="str">
        <f t="shared" si="150"/>
        <v/>
      </c>
      <c r="AG80" s="32" t="str">
        <f t="shared" si="150"/>
        <v/>
      </c>
      <c r="AH80" s="32" t="str">
        <f t="shared" si="150"/>
        <v/>
      </c>
      <c r="AI80" s="32" t="str">
        <f t="shared" si="150"/>
        <v/>
      </c>
      <c r="AJ80" s="32" t="str">
        <f t="shared" si="150"/>
        <v/>
      </c>
      <c r="AK80" s="32" t="str">
        <f t="shared" si="150"/>
        <v/>
      </c>
      <c r="AL80" s="32" t="str">
        <f t="shared" si="150"/>
        <v/>
      </c>
      <c r="AM80" s="32" t="str">
        <f t="shared" si="150"/>
        <v/>
      </c>
      <c r="AN80" s="32" t="str">
        <f t="shared" si="150"/>
        <v/>
      </c>
      <c r="AO80" s="32" t="str">
        <f t="shared" si="150"/>
        <v/>
      </c>
      <c r="AP80" s="32" t="str">
        <f t="shared" ref="AP80" si="151">IF(AP75="","",AO80)</f>
        <v/>
      </c>
      <c r="AQ80" s="32" t="str">
        <f t="shared" ref="AQ80:AR80" si="152">IF(AQ75="","",AP80)</f>
        <v/>
      </c>
      <c r="AR80" s="32" t="str">
        <f t="shared" si="152"/>
        <v/>
      </c>
    </row>
    <row r="81" spans="1:44" s="1" customFormat="1">
      <c r="A81" s="7">
        <f>AVERAGE(C82:AS82)*30*100</f>
        <v>25928.571428571428</v>
      </c>
      <c r="B81" s="30" t="s">
        <v>14</v>
      </c>
      <c r="C81" s="65"/>
      <c r="D81" s="29"/>
      <c r="E81" s="29"/>
      <c r="F81" s="29"/>
      <c r="G81" s="122"/>
      <c r="H81" s="29"/>
      <c r="I81" s="29"/>
      <c r="J81" s="122"/>
      <c r="K81" s="29"/>
      <c r="L81" s="29"/>
      <c r="M81" s="29"/>
      <c r="N81" s="29"/>
      <c r="O81" s="29"/>
      <c r="P81" s="122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</row>
    <row r="82" spans="1:44" s="1" customFormat="1">
      <c r="A82" s="7">
        <f>SUM(C82:AS82)</f>
        <v>242</v>
      </c>
      <c r="B82" s="27" t="s">
        <v>15</v>
      </c>
      <c r="C82" s="65">
        <v>0</v>
      </c>
      <c r="D82" s="26">
        <f t="shared" ref="D82:AO82" si="153">IF(D75="","",D75-C75)</f>
        <v>0</v>
      </c>
      <c r="E82" s="26">
        <f t="shared" si="153"/>
        <v>0</v>
      </c>
      <c r="F82" s="26">
        <f t="shared" si="153"/>
        <v>23</v>
      </c>
      <c r="G82" s="122">
        <f t="shared" si="153"/>
        <v>0</v>
      </c>
      <c r="H82" s="26">
        <f t="shared" si="153"/>
        <v>0</v>
      </c>
      <c r="I82" s="26">
        <f t="shared" si="153"/>
        <v>93</v>
      </c>
      <c r="J82" s="122">
        <f t="shared" si="153"/>
        <v>0</v>
      </c>
      <c r="K82" s="26">
        <f t="shared" si="153"/>
        <v>0</v>
      </c>
      <c r="L82" s="26">
        <f t="shared" si="153"/>
        <v>14</v>
      </c>
      <c r="M82" s="26">
        <f t="shared" si="153"/>
        <v>0</v>
      </c>
      <c r="N82" s="26">
        <f t="shared" si="153"/>
        <v>0</v>
      </c>
      <c r="O82" s="26">
        <f t="shared" si="153"/>
        <v>33</v>
      </c>
      <c r="P82" s="122">
        <f t="shared" si="153"/>
        <v>0</v>
      </c>
      <c r="Q82" s="26">
        <f t="shared" si="153"/>
        <v>0</v>
      </c>
      <c r="R82" s="26">
        <f t="shared" si="153"/>
        <v>0</v>
      </c>
      <c r="S82" s="26">
        <f t="shared" si="153"/>
        <v>12</v>
      </c>
      <c r="T82" s="26">
        <f t="shared" si="153"/>
        <v>0</v>
      </c>
      <c r="U82" s="26">
        <f t="shared" si="153"/>
        <v>0</v>
      </c>
      <c r="V82" s="26">
        <f>IF(V75="","",V75-U75)</f>
        <v>23</v>
      </c>
      <c r="W82" s="26">
        <f t="shared" si="153"/>
        <v>0</v>
      </c>
      <c r="X82" s="26">
        <f t="shared" si="153"/>
        <v>0</v>
      </c>
      <c r="Y82" s="26">
        <f t="shared" si="153"/>
        <v>0</v>
      </c>
      <c r="Z82" s="26">
        <f t="shared" si="153"/>
        <v>0</v>
      </c>
      <c r="AA82" s="26">
        <f t="shared" si="153"/>
        <v>16</v>
      </c>
      <c r="AB82" s="26">
        <f t="shared" si="153"/>
        <v>0</v>
      </c>
      <c r="AC82" s="26">
        <f t="shared" si="153"/>
        <v>0</v>
      </c>
      <c r="AD82" s="26">
        <f t="shared" si="153"/>
        <v>28</v>
      </c>
      <c r="AE82" s="26" t="str">
        <f t="shared" si="153"/>
        <v/>
      </c>
      <c r="AF82" s="26" t="str">
        <f t="shared" si="153"/>
        <v/>
      </c>
      <c r="AG82" s="26" t="str">
        <f t="shared" si="153"/>
        <v/>
      </c>
      <c r="AH82" s="26" t="str">
        <f t="shared" si="153"/>
        <v/>
      </c>
      <c r="AI82" s="26" t="str">
        <f t="shared" si="153"/>
        <v/>
      </c>
      <c r="AJ82" s="26" t="str">
        <f t="shared" si="153"/>
        <v/>
      </c>
      <c r="AK82" s="26" t="str">
        <f t="shared" si="153"/>
        <v/>
      </c>
      <c r="AL82" s="26" t="str">
        <f t="shared" si="153"/>
        <v/>
      </c>
      <c r="AM82" s="26" t="str">
        <f t="shared" si="153"/>
        <v/>
      </c>
      <c r="AN82" s="26" t="str">
        <f t="shared" si="153"/>
        <v/>
      </c>
      <c r="AO82" s="26" t="str">
        <f t="shared" si="153"/>
        <v/>
      </c>
      <c r="AP82" s="26" t="str">
        <f t="shared" ref="AP82:AP83" si="154">IF(AP75="","",AP75-AO75)</f>
        <v/>
      </c>
      <c r="AQ82" s="26" t="str">
        <f t="shared" ref="AQ82:AR83" si="155">IF(AQ75="","",AQ75-AP75)</f>
        <v/>
      </c>
      <c r="AR82" s="26" t="str">
        <f t="shared" si="155"/>
        <v/>
      </c>
    </row>
    <row r="83" spans="1:44" s="1" customFormat="1">
      <c r="A83" s="7">
        <f>SUM(C83:AS83)</f>
        <v>13</v>
      </c>
      <c r="B83" s="27" t="s">
        <v>16</v>
      </c>
      <c r="C83" s="65">
        <v>0</v>
      </c>
      <c r="D83" s="26">
        <f t="shared" ref="D83:AO83" si="156">IF(D76="","",D76-C76)</f>
        <v>0</v>
      </c>
      <c r="E83" s="26">
        <f t="shared" si="156"/>
        <v>0</v>
      </c>
      <c r="F83" s="26">
        <f t="shared" si="156"/>
        <v>0</v>
      </c>
      <c r="G83" s="122">
        <f t="shared" si="156"/>
        <v>0</v>
      </c>
      <c r="H83" s="26">
        <f t="shared" si="156"/>
        <v>0</v>
      </c>
      <c r="I83" s="26">
        <f t="shared" si="156"/>
        <v>5</v>
      </c>
      <c r="J83" s="122">
        <f t="shared" si="156"/>
        <v>0</v>
      </c>
      <c r="K83" s="26">
        <f t="shared" si="156"/>
        <v>0</v>
      </c>
      <c r="L83" s="26">
        <f t="shared" si="156"/>
        <v>1</v>
      </c>
      <c r="M83" s="26">
        <f t="shared" si="156"/>
        <v>0</v>
      </c>
      <c r="N83" s="26">
        <f t="shared" si="156"/>
        <v>0</v>
      </c>
      <c r="O83" s="26">
        <f t="shared" si="156"/>
        <v>1</v>
      </c>
      <c r="P83" s="122">
        <f t="shared" si="156"/>
        <v>0</v>
      </c>
      <c r="Q83" s="26">
        <f t="shared" si="156"/>
        <v>0</v>
      </c>
      <c r="R83" s="26">
        <f t="shared" si="156"/>
        <v>0</v>
      </c>
      <c r="S83" s="26">
        <f t="shared" si="156"/>
        <v>2</v>
      </c>
      <c r="T83" s="26">
        <f t="shared" si="156"/>
        <v>0</v>
      </c>
      <c r="U83" s="26">
        <f t="shared" si="156"/>
        <v>0</v>
      </c>
      <c r="V83" s="26">
        <f>IF(V76="","",V76-U76)</f>
        <v>0</v>
      </c>
      <c r="W83" s="26">
        <f t="shared" si="156"/>
        <v>0</v>
      </c>
      <c r="X83" s="26">
        <f t="shared" si="156"/>
        <v>0</v>
      </c>
      <c r="Y83" s="26">
        <f t="shared" si="156"/>
        <v>0</v>
      </c>
      <c r="Z83" s="26">
        <f t="shared" si="156"/>
        <v>0</v>
      </c>
      <c r="AA83" s="26">
        <f t="shared" si="156"/>
        <v>1</v>
      </c>
      <c r="AB83" s="26">
        <f t="shared" si="156"/>
        <v>0</v>
      </c>
      <c r="AC83" s="26">
        <f t="shared" si="156"/>
        <v>0</v>
      </c>
      <c r="AD83" s="26">
        <f t="shared" si="156"/>
        <v>3</v>
      </c>
      <c r="AE83" s="26" t="str">
        <f t="shared" si="156"/>
        <v/>
      </c>
      <c r="AF83" s="26" t="str">
        <f t="shared" si="156"/>
        <v/>
      </c>
      <c r="AG83" s="26" t="str">
        <f t="shared" si="156"/>
        <v/>
      </c>
      <c r="AH83" s="26" t="str">
        <f t="shared" si="156"/>
        <v/>
      </c>
      <c r="AI83" s="26" t="str">
        <f t="shared" si="156"/>
        <v/>
      </c>
      <c r="AJ83" s="26" t="str">
        <f t="shared" si="156"/>
        <v/>
      </c>
      <c r="AK83" s="26" t="str">
        <f t="shared" si="156"/>
        <v/>
      </c>
      <c r="AL83" s="26" t="str">
        <f t="shared" si="156"/>
        <v/>
      </c>
      <c r="AM83" s="26" t="str">
        <f t="shared" si="156"/>
        <v/>
      </c>
      <c r="AN83" s="26" t="str">
        <f t="shared" si="156"/>
        <v/>
      </c>
      <c r="AO83" s="26" t="str">
        <f t="shared" si="156"/>
        <v/>
      </c>
      <c r="AP83" s="26" t="str">
        <f t="shared" si="154"/>
        <v/>
      </c>
      <c r="AQ83" s="26" t="str">
        <f t="shared" si="155"/>
        <v/>
      </c>
      <c r="AR83" s="26" t="str">
        <f t="shared" si="155"/>
        <v/>
      </c>
    </row>
    <row r="84" spans="1:44" s="1" customFormat="1">
      <c r="A84" s="7">
        <f>SUM(C84:AS84)</f>
        <v>16</v>
      </c>
      <c r="B84" s="27" t="s">
        <v>17</v>
      </c>
      <c r="C84" s="65">
        <v>0</v>
      </c>
      <c r="D84" s="26">
        <f t="shared" ref="D84:AO84" si="157">IF(D77="","",C77+C78-D77)</f>
        <v>0</v>
      </c>
      <c r="E84" s="26">
        <f t="shared" si="157"/>
        <v>0</v>
      </c>
      <c r="F84" s="26">
        <f t="shared" si="157"/>
        <v>1</v>
      </c>
      <c r="G84" s="122">
        <f t="shared" si="157"/>
        <v>0</v>
      </c>
      <c r="H84" s="26">
        <f t="shared" si="157"/>
        <v>0</v>
      </c>
      <c r="I84" s="26">
        <f t="shared" si="157"/>
        <v>5</v>
      </c>
      <c r="J84" s="122">
        <f t="shared" si="157"/>
        <v>0</v>
      </c>
      <c r="K84" s="26">
        <f t="shared" si="157"/>
        <v>0</v>
      </c>
      <c r="L84" s="26">
        <f t="shared" si="157"/>
        <v>2</v>
      </c>
      <c r="M84" s="26">
        <f t="shared" si="157"/>
        <v>0</v>
      </c>
      <c r="N84" s="26">
        <f t="shared" si="157"/>
        <v>0</v>
      </c>
      <c r="O84" s="26">
        <f t="shared" si="157"/>
        <v>1</v>
      </c>
      <c r="P84" s="122">
        <f t="shared" si="157"/>
        <v>0</v>
      </c>
      <c r="Q84" s="26">
        <f t="shared" si="157"/>
        <v>0</v>
      </c>
      <c r="R84" s="26">
        <f t="shared" si="157"/>
        <v>0</v>
      </c>
      <c r="S84" s="26">
        <f t="shared" si="157"/>
        <v>3</v>
      </c>
      <c r="T84" s="26">
        <f t="shared" si="157"/>
        <v>0</v>
      </c>
      <c r="U84" s="26">
        <f t="shared" si="157"/>
        <v>0</v>
      </c>
      <c r="V84" s="26">
        <f>IF(V77="","",U77+U78-V77)</f>
        <v>0</v>
      </c>
      <c r="W84" s="26">
        <f t="shared" si="157"/>
        <v>0</v>
      </c>
      <c r="X84" s="26">
        <f t="shared" si="157"/>
        <v>0</v>
      </c>
      <c r="Y84" s="26">
        <f t="shared" si="157"/>
        <v>0</v>
      </c>
      <c r="Z84" s="26">
        <f t="shared" si="157"/>
        <v>0</v>
      </c>
      <c r="AA84" s="26">
        <f t="shared" si="157"/>
        <v>1</v>
      </c>
      <c r="AB84" s="26">
        <f t="shared" si="157"/>
        <v>0</v>
      </c>
      <c r="AC84" s="26">
        <f t="shared" si="157"/>
        <v>0</v>
      </c>
      <c r="AD84" s="26">
        <f t="shared" si="157"/>
        <v>3</v>
      </c>
      <c r="AE84" s="26" t="str">
        <f t="shared" si="157"/>
        <v/>
      </c>
      <c r="AF84" s="26" t="str">
        <f t="shared" si="157"/>
        <v/>
      </c>
      <c r="AG84" s="26" t="str">
        <f t="shared" si="157"/>
        <v/>
      </c>
      <c r="AH84" s="26" t="str">
        <f t="shared" si="157"/>
        <v/>
      </c>
      <c r="AI84" s="26" t="str">
        <f t="shared" si="157"/>
        <v/>
      </c>
      <c r="AJ84" s="26" t="str">
        <f t="shared" si="157"/>
        <v/>
      </c>
      <c r="AK84" s="26" t="str">
        <f t="shared" si="157"/>
        <v/>
      </c>
      <c r="AL84" s="26" t="str">
        <f t="shared" si="157"/>
        <v/>
      </c>
      <c r="AM84" s="26" t="str">
        <f t="shared" si="157"/>
        <v/>
      </c>
      <c r="AN84" s="26" t="str">
        <f t="shared" si="157"/>
        <v/>
      </c>
      <c r="AO84" s="26" t="str">
        <f t="shared" si="157"/>
        <v/>
      </c>
      <c r="AP84" s="26" t="str">
        <f t="shared" ref="AP84" si="158">IF(AP77="","",AO77+AO78-AP77)</f>
        <v/>
      </c>
      <c r="AQ84" s="26" t="str">
        <f t="shared" ref="AQ84:AR84" si="159">IF(AQ77="","",AP77+AP78-AQ77)</f>
        <v/>
      </c>
      <c r="AR84" s="26" t="str">
        <f t="shared" si="159"/>
        <v/>
      </c>
    </row>
    <row r="85" spans="1:44" s="1" customFormat="1">
      <c r="A85" s="7">
        <f>SUM(C85:AS85)</f>
        <v>960</v>
      </c>
      <c r="B85" s="27" t="s">
        <v>18</v>
      </c>
      <c r="C85" s="65">
        <v>0</v>
      </c>
      <c r="D85" s="26">
        <f t="shared" ref="D85:AO85" si="160">IF(D75="","",D84*D79)</f>
        <v>0</v>
      </c>
      <c r="E85" s="26">
        <f t="shared" si="160"/>
        <v>0</v>
      </c>
      <c r="F85" s="26">
        <f t="shared" si="160"/>
        <v>60</v>
      </c>
      <c r="G85" s="122">
        <f t="shared" si="160"/>
        <v>0</v>
      </c>
      <c r="H85" s="26">
        <f t="shared" si="160"/>
        <v>0</v>
      </c>
      <c r="I85" s="26">
        <f t="shared" si="160"/>
        <v>300</v>
      </c>
      <c r="J85" s="122">
        <f t="shared" si="160"/>
        <v>0</v>
      </c>
      <c r="K85" s="26">
        <f t="shared" si="160"/>
        <v>0</v>
      </c>
      <c r="L85" s="26">
        <f t="shared" si="160"/>
        <v>120</v>
      </c>
      <c r="M85" s="26">
        <f t="shared" si="160"/>
        <v>0</v>
      </c>
      <c r="N85" s="26">
        <f t="shared" si="160"/>
        <v>0</v>
      </c>
      <c r="O85" s="26">
        <f t="shared" si="160"/>
        <v>60</v>
      </c>
      <c r="P85" s="122">
        <f t="shared" si="160"/>
        <v>0</v>
      </c>
      <c r="Q85" s="26">
        <f t="shared" si="160"/>
        <v>0</v>
      </c>
      <c r="R85" s="26">
        <f t="shared" si="160"/>
        <v>0</v>
      </c>
      <c r="S85" s="26">
        <f t="shared" si="160"/>
        <v>180</v>
      </c>
      <c r="T85" s="26">
        <f t="shared" si="160"/>
        <v>0</v>
      </c>
      <c r="U85" s="26">
        <f t="shared" si="160"/>
        <v>0</v>
      </c>
      <c r="V85" s="26">
        <f>IF(V75="","",V84*V79)</f>
        <v>0</v>
      </c>
      <c r="W85" s="26">
        <f t="shared" si="160"/>
        <v>0</v>
      </c>
      <c r="X85" s="26">
        <f t="shared" si="160"/>
        <v>0</v>
      </c>
      <c r="Y85" s="26">
        <f t="shared" si="160"/>
        <v>0</v>
      </c>
      <c r="Z85" s="26">
        <f t="shared" si="160"/>
        <v>0</v>
      </c>
      <c r="AA85" s="26">
        <f t="shared" si="160"/>
        <v>60</v>
      </c>
      <c r="AB85" s="26">
        <f t="shared" si="160"/>
        <v>0</v>
      </c>
      <c r="AC85" s="26">
        <f t="shared" si="160"/>
        <v>0</v>
      </c>
      <c r="AD85" s="26">
        <f t="shared" si="160"/>
        <v>180</v>
      </c>
      <c r="AE85" s="26" t="str">
        <f t="shared" si="160"/>
        <v/>
      </c>
      <c r="AF85" s="26" t="str">
        <f t="shared" si="160"/>
        <v/>
      </c>
      <c r="AG85" s="26" t="str">
        <f t="shared" si="160"/>
        <v/>
      </c>
      <c r="AH85" s="26" t="str">
        <f t="shared" si="160"/>
        <v/>
      </c>
      <c r="AI85" s="26" t="str">
        <f t="shared" si="160"/>
        <v/>
      </c>
      <c r="AJ85" s="26" t="str">
        <f t="shared" si="160"/>
        <v/>
      </c>
      <c r="AK85" s="26" t="str">
        <f t="shared" si="160"/>
        <v/>
      </c>
      <c r="AL85" s="26" t="str">
        <f t="shared" si="160"/>
        <v/>
      </c>
      <c r="AM85" s="26" t="str">
        <f t="shared" si="160"/>
        <v/>
      </c>
      <c r="AN85" s="26" t="str">
        <f t="shared" si="160"/>
        <v/>
      </c>
      <c r="AO85" s="26" t="str">
        <f t="shared" si="160"/>
        <v/>
      </c>
      <c r="AP85" s="26" t="str">
        <f t="shared" ref="AP85:AR85" si="161">IF(AP75="","",AP84*AP79)</f>
        <v/>
      </c>
      <c r="AQ85" s="26" t="str">
        <f t="shared" si="161"/>
        <v/>
      </c>
      <c r="AR85" s="26" t="str">
        <f t="shared" si="161"/>
        <v/>
      </c>
    </row>
    <row r="86" spans="1:44" s="1" customFormat="1" ht="12" thickBot="1">
      <c r="A86" s="4">
        <f>IF(A85="","",A85/(A82*100))</f>
        <v>3.9669421487603308E-2</v>
      </c>
      <c r="B86" s="27" t="s">
        <v>20</v>
      </c>
      <c r="C86" s="68" t="s">
        <v>21</v>
      </c>
      <c r="D86" s="44" t="str">
        <f t="shared" ref="D86:AO86" si="162">IF(D85="","",IF(D85=0,"",D85/(D82*100)))</f>
        <v/>
      </c>
      <c r="E86" s="44" t="str">
        <f t="shared" si="162"/>
        <v/>
      </c>
      <c r="F86" s="44">
        <f t="shared" si="162"/>
        <v>2.6086956521739129E-2</v>
      </c>
      <c r="G86" s="384" t="str">
        <f t="shared" si="162"/>
        <v/>
      </c>
      <c r="H86" s="44" t="str">
        <f t="shared" si="162"/>
        <v/>
      </c>
      <c r="I86" s="44">
        <f t="shared" si="162"/>
        <v>3.2258064516129031E-2</v>
      </c>
      <c r="J86" s="384" t="str">
        <f t="shared" si="162"/>
        <v/>
      </c>
      <c r="K86" s="44" t="str">
        <f t="shared" si="162"/>
        <v/>
      </c>
      <c r="L86" s="44">
        <f t="shared" si="162"/>
        <v>8.5714285714285715E-2</v>
      </c>
      <c r="M86" s="44" t="str">
        <f t="shared" si="162"/>
        <v/>
      </c>
      <c r="N86" s="44" t="str">
        <f t="shared" si="162"/>
        <v/>
      </c>
      <c r="O86" s="44">
        <f t="shared" si="162"/>
        <v>1.8181818181818181E-2</v>
      </c>
      <c r="P86" s="384" t="str">
        <f t="shared" si="162"/>
        <v/>
      </c>
      <c r="Q86" s="44" t="str">
        <f t="shared" si="162"/>
        <v/>
      </c>
      <c r="R86" s="44" t="str">
        <f t="shared" si="162"/>
        <v/>
      </c>
      <c r="S86" s="44">
        <f t="shared" si="162"/>
        <v>0.15</v>
      </c>
      <c r="T86" s="44" t="str">
        <f t="shared" si="162"/>
        <v/>
      </c>
      <c r="U86" s="44" t="str">
        <f t="shared" si="162"/>
        <v/>
      </c>
      <c r="V86" s="44" t="str">
        <f>IF(V85="","",IF(V85=0,"",V85/(V82*100)))</f>
        <v/>
      </c>
      <c r="W86" s="44" t="str">
        <f t="shared" si="162"/>
        <v/>
      </c>
      <c r="X86" s="44" t="str">
        <f t="shared" si="162"/>
        <v/>
      </c>
      <c r="Y86" s="44" t="str">
        <f t="shared" si="162"/>
        <v/>
      </c>
      <c r="Z86" s="44" t="str">
        <f t="shared" si="162"/>
        <v/>
      </c>
      <c r="AA86" s="44">
        <f t="shared" si="162"/>
        <v>3.7499999999999999E-2</v>
      </c>
      <c r="AB86" s="44" t="str">
        <f t="shared" si="162"/>
        <v/>
      </c>
      <c r="AC86" s="44" t="str">
        <f t="shared" si="162"/>
        <v/>
      </c>
      <c r="AD86" s="44">
        <f t="shared" si="162"/>
        <v>6.4285714285714279E-2</v>
      </c>
      <c r="AE86" s="44" t="str">
        <f t="shared" si="162"/>
        <v/>
      </c>
      <c r="AF86" s="44" t="str">
        <f t="shared" si="162"/>
        <v/>
      </c>
      <c r="AG86" s="44" t="str">
        <f t="shared" si="162"/>
        <v/>
      </c>
      <c r="AH86" s="44" t="str">
        <f t="shared" si="162"/>
        <v/>
      </c>
      <c r="AI86" s="44" t="str">
        <f t="shared" si="162"/>
        <v/>
      </c>
      <c r="AJ86" s="44" t="str">
        <f t="shared" si="162"/>
        <v/>
      </c>
      <c r="AK86" s="44" t="str">
        <f t="shared" si="162"/>
        <v/>
      </c>
      <c r="AL86" s="44" t="str">
        <f t="shared" si="162"/>
        <v/>
      </c>
      <c r="AM86" s="44" t="str">
        <f t="shared" si="162"/>
        <v/>
      </c>
      <c r="AN86" s="44" t="str">
        <f t="shared" si="162"/>
        <v/>
      </c>
      <c r="AO86" s="44" t="str">
        <f t="shared" si="162"/>
        <v/>
      </c>
      <c r="AP86" s="44" t="str">
        <f t="shared" ref="AP86:AR86" si="163">IF(AP85="","",IF(AP85=0,"",AP85/(AP82*100)))</f>
        <v/>
      </c>
      <c r="AQ86" s="44" t="str">
        <f t="shared" si="163"/>
        <v/>
      </c>
      <c r="AR86" s="44" t="str">
        <f t="shared" si="163"/>
        <v/>
      </c>
    </row>
    <row r="87" spans="1:44" s="1" customFormat="1">
      <c r="A87" s="43" t="s">
        <v>180</v>
      </c>
      <c r="B87" s="42" t="s">
        <v>2</v>
      </c>
      <c r="C87" s="64">
        <v>6113</v>
      </c>
      <c r="D87" s="35">
        <f>IF(D$3="","",C87)</f>
        <v>6113</v>
      </c>
      <c r="E87" s="35">
        <f>IF(E$3="","",D87)</f>
        <v>6113</v>
      </c>
      <c r="F87" s="35">
        <v>6190</v>
      </c>
      <c r="G87" s="383">
        <f>IF(G$3="","",F87)</f>
        <v>6190</v>
      </c>
      <c r="H87" s="35">
        <f>IF(H$3="","",G87)</f>
        <v>6190</v>
      </c>
      <c r="I87" s="35">
        <v>6285</v>
      </c>
      <c r="J87" s="383">
        <f>IF(J$3="","",I87)</f>
        <v>6285</v>
      </c>
      <c r="K87" s="35">
        <f>IF(K$3="","",J87)</f>
        <v>6285</v>
      </c>
      <c r="L87" s="35">
        <v>6357</v>
      </c>
      <c r="M87" s="35">
        <f>IF(M$3="","",L87)</f>
        <v>6357</v>
      </c>
      <c r="N87" s="35">
        <f>IF(N$3="","",M87)</f>
        <v>6357</v>
      </c>
      <c r="O87" s="35">
        <v>6505</v>
      </c>
      <c r="P87" s="383">
        <f t="shared" ref="P87:AO87" si="164">IF(P$3="","",O87)</f>
        <v>6505</v>
      </c>
      <c r="Q87" s="35">
        <f t="shared" si="164"/>
        <v>6505</v>
      </c>
      <c r="R87" s="35">
        <f t="shared" si="164"/>
        <v>6505</v>
      </c>
      <c r="S87" s="35">
        <v>6536</v>
      </c>
      <c r="T87" s="35">
        <f t="shared" si="164"/>
        <v>6536</v>
      </c>
      <c r="U87" s="35">
        <f t="shared" si="164"/>
        <v>6536</v>
      </c>
      <c r="V87" s="35">
        <v>6612</v>
      </c>
      <c r="W87" s="35">
        <f t="shared" si="164"/>
        <v>6612</v>
      </c>
      <c r="X87" s="35">
        <f t="shared" si="164"/>
        <v>6612</v>
      </c>
      <c r="Y87" s="35">
        <f t="shared" si="164"/>
        <v>6612</v>
      </c>
      <c r="Z87" s="35">
        <f t="shared" si="164"/>
        <v>6612</v>
      </c>
      <c r="AA87" s="35">
        <v>6759</v>
      </c>
      <c r="AB87" s="35">
        <f t="shared" si="164"/>
        <v>6759</v>
      </c>
      <c r="AC87" s="35">
        <f t="shared" si="164"/>
        <v>6759</v>
      </c>
      <c r="AD87" s="35">
        <v>6847</v>
      </c>
      <c r="AE87" s="35" t="str">
        <f t="shared" si="164"/>
        <v/>
      </c>
      <c r="AF87" s="35" t="str">
        <f t="shared" si="164"/>
        <v/>
      </c>
      <c r="AG87" s="35" t="str">
        <f t="shared" si="164"/>
        <v/>
      </c>
      <c r="AH87" s="35" t="str">
        <f t="shared" si="164"/>
        <v/>
      </c>
      <c r="AI87" s="35" t="str">
        <f t="shared" si="164"/>
        <v/>
      </c>
      <c r="AJ87" s="35" t="str">
        <f t="shared" si="164"/>
        <v/>
      </c>
      <c r="AK87" s="35" t="str">
        <f t="shared" si="164"/>
        <v/>
      </c>
      <c r="AL87" s="35" t="str">
        <f t="shared" si="164"/>
        <v/>
      </c>
      <c r="AM87" s="35" t="str">
        <f t="shared" si="164"/>
        <v/>
      </c>
      <c r="AN87" s="35" t="str">
        <f t="shared" si="164"/>
        <v/>
      </c>
      <c r="AO87" s="35" t="str">
        <f t="shared" si="164"/>
        <v/>
      </c>
      <c r="AP87" s="35" t="str">
        <f t="shared" ref="AP87:AR87" si="165">IF(AP$3="","",AO87)</f>
        <v/>
      </c>
      <c r="AQ87" s="35" t="str">
        <f t="shared" si="165"/>
        <v/>
      </c>
      <c r="AR87" s="35" t="str">
        <f t="shared" si="165"/>
        <v/>
      </c>
    </row>
    <row r="88" spans="1:44" s="1" customFormat="1">
      <c r="A88" s="37" t="s">
        <v>30</v>
      </c>
      <c r="B88" s="30" t="s">
        <v>4</v>
      </c>
      <c r="C88" s="65">
        <v>421</v>
      </c>
      <c r="D88" s="29">
        <f>IF(D$3="","",C88)</f>
        <v>421</v>
      </c>
      <c r="E88" s="29">
        <f>IF(E$3="","",D88)</f>
        <v>421</v>
      </c>
      <c r="F88" s="29">
        <f>IF(F$3="","",E88)</f>
        <v>421</v>
      </c>
      <c r="G88" s="122">
        <f>IF(G$3="","",F88)</f>
        <v>421</v>
      </c>
      <c r="H88" s="29">
        <f>IF(H$3="","",G88)</f>
        <v>421</v>
      </c>
      <c r="I88" s="29">
        <v>428</v>
      </c>
      <c r="J88" s="122">
        <f>IF(J$3="","",I88)</f>
        <v>428</v>
      </c>
      <c r="K88" s="29">
        <f>IF(K$3="","",J88)</f>
        <v>428</v>
      </c>
      <c r="L88" s="29">
        <v>429</v>
      </c>
      <c r="M88" s="29">
        <f>IF(M$3="","",L88)</f>
        <v>429</v>
      </c>
      <c r="N88" s="29">
        <f>IF(N$3="","",M88)</f>
        <v>429</v>
      </c>
      <c r="O88" s="29">
        <v>431</v>
      </c>
      <c r="P88" s="122">
        <f t="shared" ref="P88:AO88" si="166">IF(P$3="","",O88)</f>
        <v>431</v>
      </c>
      <c r="Q88" s="29">
        <f t="shared" si="166"/>
        <v>431</v>
      </c>
      <c r="R88" s="29">
        <f t="shared" si="166"/>
        <v>431</v>
      </c>
      <c r="S88" s="29">
        <v>432</v>
      </c>
      <c r="T88" s="29">
        <f t="shared" si="166"/>
        <v>432</v>
      </c>
      <c r="U88" s="29">
        <f t="shared" si="166"/>
        <v>432</v>
      </c>
      <c r="V88" s="29">
        <v>436</v>
      </c>
      <c r="W88" s="29">
        <f t="shared" si="166"/>
        <v>436</v>
      </c>
      <c r="X88" s="29">
        <f t="shared" si="166"/>
        <v>436</v>
      </c>
      <c r="Y88" s="29">
        <f t="shared" si="166"/>
        <v>436</v>
      </c>
      <c r="Z88" s="29">
        <f t="shared" si="166"/>
        <v>436</v>
      </c>
      <c r="AA88" s="29">
        <v>437</v>
      </c>
      <c r="AB88" s="29">
        <f t="shared" si="166"/>
        <v>437</v>
      </c>
      <c r="AC88" s="29">
        <f t="shared" si="166"/>
        <v>437</v>
      </c>
      <c r="AD88" s="29">
        <v>439</v>
      </c>
      <c r="AE88" s="29" t="str">
        <f t="shared" si="166"/>
        <v/>
      </c>
      <c r="AF88" s="29" t="str">
        <f t="shared" si="166"/>
        <v/>
      </c>
      <c r="AG88" s="29" t="str">
        <f t="shared" si="166"/>
        <v/>
      </c>
      <c r="AH88" s="29" t="str">
        <f t="shared" si="166"/>
        <v/>
      </c>
      <c r="AI88" s="29" t="str">
        <f t="shared" si="166"/>
        <v/>
      </c>
      <c r="AJ88" s="29" t="str">
        <f t="shared" si="166"/>
        <v/>
      </c>
      <c r="AK88" s="29" t="str">
        <f t="shared" si="166"/>
        <v/>
      </c>
      <c r="AL88" s="29" t="str">
        <f t="shared" si="166"/>
        <v/>
      </c>
      <c r="AM88" s="29" t="str">
        <f t="shared" si="166"/>
        <v/>
      </c>
      <c r="AN88" s="29" t="str">
        <f t="shared" si="166"/>
        <v/>
      </c>
      <c r="AO88" s="29" t="str">
        <f t="shared" si="166"/>
        <v/>
      </c>
      <c r="AP88" s="29" t="str">
        <f t="shared" ref="AP88:AR88" si="167">IF(AP$3="","",AO88)</f>
        <v/>
      </c>
      <c r="AQ88" s="29" t="str">
        <f t="shared" si="167"/>
        <v/>
      </c>
      <c r="AR88" s="29" t="str">
        <f t="shared" si="167"/>
        <v/>
      </c>
    </row>
    <row r="89" spans="1:44" s="1" customFormat="1">
      <c r="A89" s="41">
        <v>4</v>
      </c>
      <c r="B89" s="30" t="s">
        <v>5</v>
      </c>
      <c r="C89" s="65">
        <v>4</v>
      </c>
      <c r="D89" s="29">
        <f>IF(D87="","",(C89+C90))</f>
        <v>4</v>
      </c>
      <c r="E89" s="29">
        <f>IF(E87="","",(D89+D90))</f>
        <v>4</v>
      </c>
      <c r="F89" s="29">
        <f>IF(F87="","",(E89+E90))</f>
        <v>4</v>
      </c>
      <c r="G89" s="122">
        <f>IF(G87="","",(F89+F90))</f>
        <v>8</v>
      </c>
      <c r="H89" s="29">
        <f>IF(H87="","",(G89+G90))</f>
        <v>8</v>
      </c>
      <c r="I89" s="29">
        <v>1</v>
      </c>
      <c r="J89" s="122">
        <f>IF(J87="","",(I89+I90))</f>
        <v>6</v>
      </c>
      <c r="K89" s="29">
        <f>IF(K87="","",(J89+J90))</f>
        <v>6</v>
      </c>
      <c r="L89" s="29">
        <v>5</v>
      </c>
      <c r="M89" s="29">
        <f>IF(M87="","",(L89+L90))</f>
        <v>6</v>
      </c>
      <c r="N89" s="29">
        <f>IF(N87="","",(M89+M90))</f>
        <v>6</v>
      </c>
      <c r="O89" s="29">
        <v>4</v>
      </c>
      <c r="P89" s="122">
        <f t="shared" ref="P89:AO89" si="168">IF(P87="","",(O89+O90))</f>
        <v>7</v>
      </c>
      <c r="Q89" s="29">
        <f t="shared" si="168"/>
        <v>7</v>
      </c>
      <c r="R89" s="29">
        <f t="shared" si="168"/>
        <v>7</v>
      </c>
      <c r="S89" s="29">
        <f t="shared" si="168"/>
        <v>7</v>
      </c>
      <c r="T89" s="29">
        <f t="shared" si="168"/>
        <v>7</v>
      </c>
      <c r="U89" s="29">
        <f t="shared" si="168"/>
        <v>7</v>
      </c>
      <c r="V89" s="29">
        <v>2</v>
      </c>
      <c r="W89" s="29">
        <f t="shared" si="168"/>
        <v>7</v>
      </c>
      <c r="X89" s="29">
        <f t="shared" si="168"/>
        <v>7</v>
      </c>
      <c r="Y89" s="29">
        <f t="shared" si="168"/>
        <v>7</v>
      </c>
      <c r="Z89" s="29">
        <f t="shared" si="168"/>
        <v>7</v>
      </c>
      <c r="AA89" s="29">
        <v>6</v>
      </c>
      <c r="AB89" s="29">
        <f t="shared" si="168"/>
        <v>6</v>
      </c>
      <c r="AC89" s="29">
        <f t="shared" si="168"/>
        <v>6</v>
      </c>
      <c r="AD89" s="29">
        <v>4</v>
      </c>
      <c r="AE89" s="29" t="str">
        <f t="shared" si="168"/>
        <v/>
      </c>
      <c r="AF89" s="29" t="str">
        <f t="shared" si="168"/>
        <v/>
      </c>
      <c r="AG89" s="29" t="str">
        <f t="shared" si="168"/>
        <v/>
      </c>
      <c r="AH89" s="29" t="str">
        <f t="shared" si="168"/>
        <v/>
      </c>
      <c r="AI89" s="29" t="str">
        <f t="shared" si="168"/>
        <v/>
      </c>
      <c r="AJ89" s="29" t="str">
        <f t="shared" si="168"/>
        <v/>
      </c>
      <c r="AK89" s="29" t="str">
        <f t="shared" si="168"/>
        <v/>
      </c>
      <c r="AL89" s="29" t="str">
        <f t="shared" si="168"/>
        <v/>
      </c>
      <c r="AM89" s="29" t="str">
        <f t="shared" si="168"/>
        <v/>
      </c>
      <c r="AN89" s="29" t="str">
        <f t="shared" si="168"/>
        <v/>
      </c>
      <c r="AO89" s="29" t="str">
        <f t="shared" si="168"/>
        <v/>
      </c>
      <c r="AP89" s="29" t="str">
        <f t="shared" ref="AP89" si="169">IF(AP87="","",(AO89+AO90))</f>
        <v/>
      </c>
      <c r="AQ89" s="29" t="str">
        <f t="shared" ref="AQ89:AR89" si="170">IF(AQ87="","",(AP89+AP90))</f>
        <v/>
      </c>
      <c r="AR89" s="29" t="str">
        <f t="shared" si="170"/>
        <v/>
      </c>
    </row>
    <row r="90" spans="1:44" s="1" customFormat="1">
      <c r="A90" s="14"/>
      <c r="B90" s="30" t="s">
        <v>7</v>
      </c>
      <c r="C90" s="65"/>
      <c r="D90" s="29"/>
      <c r="E90" s="29"/>
      <c r="F90" s="29">
        <v>4</v>
      </c>
      <c r="G90" s="122"/>
      <c r="H90" s="29"/>
      <c r="I90" s="29">
        <v>5</v>
      </c>
      <c r="J90" s="122"/>
      <c r="K90" s="29"/>
      <c r="L90" s="29">
        <v>1</v>
      </c>
      <c r="M90" s="29"/>
      <c r="N90" s="29"/>
      <c r="O90" s="29">
        <v>3</v>
      </c>
      <c r="P90" s="122"/>
      <c r="Q90" s="29"/>
      <c r="R90" s="29"/>
      <c r="S90" s="29"/>
      <c r="T90" s="29"/>
      <c r="U90" s="29"/>
      <c r="V90" s="29">
        <v>5</v>
      </c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</row>
    <row r="91" spans="1:44" s="1" customFormat="1">
      <c r="A91" s="7"/>
      <c r="B91" s="30" t="s">
        <v>8</v>
      </c>
      <c r="C91" s="64">
        <v>995</v>
      </c>
      <c r="D91" s="35">
        <f>IF(D87="","",C91)</f>
        <v>995</v>
      </c>
      <c r="E91" s="35">
        <f>IF(E87="","",D91)</f>
        <v>995</v>
      </c>
      <c r="F91" s="35">
        <f>IF(F87="","",E91)</f>
        <v>995</v>
      </c>
      <c r="G91" s="383">
        <v>820</v>
      </c>
      <c r="H91" s="35">
        <f t="shared" ref="H91:AO91" si="171">IF(H87="","",G91)</f>
        <v>820</v>
      </c>
      <c r="I91" s="35">
        <f t="shared" si="171"/>
        <v>820</v>
      </c>
      <c r="J91" s="383">
        <f t="shared" si="171"/>
        <v>820</v>
      </c>
      <c r="K91" s="35">
        <f t="shared" si="171"/>
        <v>820</v>
      </c>
      <c r="L91" s="35">
        <f t="shared" si="171"/>
        <v>820</v>
      </c>
      <c r="M91" s="35">
        <f t="shared" si="171"/>
        <v>820</v>
      </c>
      <c r="N91" s="35">
        <f t="shared" si="171"/>
        <v>820</v>
      </c>
      <c r="O91" s="35">
        <f t="shared" si="171"/>
        <v>820</v>
      </c>
      <c r="P91" s="383">
        <f t="shared" si="171"/>
        <v>820</v>
      </c>
      <c r="Q91" s="35">
        <f t="shared" si="171"/>
        <v>820</v>
      </c>
      <c r="R91" s="35">
        <f t="shared" si="171"/>
        <v>820</v>
      </c>
      <c r="S91" s="35">
        <f t="shared" si="171"/>
        <v>820</v>
      </c>
      <c r="T91" s="35">
        <f t="shared" si="171"/>
        <v>820</v>
      </c>
      <c r="U91" s="35">
        <f t="shared" si="171"/>
        <v>820</v>
      </c>
      <c r="V91" s="35">
        <f>IF(V87="","",U91)</f>
        <v>820</v>
      </c>
      <c r="W91" s="35">
        <f t="shared" si="171"/>
        <v>820</v>
      </c>
      <c r="X91" s="35">
        <f t="shared" si="171"/>
        <v>820</v>
      </c>
      <c r="Y91" s="35">
        <f t="shared" si="171"/>
        <v>820</v>
      </c>
      <c r="Z91" s="35">
        <f t="shared" si="171"/>
        <v>820</v>
      </c>
      <c r="AA91" s="35">
        <f t="shared" si="171"/>
        <v>820</v>
      </c>
      <c r="AB91" s="35">
        <f t="shared" si="171"/>
        <v>820</v>
      </c>
      <c r="AC91" s="35">
        <f t="shared" si="171"/>
        <v>820</v>
      </c>
      <c r="AD91" s="35">
        <f t="shared" si="171"/>
        <v>820</v>
      </c>
      <c r="AE91" s="35" t="str">
        <f t="shared" si="171"/>
        <v/>
      </c>
      <c r="AF91" s="35" t="str">
        <f t="shared" si="171"/>
        <v/>
      </c>
      <c r="AG91" s="35" t="str">
        <f t="shared" si="171"/>
        <v/>
      </c>
      <c r="AH91" s="35" t="str">
        <f t="shared" si="171"/>
        <v/>
      </c>
      <c r="AI91" s="35" t="str">
        <f t="shared" si="171"/>
        <v/>
      </c>
      <c r="AJ91" s="35" t="str">
        <f t="shared" si="171"/>
        <v/>
      </c>
      <c r="AK91" s="35" t="str">
        <f t="shared" si="171"/>
        <v/>
      </c>
      <c r="AL91" s="35" t="str">
        <f t="shared" si="171"/>
        <v/>
      </c>
      <c r="AM91" s="35" t="str">
        <f t="shared" si="171"/>
        <v/>
      </c>
      <c r="AN91" s="35" t="str">
        <f t="shared" si="171"/>
        <v/>
      </c>
      <c r="AO91" s="35" t="str">
        <f t="shared" si="171"/>
        <v/>
      </c>
      <c r="AP91" s="35" t="str">
        <f t="shared" ref="AP91" si="172">IF(AP87="","",AO91)</f>
        <v/>
      </c>
      <c r="AQ91" s="35" t="str">
        <f t="shared" ref="AQ91:AR91" si="173">IF(AQ87="","",AP91)</f>
        <v/>
      </c>
      <c r="AR91" s="35" t="str">
        <f t="shared" si="173"/>
        <v/>
      </c>
    </row>
    <row r="92" spans="1:44" s="11" customFormat="1">
      <c r="A92" s="14" t="s">
        <v>9</v>
      </c>
      <c r="B92" s="33" t="s">
        <v>10</v>
      </c>
      <c r="C92" s="63" t="s">
        <v>117</v>
      </c>
      <c r="D92" s="32" t="str">
        <f>IF(D87="","",C92)</f>
        <v>ギャルキティ</v>
      </c>
      <c r="E92" s="32" t="str">
        <f>IF(E87="","",D92)</f>
        <v>ギャルキティ</v>
      </c>
      <c r="F92" s="32" t="str">
        <f>IF(F87="","",E92)</f>
        <v>ギャルキティ</v>
      </c>
      <c r="G92" s="123" t="s">
        <v>190</v>
      </c>
      <c r="H92" s="32" t="str">
        <f t="shared" ref="H92:AO92" si="174">IF(H87="","",G92)</f>
        <v>たまごっちMC</v>
      </c>
      <c r="I92" s="32" t="str">
        <f t="shared" si="174"/>
        <v>たまごっちMC</v>
      </c>
      <c r="J92" s="123" t="str">
        <f t="shared" si="174"/>
        <v>たまごっちMC</v>
      </c>
      <c r="K92" s="32" t="str">
        <f t="shared" si="174"/>
        <v>たまごっちMC</v>
      </c>
      <c r="L92" s="32" t="str">
        <f t="shared" si="174"/>
        <v>たまごっちMC</v>
      </c>
      <c r="M92" s="32" t="str">
        <f t="shared" si="174"/>
        <v>たまごっちMC</v>
      </c>
      <c r="N92" s="32" t="str">
        <f t="shared" si="174"/>
        <v>たまごっちMC</v>
      </c>
      <c r="O92" s="32" t="str">
        <f t="shared" si="174"/>
        <v>たまごっちMC</v>
      </c>
      <c r="P92" s="123" t="str">
        <f t="shared" si="174"/>
        <v>たまごっちMC</v>
      </c>
      <c r="Q92" s="32" t="str">
        <f t="shared" si="174"/>
        <v>たまごっちMC</v>
      </c>
      <c r="R92" s="32" t="str">
        <f t="shared" si="174"/>
        <v>たまごっちMC</v>
      </c>
      <c r="S92" s="32" t="str">
        <f t="shared" si="174"/>
        <v>たまごっちMC</v>
      </c>
      <c r="T92" s="32" t="str">
        <f t="shared" si="174"/>
        <v>たまごっちMC</v>
      </c>
      <c r="U92" s="32" t="str">
        <f t="shared" si="174"/>
        <v>たまごっちMC</v>
      </c>
      <c r="V92" s="32" t="str">
        <f>IF(V87="","",U92)</f>
        <v>たまごっちMC</v>
      </c>
      <c r="W92" s="32" t="str">
        <f t="shared" si="174"/>
        <v>たまごっちMC</v>
      </c>
      <c r="X92" s="32" t="str">
        <f t="shared" si="174"/>
        <v>たまごっちMC</v>
      </c>
      <c r="Y92" s="32" t="str">
        <f t="shared" si="174"/>
        <v>たまごっちMC</v>
      </c>
      <c r="Z92" s="32" t="str">
        <f t="shared" si="174"/>
        <v>たまごっちMC</v>
      </c>
      <c r="AA92" s="32" t="str">
        <f t="shared" si="174"/>
        <v>たまごっちMC</v>
      </c>
      <c r="AB92" s="32" t="str">
        <f t="shared" si="174"/>
        <v>たまごっちMC</v>
      </c>
      <c r="AC92" s="32" t="str">
        <f t="shared" si="174"/>
        <v>たまごっちMC</v>
      </c>
      <c r="AD92" s="32" t="str">
        <f t="shared" si="174"/>
        <v>たまごっちMC</v>
      </c>
      <c r="AE92" s="32" t="str">
        <f t="shared" si="174"/>
        <v/>
      </c>
      <c r="AF92" s="32" t="str">
        <f t="shared" si="174"/>
        <v/>
      </c>
      <c r="AG92" s="32" t="str">
        <f t="shared" si="174"/>
        <v/>
      </c>
      <c r="AH92" s="32" t="str">
        <f t="shared" si="174"/>
        <v/>
      </c>
      <c r="AI92" s="32" t="str">
        <f t="shared" si="174"/>
        <v/>
      </c>
      <c r="AJ92" s="32" t="str">
        <f t="shared" si="174"/>
        <v/>
      </c>
      <c r="AK92" s="32" t="str">
        <f t="shared" si="174"/>
        <v/>
      </c>
      <c r="AL92" s="32" t="str">
        <f t="shared" si="174"/>
        <v/>
      </c>
      <c r="AM92" s="32" t="str">
        <f t="shared" si="174"/>
        <v/>
      </c>
      <c r="AN92" s="32" t="str">
        <f t="shared" si="174"/>
        <v/>
      </c>
      <c r="AO92" s="32" t="str">
        <f t="shared" si="174"/>
        <v/>
      </c>
      <c r="AP92" s="32" t="str">
        <f t="shared" ref="AP92" si="175">IF(AP87="","",AO92)</f>
        <v/>
      </c>
      <c r="AQ92" s="32" t="str">
        <f t="shared" ref="AQ92:AR92" si="176">IF(AQ87="","",AP92)</f>
        <v/>
      </c>
      <c r="AR92" s="32" t="str">
        <f t="shared" si="176"/>
        <v/>
      </c>
    </row>
    <row r="93" spans="1:44" s="1" customFormat="1">
      <c r="A93" s="7">
        <f>AVERAGE(C94:AS94)*30*100</f>
        <v>78642.857142857145</v>
      </c>
      <c r="B93" s="30" t="s">
        <v>14</v>
      </c>
      <c r="C93" s="65"/>
      <c r="D93" s="29"/>
      <c r="E93" s="29"/>
      <c r="F93" s="29"/>
      <c r="G93" s="122"/>
      <c r="H93" s="29"/>
      <c r="I93" s="29"/>
      <c r="J93" s="122"/>
      <c r="K93" s="29"/>
      <c r="L93" s="29"/>
      <c r="M93" s="29"/>
      <c r="N93" s="29"/>
      <c r="O93" s="29"/>
      <c r="P93" s="122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</row>
    <row r="94" spans="1:44" s="1" customFormat="1">
      <c r="A94" s="7">
        <f>SUM(C94:AS94)</f>
        <v>734</v>
      </c>
      <c r="B94" s="27" t="s">
        <v>15</v>
      </c>
      <c r="C94" s="65">
        <v>0</v>
      </c>
      <c r="D94" s="26">
        <f t="shared" ref="D94:AO94" si="177">IF(D87="","",D87-C87)</f>
        <v>0</v>
      </c>
      <c r="E94" s="26">
        <f t="shared" si="177"/>
        <v>0</v>
      </c>
      <c r="F94" s="26">
        <f t="shared" si="177"/>
        <v>77</v>
      </c>
      <c r="G94" s="122">
        <f t="shared" si="177"/>
        <v>0</v>
      </c>
      <c r="H94" s="26">
        <f t="shared" si="177"/>
        <v>0</v>
      </c>
      <c r="I94" s="26">
        <f t="shared" si="177"/>
        <v>95</v>
      </c>
      <c r="J94" s="122">
        <f t="shared" si="177"/>
        <v>0</v>
      </c>
      <c r="K94" s="26">
        <f t="shared" si="177"/>
        <v>0</v>
      </c>
      <c r="L94" s="26">
        <f t="shared" si="177"/>
        <v>72</v>
      </c>
      <c r="M94" s="26">
        <f t="shared" si="177"/>
        <v>0</v>
      </c>
      <c r="N94" s="26">
        <f t="shared" si="177"/>
        <v>0</v>
      </c>
      <c r="O94" s="26">
        <f t="shared" si="177"/>
        <v>148</v>
      </c>
      <c r="P94" s="122">
        <f t="shared" si="177"/>
        <v>0</v>
      </c>
      <c r="Q94" s="26">
        <f t="shared" si="177"/>
        <v>0</v>
      </c>
      <c r="R94" s="26">
        <f t="shared" si="177"/>
        <v>0</v>
      </c>
      <c r="S94" s="26">
        <f t="shared" si="177"/>
        <v>31</v>
      </c>
      <c r="T94" s="26">
        <f t="shared" si="177"/>
        <v>0</v>
      </c>
      <c r="U94" s="26">
        <f t="shared" si="177"/>
        <v>0</v>
      </c>
      <c r="V94" s="26">
        <f>IF(V87="","",V87-U87)</f>
        <v>76</v>
      </c>
      <c r="W94" s="26">
        <f t="shared" si="177"/>
        <v>0</v>
      </c>
      <c r="X94" s="26">
        <f t="shared" si="177"/>
        <v>0</v>
      </c>
      <c r="Y94" s="26">
        <f t="shared" si="177"/>
        <v>0</v>
      </c>
      <c r="Z94" s="26">
        <f t="shared" si="177"/>
        <v>0</v>
      </c>
      <c r="AA94" s="26">
        <f t="shared" si="177"/>
        <v>147</v>
      </c>
      <c r="AB94" s="26">
        <f t="shared" si="177"/>
        <v>0</v>
      </c>
      <c r="AC94" s="26">
        <f t="shared" si="177"/>
        <v>0</v>
      </c>
      <c r="AD94" s="26">
        <f t="shared" si="177"/>
        <v>88</v>
      </c>
      <c r="AE94" s="26" t="str">
        <f t="shared" si="177"/>
        <v/>
      </c>
      <c r="AF94" s="26" t="str">
        <f t="shared" si="177"/>
        <v/>
      </c>
      <c r="AG94" s="26" t="str">
        <f t="shared" si="177"/>
        <v/>
      </c>
      <c r="AH94" s="26" t="str">
        <f t="shared" si="177"/>
        <v/>
      </c>
      <c r="AI94" s="26" t="str">
        <f t="shared" si="177"/>
        <v/>
      </c>
      <c r="AJ94" s="26" t="str">
        <f t="shared" si="177"/>
        <v/>
      </c>
      <c r="AK94" s="26" t="str">
        <f t="shared" si="177"/>
        <v/>
      </c>
      <c r="AL94" s="26" t="str">
        <f t="shared" si="177"/>
        <v/>
      </c>
      <c r="AM94" s="26" t="str">
        <f t="shared" si="177"/>
        <v/>
      </c>
      <c r="AN94" s="26" t="str">
        <f t="shared" si="177"/>
        <v/>
      </c>
      <c r="AO94" s="26" t="str">
        <f t="shared" si="177"/>
        <v/>
      </c>
      <c r="AP94" s="26" t="str">
        <f t="shared" ref="AP94:AP95" si="178">IF(AP87="","",AP87-AO87)</f>
        <v/>
      </c>
      <c r="AQ94" s="26" t="str">
        <f t="shared" ref="AQ94:AR95" si="179">IF(AQ87="","",AQ87-AP87)</f>
        <v/>
      </c>
      <c r="AR94" s="26" t="str">
        <f t="shared" si="179"/>
        <v/>
      </c>
    </row>
    <row r="95" spans="1:44" s="1" customFormat="1">
      <c r="A95" s="7">
        <f>SUM(C95:AS95)</f>
        <v>18</v>
      </c>
      <c r="B95" s="27" t="s">
        <v>16</v>
      </c>
      <c r="C95" s="65">
        <v>0</v>
      </c>
      <c r="D95" s="26">
        <f t="shared" ref="D95:AO95" si="180">IF(D88="","",D88-C88)</f>
        <v>0</v>
      </c>
      <c r="E95" s="26">
        <f t="shared" si="180"/>
        <v>0</v>
      </c>
      <c r="F95" s="26">
        <f t="shared" si="180"/>
        <v>0</v>
      </c>
      <c r="G95" s="122">
        <f t="shared" si="180"/>
        <v>0</v>
      </c>
      <c r="H95" s="26">
        <f t="shared" si="180"/>
        <v>0</v>
      </c>
      <c r="I95" s="26">
        <f t="shared" si="180"/>
        <v>7</v>
      </c>
      <c r="J95" s="122">
        <f t="shared" si="180"/>
        <v>0</v>
      </c>
      <c r="K95" s="26">
        <f t="shared" si="180"/>
        <v>0</v>
      </c>
      <c r="L95" s="26">
        <f t="shared" si="180"/>
        <v>1</v>
      </c>
      <c r="M95" s="26">
        <f t="shared" si="180"/>
        <v>0</v>
      </c>
      <c r="N95" s="26">
        <f t="shared" si="180"/>
        <v>0</v>
      </c>
      <c r="O95" s="26">
        <f t="shared" si="180"/>
        <v>2</v>
      </c>
      <c r="P95" s="122">
        <f t="shared" si="180"/>
        <v>0</v>
      </c>
      <c r="Q95" s="26">
        <f t="shared" si="180"/>
        <v>0</v>
      </c>
      <c r="R95" s="26">
        <f t="shared" si="180"/>
        <v>0</v>
      </c>
      <c r="S95" s="26">
        <f t="shared" si="180"/>
        <v>1</v>
      </c>
      <c r="T95" s="26">
        <f t="shared" si="180"/>
        <v>0</v>
      </c>
      <c r="U95" s="26">
        <f t="shared" si="180"/>
        <v>0</v>
      </c>
      <c r="V95" s="26">
        <f>IF(V88="","",V88-U88)</f>
        <v>4</v>
      </c>
      <c r="W95" s="26">
        <f t="shared" si="180"/>
        <v>0</v>
      </c>
      <c r="X95" s="26">
        <f t="shared" si="180"/>
        <v>0</v>
      </c>
      <c r="Y95" s="26">
        <f t="shared" si="180"/>
        <v>0</v>
      </c>
      <c r="Z95" s="26">
        <f t="shared" si="180"/>
        <v>0</v>
      </c>
      <c r="AA95" s="26">
        <f t="shared" si="180"/>
        <v>1</v>
      </c>
      <c r="AB95" s="26">
        <f t="shared" si="180"/>
        <v>0</v>
      </c>
      <c r="AC95" s="26">
        <f t="shared" si="180"/>
        <v>0</v>
      </c>
      <c r="AD95" s="26">
        <f t="shared" si="180"/>
        <v>2</v>
      </c>
      <c r="AE95" s="26" t="str">
        <f t="shared" si="180"/>
        <v/>
      </c>
      <c r="AF95" s="26" t="str">
        <f t="shared" si="180"/>
        <v/>
      </c>
      <c r="AG95" s="26" t="str">
        <f t="shared" si="180"/>
        <v/>
      </c>
      <c r="AH95" s="26" t="str">
        <f t="shared" si="180"/>
        <v/>
      </c>
      <c r="AI95" s="26" t="str">
        <f t="shared" si="180"/>
        <v/>
      </c>
      <c r="AJ95" s="26" t="str">
        <f t="shared" si="180"/>
        <v/>
      </c>
      <c r="AK95" s="26" t="str">
        <f t="shared" si="180"/>
        <v/>
      </c>
      <c r="AL95" s="26" t="str">
        <f t="shared" si="180"/>
        <v/>
      </c>
      <c r="AM95" s="26" t="str">
        <f t="shared" si="180"/>
        <v/>
      </c>
      <c r="AN95" s="26" t="str">
        <f t="shared" si="180"/>
        <v/>
      </c>
      <c r="AO95" s="26" t="str">
        <f t="shared" si="180"/>
        <v/>
      </c>
      <c r="AP95" s="26" t="str">
        <f t="shared" si="178"/>
        <v/>
      </c>
      <c r="AQ95" s="26" t="str">
        <f t="shared" si="179"/>
        <v/>
      </c>
      <c r="AR95" s="26" t="str">
        <f t="shared" si="179"/>
        <v/>
      </c>
    </row>
    <row r="96" spans="1:44" s="1" customFormat="1">
      <c r="A96" s="7">
        <f>SUM(C96:AS96)</f>
        <v>18</v>
      </c>
      <c r="B96" s="27" t="s">
        <v>17</v>
      </c>
      <c r="C96" s="65">
        <v>0</v>
      </c>
      <c r="D96" s="26">
        <f t="shared" ref="D96:AO96" si="181">IF(D89="","",C89+C90-D89)</f>
        <v>0</v>
      </c>
      <c r="E96" s="26">
        <f t="shared" si="181"/>
        <v>0</v>
      </c>
      <c r="F96" s="26">
        <f t="shared" si="181"/>
        <v>0</v>
      </c>
      <c r="G96" s="122">
        <f t="shared" si="181"/>
        <v>0</v>
      </c>
      <c r="H96" s="26">
        <f t="shared" si="181"/>
        <v>0</v>
      </c>
      <c r="I96" s="26">
        <f t="shared" si="181"/>
        <v>7</v>
      </c>
      <c r="J96" s="122">
        <f t="shared" si="181"/>
        <v>0</v>
      </c>
      <c r="K96" s="26">
        <f t="shared" si="181"/>
        <v>0</v>
      </c>
      <c r="L96" s="26">
        <f t="shared" si="181"/>
        <v>1</v>
      </c>
      <c r="M96" s="26">
        <f t="shared" si="181"/>
        <v>0</v>
      </c>
      <c r="N96" s="26">
        <f t="shared" si="181"/>
        <v>0</v>
      </c>
      <c r="O96" s="26">
        <f t="shared" si="181"/>
        <v>2</v>
      </c>
      <c r="P96" s="122">
        <f t="shared" si="181"/>
        <v>0</v>
      </c>
      <c r="Q96" s="26">
        <f t="shared" si="181"/>
        <v>0</v>
      </c>
      <c r="R96" s="26">
        <f t="shared" si="181"/>
        <v>0</v>
      </c>
      <c r="S96" s="26">
        <f t="shared" si="181"/>
        <v>0</v>
      </c>
      <c r="T96" s="26">
        <f t="shared" si="181"/>
        <v>0</v>
      </c>
      <c r="U96" s="26">
        <f t="shared" si="181"/>
        <v>0</v>
      </c>
      <c r="V96" s="26">
        <f>IF(V89="","",U89+U90-V89)</f>
        <v>5</v>
      </c>
      <c r="W96" s="26">
        <f t="shared" si="181"/>
        <v>0</v>
      </c>
      <c r="X96" s="26">
        <f t="shared" si="181"/>
        <v>0</v>
      </c>
      <c r="Y96" s="26">
        <f t="shared" si="181"/>
        <v>0</v>
      </c>
      <c r="Z96" s="26">
        <f t="shared" si="181"/>
        <v>0</v>
      </c>
      <c r="AA96" s="26">
        <f t="shared" si="181"/>
        <v>1</v>
      </c>
      <c r="AB96" s="26">
        <f t="shared" si="181"/>
        <v>0</v>
      </c>
      <c r="AC96" s="26">
        <f t="shared" si="181"/>
        <v>0</v>
      </c>
      <c r="AD96" s="26">
        <f t="shared" si="181"/>
        <v>2</v>
      </c>
      <c r="AE96" s="26" t="str">
        <f t="shared" si="181"/>
        <v/>
      </c>
      <c r="AF96" s="26" t="str">
        <f t="shared" si="181"/>
        <v/>
      </c>
      <c r="AG96" s="26" t="str">
        <f t="shared" si="181"/>
        <v/>
      </c>
      <c r="AH96" s="26" t="str">
        <f t="shared" si="181"/>
        <v/>
      </c>
      <c r="AI96" s="26" t="str">
        <f t="shared" si="181"/>
        <v/>
      </c>
      <c r="AJ96" s="26" t="str">
        <f t="shared" si="181"/>
        <v/>
      </c>
      <c r="AK96" s="26" t="str">
        <f t="shared" si="181"/>
        <v/>
      </c>
      <c r="AL96" s="26" t="str">
        <f t="shared" si="181"/>
        <v/>
      </c>
      <c r="AM96" s="26" t="str">
        <f t="shared" si="181"/>
        <v/>
      </c>
      <c r="AN96" s="26" t="str">
        <f t="shared" si="181"/>
        <v/>
      </c>
      <c r="AO96" s="26" t="str">
        <f t="shared" si="181"/>
        <v/>
      </c>
      <c r="AP96" s="26" t="str">
        <f t="shared" ref="AP96" si="182">IF(AP89="","",AO89+AO90-AP89)</f>
        <v/>
      </c>
      <c r="AQ96" s="26" t="str">
        <f t="shared" ref="AQ96:AR96" si="183">IF(AQ89="","",AP89+AP90-AQ89)</f>
        <v/>
      </c>
      <c r="AR96" s="26" t="str">
        <f t="shared" si="183"/>
        <v/>
      </c>
    </row>
    <row r="97" spans="1:44" s="1" customFormat="1">
      <c r="A97" s="7">
        <f>SUM(C97:AS97)</f>
        <v>14760</v>
      </c>
      <c r="B97" s="27" t="s">
        <v>18</v>
      </c>
      <c r="C97" s="65">
        <v>0</v>
      </c>
      <c r="D97" s="26">
        <f t="shared" ref="D97:AO97" si="184">IF(D87="","",D96*D91)</f>
        <v>0</v>
      </c>
      <c r="E97" s="26">
        <f t="shared" si="184"/>
        <v>0</v>
      </c>
      <c r="F97" s="26">
        <f t="shared" si="184"/>
        <v>0</v>
      </c>
      <c r="G97" s="122">
        <f t="shared" si="184"/>
        <v>0</v>
      </c>
      <c r="H97" s="26">
        <f t="shared" si="184"/>
        <v>0</v>
      </c>
      <c r="I97" s="26">
        <f t="shared" si="184"/>
        <v>5740</v>
      </c>
      <c r="J97" s="122">
        <f t="shared" si="184"/>
        <v>0</v>
      </c>
      <c r="K97" s="26">
        <f t="shared" si="184"/>
        <v>0</v>
      </c>
      <c r="L97" s="26">
        <f t="shared" si="184"/>
        <v>820</v>
      </c>
      <c r="M97" s="26">
        <f t="shared" si="184"/>
        <v>0</v>
      </c>
      <c r="N97" s="26">
        <f t="shared" si="184"/>
        <v>0</v>
      </c>
      <c r="O97" s="26">
        <f t="shared" si="184"/>
        <v>1640</v>
      </c>
      <c r="P97" s="122">
        <f t="shared" si="184"/>
        <v>0</v>
      </c>
      <c r="Q97" s="26">
        <f t="shared" si="184"/>
        <v>0</v>
      </c>
      <c r="R97" s="26">
        <f t="shared" si="184"/>
        <v>0</v>
      </c>
      <c r="S97" s="26">
        <f t="shared" si="184"/>
        <v>0</v>
      </c>
      <c r="T97" s="26">
        <f t="shared" si="184"/>
        <v>0</v>
      </c>
      <c r="U97" s="26">
        <f t="shared" si="184"/>
        <v>0</v>
      </c>
      <c r="V97" s="26">
        <f>IF(V87="","",V96*V91)</f>
        <v>4100</v>
      </c>
      <c r="W97" s="26">
        <f t="shared" si="184"/>
        <v>0</v>
      </c>
      <c r="X97" s="26">
        <f t="shared" si="184"/>
        <v>0</v>
      </c>
      <c r="Y97" s="26">
        <f t="shared" si="184"/>
        <v>0</v>
      </c>
      <c r="Z97" s="26">
        <f t="shared" si="184"/>
        <v>0</v>
      </c>
      <c r="AA97" s="26">
        <f t="shared" si="184"/>
        <v>820</v>
      </c>
      <c r="AB97" s="26">
        <f t="shared" si="184"/>
        <v>0</v>
      </c>
      <c r="AC97" s="26">
        <f t="shared" si="184"/>
        <v>0</v>
      </c>
      <c r="AD97" s="26">
        <f t="shared" si="184"/>
        <v>1640</v>
      </c>
      <c r="AE97" s="26" t="str">
        <f t="shared" si="184"/>
        <v/>
      </c>
      <c r="AF97" s="26" t="str">
        <f t="shared" si="184"/>
        <v/>
      </c>
      <c r="AG97" s="26" t="str">
        <f t="shared" si="184"/>
        <v/>
      </c>
      <c r="AH97" s="26" t="str">
        <f t="shared" si="184"/>
        <v/>
      </c>
      <c r="AI97" s="26" t="str">
        <f t="shared" si="184"/>
        <v/>
      </c>
      <c r="AJ97" s="26" t="str">
        <f t="shared" si="184"/>
        <v/>
      </c>
      <c r="AK97" s="26" t="str">
        <f t="shared" si="184"/>
        <v/>
      </c>
      <c r="AL97" s="26" t="str">
        <f t="shared" si="184"/>
        <v/>
      </c>
      <c r="AM97" s="26" t="str">
        <f t="shared" si="184"/>
        <v/>
      </c>
      <c r="AN97" s="26" t="str">
        <f t="shared" si="184"/>
        <v/>
      </c>
      <c r="AO97" s="26" t="str">
        <f t="shared" si="184"/>
        <v/>
      </c>
      <c r="AP97" s="26" t="str">
        <f t="shared" ref="AP97:AR97" si="185">IF(AP87="","",AP96*AP91)</f>
        <v/>
      </c>
      <c r="AQ97" s="26" t="str">
        <f t="shared" si="185"/>
        <v/>
      </c>
      <c r="AR97" s="26" t="str">
        <f t="shared" si="185"/>
        <v/>
      </c>
    </row>
    <row r="98" spans="1:44" s="1" customFormat="1" ht="12" thickBot="1">
      <c r="A98" s="4">
        <f>IF(A97="","",A97/(A94*100))</f>
        <v>0.20108991825613079</v>
      </c>
      <c r="B98" s="24" t="s">
        <v>20</v>
      </c>
      <c r="C98" s="67" t="s">
        <v>21</v>
      </c>
      <c r="D98" s="23" t="str">
        <f t="shared" ref="D98:AO98" si="186">IF(D97="","",IF(D97=0,"",D97/(D94*100)))</f>
        <v/>
      </c>
      <c r="E98" s="23" t="str">
        <f t="shared" si="186"/>
        <v/>
      </c>
      <c r="F98" s="23" t="str">
        <f t="shared" si="186"/>
        <v/>
      </c>
      <c r="G98" s="124" t="str">
        <f t="shared" si="186"/>
        <v/>
      </c>
      <c r="H98" s="23" t="str">
        <f t="shared" si="186"/>
        <v/>
      </c>
      <c r="I98" s="23">
        <f t="shared" si="186"/>
        <v>0.60421052631578942</v>
      </c>
      <c r="J98" s="124" t="str">
        <f t="shared" si="186"/>
        <v/>
      </c>
      <c r="K98" s="23" t="str">
        <f t="shared" si="186"/>
        <v/>
      </c>
      <c r="L98" s="23">
        <f t="shared" si="186"/>
        <v>0.11388888888888889</v>
      </c>
      <c r="M98" s="23" t="str">
        <f t="shared" si="186"/>
        <v/>
      </c>
      <c r="N98" s="23" t="str">
        <f t="shared" si="186"/>
        <v/>
      </c>
      <c r="O98" s="23">
        <f t="shared" si="186"/>
        <v>0.11081081081081082</v>
      </c>
      <c r="P98" s="124" t="str">
        <f t="shared" si="186"/>
        <v/>
      </c>
      <c r="Q98" s="23" t="str">
        <f t="shared" si="186"/>
        <v/>
      </c>
      <c r="R98" s="23" t="str">
        <f t="shared" si="186"/>
        <v/>
      </c>
      <c r="S98" s="23" t="str">
        <f>IF(S97="","",IF(S97=0,"",S97/(S94*100)))</f>
        <v/>
      </c>
      <c r="T98" s="23" t="str">
        <f t="shared" si="186"/>
        <v/>
      </c>
      <c r="U98" s="23" t="str">
        <f t="shared" si="186"/>
        <v/>
      </c>
      <c r="V98" s="23">
        <f>IF(V97="","",IF(V97=0,"",V97/(V94*100)))</f>
        <v>0.53947368421052633</v>
      </c>
      <c r="W98" s="23" t="str">
        <f t="shared" si="186"/>
        <v/>
      </c>
      <c r="X98" s="23" t="str">
        <f t="shared" si="186"/>
        <v/>
      </c>
      <c r="Y98" s="23" t="str">
        <f t="shared" si="186"/>
        <v/>
      </c>
      <c r="Z98" s="23" t="str">
        <f t="shared" si="186"/>
        <v/>
      </c>
      <c r="AA98" s="23">
        <f t="shared" si="186"/>
        <v>5.5782312925170066E-2</v>
      </c>
      <c r="AB98" s="23" t="str">
        <f t="shared" si="186"/>
        <v/>
      </c>
      <c r="AC98" s="23" t="str">
        <f t="shared" si="186"/>
        <v/>
      </c>
      <c r="AD98" s="23">
        <f t="shared" si="186"/>
        <v>0.18636363636363637</v>
      </c>
      <c r="AE98" s="23" t="str">
        <f t="shared" si="186"/>
        <v/>
      </c>
      <c r="AF98" s="23" t="str">
        <f t="shared" si="186"/>
        <v/>
      </c>
      <c r="AG98" s="23" t="str">
        <f t="shared" si="186"/>
        <v/>
      </c>
      <c r="AH98" s="23" t="str">
        <f t="shared" si="186"/>
        <v/>
      </c>
      <c r="AI98" s="23" t="str">
        <f t="shared" si="186"/>
        <v/>
      </c>
      <c r="AJ98" s="23" t="str">
        <f t="shared" si="186"/>
        <v/>
      </c>
      <c r="AK98" s="23" t="str">
        <f t="shared" si="186"/>
        <v/>
      </c>
      <c r="AL98" s="23" t="str">
        <f t="shared" si="186"/>
        <v/>
      </c>
      <c r="AM98" s="23" t="str">
        <f t="shared" si="186"/>
        <v/>
      </c>
      <c r="AN98" s="23" t="str">
        <f t="shared" si="186"/>
        <v/>
      </c>
      <c r="AO98" s="23" t="str">
        <f t="shared" si="186"/>
        <v/>
      </c>
      <c r="AP98" s="23" t="str">
        <f t="shared" ref="AP98:AR98" si="187">IF(AP97="","",IF(AP97=0,"",AP97/(AP94*100)))</f>
        <v/>
      </c>
      <c r="AQ98" s="23" t="str">
        <f t="shared" si="187"/>
        <v/>
      </c>
      <c r="AR98" s="23" t="str">
        <f t="shared" si="187"/>
        <v/>
      </c>
    </row>
    <row r="99" spans="1:44" s="1" customFormat="1">
      <c r="A99" s="40" t="s">
        <v>180</v>
      </c>
      <c r="B99" s="39" t="s">
        <v>2</v>
      </c>
      <c r="C99" s="66">
        <v>14278</v>
      </c>
      <c r="D99" s="38">
        <f>IF(D$3="","",C99)</f>
        <v>14278</v>
      </c>
      <c r="E99" s="38">
        <f>IF(E$3="","",D99)</f>
        <v>14278</v>
      </c>
      <c r="F99" s="38">
        <v>14608</v>
      </c>
      <c r="G99" s="121">
        <f>IF(G$3="","",F99)</f>
        <v>14608</v>
      </c>
      <c r="H99" s="38">
        <f>IF(H$3="","",G99)</f>
        <v>14608</v>
      </c>
      <c r="I99" s="38">
        <v>14945</v>
      </c>
      <c r="J99" s="121">
        <f>IF(J$3="","",I99)</f>
        <v>14945</v>
      </c>
      <c r="K99" s="38">
        <f>IF(K$3="","",J99)</f>
        <v>14945</v>
      </c>
      <c r="L99" s="38">
        <v>15132</v>
      </c>
      <c r="M99" s="38">
        <f>IF(M$3="","",L99)</f>
        <v>15132</v>
      </c>
      <c r="N99" s="38">
        <f>IF(N$3="","",M99)</f>
        <v>15132</v>
      </c>
      <c r="O99" s="38">
        <v>15656</v>
      </c>
      <c r="P99" s="121">
        <f t="shared" ref="P99:AO99" si="188">IF(P$3="","",O99)</f>
        <v>15656</v>
      </c>
      <c r="Q99" s="38">
        <f t="shared" si="188"/>
        <v>15656</v>
      </c>
      <c r="R99" s="38">
        <f t="shared" si="188"/>
        <v>15656</v>
      </c>
      <c r="S99" s="38">
        <v>16079</v>
      </c>
      <c r="T99" s="38">
        <f t="shared" si="188"/>
        <v>16079</v>
      </c>
      <c r="U99" s="38">
        <f t="shared" si="188"/>
        <v>16079</v>
      </c>
      <c r="V99" s="38">
        <v>16579</v>
      </c>
      <c r="W99" s="38">
        <f t="shared" si="188"/>
        <v>16579</v>
      </c>
      <c r="X99" s="38">
        <f t="shared" si="188"/>
        <v>16579</v>
      </c>
      <c r="Y99" s="38">
        <f t="shared" si="188"/>
        <v>16579</v>
      </c>
      <c r="Z99" s="38">
        <f t="shared" si="188"/>
        <v>16579</v>
      </c>
      <c r="AA99" s="38">
        <v>16932</v>
      </c>
      <c r="AB99" s="38">
        <f t="shared" si="188"/>
        <v>16932</v>
      </c>
      <c r="AC99" s="38">
        <f t="shared" si="188"/>
        <v>16932</v>
      </c>
      <c r="AD99" s="38">
        <v>17284</v>
      </c>
      <c r="AE99" s="38" t="str">
        <f t="shared" si="188"/>
        <v/>
      </c>
      <c r="AF99" s="38" t="str">
        <f t="shared" si="188"/>
        <v/>
      </c>
      <c r="AG99" s="38" t="str">
        <f t="shared" si="188"/>
        <v/>
      </c>
      <c r="AH99" s="38" t="str">
        <f t="shared" si="188"/>
        <v/>
      </c>
      <c r="AI99" s="38" t="str">
        <f t="shared" si="188"/>
        <v/>
      </c>
      <c r="AJ99" s="38" t="str">
        <f t="shared" si="188"/>
        <v/>
      </c>
      <c r="AK99" s="38" t="str">
        <f t="shared" si="188"/>
        <v/>
      </c>
      <c r="AL99" s="38" t="str">
        <f t="shared" si="188"/>
        <v/>
      </c>
      <c r="AM99" s="38" t="str">
        <f t="shared" si="188"/>
        <v/>
      </c>
      <c r="AN99" s="38" t="str">
        <f t="shared" si="188"/>
        <v/>
      </c>
      <c r="AO99" s="38" t="str">
        <f t="shared" si="188"/>
        <v/>
      </c>
      <c r="AP99" s="38" t="str">
        <f t="shared" ref="AP99:AR99" si="189">IF(AP$3="","",AO99)</f>
        <v/>
      </c>
      <c r="AQ99" s="38" t="str">
        <f t="shared" si="189"/>
        <v/>
      </c>
      <c r="AR99" s="38" t="str">
        <f t="shared" si="189"/>
        <v/>
      </c>
    </row>
    <row r="100" spans="1:44" s="1" customFormat="1">
      <c r="A100" s="37" t="s">
        <v>79</v>
      </c>
      <c r="B100" s="30" t="s">
        <v>4</v>
      </c>
      <c r="C100" s="65">
        <v>180</v>
      </c>
      <c r="D100" s="29">
        <f>IF(D$3="","",C100)</f>
        <v>180</v>
      </c>
      <c r="E100" s="29">
        <f>IF(E$3="","",D100)</f>
        <v>180</v>
      </c>
      <c r="F100" s="29">
        <v>182</v>
      </c>
      <c r="G100" s="122">
        <f>IF(G$3="","",F100)</f>
        <v>182</v>
      </c>
      <c r="H100" s="29">
        <f>IF(H$3="","",G100)</f>
        <v>182</v>
      </c>
      <c r="I100" s="29">
        <v>185</v>
      </c>
      <c r="J100" s="122">
        <f>IF(J$3="","",I100)</f>
        <v>185</v>
      </c>
      <c r="K100" s="29">
        <f>IF(K$3="","",J100)</f>
        <v>185</v>
      </c>
      <c r="L100" s="29">
        <f>IF(L$3="","",K100)</f>
        <v>185</v>
      </c>
      <c r="M100" s="29">
        <f>IF(M$3="","",L100)</f>
        <v>185</v>
      </c>
      <c r="N100" s="29">
        <f>IF(N$3="","",M100)</f>
        <v>185</v>
      </c>
      <c r="O100" s="29">
        <v>189</v>
      </c>
      <c r="P100" s="122">
        <f t="shared" ref="P100:AO100" si="190">IF(P$3="","",O100)</f>
        <v>189</v>
      </c>
      <c r="Q100" s="29">
        <f t="shared" si="190"/>
        <v>189</v>
      </c>
      <c r="R100" s="29">
        <f t="shared" si="190"/>
        <v>189</v>
      </c>
      <c r="S100" s="29">
        <v>192</v>
      </c>
      <c r="T100" s="29">
        <f t="shared" si="190"/>
        <v>192</v>
      </c>
      <c r="U100" s="29">
        <f t="shared" si="190"/>
        <v>192</v>
      </c>
      <c r="V100" s="29">
        <v>194</v>
      </c>
      <c r="W100" s="29">
        <f t="shared" si="190"/>
        <v>194</v>
      </c>
      <c r="X100" s="29">
        <f t="shared" si="190"/>
        <v>194</v>
      </c>
      <c r="Y100" s="29">
        <f t="shared" si="190"/>
        <v>194</v>
      </c>
      <c r="Z100" s="29">
        <f t="shared" si="190"/>
        <v>194</v>
      </c>
      <c r="AA100" s="29">
        <v>196</v>
      </c>
      <c r="AB100" s="29">
        <f t="shared" si="190"/>
        <v>196</v>
      </c>
      <c r="AC100" s="29">
        <f t="shared" si="190"/>
        <v>196</v>
      </c>
      <c r="AD100" s="29">
        <v>197</v>
      </c>
      <c r="AE100" s="29" t="str">
        <f t="shared" si="190"/>
        <v/>
      </c>
      <c r="AF100" s="29" t="str">
        <f t="shared" si="190"/>
        <v/>
      </c>
      <c r="AG100" s="29" t="str">
        <f t="shared" si="190"/>
        <v/>
      </c>
      <c r="AH100" s="29" t="str">
        <f t="shared" si="190"/>
        <v/>
      </c>
      <c r="AI100" s="29" t="str">
        <f t="shared" si="190"/>
        <v/>
      </c>
      <c r="AJ100" s="29" t="str">
        <f t="shared" si="190"/>
        <v/>
      </c>
      <c r="AK100" s="29" t="str">
        <f t="shared" si="190"/>
        <v/>
      </c>
      <c r="AL100" s="29" t="str">
        <f t="shared" si="190"/>
        <v/>
      </c>
      <c r="AM100" s="29" t="str">
        <f t="shared" si="190"/>
        <v/>
      </c>
      <c r="AN100" s="29" t="str">
        <f t="shared" si="190"/>
        <v/>
      </c>
      <c r="AO100" s="29" t="str">
        <f t="shared" si="190"/>
        <v/>
      </c>
      <c r="AP100" s="29" t="str">
        <f t="shared" ref="AP100:AR100" si="191">IF(AP$3="","",AO100)</f>
        <v/>
      </c>
      <c r="AQ100" s="29" t="str">
        <f t="shared" si="191"/>
        <v/>
      </c>
      <c r="AR100" s="29" t="str">
        <f t="shared" si="191"/>
        <v/>
      </c>
    </row>
    <row r="101" spans="1:44" s="1" customFormat="1">
      <c r="A101" s="34"/>
      <c r="B101" s="30" t="s">
        <v>5</v>
      </c>
      <c r="C101" s="65">
        <v>6</v>
      </c>
      <c r="D101" s="29">
        <f>IF(D99="","",(C101+C102))</f>
        <v>6</v>
      </c>
      <c r="E101" s="29">
        <f>IF(E99="","",(D101+D102))</f>
        <v>6</v>
      </c>
      <c r="F101" s="29">
        <v>4</v>
      </c>
      <c r="G101" s="122">
        <f>IF(G99="","",(F101+F102))</f>
        <v>6</v>
      </c>
      <c r="H101" s="29">
        <f>IF(H99="","",(G101+G102))</f>
        <v>6</v>
      </c>
      <c r="I101" s="29">
        <v>2</v>
      </c>
      <c r="J101" s="122">
        <f>IF(J99="","",(I101+I102))</f>
        <v>7</v>
      </c>
      <c r="K101" s="29">
        <f>IF(K99="","",(J101+J102))</f>
        <v>7</v>
      </c>
      <c r="L101" s="29">
        <f>IF(L99="","",(K101+K102))</f>
        <v>7</v>
      </c>
      <c r="M101" s="29">
        <f>IF(M99="","",(L101+L102))</f>
        <v>7</v>
      </c>
      <c r="N101" s="29">
        <f>IF(N99="","",(M101+M102))</f>
        <v>7</v>
      </c>
      <c r="O101" s="29">
        <v>4</v>
      </c>
      <c r="P101" s="122">
        <f t="shared" ref="P101:AO101" si="192">IF(P99="","",(O101+O102))</f>
        <v>8</v>
      </c>
      <c r="Q101" s="29">
        <f t="shared" si="192"/>
        <v>8</v>
      </c>
      <c r="R101" s="29">
        <f t="shared" si="192"/>
        <v>8</v>
      </c>
      <c r="S101" s="29">
        <v>5</v>
      </c>
      <c r="T101" s="29">
        <f t="shared" si="192"/>
        <v>7</v>
      </c>
      <c r="U101" s="29">
        <f t="shared" si="192"/>
        <v>7</v>
      </c>
      <c r="V101" s="29">
        <v>5</v>
      </c>
      <c r="W101" s="29">
        <f t="shared" si="192"/>
        <v>7</v>
      </c>
      <c r="X101" s="29">
        <f t="shared" si="192"/>
        <v>7</v>
      </c>
      <c r="Y101" s="29">
        <f t="shared" si="192"/>
        <v>7</v>
      </c>
      <c r="Z101" s="29">
        <f t="shared" si="192"/>
        <v>7</v>
      </c>
      <c r="AA101" s="29">
        <v>5</v>
      </c>
      <c r="AB101" s="29">
        <f t="shared" si="192"/>
        <v>7</v>
      </c>
      <c r="AC101" s="29">
        <f t="shared" si="192"/>
        <v>7</v>
      </c>
      <c r="AD101" s="29">
        <v>6</v>
      </c>
      <c r="AE101" s="29" t="str">
        <f t="shared" si="192"/>
        <v/>
      </c>
      <c r="AF101" s="29" t="str">
        <f t="shared" si="192"/>
        <v/>
      </c>
      <c r="AG101" s="29" t="str">
        <f t="shared" si="192"/>
        <v/>
      </c>
      <c r="AH101" s="29" t="str">
        <f t="shared" si="192"/>
        <v/>
      </c>
      <c r="AI101" s="29" t="str">
        <f t="shared" si="192"/>
        <v/>
      </c>
      <c r="AJ101" s="29" t="str">
        <f t="shared" si="192"/>
        <v/>
      </c>
      <c r="AK101" s="29" t="str">
        <f t="shared" si="192"/>
        <v/>
      </c>
      <c r="AL101" s="29" t="str">
        <f t="shared" si="192"/>
        <v/>
      </c>
      <c r="AM101" s="29" t="str">
        <f t="shared" si="192"/>
        <v/>
      </c>
      <c r="AN101" s="29" t="str">
        <f t="shared" si="192"/>
        <v/>
      </c>
      <c r="AO101" s="29" t="str">
        <f t="shared" si="192"/>
        <v/>
      </c>
      <c r="AP101" s="29" t="str">
        <f t="shared" ref="AP101" si="193">IF(AP99="","",(AO101+AO102))</f>
        <v/>
      </c>
      <c r="AQ101" s="29" t="str">
        <f t="shared" ref="AQ101:AR101" si="194">IF(AQ99="","",(AP101+AP102))</f>
        <v/>
      </c>
      <c r="AR101" s="29" t="str">
        <f t="shared" si="194"/>
        <v/>
      </c>
    </row>
    <row r="102" spans="1:44" s="1" customFormat="1">
      <c r="A102" s="14"/>
      <c r="B102" s="30" t="s">
        <v>7</v>
      </c>
      <c r="C102" s="65"/>
      <c r="D102" s="29"/>
      <c r="E102" s="29"/>
      <c r="F102" s="29">
        <v>2</v>
      </c>
      <c r="G102" s="122"/>
      <c r="H102" s="29"/>
      <c r="I102" s="29">
        <v>5</v>
      </c>
      <c r="J102" s="122"/>
      <c r="K102" s="29"/>
      <c r="L102" s="29"/>
      <c r="M102" s="29"/>
      <c r="N102" s="29"/>
      <c r="O102" s="29">
        <v>4</v>
      </c>
      <c r="P102" s="122"/>
      <c r="Q102" s="29"/>
      <c r="R102" s="29"/>
      <c r="S102" s="29">
        <v>2</v>
      </c>
      <c r="T102" s="29"/>
      <c r="U102" s="29"/>
      <c r="V102" s="29">
        <v>2</v>
      </c>
      <c r="W102" s="29"/>
      <c r="X102" s="29"/>
      <c r="Y102" s="29"/>
      <c r="Z102" s="29"/>
      <c r="AA102" s="29">
        <v>2</v>
      </c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</row>
    <row r="103" spans="1:44" s="1" customFormat="1">
      <c r="A103" s="7"/>
      <c r="B103" s="30" t="s">
        <v>8</v>
      </c>
      <c r="C103" s="64">
        <v>1500</v>
      </c>
      <c r="D103" s="35">
        <f t="shared" ref="D103:AO103" si="195">IF(D99="","",C103)</f>
        <v>1500</v>
      </c>
      <c r="E103" s="35">
        <f t="shared" si="195"/>
        <v>1500</v>
      </c>
      <c r="F103" s="35">
        <f t="shared" si="195"/>
        <v>1500</v>
      </c>
      <c r="G103" s="383">
        <f t="shared" si="195"/>
        <v>1500</v>
      </c>
      <c r="H103" s="35">
        <f t="shared" si="195"/>
        <v>1500</v>
      </c>
      <c r="I103" s="35">
        <f t="shared" si="195"/>
        <v>1500</v>
      </c>
      <c r="J103" s="383">
        <f t="shared" si="195"/>
        <v>1500</v>
      </c>
      <c r="K103" s="35">
        <f t="shared" si="195"/>
        <v>1500</v>
      </c>
      <c r="L103" s="35">
        <f t="shared" si="195"/>
        <v>1500</v>
      </c>
      <c r="M103" s="35">
        <f t="shared" si="195"/>
        <v>1500</v>
      </c>
      <c r="N103" s="35">
        <f t="shared" si="195"/>
        <v>1500</v>
      </c>
      <c r="O103" s="35">
        <f t="shared" si="195"/>
        <v>1500</v>
      </c>
      <c r="P103" s="383">
        <f t="shared" si="195"/>
        <v>1500</v>
      </c>
      <c r="Q103" s="35">
        <f t="shared" si="195"/>
        <v>1500</v>
      </c>
      <c r="R103" s="35">
        <f t="shared" si="195"/>
        <v>1500</v>
      </c>
      <c r="S103" s="35">
        <f t="shared" si="195"/>
        <v>1500</v>
      </c>
      <c r="T103" s="35">
        <f t="shared" si="195"/>
        <v>1500</v>
      </c>
      <c r="U103" s="35">
        <f t="shared" si="195"/>
        <v>1500</v>
      </c>
      <c r="V103" s="35">
        <f>IF(V99="","",U103)</f>
        <v>1500</v>
      </c>
      <c r="W103" s="35">
        <f t="shared" si="195"/>
        <v>1500</v>
      </c>
      <c r="X103" s="35">
        <f t="shared" si="195"/>
        <v>1500</v>
      </c>
      <c r="Y103" s="35">
        <f t="shared" si="195"/>
        <v>1500</v>
      </c>
      <c r="Z103" s="35">
        <f t="shared" si="195"/>
        <v>1500</v>
      </c>
      <c r="AA103" s="35">
        <f t="shared" si="195"/>
        <v>1500</v>
      </c>
      <c r="AB103" s="35">
        <f t="shared" si="195"/>
        <v>1500</v>
      </c>
      <c r="AC103" s="35">
        <f t="shared" si="195"/>
        <v>1500</v>
      </c>
      <c r="AD103" s="35">
        <f t="shared" si="195"/>
        <v>1500</v>
      </c>
      <c r="AE103" s="35" t="str">
        <f t="shared" si="195"/>
        <v/>
      </c>
      <c r="AF103" s="35" t="str">
        <f t="shared" si="195"/>
        <v/>
      </c>
      <c r="AG103" s="35" t="str">
        <f t="shared" si="195"/>
        <v/>
      </c>
      <c r="AH103" s="35" t="str">
        <f t="shared" si="195"/>
        <v/>
      </c>
      <c r="AI103" s="35" t="str">
        <f t="shared" si="195"/>
        <v/>
      </c>
      <c r="AJ103" s="35" t="str">
        <f t="shared" si="195"/>
        <v/>
      </c>
      <c r="AK103" s="35" t="str">
        <f t="shared" si="195"/>
        <v/>
      </c>
      <c r="AL103" s="35" t="str">
        <f t="shared" si="195"/>
        <v/>
      </c>
      <c r="AM103" s="35" t="str">
        <f t="shared" si="195"/>
        <v/>
      </c>
      <c r="AN103" s="35" t="str">
        <f t="shared" si="195"/>
        <v/>
      </c>
      <c r="AO103" s="35" t="str">
        <f t="shared" si="195"/>
        <v/>
      </c>
      <c r="AP103" s="35" t="str">
        <f t="shared" ref="AP103" si="196">IF(AP99="","",AO103)</f>
        <v/>
      </c>
      <c r="AQ103" s="35" t="str">
        <f t="shared" ref="AQ103:AR103" si="197">IF(AQ99="","",AP103)</f>
        <v/>
      </c>
      <c r="AR103" s="35" t="str">
        <f t="shared" si="197"/>
        <v/>
      </c>
    </row>
    <row r="104" spans="1:44" s="11" customFormat="1">
      <c r="A104" s="14" t="s">
        <v>9</v>
      </c>
      <c r="B104" s="33" t="s">
        <v>10</v>
      </c>
      <c r="C104" s="63" t="s">
        <v>77</v>
      </c>
      <c r="D104" s="32" t="str">
        <f t="shared" ref="D104:AO104" si="198">IF(D99="","",C104)</f>
        <v>ボンドロ</v>
      </c>
      <c r="E104" s="32" t="str">
        <f t="shared" si="198"/>
        <v>ボンドロ</v>
      </c>
      <c r="F104" s="32" t="str">
        <f t="shared" si="198"/>
        <v>ボンドロ</v>
      </c>
      <c r="G104" s="123" t="str">
        <f t="shared" si="198"/>
        <v>ボンドロ</v>
      </c>
      <c r="H104" s="32" t="str">
        <f t="shared" si="198"/>
        <v>ボンドロ</v>
      </c>
      <c r="I104" s="32" t="str">
        <f t="shared" si="198"/>
        <v>ボンドロ</v>
      </c>
      <c r="J104" s="123" t="str">
        <f t="shared" si="198"/>
        <v>ボンドロ</v>
      </c>
      <c r="K104" s="32" t="str">
        <f t="shared" si="198"/>
        <v>ボンドロ</v>
      </c>
      <c r="L104" s="32" t="str">
        <f t="shared" si="198"/>
        <v>ボンドロ</v>
      </c>
      <c r="M104" s="32" t="str">
        <f t="shared" si="198"/>
        <v>ボンドロ</v>
      </c>
      <c r="N104" s="32" t="str">
        <f t="shared" si="198"/>
        <v>ボンドロ</v>
      </c>
      <c r="O104" s="32" t="str">
        <f t="shared" si="198"/>
        <v>ボンドロ</v>
      </c>
      <c r="P104" s="123" t="str">
        <f t="shared" si="198"/>
        <v>ボンドロ</v>
      </c>
      <c r="Q104" s="32" t="str">
        <f t="shared" si="198"/>
        <v>ボンドロ</v>
      </c>
      <c r="R104" s="32" t="str">
        <f t="shared" si="198"/>
        <v>ボンドロ</v>
      </c>
      <c r="S104" s="32" t="str">
        <f t="shared" si="198"/>
        <v>ボンドロ</v>
      </c>
      <c r="T104" s="32" t="str">
        <f t="shared" si="198"/>
        <v>ボンドロ</v>
      </c>
      <c r="U104" s="32" t="str">
        <f t="shared" si="198"/>
        <v>ボンドロ</v>
      </c>
      <c r="V104" s="32" t="str">
        <f>IF(V99="","",U104)</f>
        <v>ボンドロ</v>
      </c>
      <c r="W104" s="32" t="str">
        <f t="shared" si="198"/>
        <v>ボンドロ</v>
      </c>
      <c r="X104" s="32" t="str">
        <f t="shared" si="198"/>
        <v>ボンドロ</v>
      </c>
      <c r="Y104" s="32" t="str">
        <f t="shared" si="198"/>
        <v>ボンドロ</v>
      </c>
      <c r="Z104" s="32" t="str">
        <f t="shared" si="198"/>
        <v>ボンドロ</v>
      </c>
      <c r="AA104" s="32" t="str">
        <f t="shared" si="198"/>
        <v>ボンドロ</v>
      </c>
      <c r="AB104" s="32" t="str">
        <f t="shared" si="198"/>
        <v>ボンドロ</v>
      </c>
      <c r="AC104" s="32" t="str">
        <f t="shared" si="198"/>
        <v>ボンドロ</v>
      </c>
      <c r="AD104" s="32" t="str">
        <f t="shared" si="198"/>
        <v>ボンドロ</v>
      </c>
      <c r="AE104" s="32" t="str">
        <f t="shared" si="198"/>
        <v/>
      </c>
      <c r="AF104" s="32" t="str">
        <f t="shared" si="198"/>
        <v/>
      </c>
      <c r="AG104" s="32" t="str">
        <f t="shared" si="198"/>
        <v/>
      </c>
      <c r="AH104" s="32" t="str">
        <f t="shared" si="198"/>
        <v/>
      </c>
      <c r="AI104" s="32" t="str">
        <f t="shared" si="198"/>
        <v/>
      </c>
      <c r="AJ104" s="32" t="str">
        <f t="shared" si="198"/>
        <v/>
      </c>
      <c r="AK104" s="32" t="str">
        <f t="shared" si="198"/>
        <v/>
      </c>
      <c r="AL104" s="32" t="str">
        <f t="shared" si="198"/>
        <v/>
      </c>
      <c r="AM104" s="32" t="str">
        <f t="shared" si="198"/>
        <v/>
      </c>
      <c r="AN104" s="32" t="str">
        <f t="shared" si="198"/>
        <v/>
      </c>
      <c r="AO104" s="32" t="str">
        <f t="shared" si="198"/>
        <v/>
      </c>
      <c r="AP104" s="32" t="str">
        <f t="shared" ref="AP104" si="199">IF(AP99="","",AO104)</f>
        <v/>
      </c>
      <c r="AQ104" s="32" t="str">
        <f t="shared" ref="AQ104:AR104" si="200">IF(AQ99="","",AP104)</f>
        <v/>
      </c>
      <c r="AR104" s="32" t="str">
        <f t="shared" si="200"/>
        <v/>
      </c>
    </row>
    <row r="105" spans="1:44" s="1" customFormat="1">
      <c r="A105" s="7">
        <f>AVERAGE(C106:AS106)*30*100</f>
        <v>322071.42857142858</v>
      </c>
      <c r="B105" s="30" t="s">
        <v>14</v>
      </c>
      <c r="C105" s="65"/>
      <c r="D105" s="29"/>
      <c r="E105" s="29"/>
      <c r="F105" s="29"/>
      <c r="G105" s="122"/>
      <c r="H105" s="29"/>
      <c r="I105" s="29"/>
      <c r="J105" s="122"/>
      <c r="K105" s="29"/>
      <c r="L105" s="29"/>
      <c r="M105" s="29"/>
      <c r="N105" s="29"/>
      <c r="O105" s="29"/>
      <c r="P105" s="122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</row>
    <row r="106" spans="1:44" s="1" customFormat="1">
      <c r="A106" s="7">
        <f>SUM(C106:AS106)</f>
        <v>3006</v>
      </c>
      <c r="B106" s="27" t="s">
        <v>15</v>
      </c>
      <c r="C106" s="65">
        <v>0</v>
      </c>
      <c r="D106" s="26">
        <f t="shared" ref="D106:AO106" si="201">IF(D99="","",D99-C99)</f>
        <v>0</v>
      </c>
      <c r="E106" s="26">
        <f t="shared" si="201"/>
        <v>0</v>
      </c>
      <c r="F106" s="26">
        <f t="shared" si="201"/>
        <v>330</v>
      </c>
      <c r="G106" s="122">
        <f t="shared" si="201"/>
        <v>0</v>
      </c>
      <c r="H106" s="26">
        <f t="shared" si="201"/>
        <v>0</v>
      </c>
      <c r="I106" s="26">
        <f t="shared" si="201"/>
        <v>337</v>
      </c>
      <c r="J106" s="122">
        <f t="shared" si="201"/>
        <v>0</v>
      </c>
      <c r="K106" s="26">
        <f t="shared" si="201"/>
        <v>0</v>
      </c>
      <c r="L106" s="26">
        <f t="shared" si="201"/>
        <v>187</v>
      </c>
      <c r="M106" s="26">
        <f t="shared" si="201"/>
        <v>0</v>
      </c>
      <c r="N106" s="26">
        <f t="shared" si="201"/>
        <v>0</v>
      </c>
      <c r="O106" s="26">
        <f t="shared" si="201"/>
        <v>524</v>
      </c>
      <c r="P106" s="122">
        <f t="shared" si="201"/>
        <v>0</v>
      </c>
      <c r="Q106" s="26">
        <f t="shared" si="201"/>
        <v>0</v>
      </c>
      <c r="R106" s="26">
        <f t="shared" si="201"/>
        <v>0</v>
      </c>
      <c r="S106" s="26">
        <f t="shared" si="201"/>
        <v>423</v>
      </c>
      <c r="T106" s="26">
        <f t="shared" si="201"/>
        <v>0</v>
      </c>
      <c r="U106" s="26">
        <f t="shared" si="201"/>
        <v>0</v>
      </c>
      <c r="V106" s="26">
        <f>IF(V99="","",V99-U99)</f>
        <v>500</v>
      </c>
      <c r="W106" s="26">
        <f t="shared" si="201"/>
        <v>0</v>
      </c>
      <c r="X106" s="26">
        <f t="shared" si="201"/>
        <v>0</v>
      </c>
      <c r="Y106" s="26">
        <f t="shared" si="201"/>
        <v>0</v>
      </c>
      <c r="Z106" s="26">
        <f t="shared" si="201"/>
        <v>0</v>
      </c>
      <c r="AA106" s="26">
        <f t="shared" si="201"/>
        <v>353</v>
      </c>
      <c r="AB106" s="26">
        <f t="shared" si="201"/>
        <v>0</v>
      </c>
      <c r="AC106" s="26">
        <f t="shared" si="201"/>
        <v>0</v>
      </c>
      <c r="AD106" s="26">
        <f t="shared" si="201"/>
        <v>352</v>
      </c>
      <c r="AE106" s="26" t="str">
        <f t="shared" si="201"/>
        <v/>
      </c>
      <c r="AF106" s="26" t="str">
        <f t="shared" si="201"/>
        <v/>
      </c>
      <c r="AG106" s="26" t="str">
        <f t="shared" si="201"/>
        <v/>
      </c>
      <c r="AH106" s="26" t="str">
        <f t="shared" si="201"/>
        <v/>
      </c>
      <c r="AI106" s="26" t="str">
        <f t="shared" si="201"/>
        <v/>
      </c>
      <c r="AJ106" s="26" t="str">
        <f t="shared" si="201"/>
        <v/>
      </c>
      <c r="AK106" s="26" t="str">
        <f t="shared" si="201"/>
        <v/>
      </c>
      <c r="AL106" s="26" t="str">
        <f t="shared" si="201"/>
        <v/>
      </c>
      <c r="AM106" s="26" t="str">
        <f t="shared" si="201"/>
        <v/>
      </c>
      <c r="AN106" s="26" t="str">
        <f t="shared" si="201"/>
        <v/>
      </c>
      <c r="AO106" s="26" t="str">
        <f t="shared" si="201"/>
        <v/>
      </c>
      <c r="AP106" s="26" t="str">
        <f t="shared" ref="AP106:AP107" si="202">IF(AP99="","",AP99-AO99)</f>
        <v/>
      </c>
      <c r="AQ106" s="26" t="str">
        <f t="shared" ref="AQ106:AR107" si="203">IF(AQ99="","",AQ99-AP99)</f>
        <v/>
      </c>
      <c r="AR106" s="26" t="str">
        <f t="shared" si="203"/>
        <v/>
      </c>
    </row>
    <row r="107" spans="1:44" s="1" customFormat="1">
      <c r="A107" s="7">
        <f>SUM(C107:AS107)</f>
        <v>17</v>
      </c>
      <c r="B107" s="27" t="s">
        <v>16</v>
      </c>
      <c r="C107" s="65">
        <v>0</v>
      </c>
      <c r="D107" s="26">
        <f t="shared" ref="D107:AO107" si="204">IF(D100="","",D100-C100)</f>
        <v>0</v>
      </c>
      <c r="E107" s="26">
        <f t="shared" si="204"/>
        <v>0</v>
      </c>
      <c r="F107" s="26">
        <f t="shared" si="204"/>
        <v>2</v>
      </c>
      <c r="G107" s="122">
        <f t="shared" si="204"/>
        <v>0</v>
      </c>
      <c r="H107" s="26">
        <f t="shared" si="204"/>
        <v>0</v>
      </c>
      <c r="I107" s="26">
        <f t="shared" si="204"/>
        <v>3</v>
      </c>
      <c r="J107" s="122">
        <f t="shared" si="204"/>
        <v>0</v>
      </c>
      <c r="K107" s="26">
        <f t="shared" si="204"/>
        <v>0</v>
      </c>
      <c r="L107" s="26">
        <f t="shared" si="204"/>
        <v>0</v>
      </c>
      <c r="M107" s="26">
        <f t="shared" si="204"/>
        <v>0</v>
      </c>
      <c r="N107" s="26">
        <f t="shared" si="204"/>
        <v>0</v>
      </c>
      <c r="O107" s="26">
        <f t="shared" si="204"/>
        <v>4</v>
      </c>
      <c r="P107" s="122">
        <f t="shared" si="204"/>
        <v>0</v>
      </c>
      <c r="Q107" s="26">
        <f t="shared" si="204"/>
        <v>0</v>
      </c>
      <c r="R107" s="26">
        <f t="shared" si="204"/>
        <v>0</v>
      </c>
      <c r="S107" s="26">
        <f t="shared" si="204"/>
        <v>3</v>
      </c>
      <c r="T107" s="26">
        <f t="shared" si="204"/>
        <v>0</v>
      </c>
      <c r="U107" s="26">
        <f t="shared" si="204"/>
        <v>0</v>
      </c>
      <c r="V107" s="26">
        <f>IF(V100="","",V100-U100)</f>
        <v>2</v>
      </c>
      <c r="W107" s="26">
        <f t="shared" si="204"/>
        <v>0</v>
      </c>
      <c r="X107" s="26">
        <f t="shared" si="204"/>
        <v>0</v>
      </c>
      <c r="Y107" s="26">
        <f t="shared" si="204"/>
        <v>0</v>
      </c>
      <c r="Z107" s="26">
        <f t="shared" si="204"/>
        <v>0</v>
      </c>
      <c r="AA107" s="26">
        <f t="shared" si="204"/>
        <v>2</v>
      </c>
      <c r="AB107" s="26">
        <f t="shared" si="204"/>
        <v>0</v>
      </c>
      <c r="AC107" s="26">
        <f t="shared" si="204"/>
        <v>0</v>
      </c>
      <c r="AD107" s="26">
        <f t="shared" si="204"/>
        <v>1</v>
      </c>
      <c r="AE107" s="26" t="str">
        <f t="shared" si="204"/>
        <v/>
      </c>
      <c r="AF107" s="26" t="str">
        <f t="shared" si="204"/>
        <v/>
      </c>
      <c r="AG107" s="26" t="str">
        <f t="shared" si="204"/>
        <v/>
      </c>
      <c r="AH107" s="26" t="str">
        <f t="shared" si="204"/>
        <v/>
      </c>
      <c r="AI107" s="26" t="str">
        <f t="shared" si="204"/>
        <v/>
      </c>
      <c r="AJ107" s="26" t="str">
        <f t="shared" si="204"/>
        <v/>
      </c>
      <c r="AK107" s="26" t="str">
        <f t="shared" si="204"/>
        <v/>
      </c>
      <c r="AL107" s="26" t="str">
        <f t="shared" si="204"/>
        <v/>
      </c>
      <c r="AM107" s="26" t="str">
        <f t="shared" si="204"/>
        <v/>
      </c>
      <c r="AN107" s="26" t="str">
        <f t="shared" si="204"/>
        <v/>
      </c>
      <c r="AO107" s="26" t="str">
        <f t="shared" si="204"/>
        <v/>
      </c>
      <c r="AP107" s="26" t="str">
        <f t="shared" si="202"/>
        <v/>
      </c>
      <c r="AQ107" s="26" t="str">
        <f t="shared" si="203"/>
        <v/>
      </c>
      <c r="AR107" s="26" t="str">
        <f t="shared" si="203"/>
        <v/>
      </c>
    </row>
    <row r="108" spans="1:44" s="1" customFormat="1">
      <c r="A108" s="7">
        <f>SUM(C108:AS108)</f>
        <v>17</v>
      </c>
      <c r="B108" s="27" t="s">
        <v>17</v>
      </c>
      <c r="C108" s="65">
        <v>0</v>
      </c>
      <c r="D108" s="26">
        <f t="shared" ref="D108:AO108" si="205">IF(D101="","",C101+C102-D101)</f>
        <v>0</v>
      </c>
      <c r="E108" s="26">
        <f t="shared" si="205"/>
        <v>0</v>
      </c>
      <c r="F108" s="26">
        <f t="shared" si="205"/>
        <v>2</v>
      </c>
      <c r="G108" s="122">
        <f t="shared" si="205"/>
        <v>0</v>
      </c>
      <c r="H108" s="26">
        <f t="shared" si="205"/>
        <v>0</v>
      </c>
      <c r="I108" s="26">
        <f t="shared" si="205"/>
        <v>4</v>
      </c>
      <c r="J108" s="122">
        <f t="shared" si="205"/>
        <v>0</v>
      </c>
      <c r="K108" s="26">
        <f t="shared" si="205"/>
        <v>0</v>
      </c>
      <c r="L108" s="26">
        <f t="shared" si="205"/>
        <v>0</v>
      </c>
      <c r="M108" s="26">
        <f t="shared" si="205"/>
        <v>0</v>
      </c>
      <c r="N108" s="26">
        <f t="shared" si="205"/>
        <v>0</v>
      </c>
      <c r="O108" s="26">
        <f t="shared" si="205"/>
        <v>3</v>
      </c>
      <c r="P108" s="122">
        <f t="shared" si="205"/>
        <v>0</v>
      </c>
      <c r="Q108" s="26">
        <f t="shared" si="205"/>
        <v>0</v>
      </c>
      <c r="R108" s="26">
        <f t="shared" si="205"/>
        <v>0</v>
      </c>
      <c r="S108" s="26">
        <f t="shared" si="205"/>
        <v>3</v>
      </c>
      <c r="T108" s="26">
        <f t="shared" si="205"/>
        <v>0</v>
      </c>
      <c r="U108" s="26">
        <f t="shared" si="205"/>
        <v>0</v>
      </c>
      <c r="V108" s="26">
        <f>IF(V101="","",U101+U102-V101)</f>
        <v>2</v>
      </c>
      <c r="W108" s="26">
        <f t="shared" si="205"/>
        <v>0</v>
      </c>
      <c r="X108" s="26">
        <f t="shared" si="205"/>
        <v>0</v>
      </c>
      <c r="Y108" s="26">
        <f t="shared" si="205"/>
        <v>0</v>
      </c>
      <c r="Z108" s="26">
        <f t="shared" si="205"/>
        <v>0</v>
      </c>
      <c r="AA108" s="26">
        <f t="shared" si="205"/>
        <v>2</v>
      </c>
      <c r="AB108" s="26">
        <f t="shared" si="205"/>
        <v>0</v>
      </c>
      <c r="AC108" s="26">
        <f t="shared" si="205"/>
        <v>0</v>
      </c>
      <c r="AD108" s="26">
        <f t="shared" si="205"/>
        <v>1</v>
      </c>
      <c r="AE108" s="26" t="str">
        <f t="shared" si="205"/>
        <v/>
      </c>
      <c r="AF108" s="26" t="str">
        <f t="shared" si="205"/>
        <v/>
      </c>
      <c r="AG108" s="26" t="str">
        <f t="shared" si="205"/>
        <v/>
      </c>
      <c r="AH108" s="26" t="str">
        <f t="shared" si="205"/>
        <v/>
      </c>
      <c r="AI108" s="26" t="str">
        <f t="shared" si="205"/>
        <v/>
      </c>
      <c r="AJ108" s="26" t="str">
        <f t="shared" si="205"/>
        <v/>
      </c>
      <c r="AK108" s="26" t="str">
        <f t="shared" si="205"/>
        <v/>
      </c>
      <c r="AL108" s="26" t="str">
        <f t="shared" si="205"/>
        <v/>
      </c>
      <c r="AM108" s="26" t="str">
        <f t="shared" si="205"/>
        <v/>
      </c>
      <c r="AN108" s="26" t="str">
        <f t="shared" si="205"/>
        <v/>
      </c>
      <c r="AO108" s="26" t="str">
        <f t="shared" si="205"/>
        <v/>
      </c>
      <c r="AP108" s="26" t="str">
        <f t="shared" ref="AP108" si="206">IF(AP101="","",AO101+AO102-AP101)</f>
        <v/>
      </c>
      <c r="AQ108" s="26" t="str">
        <f t="shared" ref="AQ108:AR108" si="207">IF(AQ101="","",AP101+AP102-AQ101)</f>
        <v/>
      </c>
      <c r="AR108" s="26" t="str">
        <f t="shared" si="207"/>
        <v/>
      </c>
    </row>
    <row r="109" spans="1:44" s="1" customFormat="1">
      <c r="A109" s="7">
        <f>SUM(C109:AS109)</f>
        <v>25500</v>
      </c>
      <c r="B109" s="27" t="s">
        <v>18</v>
      </c>
      <c r="C109" s="65">
        <v>0</v>
      </c>
      <c r="D109" s="26">
        <f t="shared" ref="D109:AO109" si="208">IF(D99="","",D108*D103)</f>
        <v>0</v>
      </c>
      <c r="E109" s="26">
        <f t="shared" si="208"/>
        <v>0</v>
      </c>
      <c r="F109" s="26">
        <f t="shared" si="208"/>
        <v>3000</v>
      </c>
      <c r="G109" s="122">
        <f t="shared" si="208"/>
        <v>0</v>
      </c>
      <c r="H109" s="26">
        <f t="shared" si="208"/>
        <v>0</v>
      </c>
      <c r="I109" s="26">
        <f t="shared" si="208"/>
        <v>6000</v>
      </c>
      <c r="J109" s="122">
        <f t="shared" si="208"/>
        <v>0</v>
      </c>
      <c r="K109" s="26">
        <f t="shared" si="208"/>
        <v>0</v>
      </c>
      <c r="L109" s="26">
        <f t="shared" si="208"/>
        <v>0</v>
      </c>
      <c r="M109" s="26">
        <f t="shared" si="208"/>
        <v>0</v>
      </c>
      <c r="N109" s="26">
        <f t="shared" si="208"/>
        <v>0</v>
      </c>
      <c r="O109" s="26">
        <f t="shared" si="208"/>
        <v>4500</v>
      </c>
      <c r="P109" s="122">
        <f t="shared" si="208"/>
        <v>0</v>
      </c>
      <c r="Q109" s="26">
        <f t="shared" si="208"/>
        <v>0</v>
      </c>
      <c r="R109" s="26">
        <f t="shared" si="208"/>
        <v>0</v>
      </c>
      <c r="S109" s="26">
        <f t="shared" si="208"/>
        <v>4500</v>
      </c>
      <c r="T109" s="26">
        <f t="shared" si="208"/>
        <v>0</v>
      </c>
      <c r="U109" s="26">
        <f t="shared" si="208"/>
        <v>0</v>
      </c>
      <c r="V109" s="26">
        <f>IF(V99="","",V108*V103)</f>
        <v>3000</v>
      </c>
      <c r="W109" s="26">
        <f t="shared" si="208"/>
        <v>0</v>
      </c>
      <c r="X109" s="26">
        <f t="shared" si="208"/>
        <v>0</v>
      </c>
      <c r="Y109" s="26">
        <f t="shared" si="208"/>
        <v>0</v>
      </c>
      <c r="Z109" s="26">
        <f t="shared" si="208"/>
        <v>0</v>
      </c>
      <c r="AA109" s="26">
        <f t="shared" si="208"/>
        <v>3000</v>
      </c>
      <c r="AB109" s="26">
        <f t="shared" si="208"/>
        <v>0</v>
      </c>
      <c r="AC109" s="26">
        <f t="shared" si="208"/>
        <v>0</v>
      </c>
      <c r="AD109" s="26">
        <f t="shared" si="208"/>
        <v>1500</v>
      </c>
      <c r="AE109" s="26" t="str">
        <f t="shared" si="208"/>
        <v/>
      </c>
      <c r="AF109" s="26" t="str">
        <f t="shared" si="208"/>
        <v/>
      </c>
      <c r="AG109" s="26" t="str">
        <f t="shared" si="208"/>
        <v/>
      </c>
      <c r="AH109" s="26" t="str">
        <f t="shared" si="208"/>
        <v/>
      </c>
      <c r="AI109" s="26" t="str">
        <f t="shared" si="208"/>
        <v/>
      </c>
      <c r="AJ109" s="26" t="str">
        <f t="shared" si="208"/>
        <v/>
      </c>
      <c r="AK109" s="26" t="str">
        <f t="shared" si="208"/>
        <v/>
      </c>
      <c r="AL109" s="26" t="str">
        <f t="shared" si="208"/>
        <v/>
      </c>
      <c r="AM109" s="26" t="str">
        <f t="shared" si="208"/>
        <v/>
      </c>
      <c r="AN109" s="26" t="str">
        <f t="shared" si="208"/>
        <v/>
      </c>
      <c r="AO109" s="26" t="str">
        <f t="shared" si="208"/>
        <v/>
      </c>
      <c r="AP109" s="26" t="str">
        <f t="shared" ref="AP109:AR109" si="209">IF(AP99="","",AP108*AP103)</f>
        <v/>
      </c>
      <c r="AQ109" s="26" t="str">
        <f t="shared" si="209"/>
        <v/>
      </c>
      <c r="AR109" s="26" t="str">
        <f t="shared" si="209"/>
        <v/>
      </c>
    </row>
    <row r="110" spans="1:44" s="1" customFormat="1" ht="12" thickBot="1">
      <c r="A110" s="4">
        <f>IF(A109="","",A109/(A106*100))</f>
        <v>8.4830339321357279E-2</v>
      </c>
      <c r="B110" s="24" t="s">
        <v>20</v>
      </c>
      <c r="C110" s="67" t="s">
        <v>21</v>
      </c>
      <c r="D110" s="23" t="str">
        <f t="shared" ref="D110:AO110" si="210">IF(D109="","",IF(D109=0,"",D109/(D106*100)))</f>
        <v/>
      </c>
      <c r="E110" s="23" t="str">
        <f t="shared" si="210"/>
        <v/>
      </c>
      <c r="F110" s="23">
        <f t="shared" si="210"/>
        <v>9.0909090909090912E-2</v>
      </c>
      <c r="G110" s="124" t="str">
        <f t="shared" si="210"/>
        <v/>
      </c>
      <c r="H110" s="23" t="str">
        <f t="shared" si="210"/>
        <v/>
      </c>
      <c r="I110" s="23">
        <f t="shared" si="210"/>
        <v>0.17804154302670624</v>
      </c>
      <c r="J110" s="124" t="str">
        <f t="shared" si="210"/>
        <v/>
      </c>
      <c r="K110" s="23" t="str">
        <f t="shared" si="210"/>
        <v/>
      </c>
      <c r="L110" s="23" t="str">
        <f t="shared" si="210"/>
        <v/>
      </c>
      <c r="M110" s="23" t="str">
        <f t="shared" si="210"/>
        <v/>
      </c>
      <c r="N110" s="23" t="str">
        <f t="shared" si="210"/>
        <v/>
      </c>
      <c r="O110" s="23">
        <f t="shared" si="210"/>
        <v>8.5877862595419852E-2</v>
      </c>
      <c r="P110" s="124" t="str">
        <f t="shared" si="210"/>
        <v/>
      </c>
      <c r="Q110" s="23" t="str">
        <f t="shared" si="210"/>
        <v/>
      </c>
      <c r="R110" s="23" t="str">
        <f t="shared" si="210"/>
        <v/>
      </c>
      <c r="S110" s="23">
        <f>IF(S109="","",IF(S109=0,"",S109/(S106*100)))</f>
        <v>0.10638297872340426</v>
      </c>
      <c r="T110" s="23" t="str">
        <f t="shared" si="210"/>
        <v/>
      </c>
      <c r="U110" s="23" t="str">
        <f t="shared" si="210"/>
        <v/>
      </c>
      <c r="V110" s="23">
        <f>IF(V109="","",IF(V109=0,"",V109/(V106*100)))</f>
        <v>0.06</v>
      </c>
      <c r="W110" s="23" t="str">
        <f t="shared" si="210"/>
        <v/>
      </c>
      <c r="X110" s="23" t="str">
        <f t="shared" si="210"/>
        <v/>
      </c>
      <c r="Y110" s="23" t="str">
        <f t="shared" si="210"/>
        <v/>
      </c>
      <c r="Z110" s="23" t="str">
        <f t="shared" si="210"/>
        <v/>
      </c>
      <c r="AA110" s="23">
        <f t="shared" si="210"/>
        <v>8.4985835694050993E-2</v>
      </c>
      <c r="AB110" s="23" t="str">
        <f t="shared" si="210"/>
        <v/>
      </c>
      <c r="AC110" s="23" t="str">
        <f t="shared" si="210"/>
        <v/>
      </c>
      <c r="AD110" s="23">
        <f>IF(AD109="","",IF(AD109=0,"",AD109/(AD106*100)))</f>
        <v>4.261363636363636E-2</v>
      </c>
      <c r="AE110" s="23" t="str">
        <f t="shared" si="210"/>
        <v/>
      </c>
      <c r="AF110" s="23" t="str">
        <f t="shared" si="210"/>
        <v/>
      </c>
      <c r="AG110" s="23" t="str">
        <f t="shared" si="210"/>
        <v/>
      </c>
      <c r="AH110" s="23" t="str">
        <f t="shared" si="210"/>
        <v/>
      </c>
      <c r="AI110" s="23" t="str">
        <f t="shared" si="210"/>
        <v/>
      </c>
      <c r="AJ110" s="23" t="str">
        <f t="shared" si="210"/>
        <v/>
      </c>
      <c r="AK110" s="23" t="str">
        <f t="shared" si="210"/>
        <v/>
      </c>
      <c r="AL110" s="23" t="str">
        <f t="shared" si="210"/>
        <v/>
      </c>
      <c r="AM110" s="23" t="str">
        <f t="shared" si="210"/>
        <v/>
      </c>
      <c r="AN110" s="23" t="str">
        <f t="shared" si="210"/>
        <v/>
      </c>
      <c r="AO110" s="23" t="str">
        <f t="shared" si="210"/>
        <v/>
      </c>
      <c r="AP110" s="23" t="str">
        <f t="shared" ref="AP110:AR110" si="211">IF(AP109="","",IF(AP109=0,"",AP109/(AP106*100)))</f>
        <v/>
      </c>
      <c r="AQ110" s="23" t="str">
        <f t="shared" si="211"/>
        <v/>
      </c>
      <c r="AR110" s="23" t="str">
        <f t="shared" si="211"/>
        <v/>
      </c>
    </row>
    <row r="111" spans="1:44" s="1" customFormat="1">
      <c r="A111" s="40" t="s">
        <v>180</v>
      </c>
      <c r="B111" s="39" t="s">
        <v>2</v>
      </c>
      <c r="C111" s="66">
        <v>31946</v>
      </c>
      <c r="D111" s="38">
        <f>IF(D$3="","",C111)</f>
        <v>31946</v>
      </c>
      <c r="E111" s="38">
        <f>IF(E$3="","",D111)</f>
        <v>31946</v>
      </c>
      <c r="F111" s="38">
        <v>31975</v>
      </c>
      <c r="G111" s="121">
        <f>IF(G$3="","",F111)</f>
        <v>31975</v>
      </c>
      <c r="H111" s="38">
        <f>IF(H$3="","",G111)</f>
        <v>31975</v>
      </c>
      <c r="I111" s="38">
        <v>32005</v>
      </c>
      <c r="J111" s="121">
        <f>IF(J$3="","",I111)</f>
        <v>32005</v>
      </c>
      <c r="K111" s="38">
        <f>IF(K$3="","",J111)</f>
        <v>32005</v>
      </c>
      <c r="L111" s="38">
        <v>32017</v>
      </c>
      <c r="M111" s="38">
        <f>IF(M$3="","",L111)</f>
        <v>32017</v>
      </c>
      <c r="N111" s="38">
        <f>IF(N$3="","",M111)</f>
        <v>32017</v>
      </c>
      <c r="O111" s="38">
        <v>32055</v>
      </c>
      <c r="P111" s="121">
        <f t="shared" ref="P111:AO111" si="212">IF(P$3="","",O111)</f>
        <v>32055</v>
      </c>
      <c r="Q111" s="38">
        <f t="shared" si="212"/>
        <v>32055</v>
      </c>
      <c r="R111" s="38">
        <f t="shared" si="212"/>
        <v>32055</v>
      </c>
      <c r="S111" s="38">
        <v>32069</v>
      </c>
      <c r="T111" s="38">
        <f t="shared" si="212"/>
        <v>32069</v>
      </c>
      <c r="U111" s="38">
        <f t="shared" si="212"/>
        <v>32069</v>
      </c>
      <c r="V111" s="38">
        <v>32101</v>
      </c>
      <c r="W111" s="38">
        <f t="shared" si="212"/>
        <v>32101</v>
      </c>
      <c r="X111" s="38">
        <f t="shared" si="212"/>
        <v>32101</v>
      </c>
      <c r="Y111" s="38">
        <f t="shared" si="212"/>
        <v>32101</v>
      </c>
      <c r="Z111" s="38">
        <f t="shared" si="212"/>
        <v>32101</v>
      </c>
      <c r="AA111" s="38">
        <v>32138</v>
      </c>
      <c r="AB111" s="38">
        <f t="shared" si="212"/>
        <v>32138</v>
      </c>
      <c r="AC111" s="38">
        <f t="shared" si="212"/>
        <v>32138</v>
      </c>
      <c r="AD111" s="38">
        <v>32161</v>
      </c>
      <c r="AE111" s="38" t="str">
        <f t="shared" si="212"/>
        <v/>
      </c>
      <c r="AF111" s="38" t="str">
        <f t="shared" si="212"/>
        <v/>
      </c>
      <c r="AG111" s="38" t="str">
        <f t="shared" si="212"/>
        <v/>
      </c>
      <c r="AH111" s="38" t="str">
        <f t="shared" si="212"/>
        <v/>
      </c>
      <c r="AI111" s="38" t="str">
        <f t="shared" si="212"/>
        <v/>
      </c>
      <c r="AJ111" s="38" t="str">
        <f t="shared" si="212"/>
        <v/>
      </c>
      <c r="AK111" s="38" t="str">
        <f t="shared" si="212"/>
        <v/>
      </c>
      <c r="AL111" s="38" t="str">
        <f t="shared" si="212"/>
        <v/>
      </c>
      <c r="AM111" s="38" t="str">
        <f t="shared" si="212"/>
        <v/>
      </c>
      <c r="AN111" s="38" t="str">
        <f t="shared" si="212"/>
        <v/>
      </c>
      <c r="AO111" s="38" t="str">
        <f t="shared" si="212"/>
        <v/>
      </c>
      <c r="AP111" s="38" t="str">
        <f t="shared" ref="AP111:AR111" si="213">IF(AP$3="","",AO111)</f>
        <v/>
      </c>
      <c r="AQ111" s="38" t="str">
        <f t="shared" si="213"/>
        <v/>
      </c>
      <c r="AR111" s="38" t="str">
        <f t="shared" si="213"/>
        <v/>
      </c>
    </row>
    <row r="112" spans="1:44" s="1" customFormat="1">
      <c r="A112" s="37" t="s">
        <v>191</v>
      </c>
      <c r="B112" s="30" t="s">
        <v>4</v>
      </c>
      <c r="C112" s="65">
        <v>4926</v>
      </c>
      <c r="D112" s="29">
        <f>IF(D$3="","",C112)</f>
        <v>4926</v>
      </c>
      <c r="E112" s="29">
        <f>IF(E$3="","",D112)</f>
        <v>4926</v>
      </c>
      <c r="F112" s="29">
        <v>4935</v>
      </c>
      <c r="G112" s="122">
        <f>IF(G$3="","",F112)</f>
        <v>4935</v>
      </c>
      <c r="H112" s="29">
        <f>IF(H$3="","",G112)</f>
        <v>4935</v>
      </c>
      <c r="I112" s="29">
        <v>4936</v>
      </c>
      <c r="J112" s="122">
        <f>IF(J$3="","",I112)</f>
        <v>4936</v>
      </c>
      <c r="K112" s="29">
        <f>IF(K$3="","",J112)</f>
        <v>4936</v>
      </c>
      <c r="L112" s="29">
        <v>4939</v>
      </c>
      <c r="M112" s="29">
        <f>IF(M$3="","",L112)</f>
        <v>4939</v>
      </c>
      <c r="N112" s="29">
        <f>IF(N$3="","",M112)</f>
        <v>4939</v>
      </c>
      <c r="O112" s="29">
        <v>4942</v>
      </c>
      <c r="P112" s="122">
        <f t="shared" ref="P112:AO112" si="214">IF(P$3="","",O112)</f>
        <v>4942</v>
      </c>
      <c r="Q112" s="29">
        <f t="shared" si="214"/>
        <v>4942</v>
      </c>
      <c r="R112" s="29">
        <f t="shared" si="214"/>
        <v>4942</v>
      </c>
      <c r="S112" s="29">
        <v>4945</v>
      </c>
      <c r="T112" s="29">
        <f t="shared" si="214"/>
        <v>4945</v>
      </c>
      <c r="U112" s="29">
        <f t="shared" si="214"/>
        <v>4945</v>
      </c>
      <c r="V112" s="29">
        <v>4951</v>
      </c>
      <c r="W112" s="29">
        <f t="shared" si="214"/>
        <v>4951</v>
      </c>
      <c r="X112" s="29">
        <f t="shared" si="214"/>
        <v>4951</v>
      </c>
      <c r="Y112" s="29">
        <f t="shared" si="214"/>
        <v>4951</v>
      </c>
      <c r="Z112" s="29">
        <f t="shared" si="214"/>
        <v>4951</v>
      </c>
      <c r="AA112" s="29">
        <v>4958</v>
      </c>
      <c r="AB112" s="29">
        <f t="shared" si="214"/>
        <v>4958</v>
      </c>
      <c r="AC112" s="29">
        <f t="shared" si="214"/>
        <v>4958</v>
      </c>
      <c r="AD112" s="29">
        <v>4965</v>
      </c>
      <c r="AE112" s="29" t="str">
        <f t="shared" si="214"/>
        <v/>
      </c>
      <c r="AF112" s="29" t="str">
        <f t="shared" si="214"/>
        <v/>
      </c>
      <c r="AG112" s="29" t="str">
        <f t="shared" si="214"/>
        <v/>
      </c>
      <c r="AH112" s="29" t="str">
        <f t="shared" si="214"/>
        <v/>
      </c>
      <c r="AI112" s="29" t="str">
        <f t="shared" si="214"/>
        <v/>
      </c>
      <c r="AJ112" s="29" t="str">
        <f t="shared" si="214"/>
        <v/>
      </c>
      <c r="AK112" s="29" t="str">
        <f t="shared" si="214"/>
        <v/>
      </c>
      <c r="AL112" s="29" t="str">
        <f t="shared" si="214"/>
        <v/>
      </c>
      <c r="AM112" s="29" t="str">
        <f t="shared" si="214"/>
        <v/>
      </c>
      <c r="AN112" s="29" t="str">
        <f t="shared" si="214"/>
        <v/>
      </c>
      <c r="AO112" s="29" t="str">
        <f t="shared" si="214"/>
        <v/>
      </c>
      <c r="AP112" s="29" t="str">
        <f t="shared" ref="AP112:AR112" si="215">IF(AP$3="","",AO112)</f>
        <v/>
      </c>
      <c r="AQ112" s="29" t="str">
        <f t="shared" si="215"/>
        <v/>
      </c>
      <c r="AR112" s="29" t="str">
        <f t="shared" si="215"/>
        <v/>
      </c>
    </row>
    <row r="113" spans="1:44" s="1" customFormat="1">
      <c r="A113" s="41">
        <v>1</v>
      </c>
      <c r="B113" s="30" t="s">
        <v>5</v>
      </c>
      <c r="C113" s="65">
        <v>70</v>
      </c>
      <c r="D113" s="29">
        <f t="shared" ref="D113:AO113" si="216">IF(D111="","",(C113+C114))</f>
        <v>70</v>
      </c>
      <c r="E113" s="29">
        <f t="shared" si="216"/>
        <v>70</v>
      </c>
      <c r="F113" s="29">
        <f t="shared" si="216"/>
        <v>70</v>
      </c>
      <c r="G113" s="122">
        <f t="shared" si="216"/>
        <v>70</v>
      </c>
      <c r="H113" s="29">
        <f t="shared" si="216"/>
        <v>70</v>
      </c>
      <c r="I113" s="29">
        <f t="shared" si="216"/>
        <v>70</v>
      </c>
      <c r="J113" s="122">
        <f t="shared" si="216"/>
        <v>70</v>
      </c>
      <c r="K113" s="29">
        <f t="shared" si="216"/>
        <v>70</v>
      </c>
      <c r="L113" s="29">
        <f t="shared" si="216"/>
        <v>70</v>
      </c>
      <c r="M113" s="29">
        <f t="shared" si="216"/>
        <v>70</v>
      </c>
      <c r="N113" s="29">
        <f t="shared" si="216"/>
        <v>70</v>
      </c>
      <c r="O113" s="29">
        <f t="shared" si="216"/>
        <v>70</v>
      </c>
      <c r="P113" s="122">
        <f t="shared" si="216"/>
        <v>70</v>
      </c>
      <c r="Q113" s="29">
        <f t="shared" si="216"/>
        <v>70</v>
      </c>
      <c r="R113" s="29">
        <f t="shared" si="216"/>
        <v>70</v>
      </c>
      <c r="S113" s="29">
        <f t="shared" si="216"/>
        <v>70</v>
      </c>
      <c r="T113" s="29">
        <f t="shared" si="216"/>
        <v>70</v>
      </c>
      <c r="U113" s="29">
        <f t="shared" si="216"/>
        <v>70</v>
      </c>
      <c r="V113" s="29">
        <f>IF(V111="","",(U113+U114))</f>
        <v>70</v>
      </c>
      <c r="W113" s="29">
        <f t="shared" si="216"/>
        <v>70</v>
      </c>
      <c r="X113" s="29">
        <f t="shared" si="216"/>
        <v>70</v>
      </c>
      <c r="Y113" s="29">
        <f t="shared" si="216"/>
        <v>70</v>
      </c>
      <c r="Z113" s="29">
        <f t="shared" si="216"/>
        <v>70</v>
      </c>
      <c r="AA113" s="29">
        <f t="shared" si="216"/>
        <v>70</v>
      </c>
      <c r="AB113" s="29">
        <f t="shared" si="216"/>
        <v>70</v>
      </c>
      <c r="AC113" s="29">
        <f t="shared" si="216"/>
        <v>70</v>
      </c>
      <c r="AD113" s="29">
        <f t="shared" si="216"/>
        <v>70</v>
      </c>
      <c r="AE113" s="29" t="str">
        <f t="shared" si="216"/>
        <v/>
      </c>
      <c r="AF113" s="29" t="str">
        <f t="shared" si="216"/>
        <v/>
      </c>
      <c r="AG113" s="29" t="str">
        <f t="shared" si="216"/>
        <v/>
      </c>
      <c r="AH113" s="29" t="str">
        <f t="shared" si="216"/>
        <v/>
      </c>
      <c r="AI113" s="29" t="str">
        <f t="shared" si="216"/>
        <v/>
      </c>
      <c r="AJ113" s="29" t="str">
        <f t="shared" si="216"/>
        <v/>
      </c>
      <c r="AK113" s="29" t="str">
        <f t="shared" si="216"/>
        <v/>
      </c>
      <c r="AL113" s="29" t="str">
        <f t="shared" si="216"/>
        <v/>
      </c>
      <c r="AM113" s="29" t="str">
        <f t="shared" si="216"/>
        <v/>
      </c>
      <c r="AN113" s="29" t="str">
        <f t="shared" si="216"/>
        <v/>
      </c>
      <c r="AO113" s="29" t="str">
        <f t="shared" si="216"/>
        <v/>
      </c>
      <c r="AP113" s="29" t="str">
        <f t="shared" ref="AP113" si="217">IF(AP111="","",(AO113+AO114))</f>
        <v/>
      </c>
      <c r="AQ113" s="29" t="str">
        <f t="shared" ref="AQ113:AR113" si="218">IF(AQ111="","",(AP113+AP114))</f>
        <v/>
      </c>
      <c r="AR113" s="29" t="str">
        <f t="shared" si="218"/>
        <v/>
      </c>
    </row>
    <row r="114" spans="1:44" s="1" customFormat="1">
      <c r="A114" s="14"/>
      <c r="B114" s="30" t="s">
        <v>7</v>
      </c>
      <c r="C114" s="65"/>
      <c r="D114" s="29"/>
      <c r="E114" s="29"/>
      <c r="F114" s="29"/>
      <c r="G114" s="122"/>
      <c r="H114" s="29"/>
      <c r="I114" s="29"/>
      <c r="J114" s="122"/>
      <c r="K114" s="29"/>
      <c r="L114" s="29"/>
      <c r="M114" s="29"/>
      <c r="N114" s="29"/>
      <c r="O114" s="29"/>
      <c r="P114" s="122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</row>
    <row r="115" spans="1:44" s="1" customFormat="1">
      <c r="A115" s="7"/>
      <c r="B115" s="30" t="s">
        <v>8</v>
      </c>
      <c r="C115" s="64">
        <v>450</v>
      </c>
      <c r="D115" s="35">
        <f t="shared" ref="D115:AO115" si="219">IF(D111="","",C115)</f>
        <v>450</v>
      </c>
      <c r="E115" s="35">
        <f t="shared" si="219"/>
        <v>450</v>
      </c>
      <c r="F115" s="35">
        <f t="shared" si="219"/>
        <v>450</v>
      </c>
      <c r="G115" s="383">
        <f t="shared" si="219"/>
        <v>450</v>
      </c>
      <c r="H115" s="35">
        <f t="shared" si="219"/>
        <v>450</v>
      </c>
      <c r="I115" s="35">
        <f t="shared" si="219"/>
        <v>450</v>
      </c>
      <c r="J115" s="383">
        <f t="shared" si="219"/>
        <v>450</v>
      </c>
      <c r="K115" s="35">
        <f t="shared" si="219"/>
        <v>450</v>
      </c>
      <c r="L115" s="35">
        <f t="shared" si="219"/>
        <v>450</v>
      </c>
      <c r="M115" s="35">
        <f t="shared" si="219"/>
        <v>450</v>
      </c>
      <c r="N115" s="35">
        <f t="shared" si="219"/>
        <v>450</v>
      </c>
      <c r="O115" s="35">
        <f t="shared" si="219"/>
        <v>450</v>
      </c>
      <c r="P115" s="383">
        <f t="shared" si="219"/>
        <v>450</v>
      </c>
      <c r="Q115" s="35">
        <f t="shared" si="219"/>
        <v>450</v>
      </c>
      <c r="R115" s="35">
        <f t="shared" si="219"/>
        <v>450</v>
      </c>
      <c r="S115" s="35">
        <f t="shared" si="219"/>
        <v>450</v>
      </c>
      <c r="T115" s="35">
        <f t="shared" si="219"/>
        <v>450</v>
      </c>
      <c r="U115" s="35">
        <f t="shared" si="219"/>
        <v>450</v>
      </c>
      <c r="V115" s="35">
        <f>IF(V111="","",U115)</f>
        <v>450</v>
      </c>
      <c r="W115" s="35">
        <f t="shared" si="219"/>
        <v>450</v>
      </c>
      <c r="X115" s="35">
        <f t="shared" si="219"/>
        <v>450</v>
      </c>
      <c r="Y115" s="35">
        <f t="shared" si="219"/>
        <v>450</v>
      </c>
      <c r="Z115" s="35">
        <f t="shared" si="219"/>
        <v>450</v>
      </c>
      <c r="AA115" s="35">
        <f t="shared" si="219"/>
        <v>450</v>
      </c>
      <c r="AB115" s="35">
        <f t="shared" si="219"/>
        <v>450</v>
      </c>
      <c r="AC115" s="35">
        <f t="shared" si="219"/>
        <v>450</v>
      </c>
      <c r="AD115" s="35">
        <f t="shared" si="219"/>
        <v>450</v>
      </c>
      <c r="AE115" s="35" t="str">
        <f t="shared" si="219"/>
        <v/>
      </c>
      <c r="AF115" s="35" t="str">
        <f t="shared" si="219"/>
        <v/>
      </c>
      <c r="AG115" s="35" t="str">
        <f t="shared" si="219"/>
        <v/>
      </c>
      <c r="AH115" s="35" t="str">
        <f t="shared" si="219"/>
        <v/>
      </c>
      <c r="AI115" s="35" t="str">
        <f t="shared" si="219"/>
        <v/>
      </c>
      <c r="AJ115" s="35" t="str">
        <f t="shared" si="219"/>
        <v/>
      </c>
      <c r="AK115" s="35" t="str">
        <f t="shared" si="219"/>
        <v/>
      </c>
      <c r="AL115" s="35" t="str">
        <f t="shared" si="219"/>
        <v/>
      </c>
      <c r="AM115" s="35" t="str">
        <f t="shared" si="219"/>
        <v/>
      </c>
      <c r="AN115" s="35" t="str">
        <f t="shared" si="219"/>
        <v/>
      </c>
      <c r="AO115" s="35" t="str">
        <f t="shared" si="219"/>
        <v/>
      </c>
      <c r="AP115" s="35" t="str">
        <f t="shared" ref="AP115" si="220">IF(AP111="","",AO115)</f>
        <v/>
      </c>
      <c r="AQ115" s="35" t="str">
        <f t="shared" ref="AQ115:AR115" si="221">IF(AQ111="","",AP115)</f>
        <v/>
      </c>
      <c r="AR115" s="35" t="str">
        <f t="shared" si="221"/>
        <v/>
      </c>
    </row>
    <row r="116" spans="1:44" s="11" customFormat="1">
      <c r="A116" s="14" t="s">
        <v>9</v>
      </c>
      <c r="B116" s="33" t="s">
        <v>10</v>
      </c>
      <c r="C116" s="63" t="s">
        <v>192</v>
      </c>
      <c r="D116" s="32" t="str">
        <f t="shared" ref="D116:AO116" si="222">IF(D111="","",C116)</f>
        <v>じゃがりこ財布</v>
      </c>
      <c r="E116" s="32" t="str">
        <f t="shared" si="222"/>
        <v>じゃがりこ財布</v>
      </c>
      <c r="F116" s="32" t="str">
        <f t="shared" si="222"/>
        <v>じゃがりこ財布</v>
      </c>
      <c r="G116" s="123" t="str">
        <f t="shared" si="222"/>
        <v>じゃがりこ財布</v>
      </c>
      <c r="H116" s="32" t="str">
        <f t="shared" si="222"/>
        <v>じゃがりこ財布</v>
      </c>
      <c r="I116" s="32" t="str">
        <f t="shared" si="222"/>
        <v>じゃがりこ財布</v>
      </c>
      <c r="J116" s="123" t="str">
        <f t="shared" si="222"/>
        <v>じゃがりこ財布</v>
      </c>
      <c r="K116" s="32" t="str">
        <f t="shared" si="222"/>
        <v>じゃがりこ財布</v>
      </c>
      <c r="L116" s="32" t="str">
        <f t="shared" si="222"/>
        <v>じゃがりこ財布</v>
      </c>
      <c r="M116" s="32" t="str">
        <f t="shared" si="222"/>
        <v>じゃがりこ財布</v>
      </c>
      <c r="N116" s="32" t="str">
        <f t="shared" si="222"/>
        <v>じゃがりこ財布</v>
      </c>
      <c r="O116" s="32" t="str">
        <f t="shared" si="222"/>
        <v>じゃがりこ財布</v>
      </c>
      <c r="P116" s="123" t="str">
        <f t="shared" si="222"/>
        <v>じゃがりこ財布</v>
      </c>
      <c r="Q116" s="32" t="str">
        <f t="shared" si="222"/>
        <v>じゃがりこ財布</v>
      </c>
      <c r="R116" s="32" t="str">
        <f t="shared" si="222"/>
        <v>じゃがりこ財布</v>
      </c>
      <c r="S116" s="32" t="str">
        <f t="shared" si="222"/>
        <v>じゃがりこ財布</v>
      </c>
      <c r="T116" s="32" t="str">
        <f t="shared" si="222"/>
        <v>じゃがりこ財布</v>
      </c>
      <c r="U116" s="32" t="str">
        <f t="shared" si="222"/>
        <v>じゃがりこ財布</v>
      </c>
      <c r="V116" s="32" t="str">
        <f>IF(V111="","",U116)</f>
        <v>じゃがりこ財布</v>
      </c>
      <c r="W116" s="32" t="str">
        <f t="shared" si="222"/>
        <v>じゃがりこ財布</v>
      </c>
      <c r="X116" s="32" t="str">
        <f t="shared" si="222"/>
        <v>じゃがりこ財布</v>
      </c>
      <c r="Y116" s="32" t="str">
        <f t="shared" si="222"/>
        <v>じゃがりこ財布</v>
      </c>
      <c r="Z116" s="32" t="str">
        <f t="shared" si="222"/>
        <v>じゃがりこ財布</v>
      </c>
      <c r="AA116" s="32" t="str">
        <f t="shared" si="222"/>
        <v>じゃがりこ財布</v>
      </c>
      <c r="AB116" s="32" t="str">
        <f t="shared" si="222"/>
        <v>じゃがりこ財布</v>
      </c>
      <c r="AC116" s="32" t="str">
        <f t="shared" si="222"/>
        <v>じゃがりこ財布</v>
      </c>
      <c r="AD116" s="32" t="str">
        <f t="shared" si="222"/>
        <v>じゃがりこ財布</v>
      </c>
      <c r="AE116" s="32" t="str">
        <f t="shared" si="222"/>
        <v/>
      </c>
      <c r="AF116" s="32" t="str">
        <f t="shared" si="222"/>
        <v/>
      </c>
      <c r="AG116" s="32" t="str">
        <f t="shared" si="222"/>
        <v/>
      </c>
      <c r="AH116" s="32" t="str">
        <f t="shared" si="222"/>
        <v/>
      </c>
      <c r="AI116" s="32" t="str">
        <f t="shared" si="222"/>
        <v/>
      </c>
      <c r="AJ116" s="32" t="str">
        <f t="shared" si="222"/>
        <v/>
      </c>
      <c r="AK116" s="32" t="str">
        <f t="shared" si="222"/>
        <v/>
      </c>
      <c r="AL116" s="32" t="str">
        <f t="shared" si="222"/>
        <v/>
      </c>
      <c r="AM116" s="32" t="str">
        <f t="shared" si="222"/>
        <v/>
      </c>
      <c r="AN116" s="32" t="str">
        <f t="shared" si="222"/>
        <v/>
      </c>
      <c r="AO116" s="32" t="str">
        <f t="shared" si="222"/>
        <v/>
      </c>
      <c r="AP116" s="32" t="str">
        <f t="shared" ref="AP116" si="223">IF(AP111="","",AO116)</f>
        <v/>
      </c>
      <c r="AQ116" s="32" t="str">
        <f t="shared" ref="AQ116:AR116" si="224">IF(AQ111="","",AP116)</f>
        <v/>
      </c>
      <c r="AR116" s="32" t="str">
        <f t="shared" si="224"/>
        <v/>
      </c>
    </row>
    <row r="117" spans="1:44" s="1" customFormat="1">
      <c r="A117" s="7">
        <f>AVERAGE(C118:AS118)*30*100</f>
        <v>23035.714285714286</v>
      </c>
      <c r="B117" s="30" t="s">
        <v>14</v>
      </c>
      <c r="C117" s="65"/>
      <c r="D117" s="29"/>
      <c r="E117" s="29"/>
      <c r="F117" s="29"/>
      <c r="G117" s="122"/>
      <c r="H117" s="29"/>
      <c r="I117" s="29"/>
      <c r="J117" s="122"/>
      <c r="K117" s="29"/>
      <c r="L117" s="29"/>
      <c r="M117" s="29"/>
      <c r="N117" s="29"/>
      <c r="O117" s="29"/>
      <c r="P117" s="122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</row>
    <row r="118" spans="1:44" s="1" customFormat="1">
      <c r="A118" s="7">
        <f>SUM(C118:AS118)</f>
        <v>215</v>
      </c>
      <c r="B118" s="27" t="s">
        <v>15</v>
      </c>
      <c r="C118" s="65">
        <v>0</v>
      </c>
      <c r="D118" s="26">
        <f t="shared" ref="D118:AO118" si="225">IF(D111="","",D111-C111)</f>
        <v>0</v>
      </c>
      <c r="E118" s="26">
        <f t="shared" si="225"/>
        <v>0</v>
      </c>
      <c r="F118" s="26">
        <f t="shared" si="225"/>
        <v>29</v>
      </c>
      <c r="G118" s="122">
        <f t="shared" si="225"/>
        <v>0</v>
      </c>
      <c r="H118" s="26">
        <f t="shared" si="225"/>
        <v>0</v>
      </c>
      <c r="I118" s="26">
        <f t="shared" si="225"/>
        <v>30</v>
      </c>
      <c r="J118" s="122">
        <f t="shared" si="225"/>
        <v>0</v>
      </c>
      <c r="K118" s="26">
        <f t="shared" si="225"/>
        <v>0</v>
      </c>
      <c r="L118" s="26">
        <f t="shared" si="225"/>
        <v>12</v>
      </c>
      <c r="M118" s="26">
        <f t="shared" si="225"/>
        <v>0</v>
      </c>
      <c r="N118" s="26">
        <f t="shared" si="225"/>
        <v>0</v>
      </c>
      <c r="O118" s="26">
        <f t="shared" si="225"/>
        <v>38</v>
      </c>
      <c r="P118" s="122">
        <f t="shared" si="225"/>
        <v>0</v>
      </c>
      <c r="Q118" s="26">
        <f t="shared" si="225"/>
        <v>0</v>
      </c>
      <c r="R118" s="26">
        <f t="shared" si="225"/>
        <v>0</v>
      </c>
      <c r="S118" s="26">
        <f t="shared" si="225"/>
        <v>14</v>
      </c>
      <c r="T118" s="26">
        <f t="shared" si="225"/>
        <v>0</v>
      </c>
      <c r="U118" s="26">
        <f t="shared" si="225"/>
        <v>0</v>
      </c>
      <c r="V118" s="26">
        <f>IF(V111="","",V111-U111)</f>
        <v>32</v>
      </c>
      <c r="W118" s="26">
        <f t="shared" si="225"/>
        <v>0</v>
      </c>
      <c r="X118" s="26">
        <f t="shared" si="225"/>
        <v>0</v>
      </c>
      <c r="Y118" s="26">
        <f t="shared" si="225"/>
        <v>0</v>
      </c>
      <c r="Z118" s="26">
        <f t="shared" si="225"/>
        <v>0</v>
      </c>
      <c r="AA118" s="26">
        <f t="shared" si="225"/>
        <v>37</v>
      </c>
      <c r="AB118" s="26">
        <f t="shared" si="225"/>
        <v>0</v>
      </c>
      <c r="AC118" s="26">
        <f t="shared" si="225"/>
        <v>0</v>
      </c>
      <c r="AD118" s="26">
        <f t="shared" si="225"/>
        <v>23</v>
      </c>
      <c r="AE118" s="26" t="str">
        <f t="shared" si="225"/>
        <v/>
      </c>
      <c r="AF118" s="26" t="str">
        <f t="shared" si="225"/>
        <v/>
      </c>
      <c r="AG118" s="26" t="str">
        <f t="shared" si="225"/>
        <v/>
      </c>
      <c r="AH118" s="26" t="str">
        <f t="shared" si="225"/>
        <v/>
      </c>
      <c r="AI118" s="26" t="str">
        <f t="shared" si="225"/>
        <v/>
      </c>
      <c r="AJ118" s="26" t="str">
        <f t="shared" si="225"/>
        <v/>
      </c>
      <c r="AK118" s="26" t="str">
        <f t="shared" si="225"/>
        <v/>
      </c>
      <c r="AL118" s="26" t="str">
        <f t="shared" si="225"/>
        <v/>
      </c>
      <c r="AM118" s="26" t="str">
        <f t="shared" si="225"/>
        <v/>
      </c>
      <c r="AN118" s="26" t="str">
        <f t="shared" si="225"/>
        <v/>
      </c>
      <c r="AO118" s="26" t="str">
        <f t="shared" si="225"/>
        <v/>
      </c>
      <c r="AP118" s="26" t="str">
        <f t="shared" ref="AP118:AP119" si="226">IF(AP111="","",AP111-AO111)</f>
        <v/>
      </c>
      <c r="AQ118" s="26" t="str">
        <f t="shared" ref="AQ118:AR119" si="227">IF(AQ111="","",AQ111-AP111)</f>
        <v/>
      </c>
      <c r="AR118" s="26" t="str">
        <f t="shared" si="227"/>
        <v/>
      </c>
    </row>
    <row r="119" spans="1:44" s="1" customFormat="1">
      <c r="A119" s="7">
        <f>SUM(C119:AS119)</f>
        <v>39</v>
      </c>
      <c r="B119" s="27" t="s">
        <v>16</v>
      </c>
      <c r="C119" s="65">
        <v>0</v>
      </c>
      <c r="D119" s="26">
        <f t="shared" ref="D119:AO119" si="228">IF(D112="","",D112-C112)</f>
        <v>0</v>
      </c>
      <c r="E119" s="26">
        <f t="shared" si="228"/>
        <v>0</v>
      </c>
      <c r="F119" s="26">
        <f t="shared" si="228"/>
        <v>9</v>
      </c>
      <c r="G119" s="122">
        <f t="shared" si="228"/>
        <v>0</v>
      </c>
      <c r="H119" s="26">
        <f t="shared" si="228"/>
        <v>0</v>
      </c>
      <c r="I119" s="26">
        <f t="shared" si="228"/>
        <v>1</v>
      </c>
      <c r="J119" s="122">
        <f t="shared" si="228"/>
        <v>0</v>
      </c>
      <c r="K119" s="26">
        <f t="shared" si="228"/>
        <v>0</v>
      </c>
      <c r="L119" s="26">
        <f t="shared" si="228"/>
        <v>3</v>
      </c>
      <c r="M119" s="26">
        <f t="shared" si="228"/>
        <v>0</v>
      </c>
      <c r="N119" s="26">
        <f t="shared" si="228"/>
        <v>0</v>
      </c>
      <c r="O119" s="26">
        <f t="shared" si="228"/>
        <v>3</v>
      </c>
      <c r="P119" s="122">
        <f t="shared" si="228"/>
        <v>0</v>
      </c>
      <c r="Q119" s="26">
        <f t="shared" si="228"/>
        <v>0</v>
      </c>
      <c r="R119" s="26">
        <f t="shared" si="228"/>
        <v>0</v>
      </c>
      <c r="S119" s="26">
        <f t="shared" si="228"/>
        <v>3</v>
      </c>
      <c r="T119" s="26">
        <f t="shared" si="228"/>
        <v>0</v>
      </c>
      <c r="U119" s="26">
        <f t="shared" si="228"/>
        <v>0</v>
      </c>
      <c r="V119" s="26">
        <f>IF(V112="","",V112-U112)</f>
        <v>6</v>
      </c>
      <c r="W119" s="26">
        <f t="shared" si="228"/>
        <v>0</v>
      </c>
      <c r="X119" s="26">
        <f t="shared" si="228"/>
        <v>0</v>
      </c>
      <c r="Y119" s="26">
        <f t="shared" si="228"/>
        <v>0</v>
      </c>
      <c r="Z119" s="26">
        <f t="shared" si="228"/>
        <v>0</v>
      </c>
      <c r="AA119" s="26">
        <f t="shared" si="228"/>
        <v>7</v>
      </c>
      <c r="AB119" s="26">
        <f t="shared" si="228"/>
        <v>0</v>
      </c>
      <c r="AC119" s="26">
        <f t="shared" si="228"/>
        <v>0</v>
      </c>
      <c r="AD119" s="26">
        <f t="shared" si="228"/>
        <v>7</v>
      </c>
      <c r="AE119" s="26" t="str">
        <f t="shared" si="228"/>
        <v/>
      </c>
      <c r="AF119" s="26" t="str">
        <f t="shared" si="228"/>
        <v/>
      </c>
      <c r="AG119" s="26" t="str">
        <f t="shared" si="228"/>
        <v/>
      </c>
      <c r="AH119" s="26" t="str">
        <f t="shared" si="228"/>
        <v/>
      </c>
      <c r="AI119" s="26" t="str">
        <f t="shared" si="228"/>
        <v/>
      </c>
      <c r="AJ119" s="26" t="str">
        <f t="shared" si="228"/>
        <v/>
      </c>
      <c r="AK119" s="26" t="str">
        <f t="shared" si="228"/>
        <v/>
      </c>
      <c r="AL119" s="26" t="str">
        <f t="shared" si="228"/>
        <v/>
      </c>
      <c r="AM119" s="26" t="str">
        <f t="shared" si="228"/>
        <v/>
      </c>
      <c r="AN119" s="26" t="str">
        <f t="shared" si="228"/>
        <v/>
      </c>
      <c r="AO119" s="26" t="str">
        <f t="shared" si="228"/>
        <v/>
      </c>
      <c r="AP119" s="26" t="str">
        <f t="shared" si="226"/>
        <v/>
      </c>
      <c r="AQ119" s="26" t="str">
        <f t="shared" si="227"/>
        <v/>
      </c>
      <c r="AR119" s="26" t="str">
        <f t="shared" si="227"/>
        <v/>
      </c>
    </row>
    <row r="120" spans="1:44" s="1" customFormat="1">
      <c r="A120" s="7">
        <f>SUM(C120:AS120)</f>
        <v>0</v>
      </c>
      <c r="B120" s="27" t="s">
        <v>17</v>
      </c>
      <c r="C120" s="65">
        <v>0</v>
      </c>
      <c r="D120" s="26">
        <f t="shared" ref="D120:AO120" si="229">IF(D113="","",C113+C114-D113)</f>
        <v>0</v>
      </c>
      <c r="E120" s="26">
        <f t="shared" si="229"/>
        <v>0</v>
      </c>
      <c r="F120" s="26">
        <f t="shared" si="229"/>
        <v>0</v>
      </c>
      <c r="G120" s="122">
        <f t="shared" si="229"/>
        <v>0</v>
      </c>
      <c r="H120" s="26">
        <f t="shared" si="229"/>
        <v>0</v>
      </c>
      <c r="I120" s="26">
        <f t="shared" si="229"/>
        <v>0</v>
      </c>
      <c r="J120" s="122">
        <f t="shared" si="229"/>
        <v>0</v>
      </c>
      <c r="K120" s="26">
        <f t="shared" si="229"/>
        <v>0</v>
      </c>
      <c r="L120" s="26">
        <f t="shared" si="229"/>
        <v>0</v>
      </c>
      <c r="M120" s="26">
        <f t="shared" si="229"/>
        <v>0</v>
      </c>
      <c r="N120" s="26">
        <f t="shared" si="229"/>
        <v>0</v>
      </c>
      <c r="O120" s="26">
        <f t="shared" si="229"/>
        <v>0</v>
      </c>
      <c r="P120" s="122">
        <f t="shared" si="229"/>
        <v>0</v>
      </c>
      <c r="Q120" s="26">
        <f t="shared" si="229"/>
        <v>0</v>
      </c>
      <c r="R120" s="26">
        <f t="shared" si="229"/>
        <v>0</v>
      </c>
      <c r="S120" s="26">
        <f t="shared" si="229"/>
        <v>0</v>
      </c>
      <c r="T120" s="26">
        <f t="shared" si="229"/>
        <v>0</v>
      </c>
      <c r="U120" s="26">
        <f t="shared" si="229"/>
        <v>0</v>
      </c>
      <c r="V120" s="26">
        <f>IF(V113="","",U113+U114-V113)</f>
        <v>0</v>
      </c>
      <c r="W120" s="26">
        <f t="shared" si="229"/>
        <v>0</v>
      </c>
      <c r="X120" s="26">
        <f t="shared" si="229"/>
        <v>0</v>
      </c>
      <c r="Y120" s="26">
        <f t="shared" si="229"/>
        <v>0</v>
      </c>
      <c r="Z120" s="26">
        <f t="shared" si="229"/>
        <v>0</v>
      </c>
      <c r="AA120" s="26">
        <f t="shared" si="229"/>
        <v>0</v>
      </c>
      <c r="AB120" s="26">
        <f t="shared" si="229"/>
        <v>0</v>
      </c>
      <c r="AC120" s="26">
        <f t="shared" si="229"/>
        <v>0</v>
      </c>
      <c r="AD120" s="26">
        <f t="shared" si="229"/>
        <v>0</v>
      </c>
      <c r="AE120" s="26" t="str">
        <f t="shared" si="229"/>
        <v/>
      </c>
      <c r="AF120" s="26" t="str">
        <f t="shared" si="229"/>
        <v/>
      </c>
      <c r="AG120" s="26" t="str">
        <f t="shared" si="229"/>
        <v/>
      </c>
      <c r="AH120" s="26" t="str">
        <f t="shared" si="229"/>
        <v/>
      </c>
      <c r="AI120" s="26" t="str">
        <f t="shared" si="229"/>
        <v/>
      </c>
      <c r="AJ120" s="26" t="str">
        <f t="shared" si="229"/>
        <v/>
      </c>
      <c r="AK120" s="26" t="str">
        <f t="shared" si="229"/>
        <v/>
      </c>
      <c r="AL120" s="26" t="str">
        <f t="shared" si="229"/>
        <v/>
      </c>
      <c r="AM120" s="26" t="str">
        <f t="shared" si="229"/>
        <v/>
      </c>
      <c r="AN120" s="26" t="str">
        <f t="shared" si="229"/>
        <v/>
      </c>
      <c r="AO120" s="26" t="str">
        <f t="shared" si="229"/>
        <v/>
      </c>
      <c r="AP120" s="26" t="str">
        <f t="shared" ref="AP120" si="230">IF(AP113="","",AO113+AO114-AP113)</f>
        <v/>
      </c>
      <c r="AQ120" s="26" t="str">
        <f t="shared" ref="AQ120:AR120" si="231">IF(AQ113="","",AP113+AP114-AQ113)</f>
        <v/>
      </c>
      <c r="AR120" s="26" t="str">
        <f t="shared" si="231"/>
        <v/>
      </c>
    </row>
    <row r="121" spans="1:44" s="1" customFormat="1">
      <c r="A121" s="7">
        <f>SUM(C121:AS121)</f>
        <v>0</v>
      </c>
      <c r="B121" s="27" t="s">
        <v>18</v>
      </c>
      <c r="C121" s="65">
        <v>0</v>
      </c>
      <c r="D121" s="26">
        <f t="shared" ref="D121:AO121" si="232">IF(D111="","",D120*D115)</f>
        <v>0</v>
      </c>
      <c r="E121" s="26">
        <f t="shared" si="232"/>
        <v>0</v>
      </c>
      <c r="F121" s="26">
        <f t="shared" si="232"/>
        <v>0</v>
      </c>
      <c r="G121" s="122">
        <f t="shared" si="232"/>
        <v>0</v>
      </c>
      <c r="H121" s="26">
        <f t="shared" si="232"/>
        <v>0</v>
      </c>
      <c r="I121" s="26">
        <f t="shared" si="232"/>
        <v>0</v>
      </c>
      <c r="J121" s="122">
        <f t="shared" si="232"/>
        <v>0</v>
      </c>
      <c r="K121" s="26">
        <f t="shared" si="232"/>
        <v>0</v>
      </c>
      <c r="L121" s="26">
        <f t="shared" si="232"/>
        <v>0</v>
      </c>
      <c r="M121" s="26">
        <f t="shared" si="232"/>
        <v>0</v>
      </c>
      <c r="N121" s="26">
        <f t="shared" si="232"/>
        <v>0</v>
      </c>
      <c r="O121" s="26">
        <f t="shared" si="232"/>
        <v>0</v>
      </c>
      <c r="P121" s="122">
        <f t="shared" si="232"/>
        <v>0</v>
      </c>
      <c r="Q121" s="26">
        <f t="shared" si="232"/>
        <v>0</v>
      </c>
      <c r="R121" s="26">
        <f t="shared" si="232"/>
        <v>0</v>
      </c>
      <c r="S121" s="26">
        <f t="shared" si="232"/>
        <v>0</v>
      </c>
      <c r="T121" s="26">
        <f t="shared" si="232"/>
        <v>0</v>
      </c>
      <c r="U121" s="26">
        <f t="shared" si="232"/>
        <v>0</v>
      </c>
      <c r="V121" s="26">
        <f>IF(V111="","",V120*V115)</f>
        <v>0</v>
      </c>
      <c r="W121" s="26">
        <f t="shared" si="232"/>
        <v>0</v>
      </c>
      <c r="X121" s="26">
        <f t="shared" si="232"/>
        <v>0</v>
      </c>
      <c r="Y121" s="26">
        <f t="shared" si="232"/>
        <v>0</v>
      </c>
      <c r="Z121" s="26">
        <f t="shared" si="232"/>
        <v>0</v>
      </c>
      <c r="AA121" s="26">
        <f t="shared" si="232"/>
        <v>0</v>
      </c>
      <c r="AB121" s="26">
        <f t="shared" si="232"/>
        <v>0</v>
      </c>
      <c r="AC121" s="26">
        <f t="shared" si="232"/>
        <v>0</v>
      </c>
      <c r="AD121" s="26">
        <f t="shared" si="232"/>
        <v>0</v>
      </c>
      <c r="AE121" s="26" t="str">
        <f t="shared" si="232"/>
        <v/>
      </c>
      <c r="AF121" s="26" t="str">
        <f t="shared" si="232"/>
        <v/>
      </c>
      <c r="AG121" s="26" t="str">
        <f t="shared" si="232"/>
        <v/>
      </c>
      <c r="AH121" s="26" t="str">
        <f t="shared" si="232"/>
        <v/>
      </c>
      <c r="AI121" s="26" t="str">
        <f t="shared" si="232"/>
        <v/>
      </c>
      <c r="AJ121" s="26" t="str">
        <f t="shared" si="232"/>
        <v/>
      </c>
      <c r="AK121" s="26" t="str">
        <f t="shared" si="232"/>
        <v/>
      </c>
      <c r="AL121" s="26" t="str">
        <f t="shared" si="232"/>
        <v/>
      </c>
      <c r="AM121" s="26" t="str">
        <f t="shared" si="232"/>
        <v/>
      </c>
      <c r="AN121" s="26" t="str">
        <f t="shared" si="232"/>
        <v/>
      </c>
      <c r="AO121" s="26" t="str">
        <f t="shared" si="232"/>
        <v/>
      </c>
      <c r="AP121" s="26" t="str">
        <f t="shared" ref="AP121:AR121" si="233">IF(AP111="","",AP120*AP115)</f>
        <v/>
      </c>
      <c r="AQ121" s="26" t="str">
        <f t="shared" si="233"/>
        <v/>
      </c>
      <c r="AR121" s="26" t="str">
        <f t="shared" si="233"/>
        <v/>
      </c>
    </row>
    <row r="122" spans="1:44" s="1" customFormat="1" ht="12" thickBot="1">
      <c r="A122" s="4">
        <f>IF(A121="","",A121/(A118*100))</f>
        <v>0</v>
      </c>
      <c r="B122" s="27" t="s">
        <v>20</v>
      </c>
      <c r="C122" s="68" t="s">
        <v>21</v>
      </c>
      <c r="D122" s="44" t="str">
        <f t="shared" ref="D122:AO122" si="234">IF(D121="","",IF(D121=0,"",D121/(D118*100)))</f>
        <v/>
      </c>
      <c r="E122" s="44" t="str">
        <f t="shared" si="234"/>
        <v/>
      </c>
      <c r="F122" s="44" t="str">
        <f t="shared" si="234"/>
        <v/>
      </c>
      <c r="G122" s="384" t="str">
        <f t="shared" si="234"/>
        <v/>
      </c>
      <c r="H122" s="44" t="str">
        <f t="shared" si="234"/>
        <v/>
      </c>
      <c r="I122" s="44" t="str">
        <f t="shared" si="234"/>
        <v/>
      </c>
      <c r="J122" s="384" t="str">
        <f t="shared" si="234"/>
        <v/>
      </c>
      <c r="K122" s="44" t="str">
        <f t="shared" si="234"/>
        <v/>
      </c>
      <c r="L122" s="44" t="str">
        <f t="shared" si="234"/>
        <v/>
      </c>
      <c r="M122" s="44" t="str">
        <f t="shared" si="234"/>
        <v/>
      </c>
      <c r="N122" s="44" t="str">
        <f t="shared" si="234"/>
        <v/>
      </c>
      <c r="O122" s="44" t="str">
        <f t="shared" si="234"/>
        <v/>
      </c>
      <c r="P122" s="384" t="str">
        <f t="shared" si="234"/>
        <v/>
      </c>
      <c r="Q122" s="44" t="str">
        <f t="shared" si="234"/>
        <v/>
      </c>
      <c r="R122" s="44" t="str">
        <f t="shared" si="234"/>
        <v/>
      </c>
      <c r="S122" s="44" t="str">
        <f t="shared" si="234"/>
        <v/>
      </c>
      <c r="T122" s="44" t="str">
        <f t="shared" si="234"/>
        <v/>
      </c>
      <c r="U122" s="44" t="str">
        <f t="shared" si="234"/>
        <v/>
      </c>
      <c r="V122" s="44" t="str">
        <f>IF(V121="","",IF(V121=0,"",V121/(V118*100)))</f>
        <v/>
      </c>
      <c r="W122" s="44" t="str">
        <f t="shared" si="234"/>
        <v/>
      </c>
      <c r="X122" s="44" t="str">
        <f t="shared" si="234"/>
        <v/>
      </c>
      <c r="Y122" s="44" t="str">
        <f t="shared" si="234"/>
        <v/>
      </c>
      <c r="Z122" s="44" t="str">
        <f t="shared" si="234"/>
        <v/>
      </c>
      <c r="AA122" s="44" t="str">
        <f t="shared" si="234"/>
        <v/>
      </c>
      <c r="AB122" s="44" t="str">
        <f t="shared" si="234"/>
        <v/>
      </c>
      <c r="AC122" s="44" t="str">
        <f t="shared" si="234"/>
        <v/>
      </c>
      <c r="AD122" s="44" t="str">
        <f t="shared" si="234"/>
        <v/>
      </c>
      <c r="AE122" s="44" t="str">
        <f t="shared" si="234"/>
        <v/>
      </c>
      <c r="AF122" s="44" t="str">
        <f t="shared" si="234"/>
        <v/>
      </c>
      <c r="AG122" s="44" t="str">
        <f t="shared" si="234"/>
        <v/>
      </c>
      <c r="AH122" s="44" t="str">
        <f t="shared" si="234"/>
        <v/>
      </c>
      <c r="AI122" s="44" t="str">
        <f t="shared" si="234"/>
        <v/>
      </c>
      <c r="AJ122" s="44" t="str">
        <f t="shared" si="234"/>
        <v/>
      </c>
      <c r="AK122" s="44" t="str">
        <f t="shared" si="234"/>
        <v/>
      </c>
      <c r="AL122" s="44" t="str">
        <f t="shared" si="234"/>
        <v/>
      </c>
      <c r="AM122" s="44" t="str">
        <f t="shared" si="234"/>
        <v/>
      </c>
      <c r="AN122" s="44" t="str">
        <f t="shared" si="234"/>
        <v/>
      </c>
      <c r="AO122" s="44" t="str">
        <f t="shared" si="234"/>
        <v/>
      </c>
      <c r="AP122" s="44" t="str">
        <f t="shared" ref="AP122:AR122" si="235">IF(AP121="","",IF(AP121=0,"",AP121/(AP118*100)))</f>
        <v/>
      </c>
      <c r="AQ122" s="44" t="str">
        <f t="shared" si="235"/>
        <v/>
      </c>
      <c r="AR122" s="44" t="str">
        <f t="shared" si="235"/>
        <v/>
      </c>
    </row>
    <row r="123" spans="1:44" s="1" customFormat="1">
      <c r="A123" s="43" t="s">
        <v>180</v>
      </c>
      <c r="B123" s="42" t="s">
        <v>2</v>
      </c>
      <c r="C123" s="64">
        <v>36826</v>
      </c>
      <c r="D123" s="35">
        <f>IF(D$3="","",C123)</f>
        <v>36826</v>
      </c>
      <c r="E123" s="35">
        <f>IF(E$3="","",D123)</f>
        <v>36826</v>
      </c>
      <c r="F123" s="35">
        <v>36942</v>
      </c>
      <c r="G123" s="383">
        <f>IF(G$3="","",F123)</f>
        <v>36942</v>
      </c>
      <c r="H123" s="35">
        <f>IF(H$3="","",G123)</f>
        <v>36942</v>
      </c>
      <c r="I123" s="35">
        <v>36980</v>
      </c>
      <c r="J123" s="383">
        <f>IF(J$3="","",I123)</f>
        <v>36980</v>
      </c>
      <c r="K123" s="35">
        <f>IF(K$3="","",J123)</f>
        <v>36980</v>
      </c>
      <c r="L123" s="35">
        <v>37015</v>
      </c>
      <c r="M123" s="35">
        <f>IF(M$3="","",L123)</f>
        <v>37015</v>
      </c>
      <c r="N123" s="35">
        <f>IF(N$3="","",M123)</f>
        <v>37015</v>
      </c>
      <c r="O123" s="35">
        <v>37077</v>
      </c>
      <c r="P123" s="383">
        <f t="shared" ref="P123:AO123" si="236">IF(P$3="","",O123)</f>
        <v>37077</v>
      </c>
      <c r="Q123" s="35">
        <f t="shared" si="236"/>
        <v>37077</v>
      </c>
      <c r="R123" s="35">
        <f t="shared" si="236"/>
        <v>37077</v>
      </c>
      <c r="S123" s="35">
        <v>37099</v>
      </c>
      <c r="T123" s="35">
        <f t="shared" si="236"/>
        <v>37099</v>
      </c>
      <c r="U123" s="35">
        <f t="shared" si="236"/>
        <v>37099</v>
      </c>
      <c r="V123" s="35">
        <v>37154</v>
      </c>
      <c r="W123" s="35">
        <f t="shared" si="236"/>
        <v>37154</v>
      </c>
      <c r="X123" s="35">
        <f t="shared" si="236"/>
        <v>37154</v>
      </c>
      <c r="Y123" s="35">
        <f t="shared" si="236"/>
        <v>37154</v>
      </c>
      <c r="Z123" s="35">
        <f t="shared" si="236"/>
        <v>37154</v>
      </c>
      <c r="AA123" s="35">
        <v>37196</v>
      </c>
      <c r="AB123" s="35">
        <f t="shared" si="236"/>
        <v>37196</v>
      </c>
      <c r="AC123" s="35">
        <f t="shared" si="236"/>
        <v>37196</v>
      </c>
      <c r="AD123" s="35">
        <v>37307</v>
      </c>
      <c r="AE123" s="35" t="str">
        <f t="shared" si="236"/>
        <v/>
      </c>
      <c r="AF123" s="35" t="str">
        <f t="shared" si="236"/>
        <v/>
      </c>
      <c r="AG123" s="35" t="str">
        <f t="shared" si="236"/>
        <v/>
      </c>
      <c r="AH123" s="35" t="str">
        <f t="shared" si="236"/>
        <v/>
      </c>
      <c r="AI123" s="35" t="str">
        <f t="shared" si="236"/>
        <v/>
      </c>
      <c r="AJ123" s="35" t="str">
        <f t="shared" si="236"/>
        <v/>
      </c>
      <c r="AK123" s="35" t="str">
        <f t="shared" si="236"/>
        <v/>
      </c>
      <c r="AL123" s="35" t="str">
        <f t="shared" si="236"/>
        <v/>
      </c>
      <c r="AM123" s="35" t="str">
        <f t="shared" si="236"/>
        <v/>
      </c>
      <c r="AN123" s="35" t="str">
        <f t="shared" si="236"/>
        <v/>
      </c>
      <c r="AO123" s="35" t="str">
        <f t="shared" si="236"/>
        <v/>
      </c>
      <c r="AP123" s="35" t="str">
        <f t="shared" ref="AP123:AR123" si="237">IF(AP$3="","",AO123)</f>
        <v/>
      </c>
      <c r="AQ123" s="35" t="str">
        <f t="shared" si="237"/>
        <v/>
      </c>
      <c r="AR123" s="35" t="str">
        <f t="shared" si="237"/>
        <v/>
      </c>
    </row>
    <row r="124" spans="1:44" s="1" customFormat="1">
      <c r="A124" s="37" t="s">
        <v>193</v>
      </c>
      <c r="B124" s="30" t="s">
        <v>4</v>
      </c>
      <c r="C124" s="65">
        <v>4888</v>
      </c>
      <c r="D124" s="29">
        <f>IF(D$3="","",C124)</f>
        <v>4888</v>
      </c>
      <c r="E124" s="29">
        <f>IF(E$3="","",D124)</f>
        <v>4888</v>
      </c>
      <c r="F124" s="29">
        <v>4896</v>
      </c>
      <c r="G124" s="122">
        <f>IF(G$3="","",F124)</f>
        <v>4896</v>
      </c>
      <c r="H124" s="29">
        <f>IF(H$3="","",G124)</f>
        <v>4896</v>
      </c>
      <c r="I124" s="29">
        <v>4903</v>
      </c>
      <c r="J124" s="122">
        <f>IF(J$3="","",I124)</f>
        <v>4903</v>
      </c>
      <c r="K124" s="29">
        <f>IF(K$3="","",J124)</f>
        <v>4903</v>
      </c>
      <c r="L124" s="29">
        <v>4908</v>
      </c>
      <c r="M124" s="29">
        <f>IF(M$3="","",L124)</f>
        <v>4908</v>
      </c>
      <c r="N124" s="29">
        <f>IF(N$3="","",M124)</f>
        <v>4908</v>
      </c>
      <c r="O124" s="29">
        <v>4916</v>
      </c>
      <c r="P124" s="122">
        <f t="shared" ref="P124:AO124" si="238">IF(P$3="","",O124)</f>
        <v>4916</v>
      </c>
      <c r="Q124" s="29">
        <f t="shared" si="238"/>
        <v>4916</v>
      </c>
      <c r="R124" s="29">
        <f t="shared" si="238"/>
        <v>4916</v>
      </c>
      <c r="S124" s="29">
        <v>4923</v>
      </c>
      <c r="T124" s="29">
        <f t="shared" si="238"/>
        <v>4923</v>
      </c>
      <c r="U124" s="29">
        <f t="shared" si="238"/>
        <v>4923</v>
      </c>
      <c r="V124" s="29">
        <v>4934</v>
      </c>
      <c r="W124" s="29">
        <f t="shared" si="238"/>
        <v>4934</v>
      </c>
      <c r="X124" s="29">
        <f t="shared" si="238"/>
        <v>4934</v>
      </c>
      <c r="Y124" s="29">
        <f t="shared" si="238"/>
        <v>4934</v>
      </c>
      <c r="Z124" s="29">
        <f t="shared" si="238"/>
        <v>4934</v>
      </c>
      <c r="AA124" s="29">
        <v>4943</v>
      </c>
      <c r="AB124" s="29">
        <f t="shared" si="238"/>
        <v>4943</v>
      </c>
      <c r="AC124" s="29">
        <f t="shared" si="238"/>
        <v>4943</v>
      </c>
      <c r="AD124" s="29">
        <v>4952</v>
      </c>
      <c r="AE124" s="29" t="str">
        <f t="shared" si="238"/>
        <v/>
      </c>
      <c r="AF124" s="29" t="str">
        <f t="shared" si="238"/>
        <v/>
      </c>
      <c r="AG124" s="29" t="str">
        <f t="shared" si="238"/>
        <v/>
      </c>
      <c r="AH124" s="29" t="str">
        <f t="shared" si="238"/>
        <v/>
      </c>
      <c r="AI124" s="29" t="str">
        <f t="shared" si="238"/>
        <v/>
      </c>
      <c r="AJ124" s="29" t="str">
        <f t="shared" si="238"/>
        <v/>
      </c>
      <c r="AK124" s="29" t="str">
        <f t="shared" si="238"/>
        <v/>
      </c>
      <c r="AL124" s="29" t="str">
        <f t="shared" si="238"/>
        <v/>
      </c>
      <c r="AM124" s="29" t="str">
        <f t="shared" si="238"/>
        <v/>
      </c>
      <c r="AN124" s="29" t="str">
        <f t="shared" si="238"/>
        <v/>
      </c>
      <c r="AO124" s="29" t="str">
        <f t="shared" si="238"/>
        <v/>
      </c>
      <c r="AP124" s="29" t="str">
        <f t="shared" ref="AP124:AR124" si="239">IF(AP$3="","",AO124)</f>
        <v/>
      </c>
      <c r="AQ124" s="29" t="str">
        <f t="shared" si="239"/>
        <v/>
      </c>
      <c r="AR124" s="29" t="str">
        <f t="shared" si="239"/>
        <v/>
      </c>
    </row>
    <row r="125" spans="1:44" s="1" customFormat="1">
      <c r="A125" s="41">
        <v>2</v>
      </c>
      <c r="B125" s="30" t="s">
        <v>5</v>
      </c>
      <c r="C125" s="65">
        <v>70</v>
      </c>
      <c r="D125" s="29">
        <f t="shared" ref="D125:AO125" si="240">IF(D123="","",(C125+C126))</f>
        <v>70</v>
      </c>
      <c r="E125" s="29">
        <f t="shared" si="240"/>
        <v>70</v>
      </c>
      <c r="F125" s="29">
        <f t="shared" si="240"/>
        <v>70</v>
      </c>
      <c r="G125" s="122">
        <f t="shared" si="240"/>
        <v>70</v>
      </c>
      <c r="H125" s="29">
        <f t="shared" si="240"/>
        <v>70</v>
      </c>
      <c r="I125" s="29">
        <f t="shared" si="240"/>
        <v>70</v>
      </c>
      <c r="J125" s="122">
        <f t="shared" si="240"/>
        <v>70</v>
      </c>
      <c r="K125" s="29">
        <f t="shared" si="240"/>
        <v>70</v>
      </c>
      <c r="L125" s="29">
        <f t="shared" si="240"/>
        <v>70</v>
      </c>
      <c r="M125" s="29">
        <f t="shared" si="240"/>
        <v>70</v>
      </c>
      <c r="N125" s="29">
        <f t="shared" si="240"/>
        <v>70</v>
      </c>
      <c r="O125" s="29">
        <f t="shared" si="240"/>
        <v>70</v>
      </c>
      <c r="P125" s="122">
        <f t="shared" si="240"/>
        <v>70</v>
      </c>
      <c r="Q125" s="29">
        <f t="shared" si="240"/>
        <v>70</v>
      </c>
      <c r="R125" s="29">
        <f t="shared" si="240"/>
        <v>70</v>
      </c>
      <c r="S125" s="29">
        <f t="shared" si="240"/>
        <v>70</v>
      </c>
      <c r="T125" s="29">
        <f t="shared" si="240"/>
        <v>70</v>
      </c>
      <c r="U125" s="29">
        <f t="shared" si="240"/>
        <v>70</v>
      </c>
      <c r="V125" s="29">
        <f>IF(V123="","",(U125+U126))</f>
        <v>70</v>
      </c>
      <c r="W125" s="29">
        <f t="shared" si="240"/>
        <v>70</v>
      </c>
      <c r="X125" s="29">
        <f t="shared" si="240"/>
        <v>70</v>
      </c>
      <c r="Y125" s="29">
        <f t="shared" si="240"/>
        <v>70</v>
      </c>
      <c r="Z125" s="29">
        <f t="shared" si="240"/>
        <v>70</v>
      </c>
      <c r="AA125" s="29">
        <f t="shared" si="240"/>
        <v>70</v>
      </c>
      <c r="AB125" s="29">
        <f t="shared" si="240"/>
        <v>70</v>
      </c>
      <c r="AC125" s="29">
        <f t="shared" si="240"/>
        <v>70</v>
      </c>
      <c r="AD125" s="29">
        <f t="shared" si="240"/>
        <v>70</v>
      </c>
      <c r="AE125" s="29" t="str">
        <f t="shared" si="240"/>
        <v/>
      </c>
      <c r="AF125" s="29" t="str">
        <f t="shared" si="240"/>
        <v/>
      </c>
      <c r="AG125" s="29" t="str">
        <f t="shared" si="240"/>
        <v/>
      </c>
      <c r="AH125" s="29" t="str">
        <f t="shared" si="240"/>
        <v/>
      </c>
      <c r="AI125" s="29" t="str">
        <f t="shared" si="240"/>
        <v/>
      </c>
      <c r="AJ125" s="29" t="str">
        <f t="shared" si="240"/>
        <v/>
      </c>
      <c r="AK125" s="29" t="str">
        <f t="shared" si="240"/>
        <v/>
      </c>
      <c r="AL125" s="29" t="str">
        <f t="shared" si="240"/>
        <v/>
      </c>
      <c r="AM125" s="29" t="str">
        <f t="shared" si="240"/>
        <v/>
      </c>
      <c r="AN125" s="29" t="str">
        <f t="shared" si="240"/>
        <v/>
      </c>
      <c r="AO125" s="29" t="str">
        <f t="shared" si="240"/>
        <v/>
      </c>
      <c r="AP125" s="29" t="str">
        <f t="shared" ref="AP125" si="241">IF(AP123="","",(AO125+AO126))</f>
        <v/>
      </c>
      <c r="AQ125" s="29" t="str">
        <f t="shared" ref="AQ125:AR125" si="242">IF(AQ123="","",(AP125+AP126))</f>
        <v/>
      </c>
      <c r="AR125" s="29" t="str">
        <f t="shared" si="242"/>
        <v/>
      </c>
    </row>
    <row r="126" spans="1:44" s="1" customFormat="1">
      <c r="A126" s="14"/>
      <c r="B126" s="30" t="s">
        <v>7</v>
      </c>
      <c r="C126" s="65"/>
      <c r="D126" s="29"/>
      <c r="E126" s="29"/>
      <c r="F126" s="29"/>
      <c r="G126" s="122"/>
      <c r="H126" s="29"/>
      <c r="I126" s="29"/>
      <c r="J126" s="122"/>
      <c r="K126" s="29"/>
      <c r="L126" s="29"/>
      <c r="M126" s="29"/>
      <c r="N126" s="29"/>
      <c r="O126" s="29"/>
      <c r="P126" s="122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</row>
    <row r="127" spans="1:44" s="1" customFormat="1">
      <c r="A127" s="7"/>
      <c r="B127" s="30" t="s">
        <v>8</v>
      </c>
      <c r="C127" s="64">
        <v>500</v>
      </c>
      <c r="D127" s="35">
        <f t="shared" ref="D127:AO127" si="243">IF(D123="","",C127)</f>
        <v>500</v>
      </c>
      <c r="E127" s="35">
        <f t="shared" si="243"/>
        <v>500</v>
      </c>
      <c r="F127" s="35">
        <f t="shared" si="243"/>
        <v>500</v>
      </c>
      <c r="G127" s="383">
        <f t="shared" si="243"/>
        <v>500</v>
      </c>
      <c r="H127" s="35">
        <f t="shared" si="243"/>
        <v>500</v>
      </c>
      <c r="I127" s="35">
        <f t="shared" si="243"/>
        <v>500</v>
      </c>
      <c r="J127" s="383">
        <f t="shared" si="243"/>
        <v>500</v>
      </c>
      <c r="K127" s="35">
        <f t="shared" si="243"/>
        <v>500</v>
      </c>
      <c r="L127" s="35">
        <f t="shared" si="243"/>
        <v>500</v>
      </c>
      <c r="M127" s="35">
        <f t="shared" si="243"/>
        <v>500</v>
      </c>
      <c r="N127" s="35">
        <f t="shared" si="243"/>
        <v>500</v>
      </c>
      <c r="O127" s="35">
        <f t="shared" si="243"/>
        <v>500</v>
      </c>
      <c r="P127" s="383">
        <f t="shared" si="243"/>
        <v>500</v>
      </c>
      <c r="Q127" s="35">
        <f t="shared" si="243"/>
        <v>500</v>
      </c>
      <c r="R127" s="35">
        <f t="shared" si="243"/>
        <v>500</v>
      </c>
      <c r="S127" s="35">
        <f t="shared" si="243"/>
        <v>500</v>
      </c>
      <c r="T127" s="35">
        <f t="shared" si="243"/>
        <v>500</v>
      </c>
      <c r="U127" s="35">
        <f t="shared" si="243"/>
        <v>500</v>
      </c>
      <c r="V127" s="35">
        <f>IF(V123="","",U127)</f>
        <v>500</v>
      </c>
      <c r="W127" s="35">
        <f t="shared" si="243"/>
        <v>500</v>
      </c>
      <c r="X127" s="35">
        <f t="shared" si="243"/>
        <v>500</v>
      </c>
      <c r="Y127" s="35">
        <f t="shared" si="243"/>
        <v>500</v>
      </c>
      <c r="Z127" s="35">
        <f t="shared" si="243"/>
        <v>500</v>
      </c>
      <c r="AA127" s="35">
        <f t="shared" si="243"/>
        <v>500</v>
      </c>
      <c r="AB127" s="35">
        <f t="shared" si="243"/>
        <v>500</v>
      </c>
      <c r="AC127" s="35">
        <f t="shared" si="243"/>
        <v>500</v>
      </c>
      <c r="AD127" s="35">
        <f t="shared" si="243"/>
        <v>500</v>
      </c>
      <c r="AE127" s="35" t="str">
        <f t="shared" si="243"/>
        <v/>
      </c>
      <c r="AF127" s="35" t="str">
        <f t="shared" si="243"/>
        <v/>
      </c>
      <c r="AG127" s="35" t="str">
        <f t="shared" si="243"/>
        <v/>
      </c>
      <c r="AH127" s="35" t="str">
        <f t="shared" si="243"/>
        <v/>
      </c>
      <c r="AI127" s="35" t="str">
        <f t="shared" si="243"/>
        <v/>
      </c>
      <c r="AJ127" s="35" t="str">
        <f t="shared" si="243"/>
        <v/>
      </c>
      <c r="AK127" s="35" t="str">
        <f t="shared" si="243"/>
        <v/>
      </c>
      <c r="AL127" s="35" t="str">
        <f t="shared" si="243"/>
        <v/>
      </c>
      <c r="AM127" s="35" t="str">
        <f t="shared" si="243"/>
        <v/>
      </c>
      <c r="AN127" s="35" t="str">
        <f t="shared" si="243"/>
        <v/>
      </c>
      <c r="AO127" s="35" t="str">
        <f t="shared" si="243"/>
        <v/>
      </c>
      <c r="AP127" s="35" t="str">
        <f t="shared" ref="AP127" si="244">IF(AP123="","",AO127)</f>
        <v/>
      </c>
      <c r="AQ127" s="35" t="str">
        <f t="shared" ref="AQ127:AR127" si="245">IF(AQ123="","",AP127)</f>
        <v/>
      </c>
      <c r="AR127" s="35" t="str">
        <f t="shared" si="245"/>
        <v/>
      </c>
    </row>
    <row r="128" spans="1:44" s="11" customFormat="1">
      <c r="A128" s="14" t="s">
        <v>9</v>
      </c>
      <c r="B128" s="33" t="s">
        <v>10</v>
      </c>
      <c r="C128" s="63" t="s">
        <v>194</v>
      </c>
      <c r="D128" s="32" t="str">
        <f t="shared" ref="D128:AO128" si="246">IF(D123="","",C128)</f>
        <v>サンリオキャラクターズ</v>
      </c>
      <c r="E128" s="32" t="str">
        <f t="shared" si="246"/>
        <v>サンリオキャラクターズ</v>
      </c>
      <c r="F128" s="32" t="str">
        <f t="shared" si="246"/>
        <v>サンリオキャラクターズ</v>
      </c>
      <c r="G128" s="123" t="str">
        <f t="shared" si="246"/>
        <v>サンリオキャラクターズ</v>
      </c>
      <c r="H128" s="32" t="str">
        <f t="shared" si="246"/>
        <v>サンリオキャラクターズ</v>
      </c>
      <c r="I128" s="32" t="str">
        <f t="shared" si="246"/>
        <v>サンリオキャラクターズ</v>
      </c>
      <c r="J128" s="123" t="str">
        <f t="shared" si="246"/>
        <v>サンリオキャラクターズ</v>
      </c>
      <c r="K128" s="32" t="str">
        <f t="shared" si="246"/>
        <v>サンリオキャラクターズ</v>
      </c>
      <c r="L128" s="32" t="str">
        <f t="shared" si="246"/>
        <v>サンリオキャラクターズ</v>
      </c>
      <c r="M128" s="32" t="str">
        <f t="shared" si="246"/>
        <v>サンリオキャラクターズ</v>
      </c>
      <c r="N128" s="32" t="str">
        <f t="shared" si="246"/>
        <v>サンリオキャラクターズ</v>
      </c>
      <c r="O128" s="32" t="str">
        <f t="shared" si="246"/>
        <v>サンリオキャラクターズ</v>
      </c>
      <c r="P128" s="123" t="str">
        <f t="shared" si="246"/>
        <v>サンリオキャラクターズ</v>
      </c>
      <c r="Q128" s="32" t="str">
        <f t="shared" si="246"/>
        <v>サンリオキャラクターズ</v>
      </c>
      <c r="R128" s="32" t="str">
        <f t="shared" si="246"/>
        <v>サンリオキャラクターズ</v>
      </c>
      <c r="S128" s="32" t="str">
        <f t="shared" si="246"/>
        <v>サンリオキャラクターズ</v>
      </c>
      <c r="T128" s="32" t="str">
        <f t="shared" si="246"/>
        <v>サンリオキャラクターズ</v>
      </c>
      <c r="U128" s="32" t="str">
        <f t="shared" si="246"/>
        <v>サンリオキャラクターズ</v>
      </c>
      <c r="V128" s="32" t="str">
        <f>IF(V123="","",U128)</f>
        <v>サンリオキャラクターズ</v>
      </c>
      <c r="W128" s="32" t="str">
        <f t="shared" si="246"/>
        <v>サンリオキャラクターズ</v>
      </c>
      <c r="X128" s="32" t="str">
        <f t="shared" si="246"/>
        <v>サンリオキャラクターズ</v>
      </c>
      <c r="Y128" s="32" t="str">
        <f t="shared" si="246"/>
        <v>サンリオキャラクターズ</v>
      </c>
      <c r="Z128" s="32" t="str">
        <f t="shared" si="246"/>
        <v>サンリオキャラクターズ</v>
      </c>
      <c r="AA128" s="32" t="str">
        <f t="shared" si="246"/>
        <v>サンリオキャラクターズ</v>
      </c>
      <c r="AB128" s="32" t="str">
        <f t="shared" si="246"/>
        <v>サンリオキャラクターズ</v>
      </c>
      <c r="AC128" s="32" t="str">
        <f t="shared" si="246"/>
        <v>サンリオキャラクターズ</v>
      </c>
      <c r="AD128" s="32" t="str">
        <f t="shared" si="246"/>
        <v>サンリオキャラクターズ</v>
      </c>
      <c r="AE128" s="32" t="str">
        <f t="shared" si="246"/>
        <v/>
      </c>
      <c r="AF128" s="32" t="str">
        <f t="shared" si="246"/>
        <v/>
      </c>
      <c r="AG128" s="32" t="str">
        <f t="shared" si="246"/>
        <v/>
      </c>
      <c r="AH128" s="32" t="str">
        <f t="shared" si="246"/>
        <v/>
      </c>
      <c r="AI128" s="32" t="str">
        <f t="shared" si="246"/>
        <v/>
      </c>
      <c r="AJ128" s="32" t="str">
        <f t="shared" si="246"/>
        <v/>
      </c>
      <c r="AK128" s="32" t="str">
        <f t="shared" si="246"/>
        <v/>
      </c>
      <c r="AL128" s="32" t="str">
        <f t="shared" si="246"/>
        <v/>
      </c>
      <c r="AM128" s="32" t="str">
        <f t="shared" si="246"/>
        <v/>
      </c>
      <c r="AN128" s="32" t="str">
        <f t="shared" si="246"/>
        <v/>
      </c>
      <c r="AO128" s="32" t="str">
        <f t="shared" si="246"/>
        <v/>
      </c>
      <c r="AP128" s="32" t="str">
        <f t="shared" ref="AP128" si="247">IF(AP123="","",AO128)</f>
        <v/>
      </c>
      <c r="AQ128" s="32" t="str">
        <f t="shared" ref="AQ128:AR128" si="248">IF(AQ123="","",AP128)</f>
        <v/>
      </c>
      <c r="AR128" s="32" t="str">
        <f t="shared" si="248"/>
        <v/>
      </c>
    </row>
    <row r="129" spans="1:44" s="1" customFormat="1">
      <c r="A129" s="7">
        <f>AVERAGE(C130:AS130)*30*100</f>
        <v>51535.714285714275</v>
      </c>
      <c r="B129" s="30" t="s">
        <v>14</v>
      </c>
      <c r="C129" s="65"/>
      <c r="D129" s="29"/>
      <c r="E129" s="29"/>
      <c r="F129" s="29"/>
      <c r="G129" s="122"/>
      <c r="H129" s="29"/>
      <c r="I129" s="29"/>
      <c r="J129" s="122"/>
      <c r="K129" s="29"/>
      <c r="L129" s="29"/>
      <c r="M129" s="29"/>
      <c r="N129" s="29"/>
      <c r="O129" s="29"/>
      <c r="P129" s="122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</row>
    <row r="130" spans="1:44" s="1" customFormat="1">
      <c r="A130" s="7">
        <f>SUM(C130:AS130)</f>
        <v>481</v>
      </c>
      <c r="B130" s="27" t="s">
        <v>15</v>
      </c>
      <c r="C130" s="65">
        <v>0</v>
      </c>
      <c r="D130" s="26">
        <f t="shared" ref="D130:AO130" si="249">IF(D123="","",D123-C123)</f>
        <v>0</v>
      </c>
      <c r="E130" s="26">
        <f t="shared" si="249"/>
        <v>0</v>
      </c>
      <c r="F130" s="26">
        <f t="shared" si="249"/>
        <v>116</v>
      </c>
      <c r="G130" s="122">
        <f t="shared" si="249"/>
        <v>0</v>
      </c>
      <c r="H130" s="26">
        <f t="shared" si="249"/>
        <v>0</v>
      </c>
      <c r="I130" s="26">
        <f t="shared" si="249"/>
        <v>38</v>
      </c>
      <c r="J130" s="122">
        <f t="shared" si="249"/>
        <v>0</v>
      </c>
      <c r="K130" s="26">
        <f t="shared" si="249"/>
        <v>0</v>
      </c>
      <c r="L130" s="26">
        <f t="shared" si="249"/>
        <v>35</v>
      </c>
      <c r="M130" s="26">
        <f t="shared" si="249"/>
        <v>0</v>
      </c>
      <c r="N130" s="26">
        <f t="shared" si="249"/>
        <v>0</v>
      </c>
      <c r="O130" s="26">
        <f t="shared" si="249"/>
        <v>62</v>
      </c>
      <c r="P130" s="122">
        <f t="shared" si="249"/>
        <v>0</v>
      </c>
      <c r="Q130" s="26">
        <f t="shared" si="249"/>
        <v>0</v>
      </c>
      <c r="R130" s="26">
        <f t="shared" si="249"/>
        <v>0</v>
      </c>
      <c r="S130" s="26">
        <f t="shared" si="249"/>
        <v>22</v>
      </c>
      <c r="T130" s="26">
        <f t="shared" si="249"/>
        <v>0</v>
      </c>
      <c r="U130" s="26">
        <f t="shared" si="249"/>
        <v>0</v>
      </c>
      <c r="V130" s="26">
        <f>IF(V123="","",V123-U123)</f>
        <v>55</v>
      </c>
      <c r="W130" s="26">
        <f t="shared" si="249"/>
        <v>0</v>
      </c>
      <c r="X130" s="26">
        <f t="shared" si="249"/>
        <v>0</v>
      </c>
      <c r="Y130" s="26">
        <f t="shared" si="249"/>
        <v>0</v>
      </c>
      <c r="Z130" s="26">
        <f t="shared" si="249"/>
        <v>0</v>
      </c>
      <c r="AA130" s="26">
        <f t="shared" si="249"/>
        <v>42</v>
      </c>
      <c r="AB130" s="26">
        <f t="shared" si="249"/>
        <v>0</v>
      </c>
      <c r="AC130" s="26">
        <f t="shared" si="249"/>
        <v>0</v>
      </c>
      <c r="AD130" s="26">
        <f t="shared" si="249"/>
        <v>111</v>
      </c>
      <c r="AE130" s="26" t="str">
        <f t="shared" si="249"/>
        <v/>
      </c>
      <c r="AF130" s="26" t="str">
        <f t="shared" si="249"/>
        <v/>
      </c>
      <c r="AG130" s="26" t="str">
        <f t="shared" si="249"/>
        <v/>
      </c>
      <c r="AH130" s="26" t="str">
        <f t="shared" si="249"/>
        <v/>
      </c>
      <c r="AI130" s="26" t="str">
        <f t="shared" si="249"/>
        <v/>
      </c>
      <c r="AJ130" s="26" t="str">
        <f t="shared" si="249"/>
        <v/>
      </c>
      <c r="AK130" s="26" t="str">
        <f t="shared" si="249"/>
        <v/>
      </c>
      <c r="AL130" s="26" t="str">
        <f t="shared" si="249"/>
        <v/>
      </c>
      <c r="AM130" s="26" t="str">
        <f t="shared" si="249"/>
        <v/>
      </c>
      <c r="AN130" s="26" t="str">
        <f t="shared" si="249"/>
        <v/>
      </c>
      <c r="AO130" s="26" t="str">
        <f t="shared" si="249"/>
        <v/>
      </c>
      <c r="AP130" s="26" t="str">
        <f t="shared" ref="AP130:AP131" si="250">IF(AP123="","",AP123-AO123)</f>
        <v/>
      </c>
      <c r="AQ130" s="26" t="str">
        <f t="shared" ref="AQ130:AR131" si="251">IF(AQ123="","",AQ123-AP123)</f>
        <v/>
      </c>
      <c r="AR130" s="26" t="str">
        <f t="shared" si="251"/>
        <v/>
      </c>
    </row>
    <row r="131" spans="1:44" s="1" customFormat="1">
      <c r="A131" s="7">
        <f>SUM(C131:AS131)</f>
        <v>64</v>
      </c>
      <c r="B131" s="27" t="s">
        <v>16</v>
      </c>
      <c r="C131" s="65">
        <v>0</v>
      </c>
      <c r="D131" s="26">
        <f t="shared" ref="D131:AO131" si="252">IF(D124="","",D124-C124)</f>
        <v>0</v>
      </c>
      <c r="E131" s="26">
        <f t="shared" si="252"/>
        <v>0</v>
      </c>
      <c r="F131" s="26">
        <f t="shared" si="252"/>
        <v>8</v>
      </c>
      <c r="G131" s="122">
        <f t="shared" si="252"/>
        <v>0</v>
      </c>
      <c r="H131" s="26">
        <f t="shared" si="252"/>
        <v>0</v>
      </c>
      <c r="I131" s="26">
        <f t="shared" si="252"/>
        <v>7</v>
      </c>
      <c r="J131" s="122">
        <f t="shared" si="252"/>
        <v>0</v>
      </c>
      <c r="K131" s="26">
        <f t="shared" si="252"/>
        <v>0</v>
      </c>
      <c r="L131" s="26">
        <f t="shared" si="252"/>
        <v>5</v>
      </c>
      <c r="M131" s="26">
        <f t="shared" si="252"/>
        <v>0</v>
      </c>
      <c r="N131" s="26">
        <f t="shared" si="252"/>
        <v>0</v>
      </c>
      <c r="O131" s="26">
        <f t="shared" si="252"/>
        <v>8</v>
      </c>
      <c r="P131" s="122">
        <f t="shared" si="252"/>
        <v>0</v>
      </c>
      <c r="Q131" s="26">
        <f t="shared" si="252"/>
        <v>0</v>
      </c>
      <c r="R131" s="26">
        <f t="shared" si="252"/>
        <v>0</v>
      </c>
      <c r="S131" s="26">
        <f t="shared" si="252"/>
        <v>7</v>
      </c>
      <c r="T131" s="26">
        <f t="shared" si="252"/>
        <v>0</v>
      </c>
      <c r="U131" s="26">
        <f t="shared" si="252"/>
        <v>0</v>
      </c>
      <c r="V131" s="26">
        <f>IF(V124="","",V124-U124)</f>
        <v>11</v>
      </c>
      <c r="W131" s="26">
        <f t="shared" si="252"/>
        <v>0</v>
      </c>
      <c r="X131" s="26">
        <f t="shared" si="252"/>
        <v>0</v>
      </c>
      <c r="Y131" s="26">
        <f t="shared" si="252"/>
        <v>0</v>
      </c>
      <c r="Z131" s="26">
        <f t="shared" si="252"/>
        <v>0</v>
      </c>
      <c r="AA131" s="26">
        <f t="shared" si="252"/>
        <v>9</v>
      </c>
      <c r="AB131" s="26">
        <f t="shared" si="252"/>
        <v>0</v>
      </c>
      <c r="AC131" s="26">
        <f t="shared" si="252"/>
        <v>0</v>
      </c>
      <c r="AD131" s="26">
        <f t="shared" si="252"/>
        <v>9</v>
      </c>
      <c r="AE131" s="26" t="str">
        <f t="shared" si="252"/>
        <v/>
      </c>
      <c r="AF131" s="26" t="str">
        <f t="shared" si="252"/>
        <v/>
      </c>
      <c r="AG131" s="26" t="str">
        <f t="shared" si="252"/>
        <v/>
      </c>
      <c r="AH131" s="26" t="str">
        <f t="shared" si="252"/>
        <v/>
      </c>
      <c r="AI131" s="26" t="str">
        <f t="shared" si="252"/>
        <v/>
      </c>
      <c r="AJ131" s="26" t="str">
        <f t="shared" si="252"/>
        <v/>
      </c>
      <c r="AK131" s="26" t="str">
        <f t="shared" si="252"/>
        <v/>
      </c>
      <c r="AL131" s="26" t="str">
        <f t="shared" si="252"/>
        <v/>
      </c>
      <c r="AM131" s="26" t="str">
        <f t="shared" si="252"/>
        <v/>
      </c>
      <c r="AN131" s="26" t="str">
        <f t="shared" si="252"/>
        <v/>
      </c>
      <c r="AO131" s="26" t="str">
        <f t="shared" si="252"/>
        <v/>
      </c>
      <c r="AP131" s="26" t="str">
        <f t="shared" si="250"/>
        <v/>
      </c>
      <c r="AQ131" s="26" t="str">
        <f t="shared" si="251"/>
        <v/>
      </c>
      <c r="AR131" s="26" t="str">
        <f t="shared" si="251"/>
        <v/>
      </c>
    </row>
    <row r="132" spans="1:44" s="1" customFormat="1">
      <c r="A132" s="7">
        <f>SUM(C132:AS132)</f>
        <v>0</v>
      </c>
      <c r="B132" s="27" t="s">
        <v>17</v>
      </c>
      <c r="C132" s="65">
        <v>0</v>
      </c>
      <c r="D132" s="26">
        <f t="shared" ref="D132:AO132" si="253">IF(D125="","",C125+C126-D125)</f>
        <v>0</v>
      </c>
      <c r="E132" s="26">
        <f t="shared" si="253"/>
        <v>0</v>
      </c>
      <c r="F132" s="26">
        <f t="shared" si="253"/>
        <v>0</v>
      </c>
      <c r="G132" s="122">
        <f t="shared" si="253"/>
        <v>0</v>
      </c>
      <c r="H132" s="26">
        <f t="shared" si="253"/>
        <v>0</v>
      </c>
      <c r="I132" s="26">
        <f t="shared" si="253"/>
        <v>0</v>
      </c>
      <c r="J132" s="122">
        <f t="shared" si="253"/>
        <v>0</v>
      </c>
      <c r="K132" s="26">
        <f t="shared" si="253"/>
        <v>0</v>
      </c>
      <c r="L132" s="26">
        <f t="shared" si="253"/>
        <v>0</v>
      </c>
      <c r="M132" s="26">
        <f t="shared" si="253"/>
        <v>0</v>
      </c>
      <c r="N132" s="26">
        <f t="shared" si="253"/>
        <v>0</v>
      </c>
      <c r="O132" s="26">
        <f t="shared" si="253"/>
        <v>0</v>
      </c>
      <c r="P132" s="122">
        <f t="shared" si="253"/>
        <v>0</v>
      </c>
      <c r="Q132" s="26">
        <f t="shared" si="253"/>
        <v>0</v>
      </c>
      <c r="R132" s="26">
        <f t="shared" si="253"/>
        <v>0</v>
      </c>
      <c r="S132" s="26">
        <f t="shared" si="253"/>
        <v>0</v>
      </c>
      <c r="T132" s="26">
        <f t="shared" si="253"/>
        <v>0</v>
      </c>
      <c r="U132" s="26">
        <f t="shared" si="253"/>
        <v>0</v>
      </c>
      <c r="V132" s="26">
        <f>IF(V125="","",U125+U126-V125)</f>
        <v>0</v>
      </c>
      <c r="W132" s="26">
        <f t="shared" si="253"/>
        <v>0</v>
      </c>
      <c r="X132" s="26">
        <f t="shared" si="253"/>
        <v>0</v>
      </c>
      <c r="Y132" s="26">
        <f t="shared" si="253"/>
        <v>0</v>
      </c>
      <c r="Z132" s="26">
        <f t="shared" si="253"/>
        <v>0</v>
      </c>
      <c r="AA132" s="26">
        <f t="shared" si="253"/>
        <v>0</v>
      </c>
      <c r="AB132" s="26">
        <f t="shared" si="253"/>
        <v>0</v>
      </c>
      <c r="AC132" s="26">
        <f t="shared" si="253"/>
        <v>0</v>
      </c>
      <c r="AD132" s="26">
        <f t="shared" si="253"/>
        <v>0</v>
      </c>
      <c r="AE132" s="26" t="str">
        <f t="shared" si="253"/>
        <v/>
      </c>
      <c r="AF132" s="26" t="str">
        <f t="shared" si="253"/>
        <v/>
      </c>
      <c r="AG132" s="26" t="str">
        <f t="shared" si="253"/>
        <v/>
      </c>
      <c r="AH132" s="26" t="str">
        <f t="shared" si="253"/>
        <v/>
      </c>
      <c r="AI132" s="26" t="str">
        <f t="shared" si="253"/>
        <v/>
      </c>
      <c r="AJ132" s="26" t="str">
        <f t="shared" si="253"/>
        <v/>
      </c>
      <c r="AK132" s="26" t="str">
        <f t="shared" si="253"/>
        <v/>
      </c>
      <c r="AL132" s="26" t="str">
        <f t="shared" si="253"/>
        <v/>
      </c>
      <c r="AM132" s="26" t="str">
        <f t="shared" si="253"/>
        <v/>
      </c>
      <c r="AN132" s="26" t="str">
        <f t="shared" si="253"/>
        <v/>
      </c>
      <c r="AO132" s="26" t="str">
        <f t="shared" si="253"/>
        <v/>
      </c>
      <c r="AP132" s="26" t="str">
        <f t="shared" ref="AP132" si="254">IF(AP125="","",AO125+AO126-AP125)</f>
        <v/>
      </c>
      <c r="AQ132" s="26" t="str">
        <f t="shared" ref="AQ132:AR132" si="255">IF(AQ125="","",AP125+AP126-AQ125)</f>
        <v/>
      </c>
      <c r="AR132" s="26" t="str">
        <f t="shared" si="255"/>
        <v/>
      </c>
    </row>
    <row r="133" spans="1:44" s="1" customFormat="1">
      <c r="A133" s="7">
        <f>SUM(C133:AS133)</f>
        <v>0</v>
      </c>
      <c r="B133" s="27" t="s">
        <v>18</v>
      </c>
      <c r="C133" s="65">
        <v>0</v>
      </c>
      <c r="D133" s="26">
        <f t="shared" ref="D133:AO133" si="256">IF(D123="","",D132*D127)</f>
        <v>0</v>
      </c>
      <c r="E133" s="26">
        <f t="shared" si="256"/>
        <v>0</v>
      </c>
      <c r="F133" s="26">
        <f t="shared" si="256"/>
        <v>0</v>
      </c>
      <c r="G133" s="122">
        <f t="shared" si="256"/>
        <v>0</v>
      </c>
      <c r="H133" s="26">
        <f t="shared" si="256"/>
        <v>0</v>
      </c>
      <c r="I133" s="26">
        <f t="shared" si="256"/>
        <v>0</v>
      </c>
      <c r="J133" s="122">
        <f t="shared" si="256"/>
        <v>0</v>
      </c>
      <c r="K133" s="26">
        <f t="shared" si="256"/>
        <v>0</v>
      </c>
      <c r="L133" s="26">
        <f t="shared" si="256"/>
        <v>0</v>
      </c>
      <c r="M133" s="26">
        <f t="shared" si="256"/>
        <v>0</v>
      </c>
      <c r="N133" s="26">
        <f t="shared" si="256"/>
        <v>0</v>
      </c>
      <c r="O133" s="26">
        <f t="shared" si="256"/>
        <v>0</v>
      </c>
      <c r="P133" s="122">
        <f t="shared" si="256"/>
        <v>0</v>
      </c>
      <c r="Q133" s="26">
        <f t="shared" si="256"/>
        <v>0</v>
      </c>
      <c r="R133" s="26">
        <f t="shared" si="256"/>
        <v>0</v>
      </c>
      <c r="S133" s="26">
        <f t="shared" si="256"/>
        <v>0</v>
      </c>
      <c r="T133" s="26">
        <f t="shared" si="256"/>
        <v>0</v>
      </c>
      <c r="U133" s="26">
        <f t="shared" si="256"/>
        <v>0</v>
      </c>
      <c r="V133" s="26">
        <f>IF(V123="","",V132*V127)</f>
        <v>0</v>
      </c>
      <c r="W133" s="26">
        <f t="shared" si="256"/>
        <v>0</v>
      </c>
      <c r="X133" s="26">
        <f t="shared" si="256"/>
        <v>0</v>
      </c>
      <c r="Y133" s="26">
        <f t="shared" si="256"/>
        <v>0</v>
      </c>
      <c r="Z133" s="26">
        <f t="shared" si="256"/>
        <v>0</v>
      </c>
      <c r="AA133" s="26">
        <f t="shared" si="256"/>
        <v>0</v>
      </c>
      <c r="AB133" s="26">
        <f t="shared" si="256"/>
        <v>0</v>
      </c>
      <c r="AC133" s="26">
        <f t="shared" si="256"/>
        <v>0</v>
      </c>
      <c r="AD133" s="26">
        <f t="shared" si="256"/>
        <v>0</v>
      </c>
      <c r="AE133" s="26" t="str">
        <f t="shared" si="256"/>
        <v/>
      </c>
      <c r="AF133" s="26" t="str">
        <f t="shared" si="256"/>
        <v/>
      </c>
      <c r="AG133" s="26" t="str">
        <f t="shared" si="256"/>
        <v/>
      </c>
      <c r="AH133" s="26" t="str">
        <f t="shared" si="256"/>
        <v/>
      </c>
      <c r="AI133" s="26" t="str">
        <f t="shared" si="256"/>
        <v/>
      </c>
      <c r="AJ133" s="26" t="str">
        <f t="shared" si="256"/>
        <v/>
      </c>
      <c r="AK133" s="26" t="str">
        <f t="shared" si="256"/>
        <v/>
      </c>
      <c r="AL133" s="26" t="str">
        <f t="shared" si="256"/>
        <v/>
      </c>
      <c r="AM133" s="26" t="str">
        <f t="shared" si="256"/>
        <v/>
      </c>
      <c r="AN133" s="26" t="str">
        <f t="shared" si="256"/>
        <v/>
      </c>
      <c r="AO133" s="26" t="str">
        <f t="shared" si="256"/>
        <v/>
      </c>
      <c r="AP133" s="26" t="str">
        <f t="shared" ref="AP133:AR133" si="257">IF(AP123="","",AP132*AP127)</f>
        <v/>
      </c>
      <c r="AQ133" s="26" t="str">
        <f t="shared" si="257"/>
        <v/>
      </c>
      <c r="AR133" s="26" t="str">
        <f t="shared" si="257"/>
        <v/>
      </c>
    </row>
    <row r="134" spans="1:44" s="1" customFormat="1" ht="12" thickBot="1">
      <c r="A134" s="4">
        <f>IF(A133="","",A133/(A130*100))</f>
        <v>0</v>
      </c>
      <c r="B134" s="24" t="s">
        <v>20</v>
      </c>
      <c r="C134" s="67" t="s">
        <v>21</v>
      </c>
      <c r="D134" s="23" t="str">
        <f t="shared" ref="D134:AO134" si="258">IF(D133="","",IF(D133=0,"",D133/(D130*100)))</f>
        <v/>
      </c>
      <c r="E134" s="23" t="str">
        <f t="shared" si="258"/>
        <v/>
      </c>
      <c r="F134" s="23" t="str">
        <f t="shared" si="258"/>
        <v/>
      </c>
      <c r="G134" s="124" t="str">
        <f t="shared" si="258"/>
        <v/>
      </c>
      <c r="H134" s="23" t="str">
        <f t="shared" si="258"/>
        <v/>
      </c>
      <c r="I134" s="23" t="str">
        <f t="shared" si="258"/>
        <v/>
      </c>
      <c r="J134" s="124" t="str">
        <f t="shared" si="258"/>
        <v/>
      </c>
      <c r="K134" s="23" t="str">
        <f t="shared" si="258"/>
        <v/>
      </c>
      <c r="L134" s="23" t="str">
        <f t="shared" si="258"/>
        <v/>
      </c>
      <c r="M134" s="23" t="str">
        <f t="shared" si="258"/>
        <v/>
      </c>
      <c r="N134" s="23" t="str">
        <f t="shared" si="258"/>
        <v/>
      </c>
      <c r="O134" s="23" t="str">
        <f t="shared" si="258"/>
        <v/>
      </c>
      <c r="P134" s="124" t="str">
        <f t="shared" si="258"/>
        <v/>
      </c>
      <c r="Q134" s="23" t="str">
        <f t="shared" si="258"/>
        <v/>
      </c>
      <c r="R134" s="23" t="str">
        <f t="shared" si="258"/>
        <v/>
      </c>
      <c r="S134" s="23" t="str">
        <f t="shared" si="258"/>
        <v/>
      </c>
      <c r="T134" s="23" t="str">
        <f t="shared" si="258"/>
        <v/>
      </c>
      <c r="U134" s="23" t="str">
        <f t="shared" si="258"/>
        <v/>
      </c>
      <c r="V134" s="23" t="str">
        <f>IF(V133="","",IF(V133=0,"",V133/(V130*100)))</f>
        <v/>
      </c>
      <c r="W134" s="23" t="str">
        <f t="shared" si="258"/>
        <v/>
      </c>
      <c r="X134" s="23" t="str">
        <f t="shared" si="258"/>
        <v/>
      </c>
      <c r="Y134" s="23" t="str">
        <f t="shared" si="258"/>
        <v/>
      </c>
      <c r="Z134" s="23" t="str">
        <f t="shared" si="258"/>
        <v/>
      </c>
      <c r="AA134" s="23" t="str">
        <f t="shared" si="258"/>
        <v/>
      </c>
      <c r="AB134" s="23" t="str">
        <f t="shared" si="258"/>
        <v/>
      </c>
      <c r="AC134" s="23" t="str">
        <f t="shared" si="258"/>
        <v/>
      </c>
      <c r="AD134" s="23" t="str">
        <f t="shared" si="258"/>
        <v/>
      </c>
      <c r="AE134" s="23" t="str">
        <f t="shared" si="258"/>
        <v/>
      </c>
      <c r="AF134" s="23" t="str">
        <f t="shared" si="258"/>
        <v/>
      </c>
      <c r="AG134" s="23" t="str">
        <f t="shared" si="258"/>
        <v/>
      </c>
      <c r="AH134" s="23" t="str">
        <f t="shared" si="258"/>
        <v/>
      </c>
      <c r="AI134" s="23" t="str">
        <f t="shared" si="258"/>
        <v/>
      </c>
      <c r="AJ134" s="23" t="str">
        <f t="shared" si="258"/>
        <v/>
      </c>
      <c r="AK134" s="23" t="str">
        <f t="shared" si="258"/>
        <v/>
      </c>
      <c r="AL134" s="23" t="str">
        <f t="shared" si="258"/>
        <v/>
      </c>
      <c r="AM134" s="23" t="str">
        <f t="shared" si="258"/>
        <v/>
      </c>
      <c r="AN134" s="23" t="str">
        <f t="shared" si="258"/>
        <v/>
      </c>
      <c r="AO134" s="23" t="str">
        <f t="shared" si="258"/>
        <v/>
      </c>
      <c r="AP134" s="23" t="str">
        <f t="shared" ref="AP134:AR134" si="259">IF(AP133="","",IF(AP133=0,"",AP133/(AP130*100)))</f>
        <v/>
      </c>
      <c r="AQ134" s="23" t="str">
        <f t="shared" si="259"/>
        <v/>
      </c>
      <c r="AR134" s="23" t="str">
        <f t="shared" si="259"/>
        <v/>
      </c>
    </row>
    <row r="135" spans="1:44" s="1" customFormat="1">
      <c r="A135" s="40" t="s">
        <v>180</v>
      </c>
      <c r="B135" s="39" t="s">
        <v>2</v>
      </c>
      <c r="C135" s="66">
        <v>52064</v>
      </c>
      <c r="D135" s="38">
        <f>IF(D$3="","",C135)</f>
        <v>52064</v>
      </c>
      <c r="E135" s="38">
        <f>IF(E$3="","",D135)</f>
        <v>52064</v>
      </c>
      <c r="F135" s="38">
        <v>52078</v>
      </c>
      <c r="G135" s="121">
        <f>IF(G$3="","",F135)</f>
        <v>52078</v>
      </c>
      <c r="H135" s="38">
        <f>IF(H$3="","",G135)</f>
        <v>52078</v>
      </c>
      <c r="I135" s="38">
        <v>52088</v>
      </c>
      <c r="J135" s="121">
        <f>IF(J$3="","",I135)</f>
        <v>52088</v>
      </c>
      <c r="K135" s="38">
        <f>IF(K$3="","",J135)</f>
        <v>52088</v>
      </c>
      <c r="L135" s="38">
        <v>52098</v>
      </c>
      <c r="M135" s="38">
        <f>IF(M$3="","",L135)</f>
        <v>52098</v>
      </c>
      <c r="N135" s="38">
        <f>IF(N$3="","",M135)</f>
        <v>52098</v>
      </c>
      <c r="O135" s="38">
        <v>52115</v>
      </c>
      <c r="P135" s="121">
        <f t="shared" ref="P135:AO135" si="260">IF(P$3="","",O135)</f>
        <v>52115</v>
      </c>
      <c r="Q135" s="38">
        <f t="shared" si="260"/>
        <v>52115</v>
      </c>
      <c r="R135" s="38">
        <f t="shared" si="260"/>
        <v>52115</v>
      </c>
      <c r="S135" s="38">
        <v>52123</v>
      </c>
      <c r="T135" s="38">
        <f t="shared" si="260"/>
        <v>52123</v>
      </c>
      <c r="U135" s="38">
        <f t="shared" si="260"/>
        <v>52123</v>
      </c>
      <c r="V135" s="38">
        <v>52126</v>
      </c>
      <c r="W135" s="38">
        <f t="shared" si="260"/>
        <v>52126</v>
      </c>
      <c r="X135" s="38">
        <f t="shared" si="260"/>
        <v>52126</v>
      </c>
      <c r="Y135" s="38">
        <f t="shared" si="260"/>
        <v>52126</v>
      </c>
      <c r="Z135" s="38">
        <f t="shared" si="260"/>
        <v>52126</v>
      </c>
      <c r="AA135" s="38">
        <v>52140</v>
      </c>
      <c r="AB135" s="38">
        <f t="shared" si="260"/>
        <v>52140</v>
      </c>
      <c r="AC135" s="38">
        <f t="shared" si="260"/>
        <v>52140</v>
      </c>
      <c r="AD135" s="38">
        <v>52157</v>
      </c>
      <c r="AE135" s="38" t="str">
        <f t="shared" si="260"/>
        <v/>
      </c>
      <c r="AF135" s="38" t="str">
        <f t="shared" si="260"/>
        <v/>
      </c>
      <c r="AG135" s="38" t="str">
        <f t="shared" si="260"/>
        <v/>
      </c>
      <c r="AH135" s="38" t="str">
        <f t="shared" si="260"/>
        <v/>
      </c>
      <c r="AI135" s="38" t="str">
        <f t="shared" si="260"/>
        <v/>
      </c>
      <c r="AJ135" s="38" t="str">
        <f t="shared" si="260"/>
        <v/>
      </c>
      <c r="AK135" s="38" t="str">
        <f t="shared" si="260"/>
        <v/>
      </c>
      <c r="AL135" s="38" t="str">
        <f t="shared" si="260"/>
        <v/>
      </c>
      <c r="AM135" s="38" t="str">
        <f t="shared" si="260"/>
        <v/>
      </c>
      <c r="AN135" s="38" t="str">
        <f t="shared" si="260"/>
        <v/>
      </c>
      <c r="AO135" s="38" t="str">
        <f t="shared" si="260"/>
        <v/>
      </c>
      <c r="AP135" s="38" t="str">
        <f t="shared" ref="AP135:AR135" si="261">IF(AP$3="","",AO135)</f>
        <v/>
      </c>
      <c r="AQ135" s="38" t="str">
        <f t="shared" si="261"/>
        <v/>
      </c>
      <c r="AR135" s="38" t="str">
        <f t="shared" si="261"/>
        <v/>
      </c>
    </row>
    <row r="136" spans="1:44" s="1" customFormat="1">
      <c r="A136" s="37" t="s">
        <v>195</v>
      </c>
      <c r="B136" s="30" t="s">
        <v>4</v>
      </c>
      <c r="C136" s="65">
        <v>8766</v>
      </c>
      <c r="D136" s="29">
        <f>IF(D$3="","",C136)</f>
        <v>8766</v>
      </c>
      <c r="E136" s="29">
        <f>IF(E$3="","",D136)</f>
        <v>8766</v>
      </c>
      <c r="F136" s="29">
        <v>8776</v>
      </c>
      <c r="G136" s="122">
        <f>IF(G$3="","",F136)</f>
        <v>8776</v>
      </c>
      <c r="H136" s="29">
        <f>IF(H$3="","",G136)</f>
        <v>8776</v>
      </c>
      <c r="I136" s="29">
        <v>8780</v>
      </c>
      <c r="J136" s="122">
        <f>IF(J$3="","",I136)</f>
        <v>8780</v>
      </c>
      <c r="K136" s="29">
        <f>IF(K$3="","",J136)</f>
        <v>8780</v>
      </c>
      <c r="L136" s="29">
        <v>8787</v>
      </c>
      <c r="M136" s="29">
        <f>IF(M$3="","",L136)</f>
        <v>8787</v>
      </c>
      <c r="N136" s="29">
        <f>IF(N$3="","",M136)</f>
        <v>8787</v>
      </c>
      <c r="O136" s="29">
        <v>8794</v>
      </c>
      <c r="P136" s="122">
        <f t="shared" ref="P136:AO136" si="262">IF(P$3="","",O136)</f>
        <v>8794</v>
      </c>
      <c r="Q136" s="29">
        <f t="shared" si="262"/>
        <v>8794</v>
      </c>
      <c r="R136" s="29">
        <f t="shared" si="262"/>
        <v>8794</v>
      </c>
      <c r="S136" s="29">
        <v>8803</v>
      </c>
      <c r="T136" s="29">
        <f t="shared" si="262"/>
        <v>8803</v>
      </c>
      <c r="U136" s="29">
        <f t="shared" si="262"/>
        <v>8803</v>
      </c>
      <c r="V136" s="29">
        <v>8804</v>
      </c>
      <c r="W136" s="29">
        <f t="shared" si="262"/>
        <v>8804</v>
      </c>
      <c r="X136" s="29">
        <f t="shared" si="262"/>
        <v>8804</v>
      </c>
      <c r="Y136" s="29">
        <f t="shared" si="262"/>
        <v>8804</v>
      </c>
      <c r="Z136" s="29">
        <f t="shared" si="262"/>
        <v>8804</v>
      </c>
      <c r="AA136" s="29">
        <v>8806</v>
      </c>
      <c r="AB136" s="29">
        <f t="shared" si="262"/>
        <v>8806</v>
      </c>
      <c r="AC136" s="29">
        <f t="shared" si="262"/>
        <v>8806</v>
      </c>
      <c r="AD136" s="29">
        <v>8814</v>
      </c>
      <c r="AE136" s="29" t="str">
        <f t="shared" si="262"/>
        <v/>
      </c>
      <c r="AF136" s="29" t="str">
        <f t="shared" si="262"/>
        <v/>
      </c>
      <c r="AG136" s="29" t="str">
        <f t="shared" si="262"/>
        <v/>
      </c>
      <c r="AH136" s="29" t="str">
        <f t="shared" si="262"/>
        <v/>
      </c>
      <c r="AI136" s="29" t="str">
        <f t="shared" si="262"/>
        <v/>
      </c>
      <c r="AJ136" s="29" t="str">
        <f t="shared" si="262"/>
        <v/>
      </c>
      <c r="AK136" s="29" t="str">
        <f t="shared" si="262"/>
        <v/>
      </c>
      <c r="AL136" s="29" t="str">
        <f t="shared" si="262"/>
        <v/>
      </c>
      <c r="AM136" s="29" t="str">
        <f t="shared" si="262"/>
        <v/>
      </c>
      <c r="AN136" s="29" t="str">
        <f t="shared" si="262"/>
        <v/>
      </c>
      <c r="AO136" s="29" t="str">
        <f t="shared" si="262"/>
        <v/>
      </c>
      <c r="AP136" s="29" t="str">
        <f t="shared" ref="AP136:AR136" si="263">IF(AP$3="","",AO136)</f>
        <v/>
      </c>
      <c r="AQ136" s="29" t="str">
        <f t="shared" si="263"/>
        <v/>
      </c>
      <c r="AR136" s="29" t="str">
        <f t="shared" si="263"/>
        <v/>
      </c>
    </row>
    <row r="137" spans="1:44" s="1" customFormat="1">
      <c r="A137" s="41">
        <v>1</v>
      </c>
      <c r="B137" s="30" t="s">
        <v>5</v>
      </c>
      <c r="C137" s="65">
        <v>53</v>
      </c>
      <c r="D137" s="29">
        <f t="shared" ref="D137:AO137" si="264">IF(D135="","",(C137+C138))</f>
        <v>53</v>
      </c>
      <c r="E137" s="29">
        <f t="shared" si="264"/>
        <v>53</v>
      </c>
      <c r="F137" s="29">
        <f t="shared" si="264"/>
        <v>53</v>
      </c>
      <c r="G137" s="122">
        <f t="shared" si="264"/>
        <v>53</v>
      </c>
      <c r="H137" s="29">
        <f t="shared" si="264"/>
        <v>53</v>
      </c>
      <c r="I137" s="29">
        <f t="shared" si="264"/>
        <v>53</v>
      </c>
      <c r="J137" s="122">
        <f t="shared" si="264"/>
        <v>53</v>
      </c>
      <c r="K137" s="29">
        <f t="shared" si="264"/>
        <v>53</v>
      </c>
      <c r="L137" s="29">
        <f t="shared" si="264"/>
        <v>53</v>
      </c>
      <c r="M137" s="29">
        <f t="shared" si="264"/>
        <v>53</v>
      </c>
      <c r="N137" s="29">
        <f t="shared" si="264"/>
        <v>53</v>
      </c>
      <c r="O137" s="29">
        <f t="shared" si="264"/>
        <v>53</v>
      </c>
      <c r="P137" s="122">
        <f t="shared" si="264"/>
        <v>53</v>
      </c>
      <c r="Q137" s="29">
        <f t="shared" si="264"/>
        <v>53</v>
      </c>
      <c r="R137" s="29">
        <f t="shared" si="264"/>
        <v>53</v>
      </c>
      <c r="S137" s="29">
        <f t="shared" si="264"/>
        <v>53</v>
      </c>
      <c r="T137" s="29">
        <f t="shared" si="264"/>
        <v>53</v>
      </c>
      <c r="U137" s="29">
        <f t="shared" si="264"/>
        <v>53</v>
      </c>
      <c r="V137" s="29">
        <f>IF(V135="","",(U137+U138))</f>
        <v>53</v>
      </c>
      <c r="W137" s="29">
        <f t="shared" si="264"/>
        <v>53</v>
      </c>
      <c r="X137" s="29">
        <f t="shared" si="264"/>
        <v>53</v>
      </c>
      <c r="Y137" s="29">
        <f t="shared" si="264"/>
        <v>53</v>
      </c>
      <c r="Z137" s="29">
        <f t="shared" si="264"/>
        <v>53</v>
      </c>
      <c r="AA137" s="29">
        <f t="shared" si="264"/>
        <v>53</v>
      </c>
      <c r="AB137" s="29">
        <f t="shared" si="264"/>
        <v>53</v>
      </c>
      <c r="AC137" s="29">
        <f t="shared" si="264"/>
        <v>53</v>
      </c>
      <c r="AD137" s="29">
        <f t="shared" si="264"/>
        <v>53</v>
      </c>
      <c r="AE137" s="29" t="str">
        <f t="shared" si="264"/>
        <v/>
      </c>
      <c r="AF137" s="29" t="str">
        <f t="shared" si="264"/>
        <v/>
      </c>
      <c r="AG137" s="29" t="str">
        <f t="shared" si="264"/>
        <v/>
      </c>
      <c r="AH137" s="29" t="str">
        <f t="shared" si="264"/>
        <v/>
      </c>
      <c r="AI137" s="29" t="str">
        <f t="shared" si="264"/>
        <v/>
      </c>
      <c r="AJ137" s="29" t="str">
        <f t="shared" si="264"/>
        <v/>
      </c>
      <c r="AK137" s="29" t="str">
        <f t="shared" si="264"/>
        <v/>
      </c>
      <c r="AL137" s="29" t="str">
        <f t="shared" si="264"/>
        <v/>
      </c>
      <c r="AM137" s="29" t="str">
        <f t="shared" si="264"/>
        <v/>
      </c>
      <c r="AN137" s="29" t="str">
        <f t="shared" si="264"/>
        <v/>
      </c>
      <c r="AO137" s="29" t="str">
        <f t="shared" si="264"/>
        <v/>
      </c>
      <c r="AP137" s="29" t="str">
        <f t="shared" ref="AP137" si="265">IF(AP135="","",(AO137+AO138))</f>
        <v/>
      </c>
      <c r="AQ137" s="29" t="str">
        <f t="shared" ref="AQ137:AR137" si="266">IF(AQ135="","",(AP137+AP138))</f>
        <v/>
      </c>
      <c r="AR137" s="29" t="str">
        <f t="shared" si="266"/>
        <v/>
      </c>
    </row>
    <row r="138" spans="1:44" s="1" customFormat="1">
      <c r="A138" s="14"/>
      <c r="B138" s="30" t="s">
        <v>7</v>
      </c>
      <c r="C138" s="65"/>
      <c r="D138" s="29"/>
      <c r="E138" s="29"/>
      <c r="F138" s="29"/>
      <c r="G138" s="122"/>
      <c r="H138" s="29"/>
      <c r="I138" s="29"/>
      <c r="J138" s="122"/>
      <c r="K138" s="29"/>
      <c r="L138" s="29"/>
      <c r="M138" s="29"/>
      <c r="N138" s="29"/>
      <c r="O138" s="29"/>
      <c r="P138" s="122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</row>
    <row r="139" spans="1:44" s="1" customFormat="1">
      <c r="A139" s="7"/>
      <c r="B139" s="30" t="s">
        <v>8</v>
      </c>
      <c r="C139" s="64">
        <v>80</v>
      </c>
      <c r="D139" s="35">
        <f t="shared" ref="D139:AO139" si="267">IF(D135="","",C139)</f>
        <v>80</v>
      </c>
      <c r="E139" s="35">
        <f t="shared" si="267"/>
        <v>80</v>
      </c>
      <c r="F139" s="35">
        <f t="shared" si="267"/>
        <v>80</v>
      </c>
      <c r="G139" s="383">
        <f t="shared" si="267"/>
        <v>80</v>
      </c>
      <c r="H139" s="35">
        <f t="shared" si="267"/>
        <v>80</v>
      </c>
      <c r="I139" s="35">
        <f t="shared" si="267"/>
        <v>80</v>
      </c>
      <c r="J139" s="383">
        <f t="shared" si="267"/>
        <v>80</v>
      </c>
      <c r="K139" s="35">
        <f t="shared" si="267"/>
        <v>80</v>
      </c>
      <c r="L139" s="35">
        <f t="shared" si="267"/>
        <v>80</v>
      </c>
      <c r="M139" s="35">
        <f t="shared" si="267"/>
        <v>80</v>
      </c>
      <c r="N139" s="35">
        <f t="shared" si="267"/>
        <v>80</v>
      </c>
      <c r="O139" s="35">
        <f t="shared" si="267"/>
        <v>80</v>
      </c>
      <c r="P139" s="383">
        <f t="shared" si="267"/>
        <v>80</v>
      </c>
      <c r="Q139" s="35">
        <f t="shared" si="267"/>
        <v>80</v>
      </c>
      <c r="R139" s="35">
        <f t="shared" si="267"/>
        <v>80</v>
      </c>
      <c r="S139" s="35">
        <f t="shared" si="267"/>
        <v>80</v>
      </c>
      <c r="T139" s="35">
        <f t="shared" si="267"/>
        <v>80</v>
      </c>
      <c r="U139" s="35">
        <f t="shared" si="267"/>
        <v>80</v>
      </c>
      <c r="V139" s="35">
        <f>IF(V135="","",U139)</f>
        <v>80</v>
      </c>
      <c r="W139" s="35">
        <f t="shared" si="267"/>
        <v>80</v>
      </c>
      <c r="X139" s="35">
        <f t="shared" si="267"/>
        <v>80</v>
      </c>
      <c r="Y139" s="35">
        <f t="shared" si="267"/>
        <v>80</v>
      </c>
      <c r="Z139" s="35">
        <f t="shared" si="267"/>
        <v>80</v>
      </c>
      <c r="AA139" s="35">
        <f t="shared" si="267"/>
        <v>80</v>
      </c>
      <c r="AB139" s="35">
        <f t="shared" si="267"/>
        <v>80</v>
      </c>
      <c r="AC139" s="35">
        <f t="shared" si="267"/>
        <v>80</v>
      </c>
      <c r="AD139" s="35">
        <f t="shared" si="267"/>
        <v>80</v>
      </c>
      <c r="AE139" s="35" t="str">
        <f t="shared" si="267"/>
        <v/>
      </c>
      <c r="AF139" s="35" t="str">
        <f t="shared" si="267"/>
        <v/>
      </c>
      <c r="AG139" s="35" t="str">
        <f t="shared" si="267"/>
        <v/>
      </c>
      <c r="AH139" s="35" t="str">
        <f t="shared" si="267"/>
        <v/>
      </c>
      <c r="AI139" s="35" t="str">
        <f t="shared" si="267"/>
        <v/>
      </c>
      <c r="AJ139" s="35" t="str">
        <f t="shared" si="267"/>
        <v/>
      </c>
      <c r="AK139" s="35" t="str">
        <f t="shared" si="267"/>
        <v/>
      </c>
      <c r="AL139" s="35" t="str">
        <f t="shared" si="267"/>
        <v/>
      </c>
      <c r="AM139" s="35" t="str">
        <f t="shared" si="267"/>
        <v/>
      </c>
      <c r="AN139" s="35" t="str">
        <f t="shared" si="267"/>
        <v/>
      </c>
      <c r="AO139" s="35" t="str">
        <f t="shared" si="267"/>
        <v/>
      </c>
      <c r="AP139" s="35" t="str">
        <f t="shared" ref="AP139" si="268">IF(AP135="","",AO139)</f>
        <v/>
      </c>
      <c r="AQ139" s="35" t="str">
        <f t="shared" ref="AQ139:AR139" si="269">IF(AQ135="","",AP139)</f>
        <v/>
      </c>
      <c r="AR139" s="35" t="str">
        <f t="shared" si="269"/>
        <v/>
      </c>
    </row>
    <row r="140" spans="1:44" s="11" customFormat="1">
      <c r="A140" s="14" t="s">
        <v>9</v>
      </c>
      <c r="B140" s="33" t="s">
        <v>10</v>
      </c>
      <c r="C140" s="63" t="s">
        <v>196</v>
      </c>
      <c r="D140" s="32" t="str">
        <f t="shared" ref="D140:AO140" si="270">IF(D135="","",C140)</f>
        <v>ファー</v>
      </c>
      <c r="E140" s="32" t="str">
        <f t="shared" si="270"/>
        <v>ファー</v>
      </c>
      <c r="F140" s="32" t="str">
        <f t="shared" si="270"/>
        <v>ファー</v>
      </c>
      <c r="G140" s="123" t="str">
        <f t="shared" si="270"/>
        <v>ファー</v>
      </c>
      <c r="H140" s="32" t="str">
        <f t="shared" si="270"/>
        <v>ファー</v>
      </c>
      <c r="I140" s="32" t="str">
        <f t="shared" si="270"/>
        <v>ファー</v>
      </c>
      <c r="J140" s="123" t="str">
        <f t="shared" si="270"/>
        <v>ファー</v>
      </c>
      <c r="K140" s="32" t="str">
        <f t="shared" si="270"/>
        <v>ファー</v>
      </c>
      <c r="L140" s="32" t="str">
        <f t="shared" si="270"/>
        <v>ファー</v>
      </c>
      <c r="M140" s="32" t="str">
        <f t="shared" si="270"/>
        <v>ファー</v>
      </c>
      <c r="N140" s="32" t="str">
        <f t="shared" si="270"/>
        <v>ファー</v>
      </c>
      <c r="O140" s="32" t="str">
        <f t="shared" si="270"/>
        <v>ファー</v>
      </c>
      <c r="P140" s="123" t="str">
        <f t="shared" si="270"/>
        <v>ファー</v>
      </c>
      <c r="Q140" s="32" t="str">
        <f t="shared" si="270"/>
        <v>ファー</v>
      </c>
      <c r="R140" s="32" t="str">
        <f t="shared" si="270"/>
        <v>ファー</v>
      </c>
      <c r="S140" s="32" t="str">
        <f t="shared" si="270"/>
        <v>ファー</v>
      </c>
      <c r="T140" s="32" t="str">
        <f t="shared" si="270"/>
        <v>ファー</v>
      </c>
      <c r="U140" s="32" t="str">
        <f t="shared" si="270"/>
        <v>ファー</v>
      </c>
      <c r="V140" s="32" t="str">
        <f>IF(V135="","",U140)</f>
        <v>ファー</v>
      </c>
      <c r="W140" s="32" t="str">
        <f t="shared" si="270"/>
        <v>ファー</v>
      </c>
      <c r="X140" s="32" t="str">
        <f t="shared" si="270"/>
        <v>ファー</v>
      </c>
      <c r="Y140" s="32" t="str">
        <f t="shared" si="270"/>
        <v>ファー</v>
      </c>
      <c r="Z140" s="32" t="str">
        <f t="shared" si="270"/>
        <v>ファー</v>
      </c>
      <c r="AA140" s="32" t="str">
        <f t="shared" si="270"/>
        <v>ファー</v>
      </c>
      <c r="AB140" s="32" t="str">
        <f t="shared" si="270"/>
        <v>ファー</v>
      </c>
      <c r="AC140" s="32" t="str">
        <f t="shared" si="270"/>
        <v>ファー</v>
      </c>
      <c r="AD140" s="32" t="str">
        <f t="shared" si="270"/>
        <v>ファー</v>
      </c>
      <c r="AE140" s="32" t="str">
        <f t="shared" si="270"/>
        <v/>
      </c>
      <c r="AF140" s="32" t="str">
        <f t="shared" si="270"/>
        <v/>
      </c>
      <c r="AG140" s="32" t="str">
        <f t="shared" si="270"/>
        <v/>
      </c>
      <c r="AH140" s="32" t="str">
        <f t="shared" si="270"/>
        <v/>
      </c>
      <c r="AI140" s="32" t="str">
        <f t="shared" si="270"/>
        <v/>
      </c>
      <c r="AJ140" s="32" t="str">
        <f t="shared" si="270"/>
        <v/>
      </c>
      <c r="AK140" s="32" t="str">
        <f t="shared" si="270"/>
        <v/>
      </c>
      <c r="AL140" s="32" t="str">
        <f t="shared" si="270"/>
        <v/>
      </c>
      <c r="AM140" s="32" t="str">
        <f t="shared" si="270"/>
        <v/>
      </c>
      <c r="AN140" s="32" t="str">
        <f t="shared" si="270"/>
        <v/>
      </c>
      <c r="AO140" s="32" t="str">
        <f t="shared" si="270"/>
        <v/>
      </c>
      <c r="AP140" s="32" t="str">
        <f t="shared" ref="AP140" si="271">IF(AP135="","",AO140)</f>
        <v/>
      </c>
      <c r="AQ140" s="32" t="str">
        <f t="shared" ref="AQ140:AR140" si="272">IF(AQ135="","",AP140)</f>
        <v/>
      </c>
      <c r="AR140" s="32" t="str">
        <f t="shared" si="272"/>
        <v/>
      </c>
    </row>
    <row r="141" spans="1:44" s="1" customFormat="1">
      <c r="A141" s="7">
        <f>AVERAGE(C142:AS142)*30*100</f>
        <v>9964.2857142857156</v>
      </c>
      <c r="B141" s="30" t="s">
        <v>14</v>
      </c>
      <c r="C141" s="65"/>
      <c r="D141" s="29"/>
      <c r="E141" s="29"/>
      <c r="F141" s="29"/>
      <c r="G141" s="122"/>
      <c r="H141" s="29"/>
      <c r="I141" s="29"/>
      <c r="J141" s="122"/>
      <c r="K141" s="29"/>
      <c r="L141" s="29"/>
      <c r="M141" s="29"/>
      <c r="N141" s="29"/>
      <c r="O141" s="29"/>
      <c r="P141" s="122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</row>
    <row r="142" spans="1:44" s="1" customFormat="1">
      <c r="A142" s="7">
        <f>SUM(C142:AS142)</f>
        <v>93</v>
      </c>
      <c r="B142" s="27" t="s">
        <v>15</v>
      </c>
      <c r="C142" s="65">
        <v>0</v>
      </c>
      <c r="D142" s="26">
        <f t="shared" ref="D142:AO142" si="273">IF(D135="","",D135-C135)</f>
        <v>0</v>
      </c>
      <c r="E142" s="26">
        <f t="shared" si="273"/>
        <v>0</v>
      </c>
      <c r="F142" s="26">
        <f t="shared" si="273"/>
        <v>14</v>
      </c>
      <c r="G142" s="122">
        <f t="shared" si="273"/>
        <v>0</v>
      </c>
      <c r="H142" s="26">
        <f t="shared" si="273"/>
        <v>0</v>
      </c>
      <c r="I142" s="26">
        <f t="shared" si="273"/>
        <v>10</v>
      </c>
      <c r="J142" s="122">
        <f t="shared" si="273"/>
        <v>0</v>
      </c>
      <c r="K142" s="26">
        <f t="shared" si="273"/>
        <v>0</v>
      </c>
      <c r="L142" s="26">
        <f t="shared" si="273"/>
        <v>10</v>
      </c>
      <c r="M142" s="26">
        <f t="shared" si="273"/>
        <v>0</v>
      </c>
      <c r="N142" s="26">
        <f t="shared" si="273"/>
        <v>0</v>
      </c>
      <c r="O142" s="26">
        <f t="shared" si="273"/>
        <v>17</v>
      </c>
      <c r="P142" s="122">
        <f t="shared" si="273"/>
        <v>0</v>
      </c>
      <c r="Q142" s="26">
        <f t="shared" si="273"/>
        <v>0</v>
      </c>
      <c r="R142" s="26">
        <f t="shared" si="273"/>
        <v>0</v>
      </c>
      <c r="S142" s="26">
        <f t="shared" si="273"/>
        <v>8</v>
      </c>
      <c r="T142" s="26">
        <f t="shared" si="273"/>
        <v>0</v>
      </c>
      <c r="U142" s="26">
        <f t="shared" si="273"/>
        <v>0</v>
      </c>
      <c r="V142" s="26">
        <f>IF(V135="","",V135-U135)</f>
        <v>3</v>
      </c>
      <c r="W142" s="26">
        <f t="shared" si="273"/>
        <v>0</v>
      </c>
      <c r="X142" s="26">
        <f t="shared" si="273"/>
        <v>0</v>
      </c>
      <c r="Y142" s="26">
        <f t="shared" si="273"/>
        <v>0</v>
      </c>
      <c r="Z142" s="26">
        <f t="shared" si="273"/>
        <v>0</v>
      </c>
      <c r="AA142" s="26">
        <f t="shared" si="273"/>
        <v>14</v>
      </c>
      <c r="AB142" s="26">
        <f t="shared" si="273"/>
        <v>0</v>
      </c>
      <c r="AC142" s="26">
        <f t="shared" si="273"/>
        <v>0</v>
      </c>
      <c r="AD142" s="26">
        <f t="shared" si="273"/>
        <v>17</v>
      </c>
      <c r="AE142" s="26" t="str">
        <f t="shared" si="273"/>
        <v/>
      </c>
      <c r="AF142" s="26" t="str">
        <f t="shared" si="273"/>
        <v/>
      </c>
      <c r="AG142" s="26" t="str">
        <f t="shared" si="273"/>
        <v/>
      </c>
      <c r="AH142" s="26" t="str">
        <f t="shared" si="273"/>
        <v/>
      </c>
      <c r="AI142" s="26" t="str">
        <f t="shared" si="273"/>
        <v/>
      </c>
      <c r="AJ142" s="26" t="str">
        <f t="shared" si="273"/>
        <v/>
      </c>
      <c r="AK142" s="26" t="str">
        <f t="shared" si="273"/>
        <v/>
      </c>
      <c r="AL142" s="26" t="str">
        <f t="shared" si="273"/>
        <v/>
      </c>
      <c r="AM142" s="26" t="str">
        <f t="shared" si="273"/>
        <v/>
      </c>
      <c r="AN142" s="26" t="str">
        <f t="shared" si="273"/>
        <v/>
      </c>
      <c r="AO142" s="26" t="str">
        <f t="shared" si="273"/>
        <v/>
      </c>
      <c r="AP142" s="26" t="str">
        <f t="shared" ref="AP142:AP143" si="274">IF(AP135="","",AP135-AO135)</f>
        <v/>
      </c>
      <c r="AQ142" s="26" t="str">
        <f t="shared" ref="AQ142:AR143" si="275">IF(AQ135="","",AQ135-AP135)</f>
        <v/>
      </c>
      <c r="AR142" s="26" t="str">
        <f t="shared" si="275"/>
        <v/>
      </c>
    </row>
    <row r="143" spans="1:44" s="1" customFormat="1">
      <c r="A143" s="7">
        <f>SUM(C143:AS143)</f>
        <v>48</v>
      </c>
      <c r="B143" s="27" t="s">
        <v>16</v>
      </c>
      <c r="C143" s="65">
        <v>0</v>
      </c>
      <c r="D143" s="26">
        <f t="shared" ref="D143:AO143" si="276">IF(D136="","",D136-C136)</f>
        <v>0</v>
      </c>
      <c r="E143" s="26">
        <f t="shared" si="276"/>
        <v>0</v>
      </c>
      <c r="F143" s="26">
        <f t="shared" si="276"/>
        <v>10</v>
      </c>
      <c r="G143" s="122">
        <f t="shared" si="276"/>
        <v>0</v>
      </c>
      <c r="H143" s="26">
        <f t="shared" si="276"/>
        <v>0</v>
      </c>
      <c r="I143" s="26">
        <f t="shared" si="276"/>
        <v>4</v>
      </c>
      <c r="J143" s="122">
        <f t="shared" si="276"/>
        <v>0</v>
      </c>
      <c r="K143" s="26">
        <f t="shared" si="276"/>
        <v>0</v>
      </c>
      <c r="L143" s="26">
        <f t="shared" si="276"/>
        <v>7</v>
      </c>
      <c r="M143" s="26">
        <f t="shared" si="276"/>
        <v>0</v>
      </c>
      <c r="N143" s="26">
        <f t="shared" si="276"/>
        <v>0</v>
      </c>
      <c r="O143" s="26">
        <f t="shared" si="276"/>
        <v>7</v>
      </c>
      <c r="P143" s="122">
        <f t="shared" si="276"/>
        <v>0</v>
      </c>
      <c r="Q143" s="26">
        <f t="shared" si="276"/>
        <v>0</v>
      </c>
      <c r="R143" s="26">
        <f t="shared" si="276"/>
        <v>0</v>
      </c>
      <c r="S143" s="26">
        <f t="shared" si="276"/>
        <v>9</v>
      </c>
      <c r="T143" s="26">
        <f t="shared" si="276"/>
        <v>0</v>
      </c>
      <c r="U143" s="26">
        <f t="shared" si="276"/>
        <v>0</v>
      </c>
      <c r="V143" s="26">
        <f>IF(V136="","",V136-U136)</f>
        <v>1</v>
      </c>
      <c r="W143" s="26">
        <f t="shared" si="276"/>
        <v>0</v>
      </c>
      <c r="X143" s="26">
        <f t="shared" si="276"/>
        <v>0</v>
      </c>
      <c r="Y143" s="26">
        <f t="shared" si="276"/>
        <v>0</v>
      </c>
      <c r="Z143" s="26">
        <f t="shared" si="276"/>
        <v>0</v>
      </c>
      <c r="AA143" s="26">
        <f t="shared" si="276"/>
        <v>2</v>
      </c>
      <c r="AB143" s="26">
        <f t="shared" si="276"/>
        <v>0</v>
      </c>
      <c r="AC143" s="26">
        <f t="shared" si="276"/>
        <v>0</v>
      </c>
      <c r="AD143" s="26">
        <f t="shared" si="276"/>
        <v>8</v>
      </c>
      <c r="AE143" s="26" t="str">
        <f t="shared" si="276"/>
        <v/>
      </c>
      <c r="AF143" s="26" t="str">
        <f t="shared" si="276"/>
        <v/>
      </c>
      <c r="AG143" s="26" t="str">
        <f t="shared" si="276"/>
        <v/>
      </c>
      <c r="AH143" s="26" t="str">
        <f t="shared" si="276"/>
        <v/>
      </c>
      <c r="AI143" s="26" t="str">
        <f t="shared" si="276"/>
        <v/>
      </c>
      <c r="AJ143" s="26" t="str">
        <f t="shared" si="276"/>
        <v/>
      </c>
      <c r="AK143" s="26" t="str">
        <f t="shared" si="276"/>
        <v/>
      </c>
      <c r="AL143" s="26" t="str">
        <f t="shared" si="276"/>
        <v/>
      </c>
      <c r="AM143" s="26" t="str">
        <f t="shared" si="276"/>
        <v/>
      </c>
      <c r="AN143" s="26" t="str">
        <f t="shared" si="276"/>
        <v/>
      </c>
      <c r="AO143" s="26" t="str">
        <f t="shared" si="276"/>
        <v/>
      </c>
      <c r="AP143" s="26" t="str">
        <f t="shared" si="274"/>
        <v/>
      </c>
      <c r="AQ143" s="26" t="str">
        <f t="shared" si="275"/>
        <v/>
      </c>
      <c r="AR143" s="26" t="str">
        <f t="shared" si="275"/>
        <v/>
      </c>
    </row>
    <row r="144" spans="1:44" s="1" customFormat="1">
      <c r="A144" s="7">
        <f>SUM(C144:AS144)</f>
        <v>0</v>
      </c>
      <c r="B144" s="27" t="s">
        <v>17</v>
      </c>
      <c r="C144" s="65">
        <v>0</v>
      </c>
      <c r="D144" s="26">
        <f t="shared" ref="D144:AO144" si="277">IF(D137="","",C137+C138-D137)</f>
        <v>0</v>
      </c>
      <c r="E144" s="26">
        <f t="shared" si="277"/>
        <v>0</v>
      </c>
      <c r="F144" s="26">
        <f t="shared" si="277"/>
        <v>0</v>
      </c>
      <c r="G144" s="122">
        <f t="shared" si="277"/>
        <v>0</v>
      </c>
      <c r="H144" s="26">
        <f t="shared" si="277"/>
        <v>0</v>
      </c>
      <c r="I144" s="26">
        <f t="shared" si="277"/>
        <v>0</v>
      </c>
      <c r="J144" s="122">
        <f t="shared" si="277"/>
        <v>0</v>
      </c>
      <c r="K144" s="26">
        <f t="shared" si="277"/>
        <v>0</v>
      </c>
      <c r="L144" s="26">
        <f t="shared" si="277"/>
        <v>0</v>
      </c>
      <c r="M144" s="26">
        <f t="shared" si="277"/>
        <v>0</v>
      </c>
      <c r="N144" s="26">
        <f t="shared" si="277"/>
        <v>0</v>
      </c>
      <c r="O144" s="26">
        <f t="shared" si="277"/>
        <v>0</v>
      </c>
      <c r="P144" s="122">
        <f t="shared" si="277"/>
        <v>0</v>
      </c>
      <c r="Q144" s="26">
        <f t="shared" si="277"/>
        <v>0</v>
      </c>
      <c r="R144" s="26">
        <f t="shared" si="277"/>
        <v>0</v>
      </c>
      <c r="S144" s="26">
        <f t="shared" si="277"/>
        <v>0</v>
      </c>
      <c r="T144" s="26">
        <f t="shared" si="277"/>
        <v>0</v>
      </c>
      <c r="U144" s="26">
        <f t="shared" si="277"/>
        <v>0</v>
      </c>
      <c r="V144" s="26">
        <f>IF(V137="","",U137+U138-V137)</f>
        <v>0</v>
      </c>
      <c r="W144" s="26">
        <f t="shared" si="277"/>
        <v>0</v>
      </c>
      <c r="X144" s="26">
        <f t="shared" si="277"/>
        <v>0</v>
      </c>
      <c r="Y144" s="26">
        <f t="shared" si="277"/>
        <v>0</v>
      </c>
      <c r="Z144" s="26">
        <f t="shared" si="277"/>
        <v>0</v>
      </c>
      <c r="AA144" s="26">
        <f t="shared" si="277"/>
        <v>0</v>
      </c>
      <c r="AB144" s="26">
        <f t="shared" si="277"/>
        <v>0</v>
      </c>
      <c r="AC144" s="26">
        <f t="shared" si="277"/>
        <v>0</v>
      </c>
      <c r="AD144" s="26">
        <f t="shared" si="277"/>
        <v>0</v>
      </c>
      <c r="AE144" s="26" t="str">
        <f t="shared" si="277"/>
        <v/>
      </c>
      <c r="AF144" s="26" t="str">
        <f t="shared" si="277"/>
        <v/>
      </c>
      <c r="AG144" s="26" t="str">
        <f t="shared" si="277"/>
        <v/>
      </c>
      <c r="AH144" s="26" t="str">
        <f t="shared" si="277"/>
        <v/>
      </c>
      <c r="AI144" s="26" t="str">
        <f t="shared" si="277"/>
        <v/>
      </c>
      <c r="AJ144" s="26" t="str">
        <f t="shared" si="277"/>
        <v/>
      </c>
      <c r="AK144" s="26" t="str">
        <f t="shared" si="277"/>
        <v/>
      </c>
      <c r="AL144" s="26" t="str">
        <f t="shared" si="277"/>
        <v/>
      </c>
      <c r="AM144" s="26" t="str">
        <f t="shared" si="277"/>
        <v/>
      </c>
      <c r="AN144" s="26" t="str">
        <f t="shared" si="277"/>
        <v/>
      </c>
      <c r="AO144" s="26" t="str">
        <f t="shared" si="277"/>
        <v/>
      </c>
      <c r="AP144" s="26" t="str">
        <f t="shared" ref="AP144" si="278">IF(AP137="","",AO137+AO138-AP137)</f>
        <v/>
      </c>
      <c r="AQ144" s="26" t="str">
        <f t="shared" ref="AQ144:AR144" si="279">IF(AQ137="","",AP137+AP138-AQ137)</f>
        <v/>
      </c>
      <c r="AR144" s="26" t="str">
        <f t="shared" si="279"/>
        <v/>
      </c>
    </row>
    <row r="145" spans="1:44" s="1" customFormat="1">
      <c r="A145" s="7">
        <f>SUM(C145:AS145)</f>
        <v>0</v>
      </c>
      <c r="B145" s="27" t="s">
        <v>18</v>
      </c>
      <c r="C145" s="65">
        <v>0</v>
      </c>
      <c r="D145" s="26">
        <f t="shared" ref="D145:AO145" si="280">IF(D135="","",D144*D139)</f>
        <v>0</v>
      </c>
      <c r="E145" s="26">
        <f t="shared" si="280"/>
        <v>0</v>
      </c>
      <c r="F145" s="26">
        <f t="shared" si="280"/>
        <v>0</v>
      </c>
      <c r="G145" s="122">
        <f t="shared" si="280"/>
        <v>0</v>
      </c>
      <c r="H145" s="26">
        <f t="shared" si="280"/>
        <v>0</v>
      </c>
      <c r="I145" s="26">
        <f t="shared" si="280"/>
        <v>0</v>
      </c>
      <c r="J145" s="122">
        <f t="shared" si="280"/>
        <v>0</v>
      </c>
      <c r="K145" s="26">
        <f t="shared" si="280"/>
        <v>0</v>
      </c>
      <c r="L145" s="26">
        <f t="shared" si="280"/>
        <v>0</v>
      </c>
      <c r="M145" s="26">
        <f t="shared" si="280"/>
        <v>0</v>
      </c>
      <c r="N145" s="26">
        <f t="shared" si="280"/>
        <v>0</v>
      </c>
      <c r="O145" s="26">
        <f t="shared" si="280"/>
        <v>0</v>
      </c>
      <c r="P145" s="122">
        <f t="shared" si="280"/>
        <v>0</v>
      </c>
      <c r="Q145" s="26">
        <f t="shared" si="280"/>
        <v>0</v>
      </c>
      <c r="R145" s="26">
        <f t="shared" si="280"/>
        <v>0</v>
      </c>
      <c r="S145" s="26">
        <f t="shared" si="280"/>
        <v>0</v>
      </c>
      <c r="T145" s="26">
        <f t="shared" si="280"/>
        <v>0</v>
      </c>
      <c r="U145" s="26">
        <f t="shared" si="280"/>
        <v>0</v>
      </c>
      <c r="V145" s="26">
        <f>IF(V135="","",V144*V139)</f>
        <v>0</v>
      </c>
      <c r="W145" s="26">
        <f t="shared" si="280"/>
        <v>0</v>
      </c>
      <c r="X145" s="26">
        <f t="shared" si="280"/>
        <v>0</v>
      </c>
      <c r="Y145" s="26">
        <f t="shared" si="280"/>
        <v>0</v>
      </c>
      <c r="Z145" s="26">
        <f t="shared" si="280"/>
        <v>0</v>
      </c>
      <c r="AA145" s="26">
        <f t="shared" si="280"/>
        <v>0</v>
      </c>
      <c r="AB145" s="26">
        <f t="shared" si="280"/>
        <v>0</v>
      </c>
      <c r="AC145" s="26">
        <f t="shared" si="280"/>
        <v>0</v>
      </c>
      <c r="AD145" s="26">
        <f t="shared" si="280"/>
        <v>0</v>
      </c>
      <c r="AE145" s="26" t="str">
        <f t="shared" si="280"/>
        <v/>
      </c>
      <c r="AF145" s="26" t="str">
        <f t="shared" si="280"/>
        <v/>
      </c>
      <c r="AG145" s="26" t="str">
        <f t="shared" si="280"/>
        <v/>
      </c>
      <c r="AH145" s="26" t="str">
        <f t="shared" si="280"/>
        <v/>
      </c>
      <c r="AI145" s="26" t="str">
        <f t="shared" si="280"/>
        <v/>
      </c>
      <c r="AJ145" s="26" t="str">
        <f t="shared" si="280"/>
        <v/>
      </c>
      <c r="AK145" s="26" t="str">
        <f t="shared" si="280"/>
        <v/>
      </c>
      <c r="AL145" s="26" t="str">
        <f t="shared" si="280"/>
        <v/>
      </c>
      <c r="AM145" s="26" t="str">
        <f t="shared" si="280"/>
        <v/>
      </c>
      <c r="AN145" s="26" t="str">
        <f t="shared" si="280"/>
        <v/>
      </c>
      <c r="AO145" s="26" t="str">
        <f t="shared" si="280"/>
        <v/>
      </c>
      <c r="AP145" s="26" t="str">
        <f t="shared" ref="AP145:AR145" si="281">IF(AP135="","",AP144*AP139)</f>
        <v/>
      </c>
      <c r="AQ145" s="26" t="str">
        <f t="shared" si="281"/>
        <v/>
      </c>
      <c r="AR145" s="26" t="str">
        <f t="shared" si="281"/>
        <v/>
      </c>
    </row>
    <row r="146" spans="1:44" s="1" customFormat="1" ht="12" thickBot="1">
      <c r="A146" s="4">
        <f>IF(A145="","",A145/(A142*100))</f>
        <v>0</v>
      </c>
      <c r="B146" s="27" t="s">
        <v>20</v>
      </c>
      <c r="C146" s="68" t="s">
        <v>21</v>
      </c>
      <c r="D146" s="44" t="str">
        <f t="shared" ref="D146:AO146" si="282">IF(D145="","",IF(D145=0,"",D145/(D142*100)))</f>
        <v/>
      </c>
      <c r="E146" s="44" t="str">
        <f t="shared" si="282"/>
        <v/>
      </c>
      <c r="F146" s="44" t="str">
        <f t="shared" si="282"/>
        <v/>
      </c>
      <c r="G146" s="384" t="str">
        <f t="shared" si="282"/>
        <v/>
      </c>
      <c r="H146" s="44" t="str">
        <f t="shared" si="282"/>
        <v/>
      </c>
      <c r="I146" s="44" t="str">
        <f t="shared" si="282"/>
        <v/>
      </c>
      <c r="J146" s="384" t="str">
        <f t="shared" si="282"/>
        <v/>
      </c>
      <c r="K146" s="44" t="str">
        <f t="shared" si="282"/>
        <v/>
      </c>
      <c r="L146" s="44" t="str">
        <f t="shared" si="282"/>
        <v/>
      </c>
      <c r="M146" s="44" t="str">
        <f t="shared" si="282"/>
        <v/>
      </c>
      <c r="N146" s="44" t="str">
        <f t="shared" si="282"/>
        <v/>
      </c>
      <c r="O146" s="44" t="str">
        <f t="shared" si="282"/>
        <v/>
      </c>
      <c r="P146" s="384" t="str">
        <f t="shared" si="282"/>
        <v/>
      </c>
      <c r="Q146" s="44" t="str">
        <f t="shared" si="282"/>
        <v/>
      </c>
      <c r="R146" s="44" t="str">
        <f t="shared" si="282"/>
        <v/>
      </c>
      <c r="S146" s="44" t="str">
        <f t="shared" si="282"/>
        <v/>
      </c>
      <c r="T146" s="44" t="str">
        <f t="shared" si="282"/>
        <v/>
      </c>
      <c r="U146" s="44" t="str">
        <f t="shared" si="282"/>
        <v/>
      </c>
      <c r="V146" s="44" t="str">
        <f>IF(V145="","",IF(V145=0,"",V145/(V142*100)))</f>
        <v/>
      </c>
      <c r="W146" s="44" t="str">
        <f t="shared" si="282"/>
        <v/>
      </c>
      <c r="X146" s="44" t="str">
        <f t="shared" si="282"/>
        <v/>
      </c>
      <c r="Y146" s="44" t="str">
        <f t="shared" si="282"/>
        <v/>
      </c>
      <c r="Z146" s="44" t="str">
        <f t="shared" si="282"/>
        <v/>
      </c>
      <c r="AA146" s="44" t="str">
        <f t="shared" si="282"/>
        <v/>
      </c>
      <c r="AB146" s="44" t="str">
        <f t="shared" si="282"/>
        <v/>
      </c>
      <c r="AC146" s="44" t="str">
        <f t="shared" si="282"/>
        <v/>
      </c>
      <c r="AD146" s="44" t="str">
        <f t="shared" si="282"/>
        <v/>
      </c>
      <c r="AE146" s="44" t="str">
        <f t="shared" si="282"/>
        <v/>
      </c>
      <c r="AF146" s="44" t="str">
        <f t="shared" si="282"/>
        <v/>
      </c>
      <c r="AG146" s="44" t="str">
        <f t="shared" si="282"/>
        <v/>
      </c>
      <c r="AH146" s="44" t="str">
        <f t="shared" si="282"/>
        <v/>
      </c>
      <c r="AI146" s="44" t="str">
        <f t="shared" si="282"/>
        <v/>
      </c>
      <c r="AJ146" s="44" t="str">
        <f t="shared" si="282"/>
        <v/>
      </c>
      <c r="AK146" s="44" t="str">
        <f t="shared" si="282"/>
        <v/>
      </c>
      <c r="AL146" s="44" t="str">
        <f t="shared" si="282"/>
        <v/>
      </c>
      <c r="AM146" s="44" t="str">
        <f t="shared" si="282"/>
        <v/>
      </c>
      <c r="AN146" s="44" t="str">
        <f t="shared" si="282"/>
        <v/>
      </c>
      <c r="AO146" s="44" t="str">
        <f t="shared" si="282"/>
        <v/>
      </c>
      <c r="AP146" s="44" t="str">
        <f t="shared" ref="AP146:AR146" si="283">IF(AP145="","",IF(AP145=0,"",AP145/(AP142*100)))</f>
        <v/>
      </c>
      <c r="AQ146" s="44" t="str">
        <f t="shared" si="283"/>
        <v/>
      </c>
      <c r="AR146" s="44" t="str">
        <f t="shared" si="283"/>
        <v/>
      </c>
    </row>
    <row r="147" spans="1:44" s="1" customFormat="1">
      <c r="A147" s="43" t="s">
        <v>180</v>
      </c>
      <c r="B147" s="42" t="s">
        <v>2</v>
      </c>
      <c r="C147" s="64">
        <v>55298</v>
      </c>
      <c r="D147" s="35">
        <f>IF(D$3="","",C147)</f>
        <v>55298</v>
      </c>
      <c r="E147" s="35">
        <f>IF(E$3="","",D147)</f>
        <v>55298</v>
      </c>
      <c r="F147" s="35">
        <v>55311</v>
      </c>
      <c r="G147" s="383">
        <f>IF(G$3="","",F147)</f>
        <v>55311</v>
      </c>
      <c r="H147" s="35">
        <f>IF(H$3="","",G147)</f>
        <v>55311</v>
      </c>
      <c r="I147" s="35">
        <v>55334</v>
      </c>
      <c r="J147" s="383">
        <f>IF(J$3="","",I147)</f>
        <v>55334</v>
      </c>
      <c r="K147" s="35">
        <f>IF(K$3="","",J147)</f>
        <v>55334</v>
      </c>
      <c r="L147" s="35">
        <v>55339</v>
      </c>
      <c r="M147" s="35">
        <f>IF(M$3="","",L147)</f>
        <v>55339</v>
      </c>
      <c r="N147" s="35">
        <f>IF(N$3="","",M147)</f>
        <v>55339</v>
      </c>
      <c r="O147" s="35">
        <v>55346</v>
      </c>
      <c r="P147" s="383">
        <f t="shared" ref="P147:AO147" si="284">IF(P$3="","",O147)</f>
        <v>55346</v>
      </c>
      <c r="Q147" s="35">
        <f t="shared" si="284"/>
        <v>55346</v>
      </c>
      <c r="R147" s="35">
        <f t="shared" si="284"/>
        <v>55346</v>
      </c>
      <c r="S147" s="35">
        <v>55359</v>
      </c>
      <c r="T147" s="35">
        <f t="shared" si="284"/>
        <v>55359</v>
      </c>
      <c r="U147" s="35">
        <f t="shared" si="284"/>
        <v>55359</v>
      </c>
      <c r="V147" s="35">
        <v>55380</v>
      </c>
      <c r="W147" s="35">
        <f t="shared" si="284"/>
        <v>55380</v>
      </c>
      <c r="X147" s="35">
        <f t="shared" si="284"/>
        <v>55380</v>
      </c>
      <c r="Y147" s="35">
        <f t="shared" si="284"/>
        <v>55380</v>
      </c>
      <c r="Z147" s="35">
        <f t="shared" si="284"/>
        <v>55380</v>
      </c>
      <c r="AA147" s="35">
        <v>55384</v>
      </c>
      <c r="AB147" s="35">
        <f t="shared" si="284"/>
        <v>55384</v>
      </c>
      <c r="AC147" s="35">
        <f t="shared" si="284"/>
        <v>55384</v>
      </c>
      <c r="AD147" s="35">
        <v>55420</v>
      </c>
      <c r="AE147" s="35" t="str">
        <f t="shared" si="284"/>
        <v/>
      </c>
      <c r="AF147" s="35" t="str">
        <f t="shared" si="284"/>
        <v/>
      </c>
      <c r="AG147" s="35" t="str">
        <f t="shared" si="284"/>
        <v/>
      </c>
      <c r="AH147" s="35" t="str">
        <f t="shared" si="284"/>
        <v/>
      </c>
      <c r="AI147" s="35" t="str">
        <f t="shared" si="284"/>
        <v/>
      </c>
      <c r="AJ147" s="35" t="str">
        <f t="shared" si="284"/>
        <v/>
      </c>
      <c r="AK147" s="35" t="str">
        <f t="shared" si="284"/>
        <v/>
      </c>
      <c r="AL147" s="35" t="str">
        <f t="shared" si="284"/>
        <v/>
      </c>
      <c r="AM147" s="35" t="str">
        <f t="shared" si="284"/>
        <v/>
      </c>
      <c r="AN147" s="35" t="str">
        <f t="shared" si="284"/>
        <v/>
      </c>
      <c r="AO147" s="35" t="str">
        <f t="shared" si="284"/>
        <v/>
      </c>
      <c r="AP147" s="35" t="str">
        <f t="shared" ref="AP147:AR147" si="285">IF(AP$3="","",AO147)</f>
        <v/>
      </c>
      <c r="AQ147" s="35" t="str">
        <f t="shared" si="285"/>
        <v/>
      </c>
      <c r="AR147" s="35" t="str">
        <f t="shared" si="285"/>
        <v/>
      </c>
    </row>
    <row r="148" spans="1:44" s="1" customFormat="1">
      <c r="A148" s="37" t="s">
        <v>195</v>
      </c>
      <c r="B148" s="30" t="s">
        <v>4</v>
      </c>
      <c r="C148" s="65">
        <v>8545</v>
      </c>
      <c r="D148" s="29">
        <f>IF(D$3="","",C148)</f>
        <v>8545</v>
      </c>
      <c r="E148" s="29">
        <f>IF(E$3="","",D148)</f>
        <v>8545</v>
      </c>
      <c r="F148" s="29">
        <v>8548</v>
      </c>
      <c r="G148" s="122">
        <f>IF(G$3="","",F148)</f>
        <v>8548</v>
      </c>
      <c r="H148" s="29">
        <f>IF(H$3="","",G148)</f>
        <v>8548</v>
      </c>
      <c r="I148" s="29">
        <v>8553</v>
      </c>
      <c r="J148" s="122">
        <f>IF(J$3="","",I148)</f>
        <v>8553</v>
      </c>
      <c r="K148" s="29">
        <f>IF(K$3="","",J148)</f>
        <v>8553</v>
      </c>
      <c r="L148" s="29">
        <f>IF(L$3="","",K148)</f>
        <v>8553</v>
      </c>
      <c r="M148" s="29">
        <f>IF(M$3="","",L148)</f>
        <v>8553</v>
      </c>
      <c r="N148" s="29">
        <f>IF(N$3="","",M148)</f>
        <v>8553</v>
      </c>
      <c r="O148" s="29">
        <f>IF(O$3="","",N148)</f>
        <v>8553</v>
      </c>
      <c r="P148" s="122">
        <f t="shared" ref="P148:AO148" si="286">IF(P$3="","",O148)</f>
        <v>8553</v>
      </c>
      <c r="Q148" s="29">
        <f t="shared" si="286"/>
        <v>8553</v>
      </c>
      <c r="R148" s="29">
        <f t="shared" si="286"/>
        <v>8553</v>
      </c>
      <c r="S148" s="29">
        <v>8559</v>
      </c>
      <c r="T148" s="29">
        <f t="shared" si="286"/>
        <v>8559</v>
      </c>
      <c r="U148" s="29">
        <f t="shared" si="286"/>
        <v>8559</v>
      </c>
      <c r="V148" s="29">
        <v>8564</v>
      </c>
      <c r="W148" s="29">
        <f t="shared" si="286"/>
        <v>8564</v>
      </c>
      <c r="X148" s="29">
        <f t="shared" si="286"/>
        <v>8564</v>
      </c>
      <c r="Y148" s="29">
        <f t="shared" si="286"/>
        <v>8564</v>
      </c>
      <c r="Z148" s="29">
        <f t="shared" si="286"/>
        <v>8564</v>
      </c>
      <c r="AA148" s="29">
        <v>8566</v>
      </c>
      <c r="AB148" s="29">
        <f t="shared" si="286"/>
        <v>8566</v>
      </c>
      <c r="AC148" s="29">
        <f t="shared" si="286"/>
        <v>8566</v>
      </c>
      <c r="AD148" s="29">
        <v>8572</v>
      </c>
      <c r="AE148" s="29" t="str">
        <f t="shared" si="286"/>
        <v/>
      </c>
      <c r="AF148" s="29" t="str">
        <f t="shared" si="286"/>
        <v/>
      </c>
      <c r="AG148" s="29" t="str">
        <f t="shared" si="286"/>
        <v/>
      </c>
      <c r="AH148" s="29" t="str">
        <f t="shared" si="286"/>
        <v/>
      </c>
      <c r="AI148" s="29" t="str">
        <f t="shared" si="286"/>
        <v/>
      </c>
      <c r="AJ148" s="29" t="str">
        <f t="shared" si="286"/>
        <v/>
      </c>
      <c r="AK148" s="29" t="str">
        <f t="shared" si="286"/>
        <v/>
      </c>
      <c r="AL148" s="29" t="str">
        <f t="shared" si="286"/>
        <v/>
      </c>
      <c r="AM148" s="29" t="str">
        <f t="shared" si="286"/>
        <v/>
      </c>
      <c r="AN148" s="29" t="str">
        <f t="shared" si="286"/>
        <v/>
      </c>
      <c r="AO148" s="29" t="str">
        <f t="shared" si="286"/>
        <v/>
      </c>
      <c r="AP148" s="29" t="str">
        <f t="shared" ref="AP148:AR148" si="287">IF(AP$3="","",AO148)</f>
        <v/>
      </c>
      <c r="AQ148" s="29" t="str">
        <f t="shared" si="287"/>
        <v/>
      </c>
      <c r="AR148" s="29" t="str">
        <f t="shared" si="287"/>
        <v/>
      </c>
    </row>
    <row r="149" spans="1:44" s="1" customFormat="1">
      <c r="A149" s="41">
        <v>2</v>
      </c>
      <c r="B149" s="30" t="s">
        <v>5</v>
      </c>
      <c r="C149" s="65">
        <v>65</v>
      </c>
      <c r="D149" s="29">
        <f t="shared" ref="D149:AO149" si="288">IF(D147="","",(C149+C150))</f>
        <v>65</v>
      </c>
      <c r="E149" s="29">
        <f t="shared" si="288"/>
        <v>65</v>
      </c>
      <c r="F149" s="29">
        <f t="shared" si="288"/>
        <v>65</v>
      </c>
      <c r="G149" s="122">
        <f t="shared" si="288"/>
        <v>65</v>
      </c>
      <c r="H149" s="29">
        <f t="shared" si="288"/>
        <v>65</v>
      </c>
      <c r="I149" s="29">
        <f t="shared" si="288"/>
        <v>65</v>
      </c>
      <c r="J149" s="122">
        <f t="shared" si="288"/>
        <v>65</v>
      </c>
      <c r="K149" s="29">
        <f t="shared" si="288"/>
        <v>65</v>
      </c>
      <c r="L149" s="29">
        <f t="shared" si="288"/>
        <v>65</v>
      </c>
      <c r="M149" s="29">
        <f t="shared" si="288"/>
        <v>65</v>
      </c>
      <c r="N149" s="29">
        <f t="shared" si="288"/>
        <v>65</v>
      </c>
      <c r="O149" s="29">
        <f t="shared" si="288"/>
        <v>65</v>
      </c>
      <c r="P149" s="122">
        <f t="shared" si="288"/>
        <v>65</v>
      </c>
      <c r="Q149" s="29">
        <f t="shared" si="288"/>
        <v>65</v>
      </c>
      <c r="R149" s="29">
        <f t="shared" si="288"/>
        <v>65</v>
      </c>
      <c r="S149" s="29">
        <f t="shared" si="288"/>
        <v>65</v>
      </c>
      <c r="T149" s="29">
        <f t="shared" si="288"/>
        <v>65</v>
      </c>
      <c r="U149" s="29">
        <f t="shared" si="288"/>
        <v>65</v>
      </c>
      <c r="V149" s="29">
        <f>IF(V147="","",(U149+U150))</f>
        <v>65</v>
      </c>
      <c r="W149" s="29">
        <f t="shared" si="288"/>
        <v>65</v>
      </c>
      <c r="X149" s="29">
        <f t="shared" si="288"/>
        <v>65</v>
      </c>
      <c r="Y149" s="29">
        <f t="shared" si="288"/>
        <v>65</v>
      </c>
      <c r="Z149" s="29">
        <f t="shared" si="288"/>
        <v>65</v>
      </c>
      <c r="AA149" s="29">
        <f t="shared" si="288"/>
        <v>65</v>
      </c>
      <c r="AB149" s="29">
        <f t="shared" si="288"/>
        <v>65</v>
      </c>
      <c r="AC149" s="29">
        <f t="shared" si="288"/>
        <v>65</v>
      </c>
      <c r="AD149" s="29">
        <f t="shared" si="288"/>
        <v>65</v>
      </c>
      <c r="AE149" s="29" t="str">
        <f t="shared" si="288"/>
        <v/>
      </c>
      <c r="AF149" s="29" t="str">
        <f t="shared" si="288"/>
        <v/>
      </c>
      <c r="AG149" s="29" t="str">
        <f t="shared" si="288"/>
        <v/>
      </c>
      <c r="AH149" s="29" t="str">
        <f t="shared" si="288"/>
        <v/>
      </c>
      <c r="AI149" s="29" t="str">
        <f t="shared" si="288"/>
        <v/>
      </c>
      <c r="AJ149" s="29" t="str">
        <f t="shared" si="288"/>
        <v/>
      </c>
      <c r="AK149" s="29" t="str">
        <f t="shared" si="288"/>
        <v/>
      </c>
      <c r="AL149" s="29" t="str">
        <f t="shared" si="288"/>
        <v/>
      </c>
      <c r="AM149" s="29" t="str">
        <f t="shared" si="288"/>
        <v/>
      </c>
      <c r="AN149" s="29" t="str">
        <f t="shared" si="288"/>
        <v/>
      </c>
      <c r="AO149" s="29" t="str">
        <f t="shared" si="288"/>
        <v/>
      </c>
      <c r="AP149" s="29" t="str">
        <f t="shared" ref="AP149" si="289">IF(AP147="","",(AO149+AO150))</f>
        <v/>
      </c>
      <c r="AQ149" s="29" t="str">
        <f t="shared" ref="AQ149:AR149" si="290">IF(AQ147="","",(AP149+AP150))</f>
        <v/>
      </c>
      <c r="AR149" s="29" t="str">
        <f t="shared" si="290"/>
        <v/>
      </c>
    </row>
    <row r="150" spans="1:44" s="1" customFormat="1">
      <c r="A150" s="14"/>
      <c r="B150" s="30" t="s">
        <v>7</v>
      </c>
      <c r="C150" s="65"/>
      <c r="D150" s="29"/>
      <c r="E150" s="29"/>
      <c r="F150" s="29"/>
      <c r="G150" s="122"/>
      <c r="H150" s="29"/>
      <c r="I150" s="29"/>
      <c r="J150" s="122"/>
      <c r="K150" s="29"/>
      <c r="L150" s="29"/>
      <c r="M150" s="29"/>
      <c r="N150" s="29"/>
      <c r="O150" s="29"/>
      <c r="P150" s="122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</row>
    <row r="151" spans="1:44" s="1" customFormat="1">
      <c r="A151" s="7"/>
      <c r="B151" s="30" t="s">
        <v>8</v>
      </c>
      <c r="C151" s="64">
        <v>120</v>
      </c>
      <c r="D151" s="35">
        <f t="shared" ref="D151:AO151" si="291">IF(D147="","",C151)</f>
        <v>120</v>
      </c>
      <c r="E151" s="35">
        <f t="shared" si="291"/>
        <v>120</v>
      </c>
      <c r="F151" s="35">
        <f t="shared" si="291"/>
        <v>120</v>
      </c>
      <c r="G151" s="383">
        <f t="shared" si="291"/>
        <v>120</v>
      </c>
      <c r="H151" s="35">
        <f t="shared" si="291"/>
        <v>120</v>
      </c>
      <c r="I151" s="35">
        <f t="shared" si="291"/>
        <v>120</v>
      </c>
      <c r="J151" s="383">
        <f t="shared" si="291"/>
        <v>120</v>
      </c>
      <c r="K151" s="35">
        <f t="shared" si="291"/>
        <v>120</v>
      </c>
      <c r="L151" s="35">
        <f t="shared" si="291"/>
        <v>120</v>
      </c>
      <c r="M151" s="35">
        <f t="shared" si="291"/>
        <v>120</v>
      </c>
      <c r="N151" s="35">
        <f t="shared" si="291"/>
        <v>120</v>
      </c>
      <c r="O151" s="35">
        <f t="shared" si="291"/>
        <v>120</v>
      </c>
      <c r="P151" s="383">
        <f t="shared" si="291"/>
        <v>120</v>
      </c>
      <c r="Q151" s="35">
        <f t="shared" si="291"/>
        <v>120</v>
      </c>
      <c r="R151" s="35">
        <f t="shared" si="291"/>
        <v>120</v>
      </c>
      <c r="S151" s="35">
        <f t="shared" si="291"/>
        <v>120</v>
      </c>
      <c r="T151" s="35">
        <f t="shared" si="291"/>
        <v>120</v>
      </c>
      <c r="U151" s="35">
        <f t="shared" si="291"/>
        <v>120</v>
      </c>
      <c r="V151" s="35">
        <f>IF(V147="","",U151)</f>
        <v>120</v>
      </c>
      <c r="W151" s="35">
        <f t="shared" si="291"/>
        <v>120</v>
      </c>
      <c r="X151" s="35">
        <f t="shared" si="291"/>
        <v>120</v>
      </c>
      <c r="Y151" s="35">
        <f t="shared" si="291"/>
        <v>120</v>
      </c>
      <c r="Z151" s="35">
        <f t="shared" si="291"/>
        <v>120</v>
      </c>
      <c r="AA151" s="35">
        <f t="shared" si="291"/>
        <v>120</v>
      </c>
      <c r="AB151" s="35">
        <f t="shared" si="291"/>
        <v>120</v>
      </c>
      <c r="AC151" s="35">
        <f t="shared" si="291"/>
        <v>120</v>
      </c>
      <c r="AD151" s="35">
        <f t="shared" si="291"/>
        <v>120</v>
      </c>
      <c r="AE151" s="35" t="str">
        <f t="shared" si="291"/>
        <v/>
      </c>
      <c r="AF151" s="35" t="str">
        <f t="shared" si="291"/>
        <v/>
      </c>
      <c r="AG151" s="35" t="str">
        <f t="shared" si="291"/>
        <v/>
      </c>
      <c r="AH151" s="35" t="str">
        <f t="shared" si="291"/>
        <v/>
      </c>
      <c r="AI151" s="35" t="str">
        <f t="shared" si="291"/>
        <v/>
      </c>
      <c r="AJ151" s="35" t="str">
        <f t="shared" si="291"/>
        <v/>
      </c>
      <c r="AK151" s="35" t="str">
        <f t="shared" si="291"/>
        <v/>
      </c>
      <c r="AL151" s="35" t="str">
        <f t="shared" si="291"/>
        <v/>
      </c>
      <c r="AM151" s="35" t="str">
        <f t="shared" si="291"/>
        <v/>
      </c>
      <c r="AN151" s="35" t="str">
        <f t="shared" si="291"/>
        <v/>
      </c>
      <c r="AO151" s="35" t="str">
        <f t="shared" si="291"/>
        <v/>
      </c>
      <c r="AP151" s="35" t="str">
        <f t="shared" ref="AP151" si="292">IF(AP147="","",AO151)</f>
        <v/>
      </c>
      <c r="AQ151" s="35" t="str">
        <f t="shared" ref="AQ151:AR151" si="293">IF(AQ147="","",AP151)</f>
        <v/>
      </c>
      <c r="AR151" s="35" t="str">
        <f t="shared" si="293"/>
        <v/>
      </c>
    </row>
    <row r="152" spans="1:44" s="11" customFormat="1">
      <c r="A152" s="14" t="s">
        <v>9</v>
      </c>
      <c r="B152" s="33" t="s">
        <v>10</v>
      </c>
      <c r="C152" s="63" t="s">
        <v>197</v>
      </c>
      <c r="D152" s="32" t="str">
        <f t="shared" ref="D152:AO152" si="294">IF(D147="","",C152)</f>
        <v>ベビー</v>
      </c>
      <c r="E152" s="32" t="str">
        <f t="shared" si="294"/>
        <v>ベビー</v>
      </c>
      <c r="F152" s="32" t="str">
        <f t="shared" si="294"/>
        <v>ベビー</v>
      </c>
      <c r="G152" s="123" t="str">
        <f t="shared" si="294"/>
        <v>ベビー</v>
      </c>
      <c r="H152" s="32" t="str">
        <f t="shared" si="294"/>
        <v>ベビー</v>
      </c>
      <c r="I152" s="32" t="str">
        <f t="shared" si="294"/>
        <v>ベビー</v>
      </c>
      <c r="J152" s="123" t="str">
        <f t="shared" si="294"/>
        <v>ベビー</v>
      </c>
      <c r="K152" s="32" t="str">
        <f t="shared" si="294"/>
        <v>ベビー</v>
      </c>
      <c r="L152" s="32" t="str">
        <f t="shared" si="294"/>
        <v>ベビー</v>
      </c>
      <c r="M152" s="32" t="str">
        <f t="shared" si="294"/>
        <v>ベビー</v>
      </c>
      <c r="N152" s="32" t="str">
        <f t="shared" si="294"/>
        <v>ベビー</v>
      </c>
      <c r="O152" s="32" t="str">
        <f t="shared" si="294"/>
        <v>ベビー</v>
      </c>
      <c r="P152" s="123" t="str">
        <f t="shared" si="294"/>
        <v>ベビー</v>
      </c>
      <c r="Q152" s="32" t="str">
        <f t="shared" si="294"/>
        <v>ベビー</v>
      </c>
      <c r="R152" s="32" t="str">
        <f t="shared" si="294"/>
        <v>ベビー</v>
      </c>
      <c r="S152" s="32" t="str">
        <f t="shared" si="294"/>
        <v>ベビー</v>
      </c>
      <c r="T152" s="32" t="str">
        <f t="shared" si="294"/>
        <v>ベビー</v>
      </c>
      <c r="U152" s="32" t="str">
        <f t="shared" si="294"/>
        <v>ベビー</v>
      </c>
      <c r="V152" s="32" t="str">
        <f>IF(V147="","",U152)</f>
        <v>ベビー</v>
      </c>
      <c r="W152" s="32" t="str">
        <f t="shared" si="294"/>
        <v>ベビー</v>
      </c>
      <c r="X152" s="32" t="str">
        <f t="shared" si="294"/>
        <v>ベビー</v>
      </c>
      <c r="Y152" s="32" t="str">
        <f t="shared" si="294"/>
        <v>ベビー</v>
      </c>
      <c r="Z152" s="32" t="str">
        <f t="shared" si="294"/>
        <v>ベビー</v>
      </c>
      <c r="AA152" s="32" t="str">
        <f t="shared" si="294"/>
        <v>ベビー</v>
      </c>
      <c r="AB152" s="32" t="str">
        <f t="shared" si="294"/>
        <v>ベビー</v>
      </c>
      <c r="AC152" s="32" t="str">
        <f t="shared" si="294"/>
        <v>ベビー</v>
      </c>
      <c r="AD152" s="32" t="str">
        <f t="shared" si="294"/>
        <v>ベビー</v>
      </c>
      <c r="AE152" s="32" t="str">
        <f t="shared" si="294"/>
        <v/>
      </c>
      <c r="AF152" s="32" t="str">
        <f t="shared" si="294"/>
        <v/>
      </c>
      <c r="AG152" s="32" t="str">
        <f t="shared" si="294"/>
        <v/>
      </c>
      <c r="AH152" s="32" t="str">
        <f t="shared" si="294"/>
        <v/>
      </c>
      <c r="AI152" s="32" t="str">
        <f t="shared" si="294"/>
        <v/>
      </c>
      <c r="AJ152" s="32" t="str">
        <f t="shared" si="294"/>
        <v/>
      </c>
      <c r="AK152" s="32" t="str">
        <f t="shared" si="294"/>
        <v/>
      </c>
      <c r="AL152" s="32" t="str">
        <f t="shared" si="294"/>
        <v/>
      </c>
      <c r="AM152" s="32" t="str">
        <f t="shared" si="294"/>
        <v/>
      </c>
      <c r="AN152" s="32" t="str">
        <f t="shared" si="294"/>
        <v/>
      </c>
      <c r="AO152" s="32" t="str">
        <f t="shared" si="294"/>
        <v/>
      </c>
      <c r="AP152" s="32" t="str">
        <f t="shared" ref="AP152" si="295">IF(AP147="","",AO152)</f>
        <v/>
      </c>
      <c r="AQ152" s="32" t="str">
        <f t="shared" ref="AQ152:AR152" si="296">IF(AQ147="","",AP152)</f>
        <v/>
      </c>
      <c r="AR152" s="32" t="str">
        <f t="shared" si="296"/>
        <v/>
      </c>
    </row>
    <row r="153" spans="1:44" s="1" customFormat="1">
      <c r="A153" s="7">
        <f>AVERAGE(C154:AS154)*30*100</f>
        <v>13071.428571428569</v>
      </c>
      <c r="B153" s="30" t="s">
        <v>14</v>
      </c>
      <c r="C153" s="65"/>
      <c r="D153" s="29"/>
      <c r="E153" s="29"/>
      <c r="F153" s="29"/>
      <c r="G153" s="122"/>
      <c r="H153" s="29"/>
      <c r="I153" s="29"/>
      <c r="J153" s="122"/>
      <c r="K153" s="29"/>
      <c r="L153" s="29"/>
      <c r="M153" s="29"/>
      <c r="N153" s="29"/>
      <c r="O153" s="29"/>
      <c r="P153" s="122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</row>
    <row r="154" spans="1:44" s="1" customFormat="1">
      <c r="A154" s="7">
        <f>SUM(C154:AS154)</f>
        <v>122</v>
      </c>
      <c r="B154" s="27" t="s">
        <v>15</v>
      </c>
      <c r="C154" s="65">
        <v>0</v>
      </c>
      <c r="D154" s="26">
        <f t="shared" ref="D154:AO154" si="297">IF(D147="","",D147-C147)</f>
        <v>0</v>
      </c>
      <c r="E154" s="26">
        <f t="shared" si="297"/>
        <v>0</v>
      </c>
      <c r="F154" s="26">
        <f t="shared" si="297"/>
        <v>13</v>
      </c>
      <c r="G154" s="122">
        <f t="shared" si="297"/>
        <v>0</v>
      </c>
      <c r="H154" s="26">
        <f t="shared" si="297"/>
        <v>0</v>
      </c>
      <c r="I154" s="26">
        <f t="shared" si="297"/>
        <v>23</v>
      </c>
      <c r="J154" s="122">
        <f t="shared" si="297"/>
        <v>0</v>
      </c>
      <c r="K154" s="26">
        <f t="shared" si="297"/>
        <v>0</v>
      </c>
      <c r="L154" s="26">
        <f t="shared" si="297"/>
        <v>5</v>
      </c>
      <c r="M154" s="26">
        <f t="shared" si="297"/>
        <v>0</v>
      </c>
      <c r="N154" s="26">
        <f t="shared" si="297"/>
        <v>0</v>
      </c>
      <c r="O154" s="26">
        <f t="shared" si="297"/>
        <v>7</v>
      </c>
      <c r="P154" s="122">
        <f t="shared" si="297"/>
        <v>0</v>
      </c>
      <c r="Q154" s="26">
        <f t="shared" si="297"/>
        <v>0</v>
      </c>
      <c r="R154" s="26">
        <f t="shared" si="297"/>
        <v>0</v>
      </c>
      <c r="S154" s="26">
        <f t="shared" si="297"/>
        <v>13</v>
      </c>
      <c r="T154" s="26">
        <f t="shared" si="297"/>
        <v>0</v>
      </c>
      <c r="U154" s="26">
        <f t="shared" si="297"/>
        <v>0</v>
      </c>
      <c r="V154" s="26">
        <f>IF(V147="","",V147-U147)</f>
        <v>21</v>
      </c>
      <c r="W154" s="26">
        <f t="shared" si="297"/>
        <v>0</v>
      </c>
      <c r="X154" s="26">
        <f t="shared" si="297"/>
        <v>0</v>
      </c>
      <c r="Y154" s="26">
        <f t="shared" si="297"/>
        <v>0</v>
      </c>
      <c r="Z154" s="26">
        <f t="shared" si="297"/>
        <v>0</v>
      </c>
      <c r="AA154" s="26">
        <f t="shared" si="297"/>
        <v>4</v>
      </c>
      <c r="AB154" s="26">
        <f t="shared" si="297"/>
        <v>0</v>
      </c>
      <c r="AC154" s="26">
        <f t="shared" si="297"/>
        <v>0</v>
      </c>
      <c r="AD154" s="26">
        <f t="shared" si="297"/>
        <v>36</v>
      </c>
      <c r="AE154" s="26" t="str">
        <f t="shared" si="297"/>
        <v/>
      </c>
      <c r="AF154" s="26" t="str">
        <f t="shared" si="297"/>
        <v/>
      </c>
      <c r="AG154" s="26" t="str">
        <f t="shared" si="297"/>
        <v/>
      </c>
      <c r="AH154" s="26" t="str">
        <f t="shared" si="297"/>
        <v/>
      </c>
      <c r="AI154" s="26" t="str">
        <f t="shared" si="297"/>
        <v/>
      </c>
      <c r="AJ154" s="26" t="str">
        <f t="shared" si="297"/>
        <v/>
      </c>
      <c r="AK154" s="26" t="str">
        <f t="shared" si="297"/>
        <v/>
      </c>
      <c r="AL154" s="26" t="str">
        <f t="shared" si="297"/>
        <v/>
      </c>
      <c r="AM154" s="26" t="str">
        <f t="shared" si="297"/>
        <v/>
      </c>
      <c r="AN154" s="26" t="str">
        <f t="shared" si="297"/>
        <v/>
      </c>
      <c r="AO154" s="26" t="str">
        <f t="shared" si="297"/>
        <v/>
      </c>
      <c r="AP154" s="26" t="str">
        <f t="shared" ref="AP154:AP155" si="298">IF(AP147="","",AP147-AO147)</f>
        <v/>
      </c>
      <c r="AQ154" s="26" t="str">
        <f t="shared" ref="AQ154:AR155" si="299">IF(AQ147="","",AQ147-AP147)</f>
        <v/>
      </c>
      <c r="AR154" s="26" t="str">
        <f t="shared" si="299"/>
        <v/>
      </c>
    </row>
    <row r="155" spans="1:44" s="1" customFormat="1">
      <c r="A155" s="7">
        <f>SUM(C155:AS155)</f>
        <v>27</v>
      </c>
      <c r="B155" s="27" t="s">
        <v>16</v>
      </c>
      <c r="C155" s="65">
        <v>0</v>
      </c>
      <c r="D155" s="26">
        <f t="shared" ref="D155:AO155" si="300">IF(D148="","",D148-C148)</f>
        <v>0</v>
      </c>
      <c r="E155" s="26">
        <f t="shared" si="300"/>
        <v>0</v>
      </c>
      <c r="F155" s="26">
        <f t="shared" si="300"/>
        <v>3</v>
      </c>
      <c r="G155" s="122">
        <f t="shared" si="300"/>
        <v>0</v>
      </c>
      <c r="H155" s="26">
        <f t="shared" si="300"/>
        <v>0</v>
      </c>
      <c r="I155" s="26">
        <f t="shared" si="300"/>
        <v>5</v>
      </c>
      <c r="J155" s="122">
        <f t="shared" si="300"/>
        <v>0</v>
      </c>
      <c r="K155" s="26">
        <f t="shared" si="300"/>
        <v>0</v>
      </c>
      <c r="L155" s="26">
        <f t="shared" si="300"/>
        <v>0</v>
      </c>
      <c r="M155" s="26">
        <f t="shared" si="300"/>
        <v>0</v>
      </c>
      <c r="N155" s="26">
        <f t="shared" si="300"/>
        <v>0</v>
      </c>
      <c r="O155" s="26">
        <f t="shared" si="300"/>
        <v>0</v>
      </c>
      <c r="P155" s="122">
        <f t="shared" si="300"/>
        <v>0</v>
      </c>
      <c r="Q155" s="26">
        <f t="shared" si="300"/>
        <v>0</v>
      </c>
      <c r="R155" s="26">
        <f t="shared" si="300"/>
        <v>0</v>
      </c>
      <c r="S155" s="26">
        <f t="shared" si="300"/>
        <v>6</v>
      </c>
      <c r="T155" s="26">
        <f t="shared" si="300"/>
        <v>0</v>
      </c>
      <c r="U155" s="26">
        <f t="shared" si="300"/>
        <v>0</v>
      </c>
      <c r="V155" s="26">
        <f>IF(V148="","",V148-U148)</f>
        <v>5</v>
      </c>
      <c r="W155" s="26">
        <f t="shared" si="300"/>
        <v>0</v>
      </c>
      <c r="X155" s="26">
        <f t="shared" si="300"/>
        <v>0</v>
      </c>
      <c r="Y155" s="26">
        <f t="shared" si="300"/>
        <v>0</v>
      </c>
      <c r="Z155" s="26">
        <f t="shared" si="300"/>
        <v>0</v>
      </c>
      <c r="AA155" s="26">
        <f t="shared" si="300"/>
        <v>2</v>
      </c>
      <c r="AB155" s="26">
        <f t="shared" si="300"/>
        <v>0</v>
      </c>
      <c r="AC155" s="26">
        <f t="shared" si="300"/>
        <v>0</v>
      </c>
      <c r="AD155" s="26">
        <f t="shared" si="300"/>
        <v>6</v>
      </c>
      <c r="AE155" s="26" t="str">
        <f t="shared" si="300"/>
        <v/>
      </c>
      <c r="AF155" s="26" t="str">
        <f t="shared" si="300"/>
        <v/>
      </c>
      <c r="AG155" s="26" t="str">
        <f t="shared" si="300"/>
        <v/>
      </c>
      <c r="AH155" s="26" t="str">
        <f t="shared" si="300"/>
        <v/>
      </c>
      <c r="AI155" s="26" t="str">
        <f t="shared" si="300"/>
        <v/>
      </c>
      <c r="AJ155" s="26" t="str">
        <f t="shared" si="300"/>
        <v/>
      </c>
      <c r="AK155" s="26" t="str">
        <f t="shared" si="300"/>
        <v/>
      </c>
      <c r="AL155" s="26" t="str">
        <f t="shared" si="300"/>
        <v/>
      </c>
      <c r="AM155" s="26" t="str">
        <f t="shared" si="300"/>
        <v/>
      </c>
      <c r="AN155" s="26" t="str">
        <f t="shared" si="300"/>
        <v/>
      </c>
      <c r="AO155" s="26" t="str">
        <f t="shared" si="300"/>
        <v/>
      </c>
      <c r="AP155" s="26" t="str">
        <f t="shared" si="298"/>
        <v/>
      </c>
      <c r="AQ155" s="26" t="str">
        <f t="shared" si="299"/>
        <v/>
      </c>
      <c r="AR155" s="26" t="str">
        <f t="shared" si="299"/>
        <v/>
      </c>
    </row>
    <row r="156" spans="1:44" s="1" customFormat="1">
      <c r="A156" s="7">
        <f>SUM(C156:AS156)</f>
        <v>0</v>
      </c>
      <c r="B156" s="27" t="s">
        <v>17</v>
      </c>
      <c r="C156" s="65">
        <v>0</v>
      </c>
      <c r="D156" s="26">
        <f t="shared" ref="D156:AO156" si="301">IF(D149="","",C149+C150-D149)</f>
        <v>0</v>
      </c>
      <c r="E156" s="26">
        <f t="shared" si="301"/>
        <v>0</v>
      </c>
      <c r="F156" s="26">
        <f t="shared" si="301"/>
        <v>0</v>
      </c>
      <c r="G156" s="122">
        <f t="shared" si="301"/>
        <v>0</v>
      </c>
      <c r="H156" s="26">
        <f t="shared" si="301"/>
        <v>0</v>
      </c>
      <c r="I156" s="26">
        <f t="shared" si="301"/>
        <v>0</v>
      </c>
      <c r="J156" s="122">
        <f t="shared" si="301"/>
        <v>0</v>
      </c>
      <c r="K156" s="26">
        <f t="shared" si="301"/>
        <v>0</v>
      </c>
      <c r="L156" s="26">
        <f t="shared" si="301"/>
        <v>0</v>
      </c>
      <c r="M156" s="26">
        <f t="shared" si="301"/>
        <v>0</v>
      </c>
      <c r="N156" s="26">
        <f t="shared" si="301"/>
        <v>0</v>
      </c>
      <c r="O156" s="26">
        <f t="shared" si="301"/>
        <v>0</v>
      </c>
      <c r="P156" s="122">
        <f t="shared" si="301"/>
        <v>0</v>
      </c>
      <c r="Q156" s="26">
        <f t="shared" si="301"/>
        <v>0</v>
      </c>
      <c r="R156" s="26">
        <f t="shared" si="301"/>
        <v>0</v>
      </c>
      <c r="S156" s="26">
        <f t="shared" si="301"/>
        <v>0</v>
      </c>
      <c r="T156" s="26">
        <f t="shared" si="301"/>
        <v>0</v>
      </c>
      <c r="U156" s="26">
        <f t="shared" si="301"/>
        <v>0</v>
      </c>
      <c r="V156" s="26">
        <f>IF(V149="","",U149+U150-V149)</f>
        <v>0</v>
      </c>
      <c r="W156" s="26">
        <f t="shared" si="301"/>
        <v>0</v>
      </c>
      <c r="X156" s="26">
        <f t="shared" si="301"/>
        <v>0</v>
      </c>
      <c r="Y156" s="26">
        <f t="shared" si="301"/>
        <v>0</v>
      </c>
      <c r="Z156" s="26">
        <f t="shared" si="301"/>
        <v>0</v>
      </c>
      <c r="AA156" s="26">
        <f t="shared" si="301"/>
        <v>0</v>
      </c>
      <c r="AB156" s="26">
        <f t="shared" si="301"/>
        <v>0</v>
      </c>
      <c r="AC156" s="26">
        <f t="shared" si="301"/>
        <v>0</v>
      </c>
      <c r="AD156" s="26">
        <f t="shared" si="301"/>
        <v>0</v>
      </c>
      <c r="AE156" s="26" t="str">
        <f t="shared" si="301"/>
        <v/>
      </c>
      <c r="AF156" s="26" t="str">
        <f t="shared" si="301"/>
        <v/>
      </c>
      <c r="AG156" s="26" t="str">
        <f t="shared" si="301"/>
        <v/>
      </c>
      <c r="AH156" s="26" t="str">
        <f t="shared" si="301"/>
        <v/>
      </c>
      <c r="AI156" s="26" t="str">
        <f t="shared" si="301"/>
        <v/>
      </c>
      <c r="AJ156" s="26" t="str">
        <f t="shared" si="301"/>
        <v/>
      </c>
      <c r="AK156" s="26" t="str">
        <f t="shared" si="301"/>
        <v/>
      </c>
      <c r="AL156" s="26" t="str">
        <f t="shared" si="301"/>
        <v/>
      </c>
      <c r="AM156" s="26" t="str">
        <f t="shared" si="301"/>
        <v/>
      </c>
      <c r="AN156" s="26" t="str">
        <f t="shared" si="301"/>
        <v/>
      </c>
      <c r="AO156" s="26" t="str">
        <f t="shared" si="301"/>
        <v/>
      </c>
      <c r="AP156" s="26" t="str">
        <f t="shared" ref="AP156" si="302">IF(AP149="","",AO149+AO150-AP149)</f>
        <v/>
      </c>
      <c r="AQ156" s="26" t="str">
        <f t="shared" ref="AQ156:AR156" si="303">IF(AQ149="","",AP149+AP150-AQ149)</f>
        <v/>
      </c>
      <c r="AR156" s="26" t="str">
        <f t="shared" si="303"/>
        <v/>
      </c>
    </row>
    <row r="157" spans="1:44" s="1" customFormat="1">
      <c r="A157" s="7">
        <f>SUM(C157:AS157)</f>
        <v>0</v>
      </c>
      <c r="B157" s="27" t="s">
        <v>18</v>
      </c>
      <c r="C157" s="65">
        <v>0</v>
      </c>
      <c r="D157" s="26">
        <f t="shared" ref="D157:AO157" si="304">IF(D147="","",D156*D151)</f>
        <v>0</v>
      </c>
      <c r="E157" s="26">
        <f t="shared" si="304"/>
        <v>0</v>
      </c>
      <c r="F157" s="26">
        <f t="shared" si="304"/>
        <v>0</v>
      </c>
      <c r="G157" s="122">
        <f t="shared" si="304"/>
        <v>0</v>
      </c>
      <c r="H157" s="26">
        <f t="shared" si="304"/>
        <v>0</v>
      </c>
      <c r="I157" s="26">
        <f t="shared" si="304"/>
        <v>0</v>
      </c>
      <c r="J157" s="122">
        <f t="shared" si="304"/>
        <v>0</v>
      </c>
      <c r="K157" s="26">
        <f t="shared" si="304"/>
        <v>0</v>
      </c>
      <c r="L157" s="26">
        <f t="shared" si="304"/>
        <v>0</v>
      </c>
      <c r="M157" s="26">
        <f t="shared" si="304"/>
        <v>0</v>
      </c>
      <c r="N157" s="26">
        <f t="shared" si="304"/>
        <v>0</v>
      </c>
      <c r="O157" s="26">
        <f t="shared" si="304"/>
        <v>0</v>
      </c>
      <c r="P157" s="122">
        <f t="shared" si="304"/>
        <v>0</v>
      </c>
      <c r="Q157" s="26">
        <f t="shared" si="304"/>
        <v>0</v>
      </c>
      <c r="R157" s="26">
        <f t="shared" si="304"/>
        <v>0</v>
      </c>
      <c r="S157" s="26">
        <f t="shared" si="304"/>
        <v>0</v>
      </c>
      <c r="T157" s="26">
        <f t="shared" si="304"/>
        <v>0</v>
      </c>
      <c r="U157" s="26">
        <f t="shared" si="304"/>
        <v>0</v>
      </c>
      <c r="V157" s="26">
        <f>IF(V147="","",V156*V151)</f>
        <v>0</v>
      </c>
      <c r="W157" s="26">
        <f t="shared" si="304"/>
        <v>0</v>
      </c>
      <c r="X157" s="26">
        <f t="shared" si="304"/>
        <v>0</v>
      </c>
      <c r="Y157" s="26">
        <f t="shared" si="304"/>
        <v>0</v>
      </c>
      <c r="Z157" s="26">
        <f t="shared" si="304"/>
        <v>0</v>
      </c>
      <c r="AA157" s="26">
        <f t="shared" si="304"/>
        <v>0</v>
      </c>
      <c r="AB157" s="26">
        <f t="shared" si="304"/>
        <v>0</v>
      </c>
      <c r="AC157" s="26">
        <f t="shared" si="304"/>
        <v>0</v>
      </c>
      <c r="AD157" s="26">
        <f t="shared" si="304"/>
        <v>0</v>
      </c>
      <c r="AE157" s="26" t="str">
        <f t="shared" si="304"/>
        <v/>
      </c>
      <c r="AF157" s="26" t="str">
        <f t="shared" si="304"/>
        <v/>
      </c>
      <c r="AG157" s="26" t="str">
        <f t="shared" si="304"/>
        <v/>
      </c>
      <c r="AH157" s="26" t="str">
        <f t="shared" si="304"/>
        <v/>
      </c>
      <c r="AI157" s="26" t="str">
        <f t="shared" si="304"/>
        <v/>
      </c>
      <c r="AJ157" s="26" t="str">
        <f t="shared" si="304"/>
        <v/>
      </c>
      <c r="AK157" s="26" t="str">
        <f t="shared" si="304"/>
        <v/>
      </c>
      <c r="AL157" s="26" t="str">
        <f t="shared" si="304"/>
        <v/>
      </c>
      <c r="AM157" s="26" t="str">
        <f t="shared" si="304"/>
        <v/>
      </c>
      <c r="AN157" s="26" t="str">
        <f t="shared" si="304"/>
        <v/>
      </c>
      <c r="AO157" s="26" t="str">
        <f t="shared" si="304"/>
        <v/>
      </c>
      <c r="AP157" s="26" t="str">
        <f t="shared" ref="AP157:AR157" si="305">IF(AP147="","",AP156*AP151)</f>
        <v/>
      </c>
      <c r="AQ157" s="26" t="str">
        <f t="shared" si="305"/>
        <v/>
      </c>
      <c r="AR157" s="26" t="str">
        <f t="shared" si="305"/>
        <v/>
      </c>
    </row>
    <row r="158" spans="1:44" s="1" customFormat="1" ht="12" thickBot="1">
      <c r="A158" s="4">
        <f>IF(A157="","",A157/(A154*100))</f>
        <v>0</v>
      </c>
      <c r="B158" s="24" t="s">
        <v>20</v>
      </c>
      <c r="C158" s="67" t="s">
        <v>21</v>
      </c>
      <c r="D158" s="23" t="str">
        <f t="shared" ref="D158:AO158" si="306">IF(D157="","",IF(D157=0,"",D157/(D154*100)))</f>
        <v/>
      </c>
      <c r="E158" s="23" t="str">
        <f t="shared" si="306"/>
        <v/>
      </c>
      <c r="F158" s="23" t="str">
        <f t="shared" si="306"/>
        <v/>
      </c>
      <c r="G158" s="124" t="str">
        <f t="shared" si="306"/>
        <v/>
      </c>
      <c r="H158" s="23" t="str">
        <f t="shared" si="306"/>
        <v/>
      </c>
      <c r="I158" s="23" t="str">
        <f t="shared" si="306"/>
        <v/>
      </c>
      <c r="J158" s="124" t="str">
        <f t="shared" si="306"/>
        <v/>
      </c>
      <c r="K158" s="23" t="str">
        <f t="shared" si="306"/>
        <v/>
      </c>
      <c r="L158" s="23" t="str">
        <f t="shared" si="306"/>
        <v/>
      </c>
      <c r="M158" s="23" t="str">
        <f t="shared" si="306"/>
        <v/>
      </c>
      <c r="N158" s="23" t="str">
        <f t="shared" si="306"/>
        <v/>
      </c>
      <c r="O158" s="23" t="str">
        <f t="shared" si="306"/>
        <v/>
      </c>
      <c r="P158" s="124" t="str">
        <f t="shared" si="306"/>
        <v/>
      </c>
      <c r="Q158" s="23" t="str">
        <f t="shared" si="306"/>
        <v/>
      </c>
      <c r="R158" s="23" t="str">
        <f t="shared" si="306"/>
        <v/>
      </c>
      <c r="S158" s="23" t="str">
        <f t="shared" si="306"/>
        <v/>
      </c>
      <c r="T158" s="23" t="str">
        <f t="shared" si="306"/>
        <v/>
      </c>
      <c r="U158" s="23" t="str">
        <f t="shared" si="306"/>
        <v/>
      </c>
      <c r="V158" s="23" t="str">
        <f>IF(V157="","",IF(V157=0,"",V157/(V154*100)))</f>
        <v/>
      </c>
      <c r="W158" s="23" t="str">
        <f t="shared" si="306"/>
        <v/>
      </c>
      <c r="X158" s="23" t="str">
        <f t="shared" si="306"/>
        <v/>
      </c>
      <c r="Y158" s="23" t="str">
        <f t="shared" si="306"/>
        <v/>
      </c>
      <c r="Z158" s="23" t="str">
        <f t="shared" si="306"/>
        <v/>
      </c>
      <c r="AA158" s="23" t="str">
        <f t="shared" si="306"/>
        <v/>
      </c>
      <c r="AB158" s="23" t="str">
        <f t="shared" si="306"/>
        <v/>
      </c>
      <c r="AC158" s="23" t="str">
        <f t="shared" si="306"/>
        <v/>
      </c>
      <c r="AD158" s="23" t="str">
        <f t="shared" si="306"/>
        <v/>
      </c>
      <c r="AE158" s="23" t="str">
        <f t="shared" si="306"/>
        <v/>
      </c>
      <c r="AF158" s="23" t="str">
        <f t="shared" si="306"/>
        <v/>
      </c>
      <c r="AG158" s="23" t="str">
        <f t="shared" si="306"/>
        <v/>
      </c>
      <c r="AH158" s="23" t="str">
        <f t="shared" si="306"/>
        <v/>
      </c>
      <c r="AI158" s="23" t="str">
        <f t="shared" si="306"/>
        <v/>
      </c>
      <c r="AJ158" s="23" t="str">
        <f t="shared" si="306"/>
        <v/>
      </c>
      <c r="AK158" s="23" t="str">
        <f t="shared" si="306"/>
        <v/>
      </c>
      <c r="AL158" s="23" t="str">
        <f t="shared" si="306"/>
        <v/>
      </c>
      <c r="AM158" s="23" t="str">
        <f t="shared" si="306"/>
        <v/>
      </c>
      <c r="AN158" s="23" t="str">
        <f t="shared" si="306"/>
        <v/>
      </c>
      <c r="AO158" s="23" t="str">
        <f t="shared" si="306"/>
        <v/>
      </c>
      <c r="AP158" s="23" t="str">
        <f t="shared" ref="AP158:AR158" si="307">IF(AP157="","",IF(AP157=0,"",AP157/(AP154*100)))</f>
        <v/>
      </c>
      <c r="AQ158" s="23" t="str">
        <f t="shared" si="307"/>
        <v/>
      </c>
      <c r="AR158" s="23" t="str">
        <f t="shared" si="307"/>
        <v/>
      </c>
    </row>
    <row r="159" spans="1:44" s="1" customFormat="1">
      <c r="A159" s="40" t="s">
        <v>180</v>
      </c>
      <c r="B159" s="39" t="s">
        <v>2</v>
      </c>
      <c r="C159" s="66">
        <v>50587</v>
      </c>
      <c r="D159" s="38">
        <f>IF(D$3="","",C159)</f>
        <v>50587</v>
      </c>
      <c r="E159" s="38">
        <f>IF(E$3="","",D159)</f>
        <v>50587</v>
      </c>
      <c r="F159" s="38">
        <v>50606</v>
      </c>
      <c r="G159" s="121">
        <f>IF(G$3="","",F159)</f>
        <v>50606</v>
      </c>
      <c r="H159" s="38">
        <f>IF(H$3="","",G159)</f>
        <v>50606</v>
      </c>
      <c r="I159" s="38">
        <v>50641</v>
      </c>
      <c r="J159" s="121">
        <f>IF(J$3="","",I159)</f>
        <v>50641</v>
      </c>
      <c r="K159" s="38">
        <f>IF(K$3="","",J159)</f>
        <v>50641</v>
      </c>
      <c r="L159" s="38">
        <v>50646</v>
      </c>
      <c r="M159" s="38">
        <f>IF(M$3="","",L159)</f>
        <v>50646</v>
      </c>
      <c r="N159" s="38">
        <f>IF(N$3="","",M159)</f>
        <v>50646</v>
      </c>
      <c r="O159" s="38">
        <v>50691</v>
      </c>
      <c r="P159" s="121">
        <f t="shared" ref="P159:AO159" si="308">IF(P$3="","",O159)</f>
        <v>50691</v>
      </c>
      <c r="Q159" s="38">
        <f t="shared" si="308"/>
        <v>50691</v>
      </c>
      <c r="R159" s="38">
        <f t="shared" si="308"/>
        <v>50691</v>
      </c>
      <c r="S159" s="38">
        <v>50703</v>
      </c>
      <c r="T159" s="38">
        <f t="shared" si="308"/>
        <v>50703</v>
      </c>
      <c r="U159" s="38">
        <f t="shared" si="308"/>
        <v>50703</v>
      </c>
      <c r="V159" s="38">
        <v>50721</v>
      </c>
      <c r="W159" s="38">
        <f t="shared" si="308"/>
        <v>50721</v>
      </c>
      <c r="X159" s="38">
        <f t="shared" si="308"/>
        <v>50721</v>
      </c>
      <c r="Y159" s="38">
        <f t="shared" si="308"/>
        <v>50721</v>
      </c>
      <c r="Z159" s="38">
        <f t="shared" si="308"/>
        <v>50721</v>
      </c>
      <c r="AA159" s="38">
        <v>50744</v>
      </c>
      <c r="AB159" s="38">
        <f t="shared" si="308"/>
        <v>50744</v>
      </c>
      <c r="AC159" s="38">
        <f t="shared" si="308"/>
        <v>50744</v>
      </c>
      <c r="AD159" s="38">
        <v>50769</v>
      </c>
      <c r="AE159" s="38" t="str">
        <f t="shared" si="308"/>
        <v/>
      </c>
      <c r="AF159" s="38" t="str">
        <f t="shared" si="308"/>
        <v/>
      </c>
      <c r="AG159" s="38" t="str">
        <f t="shared" si="308"/>
        <v/>
      </c>
      <c r="AH159" s="38" t="str">
        <f t="shared" si="308"/>
        <v/>
      </c>
      <c r="AI159" s="38" t="str">
        <f t="shared" si="308"/>
        <v/>
      </c>
      <c r="AJ159" s="38" t="str">
        <f t="shared" si="308"/>
        <v/>
      </c>
      <c r="AK159" s="38" t="str">
        <f t="shared" si="308"/>
        <v/>
      </c>
      <c r="AL159" s="38" t="str">
        <f t="shared" si="308"/>
        <v/>
      </c>
      <c r="AM159" s="38" t="str">
        <f t="shared" si="308"/>
        <v/>
      </c>
      <c r="AN159" s="38" t="str">
        <f t="shared" si="308"/>
        <v/>
      </c>
      <c r="AO159" s="38" t="str">
        <f t="shared" si="308"/>
        <v/>
      </c>
      <c r="AP159" s="38" t="str">
        <f t="shared" ref="AP159:AR159" si="309">IF(AP$3="","",AO159)</f>
        <v/>
      </c>
      <c r="AQ159" s="38" t="str">
        <f t="shared" si="309"/>
        <v/>
      </c>
      <c r="AR159" s="38" t="str">
        <f t="shared" si="309"/>
        <v/>
      </c>
    </row>
    <row r="160" spans="1:44" s="1" customFormat="1">
      <c r="A160" s="37" t="s">
        <v>198</v>
      </c>
      <c r="B160" s="30" t="s">
        <v>4</v>
      </c>
      <c r="C160" s="65">
        <v>6213</v>
      </c>
      <c r="D160" s="29">
        <f>IF(D$3="","",C160)</f>
        <v>6213</v>
      </c>
      <c r="E160" s="29">
        <f>IF(E$3="","",D160)</f>
        <v>6213</v>
      </c>
      <c r="F160" s="29">
        <v>6215</v>
      </c>
      <c r="G160" s="122">
        <f>IF(G$3="","",F160)</f>
        <v>6215</v>
      </c>
      <c r="H160" s="29">
        <f>IF(H$3="","",G160)</f>
        <v>6215</v>
      </c>
      <c r="I160" s="29">
        <v>6220</v>
      </c>
      <c r="J160" s="122">
        <f>IF(J$3="","",I160)</f>
        <v>6220</v>
      </c>
      <c r="K160" s="29">
        <f>IF(K$3="","",J160)</f>
        <v>6220</v>
      </c>
      <c r="L160" s="29">
        <v>6224</v>
      </c>
      <c r="M160" s="29">
        <f>IF(M$3="","",L160)</f>
        <v>6224</v>
      </c>
      <c r="N160" s="29">
        <f>IF(N$3="","",M160)</f>
        <v>6224</v>
      </c>
      <c r="O160" s="29">
        <v>6232</v>
      </c>
      <c r="P160" s="122">
        <f t="shared" ref="P160:AO160" si="310">IF(P$3="","",O160)</f>
        <v>6232</v>
      </c>
      <c r="Q160" s="29">
        <f t="shared" si="310"/>
        <v>6232</v>
      </c>
      <c r="R160" s="29">
        <f t="shared" si="310"/>
        <v>6232</v>
      </c>
      <c r="S160" s="29">
        <v>6239</v>
      </c>
      <c r="T160" s="29">
        <f t="shared" si="310"/>
        <v>6239</v>
      </c>
      <c r="U160" s="29">
        <f t="shared" si="310"/>
        <v>6239</v>
      </c>
      <c r="V160" s="29">
        <v>6244</v>
      </c>
      <c r="W160" s="29">
        <f t="shared" si="310"/>
        <v>6244</v>
      </c>
      <c r="X160" s="29">
        <f t="shared" si="310"/>
        <v>6244</v>
      </c>
      <c r="Y160" s="29">
        <f t="shared" si="310"/>
        <v>6244</v>
      </c>
      <c r="Z160" s="29">
        <f t="shared" si="310"/>
        <v>6244</v>
      </c>
      <c r="AA160" s="29">
        <v>6248</v>
      </c>
      <c r="AB160" s="29">
        <f t="shared" si="310"/>
        <v>6248</v>
      </c>
      <c r="AC160" s="29">
        <f t="shared" si="310"/>
        <v>6248</v>
      </c>
      <c r="AD160" s="29">
        <v>6251</v>
      </c>
      <c r="AE160" s="29" t="str">
        <f t="shared" si="310"/>
        <v/>
      </c>
      <c r="AF160" s="29" t="str">
        <f t="shared" si="310"/>
        <v/>
      </c>
      <c r="AG160" s="29" t="str">
        <f t="shared" si="310"/>
        <v/>
      </c>
      <c r="AH160" s="29" t="str">
        <f t="shared" si="310"/>
        <v/>
      </c>
      <c r="AI160" s="29" t="str">
        <f t="shared" si="310"/>
        <v/>
      </c>
      <c r="AJ160" s="29" t="str">
        <f t="shared" si="310"/>
        <v/>
      </c>
      <c r="AK160" s="29" t="str">
        <f t="shared" si="310"/>
        <v/>
      </c>
      <c r="AL160" s="29" t="str">
        <f t="shared" si="310"/>
        <v/>
      </c>
      <c r="AM160" s="29" t="str">
        <f t="shared" si="310"/>
        <v/>
      </c>
      <c r="AN160" s="29" t="str">
        <f t="shared" si="310"/>
        <v/>
      </c>
      <c r="AO160" s="29" t="str">
        <f t="shared" si="310"/>
        <v/>
      </c>
      <c r="AP160" s="29" t="str">
        <f t="shared" ref="AP160:AR160" si="311">IF(AP$3="","",AO160)</f>
        <v/>
      </c>
      <c r="AQ160" s="29" t="str">
        <f t="shared" si="311"/>
        <v/>
      </c>
      <c r="AR160" s="29" t="str">
        <f t="shared" si="311"/>
        <v/>
      </c>
    </row>
    <row r="161" spans="1:44" s="1" customFormat="1">
      <c r="A161" s="41">
        <v>1</v>
      </c>
      <c r="B161" s="30" t="s">
        <v>5</v>
      </c>
      <c r="C161" s="65">
        <v>44</v>
      </c>
      <c r="D161" s="29">
        <f t="shared" ref="D161:AO161" si="312">IF(D159="","",(C161+C162))</f>
        <v>44</v>
      </c>
      <c r="E161" s="29">
        <f t="shared" si="312"/>
        <v>44</v>
      </c>
      <c r="F161" s="29">
        <f t="shared" si="312"/>
        <v>44</v>
      </c>
      <c r="G161" s="122">
        <f t="shared" si="312"/>
        <v>44</v>
      </c>
      <c r="H161" s="29">
        <f t="shared" si="312"/>
        <v>44</v>
      </c>
      <c r="I161" s="29">
        <f t="shared" si="312"/>
        <v>44</v>
      </c>
      <c r="J161" s="122">
        <f t="shared" si="312"/>
        <v>44</v>
      </c>
      <c r="K161" s="29">
        <f t="shared" si="312"/>
        <v>44</v>
      </c>
      <c r="L161" s="29">
        <f t="shared" si="312"/>
        <v>44</v>
      </c>
      <c r="M161" s="29">
        <f t="shared" si="312"/>
        <v>44</v>
      </c>
      <c r="N161" s="29">
        <f t="shared" si="312"/>
        <v>44</v>
      </c>
      <c r="O161" s="29">
        <f t="shared" si="312"/>
        <v>44</v>
      </c>
      <c r="P161" s="122">
        <f t="shared" si="312"/>
        <v>44</v>
      </c>
      <c r="Q161" s="29">
        <f t="shared" si="312"/>
        <v>44</v>
      </c>
      <c r="R161" s="29">
        <f t="shared" si="312"/>
        <v>44</v>
      </c>
      <c r="S161" s="29">
        <f t="shared" si="312"/>
        <v>44</v>
      </c>
      <c r="T161" s="29">
        <f t="shared" si="312"/>
        <v>44</v>
      </c>
      <c r="U161" s="29">
        <f t="shared" si="312"/>
        <v>44</v>
      </c>
      <c r="V161" s="29">
        <f>IF(V159="","",(U161+U162))</f>
        <v>44</v>
      </c>
      <c r="W161" s="29">
        <f t="shared" si="312"/>
        <v>44</v>
      </c>
      <c r="X161" s="29">
        <f t="shared" si="312"/>
        <v>44</v>
      </c>
      <c r="Y161" s="29">
        <f t="shared" si="312"/>
        <v>44</v>
      </c>
      <c r="Z161" s="29">
        <f t="shared" si="312"/>
        <v>44</v>
      </c>
      <c r="AA161" s="29">
        <f t="shared" si="312"/>
        <v>44</v>
      </c>
      <c r="AB161" s="29">
        <f t="shared" si="312"/>
        <v>44</v>
      </c>
      <c r="AC161" s="29">
        <f t="shared" si="312"/>
        <v>44</v>
      </c>
      <c r="AD161" s="29">
        <f t="shared" si="312"/>
        <v>44</v>
      </c>
      <c r="AE161" s="29" t="str">
        <f t="shared" si="312"/>
        <v/>
      </c>
      <c r="AF161" s="29" t="str">
        <f t="shared" si="312"/>
        <v/>
      </c>
      <c r="AG161" s="29" t="str">
        <f t="shared" si="312"/>
        <v/>
      </c>
      <c r="AH161" s="29" t="str">
        <f t="shared" si="312"/>
        <v/>
      </c>
      <c r="AI161" s="29" t="str">
        <f t="shared" si="312"/>
        <v/>
      </c>
      <c r="AJ161" s="29" t="str">
        <f t="shared" si="312"/>
        <v/>
      </c>
      <c r="AK161" s="29" t="str">
        <f t="shared" si="312"/>
        <v/>
      </c>
      <c r="AL161" s="29" t="str">
        <f t="shared" si="312"/>
        <v/>
      </c>
      <c r="AM161" s="29" t="str">
        <f t="shared" si="312"/>
        <v/>
      </c>
      <c r="AN161" s="29" t="str">
        <f t="shared" si="312"/>
        <v/>
      </c>
      <c r="AO161" s="29" t="str">
        <f t="shared" si="312"/>
        <v/>
      </c>
      <c r="AP161" s="29" t="str">
        <f t="shared" ref="AP161" si="313">IF(AP159="","",(AO161+AO162))</f>
        <v/>
      </c>
      <c r="AQ161" s="29" t="str">
        <f t="shared" ref="AQ161:AR161" si="314">IF(AQ159="","",(AP161+AP162))</f>
        <v/>
      </c>
      <c r="AR161" s="29" t="str">
        <f t="shared" si="314"/>
        <v/>
      </c>
    </row>
    <row r="162" spans="1:44" s="1" customFormat="1">
      <c r="A162" s="14"/>
      <c r="B162" s="30" t="s">
        <v>7</v>
      </c>
      <c r="C162" s="65"/>
      <c r="D162" s="29"/>
      <c r="E162" s="29"/>
      <c r="F162" s="29"/>
      <c r="G162" s="122"/>
      <c r="H162" s="29"/>
      <c r="I162" s="29"/>
      <c r="J162" s="122"/>
      <c r="K162" s="29"/>
      <c r="L162" s="29"/>
      <c r="M162" s="29"/>
      <c r="N162" s="29"/>
      <c r="O162" s="29"/>
      <c r="P162" s="122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</row>
    <row r="163" spans="1:44" s="1" customFormat="1">
      <c r="A163" s="7"/>
      <c r="B163" s="30" t="s">
        <v>8</v>
      </c>
      <c r="C163" s="64">
        <v>90</v>
      </c>
      <c r="D163" s="35">
        <f t="shared" ref="D163:AO163" si="315">IF(D159="","",C163)</f>
        <v>90</v>
      </c>
      <c r="E163" s="35">
        <f t="shared" si="315"/>
        <v>90</v>
      </c>
      <c r="F163" s="35">
        <f t="shared" si="315"/>
        <v>90</v>
      </c>
      <c r="G163" s="383">
        <f t="shared" si="315"/>
        <v>90</v>
      </c>
      <c r="H163" s="35">
        <f t="shared" si="315"/>
        <v>90</v>
      </c>
      <c r="I163" s="35">
        <f t="shared" si="315"/>
        <v>90</v>
      </c>
      <c r="J163" s="383">
        <f t="shared" si="315"/>
        <v>90</v>
      </c>
      <c r="K163" s="35">
        <f t="shared" si="315"/>
        <v>90</v>
      </c>
      <c r="L163" s="35">
        <f t="shared" si="315"/>
        <v>90</v>
      </c>
      <c r="M163" s="35">
        <f t="shared" si="315"/>
        <v>90</v>
      </c>
      <c r="N163" s="35">
        <f t="shared" si="315"/>
        <v>90</v>
      </c>
      <c r="O163" s="35">
        <f t="shared" si="315"/>
        <v>90</v>
      </c>
      <c r="P163" s="383">
        <f t="shared" si="315"/>
        <v>90</v>
      </c>
      <c r="Q163" s="35">
        <f t="shared" si="315"/>
        <v>90</v>
      </c>
      <c r="R163" s="35">
        <f t="shared" si="315"/>
        <v>90</v>
      </c>
      <c r="S163" s="35">
        <f t="shared" si="315"/>
        <v>90</v>
      </c>
      <c r="T163" s="35">
        <f t="shared" si="315"/>
        <v>90</v>
      </c>
      <c r="U163" s="35">
        <f t="shared" si="315"/>
        <v>90</v>
      </c>
      <c r="V163" s="35">
        <f>IF(V159="","",U163)</f>
        <v>90</v>
      </c>
      <c r="W163" s="35">
        <f t="shared" si="315"/>
        <v>90</v>
      </c>
      <c r="X163" s="35">
        <f t="shared" si="315"/>
        <v>90</v>
      </c>
      <c r="Y163" s="35">
        <f t="shared" si="315"/>
        <v>90</v>
      </c>
      <c r="Z163" s="35">
        <f t="shared" si="315"/>
        <v>90</v>
      </c>
      <c r="AA163" s="35">
        <f t="shared" si="315"/>
        <v>90</v>
      </c>
      <c r="AB163" s="35">
        <f t="shared" si="315"/>
        <v>90</v>
      </c>
      <c r="AC163" s="35">
        <f t="shared" si="315"/>
        <v>90</v>
      </c>
      <c r="AD163" s="35">
        <f t="shared" si="315"/>
        <v>90</v>
      </c>
      <c r="AE163" s="35" t="str">
        <f t="shared" si="315"/>
        <v/>
      </c>
      <c r="AF163" s="35" t="str">
        <f t="shared" si="315"/>
        <v/>
      </c>
      <c r="AG163" s="35" t="str">
        <f t="shared" si="315"/>
        <v/>
      </c>
      <c r="AH163" s="35" t="str">
        <f t="shared" si="315"/>
        <v/>
      </c>
      <c r="AI163" s="35" t="str">
        <f t="shared" si="315"/>
        <v/>
      </c>
      <c r="AJ163" s="35" t="str">
        <f t="shared" si="315"/>
        <v/>
      </c>
      <c r="AK163" s="35" t="str">
        <f t="shared" si="315"/>
        <v/>
      </c>
      <c r="AL163" s="35" t="str">
        <f t="shared" si="315"/>
        <v/>
      </c>
      <c r="AM163" s="35" t="str">
        <f t="shared" si="315"/>
        <v/>
      </c>
      <c r="AN163" s="35" t="str">
        <f t="shared" si="315"/>
        <v/>
      </c>
      <c r="AO163" s="35" t="str">
        <f t="shared" si="315"/>
        <v/>
      </c>
      <c r="AP163" s="35" t="str">
        <f t="shared" ref="AP163" si="316">IF(AP159="","",AO163)</f>
        <v/>
      </c>
      <c r="AQ163" s="35" t="str">
        <f t="shared" ref="AQ163:AR163" si="317">IF(AQ159="","",AP163)</f>
        <v/>
      </c>
      <c r="AR163" s="35" t="str">
        <f t="shared" si="317"/>
        <v/>
      </c>
    </row>
    <row r="164" spans="1:44" s="11" customFormat="1">
      <c r="A164" s="14" t="s">
        <v>9</v>
      </c>
      <c r="B164" s="33" t="s">
        <v>10</v>
      </c>
      <c r="C164" s="63" t="s">
        <v>199</v>
      </c>
      <c r="D164" s="32" t="str">
        <f t="shared" ref="D164:AO164" si="318">IF(D159="","",C164)</f>
        <v>手錠</v>
      </c>
      <c r="E164" s="32" t="str">
        <f t="shared" si="318"/>
        <v>手錠</v>
      </c>
      <c r="F164" s="32" t="str">
        <f t="shared" si="318"/>
        <v>手錠</v>
      </c>
      <c r="G164" s="123" t="str">
        <f t="shared" si="318"/>
        <v>手錠</v>
      </c>
      <c r="H164" s="32" t="str">
        <f t="shared" si="318"/>
        <v>手錠</v>
      </c>
      <c r="I164" s="32" t="str">
        <f t="shared" si="318"/>
        <v>手錠</v>
      </c>
      <c r="J164" s="123" t="str">
        <f t="shared" si="318"/>
        <v>手錠</v>
      </c>
      <c r="K164" s="32" t="str">
        <f t="shared" si="318"/>
        <v>手錠</v>
      </c>
      <c r="L164" s="32" t="str">
        <f t="shared" si="318"/>
        <v>手錠</v>
      </c>
      <c r="M164" s="32" t="str">
        <f t="shared" si="318"/>
        <v>手錠</v>
      </c>
      <c r="N164" s="32" t="str">
        <f t="shared" si="318"/>
        <v>手錠</v>
      </c>
      <c r="O164" s="32" t="str">
        <f t="shared" si="318"/>
        <v>手錠</v>
      </c>
      <c r="P164" s="123" t="str">
        <f t="shared" si="318"/>
        <v>手錠</v>
      </c>
      <c r="Q164" s="32" t="str">
        <f t="shared" si="318"/>
        <v>手錠</v>
      </c>
      <c r="R164" s="32" t="str">
        <f t="shared" si="318"/>
        <v>手錠</v>
      </c>
      <c r="S164" s="32" t="str">
        <f t="shared" si="318"/>
        <v>手錠</v>
      </c>
      <c r="T164" s="32" t="str">
        <f t="shared" si="318"/>
        <v>手錠</v>
      </c>
      <c r="U164" s="32" t="str">
        <f t="shared" si="318"/>
        <v>手錠</v>
      </c>
      <c r="V164" s="32" t="str">
        <f>IF(V159="","",U164)</f>
        <v>手錠</v>
      </c>
      <c r="W164" s="32" t="str">
        <f t="shared" si="318"/>
        <v>手錠</v>
      </c>
      <c r="X164" s="32" t="str">
        <f t="shared" si="318"/>
        <v>手錠</v>
      </c>
      <c r="Y164" s="32" t="str">
        <f t="shared" si="318"/>
        <v>手錠</v>
      </c>
      <c r="Z164" s="32" t="str">
        <f t="shared" si="318"/>
        <v>手錠</v>
      </c>
      <c r="AA164" s="32" t="str">
        <f t="shared" si="318"/>
        <v>手錠</v>
      </c>
      <c r="AB164" s="32" t="str">
        <f t="shared" si="318"/>
        <v>手錠</v>
      </c>
      <c r="AC164" s="32" t="str">
        <f t="shared" si="318"/>
        <v>手錠</v>
      </c>
      <c r="AD164" s="32" t="str">
        <f t="shared" si="318"/>
        <v>手錠</v>
      </c>
      <c r="AE164" s="32" t="str">
        <f t="shared" si="318"/>
        <v/>
      </c>
      <c r="AF164" s="32" t="str">
        <f t="shared" si="318"/>
        <v/>
      </c>
      <c r="AG164" s="32" t="str">
        <f t="shared" si="318"/>
        <v/>
      </c>
      <c r="AH164" s="32" t="str">
        <f t="shared" si="318"/>
        <v/>
      </c>
      <c r="AI164" s="32" t="str">
        <f t="shared" si="318"/>
        <v/>
      </c>
      <c r="AJ164" s="32" t="str">
        <f t="shared" si="318"/>
        <v/>
      </c>
      <c r="AK164" s="32" t="str">
        <f t="shared" si="318"/>
        <v/>
      </c>
      <c r="AL164" s="32" t="str">
        <f t="shared" si="318"/>
        <v/>
      </c>
      <c r="AM164" s="32" t="str">
        <f t="shared" si="318"/>
        <v/>
      </c>
      <c r="AN164" s="32" t="str">
        <f t="shared" si="318"/>
        <v/>
      </c>
      <c r="AO164" s="32" t="str">
        <f t="shared" si="318"/>
        <v/>
      </c>
      <c r="AP164" s="32" t="str">
        <f t="shared" ref="AP164" si="319">IF(AP159="","",AO164)</f>
        <v/>
      </c>
      <c r="AQ164" s="32" t="str">
        <f t="shared" ref="AQ164:AR164" si="320">IF(AQ159="","",AP164)</f>
        <v/>
      </c>
      <c r="AR164" s="32" t="str">
        <f t="shared" si="320"/>
        <v/>
      </c>
    </row>
    <row r="165" spans="1:44" s="1" customFormat="1">
      <c r="A165" s="7">
        <f>AVERAGE(C166:AS166)*30*100</f>
        <v>19500</v>
      </c>
      <c r="B165" s="30" t="s">
        <v>14</v>
      </c>
      <c r="C165" s="65"/>
      <c r="D165" s="29"/>
      <c r="E165" s="29"/>
      <c r="F165" s="29"/>
      <c r="G165" s="122"/>
      <c r="H165" s="29"/>
      <c r="I165" s="29"/>
      <c r="J165" s="122"/>
      <c r="K165" s="29"/>
      <c r="L165" s="29"/>
      <c r="M165" s="29"/>
      <c r="N165" s="29"/>
      <c r="O165" s="29"/>
      <c r="P165" s="122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</row>
    <row r="166" spans="1:44" s="1" customFormat="1">
      <c r="A166" s="7">
        <f>SUM(C166:AS166)</f>
        <v>182</v>
      </c>
      <c r="B166" s="27" t="s">
        <v>15</v>
      </c>
      <c r="C166" s="65">
        <v>0</v>
      </c>
      <c r="D166" s="26">
        <f t="shared" ref="D166:AO166" si="321">IF(D159="","",D159-C159)</f>
        <v>0</v>
      </c>
      <c r="E166" s="26">
        <f t="shared" si="321"/>
        <v>0</v>
      </c>
      <c r="F166" s="26">
        <f t="shared" si="321"/>
        <v>19</v>
      </c>
      <c r="G166" s="122">
        <f t="shared" si="321"/>
        <v>0</v>
      </c>
      <c r="H166" s="26">
        <f t="shared" si="321"/>
        <v>0</v>
      </c>
      <c r="I166" s="26">
        <f t="shared" si="321"/>
        <v>35</v>
      </c>
      <c r="J166" s="122">
        <f t="shared" si="321"/>
        <v>0</v>
      </c>
      <c r="K166" s="26">
        <f t="shared" si="321"/>
        <v>0</v>
      </c>
      <c r="L166" s="26">
        <f t="shared" si="321"/>
        <v>5</v>
      </c>
      <c r="M166" s="26">
        <f t="shared" si="321"/>
        <v>0</v>
      </c>
      <c r="N166" s="26">
        <f t="shared" si="321"/>
        <v>0</v>
      </c>
      <c r="O166" s="26">
        <f t="shared" si="321"/>
        <v>45</v>
      </c>
      <c r="P166" s="122">
        <f t="shared" si="321"/>
        <v>0</v>
      </c>
      <c r="Q166" s="26">
        <f t="shared" si="321"/>
        <v>0</v>
      </c>
      <c r="R166" s="26">
        <f t="shared" si="321"/>
        <v>0</v>
      </c>
      <c r="S166" s="26">
        <f t="shared" si="321"/>
        <v>12</v>
      </c>
      <c r="T166" s="26">
        <f t="shared" si="321"/>
        <v>0</v>
      </c>
      <c r="U166" s="26">
        <f t="shared" si="321"/>
        <v>0</v>
      </c>
      <c r="V166" s="26">
        <f>IF(V159="","",V159-U159)</f>
        <v>18</v>
      </c>
      <c r="W166" s="26">
        <f t="shared" si="321"/>
        <v>0</v>
      </c>
      <c r="X166" s="26">
        <f t="shared" si="321"/>
        <v>0</v>
      </c>
      <c r="Y166" s="26">
        <f t="shared" si="321"/>
        <v>0</v>
      </c>
      <c r="Z166" s="26">
        <f t="shared" si="321"/>
        <v>0</v>
      </c>
      <c r="AA166" s="26">
        <f t="shared" si="321"/>
        <v>23</v>
      </c>
      <c r="AB166" s="26">
        <f t="shared" si="321"/>
        <v>0</v>
      </c>
      <c r="AC166" s="26">
        <f t="shared" si="321"/>
        <v>0</v>
      </c>
      <c r="AD166" s="26">
        <f t="shared" si="321"/>
        <v>25</v>
      </c>
      <c r="AE166" s="26" t="str">
        <f t="shared" si="321"/>
        <v/>
      </c>
      <c r="AF166" s="26" t="str">
        <f t="shared" si="321"/>
        <v/>
      </c>
      <c r="AG166" s="26" t="str">
        <f t="shared" si="321"/>
        <v/>
      </c>
      <c r="AH166" s="26" t="str">
        <f t="shared" si="321"/>
        <v/>
      </c>
      <c r="AI166" s="26" t="str">
        <f t="shared" si="321"/>
        <v/>
      </c>
      <c r="AJ166" s="26" t="str">
        <f t="shared" si="321"/>
        <v/>
      </c>
      <c r="AK166" s="26" t="str">
        <f t="shared" si="321"/>
        <v/>
      </c>
      <c r="AL166" s="26" t="str">
        <f t="shared" si="321"/>
        <v/>
      </c>
      <c r="AM166" s="26" t="str">
        <f t="shared" si="321"/>
        <v/>
      </c>
      <c r="AN166" s="26" t="str">
        <f t="shared" si="321"/>
        <v/>
      </c>
      <c r="AO166" s="26" t="str">
        <f t="shared" si="321"/>
        <v/>
      </c>
      <c r="AP166" s="26" t="str">
        <f t="shared" ref="AP166:AP167" si="322">IF(AP159="","",AP159-AO159)</f>
        <v/>
      </c>
      <c r="AQ166" s="26" t="str">
        <f t="shared" ref="AQ166:AR167" si="323">IF(AQ159="","",AQ159-AP159)</f>
        <v/>
      </c>
      <c r="AR166" s="26" t="str">
        <f t="shared" si="323"/>
        <v/>
      </c>
    </row>
    <row r="167" spans="1:44" s="1" customFormat="1">
      <c r="A167" s="7">
        <f>SUM(C167:AS167)</f>
        <v>38</v>
      </c>
      <c r="B167" s="27" t="s">
        <v>16</v>
      </c>
      <c r="C167" s="65">
        <v>0</v>
      </c>
      <c r="D167" s="26">
        <f t="shared" ref="D167:AO167" si="324">IF(D160="","",D160-C160)</f>
        <v>0</v>
      </c>
      <c r="E167" s="26">
        <f t="shared" si="324"/>
        <v>0</v>
      </c>
      <c r="F167" s="26">
        <f t="shared" si="324"/>
        <v>2</v>
      </c>
      <c r="G167" s="122">
        <f t="shared" si="324"/>
        <v>0</v>
      </c>
      <c r="H167" s="26">
        <f t="shared" si="324"/>
        <v>0</v>
      </c>
      <c r="I167" s="26">
        <f t="shared" si="324"/>
        <v>5</v>
      </c>
      <c r="J167" s="122">
        <f t="shared" si="324"/>
        <v>0</v>
      </c>
      <c r="K167" s="26">
        <f t="shared" si="324"/>
        <v>0</v>
      </c>
      <c r="L167" s="26">
        <f t="shared" si="324"/>
        <v>4</v>
      </c>
      <c r="M167" s="26">
        <f t="shared" si="324"/>
        <v>0</v>
      </c>
      <c r="N167" s="26">
        <f t="shared" si="324"/>
        <v>0</v>
      </c>
      <c r="O167" s="26">
        <f t="shared" si="324"/>
        <v>8</v>
      </c>
      <c r="P167" s="122">
        <f t="shared" si="324"/>
        <v>0</v>
      </c>
      <c r="Q167" s="26">
        <f t="shared" si="324"/>
        <v>0</v>
      </c>
      <c r="R167" s="26">
        <f t="shared" si="324"/>
        <v>0</v>
      </c>
      <c r="S167" s="26">
        <f t="shared" si="324"/>
        <v>7</v>
      </c>
      <c r="T167" s="26">
        <f t="shared" si="324"/>
        <v>0</v>
      </c>
      <c r="U167" s="26">
        <f t="shared" si="324"/>
        <v>0</v>
      </c>
      <c r="V167" s="26">
        <f>IF(V160="","",V160-U160)</f>
        <v>5</v>
      </c>
      <c r="W167" s="26">
        <f t="shared" si="324"/>
        <v>0</v>
      </c>
      <c r="X167" s="26">
        <f t="shared" si="324"/>
        <v>0</v>
      </c>
      <c r="Y167" s="26">
        <f t="shared" si="324"/>
        <v>0</v>
      </c>
      <c r="Z167" s="26">
        <f t="shared" si="324"/>
        <v>0</v>
      </c>
      <c r="AA167" s="26">
        <f t="shared" si="324"/>
        <v>4</v>
      </c>
      <c r="AB167" s="26">
        <f t="shared" si="324"/>
        <v>0</v>
      </c>
      <c r="AC167" s="26">
        <f t="shared" si="324"/>
        <v>0</v>
      </c>
      <c r="AD167" s="26">
        <f t="shared" si="324"/>
        <v>3</v>
      </c>
      <c r="AE167" s="26" t="str">
        <f t="shared" si="324"/>
        <v/>
      </c>
      <c r="AF167" s="26" t="str">
        <f t="shared" si="324"/>
        <v/>
      </c>
      <c r="AG167" s="26" t="str">
        <f t="shared" si="324"/>
        <v/>
      </c>
      <c r="AH167" s="26" t="str">
        <f t="shared" si="324"/>
        <v/>
      </c>
      <c r="AI167" s="26" t="str">
        <f t="shared" si="324"/>
        <v/>
      </c>
      <c r="AJ167" s="26" t="str">
        <f t="shared" si="324"/>
        <v/>
      </c>
      <c r="AK167" s="26" t="str">
        <f t="shared" si="324"/>
        <v/>
      </c>
      <c r="AL167" s="26" t="str">
        <f t="shared" si="324"/>
        <v/>
      </c>
      <c r="AM167" s="26" t="str">
        <f t="shared" si="324"/>
        <v/>
      </c>
      <c r="AN167" s="26" t="str">
        <f t="shared" si="324"/>
        <v/>
      </c>
      <c r="AO167" s="26" t="str">
        <f t="shared" si="324"/>
        <v/>
      </c>
      <c r="AP167" s="26" t="str">
        <f t="shared" si="322"/>
        <v/>
      </c>
      <c r="AQ167" s="26" t="str">
        <f t="shared" si="323"/>
        <v/>
      </c>
      <c r="AR167" s="26" t="str">
        <f t="shared" si="323"/>
        <v/>
      </c>
    </row>
    <row r="168" spans="1:44" s="1" customFormat="1">
      <c r="A168" s="7">
        <f>SUM(C168:AS168)</f>
        <v>0</v>
      </c>
      <c r="B168" s="27" t="s">
        <v>17</v>
      </c>
      <c r="C168" s="65">
        <v>0</v>
      </c>
      <c r="D168" s="26">
        <f t="shared" ref="D168:AO168" si="325">IF(D161="","",C161+C162-D161)</f>
        <v>0</v>
      </c>
      <c r="E168" s="26">
        <f t="shared" si="325"/>
        <v>0</v>
      </c>
      <c r="F168" s="26">
        <f t="shared" si="325"/>
        <v>0</v>
      </c>
      <c r="G168" s="122">
        <f t="shared" si="325"/>
        <v>0</v>
      </c>
      <c r="H168" s="26">
        <f t="shared" si="325"/>
        <v>0</v>
      </c>
      <c r="I168" s="26">
        <f t="shared" si="325"/>
        <v>0</v>
      </c>
      <c r="J168" s="122">
        <f t="shared" si="325"/>
        <v>0</v>
      </c>
      <c r="K168" s="26">
        <f t="shared" si="325"/>
        <v>0</v>
      </c>
      <c r="L168" s="26">
        <f t="shared" si="325"/>
        <v>0</v>
      </c>
      <c r="M168" s="26">
        <f t="shared" si="325"/>
        <v>0</v>
      </c>
      <c r="N168" s="26">
        <f t="shared" si="325"/>
        <v>0</v>
      </c>
      <c r="O168" s="26">
        <f t="shared" si="325"/>
        <v>0</v>
      </c>
      <c r="P168" s="122">
        <f t="shared" si="325"/>
        <v>0</v>
      </c>
      <c r="Q168" s="26">
        <f t="shared" si="325"/>
        <v>0</v>
      </c>
      <c r="R168" s="26">
        <f t="shared" si="325"/>
        <v>0</v>
      </c>
      <c r="S168" s="26">
        <f t="shared" si="325"/>
        <v>0</v>
      </c>
      <c r="T168" s="26">
        <f t="shared" si="325"/>
        <v>0</v>
      </c>
      <c r="U168" s="26">
        <f t="shared" si="325"/>
        <v>0</v>
      </c>
      <c r="V168" s="26">
        <f>IF(V161="","",U161+U162-V161)</f>
        <v>0</v>
      </c>
      <c r="W168" s="26">
        <f t="shared" si="325"/>
        <v>0</v>
      </c>
      <c r="X168" s="26">
        <f t="shared" si="325"/>
        <v>0</v>
      </c>
      <c r="Y168" s="26">
        <f t="shared" si="325"/>
        <v>0</v>
      </c>
      <c r="Z168" s="26">
        <f t="shared" si="325"/>
        <v>0</v>
      </c>
      <c r="AA168" s="26">
        <f t="shared" si="325"/>
        <v>0</v>
      </c>
      <c r="AB168" s="26">
        <f t="shared" si="325"/>
        <v>0</v>
      </c>
      <c r="AC168" s="26">
        <f t="shared" si="325"/>
        <v>0</v>
      </c>
      <c r="AD168" s="26">
        <f t="shared" si="325"/>
        <v>0</v>
      </c>
      <c r="AE168" s="26" t="str">
        <f t="shared" si="325"/>
        <v/>
      </c>
      <c r="AF168" s="26" t="str">
        <f t="shared" si="325"/>
        <v/>
      </c>
      <c r="AG168" s="26" t="str">
        <f t="shared" si="325"/>
        <v/>
      </c>
      <c r="AH168" s="26" t="str">
        <f t="shared" si="325"/>
        <v/>
      </c>
      <c r="AI168" s="26" t="str">
        <f t="shared" si="325"/>
        <v/>
      </c>
      <c r="AJ168" s="26" t="str">
        <f t="shared" si="325"/>
        <v/>
      </c>
      <c r="AK168" s="26" t="str">
        <f t="shared" si="325"/>
        <v/>
      </c>
      <c r="AL168" s="26" t="str">
        <f t="shared" si="325"/>
        <v/>
      </c>
      <c r="AM168" s="26" t="str">
        <f t="shared" si="325"/>
        <v/>
      </c>
      <c r="AN168" s="26" t="str">
        <f t="shared" si="325"/>
        <v/>
      </c>
      <c r="AO168" s="26" t="str">
        <f t="shared" si="325"/>
        <v/>
      </c>
      <c r="AP168" s="26" t="str">
        <f t="shared" ref="AP168" si="326">IF(AP161="","",AO161+AO162-AP161)</f>
        <v/>
      </c>
      <c r="AQ168" s="26" t="str">
        <f t="shared" ref="AQ168:AR168" si="327">IF(AQ161="","",AP161+AP162-AQ161)</f>
        <v/>
      </c>
      <c r="AR168" s="26" t="str">
        <f t="shared" si="327"/>
        <v/>
      </c>
    </row>
    <row r="169" spans="1:44" s="1" customFormat="1">
      <c r="A169" s="7">
        <f>SUM(C169:AS169)</f>
        <v>0</v>
      </c>
      <c r="B169" s="27" t="s">
        <v>18</v>
      </c>
      <c r="C169" s="65">
        <v>0</v>
      </c>
      <c r="D169" s="26">
        <f t="shared" ref="D169:AO169" si="328">IF(D159="","",D168*D163)</f>
        <v>0</v>
      </c>
      <c r="E169" s="26">
        <f t="shared" si="328"/>
        <v>0</v>
      </c>
      <c r="F169" s="26">
        <f t="shared" si="328"/>
        <v>0</v>
      </c>
      <c r="G169" s="122">
        <f t="shared" si="328"/>
        <v>0</v>
      </c>
      <c r="H169" s="26">
        <f t="shared" si="328"/>
        <v>0</v>
      </c>
      <c r="I169" s="26">
        <f t="shared" si="328"/>
        <v>0</v>
      </c>
      <c r="J169" s="122">
        <f t="shared" si="328"/>
        <v>0</v>
      </c>
      <c r="K169" s="26">
        <f t="shared" si="328"/>
        <v>0</v>
      </c>
      <c r="L169" s="26">
        <f t="shared" si="328"/>
        <v>0</v>
      </c>
      <c r="M169" s="26">
        <f t="shared" si="328"/>
        <v>0</v>
      </c>
      <c r="N169" s="26">
        <f t="shared" si="328"/>
        <v>0</v>
      </c>
      <c r="O169" s="26">
        <f t="shared" si="328"/>
        <v>0</v>
      </c>
      <c r="P169" s="122">
        <f t="shared" si="328"/>
        <v>0</v>
      </c>
      <c r="Q169" s="26">
        <f t="shared" si="328"/>
        <v>0</v>
      </c>
      <c r="R169" s="26">
        <f t="shared" si="328"/>
        <v>0</v>
      </c>
      <c r="S169" s="26">
        <f t="shared" si="328"/>
        <v>0</v>
      </c>
      <c r="T169" s="26">
        <f t="shared" si="328"/>
        <v>0</v>
      </c>
      <c r="U169" s="26">
        <f t="shared" si="328"/>
        <v>0</v>
      </c>
      <c r="V169" s="26">
        <f>IF(V159="","",V168*V163)</f>
        <v>0</v>
      </c>
      <c r="W169" s="26">
        <f t="shared" si="328"/>
        <v>0</v>
      </c>
      <c r="X169" s="26">
        <f t="shared" si="328"/>
        <v>0</v>
      </c>
      <c r="Y169" s="26">
        <f t="shared" si="328"/>
        <v>0</v>
      </c>
      <c r="Z169" s="26">
        <f t="shared" si="328"/>
        <v>0</v>
      </c>
      <c r="AA169" s="26">
        <f t="shared" si="328"/>
        <v>0</v>
      </c>
      <c r="AB169" s="26">
        <f t="shared" si="328"/>
        <v>0</v>
      </c>
      <c r="AC169" s="26">
        <f t="shared" si="328"/>
        <v>0</v>
      </c>
      <c r="AD169" s="26">
        <f t="shared" si="328"/>
        <v>0</v>
      </c>
      <c r="AE169" s="26" t="str">
        <f t="shared" si="328"/>
        <v/>
      </c>
      <c r="AF169" s="26" t="str">
        <f t="shared" si="328"/>
        <v/>
      </c>
      <c r="AG169" s="26" t="str">
        <f t="shared" si="328"/>
        <v/>
      </c>
      <c r="AH169" s="26" t="str">
        <f t="shared" si="328"/>
        <v/>
      </c>
      <c r="AI169" s="26" t="str">
        <f t="shared" si="328"/>
        <v/>
      </c>
      <c r="AJ169" s="26" t="str">
        <f t="shared" si="328"/>
        <v/>
      </c>
      <c r="AK169" s="26" t="str">
        <f t="shared" si="328"/>
        <v/>
      </c>
      <c r="AL169" s="26" t="str">
        <f t="shared" si="328"/>
        <v/>
      </c>
      <c r="AM169" s="26" t="str">
        <f t="shared" si="328"/>
        <v/>
      </c>
      <c r="AN169" s="26" t="str">
        <f t="shared" si="328"/>
        <v/>
      </c>
      <c r="AO169" s="26" t="str">
        <f t="shared" si="328"/>
        <v/>
      </c>
      <c r="AP169" s="26" t="str">
        <f t="shared" ref="AP169:AR169" si="329">IF(AP159="","",AP168*AP163)</f>
        <v/>
      </c>
      <c r="AQ169" s="26" t="str">
        <f t="shared" si="329"/>
        <v/>
      </c>
      <c r="AR169" s="26" t="str">
        <f t="shared" si="329"/>
        <v/>
      </c>
    </row>
    <row r="170" spans="1:44" s="1" customFormat="1" ht="12" thickBot="1">
      <c r="A170" s="4">
        <f>IF(A169="","",A169/(A166*100))</f>
        <v>0</v>
      </c>
      <c r="B170" s="27" t="s">
        <v>20</v>
      </c>
      <c r="C170" s="68" t="s">
        <v>21</v>
      </c>
      <c r="D170" s="44" t="str">
        <f t="shared" ref="D170:AO170" si="330">IF(D169="","",IF(D169=0,"",D169/(D166*100)))</f>
        <v/>
      </c>
      <c r="E170" s="44" t="str">
        <f t="shared" si="330"/>
        <v/>
      </c>
      <c r="F170" s="44" t="str">
        <f t="shared" si="330"/>
        <v/>
      </c>
      <c r="G170" s="384" t="str">
        <f t="shared" si="330"/>
        <v/>
      </c>
      <c r="H170" s="44" t="str">
        <f t="shared" si="330"/>
        <v/>
      </c>
      <c r="I170" s="44" t="str">
        <f t="shared" si="330"/>
        <v/>
      </c>
      <c r="J170" s="384" t="str">
        <f t="shared" si="330"/>
        <v/>
      </c>
      <c r="K170" s="44" t="str">
        <f t="shared" si="330"/>
        <v/>
      </c>
      <c r="L170" s="44" t="str">
        <f t="shared" si="330"/>
        <v/>
      </c>
      <c r="M170" s="44" t="str">
        <f t="shared" si="330"/>
        <v/>
      </c>
      <c r="N170" s="44" t="str">
        <f t="shared" si="330"/>
        <v/>
      </c>
      <c r="O170" s="44" t="str">
        <f t="shared" si="330"/>
        <v/>
      </c>
      <c r="P170" s="384" t="str">
        <f t="shared" si="330"/>
        <v/>
      </c>
      <c r="Q170" s="44" t="str">
        <f t="shared" si="330"/>
        <v/>
      </c>
      <c r="R170" s="44" t="str">
        <f t="shared" si="330"/>
        <v/>
      </c>
      <c r="S170" s="44" t="str">
        <f t="shared" si="330"/>
        <v/>
      </c>
      <c r="T170" s="44" t="str">
        <f t="shared" si="330"/>
        <v/>
      </c>
      <c r="U170" s="44" t="str">
        <f t="shared" si="330"/>
        <v/>
      </c>
      <c r="V170" s="44" t="str">
        <f>IF(V169="","",IF(V169=0,"",V169/(V166*100)))</f>
        <v/>
      </c>
      <c r="W170" s="44" t="str">
        <f t="shared" si="330"/>
        <v/>
      </c>
      <c r="X170" s="44" t="str">
        <f t="shared" si="330"/>
        <v/>
      </c>
      <c r="Y170" s="44" t="str">
        <f t="shared" si="330"/>
        <v/>
      </c>
      <c r="Z170" s="44" t="str">
        <f t="shared" si="330"/>
        <v/>
      </c>
      <c r="AA170" s="44" t="str">
        <f t="shared" si="330"/>
        <v/>
      </c>
      <c r="AB170" s="44" t="str">
        <f t="shared" si="330"/>
        <v/>
      </c>
      <c r="AC170" s="44" t="str">
        <f t="shared" si="330"/>
        <v/>
      </c>
      <c r="AD170" s="44" t="str">
        <f t="shared" si="330"/>
        <v/>
      </c>
      <c r="AE170" s="44" t="str">
        <f t="shared" si="330"/>
        <v/>
      </c>
      <c r="AF170" s="44" t="str">
        <f t="shared" si="330"/>
        <v/>
      </c>
      <c r="AG170" s="44" t="str">
        <f t="shared" si="330"/>
        <v/>
      </c>
      <c r="AH170" s="44" t="str">
        <f t="shared" si="330"/>
        <v/>
      </c>
      <c r="AI170" s="44" t="str">
        <f t="shared" si="330"/>
        <v/>
      </c>
      <c r="AJ170" s="44" t="str">
        <f t="shared" si="330"/>
        <v/>
      </c>
      <c r="AK170" s="44" t="str">
        <f t="shared" si="330"/>
        <v/>
      </c>
      <c r="AL170" s="44" t="str">
        <f t="shared" si="330"/>
        <v/>
      </c>
      <c r="AM170" s="44" t="str">
        <f t="shared" si="330"/>
        <v/>
      </c>
      <c r="AN170" s="44" t="str">
        <f t="shared" si="330"/>
        <v/>
      </c>
      <c r="AO170" s="44" t="str">
        <f t="shared" si="330"/>
        <v/>
      </c>
      <c r="AP170" s="44" t="str">
        <f t="shared" ref="AP170:AR170" si="331">IF(AP169="","",IF(AP169=0,"",AP169/(AP166*100)))</f>
        <v/>
      </c>
      <c r="AQ170" s="44" t="str">
        <f t="shared" si="331"/>
        <v/>
      </c>
      <c r="AR170" s="44" t="str">
        <f t="shared" si="331"/>
        <v/>
      </c>
    </row>
    <row r="171" spans="1:44" s="1" customFormat="1">
      <c r="A171" s="43" t="s">
        <v>180</v>
      </c>
      <c r="B171" s="42" t="s">
        <v>2</v>
      </c>
      <c r="C171" s="64">
        <v>48311</v>
      </c>
      <c r="D171" s="35">
        <f>IF(D$3="","",C171)</f>
        <v>48311</v>
      </c>
      <c r="E171" s="35">
        <f>IF(E$3="","",D171)</f>
        <v>48311</v>
      </c>
      <c r="F171" s="35">
        <v>48322</v>
      </c>
      <c r="G171" s="383">
        <f>IF(G$3="","",F171)</f>
        <v>48322</v>
      </c>
      <c r="H171" s="35">
        <f>IF(H$3="","",G171)</f>
        <v>48322</v>
      </c>
      <c r="I171" s="35">
        <v>48374</v>
      </c>
      <c r="J171" s="383">
        <f>IF(J$3="","",I171)</f>
        <v>48374</v>
      </c>
      <c r="K171" s="35">
        <f>IF(K$3="","",J171)</f>
        <v>48374</v>
      </c>
      <c r="L171" s="35">
        <v>48389</v>
      </c>
      <c r="M171" s="35">
        <f>IF(M$3="","",L171)</f>
        <v>48389</v>
      </c>
      <c r="N171" s="35">
        <f>IF(N$3="","",M171)</f>
        <v>48389</v>
      </c>
      <c r="O171" s="35">
        <v>48419</v>
      </c>
      <c r="P171" s="383">
        <f t="shared" ref="P171:AO171" si="332">IF(P$3="","",O171)</f>
        <v>48419</v>
      </c>
      <c r="Q171" s="35">
        <f t="shared" si="332"/>
        <v>48419</v>
      </c>
      <c r="R171" s="35">
        <f t="shared" si="332"/>
        <v>48419</v>
      </c>
      <c r="S171" s="35">
        <v>48428</v>
      </c>
      <c r="T171" s="35">
        <f t="shared" si="332"/>
        <v>48428</v>
      </c>
      <c r="U171" s="35">
        <f t="shared" si="332"/>
        <v>48428</v>
      </c>
      <c r="V171" s="35">
        <v>48435</v>
      </c>
      <c r="W171" s="35">
        <f t="shared" si="332"/>
        <v>48435</v>
      </c>
      <c r="X171" s="35">
        <f t="shared" si="332"/>
        <v>48435</v>
      </c>
      <c r="Y171" s="35">
        <f t="shared" si="332"/>
        <v>48435</v>
      </c>
      <c r="Z171" s="35">
        <f t="shared" si="332"/>
        <v>48435</v>
      </c>
      <c r="AA171" s="35">
        <v>48437</v>
      </c>
      <c r="AB171" s="35">
        <f t="shared" si="332"/>
        <v>48437</v>
      </c>
      <c r="AC171" s="35">
        <f t="shared" si="332"/>
        <v>48437</v>
      </c>
      <c r="AD171" s="35">
        <v>48455</v>
      </c>
      <c r="AE171" s="35" t="str">
        <f t="shared" si="332"/>
        <v/>
      </c>
      <c r="AF171" s="35" t="str">
        <f t="shared" si="332"/>
        <v/>
      </c>
      <c r="AG171" s="35" t="str">
        <f t="shared" si="332"/>
        <v/>
      </c>
      <c r="AH171" s="35" t="str">
        <f t="shared" si="332"/>
        <v/>
      </c>
      <c r="AI171" s="35" t="str">
        <f t="shared" si="332"/>
        <v/>
      </c>
      <c r="AJ171" s="35" t="str">
        <f t="shared" si="332"/>
        <v/>
      </c>
      <c r="AK171" s="35" t="str">
        <f t="shared" si="332"/>
        <v/>
      </c>
      <c r="AL171" s="35" t="str">
        <f t="shared" si="332"/>
        <v/>
      </c>
      <c r="AM171" s="35" t="str">
        <f t="shared" si="332"/>
        <v/>
      </c>
      <c r="AN171" s="35" t="str">
        <f t="shared" si="332"/>
        <v/>
      </c>
      <c r="AO171" s="35" t="str">
        <f t="shared" si="332"/>
        <v/>
      </c>
      <c r="AP171" s="35" t="str">
        <f t="shared" ref="AP171:AR171" si="333">IF(AP$3="","",AO171)</f>
        <v/>
      </c>
      <c r="AQ171" s="35" t="str">
        <f t="shared" si="333"/>
        <v/>
      </c>
      <c r="AR171" s="35" t="str">
        <f t="shared" si="333"/>
        <v/>
      </c>
    </row>
    <row r="172" spans="1:44" s="1" customFormat="1">
      <c r="A172" s="37" t="s">
        <v>200</v>
      </c>
      <c r="B172" s="30" t="s">
        <v>4</v>
      </c>
      <c r="C172" s="65">
        <v>5348</v>
      </c>
      <c r="D172" s="29">
        <f>IF(D$3="","",C172)</f>
        <v>5348</v>
      </c>
      <c r="E172" s="29">
        <f>IF(E$3="","",D172)</f>
        <v>5348</v>
      </c>
      <c r="F172" s="29">
        <v>5349</v>
      </c>
      <c r="G172" s="122">
        <f>IF(G$3="","",F172)</f>
        <v>5349</v>
      </c>
      <c r="H172" s="29">
        <f>IF(H$3="","",G172)</f>
        <v>5349</v>
      </c>
      <c r="I172" s="29">
        <v>5350</v>
      </c>
      <c r="J172" s="122">
        <f>IF(J$3="","",I172)</f>
        <v>5350</v>
      </c>
      <c r="K172" s="29">
        <f>IF(K$3="","",J172)</f>
        <v>5350</v>
      </c>
      <c r="L172" s="29">
        <v>5351</v>
      </c>
      <c r="M172" s="29">
        <f>IF(M$3="","",L172)</f>
        <v>5351</v>
      </c>
      <c r="N172" s="29">
        <f>IF(N$3="","",M172)</f>
        <v>5351</v>
      </c>
      <c r="O172" s="29">
        <v>5353</v>
      </c>
      <c r="P172" s="122">
        <f t="shared" ref="P172:AO172" si="334">IF(P$3="","",O172)</f>
        <v>5353</v>
      </c>
      <c r="Q172" s="29">
        <f t="shared" si="334"/>
        <v>5353</v>
      </c>
      <c r="R172" s="29">
        <f t="shared" si="334"/>
        <v>5353</v>
      </c>
      <c r="S172" s="29">
        <v>5354</v>
      </c>
      <c r="T172" s="29">
        <f t="shared" si="334"/>
        <v>5354</v>
      </c>
      <c r="U172" s="29">
        <f t="shared" si="334"/>
        <v>5354</v>
      </c>
      <c r="V172" s="29">
        <f>IF(V$3="","",U172)</f>
        <v>5354</v>
      </c>
      <c r="W172" s="29">
        <f t="shared" si="334"/>
        <v>5354</v>
      </c>
      <c r="X172" s="29">
        <f t="shared" si="334"/>
        <v>5354</v>
      </c>
      <c r="Y172" s="29">
        <f t="shared" si="334"/>
        <v>5354</v>
      </c>
      <c r="Z172" s="29">
        <f t="shared" si="334"/>
        <v>5354</v>
      </c>
      <c r="AA172" s="29">
        <v>5354</v>
      </c>
      <c r="AB172" s="29">
        <f t="shared" si="334"/>
        <v>5354</v>
      </c>
      <c r="AC172" s="29">
        <f t="shared" si="334"/>
        <v>5354</v>
      </c>
      <c r="AD172" s="29">
        <v>5359</v>
      </c>
      <c r="AE172" s="29" t="str">
        <f t="shared" si="334"/>
        <v/>
      </c>
      <c r="AF172" s="29" t="str">
        <f t="shared" si="334"/>
        <v/>
      </c>
      <c r="AG172" s="29" t="str">
        <f t="shared" si="334"/>
        <v/>
      </c>
      <c r="AH172" s="29" t="str">
        <f t="shared" si="334"/>
        <v/>
      </c>
      <c r="AI172" s="29" t="str">
        <f t="shared" si="334"/>
        <v/>
      </c>
      <c r="AJ172" s="29" t="str">
        <f t="shared" si="334"/>
        <v/>
      </c>
      <c r="AK172" s="29" t="str">
        <f t="shared" si="334"/>
        <v/>
      </c>
      <c r="AL172" s="29" t="str">
        <f t="shared" si="334"/>
        <v/>
      </c>
      <c r="AM172" s="29" t="str">
        <f t="shared" si="334"/>
        <v/>
      </c>
      <c r="AN172" s="29" t="str">
        <f t="shared" si="334"/>
        <v/>
      </c>
      <c r="AO172" s="29" t="str">
        <f t="shared" si="334"/>
        <v/>
      </c>
      <c r="AP172" s="29" t="str">
        <f t="shared" ref="AP172:AR172" si="335">IF(AP$3="","",AO172)</f>
        <v/>
      </c>
      <c r="AQ172" s="29" t="str">
        <f t="shared" si="335"/>
        <v/>
      </c>
      <c r="AR172" s="29" t="str">
        <f t="shared" si="335"/>
        <v/>
      </c>
    </row>
    <row r="173" spans="1:44" s="1" customFormat="1">
      <c r="A173" s="41">
        <v>2</v>
      </c>
      <c r="B173" s="30" t="s">
        <v>5</v>
      </c>
      <c r="C173" s="65">
        <v>26</v>
      </c>
      <c r="D173" s="29">
        <f t="shared" ref="D173:AO173" si="336">IF(D171="","",(C173+C174))</f>
        <v>26</v>
      </c>
      <c r="E173" s="29">
        <f t="shared" si="336"/>
        <v>26</v>
      </c>
      <c r="F173" s="29">
        <f t="shared" si="336"/>
        <v>26</v>
      </c>
      <c r="G173" s="122">
        <f t="shared" si="336"/>
        <v>26</v>
      </c>
      <c r="H173" s="29">
        <f t="shared" si="336"/>
        <v>26</v>
      </c>
      <c r="I173" s="29">
        <f t="shared" si="336"/>
        <v>26</v>
      </c>
      <c r="J173" s="122">
        <f t="shared" si="336"/>
        <v>26</v>
      </c>
      <c r="K173" s="29">
        <f t="shared" si="336"/>
        <v>26</v>
      </c>
      <c r="L173" s="29">
        <f t="shared" si="336"/>
        <v>26</v>
      </c>
      <c r="M173" s="29">
        <f t="shared" si="336"/>
        <v>26</v>
      </c>
      <c r="N173" s="29">
        <f t="shared" si="336"/>
        <v>26</v>
      </c>
      <c r="O173" s="29">
        <f t="shared" si="336"/>
        <v>26</v>
      </c>
      <c r="P173" s="122">
        <f t="shared" si="336"/>
        <v>26</v>
      </c>
      <c r="Q173" s="29">
        <f t="shared" si="336"/>
        <v>26</v>
      </c>
      <c r="R173" s="29">
        <f t="shared" si="336"/>
        <v>26</v>
      </c>
      <c r="S173" s="29">
        <f t="shared" si="336"/>
        <v>26</v>
      </c>
      <c r="T173" s="29">
        <f t="shared" si="336"/>
        <v>26</v>
      </c>
      <c r="U173" s="29">
        <f t="shared" si="336"/>
        <v>26</v>
      </c>
      <c r="V173" s="29">
        <f>IF(V171="","",(U173+U174))</f>
        <v>26</v>
      </c>
      <c r="W173" s="29">
        <f t="shared" si="336"/>
        <v>26</v>
      </c>
      <c r="X173" s="29">
        <f t="shared" si="336"/>
        <v>26</v>
      </c>
      <c r="Y173" s="29">
        <f t="shared" si="336"/>
        <v>26</v>
      </c>
      <c r="Z173" s="29">
        <f t="shared" si="336"/>
        <v>26</v>
      </c>
      <c r="AA173" s="29">
        <f t="shared" si="336"/>
        <v>26</v>
      </c>
      <c r="AB173" s="29">
        <f t="shared" si="336"/>
        <v>26</v>
      </c>
      <c r="AC173" s="29">
        <f t="shared" si="336"/>
        <v>26</v>
      </c>
      <c r="AD173" s="29">
        <f t="shared" si="336"/>
        <v>26</v>
      </c>
      <c r="AE173" s="29" t="str">
        <f t="shared" si="336"/>
        <v/>
      </c>
      <c r="AF173" s="29" t="str">
        <f t="shared" si="336"/>
        <v/>
      </c>
      <c r="AG173" s="29" t="str">
        <f t="shared" si="336"/>
        <v/>
      </c>
      <c r="AH173" s="29" t="str">
        <f t="shared" si="336"/>
        <v/>
      </c>
      <c r="AI173" s="29" t="str">
        <f t="shared" si="336"/>
        <v/>
      </c>
      <c r="AJ173" s="29" t="str">
        <f t="shared" si="336"/>
        <v/>
      </c>
      <c r="AK173" s="29" t="str">
        <f t="shared" si="336"/>
        <v/>
      </c>
      <c r="AL173" s="29" t="str">
        <f t="shared" si="336"/>
        <v/>
      </c>
      <c r="AM173" s="29" t="str">
        <f t="shared" si="336"/>
        <v/>
      </c>
      <c r="AN173" s="29" t="str">
        <f t="shared" si="336"/>
        <v/>
      </c>
      <c r="AO173" s="29" t="str">
        <f t="shared" si="336"/>
        <v/>
      </c>
      <c r="AP173" s="29" t="str">
        <f t="shared" ref="AP173" si="337">IF(AP171="","",(AO173+AO174))</f>
        <v/>
      </c>
      <c r="AQ173" s="29" t="str">
        <f t="shared" ref="AQ173:AR173" si="338">IF(AQ171="","",(AP173+AP174))</f>
        <v/>
      </c>
      <c r="AR173" s="29" t="str">
        <f t="shared" si="338"/>
        <v/>
      </c>
    </row>
    <row r="174" spans="1:44" s="1" customFormat="1">
      <c r="A174" s="14"/>
      <c r="B174" s="30" t="s">
        <v>7</v>
      </c>
      <c r="C174" s="65"/>
      <c r="D174" s="29"/>
      <c r="E174" s="29"/>
      <c r="F174" s="29"/>
      <c r="G174" s="122"/>
      <c r="H174" s="29"/>
      <c r="I174" s="29"/>
      <c r="J174" s="122"/>
      <c r="K174" s="29"/>
      <c r="L174" s="29"/>
      <c r="M174" s="29"/>
      <c r="N174" s="29"/>
      <c r="O174" s="29"/>
      <c r="P174" s="122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</row>
    <row r="175" spans="1:44" s="1" customFormat="1">
      <c r="A175" s="7"/>
      <c r="B175" s="30" t="s">
        <v>8</v>
      </c>
      <c r="C175" s="64">
        <v>60</v>
      </c>
      <c r="D175" s="35">
        <f t="shared" ref="D175:AO175" si="339">IF(D171="","",C175)</f>
        <v>60</v>
      </c>
      <c r="E175" s="35">
        <f t="shared" si="339"/>
        <v>60</v>
      </c>
      <c r="F175" s="35">
        <f t="shared" si="339"/>
        <v>60</v>
      </c>
      <c r="G175" s="383">
        <f t="shared" si="339"/>
        <v>60</v>
      </c>
      <c r="H175" s="35">
        <f t="shared" si="339"/>
        <v>60</v>
      </c>
      <c r="I175" s="35">
        <f t="shared" si="339"/>
        <v>60</v>
      </c>
      <c r="J175" s="383">
        <f t="shared" si="339"/>
        <v>60</v>
      </c>
      <c r="K175" s="35">
        <f t="shared" si="339"/>
        <v>60</v>
      </c>
      <c r="L175" s="35">
        <f t="shared" si="339"/>
        <v>60</v>
      </c>
      <c r="M175" s="35">
        <f t="shared" si="339"/>
        <v>60</v>
      </c>
      <c r="N175" s="35">
        <f t="shared" si="339"/>
        <v>60</v>
      </c>
      <c r="O175" s="35">
        <f t="shared" si="339"/>
        <v>60</v>
      </c>
      <c r="P175" s="383">
        <f t="shared" si="339"/>
        <v>60</v>
      </c>
      <c r="Q175" s="35">
        <f t="shared" si="339"/>
        <v>60</v>
      </c>
      <c r="R175" s="35">
        <f t="shared" si="339"/>
        <v>60</v>
      </c>
      <c r="S175" s="35">
        <f t="shared" si="339"/>
        <v>60</v>
      </c>
      <c r="T175" s="35">
        <f t="shared" si="339"/>
        <v>60</v>
      </c>
      <c r="U175" s="35">
        <f t="shared" si="339"/>
        <v>60</v>
      </c>
      <c r="V175" s="35">
        <f>IF(V171="","",U175)</f>
        <v>60</v>
      </c>
      <c r="W175" s="35">
        <f t="shared" si="339"/>
        <v>60</v>
      </c>
      <c r="X175" s="35">
        <f t="shared" si="339"/>
        <v>60</v>
      </c>
      <c r="Y175" s="35">
        <f t="shared" si="339"/>
        <v>60</v>
      </c>
      <c r="Z175" s="35">
        <f t="shared" si="339"/>
        <v>60</v>
      </c>
      <c r="AA175" s="35">
        <f t="shared" si="339"/>
        <v>60</v>
      </c>
      <c r="AB175" s="35">
        <f t="shared" si="339"/>
        <v>60</v>
      </c>
      <c r="AC175" s="35">
        <f t="shared" si="339"/>
        <v>60</v>
      </c>
      <c r="AD175" s="35">
        <f t="shared" si="339"/>
        <v>60</v>
      </c>
      <c r="AE175" s="35" t="str">
        <f t="shared" si="339"/>
        <v/>
      </c>
      <c r="AF175" s="35" t="str">
        <f t="shared" si="339"/>
        <v/>
      </c>
      <c r="AG175" s="35" t="str">
        <f t="shared" si="339"/>
        <v/>
      </c>
      <c r="AH175" s="35" t="str">
        <f t="shared" si="339"/>
        <v/>
      </c>
      <c r="AI175" s="35" t="str">
        <f t="shared" si="339"/>
        <v/>
      </c>
      <c r="AJ175" s="35" t="str">
        <f t="shared" si="339"/>
        <v/>
      </c>
      <c r="AK175" s="35" t="str">
        <f t="shared" si="339"/>
        <v/>
      </c>
      <c r="AL175" s="35" t="str">
        <f t="shared" si="339"/>
        <v/>
      </c>
      <c r="AM175" s="35" t="str">
        <f t="shared" si="339"/>
        <v/>
      </c>
      <c r="AN175" s="35" t="str">
        <f t="shared" si="339"/>
        <v/>
      </c>
      <c r="AO175" s="35" t="str">
        <f t="shared" si="339"/>
        <v/>
      </c>
      <c r="AP175" s="35" t="str">
        <f t="shared" ref="AP175" si="340">IF(AP171="","",AO175)</f>
        <v/>
      </c>
      <c r="AQ175" s="35" t="str">
        <f t="shared" ref="AQ175:AR175" si="341">IF(AQ171="","",AP175)</f>
        <v/>
      </c>
      <c r="AR175" s="35" t="str">
        <f t="shared" si="341"/>
        <v/>
      </c>
    </row>
    <row r="176" spans="1:44" s="11" customFormat="1">
      <c r="A176" s="14" t="s">
        <v>9</v>
      </c>
      <c r="B176" s="33" t="s">
        <v>10</v>
      </c>
      <c r="C176" s="63" t="s">
        <v>201</v>
      </c>
      <c r="D176" s="32" t="str">
        <f t="shared" ref="D176:AO176" si="342">IF(D171="","",C176)</f>
        <v>ピクセルサングラス</v>
      </c>
      <c r="E176" s="32" t="str">
        <f t="shared" si="342"/>
        <v>ピクセルサングラス</v>
      </c>
      <c r="F176" s="32" t="str">
        <f t="shared" si="342"/>
        <v>ピクセルサングラス</v>
      </c>
      <c r="G176" s="123" t="str">
        <f t="shared" si="342"/>
        <v>ピクセルサングラス</v>
      </c>
      <c r="H176" s="32" t="str">
        <f t="shared" si="342"/>
        <v>ピクセルサングラス</v>
      </c>
      <c r="I176" s="32" t="str">
        <f t="shared" si="342"/>
        <v>ピクセルサングラス</v>
      </c>
      <c r="J176" s="123" t="str">
        <f t="shared" si="342"/>
        <v>ピクセルサングラス</v>
      </c>
      <c r="K176" s="32" t="str">
        <f t="shared" si="342"/>
        <v>ピクセルサングラス</v>
      </c>
      <c r="L176" s="32" t="str">
        <f t="shared" si="342"/>
        <v>ピクセルサングラス</v>
      </c>
      <c r="M176" s="32" t="str">
        <f t="shared" si="342"/>
        <v>ピクセルサングラス</v>
      </c>
      <c r="N176" s="32" t="str">
        <f t="shared" si="342"/>
        <v>ピクセルサングラス</v>
      </c>
      <c r="O176" s="32" t="str">
        <f t="shared" si="342"/>
        <v>ピクセルサングラス</v>
      </c>
      <c r="P176" s="123" t="str">
        <f t="shared" si="342"/>
        <v>ピクセルサングラス</v>
      </c>
      <c r="Q176" s="32" t="str">
        <f t="shared" si="342"/>
        <v>ピクセルサングラス</v>
      </c>
      <c r="R176" s="32" t="str">
        <f t="shared" si="342"/>
        <v>ピクセルサングラス</v>
      </c>
      <c r="S176" s="32" t="str">
        <f t="shared" si="342"/>
        <v>ピクセルサングラス</v>
      </c>
      <c r="T176" s="32" t="str">
        <f t="shared" si="342"/>
        <v>ピクセルサングラス</v>
      </c>
      <c r="U176" s="32" t="str">
        <f t="shared" si="342"/>
        <v>ピクセルサングラス</v>
      </c>
      <c r="V176" s="32" t="str">
        <f>IF(V171="","",U176)</f>
        <v>ピクセルサングラス</v>
      </c>
      <c r="W176" s="32" t="str">
        <f t="shared" si="342"/>
        <v>ピクセルサングラス</v>
      </c>
      <c r="X176" s="32" t="str">
        <f t="shared" si="342"/>
        <v>ピクセルサングラス</v>
      </c>
      <c r="Y176" s="32" t="str">
        <f t="shared" si="342"/>
        <v>ピクセルサングラス</v>
      </c>
      <c r="Z176" s="32" t="str">
        <f t="shared" si="342"/>
        <v>ピクセルサングラス</v>
      </c>
      <c r="AA176" s="32" t="str">
        <f t="shared" si="342"/>
        <v>ピクセルサングラス</v>
      </c>
      <c r="AB176" s="32" t="str">
        <f t="shared" si="342"/>
        <v>ピクセルサングラス</v>
      </c>
      <c r="AC176" s="32" t="str">
        <f t="shared" si="342"/>
        <v>ピクセルサングラス</v>
      </c>
      <c r="AD176" s="32" t="str">
        <f t="shared" si="342"/>
        <v>ピクセルサングラス</v>
      </c>
      <c r="AE176" s="32" t="str">
        <f t="shared" si="342"/>
        <v/>
      </c>
      <c r="AF176" s="32" t="str">
        <f t="shared" si="342"/>
        <v/>
      </c>
      <c r="AG176" s="32" t="str">
        <f t="shared" si="342"/>
        <v/>
      </c>
      <c r="AH176" s="32" t="str">
        <f t="shared" si="342"/>
        <v/>
      </c>
      <c r="AI176" s="32" t="str">
        <f t="shared" si="342"/>
        <v/>
      </c>
      <c r="AJ176" s="32" t="str">
        <f t="shared" si="342"/>
        <v/>
      </c>
      <c r="AK176" s="32" t="str">
        <f t="shared" si="342"/>
        <v/>
      </c>
      <c r="AL176" s="32" t="str">
        <f t="shared" si="342"/>
        <v/>
      </c>
      <c r="AM176" s="32" t="str">
        <f t="shared" si="342"/>
        <v/>
      </c>
      <c r="AN176" s="32" t="str">
        <f t="shared" si="342"/>
        <v/>
      </c>
      <c r="AO176" s="32" t="str">
        <f t="shared" si="342"/>
        <v/>
      </c>
      <c r="AP176" s="32" t="str">
        <f t="shared" ref="AP176" si="343">IF(AP171="","",AO176)</f>
        <v/>
      </c>
      <c r="AQ176" s="32" t="str">
        <f t="shared" ref="AQ176:AR176" si="344">IF(AQ171="","",AP176)</f>
        <v/>
      </c>
      <c r="AR176" s="32" t="str">
        <f t="shared" si="344"/>
        <v/>
      </c>
    </row>
    <row r="177" spans="1:44" s="1" customFormat="1">
      <c r="A177" s="7">
        <f>AVERAGE(C178:AS178)*30*100</f>
        <v>15428.571428571431</v>
      </c>
      <c r="B177" s="30" t="s">
        <v>14</v>
      </c>
      <c r="C177" s="65"/>
      <c r="D177" s="29"/>
      <c r="E177" s="29"/>
      <c r="F177" s="29"/>
      <c r="G177" s="122"/>
      <c r="H177" s="29"/>
      <c r="I177" s="29"/>
      <c r="J177" s="122"/>
      <c r="K177" s="29"/>
      <c r="L177" s="29"/>
      <c r="M177" s="29"/>
      <c r="N177" s="29"/>
      <c r="O177" s="29"/>
      <c r="P177" s="122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</row>
    <row r="178" spans="1:44" s="1" customFormat="1">
      <c r="A178" s="7">
        <f>SUM(C178:AS178)</f>
        <v>144</v>
      </c>
      <c r="B178" s="27" t="s">
        <v>15</v>
      </c>
      <c r="C178" s="65">
        <v>0</v>
      </c>
      <c r="D178" s="26">
        <f t="shared" ref="D178:AO178" si="345">IF(D171="","",D171-C171)</f>
        <v>0</v>
      </c>
      <c r="E178" s="26">
        <f t="shared" si="345"/>
        <v>0</v>
      </c>
      <c r="F178" s="26">
        <f t="shared" si="345"/>
        <v>11</v>
      </c>
      <c r="G178" s="122">
        <f t="shared" si="345"/>
        <v>0</v>
      </c>
      <c r="H178" s="26">
        <f t="shared" si="345"/>
        <v>0</v>
      </c>
      <c r="I178" s="26">
        <f t="shared" si="345"/>
        <v>52</v>
      </c>
      <c r="J178" s="122">
        <f t="shared" si="345"/>
        <v>0</v>
      </c>
      <c r="K178" s="26">
        <f t="shared" si="345"/>
        <v>0</v>
      </c>
      <c r="L178" s="26">
        <f t="shared" si="345"/>
        <v>15</v>
      </c>
      <c r="M178" s="26">
        <f t="shared" si="345"/>
        <v>0</v>
      </c>
      <c r="N178" s="26">
        <f t="shared" si="345"/>
        <v>0</v>
      </c>
      <c r="O178" s="26">
        <f t="shared" si="345"/>
        <v>30</v>
      </c>
      <c r="P178" s="122">
        <f t="shared" si="345"/>
        <v>0</v>
      </c>
      <c r="Q178" s="26">
        <f t="shared" si="345"/>
        <v>0</v>
      </c>
      <c r="R178" s="26">
        <f t="shared" si="345"/>
        <v>0</v>
      </c>
      <c r="S178" s="26">
        <f t="shared" si="345"/>
        <v>9</v>
      </c>
      <c r="T178" s="26">
        <f t="shared" si="345"/>
        <v>0</v>
      </c>
      <c r="U178" s="26">
        <f t="shared" si="345"/>
        <v>0</v>
      </c>
      <c r="V178" s="26">
        <f>IF(V171="","",V171-U171)</f>
        <v>7</v>
      </c>
      <c r="W178" s="26">
        <f t="shared" si="345"/>
        <v>0</v>
      </c>
      <c r="X178" s="26">
        <f t="shared" si="345"/>
        <v>0</v>
      </c>
      <c r="Y178" s="26">
        <f t="shared" si="345"/>
        <v>0</v>
      </c>
      <c r="Z178" s="26">
        <f t="shared" si="345"/>
        <v>0</v>
      </c>
      <c r="AA178" s="26">
        <f t="shared" si="345"/>
        <v>2</v>
      </c>
      <c r="AB178" s="26">
        <f t="shared" si="345"/>
        <v>0</v>
      </c>
      <c r="AC178" s="26">
        <f t="shared" si="345"/>
        <v>0</v>
      </c>
      <c r="AD178" s="26">
        <f t="shared" si="345"/>
        <v>18</v>
      </c>
      <c r="AE178" s="26" t="str">
        <f t="shared" si="345"/>
        <v/>
      </c>
      <c r="AF178" s="26" t="str">
        <f t="shared" si="345"/>
        <v/>
      </c>
      <c r="AG178" s="26" t="str">
        <f t="shared" si="345"/>
        <v/>
      </c>
      <c r="AH178" s="26" t="str">
        <f t="shared" si="345"/>
        <v/>
      </c>
      <c r="AI178" s="26" t="str">
        <f t="shared" si="345"/>
        <v/>
      </c>
      <c r="AJ178" s="26" t="str">
        <f t="shared" si="345"/>
        <v/>
      </c>
      <c r="AK178" s="26" t="str">
        <f t="shared" si="345"/>
        <v/>
      </c>
      <c r="AL178" s="26" t="str">
        <f t="shared" si="345"/>
        <v/>
      </c>
      <c r="AM178" s="26" t="str">
        <f t="shared" si="345"/>
        <v/>
      </c>
      <c r="AN178" s="26" t="str">
        <f t="shared" si="345"/>
        <v/>
      </c>
      <c r="AO178" s="26" t="str">
        <f t="shared" si="345"/>
        <v/>
      </c>
      <c r="AP178" s="26" t="str">
        <f t="shared" ref="AP178:AP179" si="346">IF(AP171="","",AP171-AO171)</f>
        <v/>
      </c>
      <c r="AQ178" s="26" t="str">
        <f t="shared" ref="AQ178:AR179" si="347">IF(AQ171="","",AQ171-AP171)</f>
        <v/>
      </c>
      <c r="AR178" s="26" t="str">
        <f t="shared" si="347"/>
        <v/>
      </c>
    </row>
    <row r="179" spans="1:44" s="1" customFormat="1">
      <c r="A179" s="7">
        <f>SUM(C179:AS179)</f>
        <v>11</v>
      </c>
      <c r="B179" s="27" t="s">
        <v>16</v>
      </c>
      <c r="C179" s="65">
        <v>0</v>
      </c>
      <c r="D179" s="26">
        <f t="shared" ref="D179:AO179" si="348">IF(D172="","",D172-C172)</f>
        <v>0</v>
      </c>
      <c r="E179" s="26">
        <f t="shared" si="348"/>
        <v>0</v>
      </c>
      <c r="F179" s="26">
        <f t="shared" si="348"/>
        <v>1</v>
      </c>
      <c r="G179" s="122">
        <f t="shared" si="348"/>
        <v>0</v>
      </c>
      <c r="H179" s="26">
        <f t="shared" si="348"/>
        <v>0</v>
      </c>
      <c r="I179" s="26">
        <f t="shared" si="348"/>
        <v>1</v>
      </c>
      <c r="J179" s="122">
        <f t="shared" si="348"/>
        <v>0</v>
      </c>
      <c r="K179" s="26">
        <f t="shared" si="348"/>
        <v>0</v>
      </c>
      <c r="L179" s="26">
        <f t="shared" si="348"/>
        <v>1</v>
      </c>
      <c r="M179" s="26">
        <f t="shared" si="348"/>
        <v>0</v>
      </c>
      <c r="N179" s="26">
        <f t="shared" si="348"/>
        <v>0</v>
      </c>
      <c r="O179" s="26">
        <f t="shared" si="348"/>
        <v>2</v>
      </c>
      <c r="P179" s="122">
        <f t="shared" si="348"/>
        <v>0</v>
      </c>
      <c r="Q179" s="26">
        <f t="shared" si="348"/>
        <v>0</v>
      </c>
      <c r="R179" s="26">
        <f t="shared" si="348"/>
        <v>0</v>
      </c>
      <c r="S179" s="26">
        <f t="shared" si="348"/>
        <v>1</v>
      </c>
      <c r="T179" s="26">
        <f t="shared" si="348"/>
        <v>0</v>
      </c>
      <c r="U179" s="26">
        <f t="shared" si="348"/>
        <v>0</v>
      </c>
      <c r="V179" s="26">
        <f>IF(V172="","",V172-U172)</f>
        <v>0</v>
      </c>
      <c r="W179" s="26">
        <f t="shared" si="348"/>
        <v>0</v>
      </c>
      <c r="X179" s="26">
        <f t="shared" si="348"/>
        <v>0</v>
      </c>
      <c r="Y179" s="26">
        <f t="shared" si="348"/>
        <v>0</v>
      </c>
      <c r="Z179" s="26">
        <f t="shared" si="348"/>
        <v>0</v>
      </c>
      <c r="AA179" s="26">
        <f t="shared" si="348"/>
        <v>0</v>
      </c>
      <c r="AB179" s="26">
        <f t="shared" si="348"/>
        <v>0</v>
      </c>
      <c r="AC179" s="26">
        <f t="shared" si="348"/>
        <v>0</v>
      </c>
      <c r="AD179" s="26">
        <f t="shared" si="348"/>
        <v>5</v>
      </c>
      <c r="AE179" s="26" t="str">
        <f t="shared" si="348"/>
        <v/>
      </c>
      <c r="AF179" s="26" t="str">
        <f t="shared" si="348"/>
        <v/>
      </c>
      <c r="AG179" s="26" t="str">
        <f t="shared" si="348"/>
        <v/>
      </c>
      <c r="AH179" s="26" t="str">
        <f t="shared" si="348"/>
        <v/>
      </c>
      <c r="AI179" s="26" t="str">
        <f t="shared" si="348"/>
        <v/>
      </c>
      <c r="AJ179" s="26" t="str">
        <f t="shared" si="348"/>
        <v/>
      </c>
      <c r="AK179" s="26" t="str">
        <f t="shared" si="348"/>
        <v/>
      </c>
      <c r="AL179" s="26" t="str">
        <f t="shared" si="348"/>
        <v/>
      </c>
      <c r="AM179" s="26" t="str">
        <f t="shared" si="348"/>
        <v/>
      </c>
      <c r="AN179" s="26" t="str">
        <f t="shared" si="348"/>
        <v/>
      </c>
      <c r="AO179" s="26" t="str">
        <f t="shared" si="348"/>
        <v/>
      </c>
      <c r="AP179" s="26" t="str">
        <f t="shared" si="346"/>
        <v/>
      </c>
      <c r="AQ179" s="26" t="str">
        <f t="shared" si="347"/>
        <v/>
      </c>
      <c r="AR179" s="26" t="str">
        <f t="shared" si="347"/>
        <v/>
      </c>
    </row>
    <row r="180" spans="1:44" s="1" customFormat="1">
      <c r="A180" s="7">
        <f>SUM(C180:AS180)</f>
        <v>0</v>
      </c>
      <c r="B180" s="27" t="s">
        <v>17</v>
      </c>
      <c r="C180" s="65">
        <v>0</v>
      </c>
      <c r="D180" s="26">
        <f t="shared" ref="D180:AO180" si="349">IF(D173="","",C173+C174-D173)</f>
        <v>0</v>
      </c>
      <c r="E180" s="26">
        <f t="shared" si="349"/>
        <v>0</v>
      </c>
      <c r="F180" s="26">
        <f t="shared" si="349"/>
        <v>0</v>
      </c>
      <c r="G180" s="122">
        <f t="shared" si="349"/>
        <v>0</v>
      </c>
      <c r="H180" s="26">
        <f t="shared" si="349"/>
        <v>0</v>
      </c>
      <c r="I180" s="26">
        <f t="shared" si="349"/>
        <v>0</v>
      </c>
      <c r="J180" s="122">
        <f t="shared" si="349"/>
        <v>0</v>
      </c>
      <c r="K180" s="26">
        <f t="shared" si="349"/>
        <v>0</v>
      </c>
      <c r="L180" s="26">
        <f t="shared" si="349"/>
        <v>0</v>
      </c>
      <c r="M180" s="26">
        <f t="shared" si="349"/>
        <v>0</v>
      </c>
      <c r="N180" s="26">
        <f t="shared" si="349"/>
        <v>0</v>
      </c>
      <c r="O180" s="26">
        <f t="shared" si="349"/>
        <v>0</v>
      </c>
      <c r="P180" s="122">
        <f t="shared" si="349"/>
        <v>0</v>
      </c>
      <c r="Q180" s="26">
        <f t="shared" si="349"/>
        <v>0</v>
      </c>
      <c r="R180" s="26">
        <f t="shared" si="349"/>
        <v>0</v>
      </c>
      <c r="S180" s="26">
        <f t="shared" si="349"/>
        <v>0</v>
      </c>
      <c r="T180" s="26">
        <f t="shared" si="349"/>
        <v>0</v>
      </c>
      <c r="U180" s="26">
        <f t="shared" si="349"/>
        <v>0</v>
      </c>
      <c r="V180" s="26">
        <f>IF(V173="","",U173+U174-V173)</f>
        <v>0</v>
      </c>
      <c r="W180" s="26">
        <f t="shared" si="349"/>
        <v>0</v>
      </c>
      <c r="X180" s="26">
        <f t="shared" si="349"/>
        <v>0</v>
      </c>
      <c r="Y180" s="26">
        <f t="shared" si="349"/>
        <v>0</v>
      </c>
      <c r="Z180" s="26">
        <f t="shared" si="349"/>
        <v>0</v>
      </c>
      <c r="AA180" s="26">
        <f t="shared" si="349"/>
        <v>0</v>
      </c>
      <c r="AB180" s="26">
        <f t="shared" si="349"/>
        <v>0</v>
      </c>
      <c r="AC180" s="26">
        <f t="shared" si="349"/>
        <v>0</v>
      </c>
      <c r="AD180" s="26">
        <f t="shared" si="349"/>
        <v>0</v>
      </c>
      <c r="AE180" s="26" t="str">
        <f t="shared" si="349"/>
        <v/>
      </c>
      <c r="AF180" s="26" t="str">
        <f t="shared" si="349"/>
        <v/>
      </c>
      <c r="AG180" s="26" t="str">
        <f t="shared" si="349"/>
        <v/>
      </c>
      <c r="AH180" s="26" t="str">
        <f t="shared" si="349"/>
        <v/>
      </c>
      <c r="AI180" s="26" t="str">
        <f t="shared" si="349"/>
        <v/>
      </c>
      <c r="AJ180" s="26" t="str">
        <f t="shared" si="349"/>
        <v/>
      </c>
      <c r="AK180" s="26" t="str">
        <f t="shared" si="349"/>
        <v/>
      </c>
      <c r="AL180" s="26" t="str">
        <f t="shared" si="349"/>
        <v/>
      </c>
      <c r="AM180" s="26" t="str">
        <f t="shared" si="349"/>
        <v/>
      </c>
      <c r="AN180" s="26" t="str">
        <f t="shared" si="349"/>
        <v/>
      </c>
      <c r="AO180" s="26" t="str">
        <f t="shared" si="349"/>
        <v/>
      </c>
      <c r="AP180" s="26" t="str">
        <f t="shared" ref="AP180" si="350">IF(AP173="","",AO173+AO174-AP173)</f>
        <v/>
      </c>
      <c r="AQ180" s="26" t="str">
        <f t="shared" ref="AQ180:AR180" si="351">IF(AQ173="","",AP173+AP174-AQ173)</f>
        <v/>
      </c>
      <c r="AR180" s="26" t="str">
        <f t="shared" si="351"/>
        <v/>
      </c>
    </row>
    <row r="181" spans="1:44" s="1" customFormat="1">
      <c r="A181" s="7">
        <f>SUM(C181:AS181)</f>
        <v>0</v>
      </c>
      <c r="B181" s="27" t="s">
        <v>18</v>
      </c>
      <c r="C181" s="65">
        <v>0</v>
      </c>
      <c r="D181" s="26">
        <f t="shared" ref="D181:AO181" si="352">IF(D171="","",D180*D175)</f>
        <v>0</v>
      </c>
      <c r="E181" s="26">
        <f t="shared" si="352"/>
        <v>0</v>
      </c>
      <c r="F181" s="26">
        <f t="shared" si="352"/>
        <v>0</v>
      </c>
      <c r="G181" s="122">
        <f t="shared" si="352"/>
        <v>0</v>
      </c>
      <c r="H181" s="26">
        <f t="shared" si="352"/>
        <v>0</v>
      </c>
      <c r="I181" s="26">
        <f t="shared" si="352"/>
        <v>0</v>
      </c>
      <c r="J181" s="122">
        <f t="shared" si="352"/>
        <v>0</v>
      </c>
      <c r="K181" s="26">
        <f t="shared" si="352"/>
        <v>0</v>
      </c>
      <c r="L181" s="26">
        <f t="shared" si="352"/>
        <v>0</v>
      </c>
      <c r="M181" s="26">
        <f t="shared" si="352"/>
        <v>0</v>
      </c>
      <c r="N181" s="26">
        <f t="shared" si="352"/>
        <v>0</v>
      </c>
      <c r="O181" s="26">
        <f t="shared" si="352"/>
        <v>0</v>
      </c>
      <c r="P181" s="122">
        <f t="shared" si="352"/>
        <v>0</v>
      </c>
      <c r="Q181" s="26">
        <f t="shared" si="352"/>
        <v>0</v>
      </c>
      <c r="R181" s="26">
        <f t="shared" si="352"/>
        <v>0</v>
      </c>
      <c r="S181" s="26">
        <f t="shared" si="352"/>
        <v>0</v>
      </c>
      <c r="T181" s="26">
        <f t="shared" si="352"/>
        <v>0</v>
      </c>
      <c r="U181" s="26">
        <f t="shared" si="352"/>
        <v>0</v>
      </c>
      <c r="V181" s="26">
        <f>IF(V171="","",V180*V175)</f>
        <v>0</v>
      </c>
      <c r="W181" s="26">
        <f t="shared" si="352"/>
        <v>0</v>
      </c>
      <c r="X181" s="26">
        <f t="shared" si="352"/>
        <v>0</v>
      </c>
      <c r="Y181" s="26">
        <f t="shared" si="352"/>
        <v>0</v>
      </c>
      <c r="Z181" s="26">
        <f t="shared" si="352"/>
        <v>0</v>
      </c>
      <c r="AA181" s="26">
        <f t="shared" si="352"/>
        <v>0</v>
      </c>
      <c r="AB181" s="26">
        <f t="shared" si="352"/>
        <v>0</v>
      </c>
      <c r="AC181" s="26">
        <f t="shared" si="352"/>
        <v>0</v>
      </c>
      <c r="AD181" s="26">
        <f t="shared" si="352"/>
        <v>0</v>
      </c>
      <c r="AE181" s="26" t="str">
        <f t="shared" si="352"/>
        <v/>
      </c>
      <c r="AF181" s="26" t="str">
        <f t="shared" si="352"/>
        <v/>
      </c>
      <c r="AG181" s="26" t="str">
        <f t="shared" si="352"/>
        <v/>
      </c>
      <c r="AH181" s="26" t="str">
        <f t="shared" si="352"/>
        <v/>
      </c>
      <c r="AI181" s="26" t="str">
        <f t="shared" si="352"/>
        <v/>
      </c>
      <c r="AJ181" s="26" t="str">
        <f t="shared" si="352"/>
        <v/>
      </c>
      <c r="AK181" s="26" t="str">
        <f t="shared" si="352"/>
        <v/>
      </c>
      <c r="AL181" s="26" t="str">
        <f t="shared" si="352"/>
        <v/>
      </c>
      <c r="AM181" s="26" t="str">
        <f t="shared" si="352"/>
        <v/>
      </c>
      <c r="AN181" s="26" t="str">
        <f t="shared" si="352"/>
        <v/>
      </c>
      <c r="AO181" s="26" t="str">
        <f t="shared" si="352"/>
        <v/>
      </c>
      <c r="AP181" s="26" t="str">
        <f t="shared" ref="AP181:AR181" si="353">IF(AP171="","",AP180*AP175)</f>
        <v/>
      </c>
      <c r="AQ181" s="26" t="str">
        <f t="shared" si="353"/>
        <v/>
      </c>
      <c r="AR181" s="26" t="str">
        <f t="shared" si="353"/>
        <v/>
      </c>
    </row>
    <row r="182" spans="1:44" s="1" customFormat="1" ht="12" thickBot="1">
      <c r="A182" s="4">
        <f>IF(A181="","",A181/(A178*100))</f>
        <v>0</v>
      </c>
      <c r="B182" s="24" t="s">
        <v>20</v>
      </c>
      <c r="C182" s="67" t="s">
        <v>21</v>
      </c>
      <c r="D182" s="23" t="str">
        <f t="shared" ref="D182:AO182" si="354">IF(D181="","",IF(D181=0,"",D181/(D178*100)))</f>
        <v/>
      </c>
      <c r="E182" s="23" t="str">
        <f t="shared" si="354"/>
        <v/>
      </c>
      <c r="F182" s="23" t="str">
        <f t="shared" si="354"/>
        <v/>
      </c>
      <c r="G182" s="124" t="str">
        <f t="shared" si="354"/>
        <v/>
      </c>
      <c r="H182" s="23" t="str">
        <f t="shared" si="354"/>
        <v/>
      </c>
      <c r="I182" s="23" t="str">
        <f t="shared" si="354"/>
        <v/>
      </c>
      <c r="J182" s="124" t="str">
        <f t="shared" si="354"/>
        <v/>
      </c>
      <c r="K182" s="23" t="str">
        <f t="shared" si="354"/>
        <v/>
      </c>
      <c r="L182" s="23" t="str">
        <f t="shared" si="354"/>
        <v/>
      </c>
      <c r="M182" s="23" t="str">
        <f t="shared" si="354"/>
        <v/>
      </c>
      <c r="N182" s="23" t="str">
        <f t="shared" si="354"/>
        <v/>
      </c>
      <c r="O182" s="23" t="str">
        <f t="shared" si="354"/>
        <v/>
      </c>
      <c r="P182" s="124" t="str">
        <f t="shared" si="354"/>
        <v/>
      </c>
      <c r="Q182" s="23" t="str">
        <f t="shared" si="354"/>
        <v/>
      </c>
      <c r="R182" s="23" t="str">
        <f t="shared" si="354"/>
        <v/>
      </c>
      <c r="S182" s="23" t="str">
        <f t="shared" si="354"/>
        <v/>
      </c>
      <c r="T182" s="23" t="str">
        <f t="shared" si="354"/>
        <v/>
      </c>
      <c r="U182" s="23" t="str">
        <f t="shared" si="354"/>
        <v/>
      </c>
      <c r="V182" s="23" t="str">
        <f>IF(V181="","",IF(V181=0,"",V181/(V178*100)))</f>
        <v/>
      </c>
      <c r="W182" s="23" t="str">
        <f t="shared" si="354"/>
        <v/>
      </c>
      <c r="X182" s="23" t="str">
        <f t="shared" si="354"/>
        <v/>
      </c>
      <c r="Y182" s="23" t="str">
        <f t="shared" si="354"/>
        <v/>
      </c>
      <c r="Z182" s="23" t="str">
        <f t="shared" si="354"/>
        <v/>
      </c>
      <c r="AA182" s="23" t="str">
        <f t="shared" si="354"/>
        <v/>
      </c>
      <c r="AB182" s="23" t="str">
        <f t="shared" si="354"/>
        <v/>
      </c>
      <c r="AC182" s="23" t="str">
        <f t="shared" si="354"/>
        <v/>
      </c>
      <c r="AD182" s="23" t="str">
        <f t="shared" si="354"/>
        <v/>
      </c>
      <c r="AE182" s="23" t="str">
        <f t="shared" si="354"/>
        <v/>
      </c>
      <c r="AF182" s="23" t="str">
        <f t="shared" si="354"/>
        <v/>
      </c>
      <c r="AG182" s="23" t="str">
        <f t="shared" si="354"/>
        <v/>
      </c>
      <c r="AH182" s="23" t="str">
        <f t="shared" si="354"/>
        <v/>
      </c>
      <c r="AI182" s="23" t="str">
        <f t="shared" si="354"/>
        <v/>
      </c>
      <c r="AJ182" s="23" t="str">
        <f t="shared" si="354"/>
        <v/>
      </c>
      <c r="AK182" s="23" t="str">
        <f t="shared" si="354"/>
        <v/>
      </c>
      <c r="AL182" s="23" t="str">
        <f t="shared" si="354"/>
        <v/>
      </c>
      <c r="AM182" s="23" t="str">
        <f t="shared" si="354"/>
        <v/>
      </c>
      <c r="AN182" s="23" t="str">
        <f t="shared" si="354"/>
        <v/>
      </c>
      <c r="AO182" s="23" t="str">
        <f t="shared" si="354"/>
        <v/>
      </c>
      <c r="AP182" s="23" t="str">
        <f t="shared" ref="AP182:AR182" si="355">IF(AP181="","",IF(AP181=0,"",AP181/(AP178*100)))</f>
        <v/>
      </c>
      <c r="AQ182" s="23" t="str">
        <f t="shared" si="355"/>
        <v/>
      </c>
      <c r="AR182" s="23" t="str">
        <f t="shared" si="355"/>
        <v/>
      </c>
    </row>
    <row r="183" spans="1:44" s="1" customFormat="1">
      <c r="A183" s="40" t="s">
        <v>180</v>
      </c>
      <c r="B183" s="39" t="s">
        <v>2</v>
      </c>
      <c r="C183" s="66">
        <v>58639</v>
      </c>
      <c r="D183" s="38">
        <f>IF(D$3="","",C183)</f>
        <v>58639</v>
      </c>
      <c r="E183" s="38">
        <f>IF(E$3="","",D183)</f>
        <v>58639</v>
      </c>
      <c r="F183" s="38">
        <v>58669</v>
      </c>
      <c r="G183" s="121">
        <f>IF(G$3="","",F183)</f>
        <v>58669</v>
      </c>
      <c r="H183" s="38">
        <f>IF(H$3="","",G183)</f>
        <v>58669</v>
      </c>
      <c r="I183" s="38">
        <v>58684</v>
      </c>
      <c r="J183" s="121">
        <f>IF(J$3="","",I183)</f>
        <v>58684</v>
      </c>
      <c r="K183" s="38">
        <f>IF(K$3="","",J183)</f>
        <v>58684</v>
      </c>
      <c r="L183" s="38">
        <v>58693</v>
      </c>
      <c r="M183" s="38">
        <f>IF(M$3="","",L183)</f>
        <v>58693</v>
      </c>
      <c r="N183" s="38">
        <f>IF(N$3="","",M183)</f>
        <v>58693</v>
      </c>
      <c r="O183" s="38">
        <v>58702</v>
      </c>
      <c r="P183" s="121">
        <f t="shared" ref="P183:AO183" si="356">IF(P$3="","",O183)</f>
        <v>58702</v>
      </c>
      <c r="Q183" s="38">
        <f t="shared" si="356"/>
        <v>58702</v>
      </c>
      <c r="R183" s="38">
        <f t="shared" si="356"/>
        <v>58702</v>
      </c>
      <c r="S183" s="38">
        <v>58751</v>
      </c>
      <c r="T183" s="38">
        <f t="shared" si="356"/>
        <v>58751</v>
      </c>
      <c r="U183" s="38">
        <f t="shared" si="356"/>
        <v>58751</v>
      </c>
      <c r="V183" s="38">
        <v>58801</v>
      </c>
      <c r="W183" s="38">
        <f t="shared" si="356"/>
        <v>58801</v>
      </c>
      <c r="X183" s="38">
        <f t="shared" si="356"/>
        <v>58801</v>
      </c>
      <c r="Y183" s="38">
        <f t="shared" si="356"/>
        <v>58801</v>
      </c>
      <c r="Z183" s="38">
        <f t="shared" si="356"/>
        <v>58801</v>
      </c>
      <c r="AA183" s="38">
        <v>58855</v>
      </c>
      <c r="AB183" s="38">
        <f t="shared" si="356"/>
        <v>58855</v>
      </c>
      <c r="AC183" s="38">
        <f t="shared" si="356"/>
        <v>58855</v>
      </c>
      <c r="AD183" s="38">
        <v>58895</v>
      </c>
      <c r="AE183" s="38" t="str">
        <f t="shared" si="356"/>
        <v/>
      </c>
      <c r="AF183" s="38" t="str">
        <f t="shared" si="356"/>
        <v/>
      </c>
      <c r="AG183" s="38" t="str">
        <f t="shared" si="356"/>
        <v/>
      </c>
      <c r="AH183" s="38" t="str">
        <f t="shared" si="356"/>
        <v/>
      </c>
      <c r="AI183" s="38" t="str">
        <f t="shared" si="356"/>
        <v/>
      </c>
      <c r="AJ183" s="38" t="str">
        <f t="shared" si="356"/>
        <v/>
      </c>
      <c r="AK183" s="38" t="str">
        <f t="shared" si="356"/>
        <v/>
      </c>
      <c r="AL183" s="38" t="str">
        <f t="shared" si="356"/>
        <v/>
      </c>
      <c r="AM183" s="38" t="str">
        <f t="shared" si="356"/>
        <v/>
      </c>
      <c r="AN183" s="38" t="str">
        <f t="shared" si="356"/>
        <v/>
      </c>
      <c r="AO183" s="38" t="str">
        <f t="shared" si="356"/>
        <v/>
      </c>
      <c r="AP183" s="38" t="str">
        <f t="shared" ref="AP183:AR183" si="357">IF(AP$3="","",AO183)</f>
        <v/>
      </c>
      <c r="AQ183" s="38" t="str">
        <f t="shared" si="357"/>
        <v/>
      </c>
      <c r="AR183" s="38" t="str">
        <f t="shared" si="357"/>
        <v/>
      </c>
    </row>
    <row r="184" spans="1:44" s="1" customFormat="1">
      <c r="A184" s="37" t="s">
        <v>202</v>
      </c>
      <c r="B184" s="30" t="s">
        <v>4</v>
      </c>
      <c r="C184" s="65">
        <v>4810</v>
      </c>
      <c r="D184" s="29">
        <f>IF(D$3="","",C184)</f>
        <v>4810</v>
      </c>
      <c r="E184" s="29">
        <f>IF(E$3="","",D184)</f>
        <v>4810</v>
      </c>
      <c r="F184" s="29">
        <v>4811</v>
      </c>
      <c r="G184" s="122">
        <f>IF(G$3="","",F184)</f>
        <v>4811</v>
      </c>
      <c r="H184" s="29">
        <f>IF(H$3="","",G184)</f>
        <v>4811</v>
      </c>
      <c r="I184" s="29">
        <f>IF(I$3="","",H184)</f>
        <v>4811</v>
      </c>
      <c r="J184" s="122">
        <f>IF(J$3="","",I184)</f>
        <v>4811</v>
      </c>
      <c r="K184" s="29">
        <f>IF(K$3="","",J184)</f>
        <v>4811</v>
      </c>
      <c r="L184" s="29">
        <v>4811</v>
      </c>
      <c r="M184" s="29">
        <f>IF(M$3="","",L184)</f>
        <v>4811</v>
      </c>
      <c r="N184" s="29">
        <f>IF(N$3="","",M184)</f>
        <v>4811</v>
      </c>
      <c r="O184" s="29">
        <f>IF(O$3="","",N184)</f>
        <v>4811</v>
      </c>
      <c r="P184" s="122">
        <f t="shared" ref="P184:AO184" si="358">IF(P$3="","",O184)</f>
        <v>4811</v>
      </c>
      <c r="Q184" s="29">
        <f t="shared" si="358"/>
        <v>4811</v>
      </c>
      <c r="R184" s="29">
        <f t="shared" si="358"/>
        <v>4811</v>
      </c>
      <c r="S184" s="29">
        <v>4812</v>
      </c>
      <c r="T184" s="29">
        <f t="shared" si="358"/>
        <v>4812</v>
      </c>
      <c r="U184" s="29">
        <f t="shared" si="358"/>
        <v>4812</v>
      </c>
      <c r="V184" s="29">
        <v>4813</v>
      </c>
      <c r="W184" s="29">
        <f t="shared" si="358"/>
        <v>4813</v>
      </c>
      <c r="X184" s="29">
        <f t="shared" si="358"/>
        <v>4813</v>
      </c>
      <c r="Y184" s="29">
        <f t="shared" si="358"/>
        <v>4813</v>
      </c>
      <c r="Z184" s="29">
        <f t="shared" si="358"/>
        <v>4813</v>
      </c>
      <c r="AA184" s="29">
        <v>4814</v>
      </c>
      <c r="AB184" s="29">
        <f t="shared" si="358"/>
        <v>4814</v>
      </c>
      <c r="AC184" s="29">
        <f t="shared" si="358"/>
        <v>4814</v>
      </c>
      <c r="AD184" s="29">
        <v>4815</v>
      </c>
      <c r="AE184" s="29" t="str">
        <f t="shared" si="358"/>
        <v/>
      </c>
      <c r="AF184" s="29" t="str">
        <f t="shared" si="358"/>
        <v/>
      </c>
      <c r="AG184" s="29" t="str">
        <f t="shared" si="358"/>
        <v/>
      </c>
      <c r="AH184" s="29" t="str">
        <f t="shared" si="358"/>
        <v/>
      </c>
      <c r="AI184" s="29" t="str">
        <f t="shared" si="358"/>
        <v/>
      </c>
      <c r="AJ184" s="29" t="str">
        <f t="shared" si="358"/>
        <v/>
      </c>
      <c r="AK184" s="29" t="str">
        <f t="shared" si="358"/>
        <v/>
      </c>
      <c r="AL184" s="29" t="str">
        <f t="shared" si="358"/>
        <v/>
      </c>
      <c r="AM184" s="29" t="str">
        <f t="shared" si="358"/>
        <v/>
      </c>
      <c r="AN184" s="29" t="str">
        <f t="shared" si="358"/>
        <v/>
      </c>
      <c r="AO184" s="29" t="str">
        <f t="shared" si="358"/>
        <v/>
      </c>
      <c r="AP184" s="29" t="str">
        <f t="shared" ref="AP184:AR184" si="359">IF(AP$3="","",AO184)</f>
        <v/>
      </c>
      <c r="AQ184" s="29" t="str">
        <f t="shared" si="359"/>
        <v/>
      </c>
      <c r="AR184" s="29" t="str">
        <f t="shared" si="359"/>
        <v/>
      </c>
    </row>
    <row r="185" spans="1:44" s="1" customFormat="1">
      <c r="A185" s="41">
        <v>1</v>
      </c>
      <c r="B185" s="30" t="s">
        <v>5</v>
      </c>
      <c r="C185" s="65">
        <v>29</v>
      </c>
      <c r="D185" s="29">
        <f t="shared" ref="D185:AO185" si="360">IF(D183="","",(C185+C186))</f>
        <v>29</v>
      </c>
      <c r="E185" s="29">
        <f t="shared" si="360"/>
        <v>29</v>
      </c>
      <c r="F185" s="29">
        <f t="shared" si="360"/>
        <v>29</v>
      </c>
      <c r="G185" s="122">
        <f t="shared" si="360"/>
        <v>29</v>
      </c>
      <c r="H185" s="29">
        <f t="shared" si="360"/>
        <v>29</v>
      </c>
      <c r="I185" s="29">
        <f t="shared" si="360"/>
        <v>29</v>
      </c>
      <c r="J185" s="122">
        <f t="shared" si="360"/>
        <v>29</v>
      </c>
      <c r="K185" s="29">
        <f t="shared" si="360"/>
        <v>29</v>
      </c>
      <c r="L185" s="29">
        <f t="shared" si="360"/>
        <v>29</v>
      </c>
      <c r="M185" s="29">
        <f t="shared" si="360"/>
        <v>29</v>
      </c>
      <c r="N185" s="29">
        <f t="shared" si="360"/>
        <v>29</v>
      </c>
      <c r="O185" s="29">
        <f t="shared" si="360"/>
        <v>29</v>
      </c>
      <c r="P185" s="122">
        <f t="shared" si="360"/>
        <v>29</v>
      </c>
      <c r="Q185" s="29">
        <f t="shared" si="360"/>
        <v>29</v>
      </c>
      <c r="R185" s="29">
        <f t="shared" si="360"/>
        <v>29</v>
      </c>
      <c r="S185" s="29">
        <f t="shared" si="360"/>
        <v>29</v>
      </c>
      <c r="T185" s="29">
        <f t="shared" si="360"/>
        <v>29</v>
      </c>
      <c r="U185" s="29">
        <f t="shared" si="360"/>
        <v>29</v>
      </c>
      <c r="V185" s="29">
        <f>IF(V183="","",(U185+U186))</f>
        <v>29</v>
      </c>
      <c r="W185" s="29">
        <f t="shared" si="360"/>
        <v>29</v>
      </c>
      <c r="X185" s="29">
        <f t="shared" si="360"/>
        <v>29</v>
      </c>
      <c r="Y185" s="29">
        <f t="shared" si="360"/>
        <v>29</v>
      </c>
      <c r="Z185" s="29">
        <f t="shared" si="360"/>
        <v>29</v>
      </c>
      <c r="AA185" s="29">
        <f t="shared" si="360"/>
        <v>29</v>
      </c>
      <c r="AB185" s="29">
        <f t="shared" si="360"/>
        <v>29</v>
      </c>
      <c r="AC185" s="29">
        <f t="shared" si="360"/>
        <v>29</v>
      </c>
      <c r="AD185" s="29">
        <f t="shared" si="360"/>
        <v>29</v>
      </c>
      <c r="AE185" s="29" t="str">
        <f t="shared" si="360"/>
        <v/>
      </c>
      <c r="AF185" s="29" t="str">
        <f t="shared" si="360"/>
        <v/>
      </c>
      <c r="AG185" s="29" t="str">
        <f t="shared" si="360"/>
        <v/>
      </c>
      <c r="AH185" s="29" t="str">
        <f t="shared" si="360"/>
        <v/>
      </c>
      <c r="AI185" s="29" t="str">
        <f t="shared" si="360"/>
        <v/>
      </c>
      <c r="AJ185" s="29" t="str">
        <f t="shared" si="360"/>
        <v/>
      </c>
      <c r="AK185" s="29" t="str">
        <f t="shared" si="360"/>
        <v/>
      </c>
      <c r="AL185" s="29" t="str">
        <f t="shared" si="360"/>
        <v/>
      </c>
      <c r="AM185" s="29" t="str">
        <f t="shared" si="360"/>
        <v/>
      </c>
      <c r="AN185" s="29" t="str">
        <f t="shared" si="360"/>
        <v/>
      </c>
      <c r="AO185" s="29" t="str">
        <f t="shared" si="360"/>
        <v/>
      </c>
      <c r="AP185" s="29" t="str">
        <f t="shared" ref="AP185" si="361">IF(AP183="","",(AO185+AO186))</f>
        <v/>
      </c>
      <c r="AQ185" s="29" t="str">
        <f t="shared" ref="AQ185:AR185" si="362">IF(AQ183="","",(AP185+AP186))</f>
        <v/>
      </c>
      <c r="AR185" s="29" t="str">
        <f t="shared" si="362"/>
        <v/>
      </c>
    </row>
    <row r="186" spans="1:44" s="1" customFormat="1">
      <c r="A186" s="14"/>
      <c r="B186" s="30" t="s">
        <v>7</v>
      </c>
      <c r="C186" s="65"/>
      <c r="D186" s="29"/>
      <c r="E186" s="29"/>
      <c r="F186" s="29"/>
      <c r="G186" s="122"/>
      <c r="H186" s="29"/>
      <c r="I186" s="29"/>
      <c r="J186" s="122"/>
      <c r="K186" s="29"/>
      <c r="L186" s="29"/>
      <c r="M186" s="29"/>
      <c r="N186" s="29"/>
      <c r="O186" s="29"/>
      <c r="P186" s="122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</row>
    <row r="187" spans="1:44" s="1" customFormat="1">
      <c r="A187" s="7"/>
      <c r="B187" s="30" t="s">
        <v>8</v>
      </c>
      <c r="C187" s="64">
        <v>300</v>
      </c>
      <c r="D187" s="35">
        <f t="shared" ref="D187:AO187" si="363">IF(D183="","",C187)</f>
        <v>300</v>
      </c>
      <c r="E187" s="35">
        <f t="shared" si="363"/>
        <v>300</v>
      </c>
      <c r="F187" s="35">
        <f t="shared" si="363"/>
        <v>300</v>
      </c>
      <c r="G187" s="383">
        <f t="shared" si="363"/>
        <v>300</v>
      </c>
      <c r="H187" s="35">
        <f t="shared" si="363"/>
        <v>300</v>
      </c>
      <c r="I187" s="35">
        <f t="shared" si="363"/>
        <v>300</v>
      </c>
      <c r="J187" s="383">
        <f t="shared" si="363"/>
        <v>300</v>
      </c>
      <c r="K187" s="35">
        <f t="shared" si="363"/>
        <v>300</v>
      </c>
      <c r="L187" s="35">
        <f t="shared" si="363"/>
        <v>300</v>
      </c>
      <c r="M187" s="35">
        <f t="shared" si="363"/>
        <v>300</v>
      </c>
      <c r="N187" s="35">
        <f t="shared" si="363"/>
        <v>300</v>
      </c>
      <c r="O187" s="35">
        <f t="shared" si="363"/>
        <v>300</v>
      </c>
      <c r="P187" s="383">
        <f t="shared" si="363"/>
        <v>300</v>
      </c>
      <c r="Q187" s="35">
        <f t="shared" si="363"/>
        <v>300</v>
      </c>
      <c r="R187" s="35">
        <f t="shared" si="363"/>
        <v>300</v>
      </c>
      <c r="S187" s="35">
        <f t="shared" si="363"/>
        <v>300</v>
      </c>
      <c r="T187" s="35">
        <f t="shared" si="363"/>
        <v>300</v>
      </c>
      <c r="U187" s="35">
        <f t="shared" si="363"/>
        <v>300</v>
      </c>
      <c r="V187" s="35">
        <f>IF(V183="","",U187)</f>
        <v>300</v>
      </c>
      <c r="W187" s="35">
        <f t="shared" si="363"/>
        <v>300</v>
      </c>
      <c r="X187" s="35">
        <f t="shared" si="363"/>
        <v>300</v>
      </c>
      <c r="Y187" s="35">
        <f t="shared" si="363"/>
        <v>300</v>
      </c>
      <c r="Z187" s="35">
        <f t="shared" si="363"/>
        <v>300</v>
      </c>
      <c r="AA187" s="35">
        <f t="shared" si="363"/>
        <v>300</v>
      </c>
      <c r="AB187" s="35">
        <f t="shared" si="363"/>
        <v>300</v>
      </c>
      <c r="AC187" s="35">
        <f t="shared" si="363"/>
        <v>300</v>
      </c>
      <c r="AD187" s="35">
        <f t="shared" si="363"/>
        <v>300</v>
      </c>
      <c r="AE187" s="35" t="str">
        <f t="shared" si="363"/>
        <v/>
      </c>
      <c r="AF187" s="35" t="str">
        <f t="shared" si="363"/>
        <v/>
      </c>
      <c r="AG187" s="35" t="str">
        <f t="shared" si="363"/>
        <v/>
      </c>
      <c r="AH187" s="35" t="str">
        <f t="shared" si="363"/>
        <v/>
      </c>
      <c r="AI187" s="35" t="str">
        <f t="shared" si="363"/>
        <v/>
      </c>
      <c r="AJ187" s="35" t="str">
        <f t="shared" si="363"/>
        <v/>
      </c>
      <c r="AK187" s="35" t="str">
        <f t="shared" si="363"/>
        <v/>
      </c>
      <c r="AL187" s="35" t="str">
        <f t="shared" si="363"/>
        <v/>
      </c>
      <c r="AM187" s="35" t="str">
        <f t="shared" si="363"/>
        <v/>
      </c>
      <c r="AN187" s="35" t="str">
        <f t="shared" si="363"/>
        <v/>
      </c>
      <c r="AO187" s="35" t="str">
        <f t="shared" si="363"/>
        <v/>
      </c>
      <c r="AP187" s="35" t="str">
        <f t="shared" ref="AP187" si="364">IF(AP183="","",AO187)</f>
        <v/>
      </c>
      <c r="AQ187" s="35" t="str">
        <f t="shared" ref="AQ187:AR187" si="365">IF(AQ183="","",AP187)</f>
        <v/>
      </c>
      <c r="AR187" s="35" t="str">
        <f t="shared" si="365"/>
        <v/>
      </c>
    </row>
    <row r="188" spans="1:44" s="11" customFormat="1">
      <c r="A188" s="14" t="s">
        <v>9</v>
      </c>
      <c r="B188" s="33" t="s">
        <v>10</v>
      </c>
      <c r="C188" s="63" t="s">
        <v>203</v>
      </c>
      <c r="D188" s="32" t="str">
        <f t="shared" ref="D188:AO188" si="366">IF(D183="","",C188)</f>
        <v>しんちゃんアソート</v>
      </c>
      <c r="E188" s="32" t="str">
        <f t="shared" si="366"/>
        <v>しんちゃんアソート</v>
      </c>
      <c r="F188" s="32" t="str">
        <f t="shared" si="366"/>
        <v>しんちゃんアソート</v>
      </c>
      <c r="G188" s="123" t="str">
        <f t="shared" si="366"/>
        <v>しんちゃんアソート</v>
      </c>
      <c r="H188" s="32" t="str">
        <f t="shared" si="366"/>
        <v>しんちゃんアソート</v>
      </c>
      <c r="I188" s="32" t="str">
        <f t="shared" si="366"/>
        <v>しんちゃんアソート</v>
      </c>
      <c r="J188" s="123" t="str">
        <f t="shared" si="366"/>
        <v>しんちゃんアソート</v>
      </c>
      <c r="K188" s="32" t="str">
        <f t="shared" si="366"/>
        <v>しんちゃんアソート</v>
      </c>
      <c r="L188" s="32" t="str">
        <f t="shared" si="366"/>
        <v>しんちゃんアソート</v>
      </c>
      <c r="M188" s="32" t="str">
        <f t="shared" si="366"/>
        <v>しんちゃんアソート</v>
      </c>
      <c r="N188" s="32" t="str">
        <f t="shared" si="366"/>
        <v>しんちゃんアソート</v>
      </c>
      <c r="O188" s="32" t="str">
        <f t="shared" si="366"/>
        <v>しんちゃんアソート</v>
      </c>
      <c r="P188" s="123" t="str">
        <f t="shared" si="366"/>
        <v>しんちゃんアソート</v>
      </c>
      <c r="Q188" s="32" t="str">
        <f t="shared" si="366"/>
        <v>しんちゃんアソート</v>
      </c>
      <c r="R188" s="32" t="str">
        <f t="shared" si="366"/>
        <v>しんちゃんアソート</v>
      </c>
      <c r="S188" s="32" t="str">
        <f t="shared" si="366"/>
        <v>しんちゃんアソート</v>
      </c>
      <c r="T188" s="32" t="str">
        <f t="shared" si="366"/>
        <v>しんちゃんアソート</v>
      </c>
      <c r="U188" s="32" t="str">
        <f t="shared" si="366"/>
        <v>しんちゃんアソート</v>
      </c>
      <c r="V188" s="32" t="str">
        <f>IF(V183="","",U188)</f>
        <v>しんちゃんアソート</v>
      </c>
      <c r="W188" s="32" t="str">
        <f t="shared" si="366"/>
        <v>しんちゃんアソート</v>
      </c>
      <c r="X188" s="32" t="str">
        <f t="shared" si="366"/>
        <v>しんちゃんアソート</v>
      </c>
      <c r="Y188" s="32" t="str">
        <f t="shared" si="366"/>
        <v>しんちゃんアソート</v>
      </c>
      <c r="Z188" s="32" t="str">
        <f t="shared" si="366"/>
        <v>しんちゃんアソート</v>
      </c>
      <c r="AA188" s="32" t="str">
        <f t="shared" si="366"/>
        <v>しんちゃんアソート</v>
      </c>
      <c r="AB188" s="32" t="str">
        <f t="shared" si="366"/>
        <v>しんちゃんアソート</v>
      </c>
      <c r="AC188" s="32" t="str">
        <f t="shared" si="366"/>
        <v>しんちゃんアソート</v>
      </c>
      <c r="AD188" s="32" t="str">
        <f t="shared" si="366"/>
        <v>しんちゃんアソート</v>
      </c>
      <c r="AE188" s="32" t="str">
        <f t="shared" si="366"/>
        <v/>
      </c>
      <c r="AF188" s="32" t="str">
        <f t="shared" si="366"/>
        <v/>
      </c>
      <c r="AG188" s="32" t="str">
        <f t="shared" si="366"/>
        <v/>
      </c>
      <c r="AH188" s="32" t="str">
        <f t="shared" si="366"/>
        <v/>
      </c>
      <c r="AI188" s="32" t="str">
        <f t="shared" si="366"/>
        <v/>
      </c>
      <c r="AJ188" s="32" t="str">
        <f t="shared" si="366"/>
        <v/>
      </c>
      <c r="AK188" s="32" t="str">
        <f t="shared" si="366"/>
        <v/>
      </c>
      <c r="AL188" s="32" t="str">
        <f t="shared" si="366"/>
        <v/>
      </c>
      <c r="AM188" s="32" t="str">
        <f t="shared" si="366"/>
        <v/>
      </c>
      <c r="AN188" s="32" t="str">
        <f t="shared" si="366"/>
        <v/>
      </c>
      <c r="AO188" s="32" t="str">
        <f t="shared" si="366"/>
        <v/>
      </c>
      <c r="AP188" s="32" t="str">
        <f t="shared" ref="AP188" si="367">IF(AP183="","",AO188)</f>
        <v/>
      </c>
      <c r="AQ188" s="32" t="str">
        <f t="shared" ref="AQ188:AR188" si="368">IF(AQ183="","",AP188)</f>
        <v/>
      </c>
      <c r="AR188" s="32" t="str">
        <f t="shared" si="368"/>
        <v/>
      </c>
    </row>
    <row r="189" spans="1:44" s="1" customFormat="1">
      <c r="A189" s="7">
        <f>AVERAGE(C190:AS190)*30*100</f>
        <v>27428.571428571428</v>
      </c>
      <c r="B189" s="30" t="s">
        <v>14</v>
      </c>
      <c r="C189" s="65"/>
      <c r="D189" s="29"/>
      <c r="E189" s="29"/>
      <c r="F189" s="29"/>
      <c r="G189" s="122"/>
      <c r="H189" s="29"/>
      <c r="I189" s="29"/>
      <c r="J189" s="122"/>
      <c r="K189" s="29"/>
      <c r="L189" s="29"/>
      <c r="M189" s="29"/>
      <c r="N189" s="29"/>
      <c r="O189" s="29"/>
      <c r="P189" s="122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</row>
    <row r="190" spans="1:44" s="1" customFormat="1">
      <c r="A190" s="7">
        <f>SUM(C190:AS190)</f>
        <v>256</v>
      </c>
      <c r="B190" s="27" t="s">
        <v>15</v>
      </c>
      <c r="C190" s="65">
        <v>0</v>
      </c>
      <c r="D190" s="26">
        <f t="shared" ref="D190:AO190" si="369">IF(D183="","",D183-C183)</f>
        <v>0</v>
      </c>
      <c r="E190" s="26">
        <f t="shared" si="369"/>
        <v>0</v>
      </c>
      <c r="F190" s="26">
        <f t="shared" si="369"/>
        <v>30</v>
      </c>
      <c r="G190" s="122">
        <f t="shared" si="369"/>
        <v>0</v>
      </c>
      <c r="H190" s="26">
        <f t="shared" si="369"/>
        <v>0</v>
      </c>
      <c r="I190" s="26">
        <f t="shared" si="369"/>
        <v>15</v>
      </c>
      <c r="J190" s="122">
        <f t="shared" si="369"/>
        <v>0</v>
      </c>
      <c r="K190" s="26">
        <f t="shared" si="369"/>
        <v>0</v>
      </c>
      <c r="L190" s="26">
        <f t="shared" si="369"/>
        <v>9</v>
      </c>
      <c r="M190" s="26">
        <f t="shared" si="369"/>
        <v>0</v>
      </c>
      <c r="N190" s="26">
        <f t="shared" si="369"/>
        <v>0</v>
      </c>
      <c r="O190" s="26">
        <f t="shared" si="369"/>
        <v>9</v>
      </c>
      <c r="P190" s="122">
        <f t="shared" si="369"/>
        <v>0</v>
      </c>
      <c r="Q190" s="26">
        <f t="shared" si="369"/>
        <v>0</v>
      </c>
      <c r="R190" s="26">
        <f t="shared" si="369"/>
        <v>0</v>
      </c>
      <c r="S190" s="26">
        <f t="shared" si="369"/>
        <v>49</v>
      </c>
      <c r="T190" s="26">
        <f t="shared" si="369"/>
        <v>0</v>
      </c>
      <c r="U190" s="26">
        <f t="shared" si="369"/>
        <v>0</v>
      </c>
      <c r="V190" s="26">
        <f>IF(V183="","",V183-U183)</f>
        <v>50</v>
      </c>
      <c r="W190" s="26">
        <f t="shared" si="369"/>
        <v>0</v>
      </c>
      <c r="X190" s="26">
        <f t="shared" si="369"/>
        <v>0</v>
      </c>
      <c r="Y190" s="26">
        <f t="shared" si="369"/>
        <v>0</v>
      </c>
      <c r="Z190" s="26">
        <f t="shared" si="369"/>
        <v>0</v>
      </c>
      <c r="AA190" s="26">
        <f t="shared" si="369"/>
        <v>54</v>
      </c>
      <c r="AB190" s="26">
        <f t="shared" si="369"/>
        <v>0</v>
      </c>
      <c r="AC190" s="26">
        <f t="shared" si="369"/>
        <v>0</v>
      </c>
      <c r="AD190" s="26">
        <f t="shared" si="369"/>
        <v>40</v>
      </c>
      <c r="AE190" s="26" t="str">
        <f t="shared" si="369"/>
        <v/>
      </c>
      <c r="AF190" s="26" t="str">
        <f t="shared" si="369"/>
        <v/>
      </c>
      <c r="AG190" s="26" t="str">
        <f t="shared" si="369"/>
        <v/>
      </c>
      <c r="AH190" s="26" t="str">
        <f t="shared" si="369"/>
        <v/>
      </c>
      <c r="AI190" s="26" t="str">
        <f t="shared" si="369"/>
        <v/>
      </c>
      <c r="AJ190" s="26" t="str">
        <f t="shared" si="369"/>
        <v/>
      </c>
      <c r="AK190" s="26" t="str">
        <f t="shared" si="369"/>
        <v/>
      </c>
      <c r="AL190" s="26" t="str">
        <f t="shared" si="369"/>
        <v/>
      </c>
      <c r="AM190" s="26" t="str">
        <f t="shared" si="369"/>
        <v/>
      </c>
      <c r="AN190" s="26" t="str">
        <f t="shared" si="369"/>
        <v/>
      </c>
      <c r="AO190" s="26" t="str">
        <f t="shared" si="369"/>
        <v/>
      </c>
      <c r="AP190" s="26" t="str">
        <f t="shared" ref="AP190:AP191" si="370">IF(AP183="","",AP183-AO183)</f>
        <v/>
      </c>
      <c r="AQ190" s="26" t="str">
        <f t="shared" ref="AQ190:AR191" si="371">IF(AQ183="","",AQ183-AP183)</f>
        <v/>
      </c>
      <c r="AR190" s="26" t="str">
        <f t="shared" si="371"/>
        <v/>
      </c>
    </row>
    <row r="191" spans="1:44" s="1" customFormat="1">
      <c r="A191" s="7">
        <f>SUM(C191:AS191)</f>
        <v>5</v>
      </c>
      <c r="B191" s="27" t="s">
        <v>16</v>
      </c>
      <c r="C191" s="65">
        <v>0</v>
      </c>
      <c r="D191" s="26">
        <f t="shared" ref="D191:AO191" si="372">IF(D184="","",D184-C184)</f>
        <v>0</v>
      </c>
      <c r="E191" s="26">
        <f t="shared" si="372"/>
        <v>0</v>
      </c>
      <c r="F191" s="26">
        <f t="shared" si="372"/>
        <v>1</v>
      </c>
      <c r="G191" s="122">
        <f t="shared" si="372"/>
        <v>0</v>
      </c>
      <c r="H191" s="26">
        <f t="shared" si="372"/>
        <v>0</v>
      </c>
      <c r="I191" s="26">
        <f t="shared" si="372"/>
        <v>0</v>
      </c>
      <c r="J191" s="122">
        <f t="shared" si="372"/>
        <v>0</v>
      </c>
      <c r="K191" s="26">
        <f t="shared" si="372"/>
        <v>0</v>
      </c>
      <c r="L191" s="26">
        <f t="shared" si="372"/>
        <v>0</v>
      </c>
      <c r="M191" s="26">
        <f t="shared" si="372"/>
        <v>0</v>
      </c>
      <c r="N191" s="26">
        <f t="shared" si="372"/>
        <v>0</v>
      </c>
      <c r="O191" s="26">
        <f t="shared" si="372"/>
        <v>0</v>
      </c>
      <c r="P191" s="122">
        <f t="shared" si="372"/>
        <v>0</v>
      </c>
      <c r="Q191" s="26">
        <f t="shared" si="372"/>
        <v>0</v>
      </c>
      <c r="R191" s="26">
        <f t="shared" si="372"/>
        <v>0</v>
      </c>
      <c r="S191" s="26">
        <f t="shared" si="372"/>
        <v>1</v>
      </c>
      <c r="T191" s="26">
        <f t="shared" si="372"/>
        <v>0</v>
      </c>
      <c r="U191" s="26">
        <f t="shared" si="372"/>
        <v>0</v>
      </c>
      <c r="V191" s="26">
        <f>IF(V184="","",V184-U184)</f>
        <v>1</v>
      </c>
      <c r="W191" s="26">
        <f t="shared" si="372"/>
        <v>0</v>
      </c>
      <c r="X191" s="26">
        <f t="shared" si="372"/>
        <v>0</v>
      </c>
      <c r="Y191" s="26">
        <f t="shared" si="372"/>
        <v>0</v>
      </c>
      <c r="Z191" s="26">
        <f t="shared" si="372"/>
        <v>0</v>
      </c>
      <c r="AA191" s="26">
        <f t="shared" si="372"/>
        <v>1</v>
      </c>
      <c r="AB191" s="26">
        <f t="shared" si="372"/>
        <v>0</v>
      </c>
      <c r="AC191" s="26">
        <f t="shared" si="372"/>
        <v>0</v>
      </c>
      <c r="AD191" s="26">
        <f t="shared" si="372"/>
        <v>1</v>
      </c>
      <c r="AE191" s="26" t="str">
        <f t="shared" si="372"/>
        <v/>
      </c>
      <c r="AF191" s="26" t="str">
        <f t="shared" si="372"/>
        <v/>
      </c>
      <c r="AG191" s="26" t="str">
        <f t="shared" si="372"/>
        <v/>
      </c>
      <c r="AH191" s="26" t="str">
        <f t="shared" si="372"/>
        <v/>
      </c>
      <c r="AI191" s="26" t="str">
        <f t="shared" si="372"/>
        <v/>
      </c>
      <c r="AJ191" s="26" t="str">
        <f t="shared" si="372"/>
        <v/>
      </c>
      <c r="AK191" s="26" t="str">
        <f t="shared" si="372"/>
        <v/>
      </c>
      <c r="AL191" s="26" t="str">
        <f t="shared" si="372"/>
        <v/>
      </c>
      <c r="AM191" s="26" t="str">
        <f t="shared" si="372"/>
        <v/>
      </c>
      <c r="AN191" s="26" t="str">
        <f t="shared" si="372"/>
        <v/>
      </c>
      <c r="AO191" s="26" t="str">
        <f t="shared" si="372"/>
        <v/>
      </c>
      <c r="AP191" s="26" t="str">
        <f t="shared" si="370"/>
        <v/>
      </c>
      <c r="AQ191" s="26" t="str">
        <f t="shared" si="371"/>
        <v/>
      </c>
      <c r="AR191" s="26" t="str">
        <f t="shared" si="371"/>
        <v/>
      </c>
    </row>
    <row r="192" spans="1:44" s="1" customFormat="1">
      <c r="A192" s="7">
        <f>SUM(C192:AS192)</f>
        <v>0</v>
      </c>
      <c r="B192" s="27" t="s">
        <v>17</v>
      </c>
      <c r="C192" s="65">
        <v>0</v>
      </c>
      <c r="D192" s="26">
        <f t="shared" ref="D192:AO192" si="373">IF(D185="","",C185+C186-D185)</f>
        <v>0</v>
      </c>
      <c r="E192" s="26">
        <f t="shared" si="373"/>
        <v>0</v>
      </c>
      <c r="F192" s="26">
        <f t="shared" si="373"/>
        <v>0</v>
      </c>
      <c r="G192" s="122">
        <f t="shared" si="373"/>
        <v>0</v>
      </c>
      <c r="H192" s="26">
        <f t="shared" si="373"/>
        <v>0</v>
      </c>
      <c r="I192" s="26">
        <f t="shared" si="373"/>
        <v>0</v>
      </c>
      <c r="J192" s="122">
        <f t="shared" si="373"/>
        <v>0</v>
      </c>
      <c r="K192" s="26">
        <f t="shared" si="373"/>
        <v>0</v>
      </c>
      <c r="L192" s="26">
        <f t="shared" si="373"/>
        <v>0</v>
      </c>
      <c r="M192" s="26">
        <f t="shared" si="373"/>
        <v>0</v>
      </c>
      <c r="N192" s="26">
        <f t="shared" si="373"/>
        <v>0</v>
      </c>
      <c r="O192" s="26">
        <f t="shared" si="373"/>
        <v>0</v>
      </c>
      <c r="P192" s="122">
        <f t="shared" si="373"/>
        <v>0</v>
      </c>
      <c r="Q192" s="26">
        <f t="shared" si="373"/>
        <v>0</v>
      </c>
      <c r="R192" s="26">
        <f t="shared" si="373"/>
        <v>0</v>
      </c>
      <c r="S192" s="26">
        <f t="shared" si="373"/>
        <v>0</v>
      </c>
      <c r="T192" s="26">
        <f t="shared" si="373"/>
        <v>0</v>
      </c>
      <c r="U192" s="26">
        <f t="shared" si="373"/>
        <v>0</v>
      </c>
      <c r="V192" s="26">
        <f>IF(V185="","",U185+U186-V185)</f>
        <v>0</v>
      </c>
      <c r="W192" s="26">
        <f t="shared" si="373"/>
        <v>0</v>
      </c>
      <c r="X192" s="26">
        <f t="shared" si="373"/>
        <v>0</v>
      </c>
      <c r="Y192" s="26">
        <f t="shared" si="373"/>
        <v>0</v>
      </c>
      <c r="Z192" s="26">
        <f t="shared" si="373"/>
        <v>0</v>
      </c>
      <c r="AA192" s="26">
        <f t="shared" si="373"/>
        <v>0</v>
      </c>
      <c r="AB192" s="26">
        <f t="shared" si="373"/>
        <v>0</v>
      </c>
      <c r="AC192" s="26">
        <f t="shared" si="373"/>
        <v>0</v>
      </c>
      <c r="AD192" s="26">
        <f t="shared" si="373"/>
        <v>0</v>
      </c>
      <c r="AE192" s="26" t="str">
        <f t="shared" si="373"/>
        <v/>
      </c>
      <c r="AF192" s="26" t="str">
        <f t="shared" si="373"/>
        <v/>
      </c>
      <c r="AG192" s="26" t="str">
        <f t="shared" si="373"/>
        <v/>
      </c>
      <c r="AH192" s="26" t="str">
        <f t="shared" si="373"/>
        <v/>
      </c>
      <c r="AI192" s="26" t="str">
        <f t="shared" si="373"/>
        <v/>
      </c>
      <c r="AJ192" s="26" t="str">
        <f t="shared" si="373"/>
        <v/>
      </c>
      <c r="AK192" s="26" t="str">
        <f t="shared" si="373"/>
        <v/>
      </c>
      <c r="AL192" s="26" t="str">
        <f t="shared" si="373"/>
        <v/>
      </c>
      <c r="AM192" s="26" t="str">
        <f t="shared" si="373"/>
        <v/>
      </c>
      <c r="AN192" s="26" t="str">
        <f t="shared" si="373"/>
        <v/>
      </c>
      <c r="AO192" s="26" t="str">
        <f t="shared" si="373"/>
        <v/>
      </c>
      <c r="AP192" s="26" t="str">
        <f t="shared" ref="AP192" si="374">IF(AP185="","",AO185+AO186-AP185)</f>
        <v/>
      </c>
      <c r="AQ192" s="26" t="str">
        <f t="shared" ref="AQ192:AR192" si="375">IF(AQ185="","",AP185+AP186-AQ185)</f>
        <v/>
      </c>
      <c r="AR192" s="26" t="str">
        <f t="shared" si="375"/>
        <v/>
      </c>
    </row>
    <row r="193" spans="1:44" s="1" customFormat="1">
      <c r="A193" s="7">
        <f>SUM(C193:AS193)</f>
        <v>0</v>
      </c>
      <c r="B193" s="27" t="s">
        <v>18</v>
      </c>
      <c r="C193" s="65">
        <v>0</v>
      </c>
      <c r="D193" s="26">
        <f t="shared" ref="D193:AO193" si="376">IF(D183="","",D192*D187)</f>
        <v>0</v>
      </c>
      <c r="E193" s="26">
        <f t="shared" si="376"/>
        <v>0</v>
      </c>
      <c r="F193" s="26">
        <f t="shared" si="376"/>
        <v>0</v>
      </c>
      <c r="G193" s="122">
        <f t="shared" si="376"/>
        <v>0</v>
      </c>
      <c r="H193" s="26">
        <f t="shared" si="376"/>
        <v>0</v>
      </c>
      <c r="I193" s="26">
        <f t="shared" si="376"/>
        <v>0</v>
      </c>
      <c r="J193" s="122">
        <f t="shared" si="376"/>
        <v>0</v>
      </c>
      <c r="K193" s="26">
        <f t="shared" si="376"/>
        <v>0</v>
      </c>
      <c r="L193" s="26">
        <f t="shared" si="376"/>
        <v>0</v>
      </c>
      <c r="M193" s="26">
        <f t="shared" si="376"/>
        <v>0</v>
      </c>
      <c r="N193" s="26">
        <f t="shared" si="376"/>
        <v>0</v>
      </c>
      <c r="O193" s="26">
        <f t="shared" si="376"/>
        <v>0</v>
      </c>
      <c r="P193" s="122">
        <f t="shared" si="376"/>
        <v>0</v>
      </c>
      <c r="Q193" s="26">
        <f t="shared" si="376"/>
        <v>0</v>
      </c>
      <c r="R193" s="26">
        <f t="shared" si="376"/>
        <v>0</v>
      </c>
      <c r="S193" s="26">
        <f t="shared" si="376"/>
        <v>0</v>
      </c>
      <c r="T193" s="26">
        <f t="shared" si="376"/>
        <v>0</v>
      </c>
      <c r="U193" s="26">
        <f t="shared" si="376"/>
        <v>0</v>
      </c>
      <c r="V193" s="26">
        <f>IF(V183="","",V192*V187)</f>
        <v>0</v>
      </c>
      <c r="W193" s="26">
        <f t="shared" si="376"/>
        <v>0</v>
      </c>
      <c r="X193" s="26">
        <f t="shared" si="376"/>
        <v>0</v>
      </c>
      <c r="Y193" s="26">
        <f t="shared" si="376"/>
        <v>0</v>
      </c>
      <c r="Z193" s="26">
        <f t="shared" si="376"/>
        <v>0</v>
      </c>
      <c r="AA193" s="26">
        <f t="shared" si="376"/>
        <v>0</v>
      </c>
      <c r="AB193" s="26">
        <f t="shared" si="376"/>
        <v>0</v>
      </c>
      <c r="AC193" s="26">
        <f t="shared" si="376"/>
        <v>0</v>
      </c>
      <c r="AD193" s="26">
        <f t="shared" si="376"/>
        <v>0</v>
      </c>
      <c r="AE193" s="26" t="str">
        <f t="shared" si="376"/>
        <v/>
      </c>
      <c r="AF193" s="26" t="str">
        <f t="shared" si="376"/>
        <v/>
      </c>
      <c r="AG193" s="26" t="str">
        <f t="shared" si="376"/>
        <v/>
      </c>
      <c r="AH193" s="26" t="str">
        <f t="shared" si="376"/>
        <v/>
      </c>
      <c r="AI193" s="26" t="str">
        <f t="shared" si="376"/>
        <v/>
      </c>
      <c r="AJ193" s="26" t="str">
        <f t="shared" si="376"/>
        <v/>
      </c>
      <c r="AK193" s="26" t="str">
        <f t="shared" si="376"/>
        <v/>
      </c>
      <c r="AL193" s="26" t="str">
        <f t="shared" si="376"/>
        <v/>
      </c>
      <c r="AM193" s="26" t="str">
        <f t="shared" si="376"/>
        <v/>
      </c>
      <c r="AN193" s="26" t="str">
        <f t="shared" si="376"/>
        <v/>
      </c>
      <c r="AO193" s="26" t="str">
        <f t="shared" si="376"/>
        <v/>
      </c>
      <c r="AP193" s="26" t="str">
        <f t="shared" ref="AP193:AR193" si="377">IF(AP183="","",AP192*AP187)</f>
        <v/>
      </c>
      <c r="AQ193" s="26" t="str">
        <f t="shared" si="377"/>
        <v/>
      </c>
      <c r="AR193" s="26" t="str">
        <f t="shared" si="377"/>
        <v/>
      </c>
    </row>
    <row r="194" spans="1:44" s="1" customFormat="1" ht="12" thickBot="1">
      <c r="A194" s="4">
        <f>IF(A193="","",A193/(A190*100))</f>
        <v>0</v>
      </c>
      <c r="B194" s="27" t="s">
        <v>20</v>
      </c>
      <c r="C194" s="68" t="s">
        <v>21</v>
      </c>
      <c r="D194" s="44" t="str">
        <f t="shared" ref="D194:AO194" si="378">IF(D193="","",IF(D193=0,"",D193/(D190*100)))</f>
        <v/>
      </c>
      <c r="E194" s="44" t="str">
        <f t="shared" si="378"/>
        <v/>
      </c>
      <c r="F194" s="44" t="str">
        <f t="shared" si="378"/>
        <v/>
      </c>
      <c r="G194" s="384" t="str">
        <f t="shared" si="378"/>
        <v/>
      </c>
      <c r="H194" s="44" t="str">
        <f t="shared" si="378"/>
        <v/>
      </c>
      <c r="I194" s="44" t="str">
        <f t="shared" si="378"/>
        <v/>
      </c>
      <c r="J194" s="384" t="str">
        <f t="shared" si="378"/>
        <v/>
      </c>
      <c r="K194" s="44" t="str">
        <f t="shared" si="378"/>
        <v/>
      </c>
      <c r="L194" s="44" t="str">
        <f t="shared" si="378"/>
        <v/>
      </c>
      <c r="M194" s="44" t="str">
        <f t="shared" si="378"/>
        <v/>
      </c>
      <c r="N194" s="44" t="str">
        <f t="shared" si="378"/>
        <v/>
      </c>
      <c r="O194" s="44" t="str">
        <f t="shared" si="378"/>
        <v/>
      </c>
      <c r="P194" s="384" t="str">
        <f t="shared" si="378"/>
        <v/>
      </c>
      <c r="Q194" s="44" t="str">
        <f t="shared" si="378"/>
        <v/>
      </c>
      <c r="R194" s="44" t="str">
        <f t="shared" si="378"/>
        <v/>
      </c>
      <c r="S194" s="44" t="str">
        <f t="shared" si="378"/>
        <v/>
      </c>
      <c r="T194" s="44" t="str">
        <f t="shared" si="378"/>
        <v/>
      </c>
      <c r="U194" s="44" t="str">
        <f t="shared" si="378"/>
        <v/>
      </c>
      <c r="V194" s="44" t="str">
        <f>IF(V193="","",IF(V193=0,"",V193/(V190*100)))</f>
        <v/>
      </c>
      <c r="W194" s="44" t="str">
        <f t="shared" si="378"/>
        <v/>
      </c>
      <c r="X194" s="44" t="str">
        <f t="shared" si="378"/>
        <v/>
      </c>
      <c r="Y194" s="44" t="str">
        <f t="shared" si="378"/>
        <v/>
      </c>
      <c r="Z194" s="44" t="str">
        <f t="shared" si="378"/>
        <v/>
      </c>
      <c r="AA194" s="44" t="str">
        <f t="shared" si="378"/>
        <v/>
      </c>
      <c r="AB194" s="44" t="str">
        <f t="shared" si="378"/>
        <v/>
      </c>
      <c r="AC194" s="44" t="str">
        <f t="shared" si="378"/>
        <v/>
      </c>
      <c r="AD194" s="44" t="str">
        <f t="shared" si="378"/>
        <v/>
      </c>
      <c r="AE194" s="44" t="str">
        <f t="shared" si="378"/>
        <v/>
      </c>
      <c r="AF194" s="44" t="str">
        <f t="shared" si="378"/>
        <v/>
      </c>
      <c r="AG194" s="44" t="str">
        <f t="shared" si="378"/>
        <v/>
      </c>
      <c r="AH194" s="44" t="str">
        <f t="shared" si="378"/>
        <v/>
      </c>
      <c r="AI194" s="44" t="str">
        <f t="shared" si="378"/>
        <v/>
      </c>
      <c r="AJ194" s="44" t="str">
        <f t="shared" si="378"/>
        <v/>
      </c>
      <c r="AK194" s="44" t="str">
        <f t="shared" si="378"/>
        <v/>
      </c>
      <c r="AL194" s="44" t="str">
        <f t="shared" si="378"/>
        <v/>
      </c>
      <c r="AM194" s="44" t="str">
        <f t="shared" si="378"/>
        <v/>
      </c>
      <c r="AN194" s="44" t="str">
        <f t="shared" si="378"/>
        <v/>
      </c>
      <c r="AO194" s="44" t="str">
        <f t="shared" si="378"/>
        <v/>
      </c>
      <c r="AP194" s="44" t="str">
        <f t="shared" ref="AP194:AR194" si="379">IF(AP193="","",IF(AP193=0,"",AP193/(AP190*100)))</f>
        <v/>
      </c>
      <c r="AQ194" s="44" t="str">
        <f t="shared" si="379"/>
        <v/>
      </c>
      <c r="AR194" s="44" t="str">
        <f t="shared" si="379"/>
        <v/>
      </c>
    </row>
    <row r="195" spans="1:44" s="1" customFormat="1">
      <c r="A195" s="43" t="s">
        <v>180</v>
      </c>
      <c r="B195" s="42" t="s">
        <v>2</v>
      </c>
      <c r="C195" s="64">
        <v>46758</v>
      </c>
      <c r="D195" s="35">
        <f>IF(D$3="","",C195)</f>
        <v>46758</v>
      </c>
      <c r="E195" s="35">
        <f>IF(E$3="","",D195)</f>
        <v>46758</v>
      </c>
      <c r="F195" s="35">
        <v>46779</v>
      </c>
      <c r="G195" s="383">
        <f>IF(G$3="","",F195)</f>
        <v>46779</v>
      </c>
      <c r="H195" s="35">
        <f>IF(H$3="","",G195)</f>
        <v>46779</v>
      </c>
      <c r="I195" s="35">
        <v>46798</v>
      </c>
      <c r="J195" s="383">
        <f>IF(J$3="","",I195)</f>
        <v>46798</v>
      </c>
      <c r="K195" s="35">
        <f>IF(K$3="","",J195)</f>
        <v>46798</v>
      </c>
      <c r="L195" s="35">
        <v>46801</v>
      </c>
      <c r="M195" s="35">
        <f>IF(M$3="","",L195)</f>
        <v>46801</v>
      </c>
      <c r="N195" s="35">
        <f>IF(N$3="","",M195)</f>
        <v>46801</v>
      </c>
      <c r="O195" s="35">
        <v>46853</v>
      </c>
      <c r="P195" s="383">
        <f t="shared" ref="P195:AO195" si="380">IF(P$3="","",O195)</f>
        <v>46853</v>
      </c>
      <c r="Q195" s="35">
        <f t="shared" si="380"/>
        <v>46853</v>
      </c>
      <c r="R195" s="35">
        <f t="shared" si="380"/>
        <v>46853</v>
      </c>
      <c r="S195" s="35">
        <v>46916</v>
      </c>
      <c r="T195" s="35">
        <f t="shared" si="380"/>
        <v>46916</v>
      </c>
      <c r="U195" s="35">
        <f t="shared" si="380"/>
        <v>46916</v>
      </c>
      <c r="V195" s="35">
        <v>46979</v>
      </c>
      <c r="W195" s="35">
        <f t="shared" si="380"/>
        <v>46979</v>
      </c>
      <c r="X195" s="35">
        <f t="shared" si="380"/>
        <v>46979</v>
      </c>
      <c r="Y195" s="35">
        <f t="shared" si="380"/>
        <v>46979</v>
      </c>
      <c r="Z195" s="35">
        <f t="shared" si="380"/>
        <v>46979</v>
      </c>
      <c r="AA195" s="35">
        <v>46999</v>
      </c>
      <c r="AB195" s="35">
        <f t="shared" si="380"/>
        <v>46999</v>
      </c>
      <c r="AC195" s="35">
        <f t="shared" si="380"/>
        <v>46999</v>
      </c>
      <c r="AD195" s="35">
        <v>47025</v>
      </c>
      <c r="AE195" s="35" t="str">
        <f t="shared" si="380"/>
        <v/>
      </c>
      <c r="AF195" s="35" t="str">
        <f t="shared" si="380"/>
        <v/>
      </c>
      <c r="AG195" s="35" t="str">
        <f t="shared" si="380"/>
        <v/>
      </c>
      <c r="AH195" s="35" t="str">
        <f t="shared" si="380"/>
        <v/>
      </c>
      <c r="AI195" s="35" t="str">
        <f t="shared" si="380"/>
        <v/>
      </c>
      <c r="AJ195" s="35" t="str">
        <f t="shared" si="380"/>
        <v/>
      </c>
      <c r="AK195" s="35" t="str">
        <f t="shared" si="380"/>
        <v/>
      </c>
      <c r="AL195" s="35" t="str">
        <f t="shared" si="380"/>
        <v/>
      </c>
      <c r="AM195" s="35" t="str">
        <f t="shared" si="380"/>
        <v/>
      </c>
      <c r="AN195" s="35" t="str">
        <f t="shared" si="380"/>
        <v/>
      </c>
      <c r="AO195" s="35" t="str">
        <f t="shared" si="380"/>
        <v/>
      </c>
      <c r="AP195" s="35" t="str">
        <f t="shared" ref="AP195:AR195" si="381">IF(AP$3="","",AO195)</f>
        <v/>
      </c>
      <c r="AQ195" s="35" t="str">
        <f t="shared" si="381"/>
        <v/>
      </c>
      <c r="AR195" s="35" t="str">
        <f t="shared" si="381"/>
        <v/>
      </c>
    </row>
    <row r="196" spans="1:44" s="1" customFormat="1">
      <c r="A196" s="37" t="s">
        <v>204</v>
      </c>
      <c r="B196" s="30" t="s">
        <v>4</v>
      </c>
      <c r="C196" s="65">
        <v>4387</v>
      </c>
      <c r="D196" s="29">
        <f>IF(D$3="","",C196)</f>
        <v>4387</v>
      </c>
      <c r="E196" s="29">
        <f>IF(E$3="","",D196)</f>
        <v>4387</v>
      </c>
      <c r="F196" s="29">
        <v>4369</v>
      </c>
      <c r="G196" s="122">
        <f>IF(G$3="","",F196)</f>
        <v>4369</v>
      </c>
      <c r="H196" s="29">
        <f>IF(H$3="","",G196)</f>
        <v>4369</v>
      </c>
      <c r="I196" s="29">
        <v>4389</v>
      </c>
      <c r="J196" s="122">
        <f>IF(J$3="","",I196)</f>
        <v>4389</v>
      </c>
      <c r="K196" s="29">
        <f>IF(K$3="","",J196)</f>
        <v>4389</v>
      </c>
      <c r="L196" s="29">
        <f>IF(L$3="","",K196)</f>
        <v>4389</v>
      </c>
      <c r="M196" s="29">
        <f>IF(M$3="","",L196)</f>
        <v>4389</v>
      </c>
      <c r="N196" s="29">
        <f>IF(N$3="","",M196)</f>
        <v>4389</v>
      </c>
      <c r="O196" s="29">
        <v>4395</v>
      </c>
      <c r="P196" s="122">
        <f t="shared" ref="P196:AO196" si="382">IF(P$3="","",O196)</f>
        <v>4395</v>
      </c>
      <c r="Q196" s="29">
        <f t="shared" si="382"/>
        <v>4395</v>
      </c>
      <c r="R196" s="29">
        <f t="shared" si="382"/>
        <v>4395</v>
      </c>
      <c r="S196" s="29">
        <v>4396</v>
      </c>
      <c r="T196" s="29">
        <f t="shared" si="382"/>
        <v>4396</v>
      </c>
      <c r="U196" s="29">
        <f t="shared" si="382"/>
        <v>4396</v>
      </c>
      <c r="V196" s="29">
        <v>4399</v>
      </c>
      <c r="W196" s="29">
        <f t="shared" si="382"/>
        <v>4399</v>
      </c>
      <c r="X196" s="29">
        <f t="shared" si="382"/>
        <v>4399</v>
      </c>
      <c r="Y196" s="29">
        <f t="shared" si="382"/>
        <v>4399</v>
      </c>
      <c r="Z196" s="29">
        <f t="shared" si="382"/>
        <v>4399</v>
      </c>
      <c r="AA196" s="29">
        <v>4401</v>
      </c>
      <c r="AB196" s="29">
        <f t="shared" si="382"/>
        <v>4401</v>
      </c>
      <c r="AC196" s="29">
        <f t="shared" si="382"/>
        <v>4401</v>
      </c>
      <c r="AD196" s="29">
        <v>4404</v>
      </c>
      <c r="AE196" s="29" t="str">
        <f t="shared" si="382"/>
        <v/>
      </c>
      <c r="AF196" s="29" t="str">
        <f t="shared" si="382"/>
        <v/>
      </c>
      <c r="AG196" s="29" t="str">
        <f t="shared" si="382"/>
        <v/>
      </c>
      <c r="AH196" s="29" t="str">
        <f t="shared" si="382"/>
        <v/>
      </c>
      <c r="AI196" s="29" t="str">
        <f t="shared" si="382"/>
        <v/>
      </c>
      <c r="AJ196" s="29" t="str">
        <f t="shared" si="382"/>
        <v/>
      </c>
      <c r="AK196" s="29" t="str">
        <f t="shared" si="382"/>
        <v/>
      </c>
      <c r="AL196" s="29" t="str">
        <f t="shared" si="382"/>
        <v/>
      </c>
      <c r="AM196" s="29" t="str">
        <f t="shared" si="382"/>
        <v/>
      </c>
      <c r="AN196" s="29" t="str">
        <f t="shared" si="382"/>
        <v/>
      </c>
      <c r="AO196" s="29" t="str">
        <f t="shared" si="382"/>
        <v/>
      </c>
      <c r="AP196" s="29" t="str">
        <f t="shared" ref="AP196:AR196" si="383">IF(AP$3="","",AO196)</f>
        <v/>
      </c>
      <c r="AQ196" s="29" t="str">
        <f t="shared" si="383"/>
        <v/>
      </c>
      <c r="AR196" s="29" t="str">
        <f t="shared" si="383"/>
        <v/>
      </c>
    </row>
    <row r="197" spans="1:44" s="1" customFormat="1">
      <c r="A197" s="41">
        <v>2</v>
      </c>
      <c r="B197" s="30" t="s">
        <v>5</v>
      </c>
      <c r="C197" s="65">
        <v>49</v>
      </c>
      <c r="D197" s="29">
        <f t="shared" ref="D197:AO197" si="384">IF(D195="","",(C197+C198))</f>
        <v>49</v>
      </c>
      <c r="E197" s="29">
        <f t="shared" si="384"/>
        <v>49</v>
      </c>
      <c r="F197" s="29">
        <f t="shared" si="384"/>
        <v>49</v>
      </c>
      <c r="G197" s="122">
        <f t="shared" si="384"/>
        <v>49</v>
      </c>
      <c r="H197" s="29">
        <f t="shared" si="384"/>
        <v>49</v>
      </c>
      <c r="I197" s="29">
        <f t="shared" si="384"/>
        <v>49</v>
      </c>
      <c r="J197" s="122">
        <f t="shared" si="384"/>
        <v>49</v>
      </c>
      <c r="K197" s="29">
        <f t="shared" si="384"/>
        <v>49</v>
      </c>
      <c r="L197" s="29">
        <f t="shared" si="384"/>
        <v>49</v>
      </c>
      <c r="M197" s="29">
        <f t="shared" si="384"/>
        <v>49</v>
      </c>
      <c r="N197" s="29">
        <f t="shared" si="384"/>
        <v>49</v>
      </c>
      <c r="O197" s="29">
        <f t="shared" si="384"/>
        <v>49</v>
      </c>
      <c r="P197" s="122">
        <f t="shared" si="384"/>
        <v>49</v>
      </c>
      <c r="Q197" s="29">
        <f t="shared" si="384"/>
        <v>49</v>
      </c>
      <c r="R197" s="29">
        <f t="shared" si="384"/>
        <v>49</v>
      </c>
      <c r="S197" s="29">
        <f t="shared" si="384"/>
        <v>49</v>
      </c>
      <c r="T197" s="29">
        <f t="shared" si="384"/>
        <v>49</v>
      </c>
      <c r="U197" s="29">
        <f t="shared" si="384"/>
        <v>49</v>
      </c>
      <c r="V197" s="29">
        <f>IF(V195="","",(U197+U198))</f>
        <v>49</v>
      </c>
      <c r="W197" s="29">
        <f t="shared" si="384"/>
        <v>49</v>
      </c>
      <c r="X197" s="29">
        <f t="shared" si="384"/>
        <v>49</v>
      </c>
      <c r="Y197" s="29">
        <f t="shared" si="384"/>
        <v>49</v>
      </c>
      <c r="Z197" s="29">
        <f t="shared" si="384"/>
        <v>49</v>
      </c>
      <c r="AA197" s="29">
        <f t="shared" si="384"/>
        <v>49</v>
      </c>
      <c r="AB197" s="29">
        <f t="shared" si="384"/>
        <v>49</v>
      </c>
      <c r="AC197" s="29">
        <f t="shared" si="384"/>
        <v>49</v>
      </c>
      <c r="AD197" s="29">
        <f t="shared" si="384"/>
        <v>49</v>
      </c>
      <c r="AE197" s="29" t="str">
        <f t="shared" si="384"/>
        <v/>
      </c>
      <c r="AF197" s="29" t="str">
        <f t="shared" si="384"/>
        <v/>
      </c>
      <c r="AG197" s="29" t="str">
        <f t="shared" si="384"/>
        <v/>
      </c>
      <c r="AH197" s="29" t="str">
        <f t="shared" si="384"/>
        <v/>
      </c>
      <c r="AI197" s="29" t="str">
        <f t="shared" si="384"/>
        <v/>
      </c>
      <c r="AJ197" s="29" t="str">
        <f t="shared" si="384"/>
        <v/>
      </c>
      <c r="AK197" s="29" t="str">
        <f t="shared" si="384"/>
        <v/>
      </c>
      <c r="AL197" s="29" t="str">
        <f t="shared" si="384"/>
        <v/>
      </c>
      <c r="AM197" s="29" t="str">
        <f t="shared" si="384"/>
        <v/>
      </c>
      <c r="AN197" s="29" t="str">
        <f t="shared" si="384"/>
        <v/>
      </c>
      <c r="AO197" s="29" t="str">
        <f t="shared" si="384"/>
        <v/>
      </c>
      <c r="AP197" s="29" t="str">
        <f t="shared" ref="AP197" si="385">IF(AP195="","",(AO197+AO198))</f>
        <v/>
      </c>
      <c r="AQ197" s="29" t="str">
        <f t="shared" ref="AQ197:AR197" si="386">IF(AQ195="","",(AP197+AP198))</f>
        <v/>
      </c>
      <c r="AR197" s="29" t="str">
        <f t="shared" si="386"/>
        <v/>
      </c>
    </row>
    <row r="198" spans="1:44" s="1" customFormat="1">
      <c r="A198" s="14"/>
      <c r="B198" s="30" t="s">
        <v>7</v>
      </c>
      <c r="C198" s="65"/>
      <c r="D198" s="29"/>
      <c r="E198" s="29"/>
      <c r="F198" s="29"/>
      <c r="G198" s="122"/>
      <c r="H198" s="29"/>
      <c r="I198" s="29"/>
      <c r="J198" s="122"/>
      <c r="K198" s="29"/>
      <c r="L198" s="29"/>
      <c r="M198" s="29"/>
      <c r="N198" s="29"/>
      <c r="O198" s="29"/>
      <c r="P198" s="122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</row>
    <row r="199" spans="1:44" s="1" customFormat="1">
      <c r="A199" s="7"/>
      <c r="B199" s="30" t="s">
        <v>8</v>
      </c>
      <c r="C199" s="64">
        <v>175</v>
      </c>
      <c r="D199" s="35">
        <f t="shared" ref="D199:AO199" si="387">IF(D195="","",C199)</f>
        <v>175</v>
      </c>
      <c r="E199" s="35">
        <f t="shared" si="387"/>
        <v>175</v>
      </c>
      <c r="F199" s="35">
        <f t="shared" si="387"/>
        <v>175</v>
      </c>
      <c r="G199" s="383">
        <f t="shared" si="387"/>
        <v>175</v>
      </c>
      <c r="H199" s="35">
        <f t="shared" si="387"/>
        <v>175</v>
      </c>
      <c r="I199" s="35">
        <f t="shared" si="387"/>
        <v>175</v>
      </c>
      <c r="J199" s="383">
        <f t="shared" si="387"/>
        <v>175</v>
      </c>
      <c r="K199" s="35">
        <f t="shared" si="387"/>
        <v>175</v>
      </c>
      <c r="L199" s="35">
        <f t="shared" si="387"/>
        <v>175</v>
      </c>
      <c r="M199" s="35">
        <f t="shared" si="387"/>
        <v>175</v>
      </c>
      <c r="N199" s="35">
        <f t="shared" si="387"/>
        <v>175</v>
      </c>
      <c r="O199" s="35">
        <f t="shared" si="387"/>
        <v>175</v>
      </c>
      <c r="P199" s="383">
        <f t="shared" si="387"/>
        <v>175</v>
      </c>
      <c r="Q199" s="35">
        <f t="shared" si="387"/>
        <v>175</v>
      </c>
      <c r="R199" s="35">
        <f t="shared" si="387"/>
        <v>175</v>
      </c>
      <c r="S199" s="35">
        <f t="shared" si="387"/>
        <v>175</v>
      </c>
      <c r="T199" s="35">
        <f t="shared" si="387"/>
        <v>175</v>
      </c>
      <c r="U199" s="35">
        <f t="shared" si="387"/>
        <v>175</v>
      </c>
      <c r="V199" s="35">
        <f>IF(V195="","",U199)</f>
        <v>175</v>
      </c>
      <c r="W199" s="35">
        <f t="shared" si="387"/>
        <v>175</v>
      </c>
      <c r="X199" s="35">
        <f t="shared" si="387"/>
        <v>175</v>
      </c>
      <c r="Y199" s="35">
        <f t="shared" si="387"/>
        <v>175</v>
      </c>
      <c r="Z199" s="35">
        <f t="shared" si="387"/>
        <v>175</v>
      </c>
      <c r="AA199" s="35">
        <f t="shared" si="387"/>
        <v>175</v>
      </c>
      <c r="AB199" s="35">
        <f t="shared" si="387"/>
        <v>175</v>
      </c>
      <c r="AC199" s="35">
        <f t="shared" si="387"/>
        <v>175</v>
      </c>
      <c r="AD199" s="35">
        <f t="shared" si="387"/>
        <v>175</v>
      </c>
      <c r="AE199" s="35" t="str">
        <f t="shared" si="387"/>
        <v/>
      </c>
      <c r="AF199" s="35" t="str">
        <f t="shared" si="387"/>
        <v/>
      </c>
      <c r="AG199" s="35" t="str">
        <f t="shared" si="387"/>
        <v/>
      </c>
      <c r="AH199" s="35" t="str">
        <f t="shared" si="387"/>
        <v/>
      </c>
      <c r="AI199" s="35" t="str">
        <f t="shared" si="387"/>
        <v/>
      </c>
      <c r="AJ199" s="35" t="str">
        <f t="shared" si="387"/>
        <v/>
      </c>
      <c r="AK199" s="35" t="str">
        <f t="shared" si="387"/>
        <v/>
      </c>
      <c r="AL199" s="35" t="str">
        <f t="shared" si="387"/>
        <v/>
      </c>
      <c r="AM199" s="35" t="str">
        <f t="shared" si="387"/>
        <v/>
      </c>
      <c r="AN199" s="35" t="str">
        <f t="shared" si="387"/>
        <v/>
      </c>
      <c r="AO199" s="35" t="str">
        <f t="shared" si="387"/>
        <v/>
      </c>
      <c r="AP199" s="35" t="str">
        <f t="shared" ref="AP199" si="388">IF(AP195="","",AO199)</f>
        <v/>
      </c>
      <c r="AQ199" s="35" t="str">
        <f t="shared" ref="AQ199:AR199" si="389">IF(AQ195="","",AP199)</f>
        <v/>
      </c>
      <c r="AR199" s="35" t="str">
        <f t="shared" si="389"/>
        <v/>
      </c>
    </row>
    <row r="200" spans="1:44" s="11" customFormat="1">
      <c r="A200" s="14" t="s">
        <v>9</v>
      </c>
      <c r="B200" s="33" t="s">
        <v>10</v>
      </c>
      <c r="C200" s="63" t="s">
        <v>205</v>
      </c>
      <c r="D200" s="32" t="str">
        <f t="shared" ref="D200:AO200" si="390">IF(D195="","",C200)</f>
        <v>AIモンスターMC</v>
      </c>
      <c r="E200" s="32" t="str">
        <f t="shared" si="390"/>
        <v>AIモンスターMC</v>
      </c>
      <c r="F200" s="32" t="str">
        <f t="shared" si="390"/>
        <v>AIモンスターMC</v>
      </c>
      <c r="G200" s="123" t="str">
        <f t="shared" si="390"/>
        <v>AIモンスターMC</v>
      </c>
      <c r="H200" s="32" t="str">
        <f t="shared" si="390"/>
        <v>AIモンスターMC</v>
      </c>
      <c r="I200" s="32" t="str">
        <f t="shared" si="390"/>
        <v>AIモンスターMC</v>
      </c>
      <c r="J200" s="123" t="str">
        <f t="shared" si="390"/>
        <v>AIモンスターMC</v>
      </c>
      <c r="K200" s="32" t="str">
        <f t="shared" si="390"/>
        <v>AIモンスターMC</v>
      </c>
      <c r="L200" s="32" t="str">
        <f t="shared" si="390"/>
        <v>AIモンスターMC</v>
      </c>
      <c r="M200" s="32" t="str">
        <f t="shared" si="390"/>
        <v>AIモンスターMC</v>
      </c>
      <c r="N200" s="32" t="str">
        <f t="shared" si="390"/>
        <v>AIモンスターMC</v>
      </c>
      <c r="O200" s="32" t="str">
        <f t="shared" si="390"/>
        <v>AIモンスターMC</v>
      </c>
      <c r="P200" s="123" t="str">
        <f t="shared" si="390"/>
        <v>AIモンスターMC</v>
      </c>
      <c r="Q200" s="32" t="str">
        <f t="shared" si="390"/>
        <v>AIモンスターMC</v>
      </c>
      <c r="R200" s="32" t="str">
        <f t="shared" si="390"/>
        <v>AIモンスターMC</v>
      </c>
      <c r="S200" s="32" t="str">
        <f t="shared" si="390"/>
        <v>AIモンスターMC</v>
      </c>
      <c r="T200" s="32" t="str">
        <f t="shared" si="390"/>
        <v>AIモンスターMC</v>
      </c>
      <c r="U200" s="32" t="str">
        <f t="shared" si="390"/>
        <v>AIモンスターMC</v>
      </c>
      <c r="V200" s="32" t="str">
        <f>IF(V195="","",U200)</f>
        <v>AIモンスターMC</v>
      </c>
      <c r="W200" s="32" t="str">
        <f t="shared" si="390"/>
        <v>AIモンスターMC</v>
      </c>
      <c r="X200" s="32" t="str">
        <f t="shared" si="390"/>
        <v>AIモンスターMC</v>
      </c>
      <c r="Y200" s="32" t="str">
        <f t="shared" si="390"/>
        <v>AIモンスターMC</v>
      </c>
      <c r="Z200" s="32" t="str">
        <f t="shared" si="390"/>
        <v>AIモンスターMC</v>
      </c>
      <c r="AA200" s="32" t="str">
        <f t="shared" si="390"/>
        <v>AIモンスターMC</v>
      </c>
      <c r="AB200" s="32" t="str">
        <f t="shared" si="390"/>
        <v>AIモンスターMC</v>
      </c>
      <c r="AC200" s="32" t="str">
        <f t="shared" si="390"/>
        <v>AIモンスターMC</v>
      </c>
      <c r="AD200" s="32" t="str">
        <f t="shared" si="390"/>
        <v>AIモンスターMC</v>
      </c>
      <c r="AE200" s="32" t="str">
        <f t="shared" si="390"/>
        <v/>
      </c>
      <c r="AF200" s="32" t="str">
        <f t="shared" si="390"/>
        <v/>
      </c>
      <c r="AG200" s="32" t="str">
        <f t="shared" si="390"/>
        <v/>
      </c>
      <c r="AH200" s="32" t="str">
        <f t="shared" si="390"/>
        <v/>
      </c>
      <c r="AI200" s="32" t="str">
        <f t="shared" si="390"/>
        <v/>
      </c>
      <c r="AJ200" s="32" t="str">
        <f t="shared" si="390"/>
        <v/>
      </c>
      <c r="AK200" s="32" t="str">
        <f t="shared" si="390"/>
        <v/>
      </c>
      <c r="AL200" s="32" t="str">
        <f t="shared" si="390"/>
        <v/>
      </c>
      <c r="AM200" s="32" t="str">
        <f t="shared" si="390"/>
        <v/>
      </c>
      <c r="AN200" s="32" t="str">
        <f t="shared" si="390"/>
        <v/>
      </c>
      <c r="AO200" s="32" t="str">
        <f t="shared" si="390"/>
        <v/>
      </c>
      <c r="AP200" s="32" t="str">
        <f t="shared" ref="AP200" si="391">IF(AP195="","",AO200)</f>
        <v/>
      </c>
      <c r="AQ200" s="32" t="str">
        <f t="shared" ref="AQ200:AR200" si="392">IF(AQ195="","",AP200)</f>
        <v/>
      </c>
      <c r="AR200" s="32" t="str">
        <f t="shared" si="392"/>
        <v/>
      </c>
    </row>
    <row r="201" spans="1:44" s="1" customFormat="1">
      <c r="A201" s="7">
        <f>AVERAGE(C202:AS202)*30*100</f>
        <v>28607.142857142862</v>
      </c>
      <c r="B201" s="30" t="s">
        <v>14</v>
      </c>
      <c r="C201" s="65"/>
      <c r="D201" s="29"/>
      <c r="E201" s="29"/>
      <c r="F201" s="29"/>
      <c r="G201" s="122"/>
      <c r="H201" s="29"/>
      <c r="I201" s="29"/>
      <c r="J201" s="122"/>
      <c r="K201" s="29"/>
      <c r="L201" s="29"/>
      <c r="M201" s="29"/>
      <c r="N201" s="29"/>
      <c r="O201" s="29"/>
      <c r="P201" s="122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</row>
    <row r="202" spans="1:44" s="1" customFormat="1">
      <c r="A202" s="7">
        <f>SUM(C202:AS202)</f>
        <v>267</v>
      </c>
      <c r="B202" s="27" t="s">
        <v>15</v>
      </c>
      <c r="C202" s="65">
        <v>0</v>
      </c>
      <c r="D202" s="26">
        <f t="shared" ref="D202:AO202" si="393">IF(D195="","",D195-C195)</f>
        <v>0</v>
      </c>
      <c r="E202" s="26">
        <f t="shared" si="393"/>
        <v>0</v>
      </c>
      <c r="F202" s="26">
        <f t="shared" si="393"/>
        <v>21</v>
      </c>
      <c r="G202" s="122">
        <f t="shared" si="393"/>
        <v>0</v>
      </c>
      <c r="H202" s="26">
        <f t="shared" si="393"/>
        <v>0</v>
      </c>
      <c r="I202" s="26">
        <f t="shared" si="393"/>
        <v>19</v>
      </c>
      <c r="J202" s="122">
        <f t="shared" si="393"/>
        <v>0</v>
      </c>
      <c r="K202" s="26">
        <f t="shared" si="393"/>
        <v>0</v>
      </c>
      <c r="L202" s="26">
        <f t="shared" si="393"/>
        <v>3</v>
      </c>
      <c r="M202" s="26">
        <f t="shared" si="393"/>
        <v>0</v>
      </c>
      <c r="N202" s="26">
        <f t="shared" si="393"/>
        <v>0</v>
      </c>
      <c r="O202" s="26">
        <f t="shared" si="393"/>
        <v>52</v>
      </c>
      <c r="P202" s="122">
        <f t="shared" si="393"/>
        <v>0</v>
      </c>
      <c r="Q202" s="26">
        <f t="shared" si="393"/>
        <v>0</v>
      </c>
      <c r="R202" s="26">
        <f t="shared" si="393"/>
        <v>0</v>
      </c>
      <c r="S202" s="26">
        <f t="shared" si="393"/>
        <v>63</v>
      </c>
      <c r="T202" s="26">
        <f t="shared" si="393"/>
        <v>0</v>
      </c>
      <c r="U202" s="26">
        <f t="shared" si="393"/>
        <v>0</v>
      </c>
      <c r="V202" s="26">
        <f>IF(V195="","",V195-U195)</f>
        <v>63</v>
      </c>
      <c r="W202" s="26">
        <f t="shared" si="393"/>
        <v>0</v>
      </c>
      <c r="X202" s="26">
        <f t="shared" si="393"/>
        <v>0</v>
      </c>
      <c r="Y202" s="26">
        <f t="shared" si="393"/>
        <v>0</v>
      </c>
      <c r="Z202" s="26">
        <f t="shared" si="393"/>
        <v>0</v>
      </c>
      <c r="AA202" s="26">
        <f t="shared" si="393"/>
        <v>20</v>
      </c>
      <c r="AB202" s="26">
        <f t="shared" si="393"/>
        <v>0</v>
      </c>
      <c r="AC202" s="26">
        <f t="shared" si="393"/>
        <v>0</v>
      </c>
      <c r="AD202" s="26">
        <f t="shared" si="393"/>
        <v>26</v>
      </c>
      <c r="AE202" s="26" t="str">
        <f t="shared" si="393"/>
        <v/>
      </c>
      <c r="AF202" s="26" t="str">
        <f t="shared" si="393"/>
        <v/>
      </c>
      <c r="AG202" s="26" t="str">
        <f t="shared" si="393"/>
        <v/>
      </c>
      <c r="AH202" s="26" t="str">
        <f t="shared" si="393"/>
        <v/>
      </c>
      <c r="AI202" s="26" t="str">
        <f t="shared" si="393"/>
        <v/>
      </c>
      <c r="AJ202" s="26" t="str">
        <f t="shared" si="393"/>
        <v/>
      </c>
      <c r="AK202" s="26" t="str">
        <f t="shared" si="393"/>
        <v/>
      </c>
      <c r="AL202" s="26" t="str">
        <f t="shared" si="393"/>
        <v/>
      </c>
      <c r="AM202" s="26" t="str">
        <f t="shared" si="393"/>
        <v/>
      </c>
      <c r="AN202" s="26" t="str">
        <f t="shared" si="393"/>
        <v/>
      </c>
      <c r="AO202" s="26" t="str">
        <f t="shared" si="393"/>
        <v/>
      </c>
      <c r="AP202" s="26" t="str">
        <f t="shared" ref="AP202:AP203" si="394">IF(AP195="","",AP195-AO195)</f>
        <v/>
      </c>
      <c r="AQ202" s="26" t="str">
        <f t="shared" ref="AQ202:AR203" si="395">IF(AQ195="","",AQ195-AP195)</f>
        <v/>
      </c>
      <c r="AR202" s="26" t="str">
        <f t="shared" si="395"/>
        <v/>
      </c>
    </row>
    <row r="203" spans="1:44" s="1" customFormat="1">
      <c r="A203" s="7">
        <f>SUM(C203:AS203)</f>
        <v>17</v>
      </c>
      <c r="B203" s="27" t="s">
        <v>16</v>
      </c>
      <c r="C203" s="65">
        <v>0</v>
      </c>
      <c r="D203" s="26">
        <f t="shared" ref="D203:AO203" si="396">IF(D196="","",D196-C196)</f>
        <v>0</v>
      </c>
      <c r="E203" s="26">
        <f t="shared" si="396"/>
        <v>0</v>
      </c>
      <c r="F203" s="26">
        <f t="shared" si="396"/>
        <v>-18</v>
      </c>
      <c r="G203" s="122">
        <f t="shared" si="396"/>
        <v>0</v>
      </c>
      <c r="H203" s="26">
        <f t="shared" si="396"/>
        <v>0</v>
      </c>
      <c r="I203" s="26">
        <f t="shared" si="396"/>
        <v>20</v>
      </c>
      <c r="J203" s="122">
        <f t="shared" si="396"/>
        <v>0</v>
      </c>
      <c r="K203" s="26">
        <f t="shared" si="396"/>
        <v>0</v>
      </c>
      <c r="L203" s="26">
        <f t="shared" si="396"/>
        <v>0</v>
      </c>
      <c r="M203" s="26">
        <f t="shared" si="396"/>
        <v>0</v>
      </c>
      <c r="N203" s="26">
        <f t="shared" si="396"/>
        <v>0</v>
      </c>
      <c r="O203" s="26">
        <f t="shared" si="396"/>
        <v>6</v>
      </c>
      <c r="P203" s="122">
        <f t="shared" si="396"/>
        <v>0</v>
      </c>
      <c r="Q203" s="26">
        <f t="shared" si="396"/>
        <v>0</v>
      </c>
      <c r="R203" s="26">
        <f t="shared" si="396"/>
        <v>0</v>
      </c>
      <c r="S203" s="26">
        <f t="shared" si="396"/>
        <v>1</v>
      </c>
      <c r="T203" s="26">
        <f t="shared" si="396"/>
        <v>0</v>
      </c>
      <c r="U203" s="26">
        <f t="shared" si="396"/>
        <v>0</v>
      </c>
      <c r="V203" s="26">
        <f>IF(V196="","",V196-U196)</f>
        <v>3</v>
      </c>
      <c r="W203" s="26">
        <f t="shared" si="396"/>
        <v>0</v>
      </c>
      <c r="X203" s="26">
        <f t="shared" si="396"/>
        <v>0</v>
      </c>
      <c r="Y203" s="26">
        <f t="shared" si="396"/>
        <v>0</v>
      </c>
      <c r="Z203" s="26">
        <f t="shared" si="396"/>
        <v>0</v>
      </c>
      <c r="AA203" s="26">
        <f t="shared" si="396"/>
        <v>2</v>
      </c>
      <c r="AB203" s="26">
        <f t="shared" si="396"/>
        <v>0</v>
      </c>
      <c r="AC203" s="26">
        <f t="shared" si="396"/>
        <v>0</v>
      </c>
      <c r="AD203" s="26">
        <f t="shared" si="396"/>
        <v>3</v>
      </c>
      <c r="AE203" s="26" t="str">
        <f t="shared" si="396"/>
        <v/>
      </c>
      <c r="AF203" s="26" t="str">
        <f t="shared" si="396"/>
        <v/>
      </c>
      <c r="AG203" s="26" t="str">
        <f t="shared" si="396"/>
        <v/>
      </c>
      <c r="AH203" s="26" t="str">
        <f t="shared" si="396"/>
        <v/>
      </c>
      <c r="AI203" s="26" t="str">
        <f t="shared" si="396"/>
        <v/>
      </c>
      <c r="AJ203" s="26" t="str">
        <f t="shared" si="396"/>
        <v/>
      </c>
      <c r="AK203" s="26" t="str">
        <f t="shared" si="396"/>
        <v/>
      </c>
      <c r="AL203" s="26" t="str">
        <f t="shared" si="396"/>
        <v/>
      </c>
      <c r="AM203" s="26" t="str">
        <f t="shared" si="396"/>
        <v/>
      </c>
      <c r="AN203" s="26" t="str">
        <f t="shared" si="396"/>
        <v/>
      </c>
      <c r="AO203" s="26" t="str">
        <f t="shared" si="396"/>
        <v/>
      </c>
      <c r="AP203" s="26" t="str">
        <f t="shared" si="394"/>
        <v/>
      </c>
      <c r="AQ203" s="26" t="str">
        <f t="shared" si="395"/>
        <v/>
      </c>
      <c r="AR203" s="26" t="str">
        <f t="shared" si="395"/>
        <v/>
      </c>
    </row>
    <row r="204" spans="1:44" s="1" customFormat="1">
      <c r="A204" s="7">
        <f>SUM(C204:AS204)</f>
        <v>0</v>
      </c>
      <c r="B204" s="27" t="s">
        <v>17</v>
      </c>
      <c r="C204" s="65">
        <v>0</v>
      </c>
      <c r="D204" s="26">
        <f t="shared" ref="D204:AO204" si="397">IF(D197="","",C197+C198-D197)</f>
        <v>0</v>
      </c>
      <c r="E204" s="26">
        <f t="shared" si="397"/>
        <v>0</v>
      </c>
      <c r="F204" s="26">
        <f t="shared" si="397"/>
        <v>0</v>
      </c>
      <c r="G204" s="122">
        <f t="shared" si="397"/>
        <v>0</v>
      </c>
      <c r="H204" s="26">
        <f t="shared" si="397"/>
        <v>0</v>
      </c>
      <c r="I204" s="26">
        <f t="shared" si="397"/>
        <v>0</v>
      </c>
      <c r="J204" s="122">
        <f t="shared" si="397"/>
        <v>0</v>
      </c>
      <c r="K204" s="26">
        <f t="shared" si="397"/>
        <v>0</v>
      </c>
      <c r="L204" s="26">
        <f t="shared" si="397"/>
        <v>0</v>
      </c>
      <c r="M204" s="26">
        <f t="shared" si="397"/>
        <v>0</v>
      </c>
      <c r="N204" s="26">
        <f t="shared" si="397"/>
        <v>0</v>
      </c>
      <c r="O204" s="26">
        <f t="shared" si="397"/>
        <v>0</v>
      </c>
      <c r="P204" s="122">
        <f t="shared" si="397"/>
        <v>0</v>
      </c>
      <c r="Q204" s="26">
        <f t="shared" si="397"/>
        <v>0</v>
      </c>
      <c r="R204" s="26">
        <f t="shared" si="397"/>
        <v>0</v>
      </c>
      <c r="S204" s="26">
        <f t="shared" si="397"/>
        <v>0</v>
      </c>
      <c r="T204" s="26">
        <f t="shared" si="397"/>
        <v>0</v>
      </c>
      <c r="U204" s="26">
        <f t="shared" si="397"/>
        <v>0</v>
      </c>
      <c r="V204" s="26">
        <f>IF(V197="","",U197+U198-V197)</f>
        <v>0</v>
      </c>
      <c r="W204" s="26">
        <f t="shared" si="397"/>
        <v>0</v>
      </c>
      <c r="X204" s="26">
        <f t="shared" si="397"/>
        <v>0</v>
      </c>
      <c r="Y204" s="26">
        <f t="shared" si="397"/>
        <v>0</v>
      </c>
      <c r="Z204" s="26">
        <f t="shared" si="397"/>
        <v>0</v>
      </c>
      <c r="AA204" s="26">
        <f t="shared" si="397"/>
        <v>0</v>
      </c>
      <c r="AB204" s="26">
        <f t="shared" si="397"/>
        <v>0</v>
      </c>
      <c r="AC204" s="26">
        <f t="shared" si="397"/>
        <v>0</v>
      </c>
      <c r="AD204" s="26">
        <f t="shared" si="397"/>
        <v>0</v>
      </c>
      <c r="AE204" s="26" t="str">
        <f t="shared" si="397"/>
        <v/>
      </c>
      <c r="AF204" s="26" t="str">
        <f t="shared" si="397"/>
        <v/>
      </c>
      <c r="AG204" s="26" t="str">
        <f t="shared" si="397"/>
        <v/>
      </c>
      <c r="AH204" s="26" t="str">
        <f t="shared" si="397"/>
        <v/>
      </c>
      <c r="AI204" s="26" t="str">
        <f t="shared" si="397"/>
        <v/>
      </c>
      <c r="AJ204" s="26" t="str">
        <f t="shared" si="397"/>
        <v/>
      </c>
      <c r="AK204" s="26" t="str">
        <f t="shared" si="397"/>
        <v/>
      </c>
      <c r="AL204" s="26" t="str">
        <f t="shared" si="397"/>
        <v/>
      </c>
      <c r="AM204" s="26" t="str">
        <f t="shared" si="397"/>
        <v/>
      </c>
      <c r="AN204" s="26" t="str">
        <f t="shared" si="397"/>
        <v/>
      </c>
      <c r="AO204" s="26" t="str">
        <f t="shared" si="397"/>
        <v/>
      </c>
      <c r="AP204" s="26" t="str">
        <f t="shared" ref="AP204" si="398">IF(AP197="","",AO197+AO198-AP197)</f>
        <v/>
      </c>
      <c r="AQ204" s="26" t="str">
        <f t="shared" ref="AQ204:AR204" si="399">IF(AQ197="","",AP197+AP198-AQ197)</f>
        <v/>
      </c>
      <c r="AR204" s="26" t="str">
        <f t="shared" si="399"/>
        <v/>
      </c>
    </row>
    <row r="205" spans="1:44" s="1" customFormat="1">
      <c r="A205" s="7">
        <f>SUM(C205:AS205)</f>
        <v>0</v>
      </c>
      <c r="B205" s="27" t="s">
        <v>18</v>
      </c>
      <c r="C205" s="65">
        <v>0</v>
      </c>
      <c r="D205" s="26">
        <f t="shared" ref="D205:AO205" si="400">IF(D195="","",D204*D199)</f>
        <v>0</v>
      </c>
      <c r="E205" s="26">
        <f t="shared" si="400"/>
        <v>0</v>
      </c>
      <c r="F205" s="26">
        <f t="shared" si="400"/>
        <v>0</v>
      </c>
      <c r="G205" s="122">
        <f t="shared" si="400"/>
        <v>0</v>
      </c>
      <c r="H205" s="26">
        <f t="shared" si="400"/>
        <v>0</v>
      </c>
      <c r="I205" s="26">
        <f t="shared" si="400"/>
        <v>0</v>
      </c>
      <c r="J205" s="122">
        <f t="shared" si="400"/>
        <v>0</v>
      </c>
      <c r="K205" s="26">
        <f t="shared" si="400"/>
        <v>0</v>
      </c>
      <c r="L205" s="26">
        <f t="shared" si="400"/>
        <v>0</v>
      </c>
      <c r="M205" s="26">
        <f t="shared" si="400"/>
        <v>0</v>
      </c>
      <c r="N205" s="26">
        <f t="shared" si="400"/>
        <v>0</v>
      </c>
      <c r="O205" s="26">
        <f t="shared" si="400"/>
        <v>0</v>
      </c>
      <c r="P205" s="122">
        <f t="shared" si="400"/>
        <v>0</v>
      </c>
      <c r="Q205" s="26">
        <f t="shared" si="400"/>
        <v>0</v>
      </c>
      <c r="R205" s="26">
        <f t="shared" si="400"/>
        <v>0</v>
      </c>
      <c r="S205" s="26">
        <f t="shared" si="400"/>
        <v>0</v>
      </c>
      <c r="T205" s="26">
        <f t="shared" si="400"/>
        <v>0</v>
      </c>
      <c r="U205" s="26">
        <f t="shared" si="400"/>
        <v>0</v>
      </c>
      <c r="V205" s="26">
        <f>IF(V195="","",V204*V199)</f>
        <v>0</v>
      </c>
      <c r="W205" s="26">
        <f t="shared" si="400"/>
        <v>0</v>
      </c>
      <c r="X205" s="26">
        <f t="shared" si="400"/>
        <v>0</v>
      </c>
      <c r="Y205" s="26">
        <f t="shared" si="400"/>
        <v>0</v>
      </c>
      <c r="Z205" s="26">
        <f t="shared" si="400"/>
        <v>0</v>
      </c>
      <c r="AA205" s="26">
        <f t="shared" si="400"/>
        <v>0</v>
      </c>
      <c r="AB205" s="26">
        <f t="shared" si="400"/>
        <v>0</v>
      </c>
      <c r="AC205" s="26">
        <f t="shared" si="400"/>
        <v>0</v>
      </c>
      <c r="AD205" s="26">
        <f t="shared" si="400"/>
        <v>0</v>
      </c>
      <c r="AE205" s="26" t="str">
        <f t="shared" si="400"/>
        <v/>
      </c>
      <c r="AF205" s="26" t="str">
        <f t="shared" si="400"/>
        <v/>
      </c>
      <c r="AG205" s="26" t="str">
        <f t="shared" si="400"/>
        <v/>
      </c>
      <c r="AH205" s="26" t="str">
        <f t="shared" si="400"/>
        <v/>
      </c>
      <c r="AI205" s="26" t="str">
        <f t="shared" si="400"/>
        <v/>
      </c>
      <c r="AJ205" s="26" t="str">
        <f t="shared" si="400"/>
        <v/>
      </c>
      <c r="AK205" s="26" t="str">
        <f t="shared" si="400"/>
        <v/>
      </c>
      <c r="AL205" s="26" t="str">
        <f t="shared" si="400"/>
        <v/>
      </c>
      <c r="AM205" s="26" t="str">
        <f t="shared" si="400"/>
        <v/>
      </c>
      <c r="AN205" s="26" t="str">
        <f t="shared" si="400"/>
        <v/>
      </c>
      <c r="AO205" s="26" t="str">
        <f t="shared" si="400"/>
        <v/>
      </c>
      <c r="AP205" s="26" t="str">
        <f t="shared" ref="AP205:AR205" si="401">IF(AP195="","",AP204*AP199)</f>
        <v/>
      </c>
      <c r="AQ205" s="26" t="str">
        <f t="shared" si="401"/>
        <v/>
      </c>
      <c r="AR205" s="26" t="str">
        <f t="shared" si="401"/>
        <v/>
      </c>
    </row>
    <row r="206" spans="1:44" s="1" customFormat="1" ht="12" thickBot="1">
      <c r="A206" s="4">
        <f>IF(A205="","",A205/(A202*100))</f>
        <v>0</v>
      </c>
      <c r="B206" s="24" t="s">
        <v>20</v>
      </c>
      <c r="C206" s="67" t="s">
        <v>21</v>
      </c>
      <c r="D206" s="23" t="str">
        <f t="shared" ref="D206:AO206" si="402">IF(D205="","",IF(D205=0,"",D205/(D202*100)))</f>
        <v/>
      </c>
      <c r="E206" s="23" t="str">
        <f t="shared" si="402"/>
        <v/>
      </c>
      <c r="F206" s="23" t="str">
        <f t="shared" si="402"/>
        <v/>
      </c>
      <c r="G206" s="124" t="str">
        <f t="shared" si="402"/>
        <v/>
      </c>
      <c r="H206" s="23" t="str">
        <f t="shared" si="402"/>
        <v/>
      </c>
      <c r="I206" s="23" t="str">
        <f t="shared" si="402"/>
        <v/>
      </c>
      <c r="J206" s="124" t="str">
        <f t="shared" si="402"/>
        <v/>
      </c>
      <c r="K206" s="23" t="str">
        <f t="shared" si="402"/>
        <v/>
      </c>
      <c r="L206" s="23" t="str">
        <f t="shared" si="402"/>
        <v/>
      </c>
      <c r="M206" s="23" t="str">
        <f t="shared" si="402"/>
        <v/>
      </c>
      <c r="N206" s="23" t="str">
        <f t="shared" si="402"/>
        <v/>
      </c>
      <c r="O206" s="23" t="str">
        <f t="shared" si="402"/>
        <v/>
      </c>
      <c r="P206" s="124" t="str">
        <f t="shared" si="402"/>
        <v/>
      </c>
      <c r="Q206" s="23" t="str">
        <f t="shared" si="402"/>
        <v/>
      </c>
      <c r="R206" s="23" t="str">
        <f t="shared" si="402"/>
        <v/>
      </c>
      <c r="S206" s="23" t="str">
        <f t="shared" si="402"/>
        <v/>
      </c>
      <c r="T206" s="23" t="str">
        <f t="shared" si="402"/>
        <v/>
      </c>
      <c r="U206" s="23" t="str">
        <f t="shared" si="402"/>
        <v/>
      </c>
      <c r="V206" s="23" t="str">
        <f>IF(V205="","",IF(V205=0,"",V205/(V202*100)))</f>
        <v/>
      </c>
      <c r="W206" s="23" t="str">
        <f t="shared" si="402"/>
        <v/>
      </c>
      <c r="X206" s="23" t="str">
        <f t="shared" si="402"/>
        <v/>
      </c>
      <c r="Y206" s="23" t="str">
        <f t="shared" si="402"/>
        <v/>
      </c>
      <c r="Z206" s="23" t="str">
        <f t="shared" si="402"/>
        <v/>
      </c>
      <c r="AA206" s="23" t="str">
        <f t="shared" si="402"/>
        <v/>
      </c>
      <c r="AB206" s="23" t="str">
        <f t="shared" si="402"/>
        <v/>
      </c>
      <c r="AC206" s="23" t="str">
        <f t="shared" si="402"/>
        <v/>
      </c>
      <c r="AD206" s="23" t="str">
        <f t="shared" si="402"/>
        <v/>
      </c>
      <c r="AE206" s="23" t="str">
        <f t="shared" si="402"/>
        <v/>
      </c>
      <c r="AF206" s="23" t="str">
        <f t="shared" si="402"/>
        <v/>
      </c>
      <c r="AG206" s="23" t="str">
        <f t="shared" si="402"/>
        <v/>
      </c>
      <c r="AH206" s="23" t="str">
        <f t="shared" si="402"/>
        <v/>
      </c>
      <c r="AI206" s="23" t="str">
        <f t="shared" si="402"/>
        <v/>
      </c>
      <c r="AJ206" s="23" t="str">
        <f t="shared" si="402"/>
        <v/>
      </c>
      <c r="AK206" s="23" t="str">
        <f t="shared" si="402"/>
        <v/>
      </c>
      <c r="AL206" s="23" t="str">
        <f t="shared" si="402"/>
        <v/>
      </c>
      <c r="AM206" s="23" t="str">
        <f t="shared" si="402"/>
        <v/>
      </c>
      <c r="AN206" s="23" t="str">
        <f t="shared" si="402"/>
        <v/>
      </c>
      <c r="AO206" s="23" t="str">
        <f t="shared" si="402"/>
        <v/>
      </c>
      <c r="AP206" s="23" t="str">
        <f t="shared" ref="AP206:AR206" si="403">IF(AP205="","",IF(AP205=0,"",AP205/(AP202*100)))</f>
        <v/>
      </c>
      <c r="AQ206" s="23" t="str">
        <f t="shared" si="403"/>
        <v/>
      </c>
      <c r="AR206" s="23" t="str">
        <f t="shared" si="403"/>
        <v/>
      </c>
    </row>
    <row r="207" spans="1:44" s="1" customFormat="1">
      <c r="A207" s="40" t="s">
        <v>175</v>
      </c>
      <c r="B207" s="39" t="s">
        <v>2</v>
      </c>
      <c r="C207" s="38">
        <v>10546</v>
      </c>
      <c r="D207" s="38">
        <v>10546</v>
      </c>
      <c r="E207" s="38">
        <v>10546</v>
      </c>
      <c r="F207" s="38">
        <v>10561</v>
      </c>
      <c r="G207" s="121">
        <v>10561</v>
      </c>
      <c r="H207" s="38">
        <v>10561</v>
      </c>
      <c r="I207" s="38">
        <v>10610</v>
      </c>
      <c r="J207" s="38">
        <v>10610</v>
      </c>
      <c r="K207" s="38">
        <v>10610</v>
      </c>
      <c r="L207" s="38">
        <v>10651</v>
      </c>
      <c r="M207" s="38">
        <v>10651</v>
      </c>
      <c r="N207" s="38">
        <v>10651</v>
      </c>
      <c r="O207" s="38">
        <v>10789</v>
      </c>
      <c r="P207" s="38">
        <v>10789</v>
      </c>
      <c r="Q207" s="38">
        <v>10789</v>
      </c>
      <c r="R207" s="38">
        <v>10789</v>
      </c>
      <c r="S207" s="38">
        <v>10812</v>
      </c>
      <c r="T207" s="38">
        <v>10812</v>
      </c>
      <c r="U207" s="38">
        <v>10812</v>
      </c>
      <c r="V207" s="38">
        <v>10841</v>
      </c>
      <c r="W207" s="38">
        <v>10841</v>
      </c>
      <c r="X207" s="38">
        <v>10841</v>
      </c>
      <c r="Y207" s="38">
        <v>10881</v>
      </c>
      <c r="Z207" s="38">
        <v>10881</v>
      </c>
      <c r="AA207" s="38">
        <v>10881</v>
      </c>
      <c r="AB207" s="38">
        <v>10881</v>
      </c>
      <c r="AC207" s="38">
        <v>10881</v>
      </c>
      <c r="AD207" s="38">
        <v>10931</v>
      </c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</row>
    <row r="208" spans="1:44" s="1" customFormat="1">
      <c r="A208" s="37" t="s">
        <v>131</v>
      </c>
      <c r="B208" s="30" t="s">
        <v>4</v>
      </c>
      <c r="C208" s="65">
        <v>216</v>
      </c>
      <c r="D208" s="29">
        <f>IF(D$207="","",C208)</f>
        <v>216</v>
      </c>
      <c r="E208" s="29">
        <f>IF(E$207="","",D208)</f>
        <v>216</v>
      </c>
      <c r="F208" s="29">
        <v>217</v>
      </c>
      <c r="G208" s="122">
        <f>IF(G$207="","",F208)</f>
        <v>217</v>
      </c>
      <c r="H208" s="29">
        <f>IF(H$207="","",G208)</f>
        <v>217</v>
      </c>
      <c r="I208" s="29">
        <v>218</v>
      </c>
      <c r="J208" s="122">
        <f>IF(J$207="","",I208)</f>
        <v>218</v>
      </c>
      <c r="K208" s="29">
        <f>IF(K$207="","",J208)</f>
        <v>218</v>
      </c>
      <c r="L208" s="29">
        <v>219</v>
      </c>
      <c r="M208" s="29">
        <f>IF(M$207="","",L208)</f>
        <v>219</v>
      </c>
      <c r="N208" s="29">
        <f>IF(N$207="","",M208)</f>
        <v>219</v>
      </c>
      <c r="O208" s="29">
        <v>222</v>
      </c>
      <c r="P208" s="122">
        <f t="shared" ref="P208:AO208" si="404">IF(P$207="","",O208)</f>
        <v>222</v>
      </c>
      <c r="Q208" s="29">
        <f t="shared" si="404"/>
        <v>222</v>
      </c>
      <c r="R208" s="29">
        <f t="shared" si="404"/>
        <v>222</v>
      </c>
      <c r="S208" s="29">
        <v>223</v>
      </c>
      <c r="T208" s="29">
        <f t="shared" si="404"/>
        <v>223</v>
      </c>
      <c r="U208" s="29">
        <f t="shared" si="404"/>
        <v>223</v>
      </c>
      <c r="V208" s="29">
        <v>225</v>
      </c>
      <c r="W208" s="29">
        <f t="shared" si="404"/>
        <v>225</v>
      </c>
      <c r="X208" s="29">
        <f t="shared" si="404"/>
        <v>225</v>
      </c>
      <c r="Y208" s="29">
        <v>227</v>
      </c>
      <c r="Z208" s="29">
        <f t="shared" si="404"/>
        <v>227</v>
      </c>
      <c r="AA208" s="29">
        <f t="shared" si="404"/>
        <v>227</v>
      </c>
      <c r="AB208" s="29">
        <f t="shared" si="404"/>
        <v>227</v>
      </c>
      <c r="AC208" s="29">
        <f t="shared" si="404"/>
        <v>227</v>
      </c>
      <c r="AD208" s="29">
        <v>229</v>
      </c>
      <c r="AE208" s="29" t="str">
        <f t="shared" si="404"/>
        <v/>
      </c>
      <c r="AF208" s="29" t="str">
        <f t="shared" si="404"/>
        <v/>
      </c>
      <c r="AG208" s="29" t="str">
        <f t="shared" si="404"/>
        <v/>
      </c>
      <c r="AH208" s="29" t="str">
        <f t="shared" si="404"/>
        <v/>
      </c>
      <c r="AI208" s="29" t="str">
        <f t="shared" si="404"/>
        <v/>
      </c>
      <c r="AJ208" s="29" t="str">
        <f t="shared" si="404"/>
        <v/>
      </c>
      <c r="AK208" s="29" t="str">
        <f t="shared" si="404"/>
        <v/>
      </c>
      <c r="AL208" s="29" t="str">
        <f t="shared" si="404"/>
        <v/>
      </c>
      <c r="AM208" s="29" t="str">
        <f t="shared" si="404"/>
        <v/>
      </c>
      <c r="AN208" s="29" t="str">
        <f t="shared" si="404"/>
        <v/>
      </c>
      <c r="AO208" s="29" t="str">
        <f t="shared" si="404"/>
        <v/>
      </c>
      <c r="AP208" s="29" t="str">
        <f t="shared" ref="AP208:AR208" si="405">IF(AP$207="","",AO208)</f>
        <v/>
      </c>
      <c r="AQ208" s="29" t="str">
        <f t="shared" si="405"/>
        <v/>
      </c>
      <c r="AR208" s="29" t="str">
        <f t="shared" si="405"/>
        <v/>
      </c>
    </row>
    <row r="209" spans="1:44" s="1" customFormat="1">
      <c r="A209" s="41">
        <v>1</v>
      </c>
      <c r="B209" s="30" t="s">
        <v>5</v>
      </c>
      <c r="C209" s="65">
        <v>2</v>
      </c>
      <c r="D209" s="29">
        <f>IF(D207="","",(C209+C210))</f>
        <v>2</v>
      </c>
      <c r="E209" s="29">
        <f>IF(E207="","",(D209+D210))</f>
        <v>2</v>
      </c>
      <c r="F209" s="29">
        <v>1</v>
      </c>
      <c r="G209" s="122">
        <f>IF(G207="","",(F209+F210))</f>
        <v>5</v>
      </c>
      <c r="H209" s="29">
        <f>IF(H207="","",(G209+G210))</f>
        <v>5</v>
      </c>
      <c r="I209" s="29">
        <v>4</v>
      </c>
      <c r="J209" s="122">
        <f>IF(J207="","",(I209+I210))</f>
        <v>5</v>
      </c>
      <c r="K209" s="29">
        <f>IF(K207="","",(J209+J210))</f>
        <v>5</v>
      </c>
      <c r="L209" s="29">
        <v>4</v>
      </c>
      <c r="M209" s="29">
        <f>IF(M207="","",(L209+L210))</f>
        <v>6</v>
      </c>
      <c r="N209" s="29">
        <f>IF(N207="","",(M209+M210))</f>
        <v>6</v>
      </c>
      <c r="O209" s="29">
        <v>4</v>
      </c>
      <c r="P209" s="122">
        <f t="shared" ref="P209:AO209" si="406">IF(P207="","",(O209+O210))</f>
        <v>4</v>
      </c>
      <c r="Q209" s="29">
        <f t="shared" si="406"/>
        <v>4</v>
      </c>
      <c r="R209" s="29">
        <f t="shared" si="406"/>
        <v>4</v>
      </c>
      <c r="S209" s="29">
        <v>2</v>
      </c>
      <c r="T209" s="29">
        <f t="shared" si="406"/>
        <v>5</v>
      </c>
      <c r="U209" s="29">
        <f t="shared" si="406"/>
        <v>5</v>
      </c>
      <c r="V209" s="29">
        <v>4</v>
      </c>
      <c r="W209" s="29">
        <f t="shared" si="406"/>
        <v>5</v>
      </c>
      <c r="X209" s="29">
        <f t="shared" si="406"/>
        <v>5</v>
      </c>
      <c r="Y209" s="29">
        <v>3</v>
      </c>
      <c r="Z209" s="29">
        <f t="shared" si="406"/>
        <v>5</v>
      </c>
      <c r="AA209" s="29">
        <f t="shared" si="406"/>
        <v>5</v>
      </c>
      <c r="AB209" s="29">
        <f t="shared" si="406"/>
        <v>5</v>
      </c>
      <c r="AC209" s="29">
        <f t="shared" si="406"/>
        <v>5</v>
      </c>
      <c r="AD209" s="29">
        <v>3</v>
      </c>
      <c r="AE209" s="29" t="str">
        <f t="shared" si="406"/>
        <v/>
      </c>
      <c r="AF209" s="29" t="str">
        <f t="shared" si="406"/>
        <v/>
      </c>
      <c r="AG209" s="29" t="str">
        <f t="shared" si="406"/>
        <v/>
      </c>
      <c r="AH209" s="29" t="str">
        <f t="shared" si="406"/>
        <v/>
      </c>
      <c r="AI209" s="29" t="str">
        <f t="shared" si="406"/>
        <v/>
      </c>
      <c r="AJ209" s="29" t="str">
        <f t="shared" si="406"/>
        <v/>
      </c>
      <c r="AK209" s="29" t="str">
        <f t="shared" si="406"/>
        <v/>
      </c>
      <c r="AL209" s="29" t="str">
        <f t="shared" si="406"/>
        <v/>
      </c>
      <c r="AM209" s="29" t="str">
        <f t="shared" si="406"/>
        <v/>
      </c>
      <c r="AN209" s="29" t="str">
        <f t="shared" si="406"/>
        <v/>
      </c>
      <c r="AO209" s="29" t="str">
        <f t="shared" si="406"/>
        <v/>
      </c>
      <c r="AP209" s="29" t="str">
        <f t="shared" ref="AP209:AR209" si="407">IF(AP207="","",(AO209+AO210))</f>
        <v/>
      </c>
      <c r="AQ209" s="29" t="str">
        <f t="shared" si="407"/>
        <v/>
      </c>
      <c r="AR209" s="29" t="str">
        <f t="shared" si="407"/>
        <v/>
      </c>
    </row>
    <row r="210" spans="1:44" s="1" customFormat="1">
      <c r="A210" s="101" t="s">
        <v>6</v>
      </c>
      <c r="B210" s="30" t="s">
        <v>7</v>
      </c>
      <c r="C210" s="65"/>
      <c r="D210" s="29"/>
      <c r="E210" s="29"/>
      <c r="F210" s="29">
        <v>4</v>
      </c>
      <c r="G210" s="122"/>
      <c r="H210" s="29"/>
      <c r="I210" s="29">
        <v>1</v>
      </c>
      <c r="J210" s="122"/>
      <c r="K210" s="29"/>
      <c r="L210" s="29">
        <v>2</v>
      </c>
      <c r="M210" s="29"/>
      <c r="N210" s="29"/>
      <c r="O210" s="29"/>
      <c r="P210" s="122"/>
      <c r="Q210" s="29"/>
      <c r="R210" s="29"/>
      <c r="S210" s="29">
        <v>3</v>
      </c>
      <c r="T210" s="29"/>
      <c r="U210" s="29"/>
      <c r="V210" s="29">
        <v>1</v>
      </c>
      <c r="W210" s="29"/>
      <c r="X210" s="29"/>
      <c r="Y210" s="29">
        <v>2</v>
      </c>
      <c r="Z210" s="29"/>
      <c r="AA210" s="29"/>
      <c r="AB210" s="29"/>
      <c r="AC210" s="29"/>
      <c r="AD210" s="29">
        <v>2</v>
      </c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</row>
    <row r="211" spans="1:44" s="1" customFormat="1">
      <c r="A211" s="102">
        <f>+(A214+A226+A238+A250)*100</f>
        <v>277800</v>
      </c>
      <c r="B211" s="30" t="s">
        <v>8</v>
      </c>
      <c r="C211" s="64">
        <v>750</v>
      </c>
      <c r="D211" s="35">
        <f t="shared" ref="D211:AO211" si="408">IF(D207="","",C211)</f>
        <v>750</v>
      </c>
      <c r="E211" s="35">
        <f t="shared" si="408"/>
        <v>750</v>
      </c>
      <c r="F211" s="35">
        <f t="shared" si="408"/>
        <v>750</v>
      </c>
      <c r="G211" s="383">
        <f t="shared" si="408"/>
        <v>750</v>
      </c>
      <c r="H211" s="35">
        <f t="shared" si="408"/>
        <v>750</v>
      </c>
      <c r="I211" s="35">
        <f t="shared" si="408"/>
        <v>750</v>
      </c>
      <c r="J211" s="383">
        <f t="shared" si="408"/>
        <v>750</v>
      </c>
      <c r="K211" s="35">
        <f t="shared" si="408"/>
        <v>750</v>
      </c>
      <c r="L211" s="35">
        <f t="shared" si="408"/>
        <v>750</v>
      </c>
      <c r="M211" s="35">
        <f t="shared" si="408"/>
        <v>750</v>
      </c>
      <c r="N211" s="35">
        <f t="shared" si="408"/>
        <v>750</v>
      </c>
      <c r="O211" s="35">
        <f t="shared" si="408"/>
        <v>750</v>
      </c>
      <c r="P211" s="383">
        <f t="shared" si="408"/>
        <v>750</v>
      </c>
      <c r="Q211" s="35">
        <f t="shared" si="408"/>
        <v>750</v>
      </c>
      <c r="R211" s="35">
        <f t="shared" si="408"/>
        <v>750</v>
      </c>
      <c r="S211" s="35">
        <f t="shared" si="408"/>
        <v>750</v>
      </c>
      <c r="T211" s="35">
        <f t="shared" si="408"/>
        <v>750</v>
      </c>
      <c r="U211" s="35">
        <f t="shared" si="408"/>
        <v>750</v>
      </c>
      <c r="V211" s="35">
        <f>IF(V207="","",U211)</f>
        <v>750</v>
      </c>
      <c r="W211" s="35">
        <f t="shared" si="408"/>
        <v>750</v>
      </c>
      <c r="X211" s="35">
        <f t="shared" si="408"/>
        <v>750</v>
      </c>
      <c r="Y211" s="35">
        <f t="shared" si="408"/>
        <v>750</v>
      </c>
      <c r="Z211" s="35">
        <f t="shared" si="408"/>
        <v>750</v>
      </c>
      <c r="AA211" s="35">
        <f t="shared" si="408"/>
        <v>750</v>
      </c>
      <c r="AB211" s="35">
        <f t="shared" si="408"/>
        <v>750</v>
      </c>
      <c r="AC211" s="35">
        <f t="shared" si="408"/>
        <v>750</v>
      </c>
      <c r="AD211" s="35"/>
      <c r="AE211" s="35" t="str">
        <f t="shared" si="408"/>
        <v/>
      </c>
      <c r="AF211" s="35" t="str">
        <f t="shared" si="408"/>
        <v/>
      </c>
      <c r="AG211" s="35" t="str">
        <f t="shared" si="408"/>
        <v/>
      </c>
      <c r="AH211" s="35" t="str">
        <f t="shared" si="408"/>
        <v/>
      </c>
      <c r="AI211" s="35" t="str">
        <f t="shared" si="408"/>
        <v/>
      </c>
      <c r="AJ211" s="35" t="str">
        <f t="shared" si="408"/>
        <v/>
      </c>
      <c r="AK211" s="35" t="str">
        <f t="shared" si="408"/>
        <v/>
      </c>
      <c r="AL211" s="35" t="str">
        <f t="shared" si="408"/>
        <v/>
      </c>
      <c r="AM211" s="35" t="str">
        <f t="shared" si="408"/>
        <v/>
      </c>
      <c r="AN211" s="35" t="str">
        <f t="shared" si="408"/>
        <v/>
      </c>
      <c r="AO211" s="35" t="str">
        <f t="shared" si="408"/>
        <v/>
      </c>
      <c r="AP211" s="35" t="str">
        <f t="shared" ref="AP211:AR211" si="409">IF(AP207="","",AO211)</f>
        <v/>
      </c>
      <c r="AQ211" s="35" t="str">
        <f t="shared" si="409"/>
        <v/>
      </c>
      <c r="AR211" s="35" t="str">
        <f t="shared" si="409"/>
        <v/>
      </c>
    </row>
    <row r="212" spans="1:44" s="11" customFormat="1">
      <c r="A212" s="14" t="s">
        <v>9</v>
      </c>
      <c r="B212" s="33" t="s">
        <v>10</v>
      </c>
      <c r="C212" s="63" t="s">
        <v>54</v>
      </c>
      <c r="D212" s="32" t="str">
        <f t="shared" ref="D212:AO212" si="410">IF(D207="","",C212)</f>
        <v>サンリオバンズクリップ</v>
      </c>
      <c r="E212" s="32" t="str">
        <f t="shared" si="410"/>
        <v>サンリオバンズクリップ</v>
      </c>
      <c r="F212" s="32" t="str">
        <f t="shared" si="410"/>
        <v>サンリオバンズクリップ</v>
      </c>
      <c r="G212" s="123" t="str">
        <f t="shared" si="410"/>
        <v>サンリオバンズクリップ</v>
      </c>
      <c r="H212" s="32" t="str">
        <f t="shared" si="410"/>
        <v>サンリオバンズクリップ</v>
      </c>
      <c r="I212" s="32" t="str">
        <f t="shared" si="410"/>
        <v>サンリオバンズクリップ</v>
      </c>
      <c r="J212" s="123" t="str">
        <f t="shared" si="410"/>
        <v>サンリオバンズクリップ</v>
      </c>
      <c r="K212" s="32" t="str">
        <f t="shared" si="410"/>
        <v>サンリオバンズクリップ</v>
      </c>
      <c r="L212" s="32" t="str">
        <f t="shared" si="410"/>
        <v>サンリオバンズクリップ</v>
      </c>
      <c r="M212" s="32" t="str">
        <f t="shared" si="410"/>
        <v>サンリオバンズクリップ</v>
      </c>
      <c r="N212" s="32" t="str">
        <f t="shared" si="410"/>
        <v>サンリオバンズクリップ</v>
      </c>
      <c r="O212" s="32" t="str">
        <f t="shared" si="410"/>
        <v>サンリオバンズクリップ</v>
      </c>
      <c r="P212" s="123" t="str">
        <f t="shared" si="410"/>
        <v>サンリオバンズクリップ</v>
      </c>
      <c r="Q212" s="32" t="str">
        <f t="shared" si="410"/>
        <v>サンリオバンズクリップ</v>
      </c>
      <c r="R212" s="32" t="str">
        <f t="shared" si="410"/>
        <v>サンリオバンズクリップ</v>
      </c>
      <c r="S212" s="32" t="str">
        <f t="shared" si="410"/>
        <v>サンリオバンズクリップ</v>
      </c>
      <c r="T212" s="32" t="str">
        <f t="shared" si="410"/>
        <v>サンリオバンズクリップ</v>
      </c>
      <c r="U212" s="32" t="str">
        <f t="shared" si="410"/>
        <v>サンリオバンズクリップ</v>
      </c>
      <c r="V212" s="32" t="str">
        <f>IF(V207="","",U212)</f>
        <v>サンリオバンズクリップ</v>
      </c>
      <c r="W212" s="32" t="str">
        <f t="shared" si="410"/>
        <v>サンリオバンズクリップ</v>
      </c>
      <c r="X212" s="32" t="str">
        <f t="shared" si="410"/>
        <v>サンリオバンズクリップ</v>
      </c>
      <c r="Y212" s="32" t="str">
        <f t="shared" si="410"/>
        <v>サンリオバンズクリップ</v>
      </c>
      <c r="Z212" s="32" t="str">
        <f t="shared" si="410"/>
        <v>サンリオバンズクリップ</v>
      </c>
      <c r="AA212" s="32" t="str">
        <f t="shared" si="410"/>
        <v>サンリオバンズクリップ</v>
      </c>
      <c r="AB212" s="32" t="str">
        <f t="shared" si="410"/>
        <v>サンリオバンズクリップ</v>
      </c>
      <c r="AC212" s="32" t="str">
        <f t="shared" si="410"/>
        <v>サンリオバンズクリップ</v>
      </c>
      <c r="AD212" s="32" t="str">
        <f t="shared" si="410"/>
        <v>サンリオバンズクリップ</v>
      </c>
      <c r="AE212" s="32" t="str">
        <f t="shared" si="410"/>
        <v/>
      </c>
      <c r="AF212" s="32" t="str">
        <f t="shared" si="410"/>
        <v/>
      </c>
      <c r="AG212" s="32" t="str">
        <f t="shared" si="410"/>
        <v/>
      </c>
      <c r="AH212" s="32" t="str">
        <f t="shared" si="410"/>
        <v/>
      </c>
      <c r="AI212" s="32" t="str">
        <f t="shared" si="410"/>
        <v/>
      </c>
      <c r="AJ212" s="32" t="str">
        <f t="shared" si="410"/>
        <v/>
      </c>
      <c r="AK212" s="32" t="str">
        <f t="shared" si="410"/>
        <v/>
      </c>
      <c r="AL212" s="32" t="str">
        <f t="shared" si="410"/>
        <v/>
      </c>
      <c r="AM212" s="32" t="str">
        <f t="shared" si="410"/>
        <v/>
      </c>
      <c r="AN212" s="32" t="str">
        <f t="shared" si="410"/>
        <v/>
      </c>
      <c r="AO212" s="32" t="str">
        <f t="shared" si="410"/>
        <v/>
      </c>
      <c r="AP212" s="32" t="str">
        <f t="shared" ref="AP212:AR212" si="411">IF(AP207="","",AO212)</f>
        <v/>
      </c>
      <c r="AQ212" s="32" t="str">
        <f t="shared" si="411"/>
        <v/>
      </c>
      <c r="AR212" s="32" t="str">
        <f t="shared" si="411"/>
        <v/>
      </c>
    </row>
    <row r="213" spans="1:44" s="1" customFormat="1">
      <c r="A213" s="7">
        <f>AVERAGE(C214:AS214)*30*100</f>
        <v>41250</v>
      </c>
      <c r="B213" s="30" t="s">
        <v>14</v>
      </c>
      <c r="C213" s="65"/>
      <c r="D213" s="29"/>
      <c r="E213" s="29"/>
      <c r="F213" s="29"/>
      <c r="G213" s="122"/>
      <c r="H213" s="29"/>
      <c r="I213" s="29"/>
      <c r="J213" s="122"/>
      <c r="K213" s="29"/>
      <c r="L213" s="29"/>
      <c r="M213" s="29"/>
      <c r="N213" s="29"/>
      <c r="O213" s="29"/>
      <c r="P213" s="122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</row>
    <row r="214" spans="1:44" s="1" customFormat="1">
      <c r="A214" s="7">
        <f>SUM(C214:AS214)</f>
        <v>385</v>
      </c>
      <c r="B214" s="27" t="s">
        <v>15</v>
      </c>
      <c r="C214" s="65">
        <v>0</v>
      </c>
      <c r="D214" s="26">
        <f t="shared" ref="D214:AO214" si="412">IF(D207="","",D207-C207)</f>
        <v>0</v>
      </c>
      <c r="E214" s="26">
        <f t="shared" si="412"/>
        <v>0</v>
      </c>
      <c r="F214" s="26">
        <f t="shared" si="412"/>
        <v>15</v>
      </c>
      <c r="G214" s="122">
        <f t="shared" si="412"/>
        <v>0</v>
      </c>
      <c r="H214" s="26">
        <f t="shared" si="412"/>
        <v>0</v>
      </c>
      <c r="I214" s="26">
        <f t="shared" si="412"/>
        <v>49</v>
      </c>
      <c r="J214" s="122">
        <f t="shared" si="412"/>
        <v>0</v>
      </c>
      <c r="K214" s="26">
        <f t="shared" si="412"/>
        <v>0</v>
      </c>
      <c r="L214" s="26">
        <f t="shared" si="412"/>
        <v>41</v>
      </c>
      <c r="M214" s="26">
        <f t="shared" si="412"/>
        <v>0</v>
      </c>
      <c r="N214" s="26">
        <f t="shared" si="412"/>
        <v>0</v>
      </c>
      <c r="O214" s="26">
        <f t="shared" si="412"/>
        <v>138</v>
      </c>
      <c r="P214" s="122">
        <f t="shared" si="412"/>
        <v>0</v>
      </c>
      <c r="Q214" s="26">
        <f t="shared" si="412"/>
        <v>0</v>
      </c>
      <c r="R214" s="26">
        <f t="shared" si="412"/>
        <v>0</v>
      </c>
      <c r="S214" s="26">
        <f t="shared" si="412"/>
        <v>23</v>
      </c>
      <c r="T214" s="26">
        <f t="shared" si="412"/>
        <v>0</v>
      </c>
      <c r="U214" s="26">
        <f t="shared" si="412"/>
        <v>0</v>
      </c>
      <c r="V214" s="26">
        <f>IF(V207="","",V207-U207)</f>
        <v>29</v>
      </c>
      <c r="W214" s="26">
        <f t="shared" si="412"/>
        <v>0</v>
      </c>
      <c r="X214" s="26">
        <f t="shared" si="412"/>
        <v>0</v>
      </c>
      <c r="Y214" s="26">
        <f t="shared" si="412"/>
        <v>40</v>
      </c>
      <c r="Z214" s="26">
        <f t="shared" si="412"/>
        <v>0</v>
      </c>
      <c r="AA214" s="26">
        <f t="shared" si="412"/>
        <v>0</v>
      </c>
      <c r="AB214" s="26">
        <f t="shared" si="412"/>
        <v>0</v>
      </c>
      <c r="AC214" s="26">
        <f t="shared" si="412"/>
        <v>0</v>
      </c>
      <c r="AD214" s="26">
        <f t="shared" si="412"/>
        <v>50</v>
      </c>
      <c r="AE214" s="26" t="str">
        <f t="shared" si="412"/>
        <v/>
      </c>
      <c r="AF214" s="26" t="str">
        <f t="shared" si="412"/>
        <v/>
      </c>
      <c r="AG214" s="26" t="str">
        <f t="shared" si="412"/>
        <v/>
      </c>
      <c r="AH214" s="26" t="str">
        <f t="shared" si="412"/>
        <v/>
      </c>
      <c r="AI214" s="26" t="str">
        <f t="shared" si="412"/>
        <v/>
      </c>
      <c r="AJ214" s="26" t="str">
        <f t="shared" si="412"/>
        <v/>
      </c>
      <c r="AK214" s="26" t="str">
        <f t="shared" si="412"/>
        <v/>
      </c>
      <c r="AL214" s="26" t="str">
        <f t="shared" si="412"/>
        <v/>
      </c>
      <c r="AM214" s="26" t="str">
        <f t="shared" si="412"/>
        <v/>
      </c>
      <c r="AN214" s="26" t="str">
        <f t="shared" si="412"/>
        <v/>
      </c>
      <c r="AO214" s="26" t="str">
        <f t="shared" si="412"/>
        <v/>
      </c>
      <c r="AP214" s="26" t="str">
        <f t="shared" ref="AP214:AR214" si="413">IF(AP207="","",AP207-AO207)</f>
        <v/>
      </c>
      <c r="AQ214" s="26" t="str">
        <f t="shared" si="413"/>
        <v/>
      </c>
      <c r="AR214" s="26" t="str">
        <f t="shared" si="413"/>
        <v/>
      </c>
    </row>
    <row r="215" spans="1:44" s="1" customFormat="1">
      <c r="A215" s="7">
        <f>SUM(C215:AS215)</f>
        <v>13</v>
      </c>
      <c r="B215" s="27" t="s">
        <v>16</v>
      </c>
      <c r="C215" s="65">
        <v>0</v>
      </c>
      <c r="D215" s="26">
        <f t="shared" ref="D215:AO215" si="414">IF(D208="","",D208-C208)</f>
        <v>0</v>
      </c>
      <c r="E215" s="26">
        <f t="shared" si="414"/>
        <v>0</v>
      </c>
      <c r="F215" s="26">
        <f t="shared" si="414"/>
        <v>1</v>
      </c>
      <c r="G215" s="122">
        <f t="shared" si="414"/>
        <v>0</v>
      </c>
      <c r="H215" s="26">
        <f t="shared" si="414"/>
        <v>0</v>
      </c>
      <c r="I215" s="26">
        <f t="shared" si="414"/>
        <v>1</v>
      </c>
      <c r="J215" s="122">
        <f t="shared" si="414"/>
        <v>0</v>
      </c>
      <c r="K215" s="26">
        <f t="shared" si="414"/>
        <v>0</v>
      </c>
      <c r="L215" s="26">
        <f t="shared" si="414"/>
        <v>1</v>
      </c>
      <c r="M215" s="26">
        <f t="shared" si="414"/>
        <v>0</v>
      </c>
      <c r="N215" s="26">
        <f t="shared" si="414"/>
        <v>0</v>
      </c>
      <c r="O215" s="26">
        <f t="shared" si="414"/>
        <v>3</v>
      </c>
      <c r="P215" s="122">
        <f t="shared" si="414"/>
        <v>0</v>
      </c>
      <c r="Q215" s="26">
        <f t="shared" si="414"/>
        <v>0</v>
      </c>
      <c r="R215" s="26">
        <f t="shared" si="414"/>
        <v>0</v>
      </c>
      <c r="S215" s="26">
        <f t="shared" si="414"/>
        <v>1</v>
      </c>
      <c r="T215" s="26">
        <f t="shared" si="414"/>
        <v>0</v>
      </c>
      <c r="U215" s="26">
        <f t="shared" si="414"/>
        <v>0</v>
      </c>
      <c r="V215" s="26">
        <f>IF(V208="","",V208-U208)</f>
        <v>2</v>
      </c>
      <c r="W215" s="26">
        <f t="shared" si="414"/>
        <v>0</v>
      </c>
      <c r="X215" s="26">
        <f t="shared" si="414"/>
        <v>0</v>
      </c>
      <c r="Y215" s="26">
        <f t="shared" si="414"/>
        <v>2</v>
      </c>
      <c r="Z215" s="26">
        <f t="shared" si="414"/>
        <v>0</v>
      </c>
      <c r="AA215" s="26">
        <f t="shared" si="414"/>
        <v>0</v>
      </c>
      <c r="AB215" s="26">
        <f t="shared" si="414"/>
        <v>0</v>
      </c>
      <c r="AC215" s="26">
        <f t="shared" si="414"/>
        <v>0</v>
      </c>
      <c r="AD215" s="26">
        <f t="shared" si="414"/>
        <v>2</v>
      </c>
      <c r="AE215" s="26" t="str">
        <f t="shared" si="414"/>
        <v/>
      </c>
      <c r="AF215" s="26" t="str">
        <f t="shared" si="414"/>
        <v/>
      </c>
      <c r="AG215" s="26" t="str">
        <f t="shared" si="414"/>
        <v/>
      </c>
      <c r="AH215" s="26" t="str">
        <f t="shared" si="414"/>
        <v/>
      </c>
      <c r="AI215" s="26" t="str">
        <f t="shared" si="414"/>
        <v/>
      </c>
      <c r="AJ215" s="26" t="str">
        <f t="shared" si="414"/>
        <v/>
      </c>
      <c r="AK215" s="26" t="str">
        <f t="shared" si="414"/>
        <v/>
      </c>
      <c r="AL215" s="26" t="str">
        <f t="shared" si="414"/>
        <v/>
      </c>
      <c r="AM215" s="26" t="str">
        <f t="shared" si="414"/>
        <v/>
      </c>
      <c r="AN215" s="26" t="str">
        <f t="shared" si="414"/>
        <v/>
      </c>
      <c r="AO215" s="26" t="str">
        <f t="shared" si="414"/>
        <v/>
      </c>
      <c r="AP215" s="26" t="str">
        <f t="shared" ref="AP215:AR215" si="415">IF(AP208="","",AP208-AO208)</f>
        <v/>
      </c>
      <c r="AQ215" s="26" t="str">
        <f t="shared" si="415"/>
        <v/>
      </c>
      <c r="AR215" s="26" t="str">
        <f t="shared" si="415"/>
        <v/>
      </c>
    </row>
    <row r="216" spans="1:44" s="1" customFormat="1">
      <c r="A216" s="7">
        <f>SUM(C216:AS216)</f>
        <v>12</v>
      </c>
      <c r="B216" s="27" t="s">
        <v>17</v>
      </c>
      <c r="C216" s="65">
        <v>0</v>
      </c>
      <c r="D216" s="26">
        <f t="shared" ref="D216:AO216" si="416">IF(D209="","",C209+C210-D209)</f>
        <v>0</v>
      </c>
      <c r="E216" s="26">
        <f t="shared" si="416"/>
        <v>0</v>
      </c>
      <c r="F216" s="26">
        <f t="shared" si="416"/>
        <v>1</v>
      </c>
      <c r="G216" s="122">
        <f t="shared" si="416"/>
        <v>0</v>
      </c>
      <c r="H216" s="26">
        <f t="shared" si="416"/>
        <v>0</v>
      </c>
      <c r="I216" s="26">
        <f t="shared" si="416"/>
        <v>1</v>
      </c>
      <c r="J216" s="122">
        <f t="shared" si="416"/>
        <v>0</v>
      </c>
      <c r="K216" s="26">
        <f t="shared" si="416"/>
        <v>0</v>
      </c>
      <c r="L216" s="26">
        <f t="shared" si="416"/>
        <v>1</v>
      </c>
      <c r="M216" s="26">
        <f t="shared" si="416"/>
        <v>0</v>
      </c>
      <c r="N216" s="26">
        <f t="shared" si="416"/>
        <v>0</v>
      </c>
      <c r="O216" s="26">
        <f t="shared" si="416"/>
        <v>2</v>
      </c>
      <c r="P216" s="122">
        <f t="shared" si="416"/>
        <v>0</v>
      </c>
      <c r="Q216" s="26">
        <f t="shared" si="416"/>
        <v>0</v>
      </c>
      <c r="R216" s="26">
        <f t="shared" si="416"/>
        <v>0</v>
      </c>
      <c r="S216" s="26">
        <f t="shared" si="416"/>
        <v>2</v>
      </c>
      <c r="T216" s="26">
        <f t="shared" si="416"/>
        <v>0</v>
      </c>
      <c r="U216" s="26">
        <f t="shared" si="416"/>
        <v>0</v>
      </c>
      <c r="V216" s="26">
        <f>IF(V209="","",U209+U210-V209)</f>
        <v>1</v>
      </c>
      <c r="W216" s="26">
        <f t="shared" si="416"/>
        <v>0</v>
      </c>
      <c r="X216" s="26">
        <f t="shared" si="416"/>
        <v>0</v>
      </c>
      <c r="Y216" s="26">
        <f t="shared" si="416"/>
        <v>2</v>
      </c>
      <c r="Z216" s="26">
        <f t="shared" si="416"/>
        <v>0</v>
      </c>
      <c r="AA216" s="26">
        <f t="shared" si="416"/>
        <v>0</v>
      </c>
      <c r="AB216" s="26">
        <f t="shared" si="416"/>
        <v>0</v>
      </c>
      <c r="AC216" s="26">
        <f t="shared" si="416"/>
        <v>0</v>
      </c>
      <c r="AD216" s="26">
        <f t="shared" si="416"/>
        <v>2</v>
      </c>
      <c r="AE216" s="26" t="str">
        <f t="shared" si="416"/>
        <v/>
      </c>
      <c r="AF216" s="26" t="str">
        <f t="shared" si="416"/>
        <v/>
      </c>
      <c r="AG216" s="26" t="str">
        <f t="shared" si="416"/>
        <v/>
      </c>
      <c r="AH216" s="26" t="str">
        <f t="shared" si="416"/>
        <v/>
      </c>
      <c r="AI216" s="26" t="str">
        <f t="shared" si="416"/>
        <v/>
      </c>
      <c r="AJ216" s="26" t="str">
        <f t="shared" si="416"/>
        <v/>
      </c>
      <c r="AK216" s="26" t="str">
        <f t="shared" si="416"/>
        <v/>
      </c>
      <c r="AL216" s="26" t="str">
        <f t="shared" si="416"/>
        <v/>
      </c>
      <c r="AM216" s="26" t="str">
        <f t="shared" si="416"/>
        <v/>
      </c>
      <c r="AN216" s="26" t="str">
        <f t="shared" si="416"/>
        <v/>
      </c>
      <c r="AO216" s="26" t="str">
        <f t="shared" si="416"/>
        <v/>
      </c>
      <c r="AP216" s="26" t="str">
        <f t="shared" ref="AP216:AR216" si="417">IF(AP209="","",AO209+AO210-AP209)</f>
        <v/>
      </c>
      <c r="AQ216" s="26" t="str">
        <f t="shared" si="417"/>
        <v/>
      </c>
      <c r="AR216" s="26" t="str">
        <f t="shared" si="417"/>
        <v/>
      </c>
    </row>
    <row r="217" spans="1:44" s="1" customFormat="1">
      <c r="A217" s="7">
        <f>SUM(C217:AS217)</f>
        <v>7500</v>
      </c>
      <c r="B217" s="27" t="s">
        <v>18</v>
      </c>
      <c r="C217" s="65">
        <v>0</v>
      </c>
      <c r="D217" s="26">
        <f t="shared" ref="D217:AO217" si="418">IF(D207="","",D216*D211)</f>
        <v>0</v>
      </c>
      <c r="E217" s="26">
        <f t="shared" si="418"/>
        <v>0</v>
      </c>
      <c r="F217" s="26">
        <f t="shared" si="418"/>
        <v>750</v>
      </c>
      <c r="G217" s="122">
        <f t="shared" si="418"/>
        <v>0</v>
      </c>
      <c r="H217" s="26">
        <f t="shared" si="418"/>
        <v>0</v>
      </c>
      <c r="I217" s="26">
        <f t="shared" si="418"/>
        <v>750</v>
      </c>
      <c r="J217" s="122">
        <f t="shared" si="418"/>
        <v>0</v>
      </c>
      <c r="K217" s="26">
        <f t="shared" si="418"/>
        <v>0</v>
      </c>
      <c r="L217" s="26">
        <f t="shared" si="418"/>
        <v>750</v>
      </c>
      <c r="M217" s="26">
        <f t="shared" si="418"/>
        <v>0</v>
      </c>
      <c r="N217" s="26">
        <f t="shared" si="418"/>
        <v>0</v>
      </c>
      <c r="O217" s="26">
        <f t="shared" si="418"/>
        <v>1500</v>
      </c>
      <c r="P217" s="122">
        <f t="shared" si="418"/>
        <v>0</v>
      </c>
      <c r="Q217" s="26">
        <f t="shared" si="418"/>
        <v>0</v>
      </c>
      <c r="R217" s="26">
        <f t="shared" si="418"/>
        <v>0</v>
      </c>
      <c r="S217" s="26">
        <f t="shared" si="418"/>
        <v>1500</v>
      </c>
      <c r="T217" s="26">
        <f t="shared" si="418"/>
        <v>0</v>
      </c>
      <c r="U217" s="26">
        <f t="shared" si="418"/>
        <v>0</v>
      </c>
      <c r="V217" s="26">
        <f>IF(V207="","",V216*V211)</f>
        <v>750</v>
      </c>
      <c r="W217" s="26">
        <f t="shared" si="418"/>
        <v>0</v>
      </c>
      <c r="X217" s="26">
        <f t="shared" si="418"/>
        <v>0</v>
      </c>
      <c r="Y217" s="26">
        <f t="shared" si="418"/>
        <v>1500</v>
      </c>
      <c r="Z217" s="26">
        <f t="shared" si="418"/>
        <v>0</v>
      </c>
      <c r="AA217" s="26">
        <f t="shared" si="418"/>
        <v>0</v>
      </c>
      <c r="AB217" s="26">
        <f t="shared" si="418"/>
        <v>0</v>
      </c>
      <c r="AC217" s="26">
        <f t="shared" si="418"/>
        <v>0</v>
      </c>
      <c r="AD217" s="26">
        <f t="shared" si="418"/>
        <v>0</v>
      </c>
      <c r="AE217" s="26" t="str">
        <f t="shared" si="418"/>
        <v/>
      </c>
      <c r="AF217" s="26" t="str">
        <f t="shared" si="418"/>
        <v/>
      </c>
      <c r="AG217" s="26" t="str">
        <f t="shared" si="418"/>
        <v/>
      </c>
      <c r="AH217" s="26" t="str">
        <f t="shared" si="418"/>
        <v/>
      </c>
      <c r="AI217" s="26" t="str">
        <f t="shared" si="418"/>
        <v/>
      </c>
      <c r="AJ217" s="26" t="str">
        <f t="shared" si="418"/>
        <v/>
      </c>
      <c r="AK217" s="26" t="str">
        <f t="shared" si="418"/>
        <v/>
      </c>
      <c r="AL217" s="26" t="str">
        <f t="shared" si="418"/>
        <v/>
      </c>
      <c r="AM217" s="26" t="str">
        <f t="shared" si="418"/>
        <v/>
      </c>
      <c r="AN217" s="26" t="str">
        <f t="shared" si="418"/>
        <v/>
      </c>
      <c r="AO217" s="26" t="str">
        <f t="shared" si="418"/>
        <v/>
      </c>
      <c r="AP217" s="26" t="str">
        <f t="shared" ref="AP217:AR217" si="419">IF(AP207="","",AP216*AP211)</f>
        <v/>
      </c>
      <c r="AQ217" s="26" t="str">
        <f t="shared" si="419"/>
        <v/>
      </c>
      <c r="AR217" s="26" t="str">
        <f t="shared" si="419"/>
        <v/>
      </c>
    </row>
    <row r="218" spans="1:44" s="1" customFormat="1" ht="12" thickBot="1">
      <c r="A218" s="4">
        <f>IF(A217="","",A217/(A214*100))</f>
        <v>0.19480519480519481</v>
      </c>
      <c r="B218" s="27" t="s">
        <v>20</v>
      </c>
      <c r="C218" s="68" t="s">
        <v>21</v>
      </c>
      <c r="D218" s="44" t="str">
        <f t="shared" ref="D218:AO218" si="420">IF(D217="","",IF(D217=0,"",D217/(D214*100)))</f>
        <v/>
      </c>
      <c r="E218" s="44" t="str">
        <f t="shared" si="420"/>
        <v/>
      </c>
      <c r="F218" s="44">
        <f t="shared" si="420"/>
        <v>0.5</v>
      </c>
      <c r="G218" s="384" t="str">
        <f t="shared" si="420"/>
        <v/>
      </c>
      <c r="H218" s="44" t="str">
        <f t="shared" si="420"/>
        <v/>
      </c>
      <c r="I218" s="44">
        <f t="shared" si="420"/>
        <v>0.15306122448979592</v>
      </c>
      <c r="J218" s="384" t="str">
        <f t="shared" si="420"/>
        <v/>
      </c>
      <c r="K218" s="44" t="str">
        <f t="shared" si="420"/>
        <v/>
      </c>
      <c r="L218" s="44">
        <f t="shared" si="420"/>
        <v>0.18292682926829268</v>
      </c>
      <c r="M218" s="44" t="str">
        <f t="shared" si="420"/>
        <v/>
      </c>
      <c r="N218" s="44" t="str">
        <f t="shared" si="420"/>
        <v/>
      </c>
      <c r="O218" s="44">
        <f t="shared" si="420"/>
        <v>0.10869565217391304</v>
      </c>
      <c r="P218" s="384" t="str">
        <f t="shared" si="420"/>
        <v/>
      </c>
      <c r="Q218" s="44" t="str">
        <f t="shared" si="420"/>
        <v/>
      </c>
      <c r="R218" s="44" t="str">
        <f t="shared" si="420"/>
        <v/>
      </c>
      <c r="S218" s="44">
        <f t="shared" si="420"/>
        <v>0.65217391304347827</v>
      </c>
      <c r="T218" s="44" t="str">
        <f t="shared" si="420"/>
        <v/>
      </c>
      <c r="U218" s="44" t="str">
        <f t="shared" si="420"/>
        <v/>
      </c>
      <c r="V218" s="44">
        <f>IF(V217="","",IF(V217=0,"",V217/(V214*100)))</f>
        <v>0.25862068965517243</v>
      </c>
      <c r="W218" s="44" t="str">
        <f t="shared" si="420"/>
        <v/>
      </c>
      <c r="X218" s="44" t="str">
        <f t="shared" si="420"/>
        <v/>
      </c>
      <c r="Y218" s="44">
        <f t="shared" si="420"/>
        <v>0.375</v>
      </c>
      <c r="Z218" s="44" t="str">
        <f t="shared" si="420"/>
        <v/>
      </c>
      <c r="AA218" s="44" t="str">
        <f t="shared" si="420"/>
        <v/>
      </c>
      <c r="AB218" s="44" t="str">
        <f t="shared" si="420"/>
        <v/>
      </c>
      <c r="AC218" s="44" t="str">
        <f t="shared" si="420"/>
        <v/>
      </c>
      <c r="AD218" s="44" t="str">
        <f t="shared" si="420"/>
        <v/>
      </c>
      <c r="AE218" s="44" t="str">
        <f t="shared" si="420"/>
        <v/>
      </c>
      <c r="AF218" s="44" t="str">
        <f t="shared" si="420"/>
        <v/>
      </c>
      <c r="AG218" s="44" t="str">
        <f t="shared" si="420"/>
        <v/>
      </c>
      <c r="AH218" s="44" t="str">
        <f t="shared" si="420"/>
        <v/>
      </c>
      <c r="AI218" s="44" t="str">
        <f t="shared" si="420"/>
        <v/>
      </c>
      <c r="AJ218" s="44" t="str">
        <f t="shared" si="420"/>
        <v/>
      </c>
      <c r="AK218" s="44" t="str">
        <f t="shared" si="420"/>
        <v/>
      </c>
      <c r="AL218" s="44" t="str">
        <f t="shared" si="420"/>
        <v/>
      </c>
      <c r="AM218" s="44" t="str">
        <f t="shared" si="420"/>
        <v/>
      </c>
      <c r="AN218" s="44" t="str">
        <f t="shared" si="420"/>
        <v/>
      </c>
      <c r="AO218" s="44" t="str">
        <f t="shared" si="420"/>
        <v/>
      </c>
      <c r="AP218" s="44" t="str">
        <f t="shared" ref="AP218:AR218" si="421">IF(AP217="","",IF(AP217=0,"",AP217/(AP214*100)))</f>
        <v/>
      </c>
      <c r="AQ218" s="44" t="str">
        <f t="shared" si="421"/>
        <v/>
      </c>
      <c r="AR218" s="44" t="str">
        <f t="shared" si="421"/>
        <v/>
      </c>
    </row>
    <row r="219" spans="1:44" s="1" customFormat="1">
      <c r="A219" s="43" t="s">
        <v>175</v>
      </c>
      <c r="B219" s="42" t="s">
        <v>2</v>
      </c>
      <c r="C219" s="64">
        <v>13303</v>
      </c>
      <c r="D219" s="35">
        <f>IF(D$207="","",C219)</f>
        <v>13303</v>
      </c>
      <c r="E219" s="35">
        <f>IF(E$207="","",D219)</f>
        <v>13303</v>
      </c>
      <c r="F219" s="35">
        <v>13366</v>
      </c>
      <c r="G219" s="383">
        <f>IF(G$207="","",F219)</f>
        <v>13366</v>
      </c>
      <c r="H219" s="35">
        <f>IF(H$207="","",G219)</f>
        <v>13366</v>
      </c>
      <c r="I219" s="35">
        <v>13433</v>
      </c>
      <c r="J219" s="383">
        <f>IF(J$207="","",I219)</f>
        <v>13433</v>
      </c>
      <c r="K219" s="35">
        <f>IF(K$207="","",J219)</f>
        <v>13433</v>
      </c>
      <c r="L219" s="35">
        <v>13450</v>
      </c>
      <c r="M219" s="35">
        <f>IF(M$207="","",L219)</f>
        <v>13450</v>
      </c>
      <c r="N219" s="35">
        <f>IF(N$207="","",M219)</f>
        <v>13450</v>
      </c>
      <c r="O219" s="35">
        <v>13522</v>
      </c>
      <c r="P219" s="383">
        <f t="shared" ref="P219:AO219" si="422">IF(P$207="","",O219)</f>
        <v>13522</v>
      </c>
      <c r="Q219" s="35">
        <f t="shared" si="422"/>
        <v>13522</v>
      </c>
      <c r="R219" s="35">
        <f t="shared" si="422"/>
        <v>13522</v>
      </c>
      <c r="S219" s="35">
        <v>13552</v>
      </c>
      <c r="T219" s="35">
        <f t="shared" si="422"/>
        <v>13552</v>
      </c>
      <c r="U219" s="35">
        <f t="shared" si="422"/>
        <v>13552</v>
      </c>
      <c r="V219" s="35">
        <v>13619</v>
      </c>
      <c r="W219" s="35">
        <f t="shared" si="422"/>
        <v>13619</v>
      </c>
      <c r="X219" s="35">
        <f t="shared" si="422"/>
        <v>13619</v>
      </c>
      <c r="Y219" s="35">
        <v>13651</v>
      </c>
      <c r="Z219" s="35">
        <f t="shared" si="422"/>
        <v>13651</v>
      </c>
      <c r="AA219" s="35">
        <f t="shared" si="422"/>
        <v>13651</v>
      </c>
      <c r="AB219" s="35">
        <f t="shared" si="422"/>
        <v>13651</v>
      </c>
      <c r="AC219" s="35">
        <f t="shared" si="422"/>
        <v>13651</v>
      </c>
      <c r="AD219" s="35">
        <v>13738</v>
      </c>
      <c r="AE219" s="35" t="str">
        <f t="shared" si="422"/>
        <v/>
      </c>
      <c r="AF219" s="35" t="str">
        <f t="shared" si="422"/>
        <v/>
      </c>
      <c r="AG219" s="35" t="str">
        <f t="shared" si="422"/>
        <v/>
      </c>
      <c r="AH219" s="35" t="str">
        <f t="shared" si="422"/>
        <v/>
      </c>
      <c r="AI219" s="35" t="str">
        <f t="shared" si="422"/>
        <v/>
      </c>
      <c r="AJ219" s="35" t="str">
        <f t="shared" si="422"/>
        <v/>
      </c>
      <c r="AK219" s="35" t="str">
        <f t="shared" si="422"/>
        <v/>
      </c>
      <c r="AL219" s="35" t="str">
        <f t="shared" si="422"/>
        <v/>
      </c>
      <c r="AM219" s="35" t="str">
        <f t="shared" si="422"/>
        <v/>
      </c>
      <c r="AN219" s="35" t="str">
        <f t="shared" si="422"/>
        <v/>
      </c>
      <c r="AO219" s="35" t="str">
        <f t="shared" si="422"/>
        <v/>
      </c>
      <c r="AP219" s="35" t="str">
        <f t="shared" ref="AP219:AR219" si="423">IF(AP$207="","",AO219)</f>
        <v/>
      </c>
      <c r="AQ219" s="35" t="str">
        <f t="shared" si="423"/>
        <v/>
      </c>
      <c r="AR219" s="35" t="str">
        <f t="shared" si="423"/>
        <v/>
      </c>
    </row>
    <row r="220" spans="1:44" s="1" customFormat="1">
      <c r="A220" s="37" t="s">
        <v>184</v>
      </c>
      <c r="B220" s="30" t="s">
        <v>4</v>
      </c>
      <c r="C220" s="65">
        <v>325</v>
      </c>
      <c r="D220" s="29">
        <f>IF(D$207="","",C220)</f>
        <v>325</v>
      </c>
      <c r="E220" s="29">
        <f>IF(E$207="","",D220)</f>
        <v>325</v>
      </c>
      <c r="F220" s="29">
        <v>325</v>
      </c>
      <c r="G220" s="122">
        <f>IF(G$207="","",F220)</f>
        <v>325</v>
      </c>
      <c r="H220" s="29">
        <f>IF(H$207="","",G220)</f>
        <v>325</v>
      </c>
      <c r="I220" s="29">
        <v>325</v>
      </c>
      <c r="J220" s="122">
        <f>IF(J$207="","",I220)</f>
        <v>325</v>
      </c>
      <c r="K220" s="29">
        <f>IF(K$207="","",J220)</f>
        <v>325</v>
      </c>
      <c r="L220" s="29">
        <v>326</v>
      </c>
      <c r="M220" s="29">
        <f>IF(M$207="","",L220)</f>
        <v>326</v>
      </c>
      <c r="N220" s="29">
        <f>IF(N$207="","",M220)</f>
        <v>326</v>
      </c>
      <c r="O220" s="29">
        <v>326</v>
      </c>
      <c r="P220" s="122">
        <f t="shared" ref="P220:AO220" si="424">IF(P$207="","",O220)</f>
        <v>326</v>
      </c>
      <c r="Q220" s="29">
        <f t="shared" si="424"/>
        <v>326</v>
      </c>
      <c r="R220" s="29">
        <f t="shared" si="424"/>
        <v>326</v>
      </c>
      <c r="S220" s="29">
        <v>327</v>
      </c>
      <c r="T220" s="29">
        <f t="shared" si="424"/>
        <v>327</v>
      </c>
      <c r="U220" s="29">
        <f t="shared" si="424"/>
        <v>327</v>
      </c>
      <c r="V220" s="29">
        <v>327</v>
      </c>
      <c r="W220" s="29">
        <f t="shared" si="424"/>
        <v>327</v>
      </c>
      <c r="X220" s="29">
        <f t="shared" si="424"/>
        <v>327</v>
      </c>
      <c r="Y220" s="29">
        <v>328</v>
      </c>
      <c r="Z220" s="29">
        <f t="shared" si="424"/>
        <v>328</v>
      </c>
      <c r="AA220" s="29">
        <f t="shared" si="424"/>
        <v>328</v>
      </c>
      <c r="AB220" s="29">
        <f t="shared" si="424"/>
        <v>328</v>
      </c>
      <c r="AC220" s="29">
        <f t="shared" si="424"/>
        <v>328</v>
      </c>
      <c r="AD220" s="29">
        <v>329</v>
      </c>
      <c r="AE220" s="29" t="str">
        <f t="shared" si="424"/>
        <v/>
      </c>
      <c r="AF220" s="29" t="str">
        <f t="shared" si="424"/>
        <v/>
      </c>
      <c r="AG220" s="29" t="str">
        <f t="shared" si="424"/>
        <v/>
      </c>
      <c r="AH220" s="29" t="str">
        <f t="shared" si="424"/>
        <v/>
      </c>
      <c r="AI220" s="29" t="str">
        <f t="shared" si="424"/>
        <v/>
      </c>
      <c r="AJ220" s="29" t="str">
        <f t="shared" si="424"/>
        <v/>
      </c>
      <c r="AK220" s="29" t="str">
        <f t="shared" si="424"/>
        <v/>
      </c>
      <c r="AL220" s="29" t="str">
        <f t="shared" si="424"/>
        <v/>
      </c>
      <c r="AM220" s="29" t="str">
        <f t="shared" si="424"/>
        <v/>
      </c>
      <c r="AN220" s="29" t="str">
        <f t="shared" si="424"/>
        <v/>
      </c>
      <c r="AO220" s="29" t="str">
        <f t="shared" si="424"/>
        <v/>
      </c>
      <c r="AP220" s="29" t="str">
        <f t="shared" ref="AP220:AR220" si="425">IF(AP$207="","",AO220)</f>
        <v/>
      </c>
      <c r="AQ220" s="29" t="str">
        <f t="shared" si="425"/>
        <v/>
      </c>
      <c r="AR220" s="29" t="str">
        <f t="shared" si="425"/>
        <v/>
      </c>
    </row>
    <row r="221" spans="1:44" s="1" customFormat="1">
      <c r="A221" s="41">
        <v>2</v>
      </c>
      <c r="B221" s="30" t="s">
        <v>5</v>
      </c>
      <c r="C221" s="65">
        <v>5</v>
      </c>
      <c r="D221" s="29">
        <f t="shared" ref="D221:K221" si="426">IF(D219="","",(C221+C222))</f>
        <v>5</v>
      </c>
      <c r="E221" s="29">
        <f t="shared" si="426"/>
        <v>5</v>
      </c>
      <c r="F221" s="29">
        <f t="shared" si="426"/>
        <v>5</v>
      </c>
      <c r="G221" s="122">
        <f t="shared" si="426"/>
        <v>5</v>
      </c>
      <c r="H221" s="29">
        <f t="shared" si="426"/>
        <v>5</v>
      </c>
      <c r="I221" s="29">
        <f t="shared" si="426"/>
        <v>5</v>
      </c>
      <c r="J221" s="122">
        <f t="shared" si="426"/>
        <v>5</v>
      </c>
      <c r="K221" s="29">
        <f t="shared" si="426"/>
        <v>5</v>
      </c>
      <c r="L221" s="29">
        <v>4</v>
      </c>
      <c r="M221" s="29">
        <f t="shared" ref="M221:AO221" si="427">IF(M219="","",(L221+L222))</f>
        <v>6</v>
      </c>
      <c r="N221" s="29">
        <f t="shared" si="427"/>
        <v>6</v>
      </c>
      <c r="O221" s="29">
        <f t="shared" si="427"/>
        <v>6</v>
      </c>
      <c r="P221" s="122">
        <f t="shared" si="427"/>
        <v>4</v>
      </c>
      <c r="Q221" s="29">
        <f t="shared" si="427"/>
        <v>4</v>
      </c>
      <c r="R221" s="29">
        <f t="shared" si="427"/>
        <v>4</v>
      </c>
      <c r="S221" s="29">
        <v>3</v>
      </c>
      <c r="T221" s="29">
        <f t="shared" si="427"/>
        <v>4</v>
      </c>
      <c r="U221" s="29">
        <f t="shared" si="427"/>
        <v>4</v>
      </c>
      <c r="V221" s="29">
        <f>IF(V219="","",(U221+U222))</f>
        <v>4</v>
      </c>
      <c r="W221" s="29">
        <f t="shared" si="427"/>
        <v>8</v>
      </c>
      <c r="X221" s="29">
        <f t="shared" si="427"/>
        <v>8</v>
      </c>
      <c r="Y221" s="29">
        <v>7</v>
      </c>
      <c r="Z221" s="29">
        <f t="shared" si="427"/>
        <v>7</v>
      </c>
      <c r="AA221" s="29">
        <f t="shared" si="427"/>
        <v>7</v>
      </c>
      <c r="AB221" s="29">
        <f t="shared" si="427"/>
        <v>7</v>
      </c>
      <c r="AC221" s="29">
        <f t="shared" si="427"/>
        <v>7</v>
      </c>
      <c r="AD221" s="29">
        <v>6</v>
      </c>
      <c r="AE221" s="29" t="str">
        <f t="shared" si="427"/>
        <v/>
      </c>
      <c r="AF221" s="29" t="str">
        <f t="shared" si="427"/>
        <v/>
      </c>
      <c r="AG221" s="29" t="str">
        <f t="shared" si="427"/>
        <v/>
      </c>
      <c r="AH221" s="29" t="str">
        <f t="shared" si="427"/>
        <v/>
      </c>
      <c r="AI221" s="29" t="str">
        <f t="shared" si="427"/>
        <v/>
      </c>
      <c r="AJ221" s="29" t="str">
        <f t="shared" si="427"/>
        <v/>
      </c>
      <c r="AK221" s="29" t="str">
        <f t="shared" si="427"/>
        <v/>
      </c>
      <c r="AL221" s="29" t="str">
        <f t="shared" si="427"/>
        <v/>
      </c>
      <c r="AM221" s="29" t="str">
        <f t="shared" si="427"/>
        <v/>
      </c>
      <c r="AN221" s="29" t="str">
        <f t="shared" si="427"/>
        <v/>
      </c>
      <c r="AO221" s="29" t="str">
        <f t="shared" si="427"/>
        <v/>
      </c>
      <c r="AP221" s="29" t="str">
        <f t="shared" ref="AP221:AR221" si="428">IF(AP219="","",(AO221+AO222))</f>
        <v/>
      </c>
      <c r="AQ221" s="29" t="str">
        <f t="shared" si="428"/>
        <v/>
      </c>
      <c r="AR221" s="29" t="str">
        <f t="shared" si="428"/>
        <v/>
      </c>
    </row>
    <row r="222" spans="1:44" s="1" customFormat="1">
      <c r="A222" s="14"/>
      <c r="B222" s="30" t="s">
        <v>7</v>
      </c>
      <c r="C222" s="65"/>
      <c r="D222" s="29"/>
      <c r="E222" s="29"/>
      <c r="F222" s="29"/>
      <c r="G222" s="122"/>
      <c r="H222" s="29"/>
      <c r="I222" s="29"/>
      <c r="J222" s="122"/>
      <c r="K222" s="29"/>
      <c r="L222" s="29">
        <v>2</v>
      </c>
      <c r="M222" s="29"/>
      <c r="N222" s="29"/>
      <c r="O222" s="29">
        <v>-2</v>
      </c>
      <c r="P222" s="122"/>
      <c r="Q222" s="29"/>
      <c r="R222" s="29"/>
      <c r="S222" s="29">
        <v>1</v>
      </c>
      <c r="T222" s="29"/>
      <c r="U222" s="29"/>
      <c r="V222" s="29">
        <v>4</v>
      </c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</row>
    <row r="223" spans="1:44" s="1" customFormat="1">
      <c r="A223" s="7"/>
      <c r="B223" s="30" t="s">
        <v>8</v>
      </c>
      <c r="C223" s="64">
        <v>500</v>
      </c>
      <c r="D223" s="35">
        <f t="shared" ref="D223:O223" si="429">IF(D219="","",C223)</f>
        <v>500</v>
      </c>
      <c r="E223" s="35">
        <f t="shared" si="429"/>
        <v>500</v>
      </c>
      <c r="F223" s="35">
        <f t="shared" si="429"/>
        <v>500</v>
      </c>
      <c r="G223" s="383">
        <f t="shared" si="429"/>
        <v>500</v>
      </c>
      <c r="H223" s="35">
        <f t="shared" si="429"/>
        <v>500</v>
      </c>
      <c r="I223" s="35">
        <f t="shared" si="429"/>
        <v>500</v>
      </c>
      <c r="J223" s="383">
        <f t="shared" si="429"/>
        <v>500</v>
      </c>
      <c r="K223" s="35">
        <f t="shared" si="429"/>
        <v>500</v>
      </c>
      <c r="L223" s="35">
        <f t="shared" si="429"/>
        <v>500</v>
      </c>
      <c r="M223" s="35">
        <f t="shared" si="429"/>
        <v>500</v>
      </c>
      <c r="N223" s="35">
        <f t="shared" si="429"/>
        <v>500</v>
      </c>
      <c r="O223" s="35">
        <f t="shared" si="429"/>
        <v>500</v>
      </c>
      <c r="P223" s="383">
        <v>800</v>
      </c>
      <c r="Q223" s="35">
        <f t="shared" ref="Q223:AO223" si="430">IF(Q219="","",P223)</f>
        <v>800</v>
      </c>
      <c r="R223" s="35">
        <f t="shared" si="430"/>
        <v>800</v>
      </c>
      <c r="S223" s="35">
        <f t="shared" si="430"/>
        <v>800</v>
      </c>
      <c r="T223" s="35">
        <f t="shared" si="430"/>
        <v>800</v>
      </c>
      <c r="U223" s="35">
        <f t="shared" si="430"/>
        <v>800</v>
      </c>
      <c r="V223" s="35">
        <f>IF(V219="","",U223)</f>
        <v>800</v>
      </c>
      <c r="W223" s="35">
        <f t="shared" si="430"/>
        <v>800</v>
      </c>
      <c r="X223" s="35">
        <f t="shared" si="430"/>
        <v>800</v>
      </c>
      <c r="Y223" s="35">
        <f>IF(Y219="","",X223)</f>
        <v>800</v>
      </c>
      <c r="Z223" s="35">
        <f t="shared" si="430"/>
        <v>800</v>
      </c>
      <c r="AA223" s="35">
        <f t="shared" si="430"/>
        <v>800</v>
      </c>
      <c r="AB223" s="35">
        <f t="shared" si="430"/>
        <v>800</v>
      </c>
      <c r="AC223" s="35">
        <f t="shared" si="430"/>
        <v>800</v>
      </c>
      <c r="AD223" s="35">
        <f t="shared" si="430"/>
        <v>800</v>
      </c>
      <c r="AE223" s="35" t="str">
        <f t="shared" si="430"/>
        <v/>
      </c>
      <c r="AF223" s="35" t="str">
        <f t="shared" si="430"/>
        <v/>
      </c>
      <c r="AG223" s="35" t="str">
        <f t="shared" si="430"/>
        <v/>
      </c>
      <c r="AH223" s="35" t="str">
        <f t="shared" si="430"/>
        <v/>
      </c>
      <c r="AI223" s="35" t="str">
        <f t="shared" si="430"/>
        <v/>
      </c>
      <c r="AJ223" s="35" t="str">
        <f t="shared" si="430"/>
        <v/>
      </c>
      <c r="AK223" s="35" t="str">
        <f t="shared" si="430"/>
        <v/>
      </c>
      <c r="AL223" s="35" t="str">
        <f t="shared" si="430"/>
        <v/>
      </c>
      <c r="AM223" s="35" t="str">
        <f t="shared" si="430"/>
        <v/>
      </c>
      <c r="AN223" s="35" t="str">
        <f t="shared" si="430"/>
        <v/>
      </c>
      <c r="AO223" s="35" t="str">
        <f t="shared" si="430"/>
        <v/>
      </c>
      <c r="AP223" s="35" t="str">
        <f t="shared" ref="AP223:AR223" si="431">IF(AP219="","",AO223)</f>
        <v/>
      </c>
      <c r="AQ223" s="35" t="str">
        <f t="shared" si="431"/>
        <v/>
      </c>
      <c r="AR223" s="35" t="str">
        <f t="shared" si="431"/>
        <v/>
      </c>
    </row>
    <row r="224" spans="1:44" s="11" customFormat="1">
      <c r="A224" s="14" t="s">
        <v>9</v>
      </c>
      <c r="B224" s="33" t="s">
        <v>10</v>
      </c>
      <c r="C224" s="63" t="s">
        <v>206</v>
      </c>
      <c r="D224" s="32" t="str">
        <f t="shared" ref="D224:O224" si="432">IF(D219="","",C224)</f>
        <v>忍者めし</v>
      </c>
      <c r="E224" s="32" t="str">
        <f t="shared" si="432"/>
        <v>忍者めし</v>
      </c>
      <c r="F224" s="32" t="str">
        <f t="shared" si="432"/>
        <v>忍者めし</v>
      </c>
      <c r="G224" s="123" t="str">
        <f t="shared" si="432"/>
        <v>忍者めし</v>
      </c>
      <c r="H224" s="32" t="str">
        <f t="shared" si="432"/>
        <v>忍者めし</v>
      </c>
      <c r="I224" s="32" t="str">
        <f t="shared" si="432"/>
        <v>忍者めし</v>
      </c>
      <c r="J224" s="123" t="str">
        <f t="shared" si="432"/>
        <v>忍者めし</v>
      </c>
      <c r="K224" s="32" t="str">
        <f t="shared" si="432"/>
        <v>忍者めし</v>
      </c>
      <c r="L224" s="32" t="str">
        <f t="shared" si="432"/>
        <v>忍者めし</v>
      </c>
      <c r="M224" s="32" t="str">
        <f t="shared" si="432"/>
        <v>忍者めし</v>
      </c>
      <c r="N224" s="32" t="str">
        <f t="shared" si="432"/>
        <v>忍者めし</v>
      </c>
      <c r="O224" s="32" t="str">
        <f t="shared" si="432"/>
        <v>忍者めし</v>
      </c>
      <c r="P224" s="123" t="s">
        <v>207</v>
      </c>
      <c r="Q224" s="32" t="str">
        <f t="shared" ref="Q224:AO224" si="433">IF(Q219="","",P224)</f>
        <v>キティミラー</v>
      </c>
      <c r="R224" s="32" t="str">
        <f t="shared" si="433"/>
        <v>キティミラー</v>
      </c>
      <c r="S224" s="32" t="str">
        <f t="shared" si="433"/>
        <v>キティミラー</v>
      </c>
      <c r="T224" s="32" t="str">
        <f t="shared" si="433"/>
        <v>キティミラー</v>
      </c>
      <c r="U224" s="32" t="str">
        <f t="shared" si="433"/>
        <v>キティミラー</v>
      </c>
      <c r="V224" s="32" t="str">
        <f>IF(V219="","",U224)</f>
        <v>キティミラー</v>
      </c>
      <c r="W224" s="32" t="str">
        <f t="shared" si="433"/>
        <v>キティミラー</v>
      </c>
      <c r="X224" s="32" t="str">
        <f t="shared" si="433"/>
        <v>キティミラー</v>
      </c>
      <c r="Y224" s="32" t="str">
        <f t="shared" si="433"/>
        <v>キティミラー</v>
      </c>
      <c r="Z224" s="32" t="str">
        <f t="shared" si="433"/>
        <v>キティミラー</v>
      </c>
      <c r="AA224" s="32" t="str">
        <f t="shared" si="433"/>
        <v>キティミラー</v>
      </c>
      <c r="AB224" s="32" t="str">
        <f t="shared" si="433"/>
        <v>キティミラー</v>
      </c>
      <c r="AC224" s="32" t="str">
        <f t="shared" si="433"/>
        <v>キティミラー</v>
      </c>
      <c r="AD224" s="32" t="str">
        <f t="shared" si="433"/>
        <v>キティミラー</v>
      </c>
      <c r="AE224" s="32" t="str">
        <f t="shared" si="433"/>
        <v/>
      </c>
      <c r="AF224" s="32" t="str">
        <f t="shared" si="433"/>
        <v/>
      </c>
      <c r="AG224" s="32" t="str">
        <f t="shared" si="433"/>
        <v/>
      </c>
      <c r="AH224" s="32" t="str">
        <f t="shared" si="433"/>
        <v/>
      </c>
      <c r="AI224" s="32" t="str">
        <f t="shared" si="433"/>
        <v/>
      </c>
      <c r="AJ224" s="32" t="str">
        <f t="shared" si="433"/>
        <v/>
      </c>
      <c r="AK224" s="32" t="str">
        <f t="shared" si="433"/>
        <v/>
      </c>
      <c r="AL224" s="32" t="str">
        <f t="shared" si="433"/>
        <v/>
      </c>
      <c r="AM224" s="32" t="str">
        <f t="shared" si="433"/>
        <v/>
      </c>
      <c r="AN224" s="32" t="str">
        <f t="shared" si="433"/>
        <v/>
      </c>
      <c r="AO224" s="32" t="str">
        <f t="shared" si="433"/>
        <v/>
      </c>
      <c r="AP224" s="32" t="str">
        <f t="shared" ref="AP224:AR224" si="434">IF(AP219="","",AO224)</f>
        <v/>
      </c>
      <c r="AQ224" s="32" t="str">
        <f t="shared" si="434"/>
        <v/>
      </c>
      <c r="AR224" s="32" t="str">
        <f t="shared" si="434"/>
        <v/>
      </c>
    </row>
    <row r="225" spans="1:44" s="1" customFormat="1">
      <c r="A225" s="7">
        <f>AVERAGE(C226:AS226)*30*100</f>
        <v>46607.142857142862</v>
      </c>
      <c r="B225" s="30" t="s">
        <v>14</v>
      </c>
      <c r="C225" s="65"/>
      <c r="D225" s="29"/>
      <c r="E225" s="29"/>
      <c r="F225" s="29"/>
      <c r="G225" s="122"/>
      <c r="H225" s="29"/>
      <c r="I225" s="29"/>
      <c r="J225" s="122"/>
      <c r="K225" s="29"/>
      <c r="L225" s="29"/>
      <c r="M225" s="29"/>
      <c r="N225" s="29"/>
      <c r="O225" s="29"/>
      <c r="P225" s="122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</row>
    <row r="226" spans="1:44" s="1" customFormat="1">
      <c r="A226" s="7">
        <f>SUM(C226:AS226)</f>
        <v>435</v>
      </c>
      <c r="B226" s="27" t="s">
        <v>15</v>
      </c>
      <c r="C226" s="65">
        <v>0</v>
      </c>
      <c r="D226" s="26">
        <f t="shared" ref="D226:AO226" si="435">IF(D219="","",D219-C219)</f>
        <v>0</v>
      </c>
      <c r="E226" s="26">
        <f t="shared" si="435"/>
        <v>0</v>
      </c>
      <c r="F226" s="26">
        <f t="shared" si="435"/>
        <v>63</v>
      </c>
      <c r="G226" s="122">
        <f t="shared" si="435"/>
        <v>0</v>
      </c>
      <c r="H226" s="26">
        <f t="shared" si="435"/>
        <v>0</v>
      </c>
      <c r="I226" s="26">
        <f t="shared" si="435"/>
        <v>67</v>
      </c>
      <c r="J226" s="122">
        <f t="shared" si="435"/>
        <v>0</v>
      </c>
      <c r="K226" s="26">
        <f t="shared" si="435"/>
        <v>0</v>
      </c>
      <c r="L226" s="26">
        <f t="shared" si="435"/>
        <v>17</v>
      </c>
      <c r="M226" s="26">
        <f t="shared" si="435"/>
        <v>0</v>
      </c>
      <c r="N226" s="26">
        <f t="shared" si="435"/>
        <v>0</v>
      </c>
      <c r="O226" s="26">
        <f t="shared" si="435"/>
        <v>72</v>
      </c>
      <c r="P226" s="122">
        <f t="shared" si="435"/>
        <v>0</v>
      </c>
      <c r="Q226" s="26">
        <f t="shared" si="435"/>
        <v>0</v>
      </c>
      <c r="R226" s="26">
        <f t="shared" si="435"/>
        <v>0</v>
      </c>
      <c r="S226" s="26">
        <f t="shared" si="435"/>
        <v>30</v>
      </c>
      <c r="T226" s="26">
        <f t="shared" si="435"/>
        <v>0</v>
      </c>
      <c r="U226" s="26">
        <f t="shared" si="435"/>
        <v>0</v>
      </c>
      <c r="V226" s="26">
        <f>IF(V219="","",V219-U219)</f>
        <v>67</v>
      </c>
      <c r="W226" s="26">
        <f t="shared" si="435"/>
        <v>0</v>
      </c>
      <c r="X226" s="26">
        <f t="shared" si="435"/>
        <v>0</v>
      </c>
      <c r="Y226" s="26">
        <f t="shared" si="435"/>
        <v>32</v>
      </c>
      <c r="Z226" s="26">
        <f t="shared" si="435"/>
        <v>0</v>
      </c>
      <c r="AA226" s="26">
        <f t="shared" si="435"/>
        <v>0</v>
      </c>
      <c r="AB226" s="26">
        <f t="shared" si="435"/>
        <v>0</v>
      </c>
      <c r="AC226" s="26">
        <f t="shared" si="435"/>
        <v>0</v>
      </c>
      <c r="AD226" s="26">
        <f t="shared" si="435"/>
        <v>87</v>
      </c>
      <c r="AE226" s="26" t="str">
        <f t="shared" si="435"/>
        <v/>
      </c>
      <c r="AF226" s="26" t="str">
        <f t="shared" si="435"/>
        <v/>
      </c>
      <c r="AG226" s="26" t="str">
        <f t="shared" si="435"/>
        <v/>
      </c>
      <c r="AH226" s="26" t="str">
        <f t="shared" si="435"/>
        <v/>
      </c>
      <c r="AI226" s="26" t="str">
        <f t="shared" si="435"/>
        <v/>
      </c>
      <c r="AJ226" s="26" t="str">
        <f t="shared" si="435"/>
        <v/>
      </c>
      <c r="AK226" s="26" t="str">
        <f t="shared" si="435"/>
        <v/>
      </c>
      <c r="AL226" s="26" t="str">
        <f t="shared" si="435"/>
        <v/>
      </c>
      <c r="AM226" s="26" t="str">
        <f t="shared" si="435"/>
        <v/>
      </c>
      <c r="AN226" s="26" t="str">
        <f t="shared" si="435"/>
        <v/>
      </c>
      <c r="AO226" s="26" t="str">
        <f t="shared" si="435"/>
        <v/>
      </c>
      <c r="AP226" s="26" t="str">
        <f t="shared" ref="AP226:AR226" si="436">IF(AP219="","",AP219-AO219)</f>
        <v/>
      </c>
      <c r="AQ226" s="26" t="str">
        <f t="shared" si="436"/>
        <v/>
      </c>
      <c r="AR226" s="26" t="str">
        <f t="shared" si="436"/>
        <v/>
      </c>
    </row>
    <row r="227" spans="1:44" s="1" customFormat="1">
      <c r="A227" s="7">
        <f>SUM(C227:AS227)</f>
        <v>4</v>
      </c>
      <c r="B227" s="27" t="s">
        <v>16</v>
      </c>
      <c r="C227" s="65">
        <v>0</v>
      </c>
      <c r="D227" s="26">
        <f t="shared" ref="D227:AO227" si="437">IF(D220="","",D220-C220)</f>
        <v>0</v>
      </c>
      <c r="E227" s="26">
        <f t="shared" si="437"/>
        <v>0</v>
      </c>
      <c r="F227" s="26">
        <f t="shared" si="437"/>
        <v>0</v>
      </c>
      <c r="G227" s="122">
        <f t="shared" si="437"/>
        <v>0</v>
      </c>
      <c r="H227" s="26">
        <f t="shared" si="437"/>
        <v>0</v>
      </c>
      <c r="I227" s="26">
        <f t="shared" si="437"/>
        <v>0</v>
      </c>
      <c r="J227" s="122">
        <f t="shared" si="437"/>
        <v>0</v>
      </c>
      <c r="K227" s="26">
        <f t="shared" si="437"/>
        <v>0</v>
      </c>
      <c r="L227" s="26">
        <f t="shared" si="437"/>
        <v>1</v>
      </c>
      <c r="M227" s="26">
        <f t="shared" si="437"/>
        <v>0</v>
      </c>
      <c r="N227" s="26">
        <f t="shared" si="437"/>
        <v>0</v>
      </c>
      <c r="O227" s="26">
        <f t="shared" si="437"/>
        <v>0</v>
      </c>
      <c r="P227" s="122">
        <f t="shared" si="437"/>
        <v>0</v>
      </c>
      <c r="Q227" s="26">
        <f t="shared" si="437"/>
        <v>0</v>
      </c>
      <c r="R227" s="26">
        <f t="shared" si="437"/>
        <v>0</v>
      </c>
      <c r="S227" s="26">
        <f t="shared" si="437"/>
        <v>1</v>
      </c>
      <c r="T227" s="26">
        <f t="shared" si="437"/>
        <v>0</v>
      </c>
      <c r="U227" s="26">
        <f t="shared" si="437"/>
        <v>0</v>
      </c>
      <c r="V227" s="26">
        <f>IF(V220="","",V220-U220)</f>
        <v>0</v>
      </c>
      <c r="W227" s="26">
        <f t="shared" si="437"/>
        <v>0</v>
      </c>
      <c r="X227" s="26">
        <f t="shared" si="437"/>
        <v>0</v>
      </c>
      <c r="Y227" s="26">
        <f t="shared" si="437"/>
        <v>1</v>
      </c>
      <c r="Z227" s="26">
        <f t="shared" si="437"/>
        <v>0</v>
      </c>
      <c r="AA227" s="26">
        <f t="shared" si="437"/>
        <v>0</v>
      </c>
      <c r="AB227" s="26">
        <f t="shared" si="437"/>
        <v>0</v>
      </c>
      <c r="AC227" s="26">
        <f t="shared" si="437"/>
        <v>0</v>
      </c>
      <c r="AD227" s="26">
        <f t="shared" si="437"/>
        <v>1</v>
      </c>
      <c r="AE227" s="26" t="str">
        <f t="shared" si="437"/>
        <v/>
      </c>
      <c r="AF227" s="26" t="str">
        <f t="shared" si="437"/>
        <v/>
      </c>
      <c r="AG227" s="26" t="str">
        <f t="shared" si="437"/>
        <v/>
      </c>
      <c r="AH227" s="26" t="str">
        <f t="shared" si="437"/>
        <v/>
      </c>
      <c r="AI227" s="26" t="str">
        <f t="shared" si="437"/>
        <v/>
      </c>
      <c r="AJ227" s="26" t="str">
        <f t="shared" si="437"/>
        <v/>
      </c>
      <c r="AK227" s="26" t="str">
        <f t="shared" si="437"/>
        <v/>
      </c>
      <c r="AL227" s="26" t="str">
        <f t="shared" si="437"/>
        <v/>
      </c>
      <c r="AM227" s="26" t="str">
        <f t="shared" si="437"/>
        <v/>
      </c>
      <c r="AN227" s="26" t="str">
        <f t="shared" si="437"/>
        <v/>
      </c>
      <c r="AO227" s="26" t="str">
        <f t="shared" si="437"/>
        <v/>
      </c>
      <c r="AP227" s="26" t="str">
        <f t="shared" ref="AP227:AR227" si="438">IF(AP220="","",AP220-AO220)</f>
        <v/>
      </c>
      <c r="AQ227" s="26" t="str">
        <f t="shared" si="438"/>
        <v/>
      </c>
      <c r="AR227" s="26" t="str">
        <f t="shared" si="438"/>
        <v/>
      </c>
    </row>
    <row r="228" spans="1:44" s="1" customFormat="1">
      <c r="A228" s="7">
        <f>SUM(C228:AS228)</f>
        <v>4</v>
      </c>
      <c r="B228" s="27" t="s">
        <v>17</v>
      </c>
      <c r="C228" s="65">
        <v>0</v>
      </c>
      <c r="D228" s="26">
        <f t="shared" ref="D228:AO228" si="439">IF(D221="","",C221+C222-D221)</f>
        <v>0</v>
      </c>
      <c r="E228" s="26">
        <f t="shared" si="439"/>
        <v>0</v>
      </c>
      <c r="F228" s="26">
        <f t="shared" si="439"/>
        <v>0</v>
      </c>
      <c r="G228" s="122">
        <f t="shared" si="439"/>
        <v>0</v>
      </c>
      <c r="H228" s="26">
        <f t="shared" si="439"/>
        <v>0</v>
      </c>
      <c r="I228" s="26">
        <f t="shared" si="439"/>
        <v>0</v>
      </c>
      <c r="J228" s="122">
        <f t="shared" si="439"/>
        <v>0</v>
      </c>
      <c r="K228" s="26">
        <f t="shared" si="439"/>
        <v>0</v>
      </c>
      <c r="L228" s="26">
        <f t="shared" si="439"/>
        <v>1</v>
      </c>
      <c r="M228" s="26">
        <f t="shared" si="439"/>
        <v>0</v>
      </c>
      <c r="N228" s="26">
        <f t="shared" si="439"/>
        <v>0</v>
      </c>
      <c r="O228" s="26">
        <f t="shared" si="439"/>
        <v>0</v>
      </c>
      <c r="P228" s="122">
        <f t="shared" si="439"/>
        <v>0</v>
      </c>
      <c r="Q228" s="26">
        <f t="shared" si="439"/>
        <v>0</v>
      </c>
      <c r="R228" s="26">
        <f t="shared" si="439"/>
        <v>0</v>
      </c>
      <c r="S228" s="26">
        <f t="shared" si="439"/>
        <v>1</v>
      </c>
      <c r="T228" s="26">
        <f t="shared" si="439"/>
        <v>0</v>
      </c>
      <c r="U228" s="26">
        <f t="shared" si="439"/>
        <v>0</v>
      </c>
      <c r="V228" s="26">
        <f>IF(V221="","",U221+U222-V221)</f>
        <v>0</v>
      </c>
      <c r="W228" s="26">
        <f t="shared" si="439"/>
        <v>0</v>
      </c>
      <c r="X228" s="26">
        <f t="shared" si="439"/>
        <v>0</v>
      </c>
      <c r="Y228" s="26">
        <f t="shared" si="439"/>
        <v>1</v>
      </c>
      <c r="Z228" s="26">
        <f t="shared" si="439"/>
        <v>0</v>
      </c>
      <c r="AA228" s="26">
        <f t="shared" si="439"/>
        <v>0</v>
      </c>
      <c r="AB228" s="26">
        <f t="shared" si="439"/>
        <v>0</v>
      </c>
      <c r="AC228" s="26">
        <f t="shared" si="439"/>
        <v>0</v>
      </c>
      <c r="AD228" s="26">
        <f t="shared" si="439"/>
        <v>1</v>
      </c>
      <c r="AE228" s="26" t="str">
        <f t="shared" si="439"/>
        <v/>
      </c>
      <c r="AF228" s="26" t="str">
        <f t="shared" si="439"/>
        <v/>
      </c>
      <c r="AG228" s="26" t="str">
        <f t="shared" si="439"/>
        <v/>
      </c>
      <c r="AH228" s="26" t="str">
        <f t="shared" si="439"/>
        <v/>
      </c>
      <c r="AI228" s="26" t="str">
        <f t="shared" si="439"/>
        <v/>
      </c>
      <c r="AJ228" s="26" t="str">
        <f t="shared" si="439"/>
        <v/>
      </c>
      <c r="AK228" s="26" t="str">
        <f t="shared" si="439"/>
        <v/>
      </c>
      <c r="AL228" s="26" t="str">
        <f t="shared" si="439"/>
        <v/>
      </c>
      <c r="AM228" s="26" t="str">
        <f t="shared" si="439"/>
        <v/>
      </c>
      <c r="AN228" s="26" t="str">
        <f t="shared" si="439"/>
        <v/>
      </c>
      <c r="AO228" s="26" t="str">
        <f t="shared" si="439"/>
        <v/>
      </c>
      <c r="AP228" s="26" t="str">
        <f t="shared" ref="AP228:AR228" si="440">IF(AP221="","",AO221+AO222-AP221)</f>
        <v/>
      </c>
      <c r="AQ228" s="26" t="str">
        <f t="shared" si="440"/>
        <v/>
      </c>
      <c r="AR228" s="26" t="str">
        <f t="shared" si="440"/>
        <v/>
      </c>
    </row>
    <row r="229" spans="1:44" s="1" customFormat="1">
      <c r="A229" s="7">
        <f>SUM(C229:AS229)</f>
        <v>2900</v>
      </c>
      <c r="B229" s="27" t="s">
        <v>18</v>
      </c>
      <c r="C229" s="65">
        <v>0</v>
      </c>
      <c r="D229" s="26">
        <f t="shared" ref="D229:AO229" si="441">IF(D219="","",D228*D223)</f>
        <v>0</v>
      </c>
      <c r="E229" s="26">
        <f t="shared" si="441"/>
        <v>0</v>
      </c>
      <c r="F229" s="26">
        <f t="shared" si="441"/>
        <v>0</v>
      </c>
      <c r="G229" s="122">
        <f t="shared" si="441"/>
        <v>0</v>
      </c>
      <c r="H229" s="26">
        <f t="shared" si="441"/>
        <v>0</v>
      </c>
      <c r="I229" s="26">
        <f t="shared" si="441"/>
        <v>0</v>
      </c>
      <c r="J229" s="122">
        <f t="shared" si="441"/>
        <v>0</v>
      </c>
      <c r="K229" s="26">
        <f t="shared" si="441"/>
        <v>0</v>
      </c>
      <c r="L229" s="26">
        <f t="shared" si="441"/>
        <v>500</v>
      </c>
      <c r="M229" s="26">
        <f t="shared" si="441"/>
        <v>0</v>
      </c>
      <c r="N229" s="26">
        <f t="shared" si="441"/>
        <v>0</v>
      </c>
      <c r="O229" s="26">
        <f t="shared" si="441"/>
        <v>0</v>
      </c>
      <c r="P229" s="122">
        <f t="shared" si="441"/>
        <v>0</v>
      </c>
      <c r="Q229" s="26">
        <f t="shared" si="441"/>
        <v>0</v>
      </c>
      <c r="R229" s="26">
        <f t="shared" si="441"/>
        <v>0</v>
      </c>
      <c r="S229" s="26">
        <f t="shared" si="441"/>
        <v>800</v>
      </c>
      <c r="T229" s="26">
        <f t="shared" si="441"/>
        <v>0</v>
      </c>
      <c r="U229" s="26">
        <f t="shared" si="441"/>
        <v>0</v>
      </c>
      <c r="V229" s="26">
        <f>IF(V219="","",V228*V223)</f>
        <v>0</v>
      </c>
      <c r="W229" s="26">
        <f t="shared" si="441"/>
        <v>0</v>
      </c>
      <c r="X229" s="26">
        <f t="shared" si="441"/>
        <v>0</v>
      </c>
      <c r="Y229" s="26">
        <f t="shared" si="441"/>
        <v>800</v>
      </c>
      <c r="Z229" s="26">
        <f t="shared" si="441"/>
        <v>0</v>
      </c>
      <c r="AA229" s="26">
        <f t="shared" si="441"/>
        <v>0</v>
      </c>
      <c r="AB229" s="26">
        <f t="shared" si="441"/>
        <v>0</v>
      </c>
      <c r="AC229" s="26">
        <f t="shared" si="441"/>
        <v>0</v>
      </c>
      <c r="AD229" s="26">
        <f t="shared" si="441"/>
        <v>800</v>
      </c>
      <c r="AE229" s="26" t="str">
        <f t="shared" si="441"/>
        <v/>
      </c>
      <c r="AF229" s="26" t="str">
        <f t="shared" si="441"/>
        <v/>
      </c>
      <c r="AG229" s="26" t="str">
        <f t="shared" si="441"/>
        <v/>
      </c>
      <c r="AH229" s="26" t="str">
        <f t="shared" si="441"/>
        <v/>
      </c>
      <c r="AI229" s="26" t="str">
        <f t="shared" si="441"/>
        <v/>
      </c>
      <c r="AJ229" s="26" t="str">
        <f t="shared" si="441"/>
        <v/>
      </c>
      <c r="AK229" s="26" t="str">
        <f t="shared" si="441"/>
        <v/>
      </c>
      <c r="AL229" s="26" t="str">
        <f t="shared" si="441"/>
        <v/>
      </c>
      <c r="AM229" s="26" t="str">
        <f t="shared" si="441"/>
        <v/>
      </c>
      <c r="AN229" s="26" t="str">
        <f t="shared" si="441"/>
        <v/>
      </c>
      <c r="AO229" s="26" t="str">
        <f t="shared" si="441"/>
        <v/>
      </c>
      <c r="AP229" s="26" t="str">
        <f t="shared" ref="AP229:AR229" si="442">IF(AP219="","",AP228*AP223)</f>
        <v/>
      </c>
      <c r="AQ229" s="26" t="str">
        <f t="shared" si="442"/>
        <v/>
      </c>
      <c r="AR229" s="26" t="str">
        <f t="shared" si="442"/>
        <v/>
      </c>
    </row>
    <row r="230" spans="1:44" s="1" customFormat="1" ht="12" thickBot="1">
      <c r="A230" s="4">
        <f>IF(A229="","",A229/(A226*100))</f>
        <v>6.6666666666666666E-2</v>
      </c>
      <c r="B230" s="27" t="s">
        <v>20</v>
      </c>
      <c r="C230" s="68" t="s">
        <v>21</v>
      </c>
      <c r="D230" s="44" t="str">
        <f t="shared" ref="D230:AO230" si="443">IF(D229="","",IF(D229=0,"",D229/(D226*100)))</f>
        <v/>
      </c>
      <c r="E230" s="44" t="str">
        <f t="shared" si="443"/>
        <v/>
      </c>
      <c r="F230" s="44" t="str">
        <f t="shared" si="443"/>
        <v/>
      </c>
      <c r="G230" s="384" t="str">
        <f t="shared" si="443"/>
        <v/>
      </c>
      <c r="H230" s="44" t="str">
        <f t="shared" si="443"/>
        <v/>
      </c>
      <c r="I230" s="44" t="str">
        <f t="shared" si="443"/>
        <v/>
      </c>
      <c r="J230" s="384" t="str">
        <f t="shared" si="443"/>
        <v/>
      </c>
      <c r="K230" s="44" t="str">
        <f t="shared" si="443"/>
        <v/>
      </c>
      <c r="L230" s="44">
        <f t="shared" si="443"/>
        <v>0.29411764705882354</v>
      </c>
      <c r="M230" s="44" t="str">
        <f t="shared" si="443"/>
        <v/>
      </c>
      <c r="N230" s="44" t="str">
        <f t="shared" si="443"/>
        <v/>
      </c>
      <c r="O230" s="44" t="str">
        <f t="shared" si="443"/>
        <v/>
      </c>
      <c r="P230" s="384" t="str">
        <f t="shared" si="443"/>
        <v/>
      </c>
      <c r="Q230" s="44" t="str">
        <f t="shared" si="443"/>
        <v/>
      </c>
      <c r="R230" s="44" t="str">
        <f t="shared" si="443"/>
        <v/>
      </c>
      <c r="S230" s="44">
        <f t="shared" si="443"/>
        <v>0.26666666666666666</v>
      </c>
      <c r="T230" s="44" t="str">
        <f t="shared" si="443"/>
        <v/>
      </c>
      <c r="U230" s="44" t="str">
        <f t="shared" si="443"/>
        <v/>
      </c>
      <c r="V230" s="44" t="str">
        <f>IF(V229="","",IF(V229=0,"",V229/(V226*100)))</f>
        <v/>
      </c>
      <c r="W230" s="44" t="str">
        <f t="shared" si="443"/>
        <v/>
      </c>
      <c r="X230" s="44" t="str">
        <f t="shared" si="443"/>
        <v/>
      </c>
      <c r="Y230" s="44">
        <f t="shared" si="443"/>
        <v>0.25</v>
      </c>
      <c r="Z230" s="44" t="str">
        <f t="shared" si="443"/>
        <v/>
      </c>
      <c r="AA230" s="44" t="str">
        <f t="shared" si="443"/>
        <v/>
      </c>
      <c r="AB230" s="44" t="str">
        <f t="shared" si="443"/>
        <v/>
      </c>
      <c r="AC230" s="44" t="str">
        <f t="shared" si="443"/>
        <v/>
      </c>
      <c r="AD230" s="44">
        <f t="shared" si="443"/>
        <v>9.1954022988505746E-2</v>
      </c>
      <c r="AE230" s="44" t="str">
        <f t="shared" si="443"/>
        <v/>
      </c>
      <c r="AF230" s="44" t="str">
        <f t="shared" si="443"/>
        <v/>
      </c>
      <c r="AG230" s="44" t="str">
        <f t="shared" si="443"/>
        <v/>
      </c>
      <c r="AH230" s="44" t="str">
        <f t="shared" si="443"/>
        <v/>
      </c>
      <c r="AI230" s="44" t="str">
        <f t="shared" si="443"/>
        <v/>
      </c>
      <c r="AJ230" s="44" t="str">
        <f t="shared" si="443"/>
        <v/>
      </c>
      <c r="AK230" s="44" t="str">
        <f t="shared" si="443"/>
        <v/>
      </c>
      <c r="AL230" s="44" t="str">
        <f t="shared" si="443"/>
        <v/>
      </c>
      <c r="AM230" s="44" t="str">
        <f t="shared" si="443"/>
        <v/>
      </c>
      <c r="AN230" s="44" t="str">
        <f t="shared" si="443"/>
        <v/>
      </c>
      <c r="AO230" s="44" t="str">
        <f t="shared" si="443"/>
        <v/>
      </c>
      <c r="AP230" s="44" t="str">
        <f t="shared" ref="AP230:AR230" si="444">IF(AP229="","",IF(AP229=0,"",AP229/(AP226*100)))</f>
        <v/>
      </c>
      <c r="AQ230" s="44" t="str">
        <f t="shared" si="444"/>
        <v/>
      </c>
      <c r="AR230" s="44" t="str">
        <f t="shared" si="444"/>
        <v/>
      </c>
    </row>
    <row r="231" spans="1:44" s="1" customFormat="1">
      <c r="A231" s="43" t="s">
        <v>175</v>
      </c>
      <c r="B231" s="42" t="s">
        <v>2</v>
      </c>
      <c r="C231" s="64">
        <v>21319</v>
      </c>
      <c r="D231" s="35">
        <f>IF(D$207="","",C231)</f>
        <v>21319</v>
      </c>
      <c r="E231" s="35">
        <f>IF(E$207="","",D231)</f>
        <v>21319</v>
      </c>
      <c r="F231" s="35">
        <v>21392</v>
      </c>
      <c r="G231" s="383">
        <f>IF(G$207="","",F231)</f>
        <v>21392</v>
      </c>
      <c r="H231" s="35">
        <f>IF(H$207="","",G231)</f>
        <v>21392</v>
      </c>
      <c r="I231" s="35">
        <v>21496</v>
      </c>
      <c r="J231" s="383">
        <f>IF(J$207="","",I231)</f>
        <v>21496</v>
      </c>
      <c r="K231" s="35">
        <f>IF(K$207="","",J231)</f>
        <v>21496</v>
      </c>
      <c r="L231" s="35">
        <v>21527</v>
      </c>
      <c r="M231" s="35">
        <f>IF(M$207="","",L231)</f>
        <v>21527</v>
      </c>
      <c r="N231" s="35">
        <f>IF(N$207="","",M231)</f>
        <v>21527</v>
      </c>
      <c r="O231" s="35">
        <v>21603</v>
      </c>
      <c r="P231" s="383">
        <f t="shared" ref="P231:AO231" si="445">IF(P$207="","",O231)</f>
        <v>21603</v>
      </c>
      <c r="Q231" s="35">
        <f t="shared" si="445"/>
        <v>21603</v>
      </c>
      <c r="R231" s="35">
        <f t="shared" si="445"/>
        <v>21603</v>
      </c>
      <c r="S231" s="35">
        <v>21674</v>
      </c>
      <c r="T231" s="35">
        <f t="shared" si="445"/>
        <v>21674</v>
      </c>
      <c r="U231" s="35">
        <f t="shared" si="445"/>
        <v>21674</v>
      </c>
      <c r="V231" s="35">
        <v>21748</v>
      </c>
      <c r="W231" s="35">
        <f t="shared" si="445"/>
        <v>21748</v>
      </c>
      <c r="X231" s="35">
        <f t="shared" si="445"/>
        <v>21748</v>
      </c>
      <c r="Y231" s="35">
        <v>21784</v>
      </c>
      <c r="Z231" s="35">
        <f t="shared" si="445"/>
        <v>21784</v>
      </c>
      <c r="AA231" s="35">
        <f t="shared" si="445"/>
        <v>21784</v>
      </c>
      <c r="AB231" s="35">
        <f t="shared" si="445"/>
        <v>21784</v>
      </c>
      <c r="AC231" s="35">
        <f t="shared" si="445"/>
        <v>21784</v>
      </c>
      <c r="AD231" s="35">
        <v>21868</v>
      </c>
      <c r="AE231" s="35" t="str">
        <f t="shared" si="445"/>
        <v/>
      </c>
      <c r="AF231" s="35" t="str">
        <f t="shared" si="445"/>
        <v/>
      </c>
      <c r="AG231" s="35" t="str">
        <f t="shared" si="445"/>
        <v/>
      </c>
      <c r="AH231" s="35" t="str">
        <f t="shared" si="445"/>
        <v/>
      </c>
      <c r="AI231" s="35" t="str">
        <f t="shared" si="445"/>
        <v/>
      </c>
      <c r="AJ231" s="35" t="str">
        <f t="shared" si="445"/>
        <v/>
      </c>
      <c r="AK231" s="35" t="str">
        <f t="shared" si="445"/>
        <v/>
      </c>
      <c r="AL231" s="35" t="str">
        <f t="shared" si="445"/>
        <v/>
      </c>
      <c r="AM231" s="35" t="str">
        <f t="shared" si="445"/>
        <v/>
      </c>
      <c r="AN231" s="35" t="str">
        <f t="shared" si="445"/>
        <v/>
      </c>
      <c r="AO231" s="35" t="str">
        <f t="shared" si="445"/>
        <v/>
      </c>
      <c r="AP231" s="35" t="str">
        <f t="shared" ref="AP231:AR231" si="446">IF(AP$207="","",AO231)</f>
        <v/>
      </c>
      <c r="AQ231" s="35" t="str">
        <f t="shared" si="446"/>
        <v/>
      </c>
      <c r="AR231" s="35" t="str">
        <f t="shared" si="446"/>
        <v/>
      </c>
    </row>
    <row r="232" spans="1:44" s="1" customFormat="1">
      <c r="A232" s="37" t="s">
        <v>184</v>
      </c>
      <c r="B232" s="30" t="s">
        <v>4</v>
      </c>
      <c r="C232" s="65">
        <v>185</v>
      </c>
      <c r="D232" s="29">
        <f>IF(D$207="","",C232)</f>
        <v>185</v>
      </c>
      <c r="E232" s="29">
        <f>IF(E$207="","",D232)</f>
        <v>185</v>
      </c>
      <c r="F232" s="29">
        <v>191</v>
      </c>
      <c r="G232" s="122">
        <f>IF(G$207="","",F232)</f>
        <v>191</v>
      </c>
      <c r="H232" s="29">
        <f>IF(H$207="","",G232)</f>
        <v>191</v>
      </c>
      <c r="I232" s="29">
        <v>200</v>
      </c>
      <c r="J232" s="122">
        <f>IF(J$207="","",I232)</f>
        <v>200</v>
      </c>
      <c r="K232" s="29">
        <f>IF(K$207="","",J232)</f>
        <v>200</v>
      </c>
      <c r="L232" s="29">
        <v>204</v>
      </c>
      <c r="M232" s="29">
        <f>IF(M$207="","",L232)</f>
        <v>204</v>
      </c>
      <c r="N232" s="29">
        <f>IF(N$207="","",M232)</f>
        <v>204</v>
      </c>
      <c r="O232" s="29">
        <v>216</v>
      </c>
      <c r="P232" s="122">
        <f t="shared" ref="P232:AO232" si="447">IF(P$207="","",O232)</f>
        <v>216</v>
      </c>
      <c r="Q232" s="29">
        <f t="shared" si="447"/>
        <v>216</v>
      </c>
      <c r="R232" s="29">
        <f t="shared" si="447"/>
        <v>216</v>
      </c>
      <c r="S232" s="29">
        <v>222</v>
      </c>
      <c r="T232" s="29">
        <f t="shared" si="447"/>
        <v>222</v>
      </c>
      <c r="U232" s="29">
        <f t="shared" si="447"/>
        <v>222</v>
      </c>
      <c r="V232" s="29">
        <v>223</v>
      </c>
      <c r="W232" s="29">
        <f t="shared" si="447"/>
        <v>223</v>
      </c>
      <c r="X232" s="29">
        <f t="shared" si="447"/>
        <v>223</v>
      </c>
      <c r="Y232" s="29">
        <v>223</v>
      </c>
      <c r="Z232" s="29">
        <f t="shared" si="447"/>
        <v>223</v>
      </c>
      <c r="AA232" s="29">
        <f t="shared" si="447"/>
        <v>223</v>
      </c>
      <c r="AB232" s="29">
        <f t="shared" si="447"/>
        <v>223</v>
      </c>
      <c r="AC232" s="29">
        <f t="shared" si="447"/>
        <v>223</v>
      </c>
      <c r="AD232" s="29">
        <v>223</v>
      </c>
      <c r="AE232" s="29" t="str">
        <f t="shared" si="447"/>
        <v/>
      </c>
      <c r="AF232" s="29" t="str">
        <f t="shared" si="447"/>
        <v/>
      </c>
      <c r="AG232" s="29" t="str">
        <f t="shared" si="447"/>
        <v/>
      </c>
      <c r="AH232" s="29" t="str">
        <f t="shared" si="447"/>
        <v/>
      </c>
      <c r="AI232" s="29" t="str">
        <f t="shared" si="447"/>
        <v/>
      </c>
      <c r="AJ232" s="29" t="str">
        <f t="shared" si="447"/>
        <v/>
      </c>
      <c r="AK232" s="29" t="str">
        <f t="shared" si="447"/>
        <v/>
      </c>
      <c r="AL232" s="29" t="str">
        <f t="shared" si="447"/>
        <v/>
      </c>
      <c r="AM232" s="29" t="str">
        <f t="shared" si="447"/>
        <v/>
      </c>
      <c r="AN232" s="29" t="str">
        <f t="shared" si="447"/>
        <v/>
      </c>
      <c r="AO232" s="29" t="str">
        <f t="shared" si="447"/>
        <v/>
      </c>
      <c r="AP232" s="29" t="str">
        <f t="shared" ref="AP232:AR232" si="448">IF(AP$207="","",AO232)</f>
        <v/>
      </c>
      <c r="AQ232" s="29" t="str">
        <f t="shared" si="448"/>
        <v/>
      </c>
      <c r="AR232" s="29" t="str">
        <f t="shared" si="448"/>
        <v/>
      </c>
    </row>
    <row r="233" spans="1:44" s="1" customFormat="1">
      <c r="A233" s="41">
        <v>3</v>
      </c>
      <c r="B233" s="30" t="s">
        <v>5</v>
      </c>
      <c r="C233" s="65">
        <v>2</v>
      </c>
      <c r="D233" s="29">
        <f>IF(D231="","",(C233+C234))</f>
        <v>2</v>
      </c>
      <c r="E233" s="29">
        <f>IF(E231="","",(D233+D234))</f>
        <v>2</v>
      </c>
      <c r="F233" s="29">
        <v>3</v>
      </c>
      <c r="G233" s="122">
        <f>IF(G231="","",(F233+F234))</f>
        <v>13</v>
      </c>
      <c r="H233" s="29">
        <f>IF(H231="","",(G233+G234))</f>
        <v>13</v>
      </c>
      <c r="I233" s="29">
        <v>5</v>
      </c>
      <c r="J233" s="122">
        <f>IF(J231="","",(I233+I234))</f>
        <v>15</v>
      </c>
      <c r="K233" s="29">
        <f>IF(K231="","",(J233+J234))</f>
        <v>15</v>
      </c>
      <c r="L233" s="29">
        <v>11</v>
      </c>
      <c r="M233" s="29">
        <f>IF(M231="","",(L233+L234))</f>
        <v>16</v>
      </c>
      <c r="N233" s="29">
        <f>IF(N231="","",(M233+M234))</f>
        <v>16</v>
      </c>
      <c r="O233" s="29">
        <v>1</v>
      </c>
      <c r="P233" s="122">
        <f t="shared" ref="P233:AO233" si="449">IF(P231="","",(O233+O234))</f>
        <v>10</v>
      </c>
      <c r="Q233" s="29">
        <f t="shared" si="449"/>
        <v>10</v>
      </c>
      <c r="R233" s="29">
        <f t="shared" si="449"/>
        <v>10</v>
      </c>
      <c r="S233" s="29">
        <v>3</v>
      </c>
      <c r="T233" s="29">
        <f t="shared" si="449"/>
        <v>13</v>
      </c>
      <c r="U233" s="29">
        <f t="shared" si="449"/>
        <v>13</v>
      </c>
      <c r="V233" s="29">
        <v>5</v>
      </c>
      <c r="W233" s="29">
        <f t="shared" si="449"/>
        <v>7</v>
      </c>
      <c r="X233" s="29">
        <f t="shared" si="449"/>
        <v>7</v>
      </c>
      <c r="Y233" s="29">
        <v>5</v>
      </c>
      <c r="Z233" s="29">
        <f t="shared" si="449"/>
        <v>15</v>
      </c>
      <c r="AA233" s="29">
        <f t="shared" si="449"/>
        <v>15</v>
      </c>
      <c r="AB233" s="29">
        <f t="shared" si="449"/>
        <v>15</v>
      </c>
      <c r="AC233" s="29">
        <f t="shared" si="449"/>
        <v>15</v>
      </c>
      <c r="AD233" s="29">
        <v>2</v>
      </c>
      <c r="AE233" s="29" t="str">
        <f t="shared" si="449"/>
        <v/>
      </c>
      <c r="AF233" s="29" t="str">
        <f t="shared" si="449"/>
        <v/>
      </c>
      <c r="AG233" s="29" t="str">
        <f t="shared" si="449"/>
        <v/>
      </c>
      <c r="AH233" s="29" t="str">
        <f t="shared" si="449"/>
        <v/>
      </c>
      <c r="AI233" s="29" t="str">
        <f t="shared" si="449"/>
        <v/>
      </c>
      <c r="AJ233" s="29" t="str">
        <f t="shared" si="449"/>
        <v/>
      </c>
      <c r="AK233" s="29" t="str">
        <f t="shared" si="449"/>
        <v/>
      </c>
      <c r="AL233" s="29" t="str">
        <f t="shared" si="449"/>
        <v/>
      </c>
      <c r="AM233" s="29" t="str">
        <f t="shared" si="449"/>
        <v/>
      </c>
      <c r="AN233" s="29" t="str">
        <f t="shared" si="449"/>
        <v/>
      </c>
      <c r="AO233" s="29" t="str">
        <f t="shared" si="449"/>
        <v/>
      </c>
      <c r="AP233" s="29" t="str">
        <f t="shared" ref="AP233:AR233" si="450">IF(AP231="","",(AO233+AO234))</f>
        <v/>
      </c>
      <c r="AQ233" s="29" t="str">
        <f t="shared" si="450"/>
        <v/>
      </c>
      <c r="AR233" s="29" t="str">
        <f t="shared" si="450"/>
        <v/>
      </c>
    </row>
    <row r="234" spans="1:44" s="1" customFormat="1">
      <c r="A234" s="14"/>
      <c r="B234" s="30" t="s">
        <v>7</v>
      </c>
      <c r="C234" s="65"/>
      <c r="D234" s="29"/>
      <c r="E234" s="29"/>
      <c r="F234" s="29">
        <v>10</v>
      </c>
      <c r="G234" s="122"/>
      <c r="H234" s="29"/>
      <c r="I234" s="29">
        <v>10</v>
      </c>
      <c r="J234" s="122"/>
      <c r="K234" s="29"/>
      <c r="L234" s="29">
        <v>5</v>
      </c>
      <c r="M234" s="29"/>
      <c r="N234" s="29"/>
      <c r="O234" s="29">
        <v>9</v>
      </c>
      <c r="P234" s="122"/>
      <c r="Q234" s="29"/>
      <c r="R234" s="29"/>
      <c r="S234" s="29">
        <v>10</v>
      </c>
      <c r="T234" s="29"/>
      <c r="U234" s="29"/>
      <c r="V234" s="29">
        <v>2</v>
      </c>
      <c r="W234" s="29"/>
      <c r="X234" s="29"/>
      <c r="Y234" s="29">
        <v>10</v>
      </c>
      <c r="Z234" s="29"/>
      <c r="AA234" s="29"/>
      <c r="AB234" s="29"/>
      <c r="AC234" s="29"/>
      <c r="AD234" s="29">
        <v>15</v>
      </c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</row>
    <row r="235" spans="1:44" s="1" customFormat="1">
      <c r="A235" s="7"/>
      <c r="B235" s="30" t="s">
        <v>8</v>
      </c>
      <c r="C235" s="64">
        <v>500</v>
      </c>
      <c r="D235" s="35">
        <f t="shared" ref="D235:AO235" si="451">IF(D231="","",C235)</f>
        <v>500</v>
      </c>
      <c r="E235" s="35">
        <f t="shared" si="451"/>
        <v>500</v>
      </c>
      <c r="F235" s="35">
        <f t="shared" si="451"/>
        <v>500</v>
      </c>
      <c r="G235" s="383">
        <f t="shared" si="451"/>
        <v>500</v>
      </c>
      <c r="H235" s="35">
        <f t="shared" si="451"/>
        <v>500</v>
      </c>
      <c r="I235" s="35">
        <f t="shared" si="451"/>
        <v>500</v>
      </c>
      <c r="J235" s="383">
        <f t="shared" si="451"/>
        <v>500</v>
      </c>
      <c r="K235" s="35">
        <f t="shared" si="451"/>
        <v>500</v>
      </c>
      <c r="L235" s="35">
        <f t="shared" si="451"/>
        <v>500</v>
      </c>
      <c r="M235" s="35">
        <f t="shared" si="451"/>
        <v>500</v>
      </c>
      <c r="N235" s="35">
        <f t="shared" si="451"/>
        <v>500</v>
      </c>
      <c r="O235" s="35">
        <f t="shared" si="451"/>
        <v>500</v>
      </c>
      <c r="P235" s="383">
        <f t="shared" si="451"/>
        <v>500</v>
      </c>
      <c r="Q235" s="35">
        <f t="shared" si="451"/>
        <v>500</v>
      </c>
      <c r="R235" s="35">
        <f t="shared" si="451"/>
        <v>500</v>
      </c>
      <c r="S235" s="35">
        <f t="shared" si="451"/>
        <v>500</v>
      </c>
      <c r="T235" s="35">
        <f t="shared" si="451"/>
        <v>500</v>
      </c>
      <c r="U235" s="35">
        <f t="shared" si="451"/>
        <v>500</v>
      </c>
      <c r="V235" s="35">
        <f>IF(V231="","",U235)</f>
        <v>500</v>
      </c>
      <c r="W235" s="35">
        <f t="shared" si="451"/>
        <v>500</v>
      </c>
      <c r="X235" s="35">
        <f t="shared" si="451"/>
        <v>500</v>
      </c>
      <c r="Y235" s="35">
        <f t="shared" si="451"/>
        <v>500</v>
      </c>
      <c r="Z235" s="35">
        <f t="shared" si="451"/>
        <v>500</v>
      </c>
      <c r="AA235" s="35">
        <f t="shared" si="451"/>
        <v>500</v>
      </c>
      <c r="AB235" s="35">
        <f t="shared" si="451"/>
        <v>500</v>
      </c>
      <c r="AC235" s="35">
        <f t="shared" si="451"/>
        <v>500</v>
      </c>
      <c r="AD235" s="35">
        <f t="shared" si="451"/>
        <v>500</v>
      </c>
      <c r="AE235" s="35" t="str">
        <f t="shared" si="451"/>
        <v/>
      </c>
      <c r="AF235" s="35" t="str">
        <f t="shared" si="451"/>
        <v/>
      </c>
      <c r="AG235" s="35" t="str">
        <f t="shared" si="451"/>
        <v/>
      </c>
      <c r="AH235" s="35" t="str">
        <f t="shared" si="451"/>
        <v/>
      </c>
      <c r="AI235" s="35" t="str">
        <f t="shared" si="451"/>
        <v/>
      </c>
      <c r="AJ235" s="35" t="str">
        <f t="shared" si="451"/>
        <v/>
      </c>
      <c r="AK235" s="35" t="str">
        <f t="shared" si="451"/>
        <v/>
      </c>
      <c r="AL235" s="35" t="str">
        <f t="shared" si="451"/>
        <v/>
      </c>
      <c r="AM235" s="35" t="str">
        <f t="shared" si="451"/>
        <v/>
      </c>
      <c r="AN235" s="35" t="str">
        <f t="shared" si="451"/>
        <v/>
      </c>
      <c r="AO235" s="35" t="str">
        <f t="shared" si="451"/>
        <v/>
      </c>
      <c r="AP235" s="35" t="str">
        <f t="shared" ref="AP235:AR235" si="452">IF(AP231="","",AO235)</f>
        <v/>
      </c>
      <c r="AQ235" s="35" t="str">
        <f t="shared" si="452"/>
        <v/>
      </c>
      <c r="AR235" s="35" t="str">
        <f t="shared" si="452"/>
        <v/>
      </c>
    </row>
    <row r="236" spans="1:44" s="11" customFormat="1">
      <c r="A236" s="14" t="s">
        <v>9</v>
      </c>
      <c r="B236" s="33" t="s">
        <v>10</v>
      </c>
      <c r="C236" s="63" t="s">
        <v>188</v>
      </c>
      <c r="D236" s="32" t="str">
        <f t="shared" ref="D236:AO236" si="453">IF(D231="","",C236)</f>
        <v>海外シール</v>
      </c>
      <c r="E236" s="32" t="str">
        <f t="shared" si="453"/>
        <v>海外シール</v>
      </c>
      <c r="F236" s="32" t="str">
        <f t="shared" si="453"/>
        <v>海外シール</v>
      </c>
      <c r="G236" s="123" t="str">
        <f t="shared" si="453"/>
        <v>海外シール</v>
      </c>
      <c r="H236" s="32" t="str">
        <f t="shared" si="453"/>
        <v>海外シール</v>
      </c>
      <c r="I236" s="32" t="str">
        <f t="shared" si="453"/>
        <v>海外シール</v>
      </c>
      <c r="J236" s="123" t="str">
        <f t="shared" si="453"/>
        <v>海外シール</v>
      </c>
      <c r="K236" s="32" t="str">
        <f t="shared" si="453"/>
        <v>海外シール</v>
      </c>
      <c r="L236" s="32" t="str">
        <f t="shared" si="453"/>
        <v>海外シール</v>
      </c>
      <c r="M236" s="32" t="str">
        <f t="shared" si="453"/>
        <v>海外シール</v>
      </c>
      <c r="N236" s="32" t="str">
        <f t="shared" si="453"/>
        <v>海外シール</v>
      </c>
      <c r="O236" s="32" t="str">
        <f t="shared" si="453"/>
        <v>海外シール</v>
      </c>
      <c r="P236" s="123" t="str">
        <f t="shared" si="453"/>
        <v>海外シール</v>
      </c>
      <c r="Q236" s="32" t="str">
        <f t="shared" si="453"/>
        <v>海外シール</v>
      </c>
      <c r="R236" s="32" t="str">
        <f t="shared" si="453"/>
        <v>海外シール</v>
      </c>
      <c r="S236" s="32" t="str">
        <f t="shared" si="453"/>
        <v>海外シール</v>
      </c>
      <c r="T236" s="32" t="str">
        <f t="shared" si="453"/>
        <v>海外シール</v>
      </c>
      <c r="U236" s="32" t="str">
        <f t="shared" si="453"/>
        <v>海外シール</v>
      </c>
      <c r="V236" s="32" t="str">
        <f>IF(V231="","",U236)</f>
        <v>海外シール</v>
      </c>
      <c r="W236" s="32" t="str">
        <f t="shared" si="453"/>
        <v>海外シール</v>
      </c>
      <c r="X236" s="32" t="str">
        <f t="shared" si="453"/>
        <v>海外シール</v>
      </c>
      <c r="Y236" s="32" t="str">
        <f t="shared" si="453"/>
        <v>海外シール</v>
      </c>
      <c r="Z236" s="32" t="str">
        <f t="shared" si="453"/>
        <v>海外シール</v>
      </c>
      <c r="AA236" s="32" t="str">
        <f t="shared" si="453"/>
        <v>海外シール</v>
      </c>
      <c r="AB236" s="32" t="str">
        <f t="shared" si="453"/>
        <v>海外シール</v>
      </c>
      <c r="AC236" s="32" t="str">
        <f t="shared" si="453"/>
        <v>海外シール</v>
      </c>
      <c r="AD236" s="32" t="str">
        <f t="shared" si="453"/>
        <v>海外シール</v>
      </c>
      <c r="AE236" s="32" t="str">
        <f t="shared" si="453"/>
        <v/>
      </c>
      <c r="AF236" s="32" t="str">
        <f t="shared" si="453"/>
        <v/>
      </c>
      <c r="AG236" s="32" t="str">
        <f t="shared" si="453"/>
        <v/>
      </c>
      <c r="AH236" s="32" t="str">
        <f t="shared" si="453"/>
        <v/>
      </c>
      <c r="AI236" s="32" t="str">
        <f t="shared" si="453"/>
        <v/>
      </c>
      <c r="AJ236" s="32" t="str">
        <f t="shared" si="453"/>
        <v/>
      </c>
      <c r="AK236" s="32" t="str">
        <f t="shared" si="453"/>
        <v/>
      </c>
      <c r="AL236" s="32" t="str">
        <f t="shared" si="453"/>
        <v/>
      </c>
      <c r="AM236" s="32" t="str">
        <f t="shared" si="453"/>
        <v/>
      </c>
      <c r="AN236" s="32" t="str">
        <f t="shared" si="453"/>
        <v/>
      </c>
      <c r="AO236" s="32" t="str">
        <f t="shared" si="453"/>
        <v/>
      </c>
      <c r="AP236" s="32" t="str">
        <f t="shared" ref="AP236:AR236" si="454">IF(AP231="","",AO236)</f>
        <v/>
      </c>
      <c r="AQ236" s="32" t="str">
        <f t="shared" si="454"/>
        <v/>
      </c>
      <c r="AR236" s="32" t="str">
        <f t="shared" si="454"/>
        <v/>
      </c>
    </row>
    <row r="237" spans="1:44" s="1" customFormat="1">
      <c r="A237" s="7">
        <f>AVERAGE(C238:AS238)*30*100</f>
        <v>58821.42857142858</v>
      </c>
      <c r="B237" s="30" t="s">
        <v>14</v>
      </c>
      <c r="C237" s="65"/>
      <c r="D237" s="29"/>
      <c r="E237" s="29"/>
      <c r="F237" s="29"/>
      <c r="G237" s="122"/>
      <c r="H237" s="29"/>
      <c r="I237" s="29"/>
      <c r="J237" s="122"/>
      <c r="K237" s="29"/>
      <c r="L237" s="29"/>
      <c r="M237" s="29"/>
      <c r="N237" s="29"/>
      <c r="O237" s="29"/>
      <c r="P237" s="122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</row>
    <row r="238" spans="1:44" s="1" customFormat="1">
      <c r="A238" s="7">
        <f>SUM(C238:AS238)</f>
        <v>549</v>
      </c>
      <c r="B238" s="27" t="s">
        <v>15</v>
      </c>
      <c r="C238" s="65">
        <v>0</v>
      </c>
      <c r="D238" s="26">
        <f t="shared" ref="D238:AO238" si="455">IF(D231="","",D231-C231)</f>
        <v>0</v>
      </c>
      <c r="E238" s="26">
        <f t="shared" si="455"/>
        <v>0</v>
      </c>
      <c r="F238" s="26">
        <f t="shared" si="455"/>
        <v>73</v>
      </c>
      <c r="G238" s="122">
        <f t="shared" si="455"/>
        <v>0</v>
      </c>
      <c r="H238" s="26">
        <f t="shared" si="455"/>
        <v>0</v>
      </c>
      <c r="I238" s="26">
        <f t="shared" si="455"/>
        <v>104</v>
      </c>
      <c r="J238" s="122">
        <f t="shared" si="455"/>
        <v>0</v>
      </c>
      <c r="K238" s="26">
        <f t="shared" si="455"/>
        <v>0</v>
      </c>
      <c r="L238" s="26">
        <f t="shared" si="455"/>
        <v>31</v>
      </c>
      <c r="M238" s="26">
        <f t="shared" si="455"/>
        <v>0</v>
      </c>
      <c r="N238" s="26">
        <f t="shared" si="455"/>
        <v>0</v>
      </c>
      <c r="O238" s="26">
        <f t="shared" si="455"/>
        <v>76</v>
      </c>
      <c r="P238" s="122">
        <f t="shared" si="455"/>
        <v>0</v>
      </c>
      <c r="Q238" s="26">
        <f t="shared" si="455"/>
        <v>0</v>
      </c>
      <c r="R238" s="26">
        <f t="shared" si="455"/>
        <v>0</v>
      </c>
      <c r="S238" s="26">
        <f t="shared" si="455"/>
        <v>71</v>
      </c>
      <c r="T238" s="26">
        <f t="shared" si="455"/>
        <v>0</v>
      </c>
      <c r="U238" s="26">
        <f t="shared" si="455"/>
        <v>0</v>
      </c>
      <c r="V238" s="26">
        <f>IF(V231="","",V231-U231)</f>
        <v>74</v>
      </c>
      <c r="W238" s="26">
        <f t="shared" si="455"/>
        <v>0</v>
      </c>
      <c r="X238" s="26">
        <f t="shared" si="455"/>
        <v>0</v>
      </c>
      <c r="Y238" s="26">
        <f t="shared" si="455"/>
        <v>36</v>
      </c>
      <c r="Z238" s="26">
        <f t="shared" si="455"/>
        <v>0</v>
      </c>
      <c r="AA238" s="26">
        <f t="shared" si="455"/>
        <v>0</v>
      </c>
      <c r="AB238" s="26">
        <f t="shared" si="455"/>
        <v>0</v>
      </c>
      <c r="AC238" s="26">
        <f t="shared" si="455"/>
        <v>0</v>
      </c>
      <c r="AD238" s="26">
        <f t="shared" si="455"/>
        <v>84</v>
      </c>
      <c r="AE238" s="26" t="str">
        <f t="shared" si="455"/>
        <v/>
      </c>
      <c r="AF238" s="26" t="str">
        <f t="shared" si="455"/>
        <v/>
      </c>
      <c r="AG238" s="26" t="str">
        <f t="shared" si="455"/>
        <v/>
      </c>
      <c r="AH238" s="26" t="str">
        <f t="shared" si="455"/>
        <v/>
      </c>
      <c r="AI238" s="26" t="str">
        <f t="shared" si="455"/>
        <v/>
      </c>
      <c r="AJ238" s="26" t="str">
        <f t="shared" si="455"/>
        <v/>
      </c>
      <c r="AK238" s="26" t="str">
        <f t="shared" si="455"/>
        <v/>
      </c>
      <c r="AL238" s="26" t="str">
        <f t="shared" si="455"/>
        <v/>
      </c>
      <c r="AM238" s="26" t="str">
        <f t="shared" si="455"/>
        <v/>
      </c>
      <c r="AN238" s="26" t="str">
        <f t="shared" si="455"/>
        <v/>
      </c>
      <c r="AO238" s="26" t="str">
        <f t="shared" si="455"/>
        <v/>
      </c>
      <c r="AP238" s="26" t="str">
        <f t="shared" ref="AP238:AR238" si="456">IF(AP231="","",AP231-AO231)</f>
        <v/>
      </c>
      <c r="AQ238" s="26" t="str">
        <f t="shared" si="456"/>
        <v/>
      </c>
      <c r="AR238" s="26" t="str">
        <f t="shared" si="456"/>
        <v/>
      </c>
    </row>
    <row r="239" spans="1:44" s="1" customFormat="1">
      <c r="A239" s="7">
        <f>SUM(C239:AS239)</f>
        <v>38</v>
      </c>
      <c r="B239" s="27" t="s">
        <v>16</v>
      </c>
      <c r="C239" s="65">
        <v>0</v>
      </c>
      <c r="D239" s="26">
        <f t="shared" ref="D239:AO239" si="457">IF(D232="","",D232-C232)</f>
        <v>0</v>
      </c>
      <c r="E239" s="26">
        <f t="shared" si="457"/>
        <v>0</v>
      </c>
      <c r="F239" s="26">
        <f t="shared" si="457"/>
        <v>6</v>
      </c>
      <c r="G239" s="122">
        <f t="shared" si="457"/>
        <v>0</v>
      </c>
      <c r="H239" s="26">
        <f t="shared" si="457"/>
        <v>0</v>
      </c>
      <c r="I239" s="26">
        <f t="shared" si="457"/>
        <v>9</v>
      </c>
      <c r="J239" s="122">
        <f t="shared" si="457"/>
        <v>0</v>
      </c>
      <c r="K239" s="26">
        <f t="shared" si="457"/>
        <v>0</v>
      </c>
      <c r="L239" s="26">
        <f t="shared" si="457"/>
        <v>4</v>
      </c>
      <c r="M239" s="26">
        <f t="shared" si="457"/>
        <v>0</v>
      </c>
      <c r="N239" s="26">
        <f t="shared" si="457"/>
        <v>0</v>
      </c>
      <c r="O239" s="26">
        <f t="shared" si="457"/>
        <v>12</v>
      </c>
      <c r="P239" s="122">
        <f t="shared" si="457"/>
        <v>0</v>
      </c>
      <c r="Q239" s="26">
        <f t="shared" si="457"/>
        <v>0</v>
      </c>
      <c r="R239" s="26">
        <f t="shared" si="457"/>
        <v>0</v>
      </c>
      <c r="S239" s="26">
        <f t="shared" si="457"/>
        <v>6</v>
      </c>
      <c r="T239" s="26">
        <f t="shared" si="457"/>
        <v>0</v>
      </c>
      <c r="U239" s="26">
        <f t="shared" si="457"/>
        <v>0</v>
      </c>
      <c r="V239" s="26">
        <f>IF(V232="","",V232-U232)</f>
        <v>1</v>
      </c>
      <c r="W239" s="26">
        <f t="shared" si="457"/>
        <v>0</v>
      </c>
      <c r="X239" s="26">
        <f t="shared" si="457"/>
        <v>0</v>
      </c>
      <c r="Y239" s="26">
        <f t="shared" si="457"/>
        <v>0</v>
      </c>
      <c r="Z239" s="26">
        <f t="shared" si="457"/>
        <v>0</v>
      </c>
      <c r="AA239" s="26">
        <f t="shared" si="457"/>
        <v>0</v>
      </c>
      <c r="AB239" s="26">
        <f t="shared" si="457"/>
        <v>0</v>
      </c>
      <c r="AC239" s="26">
        <f t="shared" si="457"/>
        <v>0</v>
      </c>
      <c r="AD239" s="26">
        <f t="shared" si="457"/>
        <v>0</v>
      </c>
      <c r="AE239" s="26" t="str">
        <f t="shared" si="457"/>
        <v/>
      </c>
      <c r="AF239" s="26" t="str">
        <f t="shared" si="457"/>
        <v/>
      </c>
      <c r="AG239" s="26" t="str">
        <f t="shared" si="457"/>
        <v/>
      </c>
      <c r="AH239" s="26" t="str">
        <f t="shared" si="457"/>
        <v/>
      </c>
      <c r="AI239" s="26" t="str">
        <f t="shared" si="457"/>
        <v/>
      </c>
      <c r="AJ239" s="26" t="str">
        <f t="shared" si="457"/>
        <v/>
      </c>
      <c r="AK239" s="26" t="str">
        <f t="shared" si="457"/>
        <v/>
      </c>
      <c r="AL239" s="26" t="str">
        <f t="shared" si="457"/>
        <v/>
      </c>
      <c r="AM239" s="26" t="str">
        <f t="shared" si="457"/>
        <v/>
      </c>
      <c r="AN239" s="26" t="str">
        <f t="shared" si="457"/>
        <v/>
      </c>
      <c r="AO239" s="26" t="str">
        <f t="shared" si="457"/>
        <v/>
      </c>
      <c r="AP239" s="26" t="str">
        <f t="shared" ref="AP239:AR239" si="458">IF(AP232="","",AP232-AO232)</f>
        <v/>
      </c>
      <c r="AQ239" s="26" t="str">
        <f t="shared" si="458"/>
        <v/>
      </c>
      <c r="AR239" s="26" t="str">
        <f t="shared" si="458"/>
        <v/>
      </c>
    </row>
    <row r="240" spans="1:44" s="1" customFormat="1">
      <c r="A240" s="7">
        <f>SUM(C240:AS240)</f>
        <v>56</v>
      </c>
      <c r="B240" s="27" t="s">
        <v>17</v>
      </c>
      <c r="C240" s="65">
        <v>0</v>
      </c>
      <c r="D240" s="26">
        <f t="shared" ref="D240:AO240" si="459">IF(D233="","",C233+C234-D233)</f>
        <v>0</v>
      </c>
      <c r="E240" s="26">
        <f t="shared" si="459"/>
        <v>0</v>
      </c>
      <c r="F240" s="26">
        <f t="shared" si="459"/>
        <v>-1</v>
      </c>
      <c r="G240" s="122">
        <f t="shared" si="459"/>
        <v>0</v>
      </c>
      <c r="H240" s="26">
        <f t="shared" si="459"/>
        <v>0</v>
      </c>
      <c r="I240" s="26">
        <f t="shared" si="459"/>
        <v>8</v>
      </c>
      <c r="J240" s="122">
        <f t="shared" si="459"/>
        <v>0</v>
      </c>
      <c r="K240" s="26">
        <f t="shared" si="459"/>
        <v>0</v>
      </c>
      <c r="L240" s="26">
        <f t="shared" si="459"/>
        <v>4</v>
      </c>
      <c r="M240" s="26">
        <f t="shared" si="459"/>
        <v>0</v>
      </c>
      <c r="N240" s="26">
        <f t="shared" si="459"/>
        <v>0</v>
      </c>
      <c r="O240" s="26">
        <f t="shared" si="459"/>
        <v>15</v>
      </c>
      <c r="P240" s="122">
        <f t="shared" si="459"/>
        <v>0</v>
      </c>
      <c r="Q240" s="26">
        <f t="shared" si="459"/>
        <v>0</v>
      </c>
      <c r="R240" s="26">
        <f t="shared" si="459"/>
        <v>0</v>
      </c>
      <c r="S240" s="26">
        <f t="shared" si="459"/>
        <v>7</v>
      </c>
      <c r="T240" s="26">
        <f t="shared" si="459"/>
        <v>0</v>
      </c>
      <c r="U240" s="26">
        <f t="shared" si="459"/>
        <v>0</v>
      </c>
      <c r="V240" s="26">
        <f>IF(V233="","",U233+U234-V233)</f>
        <v>8</v>
      </c>
      <c r="W240" s="26">
        <f t="shared" si="459"/>
        <v>0</v>
      </c>
      <c r="X240" s="26">
        <f t="shared" si="459"/>
        <v>0</v>
      </c>
      <c r="Y240" s="26">
        <f t="shared" si="459"/>
        <v>2</v>
      </c>
      <c r="Z240" s="26">
        <f t="shared" si="459"/>
        <v>0</v>
      </c>
      <c r="AA240" s="26">
        <f t="shared" si="459"/>
        <v>0</v>
      </c>
      <c r="AB240" s="26">
        <f t="shared" si="459"/>
        <v>0</v>
      </c>
      <c r="AC240" s="26">
        <f t="shared" si="459"/>
        <v>0</v>
      </c>
      <c r="AD240" s="26">
        <f t="shared" si="459"/>
        <v>13</v>
      </c>
      <c r="AE240" s="26" t="str">
        <f t="shared" si="459"/>
        <v/>
      </c>
      <c r="AF240" s="26" t="str">
        <f t="shared" si="459"/>
        <v/>
      </c>
      <c r="AG240" s="26" t="str">
        <f t="shared" si="459"/>
        <v/>
      </c>
      <c r="AH240" s="26" t="str">
        <f t="shared" si="459"/>
        <v/>
      </c>
      <c r="AI240" s="26" t="str">
        <f t="shared" si="459"/>
        <v/>
      </c>
      <c r="AJ240" s="26" t="str">
        <f t="shared" si="459"/>
        <v/>
      </c>
      <c r="AK240" s="26" t="str">
        <f t="shared" si="459"/>
        <v/>
      </c>
      <c r="AL240" s="26" t="str">
        <f t="shared" si="459"/>
        <v/>
      </c>
      <c r="AM240" s="26" t="str">
        <f t="shared" si="459"/>
        <v/>
      </c>
      <c r="AN240" s="26" t="str">
        <f t="shared" si="459"/>
        <v/>
      </c>
      <c r="AO240" s="26" t="str">
        <f t="shared" si="459"/>
        <v/>
      </c>
      <c r="AP240" s="26" t="str">
        <f t="shared" ref="AP240:AR240" si="460">IF(AP233="","",AO233+AO234-AP233)</f>
        <v/>
      </c>
      <c r="AQ240" s="26" t="str">
        <f t="shared" si="460"/>
        <v/>
      </c>
      <c r="AR240" s="26" t="str">
        <f t="shared" si="460"/>
        <v/>
      </c>
    </row>
    <row r="241" spans="1:44" s="1" customFormat="1">
      <c r="A241" s="7">
        <f>SUM(C241:AS241)</f>
        <v>28000</v>
      </c>
      <c r="B241" s="27" t="s">
        <v>18</v>
      </c>
      <c r="C241" s="65">
        <v>0</v>
      </c>
      <c r="D241" s="26">
        <f t="shared" ref="D241:AO241" si="461">IF(D231="","",D240*D235)</f>
        <v>0</v>
      </c>
      <c r="E241" s="26">
        <f t="shared" si="461"/>
        <v>0</v>
      </c>
      <c r="F241" s="26">
        <f t="shared" si="461"/>
        <v>-500</v>
      </c>
      <c r="G241" s="122">
        <f t="shared" si="461"/>
        <v>0</v>
      </c>
      <c r="H241" s="26">
        <f t="shared" si="461"/>
        <v>0</v>
      </c>
      <c r="I241" s="26">
        <f t="shared" si="461"/>
        <v>4000</v>
      </c>
      <c r="J241" s="122">
        <f t="shared" si="461"/>
        <v>0</v>
      </c>
      <c r="K241" s="26">
        <f t="shared" si="461"/>
        <v>0</v>
      </c>
      <c r="L241" s="26">
        <f t="shared" si="461"/>
        <v>2000</v>
      </c>
      <c r="M241" s="26">
        <f t="shared" si="461"/>
        <v>0</v>
      </c>
      <c r="N241" s="26">
        <f t="shared" si="461"/>
        <v>0</v>
      </c>
      <c r="O241" s="26">
        <f t="shared" si="461"/>
        <v>7500</v>
      </c>
      <c r="P241" s="122">
        <f t="shared" si="461"/>
        <v>0</v>
      </c>
      <c r="Q241" s="26">
        <f t="shared" si="461"/>
        <v>0</v>
      </c>
      <c r="R241" s="26">
        <f t="shared" si="461"/>
        <v>0</v>
      </c>
      <c r="S241" s="26">
        <f t="shared" si="461"/>
        <v>3500</v>
      </c>
      <c r="T241" s="26">
        <f t="shared" si="461"/>
        <v>0</v>
      </c>
      <c r="U241" s="26">
        <f t="shared" si="461"/>
        <v>0</v>
      </c>
      <c r="V241" s="26">
        <f>IF(V231="","",V240*V235)</f>
        <v>4000</v>
      </c>
      <c r="W241" s="26">
        <f t="shared" si="461"/>
        <v>0</v>
      </c>
      <c r="X241" s="26">
        <f t="shared" si="461"/>
        <v>0</v>
      </c>
      <c r="Y241" s="26">
        <f t="shared" si="461"/>
        <v>1000</v>
      </c>
      <c r="Z241" s="26">
        <f t="shared" si="461"/>
        <v>0</v>
      </c>
      <c r="AA241" s="26">
        <f t="shared" si="461"/>
        <v>0</v>
      </c>
      <c r="AB241" s="26">
        <f t="shared" si="461"/>
        <v>0</v>
      </c>
      <c r="AC241" s="26">
        <f t="shared" si="461"/>
        <v>0</v>
      </c>
      <c r="AD241" s="26">
        <f t="shared" si="461"/>
        <v>6500</v>
      </c>
      <c r="AE241" s="26" t="str">
        <f t="shared" si="461"/>
        <v/>
      </c>
      <c r="AF241" s="26" t="str">
        <f t="shared" si="461"/>
        <v/>
      </c>
      <c r="AG241" s="26" t="str">
        <f t="shared" si="461"/>
        <v/>
      </c>
      <c r="AH241" s="26" t="str">
        <f t="shared" si="461"/>
        <v/>
      </c>
      <c r="AI241" s="26" t="str">
        <f t="shared" si="461"/>
        <v/>
      </c>
      <c r="AJ241" s="26" t="str">
        <f t="shared" si="461"/>
        <v/>
      </c>
      <c r="AK241" s="26" t="str">
        <f t="shared" si="461"/>
        <v/>
      </c>
      <c r="AL241" s="26" t="str">
        <f t="shared" si="461"/>
        <v/>
      </c>
      <c r="AM241" s="26" t="str">
        <f t="shared" si="461"/>
        <v/>
      </c>
      <c r="AN241" s="26" t="str">
        <f t="shared" si="461"/>
        <v/>
      </c>
      <c r="AO241" s="26" t="str">
        <f t="shared" si="461"/>
        <v/>
      </c>
      <c r="AP241" s="26" t="str">
        <f t="shared" ref="AP241:AR241" si="462">IF(AP231="","",AP240*AP235)</f>
        <v/>
      </c>
      <c r="AQ241" s="26" t="str">
        <f t="shared" si="462"/>
        <v/>
      </c>
      <c r="AR241" s="26" t="str">
        <f t="shared" si="462"/>
        <v/>
      </c>
    </row>
    <row r="242" spans="1:44" s="1" customFormat="1" ht="12" thickBot="1">
      <c r="A242" s="4">
        <f>IF(A241="","",A241/(A238*100))</f>
        <v>0.51001821493624777</v>
      </c>
      <c r="B242" s="27" t="s">
        <v>20</v>
      </c>
      <c r="C242" s="68" t="s">
        <v>21</v>
      </c>
      <c r="D242" s="44" t="str">
        <f t="shared" ref="D242:AO242" si="463">IF(D241="","",IF(D241=0,"",D241/(D238*100)))</f>
        <v/>
      </c>
      <c r="E242" s="44" t="str">
        <f t="shared" si="463"/>
        <v/>
      </c>
      <c r="F242" s="44">
        <f t="shared" si="463"/>
        <v>-6.8493150684931503E-2</v>
      </c>
      <c r="G242" s="384" t="str">
        <f t="shared" si="463"/>
        <v/>
      </c>
      <c r="H242" s="44" t="str">
        <f t="shared" si="463"/>
        <v/>
      </c>
      <c r="I242" s="44">
        <f t="shared" si="463"/>
        <v>0.38461538461538464</v>
      </c>
      <c r="J242" s="384" t="str">
        <f t="shared" si="463"/>
        <v/>
      </c>
      <c r="K242" s="44" t="str">
        <f t="shared" si="463"/>
        <v/>
      </c>
      <c r="L242" s="44">
        <f t="shared" si="463"/>
        <v>0.64516129032258063</v>
      </c>
      <c r="M242" s="44" t="str">
        <f t="shared" si="463"/>
        <v/>
      </c>
      <c r="N242" s="44" t="str">
        <f t="shared" si="463"/>
        <v/>
      </c>
      <c r="O242" s="44">
        <f t="shared" si="463"/>
        <v>0.98684210526315785</v>
      </c>
      <c r="P242" s="384" t="str">
        <f t="shared" si="463"/>
        <v/>
      </c>
      <c r="Q242" s="44" t="str">
        <f t="shared" si="463"/>
        <v/>
      </c>
      <c r="R242" s="44" t="str">
        <f t="shared" si="463"/>
        <v/>
      </c>
      <c r="S242" s="44">
        <f t="shared" si="463"/>
        <v>0.49295774647887325</v>
      </c>
      <c r="T242" s="44" t="str">
        <f t="shared" si="463"/>
        <v/>
      </c>
      <c r="U242" s="44" t="str">
        <f t="shared" si="463"/>
        <v/>
      </c>
      <c r="V242" s="44">
        <f>IF(V241="","",IF(V241=0,"",V241/(V238*100)))</f>
        <v>0.54054054054054057</v>
      </c>
      <c r="W242" s="44" t="str">
        <f t="shared" si="463"/>
        <v/>
      </c>
      <c r="X242" s="44" t="str">
        <f t="shared" si="463"/>
        <v/>
      </c>
      <c r="Y242" s="44">
        <f t="shared" si="463"/>
        <v>0.27777777777777779</v>
      </c>
      <c r="Z242" s="44" t="str">
        <f t="shared" si="463"/>
        <v/>
      </c>
      <c r="AA242" s="44" t="str">
        <f t="shared" si="463"/>
        <v/>
      </c>
      <c r="AB242" s="44" t="str">
        <f t="shared" si="463"/>
        <v/>
      </c>
      <c r="AC242" s="44" t="str">
        <f t="shared" si="463"/>
        <v/>
      </c>
      <c r="AD242" s="44">
        <f t="shared" si="463"/>
        <v>0.77380952380952384</v>
      </c>
      <c r="AE242" s="44" t="str">
        <f t="shared" si="463"/>
        <v/>
      </c>
      <c r="AF242" s="44" t="str">
        <f t="shared" si="463"/>
        <v/>
      </c>
      <c r="AG242" s="44" t="str">
        <f t="shared" si="463"/>
        <v/>
      </c>
      <c r="AH242" s="44" t="str">
        <f t="shared" si="463"/>
        <v/>
      </c>
      <c r="AI242" s="44" t="str">
        <f t="shared" si="463"/>
        <v/>
      </c>
      <c r="AJ242" s="44" t="str">
        <f t="shared" si="463"/>
        <v/>
      </c>
      <c r="AK242" s="44" t="str">
        <f t="shared" si="463"/>
        <v/>
      </c>
      <c r="AL242" s="44" t="str">
        <f t="shared" si="463"/>
        <v/>
      </c>
      <c r="AM242" s="44" t="str">
        <f t="shared" si="463"/>
        <v/>
      </c>
      <c r="AN242" s="44" t="str">
        <f t="shared" si="463"/>
        <v/>
      </c>
      <c r="AO242" s="44" t="str">
        <f t="shared" si="463"/>
        <v/>
      </c>
      <c r="AP242" s="44" t="str">
        <f t="shared" ref="AP242:AR242" si="464">IF(AP241="","",IF(AP241=0,"",AP241/(AP238*100)))</f>
        <v/>
      </c>
      <c r="AQ242" s="44" t="str">
        <f t="shared" si="464"/>
        <v/>
      </c>
      <c r="AR242" s="44" t="str">
        <f t="shared" si="464"/>
        <v/>
      </c>
    </row>
    <row r="243" spans="1:44" s="1" customFormat="1">
      <c r="A243" s="43" t="s">
        <v>175</v>
      </c>
      <c r="B243" s="42" t="s">
        <v>2</v>
      </c>
      <c r="C243" s="64">
        <v>12979</v>
      </c>
      <c r="D243" s="35">
        <f>IF(D$207="","",C243)</f>
        <v>12979</v>
      </c>
      <c r="E243" s="35">
        <f>IF(E$207="","",D243)</f>
        <v>12979</v>
      </c>
      <c r="F243" s="35">
        <v>13118</v>
      </c>
      <c r="G243" s="383">
        <f>IF(G$207="","",F243)</f>
        <v>13118</v>
      </c>
      <c r="H243" s="35">
        <f>IF(H$207="","",G243)</f>
        <v>13118</v>
      </c>
      <c r="I243" s="35">
        <v>13214</v>
      </c>
      <c r="J243" s="383">
        <f>IF(J$207="","",I243)</f>
        <v>13214</v>
      </c>
      <c r="K243" s="35">
        <f>IF(K$207="","",J243)</f>
        <v>13214</v>
      </c>
      <c r="L243" s="35">
        <v>13294</v>
      </c>
      <c r="M243" s="35">
        <f>IF(M$207="","",L243)</f>
        <v>13294</v>
      </c>
      <c r="N243" s="35">
        <f>IF(N$207="","",M243)</f>
        <v>13294</v>
      </c>
      <c r="O243" s="35">
        <v>13530</v>
      </c>
      <c r="P243" s="383">
        <f t="shared" ref="P243:AO243" si="465">IF(P$207="","",O243)</f>
        <v>13530</v>
      </c>
      <c r="Q243" s="35">
        <f t="shared" si="465"/>
        <v>13530</v>
      </c>
      <c r="R243" s="35">
        <f t="shared" si="465"/>
        <v>13530</v>
      </c>
      <c r="S243" s="35">
        <v>13581</v>
      </c>
      <c r="T243" s="35">
        <f t="shared" si="465"/>
        <v>13581</v>
      </c>
      <c r="U243" s="35">
        <f t="shared" si="465"/>
        <v>13581</v>
      </c>
      <c r="V243" s="35">
        <f>IF(V$207="","",U243)</f>
        <v>13581</v>
      </c>
      <c r="W243" s="35">
        <f t="shared" si="465"/>
        <v>13581</v>
      </c>
      <c r="X243" s="35">
        <f t="shared" si="465"/>
        <v>13581</v>
      </c>
      <c r="Y243" s="35">
        <v>13902</v>
      </c>
      <c r="Z243" s="35">
        <f t="shared" si="465"/>
        <v>13902</v>
      </c>
      <c r="AA243" s="35">
        <f t="shared" si="465"/>
        <v>13902</v>
      </c>
      <c r="AB243" s="35">
        <f t="shared" si="465"/>
        <v>13902</v>
      </c>
      <c r="AC243" s="35">
        <f t="shared" si="465"/>
        <v>13902</v>
      </c>
      <c r="AD243" s="35">
        <v>14388</v>
      </c>
      <c r="AE243" s="35" t="str">
        <f t="shared" si="465"/>
        <v/>
      </c>
      <c r="AF243" s="35" t="str">
        <f t="shared" si="465"/>
        <v/>
      </c>
      <c r="AG243" s="35" t="str">
        <f t="shared" si="465"/>
        <v/>
      </c>
      <c r="AH243" s="35" t="str">
        <f t="shared" si="465"/>
        <v/>
      </c>
      <c r="AI243" s="35" t="str">
        <f t="shared" si="465"/>
        <v/>
      </c>
      <c r="AJ243" s="35" t="str">
        <f t="shared" si="465"/>
        <v/>
      </c>
      <c r="AK243" s="35" t="str">
        <f t="shared" si="465"/>
        <v/>
      </c>
      <c r="AL243" s="35" t="str">
        <f t="shared" si="465"/>
        <v/>
      </c>
      <c r="AM243" s="35" t="str">
        <f t="shared" si="465"/>
        <v/>
      </c>
      <c r="AN243" s="35" t="str">
        <f t="shared" si="465"/>
        <v/>
      </c>
      <c r="AO243" s="35" t="str">
        <f t="shared" si="465"/>
        <v/>
      </c>
      <c r="AP243" s="35" t="str">
        <f t="shared" ref="AP243:AR243" si="466">IF(AP$207="","",AO243)</f>
        <v/>
      </c>
      <c r="AQ243" s="35" t="str">
        <f t="shared" si="466"/>
        <v/>
      </c>
      <c r="AR243" s="35" t="str">
        <f t="shared" si="466"/>
        <v/>
      </c>
    </row>
    <row r="244" spans="1:44" s="1" customFormat="1">
      <c r="A244" s="37" t="s">
        <v>184</v>
      </c>
      <c r="B244" s="30" t="s">
        <v>4</v>
      </c>
      <c r="C244" s="65">
        <v>502</v>
      </c>
      <c r="D244" s="29">
        <f>IF(D$207="","",C244)</f>
        <v>502</v>
      </c>
      <c r="E244" s="29">
        <f>IF(E$207="","",D244)</f>
        <v>502</v>
      </c>
      <c r="F244" s="29">
        <v>502</v>
      </c>
      <c r="G244" s="122">
        <f>IF(G$207="","",F244)</f>
        <v>502</v>
      </c>
      <c r="H244" s="29">
        <f>IF(H$207="","",G244)</f>
        <v>502</v>
      </c>
      <c r="I244" s="29">
        <v>503</v>
      </c>
      <c r="J244" s="122">
        <f>IF(J$207="","",I244)</f>
        <v>503</v>
      </c>
      <c r="K244" s="29">
        <f>IF(K$207="","",J244)</f>
        <v>503</v>
      </c>
      <c r="L244" s="29">
        <v>505</v>
      </c>
      <c r="M244" s="29">
        <f>IF(M$207="","",L244)</f>
        <v>505</v>
      </c>
      <c r="N244" s="29">
        <f>IF(N$207="","",M244)</f>
        <v>505</v>
      </c>
      <c r="O244" s="29">
        <v>508</v>
      </c>
      <c r="P244" s="122">
        <f t="shared" ref="P244:AO244" si="467">IF(P$207="","",O244)</f>
        <v>508</v>
      </c>
      <c r="Q244" s="29">
        <f t="shared" si="467"/>
        <v>508</v>
      </c>
      <c r="R244" s="29">
        <f t="shared" si="467"/>
        <v>508</v>
      </c>
      <c r="S244" s="29">
        <v>508</v>
      </c>
      <c r="T244" s="29">
        <f t="shared" si="467"/>
        <v>508</v>
      </c>
      <c r="U244" s="29">
        <f t="shared" si="467"/>
        <v>508</v>
      </c>
      <c r="V244" s="29">
        <f>IF(V$207="","",U244)</f>
        <v>508</v>
      </c>
      <c r="W244" s="29">
        <f t="shared" si="467"/>
        <v>508</v>
      </c>
      <c r="X244" s="29">
        <f t="shared" si="467"/>
        <v>508</v>
      </c>
      <c r="Y244" s="29">
        <v>510</v>
      </c>
      <c r="Z244" s="29">
        <f t="shared" si="467"/>
        <v>510</v>
      </c>
      <c r="AA244" s="29">
        <f t="shared" si="467"/>
        <v>510</v>
      </c>
      <c r="AB244" s="29">
        <f t="shared" si="467"/>
        <v>510</v>
      </c>
      <c r="AC244" s="29">
        <f t="shared" si="467"/>
        <v>510</v>
      </c>
      <c r="AD244" s="29">
        <v>515</v>
      </c>
      <c r="AE244" s="29" t="str">
        <f t="shared" si="467"/>
        <v/>
      </c>
      <c r="AF244" s="29" t="str">
        <f t="shared" si="467"/>
        <v/>
      </c>
      <c r="AG244" s="29" t="str">
        <f t="shared" si="467"/>
        <v/>
      </c>
      <c r="AH244" s="29" t="str">
        <f t="shared" si="467"/>
        <v/>
      </c>
      <c r="AI244" s="29" t="str">
        <f t="shared" si="467"/>
        <v/>
      </c>
      <c r="AJ244" s="29" t="str">
        <f t="shared" si="467"/>
        <v/>
      </c>
      <c r="AK244" s="29" t="str">
        <f t="shared" si="467"/>
        <v/>
      </c>
      <c r="AL244" s="29" t="str">
        <f t="shared" si="467"/>
        <v/>
      </c>
      <c r="AM244" s="29" t="str">
        <f t="shared" si="467"/>
        <v/>
      </c>
      <c r="AN244" s="29" t="str">
        <f t="shared" si="467"/>
        <v/>
      </c>
      <c r="AO244" s="29" t="str">
        <f t="shared" si="467"/>
        <v/>
      </c>
      <c r="AP244" s="29" t="str">
        <f t="shared" ref="AP244:AR244" si="468">IF(AP$207="","",AO244)</f>
        <v/>
      </c>
      <c r="AQ244" s="29" t="str">
        <f t="shared" si="468"/>
        <v/>
      </c>
      <c r="AR244" s="29" t="str">
        <f t="shared" si="468"/>
        <v/>
      </c>
    </row>
    <row r="245" spans="1:44" s="1" customFormat="1">
      <c r="A245" s="41">
        <v>4</v>
      </c>
      <c r="B245" s="30" t="s">
        <v>5</v>
      </c>
      <c r="C245" s="65">
        <v>4</v>
      </c>
      <c r="D245" s="29">
        <f>IF(D243="","",(C245+C246))</f>
        <v>4</v>
      </c>
      <c r="E245" s="29">
        <f>IF(E243="","",(D245+D246))</f>
        <v>4</v>
      </c>
      <c r="F245" s="29">
        <f>IF(F243="","",(E245+E246))</f>
        <v>4</v>
      </c>
      <c r="G245" s="122">
        <f>IF(G243="","",(F245+F246))</f>
        <v>4</v>
      </c>
      <c r="H245" s="29">
        <f>IF(H243="","",(G245+G246))</f>
        <v>4</v>
      </c>
      <c r="I245" s="29">
        <v>0</v>
      </c>
      <c r="J245" s="122">
        <f>IF(J243="","",(I245+I246))</f>
        <v>4</v>
      </c>
      <c r="K245" s="29">
        <f>IF(K243="","",(J245+J246))</f>
        <v>4</v>
      </c>
      <c r="L245" s="29">
        <v>2</v>
      </c>
      <c r="M245" s="29">
        <f>IF(M243="","",(L245+L246))</f>
        <v>4</v>
      </c>
      <c r="N245" s="29">
        <f>IF(N243="","",(M245+M246))</f>
        <v>4</v>
      </c>
      <c r="O245" s="29">
        <v>1</v>
      </c>
      <c r="P245" s="122">
        <f t="shared" ref="P245:AO245" si="469">IF(P243="","",(O245+O246))</f>
        <v>4</v>
      </c>
      <c r="Q245" s="29">
        <f t="shared" si="469"/>
        <v>4</v>
      </c>
      <c r="R245" s="29">
        <f t="shared" si="469"/>
        <v>4</v>
      </c>
      <c r="S245" s="29">
        <f t="shared" si="469"/>
        <v>4</v>
      </c>
      <c r="T245" s="29">
        <f t="shared" si="469"/>
        <v>4</v>
      </c>
      <c r="U245" s="29">
        <f t="shared" si="469"/>
        <v>4</v>
      </c>
      <c r="V245" s="29">
        <f>IF(V243="","",(U245+U246))</f>
        <v>4</v>
      </c>
      <c r="W245" s="29">
        <f t="shared" si="469"/>
        <v>10</v>
      </c>
      <c r="X245" s="29">
        <f t="shared" si="469"/>
        <v>10</v>
      </c>
      <c r="Y245" s="29">
        <v>9</v>
      </c>
      <c r="Z245" s="29">
        <f t="shared" si="469"/>
        <v>9</v>
      </c>
      <c r="AA245" s="29">
        <f t="shared" si="469"/>
        <v>9</v>
      </c>
      <c r="AB245" s="29">
        <f t="shared" si="469"/>
        <v>9</v>
      </c>
      <c r="AC245" s="29">
        <f t="shared" si="469"/>
        <v>9</v>
      </c>
      <c r="AD245" s="29">
        <v>3</v>
      </c>
      <c r="AE245" s="29" t="str">
        <f t="shared" si="469"/>
        <v/>
      </c>
      <c r="AF245" s="29" t="str">
        <f t="shared" si="469"/>
        <v/>
      </c>
      <c r="AG245" s="29" t="str">
        <f t="shared" si="469"/>
        <v/>
      </c>
      <c r="AH245" s="29" t="str">
        <f t="shared" si="469"/>
        <v/>
      </c>
      <c r="AI245" s="29" t="str">
        <f t="shared" si="469"/>
        <v/>
      </c>
      <c r="AJ245" s="29" t="str">
        <f t="shared" si="469"/>
        <v/>
      </c>
      <c r="AK245" s="29" t="str">
        <f t="shared" si="469"/>
        <v/>
      </c>
      <c r="AL245" s="29" t="str">
        <f t="shared" si="469"/>
        <v/>
      </c>
      <c r="AM245" s="29" t="str">
        <f t="shared" si="469"/>
        <v/>
      </c>
      <c r="AN245" s="29" t="str">
        <f t="shared" si="469"/>
        <v/>
      </c>
      <c r="AO245" s="29" t="str">
        <f t="shared" si="469"/>
        <v/>
      </c>
      <c r="AP245" s="29" t="str">
        <f t="shared" ref="AP245:AR245" si="470">IF(AP243="","",(AO245+AO246))</f>
        <v/>
      </c>
      <c r="AQ245" s="29" t="str">
        <f t="shared" si="470"/>
        <v/>
      </c>
      <c r="AR245" s="29" t="str">
        <f t="shared" si="470"/>
        <v/>
      </c>
    </row>
    <row r="246" spans="1:44" s="1" customFormat="1">
      <c r="A246" s="14"/>
      <c r="B246" s="30" t="s">
        <v>7</v>
      </c>
      <c r="C246" s="65"/>
      <c r="D246" s="29"/>
      <c r="E246" s="29"/>
      <c r="F246" s="29"/>
      <c r="G246" s="122"/>
      <c r="H246" s="29"/>
      <c r="I246" s="29">
        <v>4</v>
      </c>
      <c r="J246" s="122"/>
      <c r="K246" s="29"/>
      <c r="L246" s="29">
        <v>2</v>
      </c>
      <c r="M246" s="29"/>
      <c r="N246" s="29"/>
      <c r="O246" s="29">
        <v>3</v>
      </c>
      <c r="P246" s="122"/>
      <c r="Q246" s="29"/>
      <c r="R246" s="29"/>
      <c r="S246" s="29"/>
      <c r="T246" s="29"/>
      <c r="U246" s="29"/>
      <c r="V246" s="29">
        <v>6</v>
      </c>
      <c r="W246" s="29"/>
      <c r="X246" s="29"/>
      <c r="Y246" s="29"/>
      <c r="Z246" s="29"/>
      <c r="AA246" s="29"/>
      <c r="AB246" s="29"/>
      <c r="AC246" s="29"/>
      <c r="AD246" s="29">
        <v>6</v>
      </c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</row>
    <row r="247" spans="1:44" s="1" customFormat="1">
      <c r="A247" s="7"/>
      <c r="B247" s="30" t="s">
        <v>8</v>
      </c>
      <c r="C247" s="64">
        <v>500</v>
      </c>
      <c r="D247" s="35">
        <f t="shared" ref="D247:AO247" si="471">IF(D243="","",C247)</f>
        <v>500</v>
      </c>
      <c r="E247" s="35">
        <f t="shared" si="471"/>
        <v>500</v>
      </c>
      <c r="F247" s="35">
        <f t="shared" si="471"/>
        <v>500</v>
      </c>
      <c r="G247" s="383">
        <f t="shared" si="471"/>
        <v>500</v>
      </c>
      <c r="H247" s="35">
        <f t="shared" si="471"/>
        <v>500</v>
      </c>
      <c r="I247" s="35">
        <f t="shared" si="471"/>
        <v>500</v>
      </c>
      <c r="J247" s="383">
        <f t="shared" si="471"/>
        <v>500</v>
      </c>
      <c r="K247" s="35">
        <f t="shared" si="471"/>
        <v>500</v>
      </c>
      <c r="L247" s="35">
        <f t="shared" si="471"/>
        <v>500</v>
      </c>
      <c r="M247" s="35">
        <f t="shared" si="471"/>
        <v>500</v>
      </c>
      <c r="N247" s="35">
        <f t="shared" si="471"/>
        <v>500</v>
      </c>
      <c r="O247" s="35">
        <f t="shared" si="471"/>
        <v>500</v>
      </c>
      <c r="P247" s="383">
        <f t="shared" si="471"/>
        <v>500</v>
      </c>
      <c r="Q247" s="35">
        <f t="shared" si="471"/>
        <v>500</v>
      </c>
      <c r="R247" s="35">
        <f t="shared" si="471"/>
        <v>500</v>
      </c>
      <c r="S247" s="35">
        <f t="shared" si="471"/>
        <v>500</v>
      </c>
      <c r="T247" s="35">
        <f t="shared" si="471"/>
        <v>500</v>
      </c>
      <c r="U247" s="35">
        <f t="shared" si="471"/>
        <v>500</v>
      </c>
      <c r="V247" s="35">
        <f>IF(V243="","",U247)</f>
        <v>500</v>
      </c>
      <c r="W247" s="35">
        <f t="shared" si="471"/>
        <v>500</v>
      </c>
      <c r="X247" s="35">
        <f t="shared" si="471"/>
        <v>500</v>
      </c>
      <c r="Y247" s="35">
        <f t="shared" si="471"/>
        <v>500</v>
      </c>
      <c r="Z247" s="35">
        <f t="shared" si="471"/>
        <v>500</v>
      </c>
      <c r="AA247" s="35">
        <f t="shared" si="471"/>
        <v>500</v>
      </c>
      <c r="AB247" s="35">
        <f t="shared" si="471"/>
        <v>500</v>
      </c>
      <c r="AC247" s="35">
        <f t="shared" si="471"/>
        <v>500</v>
      </c>
      <c r="AD247" s="35">
        <f t="shared" si="471"/>
        <v>500</v>
      </c>
      <c r="AE247" s="35" t="str">
        <f t="shared" si="471"/>
        <v/>
      </c>
      <c r="AF247" s="35" t="str">
        <f t="shared" si="471"/>
        <v/>
      </c>
      <c r="AG247" s="35" t="str">
        <f t="shared" si="471"/>
        <v/>
      </c>
      <c r="AH247" s="35" t="str">
        <f t="shared" si="471"/>
        <v/>
      </c>
      <c r="AI247" s="35" t="str">
        <f t="shared" si="471"/>
        <v/>
      </c>
      <c r="AJ247" s="35" t="str">
        <f t="shared" si="471"/>
        <v/>
      </c>
      <c r="AK247" s="35" t="str">
        <f t="shared" si="471"/>
        <v/>
      </c>
      <c r="AL247" s="35" t="str">
        <f t="shared" si="471"/>
        <v/>
      </c>
      <c r="AM247" s="35" t="str">
        <f t="shared" si="471"/>
        <v/>
      </c>
      <c r="AN247" s="35" t="str">
        <f t="shared" si="471"/>
        <v/>
      </c>
      <c r="AO247" s="35" t="str">
        <f t="shared" si="471"/>
        <v/>
      </c>
      <c r="AP247" s="35" t="str">
        <f t="shared" ref="AP247:AR247" si="472">IF(AP243="","",AO247)</f>
        <v/>
      </c>
      <c r="AQ247" s="35" t="str">
        <f t="shared" si="472"/>
        <v/>
      </c>
      <c r="AR247" s="35" t="str">
        <f t="shared" si="472"/>
        <v/>
      </c>
    </row>
    <row r="248" spans="1:44" s="11" customFormat="1">
      <c r="A248" s="14" t="s">
        <v>9</v>
      </c>
      <c r="B248" s="33" t="s">
        <v>10</v>
      </c>
      <c r="C248" s="63" t="s">
        <v>186</v>
      </c>
      <c r="D248" s="32" t="str">
        <f t="shared" ref="D248:AO248" si="473">IF(D243="","",C248)</f>
        <v>ケーキSQ</v>
      </c>
      <c r="E248" s="32" t="str">
        <f t="shared" si="473"/>
        <v>ケーキSQ</v>
      </c>
      <c r="F248" s="32" t="str">
        <f t="shared" si="473"/>
        <v>ケーキSQ</v>
      </c>
      <c r="G248" s="123" t="str">
        <f t="shared" si="473"/>
        <v>ケーキSQ</v>
      </c>
      <c r="H248" s="32" t="str">
        <f t="shared" si="473"/>
        <v>ケーキSQ</v>
      </c>
      <c r="I248" s="32" t="str">
        <f t="shared" si="473"/>
        <v>ケーキSQ</v>
      </c>
      <c r="J248" s="123" t="str">
        <f t="shared" si="473"/>
        <v>ケーキSQ</v>
      </c>
      <c r="K248" s="32" t="str">
        <f t="shared" si="473"/>
        <v>ケーキSQ</v>
      </c>
      <c r="L248" s="32" t="str">
        <f t="shared" si="473"/>
        <v>ケーキSQ</v>
      </c>
      <c r="M248" s="32" t="str">
        <f t="shared" si="473"/>
        <v>ケーキSQ</v>
      </c>
      <c r="N248" s="32" t="str">
        <f t="shared" si="473"/>
        <v>ケーキSQ</v>
      </c>
      <c r="O248" s="32" t="str">
        <f t="shared" si="473"/>
        <v>ケーキSQ</v>
      </c>
      <c r="P248" s="123" t="str">
        <f t="shared" si="473"/>
        <v>ケーキSQ</v>
      </c>
      <c r="Q248" s="32" t="str">
        <f t="shared" si="473"/>
        <v>ケーキSQ</v>
      </c>
      <c r="R248" s="32" t="str">
        <f t="shared" si="473"/>
        <v>ケーキSQ</v>
      </c>
      <c r="S248" s="32" t="str">
        <f t="shared" si="473"/>
        <v>ケーキSQ</v>
      </c>
      <c r="T248" s="32" t="s">
        <v>412</v>
      </c>
      <c r="U248" s="32" t="str">
        <f t="shared" si="473"/>
        <v>バターSQ</v>
      </c>
      <c r="V248" s="32" t="str">
        <f>IF(V243="","",U248)</f>
        <v>バターSQ</v>
      </c>
      <c r="W248" s="32" t="str">
        <f t="shared" si="473"/>
        <v>バターSQ</v>
      </c>
      <c r="X248" s="32" t="str">
        <f t="shared" si="473"/>
        <v>バターSQ</v>
      </c>
      <c r="Y248" s="32" t="str">
        <f t="shared" si="473"/>
        <v>バターSQ</v>
      </c>
      <c r="Z248" s="32" t="str">
        <f t="shared" si="473"/>
        <v>バターSQ</v>
      </c>
      <c r="AA248" s="32" t="str">
        <f t="shared" si="473"/>
        <v>バターSQ</v>
      </c>
      <c r="AB248" s="32" t="str">
        <f t="shared" si="473"/>
        <v>バターSQ</v>
      </c>
      <c r="AC248" s="32" t="str">
        <f t="shared" si="473"/>
        <v>バターSQ</v>
      </c>
      <c r="AD248" s="32" t="str">
        <f t="shared" si="473"/>
        <v>バターSQ</v>
      </c>
      <c r="AE248" s="32" t="str">
        <f t="shared" si="473"/>
        <v/>
      </c>
      <c r="AF248" s="32" t="str">
        <f t="shared" si="473"/>
        <v/>
      </c>
      <c r="AG248" s="32" t="str">
        <f t="shared" si="473"/>
        <v/>
      </c>
      <c r="AH248" s="32" t="str">
        <f t="shared" si="473"/>
        <v/>
      </c>
      <c r="AI248" s="32" t="str">
        <f t="shared" si="473"/>
        <v/>
      </c>
      <c r="AJ248" s="32" t="str">
        <f t="shared" si="473"/>
        <v/>
      </c>
      <c r="AK248" s="32" t="str">
        <f t="shared" si="473"/>
        <v/>
      </c>
      <c r="AL248" s="32" t="str">
        <f t="shared" si="473"/>
        <v/>
      </c>
      <c r="AM248" s="32" t="str">
        <f t="shared" si="473"/>
        <v/>
      </c>
      <c r="AN248" s="32" t="str">
        <f t="shared" si="473"/>
        <v/>
      </c>
      <c r="AO248" s="32" t="str">
        <f t="shared" si="473"/>
        <v/>
      </c>
      <c r="AP248" s="32" t="str">
        <f t="shared" ref="AP248:AR248" si="474">IF(AP243="","",AO248)</f>
        <v/>
      </c>
      <c r="AQ248" s="32" t="str">
        <f t="shared" si="474"/>
        <v/>
      </c>
      <c r="AR248" s="32" t="str">
        <f t="shared" si="474"/>
        <v/>
      </c>
    </row>
    <row r="249" spans="1:44" s="1" customFormat="1">
      <c r="A249" s="7">
        <f>AVERAGE(C250:AS250)*30*100</f>
        <v>150964.28571428571</v>
      </c>
      <c r="B249" s="30" t="s">
        <v>14</v>
      </c>
      <c r="C249" s="65"/>
      <c r="D249" s="29"/>
      <c r="E249" s="29"/>
      <c r="F249" s="29"/>
      <c r="G249" s="122"/>
      <c r="H249" s="29"/>
      <c r="I249" s="29"/>
      <c r="J249" s="122"/>
      <c r="K249" s="29"/>
      <c r="L249" s="29"/>
      <c r="M249" s="29"/>
      <c r="N249" s="29"/>
      <c r="O249" s="29"/>
      <c r="P249" s="122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</row>
    <row r="250" spans="1:44" s="1" customFormat="1">
      <c r="A250" s="7">
        <f>SUM(C250:AS250)</f>
        <v>1409</v>
      </c>
      <c r="B250" s="27" t="s">
        <v>15</v>
      </c>
      <c r="C250" s="65">
        <v>0</v>
      </c>
      <c r="D250" s="26">
        <f t="shared" ref="D250:AO250" si="475">IF(D243="","",D243-C243)</f>
        <v>0</v>
      </c>
      <c r="E250" s="26">
        <f t="shared" si="475"/>
        <v>0</v>
      </c>
      <c r="F250" s="26">
        <f t="shared" si="475"/>
        <v>139</v>
      </c>
      <c r="G250" s="122">
        <f t="shared" si="475"/>
        <v>0</v>
      </c>
      <c r="H250" s="26">
        <f t="shared" si="475"/>
        <v>0</v>
      </c>
      <c r="I250" s="26">
        <f t="shared" si="475"/>
        <v>96</v>
      </c>
      <c r="J250" s="122">
        <f t="shared" si="475"/>
        <v>0</v>
      </c>
      <c r="K250" s="26">
        <f t="shared" si="475"/>
        <v>0</v>
      </c>
      <c r="L250" s="26">
        <f t="shared" si="475"/>
        <v>80</v>
      </c>
      <c r="M250" s="26">
        <f t="shared" si="475"/>
        <v>0</v>
      </c>
      <c r="N250" s="26">
        <f t="shared" si="475"/>
        <v>0</v>
      </c>
      <c r="O250" s="26">
        <f t="shared" si="475"/>
        <v>236</v>
      </c>
      <c r="P250" s="122">
        <f t="shared" si="475"/>
        <v>0</v>
      </c>
      <c r="Q250" s="26">
        <f t="shared" si="475"/>
        <v>0</v>
      </c>
      <c r="R250" s="26">
        <f t="shared" si="475"/>
        <v>0</v>
      </c>
      <c r="S250" s="26">
        <f t="shared" si="475"/>
        <v>51</v>
      </c>
      <c r="T250" s="26">
        <f t="shared" si="475"/>
        <v>0</v>
      </c>
      <c r="U250" s="26">
        <f t="shared" si="475"/>
        <v>0</v>
      </c>
      <c r="V250" s="26">
        <f>IF(V243="","",V243-U243)</f>
        <v>0</v>
      </c>
      <c r="W250" s="26">
        <f t="shared" si="475"/>
        <v>0</v>
      </c>
      <c r="X250" s="26">
        <f t="shared" si="475"/>
        <v>0</v>
      </c>
      <c r="Y250" s="26">
        <f t="shared" si="475"/>
        <v>321</v>
      </c>
      <c r="Z250" s="26">
        <f t="shared" si="475"/>
        <v>0</v>
      </c>
      <c r="AA250" s="26">
        <f t="shared" si="475"/>
        <v>0</v>
      </c>
      <c r="AB250" s="26">
        <f t="shared" si="475"/>
        <v>0</v>
      </c>
      <c r="AC250" s="26">
        <f t="shared" si="475"/>
        <v>0</v>
      </c>
      <c r="AD250" s="26">
        <f t="shared" si="475"/>
        <v>486</v>
      </c>
      <c r="AE250" s="26" t="str">
        <f t="shared" si="475"/>
        <v/>
      </c>
      <c r="AF250" s="26" t="str">
        <f t="shared" si="475"/>
        <v/>
      </c>
      <c r="AG250" s="26" t="str">
        <f t="shared" si="475"/>
        <v/>
      </c>
      <c r="AH250" s="26" t="str">
        <f t="shared" si="475"/>
        <v/>
      </c>
      <c r="AI250" s="26" t="str">
        <f t="shared" si="475"/>
        <v/>
      </c>
      <c r="AJ250" s="26" t="str">
        <f t="shared" si="475"/>
        <v/>
      </c>
      <c r="AK250" s="26" t="str">
        <f t="shared" si="475"/>
        <v/>
      </c>
      <c r="AL250" s="26" t="str">
        <f t="shared" si="475"/>
        <v/>
      </c>
      <c r="AM250" s="26" t="str">
        <f t="shared" si="475"/>
        <v/>
      </c>
      <c r="AN250" s="26" t="str">
        <f t="shared" si="475"/>
        <v/>
      </c>
      <c r="AO250" s="26" t="str">
        <f t="shared" si="475"/>
        <v/>
      </c>
      <c r="AP250" s="26" t="str">
        <f t="shared" ref="AP250:AR250" si="476">IF(AP243="","",AP243-AO243)</f>
        <v/>
      </c>
      <c r="AQ250" s="26" t="str">
        <f t="shared" si="476"/>
        <v/>
      </c>
      <c r="AR250" s="26" t="str">
        <f t="shared" si="476"/>
        <v/>
      </c>
    </row>
    <row r="251" spans="1:44" s="1" customFormat="1">
      <c r="A251" s="7">
        <f>SUM(C251:AS251)</f>
        <v>13</v>
      </c>
      <c r="B251" s="27" t="s">
        <v>16</v>
      </c>
      <c r="C251" s="65">
        <v>0</v>
      </c>
      <c r="D251" s="26">
        <f t="shared" ref="D251:AO251" si="477">IF(D244="","",D244-C244)</f>
        <v>0</v>
      </c>
      <c r="E251" s="26">
        <f t="shared" si="477"/>
        <v>0</v>
      </c>
      <c r="F251" s="26">
        <f t="shared" si="477"/>
        <v>0</v>
      </c>
      <c r="G251" s="122">
        <f t="shared" si="477"/>
        <v>0</v>
      </c>
      <c r="H251" s="26">
        <f t="shared" si="477"/>
        <v>0</v>
      </c>
      <c r="I251" s="26">
        <f t="shared" si="477"/>
        <v>1</v>
      </c>
      <c r="J251" s="122">
        <f t="shared" si="477"/>
        <v>0</v>
      </c>
      <c r="K251" s="26">
        <f t="shared" si="477"/>
        <v>0</v>
      </c>
      <c r="L251" s="26">
        <f t="shared" si="477"/>
        <v>2</v>
      </c>
      <c r="M251" s="26">
        <f t="shared" si="477"/>
        <v>0</v>
      </c>
      <c r="N251" s="26">
        <f t="shared" si="477"/>
        <v>0</v>
      </c>
      <c r="O251" s="26">
        <f t="shared" si="477"/>
        <v>3</v>
      </c>
      <c r="P251" s="122">
        <f t="shared" si="477"/>
        <v>0</v>
      </c>
      <c r="Q251" s="26">
        <f t="shared" si="477"/>
        <v>0</v>
      </c>
      <c r="R251" s="26">
        <f t="shared" si="477"/>
        <v>0</v>
      </c>
      <c r="S251" s="26">
        <f t="shared" si="477"/>
        <v>0</v>
      </c>
      <c r="T251" s="26">
        <f t="shared" si="477"/>
        <v>0</v>
      </c>
      <c r="U251" s="26">
        <f t="shared" si="477"/>
        <v>0</v>
      </c>
      <c r="V251" s="26">
        <f>IF(V244="","",V244-U244)</f>
        <v>0</v>
      </c>
      <c r="W251" s="26">
        <f t="shared" si="477"/>
        <v>0</v>
      </c>
      <c r="X251" s="26">
        <f t="shared" si="477"/>
        <v>0</v>
      </c>
      <c r="Y251" s="26">
        <f t="shared" si="477"/>
        <v>2</v>
      </c>
      <c r="Z251" s="26">
        <f t="shared" si="477"/>
        <v>0</v>
      </c>
      <c r="AA251" s="26">
        <f t="shared" si="477"/>
        <v>0</v>
      </c>
      <c r="AB251" s="26">
        <f t="shared" si="477"/>
        <v>0</v>
      </c>
      <c r="AC251" s="26">
        <f t="shared" si="477"/>
        <v>0</v>
      </c>
      <c r="AD251" s="26">
        <f t="shared" si="477"/>
        <v>5</v>
      </c>
      <c r="AE251" s="26" t="str">
        <f t="shared" si="477"/>
        <v/>
      </c>
      <c r="AF251" s="26" t="str">
        <f t="shared" si="477"/>
        <v/>
      </c>
      <c r="AG251" s="26" t="str">
        <f t="shared" si="477"/>
        <v/>
      </c>
      <c r="AH251" s="26" t="str">
        <f t="shared" si="477"/>
        <v/>
      </c>
      <c r="AI251" s="26" t="str">
        <f t="shared" si="477"/>
        <v/>
      </c>
      <c r="AJ251" s="26" t="str">
        <f t="shared" si="477"/>
        <v/>
      </c>
      <c r="AK251" s="26" t="str">
        <f t="shared" si="477"/>
        <v/>
      </c>
      <c r="AL251" s="26" t="str">
        <f t="shared" si="477"/>
        <v/>
      </c>
      <c r="AM251" s="26" t="str">
        <f t="shared" si="477"/>
        <v/>
      </c>
      <c r="AN251" s="26" t="str">
        <f t="shared" si="477"/>
        <v/>
      </c>
      <c r="AO251" s="26" t="str">
        <f t="shared" si="477"/>
        <v/>
      </c>
      <c r="AP251" s="26" t="str">
        <f t="shared" ref="AP251:AR251" si="478">IF(AP244="","",AP244-AO244)</f>
        <v/>
      </c>
      <c r="AQ251" s="26" t="str">
        <f t="shared" si="478"/>
        <v/>
      </c>
      <c r="AR251" s="26" t="str">
        <f t="shared" si="478"/>
        <v/>
      </c>
    </row>
    <row r="252" spans="1:44" s="1" customFormat="1">
      <c r="A252" s="7">
        <f>SUM(C252:AS252)</f>
        <v>16</v>
      </c>
      <c r="B252" s="27" t="s">
        <v>17</v>
      </c>
      <c r="C252" s="65">
        <v>0</v>
      </c>
      <c r="D252" s="26">
        <f t="shared" ref="D252:AO252" si="479">IF(D245="","",C245+C246-D245)</f>
        <v>0</v>
      </c>
      <c r="E252" s="26">
        <f t="shared" si="479"/>
        <v>0</v>
      </c>
      <c r="F252" s="26">
        <f t="shared" si="479"/>
        <v>0</v>
      </c>
      <c r="G252" s="122">
        <f t="shared" si="479"/>
        <v>0</v>
      </c>
      <c r="H252" s="26">
        <f t="shared" si="479"/>
        <v>0</v>
      </c>
      <c r="I252" s="26">
        <f t="shared" si="479"/>
        <v>4</v>
      </c>
      <c r="J252" s="122">
        <f t="shared" si="479"/>
        <v>0</v>
      </c>
      <c r="K252" s="26">
        <f t="shared" si="479"/>
        <v>0</v>
      </c>
      <c r="L252" s="26">
        <f t="shared" si="479"/>
        <v>2</v>
      </c>
      <c r="M252" s="26">
        <f t="shared" si="479"/>
        <v>0</v>
      </c>
      <c r="N252" s="26">
        <f t="shared" si="479"/>
        <v>0</v>
      </c>
      <c r="O252" s="26">
        <f t="shared" si="479"/>
        <v>3</v>
      </c>
      <c r="P252" s="122">
        <f t="shared" si="479"/>
        <v>0</v>
      </c>
      <c r="Q252" s="26">
        <f t="shared" si="479"/>
        <v>0</v>
      </c>
      <c r="R252" s="26">
        <f t="shared" si="479"/>
        <v>0</v>
      </c>
      <c r="S252" s="26">
        <f t="shared" si="479"/>
        <v>0</v>
      </c>
      <c r="T252" s="26">
        <f t="shared" si="479"/>
        <v>0</v>
      </c>
      <c r="U252" s="26">
        <f t="shared" si="479"/>
        <v>0</v>
      </c>
      <c r="V252" s="26">
        <f>IF(V245="","",U245+U246-V245)</f>
        <v>0</v>
      </c>
      <c r="W252" s="26">
        <f t="shared" si="479"/>
        <v>0</v>
      </c>
      <c r="X252" s="26">
        <f t="shared" si="479"/>
        <v>0</v>
      </c>
      <c r="Y252" s="26">
        <f t="shared" si="479"/>
        <v>1</v>
      </c>
      <c r="Z252" s="26">
        <f t="shared" si="479"/>
        <v>0</v>
      </c>
      <c r="AA252" s="26">
        <f t="shared" si="479"/>
        <v>0</v>
      </c>
      <c r="AB252" s="26">
        <f t="shared" si="479"/>
        <v>0</v>
      </c>
      <c r="AC252" s="26">
        <f t="shared" si="479"/>
        <v>0</v>
      </c>
      <c r="AD252" s="26">
        <f t="shared" si="479"/>
        <v>6</v>
      </c>
      <c r="AE252" s="26" t="str">
        <f t="shared" si="479"/>
        <v/>
      </c>
      <c r="AF252" s="26" t="str">
        <f t="shared" si="479"/>
        <v/>
      </c>
      <c r="AG252" s="26" t="str">
        <f t="shared" si="479"/>
        <v/>
      </c>
      <c r="AH252" s="26" t="str">
        <f t="shared" si="479"/>
        <v/>
      </c>
      <c r="AI252" s="26" t="str">
        <f t="shared" si="479"/>
        <v/>
      </c>
      <c r="AJ252" s="26" t="str">
        <f t="shared" si="479"/>
        <v/>
      </c>
      <c r="AK252" s="26" t="str">
        <f t="shared" si="479"/>
        <v/>
      </c>
      <c r="AL252" s="26" t="str">
        <f t="shared" si="479"/>
        <v/>
      </c>
      <c r="AM252" s="26" t="str">
        <f t="shared" si="479"/>
        <v/>
      </c>
      <c r="AN252" s="26" t="str">
        <f t="shared" si="479"/>
        <v/>
      </c>
      <c r="AO252" s="26" t="str">
        <f t="shared" si="479"/>
        <v/>
      </c>
      <c r="AP252" s="26" t="str">
        <f t="shared" ref="AP252:AR252" si="480">IF(AP245="","",AO245+AO246-AP245)</f>
        <v/>
      </c>
      <c r="AQ252" s="26" t="str">
        <f t="shared" si="480"/>
        <v/>
      </c>
      <c r="AR252" s="26" t="str">
        <f t="shared" si="480"/>
        <v/>
      </c>
    </row>
    <row r="253" spans="1:44" s="1" customFormat="1">
      <c r="A253" s="7">
        <f>SUM(C253:AS253)</f>
        <v>8000</v>
      </c>
      <c r="B253" s="27" t="s">
        <v>18</v>
      </c>
      <c r="C253" s="65">
        <v>0</v>
      </c>
      <c r="D253" s="26">
        <f t="shared" ref="D253:AO253" si="481">IF(D243="","",D252*D247)</f>
        <v>0</v>
      </c>
      <c r="E253" s="26">
        <f t="shared" si="481"/>
        <v>0</v>
      </c>
      <c r="F253" s="26">
        <f t="shared" si="481"/>
        <v>0</v>
      </c>
      <c r="G253" s="122">
        <f t="shared" si="481"/>
        <v>0</v>
      </c>
      <c r="H253" s="26">
        <f t="shared" si="481"/>
        <v>0</v>
      </c>
      <c r="I253" s="26">
        <f t="shared" si="481"/>
        <v>2000</v>
      </c>
      <c r="J253" s="122">
        <f t="shared" si="481"/>
        <v>0</v>
      </c>
      <c r="K253" s="26">
        <f t="shared" si="481"/>
        <v>0</v>
      </c>
      <c r="L253" s="26">
        <f t="shared" si="481"/>
        <v>1000</v>
      </c>
      <c r="M253" s="26">
        <f t="shared" si="481"/>
        <v>0</v>
      </c>
      <c r="N253" s="26">
        <f t="shared" si="481"/>
        <v>0</v>
      </c>
      <c r="O253" s="26">
        <f t="shared" si="481"/>
        <v>1500</v>
      </c>
      <c r="P253" s="122">
        <f t="shared" si="481"/>
        <v>0</v>
      </c>
      <c r="Q253" s="26">
        <f t="shared" si="481"/>
        <v>0</v>
      </c>
      <c r="R253" s="26">
        <f t="shared" si="481"/>
        <v>0</v>
      </c>
      <c r="S253" s="26">
        <f t="shared" si="481"/>
        <v>0</v>
      </c>
      <c r="T253" s="26">
        <f t="shared" si="481"/>
        <v>0</v>
      </c>
      <c r="U253" s="26">
        <f t="shared" si="481"/>
        <v>0</v>
      </c>
      <c r="V253" s="26">
        <f>IF(V243="","",V252*V247)</f>
        <v>0</v>
      </c>
      <c r="W253" s="26">
        <f t="shared" si="481"/>
        <v>0</v>
      </c>
      <c r="X253" s="26">
        <f t="shared" si="481"/>
        <v>0</v>
      </c>
      <c r="Y253" s="26">
        <f t="shared" si="481"/>
        <v>500</v>
      </c>
      <c r="Z253" s="26">
        <f t="shared" si="481"/>
        <v>0</v>
      </c>
      <c r="AA253" s="26">
        <f t="shared" si="481"/>
        <v>0</v>
      </c>
      <c r="AB253" s="26">
        <f t="shared" si="481"/>
        <v>0</v>
      </c>
      <c r="AC253" s="26">
        <f t="shared" si="481"/>
        <v>0</v>
      </c>
      <c r="AD253" s="26">
        <f t="shared" si="481"/>
        <v>3000</v>
      </c>
      <c r="AE253" s="26" t="str">
        <f t="shared" si="481"/>
        <v/>
      </c>
      <c r="AF253" s="26" t="str">
        <f t="shared" si="481"/>
        <v/>
      </c>
      <c r="AG253" s="26" t="str">
        <f t="shared" si="481"/>
        <v/>
      </c>
      <c r="AH253" s="26" t="str">
        <f t="shared" si="481"/>
        <v/>
      </c>
      <c r="AI253" s="26" t="str">
        <f t="shared" si="481"/>
        <v/>
      </c>
      <c r="AJ253" s="26" t="str">
        <f t="shared" si="481"/>
        <v/>
      </c>
      <c r="AK253" s="26" t="str">
        <f t="shared" si="481"/>
        <v/>
      </c>
      <c r="AL253" s="26" t="str">
        <f t="shared" si="481"/>
        <v/>
      </c>
      <c r="AM253" s="26" t="str">
        <f t="shared" si="481"/>
        <v/>
      </c>
      <c r="AN253" s="26" t="str">
        <f t="shared" si="481"/>
        <v/>
      </c>
      <c r="AO253" s="26" t="str">
        <f t="shared" si="481"/>
        <v/>
      </c>
      <c r="AP253" s="26" t="str">
        <f t="shared" ref="AP253:AR253" si="482">IF(AP243="","",AP252*AP247)</f>
        <v/>
      </c>
      <c r="AQ253" s="26" t="str">
        <f t="shared" si="482"/>
        <v/>
      </c>
      <c r="AR253" s="26" t="str">
        <f t="shared" si="482"/>
        <v/>
      </c>
    </row>
    <row r="254" spans="1:44" s="1" customFormat="1" ht="12" thickBot="1">
      <c r="A254" s="4">
        <f>IF(A253="","",A253/(A250*100))</f>
        <v>5.6777856635911991E-2</v>
      </c>
      <c r="B254" s="24" t="s">
        <v>20</v>
      </c>
      <c r="C254" s="67" t="s">
        <v>21</v>
      </c>
      <c r="D254" s="23" t="str">
        <f t="shared" ref="D254:AO254" si="483">IF(D253="","",IF(D253=0,"",D253/(D250*100)))</f>
        <v/>
      </c>
      <c r="E254" s="23" t="str">
        <f t="shared" si="483"/>
        <v/>
      </c>
      <c r="F254" s="23" t="str">
        <f t="shared" si="483"/>
        <v/>
      </c>
      <c r="G254" s="124" t="str">
        <f t="shared" si="483"/>
        <v/>
      </c>
      <c r="H254" s="23" t="str">
        <f t="shared" si="483"/>
        <v/>
      </c>
      <c r="I254" s="23">
        <f t="shared" si="483"/>
        <v>0.20833333333333334</v>
      </c>
      <c r="J254" s="124" t="str">
        <f t="shared" si="483"/>
        <v/>
      </c>
      <c r="K254" s="23" t="str">
        <f t="shared" si="483"/>
        <v/>
      </c>
      <c r="L254" s="23">
        <f t="shared" si="483"/>
        <v>0.125</v>
      </c>
      <c r="M254" s="23" t="str">
        <f t="shared" si="483"/>
        <v/>
      </c>
      <c r="N254" s="23" t="str">
        <f t="shared" si="483"/>
        <v/>
      </c>
      <c r="O254" s="23">
        <f t="shared" si="483"/>
        <v>6.3559322033898302E-2</v>
      </c>
      <c r="P254" s="124" t="str">
        <f t="shared" si="483"/>
        <v/>
      </c>
      <c r="Q254" s="23" t="str">
        <f t="shared" si="483"/>
        <v/>
      </c>
      <c r="R254" s="23" t="str">
        <f t="shared" si="483"/>
        <v/>
      </c>
      <c r="S254" s="23" t="str">
        <f t="shared" si="483"/>
        <v/>
      </c>
      <c r="T254" s="23" t="str">
        <f t="shared" si="483"/>
        <v/>
      </c>
      <c r="U254" s="23" t="str">
        <f t="shared" si="483"/>
        <v/>
      </c>
      <c r="V254" s="23" t="str">
        <f>IF(V253="","",IF(V253=0,"",V253/(V250*100)))</f>
        <v/>
      </c>
      <c r="W254" s="23" t="str">
        <f t="shared" si="483"/>
        <v/>
      </c>
      <c r="X254" s="23" t="str">
        <f t="shared" si="483"/>
        <v/>
      </c>
      <c r="Y254" s="23">
        <f t="shared" si="483"/>
        <v>1.5576323987538941E-2</v>
      </c>
      <c r="Z254" s="23" t="str">
        <f t="shared" si="483"/>
        <v/>
      </c>
      <c r="AA254" s="23" t="str">
        <f t="shared" si="483"/>
        <v/>
      </c>
      <c r="AB254" s="23" t="str">
        <f t="shared" si="483"/>
        <v/>
      </c>
      <c r="AC254" s="23" t="str">
        <f t="shared" si="483"/>
        <v/>
      </c>
      <c r="AD254" s="23">
        <f t="shared" si="483"/>
        <v>6.1728395061728392E-2</v>
      </c>
      <c r="AE254" s="23" t="str">
        <f t="shared" si="483"/>
        <v/>
      </c>
      <c r="AF254" s="23" t="str">
        <f t="shared" si="483"/>
        <v/>
      </c>
      <c r="AG254" s="23" t="str">
        <f t="shared" si="483"/>
        <v/>
      </c>
      <c r="AH254" s="23" t="str">
        <f t="shared" si="483"/>
        <v/>
      </c>
      <c r="AI254" s="23" t="str">
        <f t="shared" si="483"/>
        <v/>
      </c>
      <c r="AJ254" s="23" t="str">
        <f t="shared" si="483"/>
        <v/>
      </c>
      <c r="AK254" s="23" t="str">
        <f t="shared" si="483"/>
        <v/>
      </c>
      <c r="AL254" s="23" t="str">
        <f t="shared" si="483"/>
        <v/>
      </c>
      <c r="AM254" s="23" t="str">
        <f t="shared" si="483"/>
        <v/>
      </c>
      <c r="AN254" s="23" t="str">
        <f t="shared" si="483"/>
        <v/>
      </c>
      <c r="AO254" s="23" t="str">
        <f t="shared" si="483"/>
        <v/>
      </c>
      <c r="AP254" s="23" t="str">
        <f t="shared" ref="AP254:AR254" si="484">IF(AP253="","",IF(AP253=0,"",AP253/(AP250*100)))</f>
        <v/>
      </c>
      <c r="AQ254" s="23" t="str">
        <f t="shared" si="484"/>
        <v/>
      </c>
      <c r="AR254" s="23" t="str">
        <f t="shared" si="484"/>
        <v/>
      </c>
    </row>
    <row r="255" spans="1:44" s="1" customFormat="1">
      <c r="A255" s="40" t="s">
        <v>175</v>
      </c>
      <c r="B255" s="39" t="s">
        <v>2</v>
      </c>
      <c r="C255" s="66">
        <v>8983</v>
      </c>
      <c r="D255" s="38">
        <f>IF(D$207="","",C255)</f>
        <v>8983</v>
      </c>
      <c r="E255" s="38">
        <f>IF(E$207="","",D255)</f>
        <v>8983</v>
      </c>
      <c r="F255" s="38">
        <v>9116</v>
      </c>
      <c r="G255" s="121">
        <f>IF(G$207="","",F255)</f>
        <v>9116</v>
      </c>
      <c r="H255" s="38">
        <f>IF(H$207="","",G255)</f>
        <v>9116</v>
      </c>
      <c r="I255" s="38">
        <v>9229</v>
      </c>
      <c r="J255" s="121">
        <f>IF(J$207="","",I255)</f>
        <v>9229</v>
      </c>
      <c r="K255" s="38">
        <f>IF(K$207="","",J255)</f>
        <v>9229</v>
      </c>
      <c r="L255" s="38">
        <v>9255</v>
      </c>
      <c r="M255" s="38">
        <f>IF(M$207="","",L255)</f>
        <v>9255</v>
      </c>
      <c r="N255" s="38">
        <f>IF(N$207="","",M255)</f>
        <v>9255</v>
      </c>
      <c r="O255" s="38">
        <v>9396</v>
      </c>
      <c r="P255" s="121">
        <f t="shared" ref="P255:AO255" si="485">IF(P$207="","",O255)</f>
        <v>9396</v>
      </c>
      <c r="Q255" s="38">
        <f t="shared" si="485"/>
        <v>9396</v>
      </c>
      <c r="R255" s="38">
        <f t="shared" si="485"/>
        <v>9396</v>
      </c>
      <c r="S255" s="38">
        <v>9476</v>
      </c>
      <c r="T255" s="38">
        <f t="shared" si="485"/>
        <v>9476</v>
      </c>
      <c r="U255" s="38">
        <f t="shared" si="485"/>
        <v>9476</v>
      </c>
      <c r="V255" s="38">
        <f>IF(V$207="","",U255)</f>
        <v>9476</v>
      </c>
      <c r="W255" s="38">
        <f t="shared" si="485"/>
        <v>9476</v>
      </c>
      <c r="X255" s="38">
        <f t="shared" si="485"/>
        <v>9476</v>
      </c>
      <c r="Y255" s="38">
        <v>9572</v>
      </c>
      <c r="Z255" s="38">
        <f t="shared" si="485"/>
        <v>9572</v>
      </c>
      <c r="AA255" s="38">
        <f t="shared" si="485"/>
        <v>9572</v>
      </c>
      <c r="AB255" s="38">
        <f t="shared" si="485"/>
        <v>9572</v>
      </c>
      <c r="AC255" s="38">
        <f t="shared" si="485"/>
        <v>9572</v>
      </c>
      <c r="AD255" s="38">
        <v>9660</v>
      </c>
      <c r="AE255" s="38" t="str">
        <f t="shared" si="485"/>
        <v/>
      </c>
      <c r="AF255" s="38" t="str">
        <f t="shared" si="485"/>
        <v/>
      </c>
      <c r="AG255" s="38" t="str">
        <f t="shared" si="485"/>
        <v/>
      </c>
      <c r="AH255" s="38" t="str">
        <f t="shared" si="485"/>
        <v/>
      </c>
      <c r="AI255" s="38" t="str">
        <f t="shared" si="485"/>
        <v/>
      </c>
      <c r="AJ255" s="38" t="str">
        <f t="shared" si="485"/>
        <v/>
      </c>
      <c r="AK255" s="38" t="str">
        <f t="shared" si="485"/>
        <v/>
      </c>
      <c r="AL255" s="38" t="str">
        <f t="shared" si="485"/>
        <v/>
      </c>
      <c r="AM255" s="38" t="str">
        <f t="shared" si="485"/>
        <v/>
      </c>
      <c r="AN255" s="38" t="str">
        <f t="shared" si="485"/>
        <v/>
      </c>
      <c r="AO255" s="38" t="str">
        <f t="shared" si="485"/>
        <v/>
      </c>
      <c r="AP255" s="38" t="str">
        <f t="shared" ref="AP255:AR255" si="486">IF(AP$207="","",AO255)</f>
        <v/>
      </c>
      <c r="AQ255" s="38" t="str">
        <f t="shared" si="486"/>
        <v/>
      </c>
      <c r="AR255" s="38" t="str">
        <f t="shared" si="486"/>
        <v/>
      </c>
    </row>
    <row r="256" spans="1:44" s="1" customFormat="1">
      <c r="A256" s="37" t="s">
        <v>208</v>
      </c>
      <c r="B256" s="30" t="s">
        <v>4</v>
      </c>
      <c r="C256" s="65">
        <v>303</v>
      </c>
      <c r="D256" s="29">
        <f>IF(D$207="","",C256)</f>
        <v>303</v>
      </c>
      <c r="E256" s="29">
        <f>IF(E$207="","",D256)</f>
        <v>303</v>
      </c>
      <c r="F256" s="29">
        <v>304</v>
      </c>
      <c r="G256" s="122">
        <f>IF(G$207="","",F256)</f>
        <v>304</v>
      </c>
      <c r="H256" s="29">
        <f>IF(H$207="","",G256)</f>
        <v>304</v>
      </c>
      <c r="I256" s="29">
        <f>IF(I$207="","",H256)</f>
        <v>304</v>
      </c>
      <c r="J256" s="122">
        <f>IF(J$207="","",I256)</f>
        <v>304</v>
      </c>
      <c r="K256" s="29">
        <f>IF(K$207="","",J256)</f>
        <v>304</v>
      </c>
      <c r="L256" s="29">
        <f>IF(L$207="","",K256)</f>
        <v>304</v>
      </c>
      <c r="M256" s="29">
        <f>IF(M$207="","",L256)</f>
        <v>304</v>
      </c>
      <c r="N256" s="29">
        <f>IF(N$207="","",M256)</f>
        <v>304</v>
      </c>
      <c r="O256" s="29">
        <v>304</v>
      </c>
      <c r="P256" s="122">
        <f t="shared" ref="P256:AO256" si="487">IF(P$207="","",O256)</f>
        <v>304</v>
      </c>
      <c r="Q256" s="29">
        <f t="shared" si="487"/>
        <v>304</v>
      </c>
      <c r="R256" s="29">
        <f t="shared" si="487"/>
        <v>304</v>
      </c>
      <c r="S256" s="29">
        <v>305</v>
      </c>
      <c r="T256" s="29">
        <f t="shared" si="487"/>
        <v>305</v>
      </c>
      <c r="U256" s="29">
        <f t="shared" si="487"/>
        <v>305</v>
      </c>
      <c r="V256" s="29">
        <f>IF(V$207="","",U256)</f>
        <v>305</v>
      </c>
      <c r="W256" s="29">
        <f t="shared" si="487"/>
        <v>305</v>
      </c>
      <c r="X256" s="29">
        <f t="shared" si="487"/>
        <v>305</v>
      </c>
      <c r="Y256" s="29">
        <v>306</v>
      </c>
      <c r="Z256" s="29">
        <f t="shared" si="487"/>
        <v>306</v>
      </c>
      <c r="AA256" s="29">
        <f t="shared" si="487"/>
        <v>306</v>
      </c>
      <c r="AB256" s="29">
        <f t="shared" si="487"/>
        <v>306</v>
      </c>
      <c r="AC256" s="29">
        <f t="shared" si="487"/>
        <v>306</v>
      </c>
      <c r="AD256" s="29">
        <v>306</v>
      </c>
      <c r="AE256" s="29" t="str">
        <f t="shared" si="487"/>
        <v/>
      </c>
      <c r="AF256" s="29" t="str">
        <f t="shared" si="487"/>
        <v/>
      </c>
      <c r="AG256" s="29" t="str">
        <f t="shared" si="487"/>
        <v/>
      </c>
      <c r="AH256" s="29" t="str">
        <f t="shared" si="487"/>
        <v/>
      </c>
      <c r="AI256" s="29" t="str">
        <f t="shared" si="487"/>
        <v/>
      </c>
      <c r="AJ256" s="29" t="str">
        <f t="shared" si="487"/>
        <v/>
      </c>
      <c r="AK256" s="29" t="str">
        <f t="shared" si="487"/>
        <v/>
      </c>
      <c r="AL256" s="29" t="str">
        <f t="shared" si="487"/>
        <v/>
      </c>
      <c r="AM256" s="29" t="str">
        <f t="shared" si="487"/>
        <v/>
      </c>
      <c r="AN256" s="29" t="str">
        <f t="shared" si="487"/>
        <v/>
      </c>
      <c r="AO256" s="29" t="str">
        <f t="shared" si="487"/>
        <v/>
      </c>
      <c r="AP256" s="29" t="str">
        <f t="shared" ref="AP256:AR256" si="488">IF(AP$207="","",AO256)</f>
        <v/>
      </c>
      <c r="AQ256" s="29" t="str">
        <f t="shared" si="488"/>
        <v/>
      </c>
      <c r="AR256" s="29" t="str">
        <f t="shared" si="488"/>
        <v/>
      </c>
    </row>
    <row r="257" spans="1:44" s="1" customFormat="1">
      <c r="A257" s="41">
        <v>1</v>
      </c>
      <c r="B257" s="30" t="s">
        <v>5</v>
      </c>
      <c r="C257" s="65">
        <v>6</v>
      </c>
      <c r="D257" s="29">
        <f t="shared" ref="D257:AO257" si="489">IF(D255="","",(C257+C258))</f>
        <v>6</v>
      </c>
      <c r="E257" s="29">
        <f t="shared" si="489"/>
        <v>6</v>
      </c>
      <c r="F257" s="29">
        <f t="shared" si="489"/>
        <v>6</v>
      </c>
      <c r="G257" s="122">
        <f t="shared" si="489"/>
        <v>6</v>
      </c>
      <c r="H257" s="29">
        <f t="shared" si="489"/>
        <v>6</v>
      </c>
      <c r="I257" s="29">
        <f t="shared" si="489"/>
        <v>6</v>
      </c>
      <c r="J257" s="122">
        <f t="shared" si="489"/>
        <v>6</v>
      </c>
      <c r="K257" s="29">
        <f t="shared" si="489"/>
        <v>6</v>
      </c>
      <c r="L257" s="29">
        <f t="shared" si="489"/>
        <v>6</v>
      </c>
      <c r="M257" s="29">
        <f t="shared" si="489"/>
        <v>6</v>
      </c>
      <c r="N257" s="29">
        <f t="shared" si="489"/>
        <v>6</v>
      </c>
      <c r="O257" s="29">
        <f t="shared" si="489"/>
        <v>6</v>
      </c>
      <c r="P257" s="122">
        <f t="shared" si="489"/>
        <v>6</v>
      </c>
      <c r="Q257" s="29">
        <f t="shared" si="489"/>
        <v>6</v>
      </c>
      <c r="R257" s="29">
        <f t="shared" si="489"/>
        <v>6</v>
      </c>
      <c r="S257" s="29">
        <v>5</v>
      </c>
      <c r="T257" s="29">
        <f t="shared" si="489"/>
        <v>6</v>
      </c>
      <c r="U257" s="29">
        <f t="shared" si="489"/>
        <v>6</v>
      </c>
      <c r="V257" s="29">
        <v>5</v>
      </c>
      <c r="W257" s="29">
        <f t="shared" si="489"/>
        <v>5</v>
      </c>
      <c r="X257" s="29">
        <f t="shared" si="489"/>
        <v>5</v>
      </c>
      <c r="Y257" s="29">
        <f t="shared" si="489"/>
        <v>5</v>
      </c>
      <c r="Z257" s="29">
        <f t="shared" si="489"/>
        <v>5</v>
      </c>
      <c r="AA257" s="29">
        <f t="shared" si="489"/>
        <v>5</v>
      </c>
      <c r="AB257" s="29">
        <f t="shared" si="489"/>
        <v>5</v>
      </c>
      <c r="AC257" s="29">
        <f t="shared" si="489"/>
        <v>5</v>
      </c>
      <c r="AD257" s="29">
        <f t="shared" si="489"/>
        <v>5</v>
      </c>
      <c r="AE257" s="29" t="str">
        <f t="shared" si="489"/>
        <v/>
      </c>
      <c r="AF257" s="29" t="str">
        <f t="shared" si="489"/>
        <v/>
      </c>
      <c r="AG257" s="29" t="str">
        <f t="shared" si="489"/>
        <v/>
      </c>
      <c r="AH257" s="29" t="str">
        <f t="shared" si="489"/>
        <v/>
      </c>
      <c r="AI257" s="29" t="str">
        <f t="shared" si="489"/>
        <v/>
      </c>
      <c r="AJ257" s="29" t="str">
        <f t="shared" si="489"/>
        <v/>
      </c>
      <c r="AK257" s="29" t="str">
        <f t="shared" si="489"/>
        <v/>
      </c>
      <c r="AL257" s="29" t="str">
        <f t="shared" si="489"/>
        <v/>
      </c>
      <c r="AM257" s="29" t="str">
        <f t="shared" si="489"/>
        <v/>
      </c>
      <c r="AN257" s="29" t="str">
        <f t="shared" si="489"/>
        <v/>
      </c>
      <c r="AO257" s="29" t="str">
        <f t="shared" si="489"/>
        <v/>
      </c>
      <c r="AP257" s="29" t="str">
        <f t="shared" ref="AP257:AR257" si="490">IF(AP255="","",(AO257+AO258))</f>
        <v/>
      </c>
      <c r="AQ257" s="29" t="str">
        <f t="shared" si="490"/>
        <v/>
      </c>
      <c r="AR257" s="29" t="str">
        <f t="shared" si="490"/>
        <v/>
      </c>
    </row>
    <row r="258" spans="1:44" s="1" customFormat="1">
      <c r="A258" s="101" t="s">
        <v>6</v>
      </c>
      <c r="B258" s="30" t="s">
        <v>7</v>
      </c>
      <c r="C258" s="65"/>
      <c r="D258" s="29"/>
      <c r="E258" s="29"/>
      <c r="F258" s="29"/>
      <c r="G258" s="122"/>
      <c r="H258" s="29"/>
      <c r="I258" s="29"/>
      <c r="J258" s="122"/>
      <c r="K258" s="29"/>
      <c r="L258" s="29"/>
      <c r="M258" s="29"/>
      <c r="N258" s="29"/>
      <c r="O258" s="29"/>
      <c r="P258" s="122"/>
      <c r="Q258" s="29"/>
      <c r="R258" s="29"/>
      <c r="S258" s="29">
        <v>1</v>
      </c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>
        <v>-1</v>
      </c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</row>
    <row r="259" spans="1:44" s="1" customFormat="1">
      <c r="A259" s="102">
        <f>+(A262+A274)*100</f>
        <v>182500</v>
      </c>
      <c r="B259" s="30" t="s">
        <v>8</v>
      </c>
      <c r="C259" s="64">
        <v>800</v>
      </c>
      <c r="D259" s="35">
        <f t="shared" ref="D259:AO259" si="491">IF(D255="","",C259)</f>
        <v>800</v>
      </c>
      <c r="E259" s="35">
        <f t="shared" si="491"/>
        <v>800</v>
      </c>
      <c r="F259" s="35">
        <f t="shared" si="491"/>
        <v>800</v>
      </c>
      <c r="G259" s="383">
        <f t="shared" si="491"/>
        <v>800</v>
      </c>
      <c r="H259" s="35">
        <f t="shared" si="491"/>
        <v>800</v>
      </c>
      <c r="I259" s="35">
        <f t="shared" si="491"/>
        <v>800</v>
      </c>
      <c r="J259" s="383">
        <f t="shared" si="491"/>
        <v>800</v>
      </c>
      <c r="K259" s="35">
        <f t="shared" si="491"/>
        <v>800</v>
      </c>
      <c r="L259" s="35">
        <f t="shared" si="491"/>
        <v>800</v>
      </c>
      <c r="M259" s="35">
        <f t="shared" si="491"/>
        <v>800</v>
      </c>
      <c r="N259" s="35">
        <f t="shared" si="491"/>
        <v>800</v>
      </c>
      <c r="O259" s="35">
        <f t="shared" si="491"/>
        <v>800</v>
      </c>
      <c r="P259" s="383">
        <f t="shared" si="491"/>
        <v>800</v>
      </c>
      <c r="Q259" s="35">
        <f t="shared" si="491"/>
        <v>800</v>
      </c>
      <c r="R259" s="35">
        <f t="shared" si="491"/>
        <v>800</v>
      </c>
      <c r="S259" s="35">
        <f t="shared" si="491"/>
        <v>800</v>
      </c>
      <c r="T259" s="35">
        <f t="shared" si="491"/>
        <v>800</v>
      </c>
      <c r="U259" s="35">
        <f t="shared" si="491"/>
        <v>800</v>
      </c>
      <c r="V259" s="35">
        <f>IF(V255="","",U259)</f>
        <v>800</v>
      </c>
      <c r="W259" s="35">
        <f t="shared" si="491"/>
        <v>800</v>
      </c>
      <c r="X259" s="35">
        <f t="shared" si="491"/>
        <v>800</v>
      </c>
      <c r="Y259" s="35">
        <f t="shared" si="491"/>
        <v>800</v>
      </c>
      <c r="Z259" s="35">
        <f t="shared" si="491"/>
        <v>800</v>
      </c>
      <c r="AA259" s="35">
        <f t="shared" si="491"/>
        <v>800</v>
      </c>
      <c r="AB259" s="35">
        <f t="shared" si="491"/>
        <v>800</v>
      </c>
      <c r="AC259" s="35">
        <f t="shared" si="491"/>
        <v>800</v>
      </c>
      <c r="AD259" s="35">
        <f t="shared" si="491"/>
        <v>800</v>
      </c>
      <c r="AE259" s="35">
        <v>800</v>
      </c>
      <c r="AF259" s="35" t="str">
        <f t="shared" si="491"/>
        <v/>
      </c>
      <c r="AG259" s="35" t="str">
        <f t="shared" si="491"/>
        <v/>
      </c>
      <c r="AH259" s="35" t="str">
        <f t="shared" si="491"/>
        <v/>
      </c>
      <c r="AI259" s="35" t="str">
        <f t="shared" si="491"/>
        <v/>
      </c>
      <c r="AJ259" s="35" t="str">
        <f t="shared" si="491"/>
        <v/>
      </c>
      <c r="AK259" s="35" t="str">
        <f t="shared" si="491"/>
        <v/>
      </c>
      <c r="AL259" s="35" t="str">
        <f t="shared" si="491"/>
        <v/>
      </c>
      <c r="AM259" s="35" t="str">
        <f t="shared" si="491"/>
        <v/>
      </c>
      <c r="AN259" s="35" t="str">
        <f t="shared" si="491"/>
        <v/>
      </c>
      <c r="AO259" s="35" t="str">
        <f t="shared" si="491"/>
        <v/>
      </c>
      <c r="AP259" s="35" t="str">
        <f t="shared" ref="AP259:AR259" si="492">IF(AP255="","",AO259)</f>
        <v/>
      </c>
      <c r="AQ259" s="35" t="str">
        <f t="shared" si="492"/>
        <v/>
      </c>
      <c r="AR259" s="35" t="str">
        <f t="shared" si="492"/>
        <v/>
      </c>
    </row>
    <row r="260" spans="1:44" s="11" customFormat="1">
      <c r="A260" s="14" t="s">
        <v>9</v>
      </c>
      <c r="B260" s="33" t="s">
        <v>10</v>
      </c>
      <c r="C260" s="63" t="s">
        <v>107</v>
      </c>
      <c r="D260" s="32" t="str">
        <f t="shared" ref="D260:AO260" si="493">IF(D255="","",C260)</f>
        <v>スンスンポーチ</v>
      </c>
      <c r="E260" s="32" t="str">
        <f t="shared" si="493"/>
        <v>スンスンポーチ</v>
      </c>
      <c r="F260" s="32" t="str">
        <f t="shared" si="493"/>
        <v>スンスンポーチ</v>
      </c>
      <c r="G260" s="123" t="str">
        <f t="shared" si="493"/>
        <v>スンスンポーチ</v>
      </c>
      <c r="H260" s="32" t="str">
        <f t="shared" si="493"/>
        <v>スンスンポーチ</v>
      </c>
      <c r="I260" s="32" t="str">
        <f t="shared" si="493"/>
        <v>スンスンポーチ</v>
      </c>
      <c r="J260" s="123" t="str">
        <f t="shared" si="493"/>
        <v>スンスンポーチ</v>
      </c>
      <c r="K260" s="32" t="str">
        <f t="shared" si="493"/>
        <v>スンスンポーチ</v>
      </c>
      <c r="L260" s="32" t="str">
        <f t="shared" si="493"/>
        <v>スンスンポーチ</v>
      </c>
      <c r="M260" s="32" t="str">
        <f t="shared" si="493"/>
        <v>スンスンポーチ</v>
      </c>
      <c r="N260" s="32" t="str">
        <f t="shared" si="493"/>
        <v>スンスンポーチ</v>
      </c>
      <c r="O260" s="32" t="str">
        <f t="shared" si="493"/>
        <v>スンスンポーチ</v>
      </c>
      <c r="P260" s="123" t="str">
        <f t="shared" si="493"/>
        <v>スンスンポーチ</v>
      </c>
      <c r="Q260" s="32" t="str">
        <f t="shared" si="493"/>
        <v>スンスンポーチ</v>
      </c>
      <c r="R260" s="32" t="str">
        <f t="shared" si="493"/>
        <v>スンスンポーチ</v>
      </c>
      <c r="S260" s="32" t="str">
        <f t="shared" si="493"/>
        <v>スンスンポーチ</v>
      </c>
      <c r="T260" s="32" t="str">
        <f t="shared" si="493"/>
        <v>スンスンポーチ</v>
      </c>
      <c r="U260" s="32" t="str">
        <f t="shared" si="493"/>
        <v>スンスンポーチ</v>
      </c>
      <c r="V260" s="32" t="str">
        <f>IF(V255="","",U260)</f>
        <v>スンスンポーチ</v>
      </c>
      <c r="W260" s="32" t="str">
        <f t="shared" si="493"/>
        <v>スンスンポーチ</v>
      </c>
      <c r="X260" s="32" t="str">
        <f t="shared" si="493"/>
        <v>スンスンポーチ</v>
      </c>
      <c r="Y260" s="32" t="str">
        <f t="shared" si="493"/>
        <v>スンスンポーチ</v>
      </c>
      <c r="Z260" s="32" t="str">
        <f t="shared" si="493"/>
        <v>スンスンポーチ</v>
      </c>
      <c r="AA260" s="32" t="str">
        <f t="shared" si="493"/>
        <v>スンスンポーチ</v>
      </c>
      <c r="AB260" s="32" t="str">
        <f t="shared" si="493"/>
        <v>スンスンポーチ</v>
      </c>
      <c r="AC260" s="32" t="str">
        <f t="shared" si="493"/>
        <v>スンスンポーチ</v>
      </c>
      <c r="AD260" s="32" t="str">
        <f t="shared" si="493"/>
        <v>スンスンポーチ</v>
      </c>
      <c r="AE260" s="32" t="s">
        <v>431</v>
      </c>
      <c r="AF260" s="32" t="str">
        <f t="shared" si="493"/>
        <v/>
      </c>
      <c r="AG260" s="32" t="str">
        <f t="shared" si="493"/>
        <v/>
      </c>
      <c r="AH260" s="32" t="str">
        <f t="shared" si="493"/>
        <v/>
      </c>
      <c r="AI260" s="32" t="str">
        <f t="shared" si="493"/>
        <v/>
      </c>
      <c r="AJ260" s="32" t="str">
        <f t="shared" si="493"/>
        <v/>
      </c>
      <c r="AK260" s="32" t="str">
        <f t="shared" si="493"/>
        <v/>
      </c>
      <c r="AL260" s="32" t="str">
        <f t="shared" si="493"/>
        <v/>
      </c>
      <c r="AM260" s="32" t="str">
        <f t="shared" si="493"/>
        <v/>
      </c>
      <c r="AN260" s="32" t="str">
        <f t="shared" si="493"/>
        <v/>
      </c>
      <c r="AO260" s="32" t="str">
        <f t="shared" si="493"/>
        <v/>
      </c>
      <c r="AP260" s="32" t="str">
        <f t="shared" ref="AP260:AR260" si="494">IF(AP255="","",AO260)</f>
        <v/>
      </c>
      <c r="AQ260" s="32" t="str">
        <f t="shared" si="494"/>
        <v/>
      </c>
      <c r="AR260" s="32" t="str">
        <f t="shared" si="494"/>
        <v/>
      </c>
    </row>
    <row r="261" spans="1:44" s="1" customFormat="1">
      <c r="A261" s="7">
        <f>AVERAGE(C262:AS262)*30*100</f>
        <v>72535.714285714275</v>
      </c>
      <c r="B261" s="30" t="s">
        <v>14</v>
      </c>
      <c r="C261" s="65"/>
      <c r="D261" s="29"/>
      <c r="E261" s="29"/>
      <c r="F261" s="29"/>
      <c r="G261" s="122"/>
      <c r="H261" s="29"/>
      <c r="I261" s="29"/>
      <c r="J261" s="122"/>
      <c r="K261" s="29"/>
      <c r="L261" s="29"/>
      <c r="M261" s="29"/>
      <c r="N261" s="29"/>
      <c r="O261" s="29"/>
      <c r="P261" s="122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</row>
    <row r="262" spans="1:44" s="1" customFormat="1">
      <c r="A262" s="7">
        <f>SUM(C262:AS262)</f>
        <v>677</v>
      </c>
      <c r="B262" s="27" t="s">
        <v>15</v>
      </c>
      <c r="C262" s="65">
        <v>0</v>
      </c>
      <c r="D262" s="26">
        <f t="shared" ref="D262:AO262" si="495">IF(D255="","",D255-C255)</f>
        <v>0</v>
      </c>
      <c r="E262" s="26">
        <f t="shared" si="495"/>
        <v>0</v>
      </c>
      <c r="F262" s="26">
        <f t="shared" si="495"/>
        <v>133</v>
      </c>
      <c r="G262" s="122">
        <f t="shared" si="495"/>
        <v>0</v>
      </c>
      <c r="H262" s="26">
        <f t="shared" si="495"/>
        <v>0</v>
      </c>
      <c r="I262" s="26">
        <f t="shared" si="495"/>
        <v>113</v>
      </c>
      <c r="J262" s="122">
        <f t="shared" si="495"/>
        <v>0</v>
      </c>
      <c r="K262" s="26">
        <f t="shared" si="495"/>
        <v>0</v>
      </c>
      <c r="L262" s="26">
        <f t="shared" si="495"/>
        <v>26</v>
      </c>
      <c r="M262" s="26">
        <f t="shared" si="495"/>
        <v>0</v>
      </c>
      <c r="N262" s="26">
        <f t="shared" si="495"/>
        <v>0</v>
      </c>
      <c r="O262" s="26">
        <f t="shared" si="495"/>
        <v>141</v>
      </c>
      <c r="P262" s="122">
        <f t="shared" si="495"/>
        <v>0</v>
      </c>
      <c r="Q262" s="26">
        <f t="shared" si="495"/>
        <v>0</v>
      </c>
      <c r="R262" s="26">
        <f t="shared" si="495"/>
        <v>0</v>
      </c>
      <c r="S262" s="26">
        <f t="shared" si="495"/>
        <v>80</v>
      </c>
      <c r="T262" s="26">
        <f t="shared" si="495"/>
        <v>0</v>
      </c>
      <c r="U262" s="26">
        <f t="shared" si="495"/>
        <v>0</v>
      </c>
      <c r="V262" s="26">
        <f>IF(V255="","",V255-U255)</f>
        <v>0</v>
      </c>
      <c r="W262" s="26">
        <f t="shared" si="495"/>
        <v>0</v>
      </c>
      <c r="X262" s="26">
        <f t="shared" si="495"/>
        <v>0</v>
      </c>
      <c r="Y262" s="26">
        <f t="shared" si="495"/>
        <v>96</v>
      </c>
      <c r="Z262" s="26">
        <f t="shared" si="495"/>
        <v>0</v>
      </c>
      <c r="AA262" s="26">
        <f t="shared" si="495"/>
        <v>0</v>
      </c>
      <c r="AB262" s="26">
        <f t="shared" si="495"/>
        <v>0</v>
      </c>
      <c r="AC262" s="26">
        <f t="shared" si="495"/>
        <v>0</v>
      </c>
      <c r="AD262" s="26">
        <f t="shared" si="495"/>
        <v>88</v>
      </c>
      <c r="AE262" s="26" t="str">
        <f t="shared" si="495"/>
        <v/>
      </c>
      <c r="AF262" s="26" t="str">
        <f t="shared" si="495"/>
        <v/>
      </c>
      <c r="AG262" s="26" t="str">
        <f t="shared" si="495"/>
        <v/>
      </c>
      <c r="AH262" s="26" t="str">
        <f t="shared" si="495"/>
        <v/>
      </c>
      <c r="AI262" s="26" t="str">
        <f t="shared" si="495"/>
        <v/>
      </c>
      <c r="AJ262" s="26" t="str">
        <f t="shared" si="495"/>
        <v/>
      </c>
      <c r="AK262" s="26" t="str">
        <f t="shared" si="495"/>
        <v/>
      </c>
      <c r="AL262" s="26" t="str">
        <f t="shared" si="495"/>
        <v/>
      </c>
      <c r="AM262" s="26" t="str">
        <f t="shared" si="495"/>
        <v/>
      </c>
      <c r="AN262" s="26" t="str">
        <f t="shared" si="495"/>
        <v/>
      </c>
      <c r="AO262" s="26" t="str">
        <f t="shared" si="495"/>
        <v/>
      </c>
      <c r="AP262" s="26" t="str">
        <f t="shared" ref="AP262:AR262" si="496">IF(AP255="","",AP255-AO255)</f>
        <v/>
      </c>
      <c r="AQ262" s="26" t="str">
        <f t="shared" si="496"/>
        <v/>
      </c>
      <c r="AR262" s="26" t="str">
        <f t="shared" si="496"/>
        <v/>
      </c>
    </row>
    <row r="263" spans="1:44" s="1" customFormat="1">
      <c r="A263" s="7">
        <f>SUM(C263:AS263)</f>
        <v>3</v>
      </c>
      <c r="B263" s="27" t="s">
        <v>16</v>
      </c>
      <c r="C263" s="65">
        <v>0</v>
      </c>
      <c r="D263" s="26">
        <f t="shared" ref="D263:AO263" si="497">IF(D256="","",D256-C256)</f>
        <v>0</v>
      </c>
      <c r="E263" s="26">
        <f t="shared" si="497"/>
        <v>0</v>
      </c>
      <c r="F263" s="26">
        <f t="shared" si="497"/>
        <v>1</v>
      </c>
      <c r="G263" s="122">
        <f t="shared" si="497"/>
        <v>0</v>
      </c>
      <c r="H263" s="26">
        <f t="shared" si="497"/>
        <v>0</v>
      </c>
      <c r="I263" s="26">
        <f t="shared" si="497"/>
        <v>0</v>
      </c>
      <c r="J263" s="122">
        <f t="shared" si="497"/>
        <v>0</v>
      </c>
      <c r="K263" s="26">
        <f t="shared" si="497"/>
        <v>0</v>
      </c>
      <c r="L263" s="26">
        <f t="shared" si="497"/>
        <v>0</v>
      </c>
      <c r="M263" s="26">
        <f t="shared" si="497"/>
        <v>0</v>
      </c>
      <c r="N263" s="26">
        <f t="shared" si="497"/>
        <v>0</v>
      </c>
      <c r="O263" s="26">
        <f t="shared" si="497"/>
        <v>0</v>
      </c>
      <c r="P263" s="122">
        <f t="shared" si="497"/>
        <v>0</v>
      </c>
      <c r="Q263" s="26">
        <f t="shared" si="497"/>
        <v>0</v>
      </c>
      <c r="R263" s="26">
        <f t="shared" si="497"/>
        <v>0</v>
      </c>
      <c r="S263" s="26">
        <f t="shared" si="497"/>
        <v>1</v>
      </c>
      <c r="T263" s="26">
        <f t="shared" si="497"/>
        <v>0</v>
      </c>
      <c r="U263" s="26">
        <f t="shared" si="497"/>
        <v>0</v>
      </c>
      <c r="V263" s="26">
        <f>IF(V256="","",V256-U256)</f>
        <v>0</v>
      </c>
      <c r="W263" s="26">
        <f t="shared" si="497"/>
        <v>0</v>
      </c>
      <c r="X263" s="26">
        <f t="shared" si="497"/>
        <v>0</v>
      </c>
      <c r="Y263" s="26">
        <f t="shared" si="497"/>
        <v>1</v>
      </c>
      <c r="Z263" s="26">
        <f t="shared" si="497"/>
        <v>0</v>
      </c>
      <c r="AA263" s="26">
        <f t="shared" si="497"/>
        <v>0</v>
      </c>
      <c r="AB263" s="26">
        <f t="shared" si="497"/>
        <v>0</v>
      </c>
      <c r="AC263" s="26">
        <f t="shared" si="497"/>
        <v>0</v>
      </c>
      <c r="AD263" s="26">
        <f t="shared" si="497"/>
        <v>0</v>
      </c>
      <c r="AE263" s="26" t="str">
        <f t="shared" si="497"/>
        <v/>
      </c>
      <c r="AF263" s="26" t="str">
        <f t="shared" si="497"/>
        <v/>
      </c>
      <c r="AG263" s="26" t="str">
        <f t="shared" si="497"/>
        <v/>
      </c>
      <c r="AH263" s="26" t="str">
        <f t="shared" si="497"/>
        <v/>
      </c>
      <c r="AI263" s="26" t="str">
        <f t="shared" si="497"/>
        <v/>
      </c>
      <c r="AJ263" s="26" t="str">
        <f t="shared" si="497"/>
        <v/>
      </c>
      <c r="AK263" s="26" t="str">
        <f t="shared" si="497"/>
        <v/>
      </c>
      <c r="AL263" s="26" t="str">
        <f t="shared" si="497"/>
        <v/>
      </c>
      <c r="AM263" s="26" t="str">
        <f t="shared" si="497"/>
        <v/>
      </c>
      <c r="AN263" s="26" t="str">
        <f t="shared" si="497"/>
        <v/>
      </c>
      <c r="AO263" s="26" t="str">
        <f t="shared" si="497"/>
        <v/>
      </c>
      <c r="AP263" s="26" t="str">
        <f t="shared" ref="AP263:AR263" si="498">IF(AP256="","",AP256-AO256)</f>
        <v/>
      </c>
      <c r="AQ263" s="26" t="str">
        <f t="shared" si="498"/>
        <v/>
      </c>
      <c r="AR263" s="26" t="str">
        <f t="shared" si="498"/>
        <v/>
      </c>
    </row>
    <row r="264" spans="1:44" s="1" customFormat="1">
      <c r="A264" s="7">
        <f>SUM(C264:AS264)</f>
        <v>2</v>
      </c>
      <c r="B264" s="27" t="s">
        <v>17</v>
      </c>
      <c r="C264" s="65">
        <v>0</v>
      </c>
      <c r="D264" s="26">
        <f t="shared" ref="D264:AO264" si="499">IF(D257="","",C257+C258-D257)</f>
        <v>0</v>
      </c>
      <c r="E264" s="26">
        <f t="shared" si="499"/>
        <v>0</v>
      </c>
      <c r="F264" s="26">
        <f t="shared" si="499"/>
        <v>0</v>
      </c>
      <c r="G264" s="122">
        <f t="shared" si="499"/>
        <v>0</v>
      </c>
      <c r="H264" s="26">
        <f t="shared" si="499"/>
        <v>0</v>
      </c>
      <c r="I264" s="26">
        <f t="shared" si="499"/>
        <v>0</v>
      </c>
      <c r="J264" s="122">
        <f t="shared" si="499"/>
        <v>0</v>
      </c>
      <c r="K264" s="26">
        <f t="shared" si="499"/>
        <v>0</v>
      </c>
      <c r="L264" s="26">
        <f t="shared" si="499"/>
        <v>0</v>
      </c>
      <c r="M264" s="26">
        <f t="shared" si="499"/>
        <v>0</v>
      </c>
      <c r="N264" s="26">
        <f t="shared" si="499"/>
        <v>0</v>
      </c>
      <c r="O264" s="26">
        <f t="shared" si="499"/>
        <v>0</v>
      </c>
      <c r="P264" s="122">
        <f t="shared" si="499"/>
        <v>0</v>
      </c>
      <c r="Q264" s="26">
        <f t="shared" si="499"/>
        <v>0</v>
      </c>
      <c r="R264" s="26">
        <f t="shared" si="499"/>
        <v>0</v>
      </c>
      <c r="S264" s="26">
        <f t="shared" si="499"/>
        <v>1</v>
      </c>
      <c r="T264" s="26">
        <f t="shared" si="499"/>
        <v>0</v>
      </c>
      <c r="U264" s="26">
        <f t="shared" si="499"/>
        <v>0</v>
      </c>
      <c r="V264" s="26">
        <f>IF(V257="","",U257+U258-V257)</f>
        <v>1</v>
      </c>
      <c r="W264" s="26">
        <f t="shared" si="499"/>
        <v>0</v>
      </c>
      <c r="X264" s="26">
        <f t="shared" si="499"/>
        <v>0</v>
      </c>
      <c r="Y264" s="26">
        <f t="shared" si="499"/>
        <v>0</v>
      </c>
      <c r="Z264" s="26">
        <f t="shared" si="499"/>
        <v>0</v>
      </c>
      <c r="AA264" s="26">
        <f t="shared" si="499"/>
        <v>0</v>
      </c>
      <c r="AB264" s="26">
        <f t="shared" si="499"/>
        <v>0</v>
      </c>
      <c r="AC264" s="26">
        <f t="shared" si="499"/>
        <v>0</v>
      </c>
      <c r="AD264" s="26">
        <f t="shared" si="499"/>
        <v>0</v>
      </c>
      <c r="AE264" s="26" t="str">
        <f t="shared" si="499"/>
        <v/>
      </c>
      <c r="AF264" s="26" t="str">
        <f t="shared" si="499"/>
        <v/>
      </c>
      <c r="AG264" s="26" t="str">
        <f t="shared" si="499"/>
        <v/>
      </c>
      <c r="AH264" s="26" t="str">
        <f t="shared" si="499"/>
        <v/>
      </c>
      <c r="AI264" s="26" t="str">
        <f t="shared" si="499"/>
        <v/>
      </c>
      <c r="AJ264" s="26" t="str">
        <f t="shared" si="499"/>
        <v/>
      </c>
      <c r="AK264" s="26" t="str">
        <f t="shared" si="499"/>
        <v/>
      </c>
      <c r="AL264" s="26" t="str">
        <f t="shared" si="499"/>
        <v/>
      </c>
      <c r="AM264" s="26" t="str">
        <f t="shared" si="499"/>
        <v/>
      </c>
      <c r="AN264" s="26" t="str">
        <f t="shared" si="499"/>
        <v/>
      </c>
      <c r="AO264" s="26" t="str">
        <f t="shared" si="499"/>
        <v/>
      </c>
      <c r="AP264" s="26" t="str">
        <f t="shared" ref="AP264:AR264" si="500">IF(AP257="","",AO257+AO258-AP257)</f>
        <v/>
      </c>
      <c r="AQ264" s="26" t="str">
        <f t="shared" si="500"/>
        <v/>
      </c>
      <c r="AR264" s="26" t="str">
        <f t="shared" si="500"/>
        <v/>
      </c>
    </row>
    <row r="265" spans="1:44" s="1" customFormat="1">
      <c r="A265" s="7">
        <f>SUM(C265:AS265)</f>
        <v>1600</v>
      </c>
      <c r="B265" s="27" t="s">
        <v>18</v>
      </c>
      <c r="C265" s="65">
        <v>0</v>
      </c>
      <c r="D265" s="26">
        <f t="shared" ref="D265:AO265" si="501">IF(D255="","",D264*D259)</f>
        <v>0</v>
      </c>
      <c r="E265" s="26">
        <f t="shared" si="501"/>
        <v>0</v>
      </c>
      <c r="F265" s="26">
        <f t="shared" si="501"/>
        <v>0</v>
      </c>
      <c r="G265" s="122">
        <f t="shared" si="501"/>
        <v>0</v>
      </c>
      <c r="H265" s="26">
        <f t="shared" si="501"/>
        <v>0</v>
      </c>
      <c r="I265" s="26">
        <f t="shared" si="501"/>
        <v>0</v>
      </c>
      <c r="J265" s="122">
        <f t="shared" si="501"/>
        <v>0</v>
      </c>
      <c r="K265" s="26">
        <f t="shared" si="501"/>
        <v>0</v>
      </c>
      <c r="L265" s="26">
        <f t="shared" si="501"/>
        <v>0</v>
      </c>
      <c r="M265" s="26">
        <f t="shared" si="501"/>
        <v>0</v>
      </c>
      <c r="N265" s="26">
        <f t="shared" si="501"/>
        <v>0</v>
      </c>
      <c r="O265" s="26">
        <f t="shared" si="501"/>
        <v>0</v>
      </c>
      <c r="P265" s="122">
        <f t="shared" si="501"/>
        <v>0</v>
      </c>
      <c r="Q265" s="26">
        <f t="shared" si="501"/>
        <v>0</v>
      </c>
      <c r="R265" s="26">
        <f t="shared" si="501"/>
        <v>0</v>
      </c>
      <c r="S265" s="26">
        <f t="shared" si="501"/>
        <v>800</v>
      </c>
      <c r="T265" s="26">
        <f t="shared" si="501"/>
        <v>0</v>
      </c>
      <c r="U265" s="26">
        <f t="shared" si="501"/>
        <v>0</v>
      </c>
      <c r="V265" s="26">
        <f>IF(V255="","",V264*V259)</f>
        <v>800</v>
      </c>
      <c r="W265" s="26">
        <f t="shared" si="501"/>
        <v>0</v>
      </c>
      <c r="X265" s="26">
        <f t="shared" si="501"/>
        <v>0</v>
      </c>
      <c r="Y265" s="26">
        <f t="shared" si="501"/>
        <v>0</v>
      </c>
      <c r="Z265" s="26">
        <f t="shared" si="501"/>
        <v>0</v>
      </c>
      <c r="AA265" s="26">
        <f t="shared" si="501"/>
        <v>0</v>
      </c>
      <c r="AB265" s="26">
        <f t="shared" si="501"/>
        <v>0</v>
      </c>
      <c r="AC265" s="26">
        <f t="shared" si="501"/>
        <v>0</v>
      </c>
      <c r="AD265" s="26">
        <f t="shared" si="501"/>
        <v>0</v>
      </c>
      <c r="AE265" s="26" t="str">
        <f t="shared" si="501"/>
        <v/>
      </c>
      <c r="AF265" s="26" t="str">
        <f t="shared" si="501"/>
        <v/>
      </c>
      <c r="AG265" s="26" t="str">
        <f t="shared" si="501"/>
        <v/>
      </c>
      <c r="AH265" s="26" t="str">
        <f t="shared" si="501"/>
        <v/>
      </c>
      <c r="AI265" s="26" t="str">
        <f t="shared" si="501"/>
        <v/>
      </c>
      <c r="AJ265" s="26" t="str">
        <f t="shared" si="501"/>
        <v/>
      </c>
      <c r="AK265" s="26" t="str">
        <f t="shared" si="501"/>
        <v/>
      </c>
      <c r="AL265" s="26" t="str">
        <f t="shared" si="501"/>
        <v/>
      </c>
      <c r="AM265" s="26" t="str">
        <f t="shared" si="501"/>
        <v/>
      </c>
      <c r="AN265" s="26" t="str">
        <f t="shared" si="501"/>
        <v/>
      </c>
      <c r="AO265" s="26" t="str">
        <f t="shared" si="501"/>
        <v/>
      </c>
      <c r="AP265" s="26" t="str">
        <f t="shared" ref="AP265:AR265" si="502">IF(AP255="","",AP264*AP259)</f>
        <v/>
      </c>
      <c r="AQ265" s="26" t="str">
        <f t="shared" si="502"/>
        <v/>
      </c>
      <c r="AR265" s="26" t="str">
        <f t="shared" si="502"/>
        <v/>
      </c>
    </row>
    <row r="266" spans="1:44" s="1" customFormat="1" ht="12" thickBot="1">
      <c r="A266" s="4">
        <f>IF(A265="","",A265/(A262*100))</f>
        <v>2.3633677991137372E-2</v>
      </c>
      <c r="B266" s="27" t="s">
        <v>20</v>
      </c>
      <c r="C266" s="68" t="s">
        <v>21</v>
      </c>
      <c r="D266" s="44" t="str">
        <f t="shared" ref="D266:AO266" si="503">IF(D265="","",IF(D265=0,"",D265/(D262*100)))</f>
        <v/>
      </c>
      <c r="E266" s="44" t="str">
        <f t="shared" si="503"/>
        <v/>
      </c>
      <c r="F266" s="44" t="str">
        <f t="shared" si="503"/>
        <v/>
      </c>
      <c r="G266" s="384" t="str">
        <f t="shared" si="503"/>
        <v/>
      </c>
      <c r="H266" s="44" t="str">
        <f t="shared" si="503"/>
        <v/>
      </c>
      <c r="I266" s="44" t="str">
        <f t="shared" si="503"/>
        <v/>
      </c>
      <c r="J266" s="384" t="str">
        <f t="shared" si="503"/>
        <v/>
      </c>
      <c r="K266" s="44" t="str">
        <f t="shared" si="503"/>
        <v/>
      </c>
      <c r="L266" s="44" t="str">
        <f t="shared" si="503"/>
        <v/>
      </c>
      <c r="M266" s="44" t="str">
        <f t="shared" si="503"/>
        <v/>
      </c>
      <c r="N266" s="44" t="str">
        <f t="shared" si="503"/>
        <v/>
      </c>
      <c r="O266" s="44" t="str">
        <f t="shared" si="503"/>
        <v/>
      </c>
      <c r="P266" s="384" t="str">
        <f t="shared" si="503"/>
        <v/>
      </c>
      <c r="Q266" s="44" t="str">
        <f t="shared" si="503"/>
        <v/>
      </c>
      <c r="R266" s="44" t="str">
        <f t="shared" si="503"/>
        <v/>
      </c>
      <c r="S266" s="44">
        <f t="shared" si="503"/>
        <v>0.1</v>
      </c>
      <c r="T266" s="44" t="str">
        <f t="shared" si="503"/>
        <v/>
      </c>
      <c r="U266" s="44" t="str">
        <f t="shared" si="503"/>
        <v/>
      </c>
      <c r="V266" s="44" t="e">
        <f>IF(V265="","",IF(V265=0,"",V265/(V262*100)))</f>
        <v>#DIV/0!</v>
      </c>
      <c r="W266" s="44" t="str">
        <f t="shared" si="503"/>
        <v/>
      </c>
      <c r="X266" s="44" t="str">
        <f t="shared" si="503"/>
        <v/>
      </c>
      <c r="Y266" s="44" t="str">
        <f t="shared" si="503"/>
        <v/>
      </c>
      <c r="Z266" s="44" t="str">
        <f t="shared" si="503"/>
        <v/>
      </c>
      <c r="AA266" s="44" t="str">
        <f t="shared" si="503"/>
        <v/>
      </c>
      <c r="AB266" s="44" t="str">
        <f t="shared" si="503"/>
        <v/>
      </c>
      <c r="AC266" s="44" t="str">
        <f t="shared" si="503"/>
        <v/>
      </c>
      <c r="AD266" s="44" t="str">
        <f t="shared" si="503"/>
        <v/>
      </c>
      <c r="AE266" s="44" t="str">
        <f t="shared" si="503"/>
        <v/>
      </c>
      <c r="AF266" s="44" t="str">
        <f t="shared" si="503"/>
        <v/>
      </c>
      <c r="AG266" s="44" t="str">
        <f t="shared" si="503"/>
        <v/>
      </c>
      <c r="AH266" s="44" t="str">
        <f t="shared" si="503"/>
        <v/>
      </c>
      <c r="AI266" s="44" t="str">
        <f t="shared" si="503"/>
        <v/>
      </c>
      <c r="AJ266" s="44" t="str">
        <f t="shared" si="503"/>
        <v/>
      </c>
      <c r="AK266" s="44" t="str">
        <f t="shared" si="503"/>
        <v/>
      </c>
      <c r="AL266" s="44" t="str">
        <f t="shared" si="503"/>
        <v/>
      </c>
      <c r="AM266" s="44" t="str">
        <f t="shared" si="503"/>
        <v/>
      </c>
      <c r="AN266" s="44" t="str">
        <f t="shared" si="503"/>
        <v/>
      </c>
      <c r="AO266" s="44" t="str">
        <f t="shared" si="503"/>
        <v/>
      </c>
      <c r="AP266" s="44" t="str">
        <f t="shared" ref="AP266:AR266" si="504">IF(AP265="","",IF(AP265=0,"",AP265/(AP262*100)))</f>
        <v/>
      </c>
      <c r="AQ266" s="44" t="str">
        <f t="shared" si="504"/>
        <v/>
      </c>
      <c r="AR266" s="44" t="str">
        <f t="shared" si="504"/>
        <v/>
      </c>
    </row>
    <row r="267" spans="1:44" s="1" customFormat="1">
      <c r="A267" s="43" t="s">
        <v>175</v>
      </c>
      <c r="B267" s="42" t="s">
        <v>2</v>
      </c>
      <c r="C267" s="64">
        <v>13523</v>
      </c>
      <c r="D267" s="35">
        <f>IF(D$207="","",C267)</f>
        <v>13523</v>
      </c>
      <c r="E267" s="35">
        <f>IF(E$207="","",D267)</f>
        <v>13523</v>
      </c>
      <c r="F267" s="35">
        <v>13557</v>
      </c>
      <c r="G267" s="383">
        <f>IF(G$207="","",F267)</f>
        <v>13557</v>
      </c>
      <c r="H267" s="35">
        <f>IF(H$207="","",G267)</f>
        <v>13557</v>
      </c>
      <c r="I267" s="35">
        <v>13765</v>
      </c>
      <c r="J267" s="383">
        <f>IF(J$207="","",I267)</f>
        <v>13765</v>
      </c>
      <c r="K267" s="35">
        <f>IF(K$207="","",J267)</f>
        <v>13765</v>
      </c>
      <c r="L267" s="35">
        <v>13925</v>
      </c>
      <c r="M267" s="35">
        <f>IF(M$207="","",L267)</f>
        <v>13925</v>
      </c>
      <c r="N267" s="35">
        <f>IF(N$207="","",M267)</f>
        <v>13925</v>
      </c>
      <c r="O267" s="35">
        <v>14186</v>
      </c>
      <c r="P267" s="383">
        <f t="shared" ref="P267:AO267" si="505">IF(P$207="","",O267)</f>
        <v>14186</v>
      </c>
      <c r="Q267" s="35">
        <f t="shared" si="505"/>
        <v>14186</v>
      </c>
      <c r="R267" s="35">
        <f t="shared" si="505"/>
        <v>14186</v>
      </c>
      <c r="S267" s="35">
        <v>14284</v>
      </c>
      <c r="T267" s="35">
        <f t="shared" si="505"/>
        <v>14284</v>
      </c>
      <c r="U267" s="35">
        <f t="shared" si="505"/>
        <v>14284</v>
      </c>
      <c r="V267" s="35">
        <f>IF(V$207="","",U267)</f>
        <v>14284</v>
      </c>
      <c r="W267" s="35">
        <f t="shared" si="505"/>
        <v>14284</v>
      </c>
      <c r="X267" s="35">
        <f t="shared" si="505"/>
        <v>14284</v>
      </c>
      <c r="Y267" s="35">
        <v>14488</v>
      </c>
      <c r="Z267" s="35">
        <f t="shared" si="505"/>
        <v>14488</v>
      </c>
      <c r="AA267" s="35">
        <f t="shared" si="505"/>
        <v>14488</v>
      </c>
      <c r="AB267" s="35">
        <f t="shared" si="505"/>
        <v>14488</v>
      </c>
      <c r="AC267" s="35">
        <f t="shared" si="505"/>
        <v>14488</v>
      </c>
      <c r="AD267" s="35">
        <v>14671</v>
      </c>
      <c r="AE267" s="35" t="str">
        <f t="shared" si="505"/>
        <v/>
      </c>
      <c r="AF267" s="35" t="str">
        <f t="shared" si="505"/>
        <v/>
      </c>
      <c r="AG267" s="35" t="str">
        <f t="shared" si="505"/>
        <v/>
      </c>
      <c r="AH267" s="35" t="str">
        <f t="shared" si="505"/>
        <v/>
      </c>
      <c r="AI267" s="35" t="str">
        <f t="shared" si="505"/>
        <v/>
      </c>
      <c r="AJ267" s="35" t="str">
        <f t="shared" si="505"/>
        <v/>
      </c>
      <c r="AK267" s="35" t="str">
        <f t="shared" si="505"/>
        <v/>
      </c>
      <c r="AL267" s="35" t="str">
        <f t="shared" si="505"/>
        <v/>
      </c>
      <c r="AM267" s="35" t="str">
        <f t="shared" si="505"/>
        <v/>
      </c>
      <c r="AN267" s="35" t="str">
        <f t="shared" si="505"/>
        <v/>
      </c>
      <c r="AO267" s="35" t="str">
        <f t="shared" si="505"/>
        <v/>
      </c>
      <c r="AP267" s="35" t="str">
        <f t="shared" ref="AP267:AR267" si="506">IF(AP$207="","",AO267)</f>
        <v/>
      </c>
      <c r="AQ267" s="35" t="str">
        <f t="shared" si="506"/>
        <v/>
      </c>
      <c r="AR267" s="35" t="str">
        <f t="shared" si="506"/>
        <v/>
      </c>
    </row>
    <row r="268" spans="1:44" s="1" customFormat="1">
      <c r="A268" s="37" t="s">
        <v>209</v>
      </c>
      <c r="B268" s="30" t="s">
        <v>4</v>
      </c>
      <c r="C268" s="65">
        <v>386</v>
      </c>
      <c r="D268" s="29">
        <f>IF(D$207="","",C268)</f>
        <v>386</v>
      </c>
      <c r="E268" s="29">
        <f>IF(E$207="","",D268)</f>
        <v>386</v>
      </c>
      <c r="F268" s="29">
        <f>IF(F$207="","",E268)</f>
        <v>386</v>
      </c>
      <c r="G268" s="122">
        <f>IF(G$207="","",F268)</f>
        <v>386</v>
      </c>
      <c r="H268" s="29">
        <f>IF(H$207="","",G268)</f>
        <v>386</v>
      </c>
      <c r="I268" s="29">
        <v>388</v>
      </c>
      <c r="J268" s="122">
        <f>IF(J$207="","",I268)</f>
        <v>388</v>
      </c>
      <c r="K268" s="29">
        <f>IF(K$207="","",J268)</f>
        <v>388</v>
      </c>
      <c r="L268" s="29">
        <v>392</v>
      </c>
      <c r="M268" s="29">
        <f>IF(M$207="","",L268)</f>
        <v>392</v>
      </c>
      <c r="N268" s="29">
        <f>IF(N$207="","",M268)</f>
        <v>392</v>
      </c>
      <c r="O268" s="29">
        <v>395</v>
      </c>
      <c r="P268" s="122">
        <f t="shared" ref="P268:AO268" si="507">IF(P$207="","",O268)</f>
        <v>395</v>
      </c>
      <c r="Q268" s="29">
        <f t="shared" si="507"/>
        <v>395</v>
      </c>
      <c r="R268" s="29">
        <f t="shared" si="507"/>
        <v>395</v>
      </c>
      <c r="S268" s="29">
        <v>397</v>
      </c>
      <c r="T268" s="29">
        <f t="shared" si="507"/>
        <v>397</v>
      </c>
      <c r="U268" s="29">
        <f t="shared" si="507"/>
        <v>397</v>
      </c>
      <c r="V268" s="29">
        <f>IF(V$207="","",U268)</f>
        <v>397</v>
      </c>
      <c r="W268" s="29">
        <f t="shared" si="507"/>
        <v>397</v>
      </c>
      <c r="X268" s="29">
        <f t="shared" si="507"/>
        <v>397</v>
      </c>
      <c r="Y268" s="29">
        <v>404</v>
      </c>
      <c r="Z268" s="29">
        <f t="shared" si="507"/>
        <v>404</v>
      </c>
      <c r="AA268" s="29">
        <f t="shared" si="507"/>
        <v>404</v>
      </c>
      <c r="AB268" s="29">
        <f t="shared" si="507"/>
        <v>404</v>
      </c>
      <c r="AC268" s="29">
        <f t="shared" si="507"/>
        <v>404</v>
      </c>
      <c r="AD268" s="29">
        <v>406</v>
      </c>
      <c r="AE268" s="29" t="str">
        <f t="shared" si="507"/>
        <v/>
      </c>
      <c r="AF268" s="29" t="str">
        <f t="shared" si="507"/>
        <v/>
      </c>
      <c r="AG268" s="29" t="str">
        <f t="shared" si="507"/>
        <v/>
      </c>
      <c r="AH268" s="29" t="str">
        <f t="shared" si="507"/>
        <v/>
      </c>
      <c r="AI268" s="29" t="str">
        <f t="shared" si="507"/>
        <v/>
      </c>
      <c r="AJ268" s="29" t="str">
        <f t="shared" si="507"/>
        <v/>
      </c>
      <c r="AK268" s="29" t="str">
        <f t="shared" si="507"/>
        <v/>
      </c>
      <c r="AL268" s="29" t="str">
        <f t="shared" si="507"/>
        <v/>
      </c>
      <c r="AM268" s="29" t="str">
        <f t="shared" si="507"/>
        <v/>
      </c>
      <c r="AN268" s="29" t="str">
        <f t="shared" si="507"/>
        <v/>
      </c>
      <c r="AO268" s="29" t="str">
        <f t="shared" si="507"/>
        <v/>
      </c>
      <c r="AP268" s="29" t="str">
        <f t="shared" ref="AP268:AR268" si="508">IF(AP$207="","",AO268)</f>
        <v/>
      </c>
      <c r="AQ268" s="29" t="str">
        <f t="shared" si="508"/>
        <v/>
      </c>
      <c r="AR268" s="29" t="str">
        <f t="shared" si="508"/>
        <v/>
      </c>
    </row>
    <row r="269" spans="1:44" s="1" customFormat="1">
      <c r="A269" s="41">
        <v>2</v>
      </c>
      <c r="B269" s="30" t="s">
        <v>5</v>
      </c>
      <c r="C269" s="65">
        <v>6</v>
      </c>
      <c r="D269" s="29">
        <f>IF(D267="","",(C269+C270))</f>
        <v>6</v>
      </c>
      <c r="E269" s="29">
        <f>IF(E267="","",(D269+D270))</f>
        <v>6</v>
      </c>
      <c r="F269" s="29">
        <f>IF(F267="","",(E269+E270))</f>
        <v>6</v>
      </c>
      <c r="G269" s="122">
        <f>IF(G267="","",(F269+F270))</f>
        <v>10</v>
      </c>
      <c r="H269" s="29">
        <f>IF(H267="","",(G269+G270))</f>
        <v>10</v>
      </c>
      <c r="I269" s="29">
        <v>8</v>
      </c>
      <c r="J269" s="122">
        <f>IF(J267="","",(I269+I270))</f>
        <v>8</v>
      </c>
      <c r="K269" s="29">
        <f>IF(K267="","",(J269+J270))</f>
        <v>8</v>
      </c>
      <c r="L269" s="29">
        <v>5</v>
      </c>
      <c r="M269" s="29">
        <f>IF(M267="","",(L269+L270))</f>
        <v>8</v>
      </c>
      <c r="N269" s="29">
        <f>IF(N267="","",(M269+M270))</f>
        <v>8</v>
      </c>
      <c r="O269" s="29">
        <v>6</v>
      </c>
      <c r="P269" s="122">
        <f t="shared" ref="P269:AO269" si="509">IF(P267="","",(O269+O270))</f>
        <v>9</v>
      </c>
      <c r="Q269" s="29">
        <f t="shared" si="509"/>
        <v>9</v>
      </c>
      <c r="R269" s="29">
        <f t="shared" si="509"/>
        <v>9</v>
      </c>
      <c r="S269" s="29">
        <f t="shared" si="509"/>
        <v>9</v>
      </c>
      <c r="T269" s="29">
        <f t="shared" si="509"/>
        <v>9</v>
      </c>
      <c r="U269" s="29">
        <f t="shared" si="509"/>
        <v>9</v>
      </c>
      <c r="V269" s="29">
        <v>7</v>
      </c>
      <c r="W269" s="29">
        <f t="shared" si="509"/>
        <v>8</v>
      </c>
      <c r="X269" s="29">
        <f t="shared" si="509"/>
        <v>8</v>
      </c>
      <c r="Y269" s="29">
        <v>6</v>
      </c>
      <c r="Z269" s="29">
        <f t="shared" si="509"/>
        <v>6</v>
      </c>
      <c r="AA269" s="29">
        <f t="shared" si="509"/>
        <v>6</v>
      </c>
      <c r="AB269" s="29">
        <f t="shared" si="509"/>
        <v>6</v>
      </c>
      <c r="AC269" s="29">
        <f t="shared" si="509"/>
        <v>6</v>
      </c>
      <c r="AD269" s="29">
        <v>5</v>
      </c>
      <c r="AE269" s="29" t="str">
        <f t="shared" si="509"/>
        <v/>
      </c>
      <c r="AF269" s="29" t="str">
        <f t="shared" si="509"/>
        <v/>
      </c>
      <c r="AG269" s="29" t="str">
        <f t="shared" si="509"/>
        <v/>
      </c>
      <c r="AH269" s="29" t="str">
        <f t="shared" si="509"/>
        <v/>
      </c>
      <c r="AI269" s="29" t="str">
        <f t="shared" si="509"/>
        <v/>
      </c>
      <c r="AJ269" s="29" t="str">
        <f t="shared" si="509"/>
        <v/>
      </c>
      <c r="AK269" s="29" t="str">
        <f t="shared" si="509"/>
        <v/>
      </c>
      <c r="AL269" s="29" t="str">
        <f t="shared" si="509"/>
        <v/>
      </c>
      <c r="AM269" s="29" t="str">
        <f t="shared" si="509"/>
        <v/>
      </c>
      <c r="AN269" s="29" t="str">
        <f t="shared" si="509"/>
        <v/>
      </c>
      <c r="AO269" s="29" t="str">
        <f t="shared" si="509"/>
        <v/>
      </c>
      <c r="AP269" s="29" t="str">
        <f t="shared" ref="AP269:AR269" si="510">IF(AP267="","",(AO269+AO270))</f>
        <v/>
      </c>
      <c r="AQ269" s="29" t="str">
        <f t="shared" si="510"/>
        <v/>
      </c>
      <c r="AR269" s="29" t="str">
        <f t="shared" si="510"/>
        <v/>
      </c>
    </row>
    <row r="270" spans="1:44" s="1" customFormat="1">
      <c r="A270" s="14"/>
      <c r="B270" s="30" t="s">
        <v>7</v>
      </c>
      <c r="C270" s="65"/>
      <c r="D270" s="29"/>
      <c r="E270" s="29"/>
      <c r="F270" s="29">
        <v>4</v>
      </c>
      <c r="G270" s="122"/>
      <c r="H270" s="29"/>
      <c r="I270" s="29"/>
      <c r="J270" s="122"/>
      <c r="K270" s="29"/>
      <c r="L270" s="29">
        <v>3</v>
      </c>
      <c r="M270" s="29"/>
      <c r="N270" s="29"/>
      <c r="O270" s="29">
        <v>3</v>
      </c>
      <c r="P270" s="122"/>
      <c r="Q270" s="29"/>
      <c r="R270" s="29"/>
      <c r="S270" s="29"/>
      <c r="T270" s="29"/>
      <c r="U270" s="29"/>
      <c r="V270" s="29">
        <v>1</v>
      </c>
      <c r="W270" s="29"/>
      <c r="X270" s="29"/>
      <c r="Y270" s="29"/>
      <c r="Z270" s="29"/>
      <c r="AA270" s="29"/>
      <c r="AB270" s="29"/>
      <c r="AC270" s="29"/>
      <c r="AD270" s="29">
        <v>2</v>
      </c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</row>
    <row r="271" spans="1:44" s="1" customFormat="1">
      <c r="A271" s="7"/>
      <c r="B271" s="30" t="s">
        <v>8</v>
      </c>
      <c r="C271" s="64">
        <v>750</v>
      </c>
      <c r="D271" s="35">
        <f>IF(D267="","",C271)</f>
        <v>750</v>
      </c>
      <c r="E271" s="35">
        <f>IF(E267="","",D271)</f>
        <v>750</v>
      </c>
      <c r="F271" s="35">
        <f>IF(F267="","",E271)</f>
        <v>750</v>
      </c>
      <c r="G271" s="383">
        <v>820</v>
      </c>
      <c r="H271" s="35">
        <f t="shared" ref="H271:AN271" si="511">IF(H267="","",G271)</f>
        <v>820</v>
      </c>
      <c r="I271" s="35">
        <f t="shared" si="511"/>
        <v>820</v>
      </c>
      <c r="J271" s="383">
        <f t="shared" si="511"/>
        <v>820</v>
      </c>
      <c r="K271" s="35">
        <f t="shared" si="511"/>
        <v>820</v>
      </c>
      <c r="L271" s="35">
        <f t="shared" si="511"/>
        <v>820</v>
      </c>
      <c r="M271" s="35">
        <f t="shared" si="511"/>
        <v>820</v>
      </c>
      <c r="N271" s="35">
        <f t="shared" si="511"/>
        <v>820</v>
      </c>
      <c r="O271" s="35">
        <f t="shared" si="511"/>
        <v>820</v>
      </c>
      <c r="P271" s="383">
        <f t="shared" si="511"/>
        <v>820</v>
      </c>
      <c r="Q271" s="35">
        <f t="shared" si="511"/>
        <v>820</v>
      </c>
      <c r="R271" s="35">
        <f t="shared" si="511"/>
        <v>820</v>
      </c>
      <c r="S271" s="35">
        <f t="shared" si="511"/>
        <v>820</v>
      </c>
      <c r="T271" s="35">
        <f t="shared" si="511"/>
        <v>820</v>
      </c>
      <c r="U271" s="35">
        <f t="shared" si="511"/>
        <v>820</v>
      </c>
      <c r="V271" s="35">
        <f>IF(V267="","",U271)</f>
        <v>820</v>
      </c>
      <c r="W271" s="35">
        <f t="shared" si="511"/>
        <v>820</v>
      </c>
      <c r="X271" s="35">
        <f t="shared" si="511"/>
        <v>820</v>
      </c>
      <c r="Y271" s="35">
        <f t="shared" si="511"/>
        <v>820</v>
      </c>
      <c r="Z271" s="35">
        <f t="shared" si="511"/>
        <v>820</v>
      </c>
      <c r="AA271" s="35">
        <f t="shared" si="511"/>
        <v>820</v>
      </c>
      <c r="AB271" s="35">
        <f t="shared" si="511"/>
        <v>820</v>
      </c>
      <c r="AC271" s="35">
        <f t="shared" si="511"/>
        <v>820</v>
      </c>
      <c r="AD271" s="35">
        <f t="shared" si="511"/>
        <v>820</v>
      </c>
      <c r="AE271" s="35" t="str">
        <f t="shared" si="511"/>
        <v/>
      </c>
      <c r="AF271" s="35" t="str">
        <f t="shared" si="511"/>
        <v/>
      </c>
      <c r="AG271" s="35" t="str">
        <f t="shared" si="511"/>
        <v/>
      </c>
      <c r="AH271" s="35" t="str">
        <f t="shared" si="511"/>
        <v/>
      </c>
      <c r="AI271" s="35" t="str">
        <f t="shared" si="511"/>
        <v/>
      </c>
      <c r="AJ271" s="35" t="str">
        <f t="shared" si="511"/>
        <v/>
      </c>
      <c r="AK271" s="35" t="str">
        <f t="shared" si="511"/>
        <v/>
      </c>
      <c r="AL271" s="35" t="str">
        <f t="shared" si="511"/>
        <v/>
      </c>
      <c r="AM271" s="35" t="str">
        <f t="shared" si="511"/>
        <v/>
      </c>
      <c r="AN271" s="35" t="str">
        <f t="shared" si="511"/>
        <v/>
      </c>
      <c r="AO271" s="35"/>
      <c r="AP271" s="35" t="str">
        <f t="shared" ref="AP271:AR271" si="512">IF(AP267="","",AO271)</f>
        <v/>
      </c>
      <c r="AQ271" s="35" t="str">
        <f t="shared" si="512"/>
        <v/>
      </c>
      <c r="AR271" s="35" t="str">
        <f t="shared" si="512"/>
        <v/>
      </c>
    </row>
    <row r="272" spans="1:44" s="11" customFormat="1">
      <c r="A272" s="14" t="s">
        <v>9</v>
      </c>
      <c r="B272" s="33" t="s">
        <v>10</v>
      </c>
      <c r="C272" s="63" t="s">
        <v>210</v>
      </c>
      <c r="D272" s="32" t="str">
        <f>IF(D267="","",C272)</f>
        <v>naitang</v>
      </c>
      <c r="E272" s="32" t="str">
        <f>IF(E267="","",D272)</f>
        <v>naitang</v>
      </c>
      <c r="F272" s="32" t="str">
        <f>IF(F267="","",E272)</f>
        <v>naitang</v>
      </c>
      <c r="G272" s="123" t="s">
        <v>190</v>
      </c>
      <c r="H272" s="32" t="str">
        <f t="shared" ref="H272:AO272" si="513">IF(H267="","",G272)</f>
        <v>たまごっちMC</v>
      </c>
      <c r="I272" s="32" t="str">
        <f t="shared" si="513"/>
        <v>たまごっちMC</v>
      </c>
      <c r="J272" s="123" t="str">
        <f t="shared" si="513"/>
        <v>たまごっちMC</v>
      </c>
      <c r="K272" s="32" t="str">
        <f t="shared" si="513"/>
        <v>たまごっちMC</v>
      </c>
      <c r="L272" s="32" t="str">
        <f t="shared" si="513"/>
        <v>たまごっちMC</v>
      </c>
      <c r="M272" s="32" t="str">
        <f t="shared" si="513"/>
        <v>たまごっちMC</v>
      </c>
      <c r="N272" s="32" t="str">
        <f t="shared" si="513"/>
        <v>たまごっちMC</v>
      </c>
      <c r="O272" s="32" t="str">
        <f t="shared" si="513"/>
        <v>たまごっちMC</v>
      </c>
      <c r="P272" s="123" t="str">
        <f t="shared" si="513"/>
        <v>たまごっちMC</v>
      </c>
      <c r="Q272" s="32" t="str">
        <f t="shared" si="513"/>
        <v>たまごっちMC</v>
      </c>
      <c r="R272" s="32" t="str">
        <f t="shared" si="513"/>
        <v>たまごっちMC</v>
      </c>
      <c r="S272" s="32" t="str">
        <f t="shared" si="513"/>
        <v>たまごっちMC</v>
      </c>
      <c r="T272" s="32" t="str">
        <f t="shared" si="513"/>
        <v>たまごっちMC</v>
      </c>
      <c r="U272" s="32" t="str">
        <f t="shared" si="513"/>
        <v>たまごっちMC</v>
      </c>
      <c r="V272" s="32" t="str">
        <f>IF(V267="","",U272)</f>
        <v>たまごっちMC</v>
      </c>
      <c r="W272" s="32" t="str">
        <f t="shared" si="513"/>
        <v>たまごっちMC</v>
      </c>
      <c r="X272" s="32" t="str">
        <f t="shared" si="513"/>
        <v>たまごっちMC</v>
      </c>
      <c r="Y272" s="32" t="str">
        <f t="shared" si="513"/>
        <v>たまごっちMC</v>
      </c>
      <c r="Z272" s="32" t="str">
        <f t="shared" si="513"/>
        <v>たまごっちMC</v>
      </c>
      <c r="AA272" s="32" t="str">
        <f t="shared" si="513"/>
        <v>たまごっちMC</v>
      </c>
      <c r="AB272" s="32" t="str">
        <f t="shared" si="513"/>
        <v>たまごっちMC</v>
      </c>
      <c r="AC272" s="32" t="str">
        <f t="shared" si="513"/>
        <v>たまごっちMC</v>
      </c>
      <c r="AD272" s="32" t="str">
        <f t="shared" si="513"/>
        <v>たまごっちMC</v>
      </c>
      <c r="AE272" s="32" t="str">
        <f t="shared" si="513"/>
        <v/>
      </c>
      <c r="AF272" s="32" t="str">
        <f t="shared" si="513"/>
        <v/>
      </c>
      <c r="AG272" s="32" t="str">
        <f t="shared" si="513"/>
        <v/>
      </c>
      <c r="AH272" s="32" t="str">
        <f t="shared" si="513"/>
        <v/>
      </c>
      <c r="AI272" s="32" t="str">
        <f t="shared" si="513"/>
        <v/>
      </c>
      <c r="AJ272" s="32" t="str">
        <f t="shared" si="513"/>
        <v/>
      </c>
      <c r="AK272" s="32" t="str">
        <f t="shared" si="513"/>
        <v/>
      </c>
      <c r="AL272" s="32" t="str">
        <f t="shared" si="513"/>
        <v/>
      </c>
      <c r="AM272" s="32" t="str">
        <f t="shared" si="513"/>
        <v/>
      </c>
      <c r="AN272" s="32" t="str">
        <f t="shared" si="513"/>
        <v/>
      </c>
      <c r="AO272" s="32" t="str">
        <f t="shared" si="513"/>
        <v/>
      </c>
      <c r="AP272" s="32" t="str">
        <f t="shared" ref="AP272:AR272" si="514">IF(AP267="","",AO272)</f>
        <v/>
      </c>
      <c r="AQ272" s="32" t="str">
        <f t="shared" si="514"/>
        <v/>
      </c>
      <c r="AR272" s="32" t="str">
        <f t="shared" si="514"/>
        <v/>
      </c>
    </row>
    <row r="273" spans="1:49" s="1" customFormat="1">
      <c r="A273" s="7">
        <f>AVERAGE(C274:AS274)*30*100</f>
        <v>123000</v>
      </c>
      <c r="B273" s="30" t="s">
        <v>14</v>
      </c>
      <c r="C273" s="65"/>
      <c r="D273" s="29"/>
      <c r="E273" s="29"/>
      <c r="F273" s="29"/>
      <c r="G273" s="122"/>
      <c r="H273" s="29"/>
      <c r="I273" s="29"/>
      <c r="J273" s="122"/>
      <c r="K273" s="29"/>
      <c r="L273" s="29"/>
      <c r="M273" s="29"/>
      <c r="N273" s="29"/>
      <c r="O273" s="29"/>
      <c r="P273" s="122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</row>
    <row r="274" spans="1:49" s="1" customFormat="1">
      <c r="A274" s="7">
        <f>SUM(C274:AS274)</f>
        <v>1148</v>
      </c>
      <c r="B274" s="27" t="s">
        <v>15</v>
      </c>
      <c r="C274" s="65">
        <v>0</v>
      </c>
      <c r="D274" s="26">
        <f t="shared" ref="D274:AO274" si="515">IF(D267="","",D267-C267)</f>
        <v>0</v>
      </c>
      <c r="E274" s="26">
        <f t="shared" si="515"/>
        <v>0</v>
      </c>
      <c r="F274" s="26">
        <f t="shared" si="515"/>
        <v>34</v>
      </c>
      <c r="G274" s="122">
        <f t="shared" si="515"/>
        <v>0</v>
      </c>
      <c r="H274" s="26">
        <f t="shared" si="515"/>
        <v>0</v>
      </c>
      <c r="I274" s="26">
        <f t="shared" si="515"/>
        <v>208</v>
      </c>
      <c r="J274" s="122">
        <f t="shared" si="515"/>
        <v>0</v>
      </c>
      <c r="K274" s="26">
        <f t="shared" si="515"/>
        <v>0</v>
      </c>
      <c r="L274" s="26">
        <f t="shared" si="515"/>
        <v>160</v>
      </c>
      <c r="M274" s="26">
        <f t="shared" si="515"/>
        <v>0</v>
      </c>
      <c r="N274" s="26">
        <f t="shared" si="515"/>
        <v>0</v>
      </c>
      <c r="O274" s="26">
        <f t="shared" si="515"/>
        <v>261</v>
      </c>
      <c r="P274" s="122">
        <f t="shared" si="515"/>
        <v>0</v>
      </c>
      <c r="Q274" s="26">
        <f t="shared" si="515"/>
        <v>0</v>
      </c>
      <c r="R274" s="26">
        <f t="shared" si="515"/>
        <v>0</v>
      </c>
      <c r="S274" s="26">
        <f t="shared" si="515"/>
        <v>98</v>
      </c>
      <c r="T274" s="26">
        <f t="shared" si="515"/>
        <v>0</v>
      </c>
      <c r="U274" s="26">
        <f t="shared" si="515"/>
        <v>0</v>
      </c>
      <c r="V274" s="26">
        <f>IF(V267="","",V267-U267)</f>
        <v>0</v>
      </c>
      <c r="W274" s="26">
        <f t="shared" si="515"/>
        <v>0</v>
      </c>
      <c r="X274" s="26">
        <f t="shared" si="515"/>
        <v>0</v>
      </c>
      <c r="Y274" s="26">
        <f t="shared" si="515"/>
        <v>204</v>
      </c>
      <c r="Z274" s="26">
        <f t="shared" si="515"/>
        <v>0</v>
      </c>
      <c r="AA274" s="26">
        <f t="shared" si="515"/>
        <v>0</v>
      </c>
      <c r="AB274" s="26">
        <f t="shared" si="515"/>
        <v>0</v>
      </c>
      <c r="AC274" s="26">
        <f t="shared" si="515"/>
        <v>0</v>
      </c>
      <c r="AD274" s="26">
        <f t="shared" si="515"/>
        <v>183</v>
      </c>
      <c r="AE274" s="26" t="str">
        <f t="shared" si="515"/>
        <v/>
      </c>
      <c r="AF274" s="26" t="str">
        <f t="shared" si="515"/>
        <v/>
      </c>
      <c r="AG274" s="26" t="str">
        <f t="shared" si="515"/>
        <v/>
      </c>
      <c r="AH274" s="26" t="str">
        <f t="shared" si="515"/>
        <v/>
      </c>
      <c r="AI274" s="26" t="str">
        <f t="shared" si="515"/>
        <v/>
      </c>
      <c r="AJ274" s="26" t="str">
        <f t="shared" si="515"/>
        <v/>
      </c>
      <c r="AK274" s="26" t="str">
        <f t="shared" si="515"/>
        <v/>
      </c>
      <c r="AL274" s="26" t="str">
        <f t="shared" si="515"/>
        <v/>
      </c>
      <c r="AM274" s="26" t="str">
        <f t="shared" si="515"/>
        <v/>
      </c>
      <c r="AN274" s="26" t="str">
        <f t="shared" si="515"/>
        <v/>
      </c>
      <c r="AO274" s="26" t="str">
        <f t="shared" si="515"/>
        <v/>
      </c>
      <c r="AP274" s="26" t="str">
        <f t="shared" ref="AP274:AR274" si="516">IF(AP267="","",AP267-AO267)</f>
        <v/>
      </c>
      <c r="AQ274" s="26" t="str">
        <f t="shared" si="516"/>
        <v/>
      </c>
      <c r="AR274" s="26" t="str">
        <f t="shared" si="516"/>
        <v/>
      </c>
    </row>
    <row r="275" spans="1:49" s="1" customFormat="1">
      <c r="A275" s="7">
        <f>SUM(C275:AS275)</f>
        <v>20</v>
      </c>
      <c r="B275" s="27" t="s">
        <v>16</v>
      </c>
      <c r="C275" s="65">
        <v>0</v>
      </c>
      <c r="D275" s="26">
        <f t="shared" ref="D275:AO275" si="517">IF(D268="","",D268-C268)</f>
        <v>0</v>
      </c>
      <c r="E275" s="26">
        <f t="shared" si="517"/>
        <v>0</v>
      </c>
      <c r="F275" s="26">
        <f t="shared" si="517"/>
        <v>0</v>
      </c>
      <c r="G275" s="122">
        <f t="shared" si="517"/>
        <v>0</v>
      </c>
      <c r="H275" s="26">
        <f t="shared" si="517"/>
        <v>0</v>
      </c>
      <c r="I275" s="26">
        <f t="shared" si="517"/>
        <v>2</v>
      </c>
      <c r="J275" s="122">
        <f t="shared" si="517"/>
        <v>0</v>
      </c>
      <c r="K275" s="26">
        <f t="shared" si="517"/>
        <v>0</v>
      </c>
      <c r="L275" s="26">
        <f t="shared" si="517"/>
        <v>4</v>
      </c>
      <c r="M275" s="26">
        <f t="shared" si="517"/>
        <v>0</v>
      </c>
      <c r="N275" s="26">
        <f t="shared" si="517"/>
        <v>0</v>
      </c>
      <c r="O275" s="26">
        <f t="shared" si="517"/>
        <v>3</v>
      </c>
      <c r="P275" s="122">
        <f t="shared" si="517"/>
        <v>0</v>
      </c>
      <c r="Q275" s="26">
        <f t="shared" si="517"/>
        <v>0</v>
      </c>
      <c r="R275" s="26">
        <f t="shared" si="517"/>
        <v>0</v>
      </c>
      <c r="S275" s="26">
        <f t="shared" si="517"/>
        <v>2</v>
      </c>
      <c r="T275" s="26">
        <f t="shared" si="517"/>
        <v>0</v>
      </c>
      <c r="U275" s="26">
        <f t="shared" si="517"/>
        <v>0</v>
      </c>
      <c r="V275" s="26">
        <f>IF(V268="","",V268-U268)</f>
        <v>0</v>
      </c>
      <c r="W275" s="26">
        <f t="shared" si="517"/>
        <v>0</v>
      </c>
      <c r="X275" s="26">
        <f t="shared" si="517"/>
        <v>0</v>
      </c>
      <c r="Y275" s="26">
        <f t="shared" si="517"/>
        <v>7</v>
      </c>
      <c r="Z275" s="26">
        <f t="shared" si="517"/>
        <v>0</v>
      </c>
      <c r="AA275" s="26">
        <f t="shared" si="517"/>
        <v>0</v>
      </c>
      <c r="AB275" s="26">
        <f t="shared" si="517"/>
        <v>0</v>
      </c>
      <c r="AC275" s="26">
        <f t="shared" si="517"/>
        <v>0</v>
      </c>
      <c r="AD275" s="26">
        <f t="shared" si="517"/>
        <v>2</v>
      </c>
      <c r="AE275" s="26" t="str">
        <f t="shared" si="517"/>
        <v/>
      </c>
      <c r="AF275" s="26" t="str">
        <f t="shared" si="517"/>
        <v/>
      </c>
      <c r="AG275" s="26" t="str">
        <f t="shared" si="517"/>
        <v/>
      </c>
      <c r="AH275" s="26" t="str">
        <f t="shared" si="517"/>
        <v/>
      </c>
      <c r="AI275" s="26" t="str">
        <f t="shared" si="517"/>
        <v/>
      </c>
      <c r="AJ275" s="26" t="str">
        <f t="shared" si="517"/>
        <v/>
      </c>
      <c r="AK275" s="26" t="str">
        <f t="shared" si="517"/>
        <v/>
      </c>
      <c r="AL275" s="26" t="str">
        <f t="shared" si="517"/>
        <v/>
      </c>
      <c r="AM275" s="26" t="str">
        <f t="shared" si="517"/>
        <v/>
      </c>
      <c r="AN275" s="26" t="str">
        <f t="shared" si="517"/>
        <v/>
      </c>
      <c r="AO275" s="26" t="str">
        <f t="shared" si="517"/>
        <v/>
      </c>
      <c r="AP275" s="26" t="str">
        <f t="shared" ref="AP275:AR275" si="518">IF(AP268="","",AP268-AO268)</f>
        <v/>
      </c>
      <c r="AQ275" s="26" t="str">
        <f t="shared" si="518"/>
        <v/>
      </c>
      <c r="AR275" s="26" t="str">
        <f t="shared" si="518"/>
        <v/>
      </c>
    </row>
    <row r="276" spans="1:49" s="1" customFormat="1">
      <c r="A276" s="7">
        <f>SUM(C276:AS276)</f>
        <v>12</v>
      </c>
      <c r="B276" s="27" t="s">
        <v>17</v>
      </c>
      <c r="C276" s="65">
        <v>0</v>
      </c>
      <c r="D276" s="26">
        <f t="shared" ref="D276:AO276" si="519">IF(D269="","",C269+C270-D269)</f>
        <v>0</v>
      </c>
      <c r="E276" s="26">
        <f t="shared" si="519"/>
        <v>0</v>
      </c>
      <c r="F276" s="26">
        <f t="shared" si="519"/>
        <v>0</v>
      </c>
      <c r="G276" s="122">
        <f t="shared" si="519"/>
        <v>0</v>
      </c>
      <c r="H276" s="26">
        <f t="shared" si="519"/>
        <v>0</v>
      </c>
      <c r="I276" s="26">
        <f t="shared" si="519"/>
        <v>2</v>
      </c>
      <c r="J276" s="122">
        <f t="shared" si="519"/>
        <v>0</v>
      </c>
      <c r="K276" s="26">
        <f t="shared" si="519"/>
        <v>0</v>
      </c>
      <c r="L276" s="26">
        <f t="shared" si="519"/>
        <v>3</v>
      </c>
      <c r="M276" s="26">
        <f t="shared" si="519"/>
        <v>0</v>
      </c>
      <c r="N276" s="26">
        <f t="shared" si="519"/>
        <v>0</v>
      </c>
      <c r="O276" s="26">
        <f t="shared" si="519"/>
        <v>2</v>
      </c>
      <c r="P276" s="122">
        <f t="shared" si="519"/>
        <v>0</v>
      </c>
      <c r="Q276" s="26">
        <f t="shared" si="519"/>
        <v>0</v>
      </c>
      <c r="R276" s="26">
        <f t="shared" si="519"/>
        <v>0</v>
      </c>
      <c r="S276" s="26">
        <f t="shared" si="519"/>
        <v>0</v>
      </c>
      <c r="T276" s="26">
        <f t="shared" si="519"/>
        <v>0</v>
      </c>
      <c r="U276" s="26">
        <f t="shared" si="519"/>
        <v>0</v>
      </c>
      <c r="V276" s="26">
        <f>IF(V269="","",U269+U270-V269)</f>
        <v>2</v>
      </c>
      <c r="W276" s="26">
        <f t="shared" si="519"/>
        <v>0</v>
      </c>
      <c r="X276" s="26">
        <f t="shared" si="519"/>
        <v>0</v>
      </c>
      <c r="Y276" s="26">
        <f t="shared" si="519"/>
        <v>2</v>
      </c>
      <c r="Z276" s="26">
        <f t="shared" si="519"/>
        <v>0</v>
      </c>
      <c r="AA276" s="26">
        <f t="shared" si="519"/>
        <v>0</v>
      </c>
      <c r="AB276" s="26">
        <f t="shared" si="519"/>
        <v>0</v>
      </c>
      <c r="AC276" s="26">
        <f t="shared" si="519"/>
        <v>0</v>
      </c>
      <c r="AD276" s="26">
        <f t="shared" si="519"/>
        <v>1</v>
      </c>
      <c r="AE276" s="26" t="str">
        <f t="shared" si="519"/>
        <v/>
      </c>
      <c r="AF276" s="26" t="str">
        <f t="shared" si="519"/>
        <v/>
      </c>
      <c r="AG276" s="26" t="str">
        <f t="shared" si="519"/>
        <v/>
      </c>
      <c r="AH276" s="26" t="str">
        <f t="shared" si="519"/>
        <v/>
      </c>
      <c r="AI276" s="26" t="str">
        <f t="shared" si="519"/>
        <v/>
      </c>
      <c r="AJ276" s="26" t="str">
        <f t="shared" si="519"/>
        <v/>
      </c>
      <c r="AK276" s="26" t="str">
        <f t="shared" si="519"/>
        <v/>
      </c>
      <c r="AL276" s="26" t="str">
        <f t="shared" si="519"/>
        <v/>
      </c>
      <c r="AM276" s="26" t="str">
        <f t="shared" si="519"/>
        <v/>
      </c>
      <c r="AN276" s="26" t="str">
        <f t="shared" si="519"/>
        <v/>
      </c>
      <c r="AO276" s="26" t="str">
        <f t="shared" si="519"/>
        <v/>
      </c>
      <c r="AP276" s="26" t="str">
        <f t="shared" ref="AP276:AR276" si="520">IF(AP269="","",AO269+AO270-AP269)</f>
        <v/>
      </c>
      <c r="AQ276" s="26" t="str">
        <f t="shared" si="520"/>
        <v/>
      </c>
      <c r="AR276" s="26" t="str">
        <f t="shared" si="520"/>
        <v/>
      </c>
    </row>
    <row r="277" spans="1:49" s="1" customFormat="1">
      <c r="A277" s="7">
        <f>SUM(C277:AS277)</f>
        <v>9840</v>
      </c>
      <c r="B277" s="27" t="s">
        <v>18</v>
      </c>
      <c r="C277" s="65">
        <v>0</v>
      </c>
      <c r="D277" s="26">
        <f t="shared" ref="D277:AO277" si="521">IF(D267="","",D276*D271)</f>
        <v>0</v>
      </c>
      <c r="E277" s="26">
        <f t="shared" si="521"/>
        <v>0</v>
      </c>
      <c r="F277" s="26">
        <f t="shared" si="521"/>
        <v>0</v>
      </c>
      <c r="G277" s="122">
        <f t="shared" si="521"/>
        <v>0</v>
      </c>
      <c r="H277" s="26">
        <f t="shared" si="521"/>
        <v>0</v>
      </c>
      <c r="I277" s="26">
        <f t="shared" si="521"/>
        <v>1640</v>
      </c>
      <c r="J277" s="122">
        <f t="shared" si="521"/>
        <v>0</v>
      </c>
      <c r="K277" s="26">
        <f t="shared" si="521"/>
        <v>0</v>
      </c>
      <c r="L277" s="26">
        <f t="shared" si="521"/>
        <v>2460</v>
      </c>
      <c r="M277" s="26">
        <f t="shared" si="521"/>
        <v>0</v>
      </c>
      <c r="N277" s="26">
        <f t="shared" si="521"/>
        <v>0</v>
      </c>
      <c r="O277" s="26">
        <f t="shared" si="521"/>
        <v>1640</v>
      </c>
      <c r="P277" s="122">
        <f t="shared" si="521"/>
        <v>0</v>
      </c>
      <c r="Q277" s="26">
        <f t="shared" si="521"/>
        <v>0</v>
      </c>
      <c r="R277" s="26">
        <f t="shared" si="521"/>
        <v>0</v>
      </c>
      <c r="S277" s="26">
        <f t="shared" si="521"/>
        <v>0</v>
      </c>
      <c r="T277" s="26">
        <f t="shared" si="521"/>
        <v>0</v>
      </c>
      <c r="U277" s="26">
        <f t="shared" si="521"/>
        <v>0</v>
      </c>
      <c r="V277" s="26">
        <f>IF(V267="","",V276*V271)</f>
        <v>1640</v>
      </c>
      <c r="W277" s="26">
        <f t="shared" si="521"/>
        <v>0</v>
      </c>
      <c r="X277" s="26">
        <f t="shared" si="521"/>
        <v>0</v>
      </c>
      <c r="Y277" s="26">
        <f t="shared" si="521"/>
        <v>1640</v>
      </c>
      <c r="Z277" s="26">
        <f t="shared" si="521"/>
        <v>0</v>
      </c>
      <c r="AA277" s="26">
        <f t="shared" si="521"/>
        <v>0</v>
      </c>
      <c r="AB277" s="26">
        <f t="shared" si="521"/>
        <v>0</v>
      </c>
      <c r="AC277" s="26">
        <f t="shared" si="521"/>
        <v>0</v>
      </c>
      <c r="AD277" s="26">
        <f t="shared" si="521"/>
        <v>820</v>
      </c>
      <c r="AE277" s="26" t="str">
        <f t="shared" si="521"/>
        <v/>
      </c>
      <c r="AF277" s="26" t="str">
        <f t="shared" si="521"/>
        <v/>
      </c>
      <c r="AG277" s="26" t="str">
        <f t="shared" si="521"/>
        <v/>
      </c>
      <c r="AH277" s="26" t="str">
        <f t="shared" si="521"/>
        <v/>
      </c>
      <c r="AI277" s="26" t="str">
        <f t="shared" si="521"/>
        <v/>
      </c>
      <c r="AJ277" s="26" t="str">
        <f t="shared" si="521"/>
        <v/>
      </c>
      <c r="AK277" s="26" t="str">
        <f t="shared" si="521"/>
        <v/>
      </c>
      <c r="AL277" s="26" t="str">
        <f t="shared" si="521"/>
        <v/>
      </c>
      <c r="AM277" s="26" t="str">
        <f t="shared" si="521"/>
        <v/>
      </c>
      <c r="AN277" s="26" t="str">
        <f t="shared" si="521"/>
        <v/>
      </c>
      <c r="AO277" s="26" t="str">
        <f t="shared" si="521"/>
        <v/>
      </c>
      <c r="AP277" s="26" t="str">
        <f t="shared" ref="AP277:AR277" si="522">IF(AP267="","",AP276*AP271)</f>
        <v/>
      </c>
      <c r="AQ277" s="26" t="str">
        <f t="shared" si="522"/>
        <v/>
      </c>
      <c r="AR277" s="26" t="str">
        <f t="shared" si="522"/>
        <v/>
      </c>
    </row>
    <row r="278" spans="1:49" s="1" customFormat="1" ht="12" thickBot="1">
      <c r="A278" s="4">
        <f>IF(A277="","",A277/(A274*100))</f>
        <v>8.5714285714285715E-2</v>
      </c>
      <c r="B278" s="27" t="s">
        <v>20</v>
      </c>
      <c r="C278" s="68" t="s">
        <v>21</v>
      </c>
      <c r="D278" s="44" t="str">
        <f t="shared" ref="D278:AO278" si="523">IF(D277="","",IF(D277=0,"",D277/(D274*100)))</f>
        <v/>
      </c>
      <c r="E278" s="44" t="str">
        <f t="shared" si="523"/>
        <v/>
      </c>
      <c r="F278" s="44" t="str">
        <f t="shared" si="523"/>
        <v/>
      </c>
      <c r="G278" s="384" t="str">
        <f t="shared" si="523"/>
        <v/>
      </c>
      <c r="H278" s="44" t="str">
        <f t="shared" si="523"/>
        <v/>
      </c>
      <c r="I278" s="44">
        <f t="shared" si="523"/>
        <v>7.8846153846153844E-2</v>
      </c>
      <c r="J278" s="384" t="str">
        <f t="shared" si="523"/>
        <v/>
      </c>
      <c r="K278" s="44" t="str">
        <f t="shared" si="523"/>
        <v/>
      </c>
      <c r="L278" s="44">
        <f t="shared" si="523"/>
        <v>0.15375</v>
      </c>
      <c r="M278" s="44" t="str">
        <f t="shared" si="523"/>
        <v/>
      </c>
      <c r="N278" s="44" t="str">
        <f t="shared" si="523"/>
        <v/>
      </c>
      <c r="O278" s="44">
        <f t="shared" si="523"/>
        <v>6.2835249042145588E-2</v>
      </c>
      <c r="P278" s="384" t="str">
        <f t="shared" si="523"/>
        <v/>
      </c>
      <c r="Q278" s="44" t="str">
        <f t="shared" si="523"/>
        <v/>
      </c>
      <c r="R278" s="44" t="str">
        <f t="shared" si="523"/>
        <v/>
      </c>
      <c r="S278" s="44" t="str">
        <f>IF(S277="","",IF(S277=0,"",S277/(S274*100)))</f>
        <v/>
      </c>
      <c r="T278" s="44" t="str">
        <f t="shared" si="523"/>
        <v/>
      </c>
      <c r="U278" s="44" t="str">
        <f t="shared" si="523"/>
        <v/>
      </c>
      <c r="V278" s="44" t="e">
        <f>IF(V277="","",IF(V277=0,"",V277/(V274*100)))</f>
        <v>#DIV/0!</v>
      </c>
      <c r="W278" s="44" t="str">
        <f t="shared" si="523"/>
        <v/>
      </c>
      <c r="X278" s="44" t="str">
        <f t="shared" si="523"/>
        <v/>
      </c>
      <c r="Y278" s="44">
        <f t="shared" si="523"/>
        <v>8.0392156862745104E-2</v>
      </c>
      <c r="Z278" s="44" t="str">
        <f t="shared" si="523"/>
        <v/>
      </c>
      <c r="AA278" s="44" t="str">
        <f t="shared" si="523"/>
        <v/>
      </c>
      <c r="AB278" s="44" t="str">
        <f t="shared" si="523"/>
        <v/>
      </c>
      <c r="AC278" s="44" t="str">
        <f t="shared" si="523"/>
        <v/>
      </c>
      <c r="AD278" s="44">
        <f t="shared" si="523"/>
        <v>4.480874316939891E-2</v>
      </c>
      <c r="AE278" s="44" t="str">
        <f t="shared" si="523"/>
        <v/>
      </c>
      <c r="AF278" s="44" t="str">
        <f t="shared" si="523"/>
        <v/>
      </c>
      <c r="AG278" s="44" t="str">
        <f t="shared" si="523"/>
        <v/>
      </c>
      <c r="AH278" s="44" t="str">
        <f t="shared" si="523"/>
        <v/>
      </c>
      <c r="AI278" s="44" t="str">
        <f t="shared" si="523"/>
        <v/>
      </c>
      <c r="AJ278" s="44" t="str">
        <f t="shared" si="523"/>
        <v/>
      </c>
      <c r="AK278" s="44" t="str">
        <f t="shared" si="523"/>
        <v/>
      </c>
      <c r="AL278" s="44" t="str">
        <f t="shared" si="523"/>
        <v/>
      </c>
      <c r="AM278" s="44" t="str">
        <f t="shared" si="523"/>
        <v/>
      </c>
      <c r="AN278" s="44" t="str">
        <f t="shared" si="523"/>
        <v/>
      </c>
      <c r="AO278" s="44" t="str">
        <f t="shared" si="523"/>
        <v/>
      </c>
      <c r="AP278" s="44" t="str">
        <f t="shared" ref="AP278:AR278" si="524">IF(AP277="","",IF(AP277=0,"",AP277/(AP274*100)))</f>
        <v/>
      </c>
      <c r="AQ278" s="44" t="str">
        <f t="shared" si="524"/>
        <v/>
      </c>
      <c r="AR278" s="44" t="str">
        <f t="shared" si="524"/>
        <v/>
      </c>
    </row>
    <row r="279" spans="1:49" s="93" customFormat="1">
      <c r="A279" s="40" t="s">
        <v>151</v>
      </c>
      <c r="B279" s="39" t="s">
        <v>2</v>
      </c>
      <c r="C279" s="38">
        <v>2530</v>
      </c>
      <c r="D279" s="38">
        <v>2530</v>
      </c>
      <c r="E279" s="38">
        <v>2530</v>
      </c>
      <c r="F279" s="38">
        <v>2576</v>
      </c>
      <c r="G279" s="121">
        <v>2576</v>
      </c>
      <c r="H279" s="38">
        <v>2576</v>
      </c>
      <c r="I279" s="38">
        <v>2653</v>
      </c>
      <c r="J279" s="38">
        <v>2653</v>
      </c>
      <c r="K279" s="38">
        <v>2653</v>
      </c>
      <c r="L279" s="38">
        <v>2653</v>
      </c>
      <c r="M279" s="38">
        <v>2653</v>
      </c>
      <c r="N279" s="38">
        <v>2653</v>
      </c>
      <c r="O279" s="38">
        <v>2694</v>
      </c>
      <c r="P279" s="38">
        <v>2694</v>
      </c>
      <c r="Q279" s="38">
        <v>2694</v>
      </c>
      <c r="R279" s="38">
        <v>2694</v>
      </c>
      <c r="S279" s="38">
        <v>2710</v>
      </c>
      <c r="T279" s="38">
        <v>2710</v>
      </c>
      <c r="U279" s="38">
        <v>2710</v>
      </c>
      <c r="V279" s="38">
        <v>2747</v>
      </c>
      <c r="W279" s="38">
        <v>2747</v>
      </c>
      <c r="X279" s="38">
        <v>2747</v>
      </c>
      <c r="Y279" s="38">
        <v>2747</v>
      </c>
      <c r="Z279" s="38">
        <v>2747</v>
      </c>
      <c r="AA279" s="38">
        <v>2780</v>
      </c>
      <c r="AB279" s="38">
        <v>2780</v>
      </c>
      <c r="AC279" s="38">
        <v>2780</v>
      </c>
      <c r="AD279" s="38">
        <v>2828</v>
      </c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1"/>
      <c r="AT279" s="1"/>
      <c r="AU279" s="1"/>
      <c r="AV279" s="1"/>
      <c r="AW279" s="1"/>
    </row>
    <row r="280" spans="1:49" s="93" customFormat="1">
      <c r="A280" s="37" t="s">
        <v>131</v>
      </c>
      <c r="B280" s="30" t="s">
        <v>4</v>
      </c>
      <c r="C280" s="65">
        <v>18</v>
      </c>
      <c r="D280" s="29">
        <f>IF(D$279="","",C280)</f>
        <v>18</v>
      </c>
      <c r="E280" s="29">
        <f>IF(E$279="","",D280)</f>
        <v>18</v>
      </c>
      <c r="F280" s="29">
        <v>18</v>
      </c>
      <c r="G280" s="122">
        <f t="shared" ref="G280:AO280" si="525">IF(G$279="","",F280)</f>
        <v>18</v>
      </c>
      <c r="H280" s="29">
        <f t="shared" si="525"/>
        <v>18</v>
      </c>
      <c r="I280" s="29">
        <f t="shared" si="525"/>
        <v>18</v>
      </c>
      <c r="J280" s="122">
        <f t="shared" si="525"/>
        <v>18</v>
      </c>
      <c r="K280" s="29">
        <f t="shared" si="525"/>
        <v>18</v>
      </c>
      <c r="L280" s="29">
        <f t="shared" si="525"/>
        <v>18</v>
      </c>
      <c r="M280" s="29">
        <f t="shared" si="525"/>
        <v>18</v>
      </c>
      <c r="N280" s="29">
        <f t="shared" si="525"/>
        <v>18</v>
      </c>
      <c r="O280" s="29">
        <f t="shared" si="525"/>
        <v>18</v>
      </c>
      <c r="P280" s="122">
        <f t="shared" si="525"/>
        <v>18</v>
      </c>
      <c r="Q280" s="29">
        <f t="shared" si="525"/>
        <v>18</v>
      </c>
      <c r="R280" s="29">
        <f t="shared" si="525"/>
        <v>18</v>
      </c>
      <c r="S280" s="29">
        <f t="shared" si="525"/>
        <v>18</v>
      </c>
      <c r="T280" s="29">
        <f t="shared" si="525"/>
        <v>18</v>
      </c>
      <c r="U280" s="29">
        <f t="shared" si="525"/>
        <v>18</v>
      </c>
      <c r="V280" s="29">
        <f>IF(V$279="","",U280)</f>
        <v>18</v>
      </c>
      <c r="W280" s="29">
        <f t="shared" si="525"/>
        <v>18</v>
      </c>
      <c r="X280" s="29">
        <f t="shared" si="525"/>
        <v>18</v>
      </c>
      <c r="Y280" s="29">
        <f t="shared" si="525"/>
        <v>18</v>
      </c>
      <c r="Z280" s="29">
        <f t="shared" si="525"/>
        <v>18</v>
      </c>
      <c r="AA280" s="29">
        <f t="shared" si="525"/>
        <v>18</v>
      </c>
      <c r="AB280" s="29">
        <f t="shared" si="525"/>
        <v>18</v>
      </c>
      <c r="AC280" s="29">
        <f t="shared" si="525"/>
        <v>18</v>
      </c>
      <c r="AD280" s="29">
        <v>18</v>
      </c>
      <c r="AE280" s="29" t="str">
        <f t="shared" si="525"/>
        <v/>
      </c>
      <c r="AF280" s="29" t="str">
        <f t="shared" si="525"/>
        <v/>
      </c>
      <c r="AG280" s="29" t="str">
        <f t="shared" si="525"/>
        <v/>
      </c>
      <c r="AH280" s="29" t="str">
        <f t="shared" si="525"/>
        <v/>
      </c>
      <c r="AI280" s="29" t="str">
        <f t="shared" si="525"/>
        <v/>
      </c>
      <c r="AJ280" s="29" t="str">
        <f t="shared" si="525"/>
        <v/>
      </c>
      <c r="AK280" s="29" t="str">
        <f t="shared" si="525"/>
        <v/>
      </c>
      <c r="AL280" s="29" t="str">
        <f t="shared" si="525"/>
        <v/>
      </c>
      <c r="AM280" s="29" t="str">
        <f t="shared" si="525"/>
        <v/>
      </c>
      <c r="AN280" s="29" t="str">
        <f t="shared" si="525"/>
        <v/>
      </c>
      <c r="AO280" s="29" t="str">
        <f t="shared" si="525"/>
        <v/>
      </c>
      <c r="AP280" s="29" t="str">
        <f t="shared" ref="AP280:AR280" si="526">IF(AP$279="","",AO280)</f>
        <v/>
      </c>
      <c r="AQ280" s="29" t="str">
        <f t="shared" si="526"/>
        <v/>
      </c>
      <c r="AR280" s="29" t="str">
        <f t="shared" si="526"/>
        <v/>
      </c>
      <c r="AS280" s="1"/>
      <c r="AT280" s="1"/>
      <c r="AU280" s="1"/>
      <c r="AV280" s="1"/>
      <c r="AW280" s="1"/>
    </row>
    <row r="281" spans="1:49" s="93" customFormat="1">
      <c r="A281" s="41">
        <v>1</v>
      </c>
      <c r="B281" s="30" t="s">
        <v>5</v>
      </c>
      <c r="C281" s="65">
        <v>4</v>
      </c>
      <c r="D281" s="29">
        <f>IF(D279="","",(C281+C282))</f>
        <v>4</v>
      </c>
      <c r="E281" s="29">
        <f>IF(E279="","",(D281+D282))</f>
        <v>4</v>
      </c>
      <c r="F281" s="29">
        <v>3</v>
      </c>
      <c r="G281" s="122">
        <f>IF(G279="","",(F281+F282))</f>
        <v>5</v>
      </c>
      <c r="H281" s="29">
        <f>IF(H279="","",(G281+G282))</f>
        <v>5</v>
      </c>
      <c r="I281" s="29">
        <v>4</v>
      </c>
      <c r="J281" s="122">
        <f t="shared" ref="J281:AO281" si="527">IF(J279="","",(I281+I282))</f>
        <v>5</v>
      </c>
      <c r="K281" s="29">
        <f t="shared" si="527"/>
        <v>5</v>
      </c>
      <c r="L281" s="29">
        <f t="shared" si="527"/>
        <v>5</v>
      </c>
      <c r="M281" s="29">
        <f t="shared" si="527"/>
        <v>5</v>
      </c>
      <c r="N281" s="29">
        <f t="shared" si="527"/>
        <v>5</v>
      </c>
      <c r="O281" s="29">
        <f t="shared" si="527"/>
        <v>5</v>
      </c>
      <c r="P281" s="122">
        <f t="shared" si="527"/>
        <v>6</v>
      </c>
      <c r="Q281" s="29">
        <f t="shared" si="527"/>
        <v>6</v>
      </c>
      <c r="R281" s="29">
        <f t="shared" si="527"/>
        <v>6</v>
      </c>
      <c r="S281" s="29">
        <v>5</v>
      </c>
      <c r="T281" s="29">
        <f t="shared" si="527"/>
        <v>5</v>
      </c>
      <c r="U281" s="29">
        <f t="shared" si="527"/>
        <v>5</v>
      </c>
      <c r="V281" s="29">
        <f>IF(V279="","",(U281+U282))</f>
        <v>5</v>
      </c>
      <c r="W281" s="29">
        <f t="shared" si="527"/>
        <v>5</v>
      </c>
      <c r="X281" s="29">
        <f t="shared" si="527"/>
        <v>5</v>
      </c>
      <c r="Y281" s="29">
        <f t="shared" si="527"/>
        <v>5</v>
      </c>
      <c r="Z281" s="29">
        <f t="shared" si="527"/>
        <v>5</v>
      </c>
      <c r="AA281" s="29">
        <v>4</v>
      </c>
      <c r="AB281" s="29">
        <f t="shared" si="527"/>
        <v>6</v>
      </c>
      <c r="AC281" s="29">
        <f t="shared" si="527"/>
        <v>6</v>
      </c>
      <c r="AD281" s="29">
        <f t="shared" si="527"/>
        <v>6</v>
      </c>
      <c r="AE281" s="29" t="str">
        <f t="shared" si="527"/>
        <v/>
      </c>
      <c r="AF281" s="29" t="str">
        <f t="shared" si="527"/>
        <v/>
      </c>
      <c r="AG281" s="29" t="str">
        <f t="shared" si="527"/>
        <v/>
      </c>
      <c r="AH281" s="29" t="str">
        <f t="shared" si="527"/>
        <v/>
      </c>
      <c r="AI281" s="29" t="str">
        <f t="shared" si="527"/>
        <v/>
      </c>
      <c r="AJ281" s="29" t="str">
        <f t="shared" si="527"/>
        <v/>
      </c>
      <c r="AK281" s="29" t="str">
        <f t="shared" si="527"/>
        <v/>
      </c>
      <c r="AL281" s="29" t="str">
        <f t="shared" si="527"/>
        <v/>
      </c>
      <c r="AM281" s="29" t="str">
        <f t="shared" si="527"/>
        <v/>
      </c>
      <c r="AN281" s="29" t="str">
        <f t="shared" si="527"/>
        <v/>
      </c>
      <c r="AO281" s="29" t="str">
        <f t="shared" si="527"/>
        <v/>
      </c>
      <c r="AP281" s="29" t="str">
        <f t="shared" ref="AP281:AR281" si="528">IF(AP279="","",(AO281+AO282))</f>
        <v/>
      </c>
      <c r="AQ281" s="29" t="str">
        <f t="shared" si="528"/>
        <v/>
      </c>
      <c r="AR281" s="29" t="str">
        <f t="shared" si="528"/>
        <v/>
      </c>
      <c r="AS281" s="1"/>
      <c r="AT281" s="1"/>
      <c r="AU281" s="1"/>
      <c r="AV281" s="1"/>
      <c r="AW281" s="1"/>
    </row>
    <row r="282" spans="1:49" s="93" customFormat="1">
      <c r="A282" s="101" t="s">
        <v>6</v>
      </c>
      <c r="B282" s="30" t="s">
        <v>7</v>
      </c>
      <c r="C282" s="65"/>
      <c r="D282" s="29"/>
      <c r="E282" s="29"/>
      <c r="F282" s="29">
        <v>2</v>
      </c>
      <c r="G282" s="122"/>
      <c r="H282" s="29"/>
      <c r="I282" s="29">
        <v>1</v>
      </c>
      <c r="J282" s="122"/>
      <c r="K282" s="29"/>
      <c r="L282" s="29"/>
      <c r="M282" s="29"/>
      <c r="N282" s="29"/>
      <c r="O282" s="29">
        <v>1</v>
      </c>
      <c r="P282" s="122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>
        <v>2</v>
      </c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1"/>
      <c r="AT282" s="1"/>
      <c r="AU282" s="1"/>
      <c r="AV282" s="1"/>
      <c r="AW282" s="1"/>
    </row>
    <row r="283" spans="1:49" s="93" customFormat="1">
      <c r="A283" s="102">
        <f>+(A286+A298+A310+A322)*100</f>
        <v>173900</v>
      </c>
      <c r="B283" s="30" t="s">
        <v>8</v>
      </c>
      <c r="C283" s="64">
        <v>750</v>
      </c>
      <c r="D283" s="35">
        <f t="shared" ref="D283:AO283" si="529">IF(D279="","",C283)</f>
        <v>750</v>
      </c>
      <c r="E283" s="35">
        <f t="shared" si="529"/>
        <v>750</v>
      </c>
      <c r="F283" s="35">
        <f t="shared" si="529"/>
        <v>750</v>
      </c>
      <c r="G283" s="383">
        <f t="shared" si="529"/>
        <v>750</v>
      </c>
      <c r="H283" s="35">
        <f t="shared" si="529"/>
        <v>750</v>
      </c>
      <c r="I283" s="35">
        <f t="shared" si="529"/>
        <v>750</v>
      </c>
      <c r="J283" s="383">
        <f t="shared" si="529"/>
        <v>750</v>
      </c>
      <c r="K283" s="35">
        <f t="shared" si="529"/>
        <v>750</v>
      </c>
      <c r="L283" s="35">
        <f t="shared" si="529"/>
        <v>750</v>
      </c>
      <c r="M283" s="35">
        <f t="shared" si="529"/>
        <v>750</v>
      </c>
      <c r="N283" s="35">
        <f t="shared" si="529"/>
        <v>750</v>
      </c>
      <c r="O283" s="35">
        <f t="shared" si="529"/>
        <v>750</v>
      </c>
      <c r="P283" s="383">
        <f t="shared" si="529"/>
        <v>750</v>
      </c>
      <c r="Q283" s="35">
        <f t="shared" si="529"/>
        <v>750</v>
      </c>
      <c r="R283" s="35">
        <f t="shared" si="529"/>
        <v>750</v>
      </c>
      <c r="S283" s="35">
        <f t="shared" si="529"/>
        <v>750</v>
      </c>
      <c r="T283" s="35">
        <f t="shared" si="529"/>
        <v>750</v>
      </c>
      <c r="U283" s="35">
        <f t="shared" si="529"/>
        <v>750</v>
      </c>
      <c r="V283" s="35">
        <f>IF(V279="","",U283)</f>
        <v>750</v>
      </c>
      <c r="W283" s="35">
        <f t="shared" si="529"/>
        <v>750</v>
      </c>
      <c r="X283" s="35">
        <f t="shared" si="529"/>
        <v>750</v>
      </c>
      <c r="Y283" s="35">
        <f t="shared" si="529"/>
        <v>750</v>
      </c>
      <c r="Z283" s="35">
        <f t="shared" si="529"/>
        <v>750</v>
      </c>
      <c r="AA283" s="35">
        <f t="shared" si="529"/>
        <v>750</v>
      </c>
      <c r="AB283" s="35">
        <f t="shared" si="529"/>
        <v>750</v>
      </c>
      <c r="AC283" s="35">
        <f t="shared" si="529"/>
        <v>750</v>
      </c>
      <c r="AD283" s="35">
        <f t="shared" si="529"/>
        <v>750</v>
      </c>
      <c r="AE283" s="35" t="str">
        <f t="shared" si="529"/>
        <v/>
      </c>
      <c r="AF283" s="35" t="str">
        <f t="shared" si="529"/>
        <v/>
      </c>
      <c r="AG283" s="35" t="str">
        <f t="shared" si="529"/>
        <v/>
      </c>
      <c r="AH283" s="35" t="str">
        <f t="shared" si="529"/>
        <v/>
      </c>
      <c r="AI283" s="35" t="str">
        <f t="shared" si="529"/>
        <v/>
      </c>
      <c r="AJ283" s="35" t="str">
        <f t="shared" si="529"/>
        <v/>
      </c>
      <c r="AK283" s="35" t="str">
        <f t="shared" si="529"/>
        <v/>
      </c>
      <c r="AL283" s="35" t="str">
        <f t="shared" si="529"/>
        <v/>
      </c>
      <c r="AM283" s="35" t="str">
        <f t="shared" si="529"/>
        <v/>
      </c>
      <c r="AN283" s="35" t="str">
        <f t="shared" si="529"/>
        <v/>
      </c>
      <c r="AO283" s="35" t="str">
        <f t="shared" si="529"/>
        <v/>
      </c>
      <c r="AP283" s="35" t="str">
        <f t="shared" ref="AP283:AR283" si="530">IF(AP279="","",AO283)</f>
        <v/>
      </c>
      <c r="AQ283" s="35" t="str">
        <f t="shared" si="530"/>
        <v/>
      </c>
      <c r="AR283" s="35" t="str">
        <f t="shared" si="530"/>
        <v/>
      </c>
      <c r="AS283" s="1"/>
      <c r="AT283" s="1"/>
      <c r="AU283" s="1"/>
      <c r="AV283" s="1"/>
      <c r="AW283" s="1"/>
    </row>
    <row r="284" spans="1:49" s="94" customFormat="1">
      <c r="A284" s="14" t="s">
        <v>9</v>
      </c>
      <c r="B284" s="33" t="s">
        <v>10</v>
      </c>
      <c r="C284" s="63" t="s">
        <v>211</v>
      </c>
      <c r="D284" s="32" t="str">
        <f t="shared" ref="D284:AO284" si="531">IF(D279="","",C284)</f>
        <v>ジャグラーフラッシュボタン</v>
      </c>
      <c r="E284" s="32" t="str">
        <f t="shared" si="531"/>
        <v>ジャグラーフラッシュボタン</v>
      </c>
      <c r="F284" s="32" t="str">
        <f t="shared" si="531"/>
        <v>ジャグラーフラッシュボタン</v>
      </c>
      <c r="G284" s="123" t="str">
        <f t="shared" si="531"/>
        <v>ジャグラーフラッシュボタン</v>
      </c>
      <c r="H284" s="32" t="str">
        <f t="shared" si="531"/>
        <v>ジャグラーフラッシュボタン</v>
      </c>
      <c r="I284" s="32" t="str">
        <f t="shared" si="531"/>
        <v>ジャグラーフラッシュボタン</v>
      </c>
      <c r="J284" s="123" t="str">
        <f t="shared" si="531"/>
        <v>ジャグラーフラッシュボタン</v>
      </c>
      <c r="K284" s="32" t="str">
        <f t="shared" si="531"/>
        <v>ジャグラーフラッシュボタン</v>
      </c>
      <c r="L284" s="32" t="str">
        <f t="shared" si="531"/>
        <v>ジャグラーフラッシュボタン</v>
      </c>
      <c r="M284" s="32" t="str">
        <f t="shared" si="531"/>
        <v>ジャグラーフラッシュボタン</v>
      </c>
      <c r="N284" s="32" t="str">
        <f t="shared" si="531"/>
        <v>ジャグラーフラッシュボタン</v>
      </c>
      <c r="O284" s="32" t="str">
        <f t="shared" si="531"/>
        <v>ジャグラーフラッシュボタン</v>
      </c>
      <c r="P284" s="123" t="str">
        <f t="shared" si="531"/>
        <v>ジャグラーフラッシュボタン</v>
      </c>
      <c r="Q284" s="32" t="str">
        <f t="shared" si="531"/>
        <v>ジャグラーフラッシュボタン</v>
      </c>
      <c r="R284" s="32" t="str">
        <f t="shared" si="531"/>
        <v>ジャグラーフラッシュボタン</v>
      </c>
      <c r="S284" s="32" t="str">
        <f t="shared" si="531"/>
        <v>ジャグラーフラッシュボタン</v>
      </c>
      <c r="T284" s="32" t="str">
        <f t="shared" si="531"/>
        <v>ジャグラーフラッシュボタン</v>
      </c>
      <c r="U284" s="32" t="str">
        <f t="shared" si="531"/>
        <v>ジャグラーフラッシュボタン</v>
      </c>
      <c r="V284" s="32" t="str">
        <f>IF(V279="","",U284)</f>
        <v>ジャグラーフラッシュボタン</v>
      </c>
      <c r="W284" s="32" t="str">
        <f t="shared" si="531"/>
        <v>ジャグラーフラッシュボタン</v>
      </c>
      <c r="X284" s="32" t="str">
        <f t="shared" si="531"/>
        <v>ジャグラーフラッシュボタン</v>
      </c>
      <c r="Y284" s="32" t="str">
        <f t="shared" si="531"/>
        <v>ジャグラーフラッシュボタン</v>
      </c>
      <c r="Z284" s="32" t="str">
        <f t="shared" si="531"/>
        <v>ジャグラーフラッシュボタン</v>
      </c>
      <c r="AA284" s="32" t="str">
        <f t="shared" si="531"/>
        <v>ジャグラーフラッシュボタン</v>
      </c>
      <c r="AB284" s="32" t="str">
        <f t="shared" si="531"/>
        <v>ジャグラーフラッシュボタン</v>
      </c>
      <c r="AC284" s="32" t="str">
        <f t="shared" si="531"/>
        <v>ジャグラーフラッシュボタン</v>
      </c>
      <c r="AD284" s="32" t="str">
        <f t="shared" si="531"/>
        <v>ジャグラーフラッシュボタン</v>
      </c>
      <c r="AE284" s="32" t="str">
        <f t="shared" si="531"/>
        <v/>
      </c>
      <c r="AF284" s="32" t="str">
        <f t="shared" si="531"/>
        <v/>
      </c>
      <c r="AG284" s="32" t="str">
        <f t="shared" si="531"/>
        <v/>
      </c>
      <c r="AH284" s="32" t="str">
        <f t="shared" si="531"/>
        <v/>
      </c>
      <c r="AI284" s="32" t="str">
        <f t="shared" si="531"/>
        <v/>
      </c>
      <c r="AJ284" s="32" t="str">
        <f t="shared" si="531"/>
        <v/>
      </c>
      <c r="AK284" s="32" t="str">
        <f t="shared" si="531"/>
        <v/>
      </c>
      <c r="AL284" s="32" t="str">
        <f t="shared" si="531"/>
        <v/>
      </c>
      <c r="AM284" s="32" t="str">
        <f t="shared" si="531"/>
        <v/>
      </c>
      <c r="AN284" s="32" t="str">
        <f t="shared" si="531"/>
        <v/>
      </c>
      <c r="AO284" s="32" t="str">
        <f t="shared" si="531"/>
        <v/>
      </c>
      <c r="AP284" s="32" t="str">
        <f t="shared" ref="AP284:AR284" si="532">IF(AP279="","",AO284)</f>
        <v/>
      </c>
      <c r="AQ284" s="32" t="str">
        <f t="shared" si="532"/>
        <v/>
      </c>
      <c r="AR284" s="32" t="str">
        <f t="shared" si="532"/>
        <v/>
      </c>
      <c r="AS284" s="11"/>
      <c r="AT284" s="11"/>
      <c r="AU284" s="11"/>
      <c r="AV284" s="11"/>
      <c r="AW284" s="11"/>
    </row>
    <row r="285" spans="1:49" s="93" customFormat="1">
      <c r="A285" s="7">
        <f>AVERAGE(C286:AS286)*30*100</f>
        <v>31928.571428571428</v>
      </c>
      <c r="B285" s="30" t="s">
        <v>14</v>
      </c>
      <c r="C285" s="65"/>
      <c r="D285" s="29"/>
      <c r="E285" s="29"/>
      <c r="F285" s="29"/>
      <c r="G285" s="122"/>
      <c r="H285" s="29"/>
      <c r="I285" s="29"/>
      <c r="J285" s="122"/>
      <c r="K285" s="29"/>
      <c r="L285" s="29"/>
      <c r="M285" s="29"/>
      <c r="N285" s="29"/>
      <c r="O285" s="29"/>
      <c r="P285" s="122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1"/>
      <c r="AT285" s="1"/>
      <c r="AU285" s="1"/>
      <c r="AV285" s="1"/>
      <c r="AW285" s="1"/>
    </row>
    <row r="286" spans="1:49" s="93" customFormat="1">
      <c r="A286" s="7">
        <f>SUM(C286:AS286)</f>
        <v>298</v>
      </c>
      <c r="B286" s="27" t="s">
        <v>15</v>
      </c>
      <c r="C286" s="65">
        <v>0</v>
      </c>
      <c r="D286" s="26">
        <f t="shared" ref="D286:AO286" si="533">IF(D279="","",D279-C279)</f>
        <v>0</v>
      </c>
      <c r="E286" s="26">
        <f t="shared" si="533"/>
        <v>0</v>
      </c>
      <c r="F286" s="26">
        <f t="shared" si="533"/>
        <v>46</v>
      </c>
      <c r="G286" s="122">
        <f t="shared" si="533"/>
        <v>0</v>
      </c>
      <c r="H286" s="26">
        <f t="shared" si="533"/>
        <v>0</v>
      </c>
      <c r="I286" s="26">
        <f t="shared" si="533"/>
        <v>77</v>
      </c>
      <c r="J286" s="122">
        <f t="shared" si="533"/>
        <v>0</v>
      </c>
      <c r="K286" s="26">
        <f t="shared" si="533"/>
        <v>0</v>
      </c>
      <c r="L286" s="26">
        <f t="shared" si="533"/>
        <v>0</v>
      </c>
      <c r="M286" s="26">
        <f t="shared" si="533"/>
        <v>0</v>
      </c>
      <c r="N286" s="26">
        <f t="shared" si="533"/>
        <v>0</v>
      </c>
      <c r="O286" s="26">
        <f t="shared" si="533"/>
        <v>41</v>
      </c>
      <c r="P286" s="122">
        <f t="shared" si="533"/>
        <v>0</v>
      </c>
      <c r="Q286" s="26">
        <f t="shared" si="533"/>
        <v>0</v>
      </c>
      <c r="R286" s="26">
        <f t="shared" si="533"/>
        <v>0</v>
      </c>
      <c r="S286" s="26">
        <f t="shared" si="533"/>
        <v>16</v>
      </c>
      <c r="T286" s="26">
        <f t="shared" si="533"/>
        <v>0</v>
      </c>
      <c r="U286" s="26">
        <f t="shared" si="533"/>
        <v>0</v>
      </c>
      <c r="V286" s="26">
        <f>IF(V279="","",V279-U279)</f>
        <v>37</v>
      </c>
      <c r="W286" s="26">
        <f t="shared" si="533"/>
        <v>0</v>
      </c>
      <c r="X286" s="26">
        <f t="shared" si="533"/>
        <v>0</v>
      </c>
      <c r="Y286" s="26">
        <f t="shared" si="533"/>
        <v>0</v>
      </c>
      <c r="Z286" s="26">
        <f t="shared" si="533"/>
        <v>0</v>
      </c>
      <c r="AA286" s="26">
        <f t="shared" si="533"/>
        <v>33</v>
      </c>
      <c r="AB286" s="26">
        <f t="shared" si="533"/>
        <v>0</v>
      </c>
      <c r="AC286" s="26">
        <f t="shared" si="533"/>
        <v>0</v>
      </c>
      <c r="AD286" s="26">
        <f t="shared" si="533"/>
        <v>48</v>
      </c>
      <c r="AE286" s="26" t="str">
        <f t="shared" si="533"/>
        <v/>
      </c>
      <c r="AF286" s="26" t="str">
        <f t="shared" si="533"/>
        <v/>
      </c>
      <c r="AG286" s="26" t="str">
        <f t="shared" si="533"/>
        <v/>
      </c>
      <c r="AH286" s="26" t="str">
        <f t="shared" si="533"/>
        <v/>
      </c>
      <c r="AI286" s="26" t="str">
        <f t="shared" si="533"/>
        <v/>
      </c>
      <c r="AJ286" s="26" t="str">
        <f t="shared" si="533"/>
        <v/>
      </c>
      <c r="AK286" s="26" t="str">
        <f t="shared" si="533"/>
        <v/>
      </c>
      <c r="AL286" s="26" t="str">
        <f t="shared" si="533"/>
        <v/>
      </c>
      <c r="AM286" s="26" t="str">
        <f t="shared" si="533"/>
        <v/>
      </c>
      <c r="AN286" s="26" t="str">
        <f t="shared" si="533"/>
        <v/>
      </c>
      <c r="AO286" s="26" t="str">
        <f t="shared" si="533"/>
        <v/>
      </c>
      <c r="AP286" s="26" t="str">
        <f t="shared" ref="AP286:AR286" si="534">IF(AP279="","",AP279-AO279)</f>
        <v/>
      </c>
      <c r="AQ286" s="26" t="str">
        <f t="shared" si="534"/>
        <v/>
      </c>
      <c r="AR286" s="26" t="str">
        <f t="shared" si="534"/>
        <v/>
      </c>
      <c r="AS286" s="1"/>
      <c r="AT286" s="1"/>
      <c r="AU286" s="1"/>
      <c r="AV286" s="1"/>
      <c r="AW286" s="1"/>
    </row>
    <row r="287" spans="1:49" s="93" customFormat="1">
      <c r="A287" s="7">
        <f>SUM(C287:AS287)</f>
        <v>0</v>
      </c>
      <c r="B287" s="27" t="s">
        <v>16</v>
      </c>
      <c r="C287" s="65">
        <v>0</v>
      </c>
      <c r="D287" s="26">
        <f t="shared" ref="D287:AO287" si="535">IF(D280="","",D280-C280)</f>
        <v>0</v>
      </c>
      <c r="E287" s="26">
        <f t="shared" si="535"/>
        <v>0</v>
      </c>
      <c r="F287" s="26">
        <f t="shared" si="535"/>
        <v>0</v>
      </c>
      <c r="G287" s="122">
        <f t="shared" si="535"/>
        <v>0</v>
      </c>
      <c r="H287" s="26">
        <f t="shared" si="535"/>
        <v>0</v>
      </c>
      <c r="I287" s="26">
        <f t="shared" si="535"/>
        <v>0</v>
      </c>
      <c r="J287" s="122">
        <f t="shared" si="535"/>
        <v>0</v>
      </c>
      <c r="K287" s="26">
        <f t="shared" si="535"/>
        <v>0</v>
      </c>
      <c r="L287" s="26">
        <f t="shared" si="535"/>
        <v>0</v>
      </c>
      <c r="M287" s="26">
        <f t="shared" si="535"/>
        <v>0</v>
      </c>
      <c r="N287" s="26">
        <f t="shared" si="535"/>
        <v>0</v>
      </c>
      <c r="O287" s="26">
        <f t="shared" si="535"/>
        <v>0</v>
      </c>
      <c r="P287" s="122">
        <f t="shared" si="535"/>
        <v>0</v>
      </c>
      <c r="Q287" s="26">
        <f t="shared" si="535"/>
        <v>0</v>
      </c>
      <c r="R287" s="26">
        <f t="shared" si="535"/>
        <v>0</v>
      </c>
      <c r="S287" s="26">
        <f t="shared" si="535"/>
        <v>0</v>
      </c>
      <c r="T287" s="26">
        <f t="shared" si="535"/>
        <v>0</v>
      </c>
      <c r="U287" s="26">
        <f t="shared" si="535"/>
        <v>0</v>
      </c>
      <c r="V287" s="26">
        <f>IF(V280="","",V280-U280)</f>
        <v>0</v>
      </c>
      <c r="W287" s="26">
        <f t="shared" si="535"/>
        <v>0</v>
      </c>
      <c r="X287" s="26">
        <f t="shared" si="535"/>
        <v>0</v>
      </c>
      <c r="Y287" s="26">
        <f t="shared" si="535"/>
        <v>0</v>
      </c>
      <c r="Z287" s="26">
        <f t="shared" si="535"/>
        <v>0</v>
      </c>
      <c r="AA287" s="26">
        <f t="shared" si="535"/>
        <v>0</v>
      </c>
      <c r="AB287" s="26">
        <f t="shared" si="535"/>
        <v>0</v>
      </c>
      <c r="AC287" s="26">
        <f t="shared" si="535"/>
        <v>0</v>
      </c>
      <c r="AD287" s="26">
        <f t="shared" si="535"/>
        <v>0</v>
      </c>
      <c r="AE287" s="26" t="str">
        <f t="shared" si="535"/>
        <v/>
      </c>
      <c r="AF287" s="26" t="str">
        <f t="shared" si="535"/>
        <v/>
      </c>
      <c r="AG287" s="26" t="str">
        <f t="shared" si="535"/>
        <v/>
      </c>
      <c r="AH287" s="26" t="str">
        <f t="shared" si="535"/>
        <v/>
      </c>
      <c r="AI287" s="26" t="str">
        <f t="shared" si="535"/>
        <v/>
      </c>
      <c r="AJ287" s="26" t="str">
        <f t="shared" si="535"/>
        <v/>
      </c>
      <c r="AK287" s="26" t="str">
        <f t="shared" si="535"/>
        <v/>
      </c>
      <c r="AL287" s="26" t="str">
        <f t="shared" si="535"/>
        <v/>
      </c>
      <c r="AM287" s="26" t="str">
        <f t="shared" si="535"/>
        <v/>
      </c>
      <c r="AN287" s="26" t="str">
        <f t="shared" si="535"/>
        <v/>
      </c>
      <c r="AO287" s="26" t="str">
        <f t="shared" si="535"/>
        <v/>
      </c>
      <c r="AP287" s="26" t="str">
        <f t="shared" ref="AP287:AR287" si="536">IF(AP280="","",AP280-AO280)</f>
        <v/>
      </c>
      <c r="AQ287" s="26" t="str">
        <f t="shared" si="536"/>
        <v/>
      </c>
      <c r="AR287" s="26" t="str">
        <f t="shared" si="536"/>
        <v/>
      </c>
      <c r="AS287" s="1"/>
      <c r="AT287" s="1"/>
      <c r="AU287" s="1"/>
      <c r="AV287" s="1"/>
      <c r="AW287" s="1"/>
    </row>
    <row r="288" spans="1:49" s="93" customFormat="1">
      <c r="A288" s="7">
        <f>SUM(C288:AS288)</f>
        <v>4</v>
      </c>
      <c r="B288" s="27" t="s">
        <v>17</v>
      </c>
      <c r="C288" s="65">
        <v>0</v>
      </c>
      <c r="D288" s="26">
        <f t="shared" ref="D288:AO288" si="537">IF(D281="","",C281+C282-D281)</f>
        <v>0</v>
      </c>
      <c r="E288" s="26">
        <f t="shared" si="537"/>
        <v>0</v>
      </c>
      <c r="F288" s="26">
        <f t="shared" si="537"/>
        <v>1</v>
      </c>
      <c r="G288" s="122">
        <f t="shared" si="537"/>
        <v>0</v>
      </c>
      <c r="H288" s="26">
        <f t="shared" si="537"/>
        <v>0</v>
      </c>
      <c r="I288" s="26">
        <f t="shared" si="537"/>
        <v>1</v>
      </c>
      <c r="J288" s="122">
        <f t="shared" si="537"/>
        <v>0</v>
      </c>
      <c r="K288" s="26">
        <f t="shared" si="537"/>
        <v>0</v>
      </c>
      <c r="L288" s="26">
        <f t="shared" si="537"/>
        <v>0</v>
      </c>
      <c r="M288" s="26">
        <f t="shared" si="537"/>
        <v>0</v>
      </c>
      <c r="N288" s="26">
        <f t="shared" si="537"/>
        <v>0</v>
      </c>
      <c r="O288" s="26">
        <f t="shared" si="537"/>
        <v>0</v>
      </c>
      <c r="P288" s="122">
        <f t="shared" si="537"/>
        <v>0</v>
      </c>
      <c r="Q288" s="26">
        <f t="shared" si="537"/>
        <v>0</v>
      </c>
      <c r="R288" s="26">
        <f t="shared" si="537"/>
        <v>0</v>
      </c>
      <c r="S288" s="26">
        <f t="shared" si="537"/>
        <v>1</v>
      </c>
      <c r="T288" s="26">
        <f t="shared" si="537"/>
        <v>0</v>
      </c>
      <c r="U288" s="26">
        <f t="shared" si="537"/>
        <v>0</v>
      </c>
      <c r="V288" s="26">
        <f>IF(V281="","",U281+U282-V281)</f>
        <v>0</v>
      </c>
      <c r="W288" s="26">
        <f t="shared" si="537"/>
        <v>0</v>
      </c>
      <c r="X288" s="26">
        <f t="shared" si="537"/>
        <v>0</v>
      </c>
      <c r="Y288" s="26">
        <f t="shared" si="537"/>
        <v>0</v>
      </c>
      <c r="Z288" s="26">
        <f t="shared" si="537"/>
        <v>0</v>
      </c>
      <c r="AA288" s="26">
        <f t="shared" si="537"/>
        <v>1</v>
      </c>
      <c r="AB288" s="26">
        <f t="shared" si="537"/>
        <v>0</v>
      </c>
      <c r="AC288" s="26">
        <f t="shared" si="537"/>
        <v>0</v>
      </c>
      <c r="AD288" s="26">
        <f t="shared" si="537"/>
        <v>0</v>
      </c>
      <c r="AE288" s="26" t="str">
        <f t="shared" si="537"/>
        <v/>
      </c>
      <c r="AF288" s="26" t="str">
        <f t="shared" si="537"/>
        <v/>
      </c>
      <c r="AG288" s="26" t="str">
        <f t="shared" si="537"/>
        <v/>
      </c>
      <c r="AH288" s="26" t="str">
        <f t="shared" si="537"/>
        <v/>
      </c>
      <c r="AI288" s="26" t="str">
        <f t="shared" si="537"/>
        <v/>
      </c>
      <c r="AJ288" s="26" t="str">
        <f t="shared" si="537"/>
        <v/>
      </c>
      <c r="AK288" s="26" t="str">
        <f t="shared" si="537"/>
        <v/>
      </c>
      <c r="AL288" s="26" t="str">
        <f t="shared" si="537"/>
        <v/>
      </c>
      <c r="AM288" s="26" t="str">
        <f t="shared" si="537"/>
        <v/>
      </c>
      <c r="AN288" s="26" t="str">
        <f t="shared" si="537"/>
        <v/>
      </c>
      <c r="AO288" s="26" t="str">
        <f t="shared" si="537"/>
        <v/>
      </c>
      <c r="AP288" s="26" t="str">
        <f t="shared" ref="AP288:AR288" si="538">IF(AP281="","",AO281+AO282-AP281)</f>
        <v/>
      </c>
      <c r="AQ288" s="26" t="str">
        <f t="shared" si="538"/>
        <v/>
      </c>
      <c r="AR288" s="26" t="str">
        <f t="shared" si="538"/>
        <v/>
      </c>
      <c r="AS288" s="1"/>
      <c r="AT288" s="1"/>
      <c r="AU288" s="1"/>
      <c r="AV288" s="1"/>
      <c r="AW288" s="1"/>
    </row>
    <row r="289" spans="1:44" s="93" customFormat="1">
      <c r="A289" s="7">
        <f>SUM(C289:AS289)</f>
        <v>3000</v>
      </c>
      <c r="B289" s="27" t="s">
        <v>18</v>
      </c>
      <c r="C289" s="65">
        <v>0</v>
      </c>
      <c r="D289" s="26">
        <f t="shared" ref="D289:AO289" si="539">IF(D279="","",D288*D283)</f>
        <v>0</v>
      </c>
      <c r="E289" s="26">
        <f t="shared" si="539"/>
        <v>0</v>
      </c>
      <c r="F289" s="26">
        <f t="shared" si="539"/>
        <v>750</v>
      </c>
      <c r="G289" s="122">
        <f t="shared" si="539"/>
        <v>0</v>
      </c>
      <c r="H289" s="26">
        <f t="shared" si="539"/>
        <v>0</v>
      </c>
      <c r="I289" s="26">
        <f t="shared" si="539"/>
        <v>750</v>
      </c>
      <c r="J289" s="122">
        <f t="shared" si="539"/>
        <v>0</v>
      </c>
      <c r="K289" s="26">
        <f t="shared" si="539"/>
        <v>0</v>
      </c>
      <c r="L289" s="26">
        <f t="shared" si="539"/>
        <v>0</v>
      </c>
      <c r="M289" s="26">
        <f t="shared" si="539"/>
        <v>0</v>
      </c>
      <c r="N289" s="26">
        <f t="shared" si="539"/>
        <v>0</v>
      </c>
      <c r="O289" s="26">
        <f t="shared" si="539"/>
        <v>0</v>
      </c>
      <c r="P289" s="122">
        <f t="shared" si="539"/>
        <v>0</v>
      </c>
      <c r="Q289" s="26">
        <f t="shared" si="539"/>
        <v>0</v>
      </c>
      <c r="R289" s="26">
        <f t="shared" si="539"/>
        <v>0</v>
      </c>
      <c r="S289" s="26">
        <f t="shared" si="539"/>
        <v>750</v>
      </c>
      <c r="T289" s="26">
        <f t="shared" si="539"/>
        <v>0</v>
      </c>
      <c r="U289" s="26">
        <f t="shared" si="539"/>
        <v>0</v>
      </c>
      <c r="V289" s="26">
        <f>IF(V279="","",V288*V283)</f>
        <v>0</v>
      </c>
      <c r="W289" s="26">
        <f t="shared" si="539"/>
        <v>0</v>
      </c>
      <c r="X289" s="26">
        <f t="shared" si="539"/>
        <v>0</v>
      </c>
      <c r="Y289" s="26">
        <f t="shared" si="539"/>
        <v>0</v>
      </c>
      <c r="Z289" s="26">
        <f t="shared" si="539"/>
        <v>0</v>
      </c>
      <c r="AA289" s="26">
        <f t="shared" si="539"/>
        <v>750</v>
      </c>
      <c r="AB289" s="26">
        <f t="shared" si="539"/>
        <v>0</v>
      </c>
      <c r="AC289" s="26">
        <f t="shared" si="539"/>
        <v>0</v>
      </c>
      <c r="AD289" s="26">
        <f t="shared" si="539"/>
        <v>0</v>
      </c>
      <c r="AE289" s="26" t="str">
        <f t="shared" si="539"/>
        <v/>
      </c>
      <c r="AF289" s="26" t="str">
        <f t="shared" si="539"/>
        <v/>
      </c>
      <c r="AG289" s="26" t="str">
        <f t="shared" si="539"/>
        <v/>
      </c>
      <c r="AH289" s="26" t="str">
        <f t="shared" si="539"/>
        <v/>
      </c>
      <c r="AI289" s="26" t="str">
        <f t="shared" si="539"/>
        <v/>
      </c>
      <c r="AJ289" s="26" t="str">
        <f t="shared" si="539"/>
        <v/>
      </c>
      <c r="AK289" s="26" t="str">
        <f t="shared" si="539"/>
        <v/>
      </c>
      <c r="AL289" s="26" t="str">
        <f t="shared" si="539"/>
        <v/>
      </c>
      <c r="AM289" s="26" t="str">
        <f t="shared" si="539"/>
        <v/>
      </c>
      <c r="AN289" s="26" t="str">
        <f t="shared" si="539"/>
        <v/>
      </c>
      <c r="AO289" s="26" t="str">
        <f t="shared" si="539"/>
        <v/>
      </c>
      <c r="AP289" s="26" t="str">
        <f t="shared" ref="AP289:AR289" si="540">IF(AP279="","",AP288*AP283)</f>
        <v/>
      </c>
      <c r="AQ289" s="26" t="str">
        <f t="shared" si="540"/>
        <v/>
      </c>
      <c r="AR289" s="26" t="str">
        <f t="shared" si="540"/>
        <v/>
      </c>
    </row>
    <row r="290" spans="1:44" s="93" customFormat="1" ht="12" thickBot="1">
      <c r="A290" s="4">
        <f>IF(A289="","",A289/(A286*100))</f>
        <v>0.10067114093959731</v>
      </c>
      <c r="B290" s="27" t="s">
        <v>20</v>
      </c>
      <c r="C290" s="68" t="s">
        <v>21</v>
      </c>
      <c r="D290" s="44" t="str">
        <f t="shared" ref="D290:AO290" si="541">IF(D289="","",IF(D289=0,"",D289/(D286*100)))</f>
        <v/>
      </c>
      <c r="E290" s="44" t="str">
        <f t="shared" si="541"/>
        <v/>
      </c>
      <c r="F290" s="44">
        <f t="shared" si="541"/>
        <v>0.16304347826086957</v>
      </c>
      <c r="G290" s="384" t="str">
        <f t="shared" si="541"/>
        <v/>
      </c>
      <c r="H290" s="44" t="str">
        <f t="shared" si="541"/>
        <v/>
      </c>
      <c r="I290" s="44">
        <f t="shared" si="541"/>
        <v>9.7402597402597407E-2</v>
      </c>
      <c r="J290" s="384" t="str">
        <f t="shared" si="541"/>
        <v/>
      </c>
      <c r="K290" s="44" t="str">
        <f t="shared" si="541"/>
        <v/>
      </c>
      <c r="L290" s="44" t="str">
        <f t="shared" si="541"/>
        <v/>
      </c>
      <c r="M290" s="44" t="str">
        <f t="shared" si="541"/>
        <v/>
      </c>
      <c r="N290" s="44" t="str">
        <f t="shared" si="541"/>
        <v/>
      </c>
      <c r="O290" s="44" t="str">
        <f t="shared" si="541"/>
        <v/>
      </c>
      <c r="P290" s="384" t="str">
        <f t="shared" si="541"/>
        <v/>
      </c>
      <c r="Q290" s="44" t="str">
        <f t="shared" si="541"/>
        <v/>
      </c>
      <c r="R290" s="44" t="str">
        <f t="shared" si="541"/>
        <v/>
      </c>
      <c r="S290" s="44">
        <f t="shared" si="541"/>
        <v>0.46875</v>
      </c>
      <c r="T290" s="44" t="str">
        <f t="shared" si="541"/>
        <v/>
      </c>
      <c r="U290" s="44" t="str">
        <f t="shared" si="541"/>
        <v/>
      </c>
      <c r="V290" s="44" t="str">
        <f>IF(V289="","",IF(V289=0,"",V289/(V286*100)))</f>
        <v/>
      </c>
      <c r="W290" s="44" t="str">
        <f t="shared" si="541"/>
        <v/>
      </c>
      <c r="X290" s="44" t="str">
        <f t="shared" si="541"/>
        <v/>
      </c>
      <c r="Y290" s="44" t="str">
        <f t="shared" si="541"/>
        <v/>
      </c>
      <c r="Z290" s="44" t="str">
        <f t="shared" si="541"/>
        <v/>
      </c>
      <c r="AA290" s="44">
        <f t="shared" si="541"/>
        <v>0.22727272727272727</v>
      </c>
      <c r="AB290" s="44" t="str">
        <f t="shared" si="541"/>
        <v/>
      </c>
      <c r="AC290" s="44" t="str">
        <f t="shared" si="541"/>
        <v/>
      </c>
      <c r="AD290" s="44" t="str">
        <f t="shared" si="541"/>
        <v/>
      </c>
      <c r="AE290" s="44" t="str">
        <f t="shared" si="541"/>
        <v/>
      </c>
      <c r="AF290" s="44" t="str">
        <f t="shared" si="541"/>
        <v/>
      </c>
      <c r="AG290" s="44" t="str">
        <f t="shared" si="541"/>
        <v/>
      </c>
      <c r="AH290" s="44" t="str">
        <f t="shared" si="541"/>
        <v/>
      </c>
      <c r="AI290" s="44" t="str">
        <f t="shared" si="541"/>
        <v/>
      </c>
      <c r="AJ290" s="44" t="str">
        <f t="shared" si="541"/>
        <v/>
      </c>
      <c r="AK290" s="44" t="str">
        <f t="shared" si="541"/>
        <v/>
      </c>
      <c r="AL290" s="44" t="str">
        <f t="shared" si="541"/>
        <v/>
      </c>
      <c r="AM290" s="44" t="str">
        <f t="shared" si="541"/>
        <v/>
      </c>
      <c r="AN290" s="44" t="str">
        <f t="shared" si="541"/>
        <v/>
      </c>
      <c r="AO290" s="44" t="str">
        <f t="shared" si="541"/>
        <v/>
      </c>
      <c r="AP290" s="44" t="str">
        <f t="shared" ref="AP290:AR290" si="542">IF(AP289="","",IF(AP289=0,"",AP289/(AP286*100)))</f>
        <v/>
      </c>
      <c r="AQ290" s="44" t="str">
        <f t="shared" si="542"/>
        <v/>
      </c>
      <c r="AR290" s="44" t="str">
        <f t="shared" si="542"/>
        <v/>
      </c>
    </row>
    <row r="291" spans="1:44" s="93" customFormat="1">
      <c r="A291" s="43" t="str">
        <f>A279</f>
        <v>南熊本</v>
      </c>
      <c r="B291" s="42" t="s">
        <v>2</v>
      </c>
      <c r="C291" s="64">
        <v>1432</v>
      </c>
      <c r="D291" s="35">
        <f>IF(D$279="","",C291)</f>
        <v>1432</v>
      </c>
      <c r="E291" s="35">
        <f>IF(E$279="","",D291)</f>
        <v>1432</v>
      </c>
      <c r="F291" s="35">
        <v>1453</v>
      </c>
      <c r="G291" s="383">
        <f>IF(G$279="","",F291)</f>
        <v>1453</v>
      </c>
      <c r="H291" s="35">
        <f>IF(H$279="","",G291)</f>
        <v>1453</v>
      </c>
      <c r="I291" s="35">
        <v>1461</v>
      </c>
      <c r="J291" s="383">
        <f t="shared" ref="J291:N292" si="543">IF(J$279="","",I291)</f>
        <v>1461</v>
      </c>
      <c r="K291" s="35">
        <f t="shared" si="543"/>
        <v>1461</v>
      </c>
      <c r="L291" s="35">
        <f t="shared" si="543"/>
        <v>1461</v>
      </c>
      <c r="M291" s="35">
        <f t="shared" si="543"/>
        <v>1461</v>
      </c>
      <c r="N291" s="35">
        <f t="shared" si="543"/>
        <v>1461</v>
      </c>
      <c r="O291" s="35">
        <v>1493</v>
      </c>
      <c r="P291" s="383">
        <f t="shared" ref="P291:AO291" si="544">IF(P$279="","",O291)</f>
        <v>1493</v>
      </c>
      <c r="Q291" s="35">
        <f t="shared" si="544"/>
        <v>1493</v>
      </c>
      <c r="R291" s="35">
        <f t="shared" si="544"/>
        <v>1493</v>
      </c>
      <c r="S291" s="35">
        <v>1505</v>
      </c>
      <c r="T291" s="35">
        <f t="shared" si="544"/>
        <v>1505</v>
      </c>
      <c r="U291" s="35">
        <f t="shared" si="544"/>
        <v>1505</v>
      </c>
      <c r="V291" s="35">
        <v>1521</v>
      </c>
      <c r="W291" s="35">
        <f t="shared" si="544"/>
        <v>1521</v>
      </c>
      <c r="X291" s="35">
        <f t="shared" si="544"/>
        <v>1521</v>
      </c>
      <c r="Y291" s="35">
        <f t="shared" si="544"/>
        <v>1521</v>
      </c>
      <c r="Z291" s="35">
        <f t="shared" si="544"/>
        <v>1521</v>
      </c>
      <c r="AA291" s="35">
        <v>1553</v>
      </c>
      <c r="AB291" s="35">
        <f t="shared" si="544"/>
        <v>1553</v>
      </c>
      <c r="AC291" s="35">
        <f t="shared" si="544"/>
        <v>1553</v>
      </c>
      <c r="AD291" s="35">
        <v>1601</v>
      </c>
      <c r="AE291" s="35" t="str">
        <f t="shared" si="544"/>
        <v/>
      </c>
      <c r="AF291" s="35" t="str">
        <f t="shared" si="544"/>
        <v/>
      </c>
      <c r="AG291" s="35" t="str">
        <f t="shared" si="544"/>
        <v/>
      </c>
      <c r="AH291" s="35" t="str">
        <f t="shared" si="544"/>
        <v/>
      </c>
      <c r="AI291" s="35" t="str">
        <f t="shared" si="544"/>
        <v/>
      </c>
      <c r="AJ291" s="35" t="str">
        <f t="shared" si="544"/>
        <v/>
      </c>
      <c r="AK291" s="35" t="str">
        <f t="shared" si="544"/>
        <v/>
      </c>
      <c r="AL291" s="35" t="str">
        <f t="shared" si="544"/>
        <v/>
      </c>
      <c r="AM291" s="35" t="str">
        <f t="shared" si="544"/>
        <v/>
      </c>
      <c r="AN291" s="35" t="str">
        <f t="shared" si="544"/>
        <v/>
      </c>
      <c r="AO291" s="35" t="str">
        <f t="shared" si="544"/>
        <v/>
      </c>
      <c r="AP291" s="35" t="str">
        <f t="shared" ref="AP291:AR291" si="545">IF(AP$279="","",AO291)</f>
        <v/>
      </c>
      <c r="AQ291" s="35" t="str">
        <f t="shared" si="545"/>
        <v/>
      </c>
      <c r="AR291" s="35" t="str">
        <f t="shared" si="545"/>
        <v/>
      </c>
    </row>
    <row r="292" spans="1:44" s="93" customFormat="1">
      <c r="A292" s="37" t="str">
        <f>A280</f>
        <v>BUZZ＃1</v>
      </c>
      <c r="B292" s="30" t="s">
        <v>4</v>
      </c>
      <c r="C292" s="65">
        <v>26</v>
      </c>
      <c r="D292" s="29">
        <f>IF(D$279="","",C292)</f>
        <v>26</v>
      </c>
      <c r="E292" s="29">
        <f>IF(E$279="","",D292)</f>
        <v>26</v>
      </c>
      <c r="F292" s="29">
        <v>27</v>
      </c>
      <c r="G292" s="122">
        <f>IF(G$279="","",F292)</f>
        <v>27</v>
      </c>
      <c r="H292" s="29">
        <f>IF(H$279="","",G292)</f>
        <v>27</v>
      </c>
      <c r="I292" s="29">
        <v>28</v>
      </c>
      <c r="J292" s="122">
        <f t="shared" si="543"/>
        <v>28</v>
      </c>
      <c r="K292" s="29">
        <f t="shared" si="543"/>
        <v>28</v>
      </c>
      <c r="L292" s="29">
        <f t="shared" si="543"/>
        <v>28</v>
      </c>
      <c r="M292" s="29">
        <f t="shared" si="543"/>
        <v>28</v>
      </c>
      <c r="N292" s="29">
        <f t="shared" si="543"/>
        <v>28</v>
      </c>
      <c r="O292" s="29">
        <f>IF(O$279="","",N292)</f>
        <v>28</v>
      </c>
      <c r="P292" s="122">
        <f t="shared" ref="P292:AO292" si="546">IF(P$279="","",O292)</f>
        <v>28</v>
      </c>
      <c r="Q292" s="29">
        <f t="shared" si="546"/>
        <v>28</v>
      </c>
      <c r="R292" s="29">
        <f t="shared" si="546"/>
        <v>28</v>
      </c>
      <c r="S292" s="29">
        <f t="shared" si="546"/>
        <v>28</v>
      </c>
      <c r="T292" s="29">
        <f t="shared" si="546"/>
        <v>28</v>
      </c>
      <c r="U292" s="29">
        <f t="shared" si="546"/>
        <v>28</v>
      </c>
      <c r="V292" s="29">
        <v>28</v>
      </c>
      <c r="W292" s="29">
        <f t="shared" si="546"/>
        <v>28</v>
      </c>
      <c r="X292" s="29">
        <f t="shared" si="546"/>
        <v>28</v>
      </c>
      <c r="Y292" s="29">
        <f t="shared" si="546"/>
        <v>28</v>
      </c>
      <c r="Z292" s="29">
        <f t="shared" si="546"/>
        <v>28</v>
      </c>
      <c r="AA292" s="29">
        <v>29</v>
      </c>
      <c r="AB292" s="29">
        <f t="shared" si="546"/>
        <v>29</v>
      </c>
      <c r="AC292" s="29">
        <f t="shared" si="546"/>
        <v>29</v>
      </c>
      <c r="AD292" s="29">
        <f t="shared" si="546"/>
        <v>29</v>
      </c>
      <c r="AE292" s="29" t="str">
        <f t="shared" si="546"/>
        <v/>
      </c>
      <c r="AF292" s="29" t="str">
        <f t="shared" si="546"/>
        <v/>
      </c>
      <c r="AG292" s="29" t="str">
        <f t="shared" si="546"/>
        <v/>
      </c>
      <c r="AH292" s="29" t="str">
        <f t="shared" si="546"/>
        <v/>
      </c>
      <c r="AI292" s="29" t="str">
        <f t="shared" si="546"/>
        <v/>
      </c>
      <c r="AJ292" s="29" t="str">
        <f t="shared" si="546"/>
        <v/>
      </c>
      <c r="AK292" s="29" t="str">
        <f t="shared" si="546"/>
        <v/>
      </c>
      <c r="AL292" s="29" t="str">
        <f t="shared" si="546"/>
        <v/>
      </c>
      <c r="AM292" s="29" t="str">
        <f t="shared" si="546"/>
        <v/>
      </c>
      <c r="AN292" s="29" t="str">
        <f t="shared" si="546"/>
        <v/>
      </c>
      <c r="AO292" s="29" t="str">
        <f t="shared" si="546"/>
        <v/>
      </c>
      <c r="AP292" s="29" t="str">
        <f t="shared" ref="AP292:AR292" si="547">IF(AP$279="","",AO292)</f>
        <v/>
      </c>
      <c r="AQ292" s="29" t="str">
        <f t="shared" si="547"/>
        <v/>
      </c>
      <c r="AR292" s="29" t="str">
        <f t="shared" si="547"/>
        <v/>
      </c>
    </row>
    <row r="293" spans="1:44" s="93" customFormat="1">
      <c r="A293" s="41">
        <v>2</v>
      </c>
      <c r="B293" s="30" t="s">
        <v>5</v>
      </c>
      <c r="C293" s="65">
        <v>2</v>
      </c>
      <c r="D293" s="29">
        <f>IF(D291="","",(C293+C294))</f>
        <v>2</v>
      </c>
      <c r="E293" s="29">
        <f>IF(E291="","",(D293+D294))</f>
        <v>2</v>
      </c>
      <c r="F293" s="29">
        <v>1</v>
      </c>
      <c r="G293" s="122">
        <f>IF(G291="","",(F293+F294))</f>
        <v>5</v>
      </c>
      <c r="H293" s="29">
        <f>IF(H291="","",(G293+G294))</f>
        <v>5</v>
      </c>
      <c r="I293" s="29">
        <v>4</v>
      </c>
      <c r="J293" s="122">
        <f t="shared" ref="J293:AO293" si="548">IF(J291="","",(I293+I294))</f>
        <v>4</v>
      </c>
      <c r="K293" s="29">
        <f t="shared" si="548"/>
        <v>4</v>
      </c>
      <c r="L293" s="29">
        <f t="shared" si="548"/>
        <v>4</v>
      </c>
      <c r="M293" s="29">
        <f t="shared" si="548"/>
        <v>4</v>
      </c>
      <c r="N293" s="29">
        <f t="shared" si="548"/>
        <v>4</v>
      </c>
      <c r="O293" s="29">
        <f t="shared" si="548"/>
        <v>4</v>
      </c>
      <c r="P293" s="122">
        <f t="shared" si="548"/>
        <v>4</v>
      </c>
      <c r="Q293" s="29">
        <f t="shared" si="548"/>
        <v>4</v>
      </c>
      <c r="R293" s="29">
        <f t="shared" si="548"/>
        <v>4</v>
      </c>
      <c r="S293" s="29">
        <f t="shared" si="548"/>
        <v>4</v>
      </c>
      <c r="T293" s="29">
        <f t="shared" si="548"/>
        <v>4</v>
      </c>
      <c r="U293" s="29">
        <f t="shared" si="548"/>
        <v>4</v>
      </c>
      <c r="V293" s="29">
        <v>3</v>
      </c>
      <c r="W293" s="29">
        <f t="shared" si="548"/>
        <v>4</v>
      </c>
      <c r="X293" s="29">
        <f t="shared" si="548"/>
        <v>4</v>
      </c>
      <c r="Y293" s="29">
        <f t="shared" si="548"/>
        <v>4</v>
      </c>
      <c r="Z293" s="29">
        <f t="shared" si="548"/>
        <v>4</v>
      </c>
      <c r="AA293" s="29">
        <v>3</v>
      </c>
      <c r="AB293" s="29">
        <f t="shared" si="548"/>
        <v>4</v>
      </c>
      <c r="AC293" s="29">
        <f t="shared" si="548"/>
        <v>4</v>
      </c>
      <c r="AD293" s="29">
        <f t="shared" si="548"/>
        <v>4</v>
      </c>
      <c r="AE293" s="29" t="str">
        <f t="shared" si="548"/>
        <v/>
      </c>
      <c r="AF293" s="29" t="str">
        <f t="shared" si="548"/>
        <v/>
      </c>
      <c r="AG293" s="29" t="str">
        <f t="shared" si="548"/>
        <v/>
      </c>
      <c r="AH293" s="29" t="str">
        <f t="shared" si="548"/>
        <v/>
      </c>
      <c r="AI293" s="29" t="str">
        <f t="shared" si="548"/>
        <v/>
      </c>
      <c r="AJ293" s="29" t="str">
        <f t="shared" si="548"/>
        <v/>
      </c>
      <c r="AK293" s="29" t="str">
        <f t="shared" si="548"/>
        <v/>
      </c>
      <c r="AL293" s="29" t="str">
        <f t="shared" si="548"/>
        <v/>
      </c>
      <c r="AM293" s="29" t="str">
        <f t="shared" si="548"/>
        <v/>
      </c>
      <c r="AN293" s="29" t="str">
        <f t="shared" si="548"/>
        <v/>
      </c>
      <c r="AO293" s="29" t="str">
        <f t="shared" si="548"/>
        <v/>
      </c>
      <c r="AP293" s="29" t="str">
        <f t="shared" ref="AP293:AR293" si="549">IF(AP291="","",(AO293+AO294))</f>
        <v/>
      </c>
      <c r="AQ293" s="29" t="str">
        <f t="shared" si="549"/>
        <v/>
      </c>
      <c r="AR293" s="29" t="str">
        <f t="shared" si="549"/>
        <v/>
      </c>
    </row>
    <row r="294" spans="1:44" s="93" customFormat="1">
      <c r="A294" s="14"/>
      <c r="B294" s="30" t="s">
        <v>7</v>
      </c>
      <c r="C294" s="65"/>
      <c r="D294" s="29"/>
      <c r="E294" s="29"/>
      <c r="F294" s="29">
        <v>4</v>
      </c>
      <c r="G294" s="122"/>
      <c r="H294" s="29"/>
      <c r="I294" s="29"/>
      <c r="J294" s="122"/>
      <c r="K294" s="29"/>
      <c r="L294" s="29"/>
      <c r="M294" s="29"/>
      <c r="N294" s="29"/>
      <c r="O294" s="29"/>
      <c r="P294" s="122"/>
      <c r="Q294" s="29"/>
      <c r="R294" s="29"/>
      <c r="S294" s="29"/>
      <c r="T294" s="29"/>
      <c r="U294" s="29"/>
      <c r="V294" s="29">
        <v>1</v>
      </c>
      <c r="W294" s="29"/>
      <c r="X294" s="29"/>
      <c r="Y294" s="29"/>
      <c r="Z294" s="29"/>
      <c r="AA294" s="29">
        <v>1</v>
      </c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</row>
    <row r="295" spans="1:44" s="93" customFormat="1">
      <c r="A295" s="7"/>
      <c r="B295" s="30" t="s">
        <v>8</v>
      </c>
      <c r="C295" s="64">
        <v>750</v>
      </c>
      <c r="D295" s="35">
        <f t="shared" ref="D295:AO295" si="550">IF(D291="","",C295)</f>
        <v>750</v>
      </c>
      <c r="E295" s="35">
        <f t="shared" si="550"/>
        <v>750</v>
      </c>
      <c r="F295" s="35">
        <f t="shared" si="550"/>
        <v>750</v>
      </c>
      <c r="G295" s="383">
        <f t="shared" si="550"/>
        <v>750</v>
      </c>
      <c r="H295" s="35">
        <f t="shared" si="550"/>
        <v>750</v>
      </c>
      <c r="I295" s="35">
        <f t="shared" si="550"/>
        <v>750</v>
      </c>
      <c r="J295" s="383">
        <f t="shared" si="550"/>
        <v>750</v>
      </c>
      <c r="K295" s="35">
        <f t="shared" si="550"/>
        <v>750</v>
      </c>
      <c r="L295" s="35">
        <f t="shared" si="550"/>
        <v>750</v>
      </c>
      <c r="M295" s="35">
        <f t="shared" si="550"/>
        <v>750</v>
      </c>
      <c r="N295" s="35">
        <f t="shared" si="550"/>
        <v>750</v>
      </c>
      <c r="O295" s="35">
        <f t="shared" si="550"/>
        <v>750</v>
      </c>
      <c r="P295" s="383">
        <f t="shared" si="550"/>
        <v>750</v>
      </c>
      <c r="Q295" s="35">
        <f t="shared" si="550"/>
        <v>750</v>
      </c>
      <c r="R295" s="35">
        <f t="shared" si="550"/>
        <v>750</v>
      </c>
      <c r="S295" s="35">
        <f t="shared" si="550"/>
        <v>750</v>
      </c>
      <c r="T295" s="35">
        <f t="shared" si="550"/>
        <v>750</v>
      </c>
      <c r="U295" s="35">
        <f t="shared" si="550"/>
        <v>750</v>
      </c>
      <c r="V295" s="35">
        <f>IF(V291="","",U295)</f>
        <v>750</v>
      </c>
      <c r="W295" s="35">
        <v>900</v>
      </c>
      <c r="X295" s="35">
        <f t="shared" si="550"/>
        <v>900</v>
      </c>
      <c r="Y295" s="35">
        <f t="shared" si="550"/>
        <v>900</v>
      </c>
      <c r="Z295" s="35">
        <f t="shared" si="550"/>
        <v>900</v>
      </c>
      <c r="AA295" s="35">
        <f t="shared" si="550"/>
        <v>900</v>
      </c>
      <c r="AB295" s="35">
        <f t="shared" si="550"/>
        <v>900</v>
      </c>
      <c r="AC295" s="35">
        <f t="shared" si="550"/>
        <v>900</v>
      </c>
      <c r="AD295" s="35">
        <f t="shared" si="550"/>
        <v>900</v>
      </c>
      <c r="AE295" s="35" t="str">
        <f t="shared" si="550"/>
        <v/>
      </c>
      <c r="AF295" s="35" t="str">
        <f t="shared" si="550"/>
        <v/>
      </c>
      <c r="AG295" s="35" t="str">
        <f t="shared" si="550"/>
        <v/>
      </c>
      <c r="AH295" s="35" t="str">
        <f t="shared" si="550"/>
        <v/>
      </c>
      <c r="AI295" s="35" t="str">
        <f t="shared" si="550"/>
        <v/>
      </c>
      <c r="AJ295" s="35" t="str">
        <f t="shared" si="550"/>
        <v/>
      </c>
      <c r="AK295" s="35" t="str">
        <f t="shared" si="550"/>
        <v/>
      </c>
      <c r="AL295" s="35" t="str">
        <f t="shared" si="550"/>
        <v/>
      </c>
      <c r="AM295" s="35" t="str">
        <f t="shared" si="550"/>
        <v/>
      </c>
      <c r="AN295" s="35" t="str">
        <f t="shared" si="550"/>
        <v/>
      </c>
      <c r="AO295" s="35" t="str">
        <f t="shared" si="550"/>
        <v/>
      </c>
      <c r="AP295" s="35" t="str">
        <f t="shared" ref="AP295:AR295" si="551">IF(AP291="","",AO295)</f>
        <v/>
      </c>
      <c r="AQ295" s="35" t="str">
        <f t="shared" si="551"/>
        <v/>
      </c>
      <c r="AR295" s="35" t="str">
        <f t="shared" si="551"/>
        <v/>
      </c>
    </row>
    <row r="296" spans="1:44" s="94" customFormat="1">
      <c r="A296" s="14" t="s">
        <v>9</v>
      </c>
      <c r="B296" s="33" t="s">
        <v>10</v>
      </c>
      <c r="C296" s="63" t="s">
        <v>212</v>
      </c>
      <c r="D296" s="32" t="str">
        <f t="shared" ref="D296:AO296" si="552">IF(D291="","",C296)</f>
        <v>サンリオっキーケース</v>
      </c>
      <c r="E296" s="32" t="str">
        <f t="shared" si="552"/>
        <v>サンリオっキーケース</v>
      </c>
      <c r="F296" s="32" t="str">
        <f t="shared" si="552"/>
        <v>サンリオっキーケース</v>
      </c>
      <c r="G296" s="123" t="str">
        <f t="shared" si="552"/>
        <v>サンリオっキーケース</v>
      </c>
      <c r="H296" s="32" t="str">
        <f t="shared" si="552"/>
        <v>サンリオっキーケース</v>
      </c>
      <c r="I296" s="32" t="str">
        <f t="shared" si="552"/>
        <v>サンリオっキーケース</v>
      </c>
      <c r="J296" s="123" t="str">
        <f t="shared" si="552"/>
        <v>サンリオっキーケース</v>
      </c>
      <c r="K296" s="32" t="str">
        <f t="shared" si="552"/>
        <v>サンリオっキーケース</v>
      </c>
      <c r="L296" s="32" t="str">
        <f t="shared" si="552"/>
        <v>サンリオっキーケース</v>
      </c>
      <c r="M296" s="32" t="str">
        <f t="shared" si="552"/>
        <v>サンリオっキーケース</v>
      </c>
      <c r="N296" s="32" t="str">
        <f t="shared" si="552"/>
        <v>サンリオっキーケース</v>
      </c>
      <c r="O296" s="32" t="str">
        <f t="shared" si="552"/>
        <v>サンリオっキーケース</v>
      </c>
      <c r="P296" s="123" t="str">
        <f t="shared" si="552"/>
        <v>サンリオっキーケース</v>
      </c>
      <c r="Q296" s="32" t="str">
        <f t="shared" si="552"/>
        <v>サンリオっキーケース</v>
      </c>
      <c r="R296" s="32" t="str">
        <f t="shared" si="552"/>
        <v>サンリオっキーケース</v>
      </c>
      <c r="S296" s="32" t="str">
        <f t="shared" si="552"/>
        <v>サンリオっキーケース</v>
      </c>
      <c r="T296" s="32" t="str">
        <f t="shared" si="552"/>
        <v>サンリオっキーケース</v>
      </c>
      <c r="U296" s="32" t="str">
        <f t="shared" si="552"/>
        <v>サンリオっキーケース</v>
      </c>
      <c r="V296" s="32" t="str">
        <f>IF(V291="","",U296)</f>
        <v>サンリオっキーケース</v>
      </c>
      <c r="W296" s="32" t="s">
        <v>88</v>
      </c>
      <c r="X296" s="32" t="str">
        <f t="shared" si="552"/>
        <v>ギャルキティMC</v>
      </c>
      <c r="Y296" s="32" t="str">
        <f t="shared" si="552"/>
        <v>ギャルキティMC</v>
      </c>
      <c r="Z296" s="32" t="str">
        <f t="shared" si="552"/>
        <v>ギャルキティMC</v>
      </c>
      <c r="AA296" s="32" t="str">
        <f t="shared" si="552"/>
        <v>ギャルキティMC</v>
      </c>
      <c r="AB296" s="32" t="str">
        <f t="shared" si="552"/>
        <v>ギャルキティMC</v>
      </c>
      <c r="AC296" s="32" t="str">
        <f t="shared" si="552"/>
        <v>ギャルキティMC</v>
      </c>
      <c r="AD296" s="32" t="str">
        <f t="shared" si="552"/>
        <v>ギャルキティMC</v>
      </c>
      <c r="AE296" s="32" t="str">
        <f t="shared" si="552"/>
        <v/>
      </c>
      <c r="AF296" s="32" t="str">
        <f t="shared" si="552"/>
        <v/>
      </c>
      <c r="AG296" s="32" t="str">
        <f t="shared" si="552"/>
        <v/>
      </c>
      <c r="AH296" s="32" t="str">
        <f t="shared" si="552"/>
        <v/>
      </c>
      <c r="AI296" s="32" t="str">
        <f t="shared" si="552"/>
        <v/>
      </c>
      <c r="AJ296" s="32" t="str">
        <f t="shared" si="552"/>
        <v/>
      </c>
      <c r="AK296" s="32" t="str">
        <f t="shared" si="552"/>
        <v/>
      </c>
      <c r="AL296" s="32" t="str">
        <f t="shared" si="552"/>
        <v/>
      </c>
      <c r="AM296" s="32" t="str">
        <f t="shared" si="552"/>
        <v/>
      </c>
      <c r="AN296" s="32" t="str">
        <f t="shared" si="552"/>
        <v/>
      </c>
      <c r="AO296" s="32" t="str">
        <f t="shared" si="552"/>
        <v/>
      </c>
      <c r="AP296" s="32" t="str">
        <f t="shared" ref="AP296:AR296" si="553">IF(AP291="","",AO296)</f>
        <v/>
      </c>
      <c r="AQ296" s="32" t="str">
        <f t="shared" si="553"/>
        <v/>
      </c>
      <c r="AR296" s="32" t="str">
        <f t="shared" si="553"/>
        <v/>
      </c>
    </row>
    <row r="297" spans="1:44" s="93" customFormat="1">
      <c r="A297" s="7">
        <f>AVERAGE(C298:AS298)*30*100</f>
        <v>18107.142857142855</v>
      </c>
      <c r="B297" s="30" t="s">
        <v>14</v>
      </c>
      <c r="C297" s="65"/>
      <c r="D297" s="29"/>
      <c r="E297" s="29"/>
      <c r="F297" s="29"/>
      <c r="G297" s="122"/>
      <c r="H297" s="29"/>
      <c r="I297" s="29"/>
      <c r="J297" s="122"/>
      <c r="K297" s="29"/>
      <c r="L297" s="29"/>
      <c r="M297" s="29"/>
      <c r="N297" s="29"/>
      <c r="O297" s="29"/>
      <c r="P297" s="122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</row>
    <row r="298" spans="1:44" s="93" customFormat="1">
      <c r="A298" s="7">
        <f>SUM(C298:AS298)</f>
        <v>169</v>
      </c>
      <c r="B298" s="27" t="s">
        <v>15</v>
      </c>
      <c r="C298" s="65">
        <v>0</v>
      </c>
      <c r="D298" s="26">
        <f t="shared" ref="D298:AO298" si="554">IF(D291="","",D291-C291)</f>
        <v>0</v>
      </c>
      <c r="E298" s="26">
        <f t="shared" si="554"/>
        <v>0</v>
      </c>
      <c r="F298" s="26">
        <f t="shared" si="554"/>
        <v>21</v>
      </c>
      <c r="G298" s="122">
        <f t="shared" si="554"/>
        <v>0</v>
      </c>
      <c r="H298" s="26">
        <f t="shared" si="554"/>
        <v>0</v>
      </c>
      <c r="I298" s="26">
        <f t="shared" si="554"/>
        <v>8</v>
      </c>
      <c r="J298" s="122">
        <f t="shared" si="554"/>
        <v>0</v>
      </c>
      <c r="K298" s="26">
        <f t="shared" si="554"/>
        <v>0</v>
      </c>
      <c r="L298" s="26">
        <f t="shared" si="554"/>
        <v>0</v>
      </c>
      <c r="M298" s="26">
        <f t="shared" si="554"/>
        <v>0</v>
      </c>
      <c r="N298" s="26">
        <f t="shared" si="554"/>
        <v>0</v>
      </c>
      <c r="O298" s="26">
        <f t="shared" si="554"/>
        <v>32</v>
      </c>
      <c r="P298" s="122">
        <f t="shared" si="554"/>
        <v>0</v>
      </c>
      <c r="Q298" s="26">
        <f t="shared" si="554"/>
        <v>0</v>
      </c>
      <c r="R298" s="26">
        <f t="shared" si="554"/>
        <v>0</v>
      </c>
      <c r="S298" s="26">
        <f t="shared" si="554"/>
        <v>12</v>
      </c>
      <c r="T298" s="26">
        <f t="shared" si="554"/>
        <v>0</v>
      </c>
      <c r="U298" s="26">
        <f t="shared" si="554"/>
        <v>0</v>
      </c>
      <c r="V298" s="26">
        <f>IF(V291="","",V291-U291)</f>
        <v>16</v>
      </c>
      <c r="W298" s="26">
        <f t="shared" si="554"/>
        <v>0</v>
      </c>
      <c r="X298" s="26">
        <f t="shared" si="554"/>
        <v>0</v>
      </c>
      <c r="Y298" s="26">
        <f t="shared" si="554"/>
        <v>0</v>
      </c>
      <c r="Z298" s="26">
        <f t="shared" si="554"/>
        <v>0</v>
      </c>
      <c r="AA298" s="26">
        <f t="shared" si="554"/>
        <v>32</v>
      </c>
      <c r="AB298" s="26">
        <f t="shared" si="554"/>
        <v>0</v>
      </c>
      <c r="AC298" s="26">
        <f t="shared" si="554"/>
        <v>0</v>
      </c>
      <c r="AD298" s="26">
        <f t="shared" si="554"/>
        <v>48</v>
      </c>
      <c r="AE298" s="26" t="str">
        <f t="shared" si="554"/>
        <v/>
      </c>
      <c r="AF298" s="26" t="str">
        <f t="shared" si="554"/>
        <v/>
      </c>
      <c r="AG298" s="26" t="str">
        <f t="shared" si="554"/>
        <v/>
      </c>
      <c r="AH298" s="26" t="str">
        <f t="shared" si="554"/>
        <v/>
      </c>
      <c r="AI298" s="26" t="str">
        <f t="shared" si="554"/>
        <v/>
      </c>
      <c r="AJ298" s="26" t="str">
        <f t="shared" si="554"/>
        <v/>
      </c>
      <c r="AK298" s="26" t="str">
        <f t="shared" si="554"/>
        <v/>
      </c>
      <c r="AL298" s="26" t="str">
        <f t="shared" si="554"/>
        <v/>
      </c>
      <c r="AM298" s="26" t="str">
        <f t="shared" si="554"/>
        <v/>
      </c>
      <c r="AN298" s="26" t="str">
        <f t="shared" si="554"/>
        <v/>
      </c>
      <c r="AO298" s="26" t="str">
        <f t="shared" si="554"/>
        <v/>
      </c>
      <c r="AP298" s="26" t="str">
        <f t="shared" ref="AP298:AR298" si="555">IF(AP291="","",AP291-AO291)</f>
        <v/>
      </c>
      <c r="AQ298" s="26" t="str">
        <f t="shared" si="555"/>
        <v/>
      </c>
      <c r="AR298" s="26" t="str">
        <f t="shared" si="555"/>
        <v/>
      </c>
    </row>
    <row r="299" spans="1:44" s="93" customFormat="1">
      <c r="A299" s="7">
        <f>SUM(C299:AS299)</f>
        <v>3</v>
      </c>
      <c r="B299" s="27" t="s">
        <v>16</v>
      </c>
      <c r="C299" s="65">
        <v>0</v>
      </c>
      <c r="D299" s="26">
        <f t="shared" ref="D299:AO299" si="556">IF(D292="","",D292-C292)</f>
        <v>0</v>
      </c>
      <c r="E299" s="26">
        <f t="shared" si="556"/>
        <v>0</v>
      </c>
      <c r="F299" s="26">
        <f t="shared" si="556"/>
        <v>1</v>
      </c>
      <c r="G299" s="122">
        <f t="shared" si="556"/>
        <v>0</v>
      </c>
      <c r="H299" s="26">
        <f t="shared" si="556"/>
        <v>0</v>
      </c>
      <c r="I299" s="26">
        <f t="shared" si="556"/>
        <v>1</v>
      </c>
      <c r="J299" s="122">
        <f t="shared" si="556"/>
        <v>0</v>
      </c>
      <c r="K299" s="26">
        <f t="shared" si="556"/>
        <v>0</v>
      </c>
      <c r="L299" s="26">
        <f t="shared" si="556"/>
        <v>0</v>
      </c>
      <c r="M299" s="26">
        <f t="shared" si="556"/>
        <v>0</v>
      </c>
      <c r="N299" s="26">
        <f t="shared" si="556"/>
        <v>0</v>
      </c>
      <c r="O299" s="26">
        <f t="shared" si="556"/>
        <v>0</v>
      </c>
      <c r="P299" s="122">
        <f t="shared" si="556"/>
        <v>0</v>
      </c>
      <c r="Q299" s="26">
        <f t="shared" si="556"/>
        <v>0</v>
      </c>
      <c r="R299" s="26">
        <f t="shared" si="556"/>
        <v>0</v>
      </c>
      <c r="S299" s="26">
        <f t="shared" si="556"/>
        <v>0</v>
      </c>
      <c r="T299" s="26">
        <f t="shared" si="556"/>
        <v>0</v>
      </c>
      <c r="U299" s="26">
        <f t="shared" si="556"/>
        <v>0</v>
      </c>
      <c r="V299" s="26">
        <f>IF(V292="","",V292-U292)</f>
        <v>0</v>
      </c>
      <c r="W299" s="26">
        <f t="shared" si="556"/>
        <v>0</v>
      </c>
      <c r="X299" s="26">
        <f t="shared" si="556"/>
        <v>0</v>
      </c>
      <c r="Y299" s="26">
        <f t="shared" si="556"/>
        <v>0</v>
      </c>
      <c r="Z299" s="26">
        <f t="shared" si="556"/>
        <v>0</v>
      </c>
      <c r="AA299" s="26">
        <f t="shared" si="556"/>
        <v>1</v>
      </c>
      <c r="AB299" s="26">
        <f t="shared" si="556"/>
        <v>0</v>
      </c>
      <c r="AC299" s="26">
        <f t="shared" si="556"/>
        <v>0</v>
      </c>
      <c r="AD299" s="26">
        <f t="shared" si="556"/>
        <v>0</v>
      </c>
      <c r="AE299" s="26" t="str">
        <f t="shared" si="556"/>
        <v/>
      </c>
      <c r="AF299" s="26" t="str">
        <f t="shared" si="556"/>
        <v/>
      </c>
      <c r="AG299" s="26" t="str">
        <f t="shared" si="556"/>
        <v/>
      </c>
      <c r="AH299" s="26" t="str">
        <f t="shared" si="556"/>
        <v/>
      </c>
      <c r="AI299" s="26" t="str">
        <f t="shared" si="556"/>
        <v/>
      </c>
      <c r="AJ299" s="26" t="str">
        <f t="shared" si="556"/>
        <v/>
      </c>
      <c r="AK299" s="26" t="str">
        <f t="shared" si="556"/>
        <v/>
      </c>
      <c r="AL299" s="26" t="str">
        <f t="shared" si="556"/>
        <v/>
      </c>
      <c r="AM299" s="26" t="str">
        <f t="shared" si="556"/>
        <v/>
      </c>
      <c r="AN299" s="26" t="str">
        <f t="shared" si="556"/>
        <v/>
      </c>
      <c r="AO299" s="26" t="str">
        <f t="shared" si="556"/>
        <v/>
      </c>
      <c r="AP299" s="26" t="str">
        <f t="shared" ref="AP299:AR299" si="557">IF(AP292="","",AP292-AO292)</f>
        <v/>
      </c>
      <c r="AQ299" s="26" t="str">
        <f t="shared" si="557"/>
        <v/>
      </c>
      <c r="AR299" s="26" t="str">
        <f t="shared" si="557"/>
        <v/>
      </c>
    </row>
    <row r="300" spans="1:44" s="93" customFormat="1">
      <c r="A300" s="7">
        <f>SUM(C300:AS300)</f>
        <v>4</v>
      </c>
      <c r="B300" s="27" t="s">
        <v>17</v>
      </c>
      <c r="C300" s="65">
        <v>0</v>
      </c>
      <c r="D300" s="26">
        <f t="shared" ref="D300:AO300" si="558">IF(D293="","",C293+C294-D293)</f>
        <v>0</v>
      </c>
      <c r="E300" s="26">
        <f t="shared" si="558"/>
        <v>0</v>
      </c>
      <c r="F300" s="26">
        <f t="shared" si="558"/>
        <v>1</v>
      </c>
      <c r="G300" s="122">
        <f t="shared" si="558"/>
        <v>0</v>
      </c>
      <c r="H300" s="26">
        <f t="shared" si="558"/>
        <v>0</v>
      </c>
      <c r="I300" s="26">
        <f t="shared" si="558"/>
        <v>1</v>
      </c>
      <c r="J300" s="122">
        <f t="shared" si="558"/>
        <v>0</v>
      </c>
      <c r="K300" s="26">
        <f t="shared" si="558"/>
        <v>0</v>
      </c>
      <c r="L300" s="26">
        <f t="shared" si="558"/>
        <v>0</v>
      </c>
      <c r="M300" s="26">
        <f t="shared" si="558"/>
        <v>0</v>
      </c>
      <c r="N300" s="26">
        <f t="shared" si="558"/>
        <v>0</v>
      </c>
      <c r="O300" s="26">
        <f t="shared" si="558"/>
        <v>0</v>
      </c>
      <c r="P300" s="122">
        <f t="shared" si="558"/>
        <v>0</v>
      </c>
      <c r="Q300" s="26">
        <f t="shared" si="558"/>
        <v>0</v>
      </c>
      <c r="R300" s="26">
        <f t="shared" si="558"/>
        <v>0</v>
      </c>
      <c r="S300" s="26">
        <f t="shared" si="558"/>
        <v>0</v>
      </c>
      <c r="T300" s="26">
        <f t="shared" si="558"/>
        <v>0</v>
      </c>
      <c r="U300" s="26">
        <f t="shared" si="558"/>
        <v>0</v>
      </c>
      <c r="V300" s="26">
        <f>IF(V293="","",U293+U294-V293)</f>
        <v>1</v>
      </c>
      <c r="W300" s="26">
        <f t="shared" si="558"/>
        <v>0</v>
      </c>
      <c r="X300" s="26">
        <f t="shared" si="558"/>
        <v>0</v>
      </c>
      <c r="Y300" s="26">
        <f t="shared" si="558"/>
        <v>0</v>
      </c>
      <c r="Z300" s="26">
        <f t="shared" si="558"/>
        <v>0</v>
      </c>
      <c r="AA300" s="26">
        <f t="shared" si="558"/>
        <v>1</v>
      </c>
      <c r="AB300" s="26">
        <f t="shared" si="558"/>
        <v>0</v>
      </c>
      <c r="AC300" s="26">
        <f t="shared" si="558"/>
        <v>0</v>
      </c>
      <c r="AD300" s="26">
        <f t="shared" si="558"/>
        <v>0</v>
      </c>
      <c r="AE300" s="26" t="str">
        <f t="shared" si="558"/>
        <v/>
      </c>
      <c r="AF300" s="26" t="str">
        <f t="shared" si="558"/>
        <v/>
      </c>
      <c r="AG300" s="26" t="str">
        <f t="shared" si="558"/>
        <v/>
      </c>
      <c r="AH300" s="26" t="str">
        <f t="shared" si="558"/>
        <v/>
      </c>
      <c r="AI300" s="26" t="str">
        <f t="shared" si="558"/>
        <v/>
      </c>
      <c r="AJ300" s="26" t="str">
        <f t="shared" si="558"/>
        <v/>
      </c>
      <c r="AK300" s="26" t="str">
        <f t="shared" si="558"/>
        <v/>
      </c>
      <c r="AL300" s="26" t="str">
        <f t="shared" si="558"/>
        <v/>
      </c>
      <c r="AM300" s="26" t="str">
        <f t="shared" si="558"/>
        <v/>
      </c>
      <c r="AN300" s="26" t="str">
        <f t="shared" si="558"/>
        <v/>
      </c>
      <c r="AO300" s="26" t="str">
        <f t="shared" si="558"/>
        <v/>
      </c>
      <c r="AP300" s="26" t="str">
        <f t="shared" ref="AP300:AR300" si="559">IF(AP293="","",AO293+AO294-AP293)</f>
        <v/>
      </c>
      <c r="AQ300" s="26" t="str">
        <f t="shared" si="559"/>
        <v/>
      </c>
      <c r="AR300" s="26" t="str">
        <f t="shared" si="559"/>
        <v/>
      </c>
    </row>
    <row r="301" spans="1:44" s="93" customFormat="1">
      <c r="A301" s="7">
        <f>SUM(C301:AS301)</f>
        <v>3150</v>
      </c>
      <c r="B301" s="27" t="s">
        <v>18</v>
      </c>
      <c r="C301" s="65">
        <v>0</v>
      </c>
      <c r="D301" s="26">
        <f t="shared" ref="D301:AO301" si="560">IF(D291="","",D300*D295)</f>
        <v>0</v>
      </c>
      <c r="E301" s="26">
        <f t="shared" si="560"/>
        <v>0</v>
      </c>
      <c r="F301" s="26">
        <f t="shared" si="560"/>
        <v>750</v>
      </c>
      <c r="G301" s="122">
        <f t="shared" si="560"/>
        <v>0</v>
      </c>
      <c r="H301" s="26">
        <f t="shared" si="560"/>
        <v>0</v>
      </c>
      <c r="I301" s="26">
        <f t="shared" si="560"/>
        <v>750</v>
      </c>
      <c r="J301" s="122">
        <f t="shared" si="560"/>
        <v>0</v>
      </c>
      <c r="K301" s="26">
        <f t="shared" si="560"/>
        <v>0</v>
      </c>
      <c r="L301" s="26">
        <f t="shared" si="560"/>
        <v>0</v>
      </c>
      <c r="M301" s="26">
        <f t="shared" si="560"/>
        <v>0</v>
      </c>
      <c r="N301" s="26">
        <f t="shared" si="560"/>
        <v>0</v>
      </c>
      <c r="O301" s="26">
        <f t="shared" si="560"/>
        <v>0</v>
      </c>
      <c r="P301" s="122">
        <f t="shared" si="560"/>
        <v>0</v>
      </c>
      <c r="Q301" s="26">
        <f t="shared" si="560"/>
        <v>0</v>
      </c>
      <c r="R301" s="26">
        <f t="shared" si="560"/>
        <v>0</v>
      </c>
      <c r="S301" s="26">
        <f t="shared" si="560"/>
        <v>0</v>
      </c>
      <c r="T301" s="26">
        <f t="shared" si="560"/>
        <v>0</v>
      </c>
      <c r="U301" s="26">
        <f t="shared" si="560"/>
        <v>0</v>
      </c>
      <c r="V301" s="26">
        <f>IF(V291="","",V300*V295)</f>
        <v>750</v>
      </c>
      <c r="W301" s="26">
        <f t="shared" si="560"/>
        <v>0</v>
      </c>
      <c r="X301" s="26">
        <f t="shared" si="560"/>
        <v>0</v>
      </c>
      <c r="Y301" s="26">
        <f t="shared" si="560"/>
        <v>0</v>
      </c>
      <c r="Z301" s="26">
        <f t="shared" si="560"/>
        <v>0</v>
      </c>
      <c r="AA301" s="26">
        <f t="shared" si="560"/>
        <v>900</v>
      </c>
      <c r="AB301" s="26">
        <f t="shared" si="560"/>
        <v>0</v>
      </c>
      <c r="AC301" s="26">
        <f t="shared" si="560"/>
        <v>0</v>
      </c>
      <c r="AD301" s="26">
        <f t="shared" si="560"/>
        <v>0</v>
      </c>
      <c r="AE301" s="26" t="str">
        <f t="shared" si="560"/>
        <v/>
      </c>
      <c r="AF301" s="26" t="str">
        <f t="shared" si="560"/>
        <v/>
      </c>
      <c r="AG301" s="26" t="str">
        <f t="shared" si="560"/>
        <v/>
      </c>
      <c r="AH301" s="26" t="str">
        <f t="shared" si="560"/>
        <v/>
      </c>
      <c r="AI301" s="26" t="str">
        <f t="shared" si="560"/>
        <v/>
      </c>
      <c r="AJ301" s="26" t="str">
        <f t="shared" si="560"/>
        <v/>
      </c>
      <c r="AK301" s="26" t="str">
        <f t="shared" si="560"/>
        <v/>
      </c>
      <c r="AL301" s="26" t="str">
        <f t="shared" si="560"/>
        <v/>
      </c>
      <c r="AM301" s="26" t="str">
        <f t="shared" si="560"/>
        <v/>
      </c>
      <c r="AN301" s="26" t="str">
        <f t="shared" si="560"/>
        <v/>
      </c>
      <c r="AO301" s="26" t="str">
        <f t="shared" si="560"/>
        <v/>
      </c>
      <c r="AP301" s="26" t="str">
        <f t="shared" ref="AP301:AR301" si="561">IF(AP291="","",AP300*AP295)</f>
        <v/>
      </c>
      <c r="AQ301" s="26" t="str">
        <f t="shared" si="561"/>
        <v/>
      </c>
      <c r="AR301" s="26" t="str">
        <f t="shared" si="561"/>
        <v/>
      </c>
    </row>
    <row r="302" spans="1:44" s="93" customFormat="1" ht="12" thickBot="1">
      <c r="A302" s="4">
        <f>IF(A301="","",A301/(A298*100))</f>
        <v>0.18639053254437871</v>
      </c>
      <c r="B302" s="27" t="s">
        <v>20</v>
      </c>
      <c r="C302" s="68" t="s">
        <v>21</v>
      </c>
      <c r="D302" s="44" t="str">
        <f t="shared" ref="D302:AO302" si="562">IF(D301="","",IF(D301=0,"",D301/(D298*100)))</f>
        <v/>
      </c>
      <c r="E302" s="44" t="str">
        <f t="shared" si="562"/>
        <v/>
      </c>
      <c r="F302" s="44">
        <f t="shared" si="562"/>
        <v>0.35714285714285715</v>
      </c>
      <c r="G302" s="384" t="str">
        <f t="shared" si="562"/>
        <v/>
      </c>
      <c r="H302" s="44" t="str">
        <f t="shared" si="562"/>
        <v/>
      </c>
      <c r="I302" s="44">
        <f t="shared" si="562"/>
        <v>0.9375</v>
      </c>
      <c r="J302" s="384" t="str">
        <f t="shared" si="562"/>
        <v/>
      </c>
      <c r="K302" s="44" t="str">
        <f t="shared" si="562"/>
        <v/>
      </c>
      <c r="L302" s="44" t="str">
        <f t="shared" si="562"/>
        <v/>
      </c>
      <c r="M302" s="44" t="str">
        <f t="shared" si="562"/>
        <v/>
      </c>
      <c r="N302" s="44" t="str">
        <f t="shared" si="562"/>
        <v/>
      </c>
      <c r="O302" s="44" t="str">
        <f t="shared" si="562"/>
        <v/>
      </c>
      <c r="P302" s="384" t="str">
        <f t="shared" si="562"/>
        <v/>
      </c>
      <c r="Q302" s="44" t="str">
        <f t="shared" si="562"/>
        <v/>
      </c>
      <c r="R302" s="44" t="str">
        <f t="shared" si="562"/>
        <v/>
      </c>
      <c r="S302" s="44" t="str">
        <f t="shared" si="562"/>
        <v/>
      </c>
      <c r="T302" s="44" t="str">
        <f t="shared" si="562"/>
        <v/>
      </c>
      <c r="U302" s="44" t="str">
        <f t="shared" si="562"/>
        <v/>
      </c>
      <c r="V302" s="44">
        <f>IF(V301="","",IF(V301=0,"",V301/(V298*100)))</f>
        <v>0.46875</v>
      </c>
      <c r="W302" s="44" t="str">
        <f t="shared" si="562"/>
        <v/>
      </c>
      <c r="X302" s="44" t="str">
        <f t="shared" si="562"/>
        <v/>
      </c>
      <c r="Y302" s="44" t="str">
        <f t="shared" si="562"/>
        <v/>
      </c>
      <c r="Z302" s="44" t="str">
        <f t="shared" si="562"/>
        <v/>
      </c>
      <c r="AA302" s="44">
        <f t="shared" si="562"/>
        <v>0.28125</v>
      </c>
      <c r="AB302" s="44" t="str">
        <f t="shared" si="562"/>
        <v/>
      </c>
      <c r="AC302" s="44" t="str">
        <f t="shared" si="562"/>
        <v/>
      </c>
      <c r="AD302" s="44" t="str">
        <f t="shared" si="562"/>
        <v/>
      </c>
      <c r="AE302" s="44" t="str">
        <f t="shared" si="562"/>
        <v/>
      </c>
      <c r="AF302" s="44" t="str">
        <f t="shared" si="562"/>
        <v/>
      </c>
      <c r="AG302" s="44" t="str">
        <f t="shared" si="562"/>
        <v/>
      </c>
      <c r="AH302" s="44" t="str">
        <f t="shared" si="562"/>
        <v/>
      </c>
      <c r="AI302" s="44" t="str">
        <f t="shared" si="562"/>
        <v/>
      </c>
      <c r="AJ302" s="44" t="str">
        <f t="shared" si="562"/>
        <v/>
      </c>
      <c r="AK302" s="44" t="str">
        <f t="shared" si="562"/>
        <v/>
      </c>
      <c r="AL302" s="44" t="str">
        <f t="shared" si="562"/>
        <v/>
      </c>
      <c r="AM302" s="44" t="str">
        <f t="shared" si="562"/>
        <v/>
      </c>
      <c r="AN302" s="44" t="str">
        <f t="shared" si="562"/>
        <v/>
      </c>
      <c r="AO302" s="44" t="str">
        <f t="shared" si="562"/>
        <v/>
      </c>
      <c r="AP302" s="44" t="str">
        <f t="shared" ref="AP302:AR302" si="563">IF(AP301="","",IF(AP301=0,"",AP301/(AP298*100)))</f>
        <v/>
      </c>
      <c r="AQ302" s="44" t="str">
        <f t="shared" si="563"/>
        <v/>
      </c>
      <c r="AR302" s="44" t="str">
        <f t="shared" si="563"/>
        <v/>
      </c>
    </row>
    <row r="303" spans="1:44" s="93" customFormat="1">
      <c r="A303" s="43" t="str">
        <f>A291</f>
        <v>南熊本</v>
      </c>
      <c r="B303" s="42" t="s">
        <v>2</v>
      </c>
      <c r="C303" s="64">
        <v>3029</v>
      </c>
      <c r="D303" s="35">
        <f>IF(D$279="","",C303)</f>
        <v>3029</v>
      </c>
      <c r="E303" s="35">
        <f>IF(E$279="","",D303)</f>
        <v>3029</v>
      </c>
      <c r="F303" s="35">
        <v>3061</v>
      </c>
      <c r="G303" s="383">
        <f>IF(G$279="","",F303)</f>
        <v>3061</v>
      </c>
      <c r="H303" s="35">
        <f>IF(H$279="","",G303)</f>
        <v>3061</v>
      </c>
      <c r="I303" s="35">
        <v>3241</v>
      </c>
      <c r="J303" s="383">
        <f t="shared" ref="J303:N304" si="564">IF(J$279="","",I303)</f>
        <v>3241</v>
      </c>
      <c r="K303" s="35">
        <f t="shared" si="564"/>
        <v>3241</v>
      </c>
      <c r="L303" s="35">
        <f t="shared" si="564"/>
        <v>3241</v>
      </c>
      <c r="M303" s="35">
        <f t="shared" si="564"/>
        <v>3241</v>
      </c>
      <c r="N303" s="35">
        <f t="shared" si="564"/>
        <v>3241</v>
      </c>
      <c r="O303" s="35">
        <v>3360</v>
      </c>
      <c r="P303" s="383">
        <f t="shared" ref="P303:AO303" si="565">IF(P$279="","",O303)</f>
        <v>3360</v>
      </c>
      <c r="Q303" s="35">
        <f t="shared" si="565"/>
        <v>3360</v>
      </c>
      <c r="R303" s="35">
        <f t="shared" si="565"/>
        <v>3360</v>
      </c>
      <c r="S303" s="35">
        <v>3377</v>
      </c>
      <c r="T303" s="35">
        <f t="shared" si="565"/>
        <v>3377</v>
      </c>
      <c r="U303" s="35">
        <f t="shared" si="565"/>
        <v>3377</v>
      </c>
      <c r="V303" s="35">
        <v>3476</v>
      </c>
      <c r="W303" s="35">
        <f t="shared" si="565"/>
        <v>3476</v>
      </c>
      <c r="X303" s="35">
        <f t="shared" si="565"/>
        <v>3476</v>
      </c>
      <c r="Y303" s="35">
        <f t="shared" si="565"/>
        <v>3476</v>
      </c>
      <c r="Z303" s="35">
        <f t="shared" si="565"/>
        <v>3476</v>
      </c>
      <c r="AA303" s="35">
        <v>3739</v>
      </c>
      <c r="AB303" s="35">
        <f t="shared" si="565"/>
        <v>3739</v>
      </c>
      <c r="AC303" s="35">
        <f t="shared" si="565"/>
        <v>3739</v>
      </c>
      <c r="AD303" s="35">
        <v>3798</v>
      </c>
      <c r="AE303" s="35" t="str">
        <f t="shared" si="565"/>
        <v/>
      </c>
      <c r="AF303" s="35" t="str">
        <f t="shared" si="565"/>
        <v/>
      </c>
      <c r="AG303" s="35" t="str">
        <f t="shared" si="565"/>
        <v/>
      </c>
      <c r="AH303" s="35" t="str">
        <f t="shared" si="565"/>
        <v/>
      </c>
      <c r="AI303" s="35" t="str">
        <f t="shared" si="565"/>
        <v/>
      </c>
      <c r="AJ303" s="35" t="str">
        <f t="shared" si="565"/>
        <v/>
      </c>
      <c r="AK303" s="35" t="str">
        <f t="shared" si="565"/>
        <v/>
      </c>
      <c r="AL303" s="35" t="str">
        <f t="shared" si="565"/>
        <v/>
      </c>
      <c r="AM303" s="35" t="str">
        <f t="shared" si="565"/>
        <v/>
      </c>
      <c r="AN303" s="35" t="str">
        <f t="shared" si="565"/>
        <v/>
      </c>
      <c r="AO303" s="35" t="str">
        <f t="shared" si="565"/>
        <v/>
      </c>
      <c r="AP303" s="35" t="str">
        <f t="shared" ref="AP303:AR303" si="566">IF(AP$279="","",AO303)</f>
        <v/>
      </c>
      <c r="AQ303" s="35" t="str">
        <f t="shared" si="566"/>
        <v/>
      </c>
      <c r="AR303" s="35" t="str">
        <f t="shared" si="566"/>
        <v/>
      </c>
    </row>
    <row r="304" spans="1:44" s="93" customFormat="1">
      <c r="A304" s="37" t="str">
        <f>A292</f>
        <v>BUZZ＃1</v>
      </c>
      <c r="B304" s="30" t="s">
        <v>4</v>
      </c>
      <c r="C304" s="65">
        <v>73</v>
      </c>
      <c r="D304" s="29">
        <f>IF(D$279="","",C304)</f>
        <v>73</v>
      </c>
      <c r="E304" s="29">
        <f>IF(E$279="","",D304)</f>
        <v>73</v>
      </c>
      <c r="F304" s="29">
        <v>73</v>
      </c>
      <c r="G304" s="122">
        <f>IF(G$279="","",F304)</f>
        <v>73</v>
      </c>
      <c r="H304" s="29">
        <f>IF(H$279="","",G304)</f>
        <v>73</v>
      </c>
      <c r="I304" s="29">
        <v>73</v>
      </c>
      <c r="J304" s="122">
        <f t="shared" si="564"/>
        <v>73</v>
      </c>
      <c r="K304" s="29">
        <f t="shared" si="564"/>
        <v>73</v>
      </c>
      <c r="L304" s="29">
        <f t="shared" si="564"/>
        <v>73</v>
      </c>
      <c r="M304" s="29">
        <f t="shared" si="564"/>
        <v>73</v>
      </c>
      <c r="N304" s="29">
        <f t="shared" si="564"/>
        <v>73</v>
      </c>
      <c r="O304" s="29">
        <f>IF(O$279="","",N304)</f>
        <v>73</v>
      </c>
      <c r="P304" s="122">
        <f t="shared" ref="P304:AO304" si="567">IF(P$279="","",O304)</f>
        <v>73</v>
      </c>
      <c r="Q304" s="29">
        <f t="shared" si="567"/>
        <v>73</v>
      </c>
      <c r="R304" s="29">
        <f t="shared" si="567"/>
        <v>73</v>
      </c>
      <c r="S304" s="29">
        <f t="shared" si="567"/>
        <v>73</v>
      </c>
      <c r="T304" s="29">
        <f t="shared" si="567"/>
        <v>73</v>
      </c>
      <c r="U304" s="29">
        <f t="shared" si="567"/>
        <v>73</v>
      </c>
      <c r="V304" s="29">
        <v>73</v>
      </c>
      <c r="W304" s="29">
        <f t="shared" si="567"/>
        <v>73</v>
      </c>
      <c r="X304" s="29">
        <f t="shared" si="567"/>
        <v>73</v>
      </c>
      <c r="Y304" s="29">
        <f t="shared" si="567"/>
        <v>73</v>
      </c>
      <c r="Z304" s="29">
        <f t="shared" si="567"/>
        <v>73</v>
      </c>
      <c r="AA304" s="29">
        <v>73</v>
      </c>
      <c r="AB304" s="29">
        <f t="shared" si="567"/>
        <v>73</v>
      </c>
      <c r="AC304" s="29">
        <f t="shared" si="567"/>
        <v>73</v>
      </c>
      <c r="AD304" s="29">
        <v>73</v>
      </c>
      <c r="AE304" s="29" t="str">
        <f t="shared" si="567"/>
        <v/>
      </c>
      <c r="AF304" s="29" t="str">
        <f t="shared" si="567"/>
        <v/>
      </c>
      <c r="AG304" s="29" t="str">
        <f t="shared" si="567"/>
        <v/>
      </c>
      <c r="AH304" s="29" t="str">
        <f t="shared" si="567"/>
        <v/>
      </c>
      <c r="AI304" s="29" t="str">
        <f t="shared" si="567"/>
        <v/>
      </c>
      <c r="AJ304" s="29" t="str">
        <f t="shared" si="567"/>
        <v/>
      </c>
      <c r="AK304" s="29" t="str">
        <f t="shared" si="567"/>
        <v/>
      </c>
      <c r="AL304" s="29" t="str">
        <f t="shared" si="567"/>
        <v/>
      </c>
      <c r="AM304" s="29" t="str">
        <f t="shared" si="567"/>
        <v/>
      </c>
      <c r="AN304" s="29" t="str">
        <f t="shared" si="567"/>
        <v/>
      </c>
      <c r="AO304" s="29" t="str">
        <f t="shared" si="567"/>
        <v/>
      </c>
      <c r="AP304" s="29" t="str">
        <f t="shared" ref="AP304:AR304" si="568">IF(AP$279="","",AO304)</f>
        <v/>
      </c>
      <c r="AQ304" s="29" t="str">
        <f t="shared" si="568"/>
        <v/>
      </c>
      <c r="AR304" s="29" t="str">
        <f t="shared" si="568"/>
        <v/>
      </c>
    </row>
    <row r="305" spans="1:44" s="93" customFormat="1">
      <c r="A305" s="41">
        <v>3</v>
      </c>
      <c r="B305" s="30" t="s">
        <v>5</v>
      </c>
      <c r="C305" s="65">
        <v>71</v>
      </c>
      <c r="D305" s="29">
        <f>IF(D303="","",(C305+C306))</f>
        <v>71</v>
      </c>
      <c r="E305" s="29">
        <f>IF(E303="","",(D305+D306))</f>
        <v>71</v>
      </c>
      <c r="F305" s="29">
        <f>IF(F303="","",(E305+E306))</f>
        <v>71</v>
      </c>
      <c r="G305" s="122">
        <f>IF(G303="","",(F305+F306))</f>
        <v>8</v>
      </c>
      <c r="H305" s="29">
        <f>IF(H303="","",(G305+G306))</f>
        <v>8</v>
      </c>
      <c r="I305" s="29">
        <v>3</v>
      </c>
      <c r="J305" s="122">
        <f>IF(J303="","",(I305+I306))</f>
        <v>5</v>
      </c>
      <c r="K305" s="29">
        <f>IF(K303="","",(J305+J306))</f>
        <v>5</v>
      </c>
      <c r="L305" s="29">
        <f>IF(L303="","",(K305+K306))</f>
        <v>5</v>
      </c>
      <c r="M305" s="29">
        <f>IF(M303="","",(L305+L306))</f>
        <v>5</v>
      </c>
      <c r="N305" s="29">
        <f>IF(N303="","",(M305+M306))</f>
        <v>5</v>
      </c>
      <c r="O305" s="29">
        <v>4</v>
      </c>
      <c r="P305" s="122">
        <f t="shared" ref="P305:AO305" si="569">IF(P303="","",(O305+O306))</f>
        <v>7</v>
      </c>
      <c r="Q305" s="29">
        <f t="shared" si="569"/>
        <v>7</v>
      </c>
      <c r="R305" s="29">
        <f t="shared" si="569"/>
        <v>7</v>
      </c>
      <c r="S305" s="29">
        <f t="shared" si="569"/>
        <v>7</v>
      </c>
      <c r="T305" s="29">
        <f t="shared" si="569"/>
        <v>7</v>
      </c>
      <c r="U305" s="29">
        <f t="shared" si="569"/>
        <v>7</v>
      </c>
      <c r="V305" s="29">
        <v>6</v>
      </c>
      <c r="W305" s="29">
        <f t="shared" si="569"/>
        <v>8</v>
      </c>
      <c r="X305" s="29">
        <f t="shared" si="569"/>
        <v>8</v>
      </c>
      <c r="Y305" s="29">
        <f t="shared" si="569"/>
        <v>8</v>
      </c>
      <c r="Z305" s="29">
        <f t="shared" si="569"/>
        <v>8</v>
      </c>
      <c r="AA305" s="29">
        <v>6</v>
      </c>
      <c r="AB305" s="29">
        <f t="shared" si="569"/>
        <v>6</v>
      </c>
      <c r="AC305" s="29">
        <f t="shared" si="569"/>
        <v>6</v>
      </c>
      <c r="AD305" s="29">
        <f t="shared" si="569"/>
        <v>6</v>
      </c>
      <c r="AE305" s="29" t="str">
        <f t="shared" si="569"/>
        <v/>
      </c>
      <c r="AF305" s="29" t="str">
        <f t="shared" si="569"/>
        <v/>
      </c>
      <c r="AG305" s="29" t="str">
        <f t="shared" si="569"/>
        <v/>
      </c>
      <c r="AH305" s="29" t="str">
        <f t="shared" si="569"/>
        <v/>
      </c>
      <c r="AI305" s="29" t="str">
        <f t="shared" si="569"/>
        <v/>
      </c>
      <c r="AJ305" s="29" t="str">
        <f t="shared" si="569"/>
        <v/>
      </c>
      <c r="AK305" s="29" t="str">
        <f t="shared" si="569"/>
        <v/>
      </c>
      <c r="AL305" s="29" t="str">
        <f t="shared" si="569"/>
        <v/>
      </c>
      <c r="AM305" s="29" t="str">
        <f t="shared" si="569"/>
        <v/>
      </c>
      <c r="AN305" s="29" t="str">
        <f t="shared" si="569"/>
        <v/>
      </c>
      <c r="AO305" s="29" t="str">
        <f t="shared" si="569"/>
        <v/>
      </c>
      <c r="AP305" s="29" t="str">
        <f t="shared" ref="AP305:AR305" si="570">IF(AP303="","",(AO305+AO306))</f>
        <v/>
      </c>
      <c r="AQ305" s="29" t="str">
        <f t="shared" si="570"/>
        <v/>
      </c>
      <c r="AR305" s="29" t="str">
        <f t="shared" si="570"/>
        <v/>
      </c>
    </row>
    <row r="306" spans="1:44" s="93" customFormat="1">
      <c r="A306" s="14"/>
      <c r="B306" s="30" t="s">
        <v>7</v>
      </c>
      <c r="C306" s="65"/>
      <c r="D306" s="29"/>
      <c r="E306" s="29"/>
      <c r="F306" s="29">
        <v>-63</v>
      </c>
      <c r="G306" s="122"/>
      <c r="H306" s="29"/>
      <c r="I306" s="29">
        <v>2</v>
      </c>
      <c r="J306" s="122"/>
      <c r="K306" s="29"/>
      <c r="L306" s="29"/>
      <c r="M306" s="29"/>
      <c r="N306" s="29"/>
      <c r="O306" s="29">
        <v>3</v>
      </c>
      <c r="P306" s="122"/>
      <c r="Q306" s="29"/>
      <c r="R306" s="29"/>
      <c r="S306" s="29"/>
      <c r="T306" s="29"/>
      <c r="U306" s="29"/>
      <c r="V306" s="29">
        <v>2</v>
      </c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</row>
    <row r="307" spans="1:44" s="93" customFormat="1">
      <c r="A307" s="7"/>
      <c r="B307" s="30" t="s">
        <v>8</v>
      </c>
      <c r="C307" s="64">
        <v>150</v>
      </c>
      <c r="D307" s="35">
        <f>IF(D303="","",C307)</f>
        <v>150</v>
      </c>
      <c r="E307" s="35">
        <f>IF(E303="","",D307)</f>
        <v>150</v>
      </c>
      <c r="F307" s="35">
        <f>IF(F303="","",E307)</f>
        <v>150</v>
      </c>
      <c r="G307" s="383">
        <v>820</v>
      </c>
      <c r="H307" s="35">
        <f t="shared" ref="H307:AO307" si="571">IF(H303="","",G307)</f>
        <v>820</v>
      </c>
      <c r="I307" s="35">
        <f t="shared" si="571"/>
        <v>820</v>
      </c>
      <c r="J307" s="383">
        <f t="shared" si="571"/>
        <v>820</v>
      </c>
      <c r="K307" s="35">
        <f t="shared" si="571"/>
        <v>820</v>
      </c>
      <c r="L307" s="35">
        <f t="shared" si="571"/>
        <v>820</v>
      </c>
      <c r="M307" s="35">
        <f t="shared" si="571"/>
        <v>820</v>
      </c>
      <c r="N307" s="35">
        <f t="shared" si="571"/>
        <v>820</v>
      </c>
      <c r="O307" s="35">
        <f t="shared" si="571"/>
        <v>820</v>
      </c>
      <c r="P307" s="383">
        <f t="shared" si="571"/>
        <v>820</v>
      </c>
      <c r="Q307" s="35">
        <f t="shared" si="571"/>
        <v>820</v>
      </c>
      <c r="R307" s="35">
        <f t="shared" si="571"/>
        <v>820</v>
      </c>
      <c r="S307" s="35">
        <f t="shared" si="571"/>
        <v>820</v>
      </c>
      <c r="T307" s="35">
        <f t="shared" si="571"/>
        <v>820</v>
      </c>
      <c r="U307" s="35">
        <f t="shared" si="571"/>
        <v>820</v>
      </c>
      <c r="V307" s="35">
        <f>IF(V303="","",U307)</f>
        <v>820</v>
      </c>
      <c r="W307" s="35">
        <f t="shared" si="571"/>
        <v>820</v>
      </c>
      <c r="X307" s="35">
        <f t="shared" si="571"/>
        <v>820</v>
      </c>
      <c r="Y307" s="35">
        <f t="shared" si="571"/>
        <v>820</v>
      </c>
      <c r="Z307" s="35">
        <f t="shared" si="571"/>
        <v>820</v>
      </c>
      <c r="AA307" s="35">
        <f t="shared" si="571"/>
        <v>820</v>
      </c>
      <c r="AB307" s="35">
        <f t="shared" si="571"/>
        <v>820</v>
      </c>
      <c r="AC307" s="35">
        <f t="shared" si="571"/>
        <v>820</v>
      </c>
      <c r="AD307" s="35">
        <f t="shared" si="571"/>
        <v>820</v>
      </c>
      <c r="AE307" s="35" t="str">
        <f t="shared" si="571"/>
        <v/>
      </c>
      <c r="AF307" s="35" t="str">
        <f t="shared" si="571"/>
        <v/>
      </c>
      <c r="AG307" s="35" t="str">
        <f t="shared" si="571"/>
        <v/>
      </c>
      <c r="AH307" s="35" t="str">
        <f t="shared" si="571"/>
        <v/>
      </c>
      <c r="AI307" s="35" t="str">
        <f t="shared" si="571"/>
        <v/>
      </c>
      <c r="AJ307" s="35" t="str">
        <f t="shared" si="571"/>
        <v/>
      </c>
      <c r="AK307" s="35" t="str">
        <f t="shared" si="571"/>
        <v/>
      </c>
      <c r="AL307" s="35" t="str">
        <f t="shared" si="571"/>
        <v/>
      </c>
      <c r="AM307" s="35" t="str">
        <f t="shared" si="571"/>
        <v/>
      </c>
      <c r="AN307" s="35" t="str">
        <f t="shared" si="571"/>
        <v/>
      </c>
      <c r="AO307" s="35" t="str">
        <f t="shared" si="571"/>
        <v/>
      </c>
      <c r="AP307" s="35" t="str">
        <f t="shared" ref="AP307:AR307" si="572">IF(AP303="","",AO307)</f>
        <v/>
      </c>
      <c r="AQ307" s="35" t="str">
        <f t="shared" si="572"/>
        <v/>
      </c>
      <c r="AR307" s="35" t="str">
        <f t="shared" si="572"/>
        <v/>
      </c>
    </row>
    <row r="308" spans="1:44" s="94" customFormat="1">
      <c r="A308" s="14" t="s">
        <v>9</v>
      </c>
      <c r="B308" s="33" t="s">
        <v>10</v>
      </c>
      <c r="C308" s="63" t="s">
        <v>213</v>
      </c>
      <c r="D308" s="32" t="str">
        <f>IF(D303="","",C308)</f>
        <v>AIラバー</v>
      </c>
      <c r="E308" s="32" t="str">
        <f>IF(E303="","",D308)</f>
        <v>AIラバー</v>
      </c>
      <c r="F308" s="32" t="str">
        <f>IF(F303="","",E308)</f>
        <v>AIラバー</v>
      </c>
      <c r="G308" s="123" t="s">
        <v>190</v>
      </c>
      <c r="H308" s="32" t="str">
        <f t="shared" ref="H308:AO308" si="573">IF(H303="","",G308)</f>
        <v>たまごっちMC</v>
      </c>
      <c r="I308" s="32" t="str">
        <f t="shared" si="573"/>
        <v>たまごっちMC</v>
      </c>
      <c r="J308" s="123" t="str">
        <f t="shared" si="573"/>
        <v>たまごっちMC</v>
      </c>
      <c r="K308" s="32" t="str">
        <f t="shared" si="573"/>
        <v>たまごっちMC</v>
      </c>
      <c r="L308" s="32" t="str">
        <f t="shared" si="573"/>
        <v>たまごっちMC</v>
      </c>
      <c r="M308" s="32" t="str">
        <f t="shared" si="573"/>
        <v>たまごっちMC</v>
      </c>
      <c r="N308" s="32" t="str">
        <f t="shared" si="573"/>
        <v>たまごっちMC</v>
      </c>
      <c r="O308" s="32" t="str">
        <f t="shared" si="573"/>
        <v>たまごっちMC</v>
      </c>
      <c r="P308" s="123" t="str">
        <f t="shared" si="573"/>
        <v>たまごっちMC</v>
      </c>
      <c r="Q308" s="32" t="str">
        <f t="shared" si="573"/>
        <v>たまごっちMC</v>
      </c>
      <c r="R308" s="32" t="str">
        <f t="shared" si="573"/>
        <v>たまごっちMC</v>
      </c>
      <c r="S308" s="32" t="str">
        <f t="shared" si="573"/>
        <v>たまごっちMC</v>
      </c>
      <c r="T308" s="32" t="str">
        <f t="shared" si="573"/>
        <v>たまごっちMC</v>
      </c>
      <c r="U308" s="32" t="str">
        <f t="shared" si="573"/>
        <v>たまごっちMC</v>
      </c>
      <c r="V308" s="32" t="str">
        <f>IF(V303="","",U308)</f>
        <v>たまごっちMC</v>
      </c>
      <c r="W308" s="32" t="str">
        <f t="shared" si="573"/>
        <v>たまごっちMC</v>
      </c>
      <c r="X308" s="32" t="str">
        <f t="shared" si="573"/>
        <v>たまごっちMC</v>
      </c>
      <c r="Y308" s="32" t="str">
        <f t="shared" si="573"/>
        <v>たまごっちMC</v>
      </c>
      <c r="Z308" s="32" t="str">
        <f t="shared" si="573"/>
        <v>たまごっちMC</v>
      </c>
      <c r="AA308" s="32" t="str">
        <f t="shared" si="573"/>
        <v>たまごっちMC</v>
      </c>
      <c r="AB308" s="32" t="str">
        <f t="shared" si="573"/>
        <v>たまごっちMC</v>
      </c>
      <c r="AC308" s="32" t="str">
        <f t="shared" si="573"/>
        <v>たまごっちMC</v>
      </c>
      <c r="AD308" s="32" t="str">
        <f t="shared" si="573"/>
        <v>たまごっちMC</v>
      </c>
      <c r="AE308" s="32" t="str">
        <f t="shared" si="573"/>
        <v/>
      </c>
      <c r="AF308" s="32" t="str">
        <f t="shared" si="573"/>
        <v/>
      </c>
      <c r="AG308" s="32" t="str">
        <f t="shared" si="573"/>
        <v/>
      </c>
      <c r="AH308" s="32" t="str">
        <f t="shared" si="573"/>
        <v/>
      </c>
      <c r="AI308" s="32" t="str">
        <f t="shared" si="573"/>
        <v/>
      </c>
      <c r="AJ308" s="32" t="str">
        <f t="shared" si="573"/>
        <v/>
      </c>
      <c r="AK308" s="32" t="str">
        <f t="shared" si="573"/>
        <v/>
      </c>
      <c r="AL308" s="32" t="str">
        <f t="shared" si="573"/>
        <v/>
      </c>
      <c r="AM308" s="32" t="str">
        <f t="shared" si="573"/>
        <v/>
      </c>
      <c r="AN308" s="32" t="str">
        <f t="shared" si="573"/>
        <v/>
      </c>
      <c r="AO308" s="32" t="str">
        <f t="shared" si="573"/>
        <v/>
      </c>
      <c r="AP308" s="32" t="str">
        <f t="shared" ref="AP308:AR308" si="574">IF(AP303="","",AO308)</f>
        <v/>
      </c>
      <c r="AQ308" s="32" t="str">
        <f t="shared" si="574"/>
        <v/>
      </c>
      <c r="AR308" s="32" t="str">
        <f t="shared" si="574"/>
        <v/>
      </c>
    </row>
    <row r="309" spans="1:44" s="93" customFormat="1">
      <c r="A309" s="7">
        <f>AVERAGE(C310:AS310)*30*100</f>
        <v>82392.857142857145</v>
      </c>
      <c r="B309" s="30" t="s">
        <v>14</v>
      </c>
      <c r="C309" s="65"/>
      <c r="D309" s="29"/>
      <c r="E309" s="29"/>
      <c r="F309" s="29"/>
      <c r="G309" s="122"/>
      <c r="H309" s="29"/>
      <c r="I309" s="29"/>
      <c r="J309" s="122"/>
      <c r="K309" s="29"/>
      <c r="L309" s="29"/>
      <c r="M309" s="29"/>
      <c r="N309" s="29"/>
      <c r="O309" s="29"/>
      <c r="P309" s="122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</row>
    <row r="310" spans="1:44" s="93" customFormat="1">
      <c r="A310" s="7">
        <f>SUM(C310:AS310)</f>
        <v>769</v>
      </c>
      <c r="B310" s="27" t="s">
        <v>15</v>
      </c>
      <c r="C310" s="65">
        <v>0</v>
      </c>
      <c r="D310" s="26">
        <f t="shared" ref="D310:AO310" si="575">IF(D303="","",D303-C303)</f>
        <v>0</v>
      </c>
      <c r="E310" s="26">
        <f t="shared" si="575"/>
        <v>0</v>
      </c>
      <c r="F310" s="26">
        <f t="shared" si="575"/>
        <v>32</v>
      </c>
      <c r="G310" s="122">
        <f t="shared" si="575"/>
        <v>0</v>
      </c>
      <c r="H310" s="26">
        <f t="shared" si="575"/>
        <v>0</v>
      </c>
      <c r="I310" s="26">
        <f t="shared" si="575"/>
        <v>180</v>
      </c>
      <c r="J310" s="122">
        <f t="shared" si="575"/>
        <v>0</v>
      </c>
      <c r="K310" s="26">
        <f t="shared" si="575"/>
        <v>0</v>
      </c>
      <c r="L310" s="26">
        <f t="shared" si="575"/>
        <v>0</v>
      </c>
      <c r="M310" s="26">
        <f t="shared" si="575"/>
        <v>0</v>
      </c>
      <c r="N310" s="26">
        <f t="shared" si="575"/>
        <v>0</v>
      </c>
      <c r="O310" s="26">
        <f t="shared" si="575"/>
        <v>119</v>
      </c>
      <c r="P310" s="122">
        <f t="shared" si="575"/>
        <v>0</v>
      </c>
      <c r="Q310" s="26">
        <f t="shared" si="575"/>
        <v>0</v>
      </c>
      <c r="R310" s="26">
        <f t="shared" si="575"/>
        <v>0</v>
      </c>
      <c r="S310" s="26">
        <f t="shared" si="575"/>
        <v>17</v>
      </c>
      <c r="T310" s="26">
        <f t="shared" si="575"/>
        <v>0</v>
      </c>
      <c r="U310" s="26">
        <f t="shared" si="575"/>
        <v>0</v>
      </c>
      <c r="V310" s="26">
        <f>IF(V303="","",V303-U303)</f>
        <v>99</v>
      </c>
      <c r="W310" s="26">
        <f t="shared" si="575"/>
        <v>0</v>
      </c>
      <c r="X310" s="26">
        <f t="shared" si="575"/>
        <v>0</v>
      </c>
      <c r="Y310" s="26">
        <f t="shared" si="575"/>
        <v>0</v>
      </c>
      <c r="Z310" s="26">
        <f t="shared" si="575"/>
        <v>0</v>
      </c>
      <c r="AA310" s="26">
        <f t="shared" si="575"/>
        <v>263</v>
      </c>
      <c r="AB310" s="26">
        <f t="shared" si="575"/>
        <v>0</v>
      </c>
      <c r="AC310" s="26">
        <f t="shared" si="575"/>
        <v>0</v>
      </c>
      <c r="AD310" s="26">
        <f t="shared" si="575"/>
        <v>59</v>
      </c>
      <c r="AE310" s="26" t="str">
        <f t="shared" si="575"/>
        <v/>
      </c>
      <c r="AF310" s="26" t="str">
        <f t="shared" si="575"/>
        <v/>
      </c>
      <c r="AG310" s="26" t="str">
        <f t="shared" si="575"/>
        <v/>
      </c>
      <c r="AH310" s="26" t="str">
        <f t="shared" si="575"/>
        <v/>
      </c>
      <c r="AI310" s="26" t="str">
        <f t="shared" si="575"/>
        <v/>
      </c>
      <c r="AJ310" s="26" t="str">
        <f t="shared" si="575"/>
        <v/>
      </c>
      <c r="AK310" s="26" t="str">
        <f t="shared" si="575"/>
        <v/>
      </c>
      <c r="AL310" s="26" t="str">
        <f t="shared" si="575"/>
        <v/>
      </c>
      <c r="AM310" s="26" t="str">
        <f t="shared" si="575"/>
        <v/>
      </c>
      <c r="AN310" s="26" t="str">
        <f t="shared" si="575"/>
        <v/>
      </c>
      <c r="AO310" s="26" t="str">
        <f t="shared" si="575"/>
        <v/>
      </c>
      <c r="AP310" s="26" t="str">
        <f t="shared" ref="AP310:AR310" si="576">IF(AP303="","",AP303-AO303)</f>
        <v/>
      </c>
      <c r="AQ310" s="26" t="str">
        <f t="shared" si="576"/>
        <v/>
      </c>
      <c r="AR310" s="26" t="str">
        <f t="shared" si="576"/>
        <v/>
      </c>
    </row>
    <row r="311" spans="1:44" s="93" customFormat="1">
      <c r="A311" s="7">
        <f>SUM(C311:AS311)</f>
        <v>0</v>
      </c>
      <c r="B311" s="27" t="s">
        <v>16</v>
      </c>
      <c r="C311" s="65">
        <v>0</v>
      </c>
      <c r="D311" s="26">
        <f t="shared" ref="D311:AO311" si="577">IF(D304="","",D304-C304)</f>
        <v>0</v>
      </c>
      <c r="E311" s="26">
        <f t="shared" si="577"/>
        <v>0</v>
      </c>
      <c r="F311" s="26">
        <f t="shared" si="577"/>
        <v>0</v>
      </c>
      <c r="G311" s="122">
        <f t="shared" si="577"/>
        <v>0</v>
      </c>
      <c r="H311" s="26">
        <f t="shared" si="577"/>
        <v>0</v>
      </c>
      <c r="I311" s="26">
        <f t="shared" si="577"/>
        <v>0</v>
      </c>
      <c r="J311" s="122">
        <f t="shared" si="577"/>
        <v>0</v>
      </c>
      <c r="K311" s="26">
        <f t="shared" si="577"/>
        <v>0</v>
      </c>
      <c r="L311" s="26">
        <f t="shared" si="577"/>
        <v>0</v>
      </c>
      <c r="M311" s="26">
        <f t="shared" si="577"/>
        <v>0</v>
      </c>
      <c r="N311" s="26">
        <f t="shared" si="577"/>
        <v>0</v>
      </c>
      <c r="O311" s="26">
        <f t="shared" si="577"/>
        <v>0</v>
      </c>
      <c r="P311" s="122">
        <f t="shared" si="577"/>
        <v>0</v>
      </c>
      <c r="Q311" s="26">
        <f t="shared" si="577"/>
        <v>0</v>
      </c>
      <c r="R311" s="26">
        <f t="shared" si="577"/>
        <v>0</v>
      </c>
      <c r="S311" s="26">
        <f t="shared" si="577"/>
        <v>0</v>
      </c>
      <c r="T311" s="26">
        <f t="shared" si="577"/>
        <v>0</v>
      </c>
      <c r="U311" s="26">
        <f t="shared" si="577"/>
        <v>0</v>
      </c>
      <c r="V311" s="26">
        <f>IF(V304="","",V304-U304)</f>
        <v>0</v>
      </c>
      <c r="W311" s="26">
        <f t="shared" si="577"/>
        <v>0</v>
      </c>
      <c r="X311" s="26">
        <f t="shared" si="577"/>
        <v>0</v>
      </c>
      <c r="Y311" s="26">
        <f t="shared" si="577"/>
        <v>0</v>
      </c>
      <c r="Z311" s="26">
        <f t="shared" si="577"/>
        <v>0</v>
      </c>
      <c r="AA311" s="26">
        <f t="shared" si="577"/>
        <v>0</v>
      </c>
      <c r="AB311" s="26">
        <f t="shared" si="577"/>
        <v>0</v>
      </c>
      <c r="AC311" s="26">
        <f t="shared" si="577"/>
        <v>0</v>
      </c>
      <c r="AD311" s="26">
        <f t="shared" si="577"/>
        <v>0</v>
      </c>
      <c r="AE311" s="26" t="str">
        <f t="shared" si="577"/>
        <v/>
      </c>
      <c r="AF311" s="26" t="str">
        <f t="shared" si="577"/>
        <v/>
      </c>
      <c r="AG311" s="26" t="str">
        <f t="shared" si="577"/>
        <v/>
      </c>
      <c r="AH311" s="26" t="str">
        <f t="shared" si="577"/>
        <v/>
      </c>
      <c r="AI311" s="26" t="str">
        <f t="shared" si="577"/>
        <v/>
      </c>
      <c r="AJ311" s="26" t="str">
        <f t="shared" si="577"/>
        <v/>
      </c>
      <c r="AK311" s="26" t="str">
        <f t="shared" si="577"/>
        <v/>
      </c>
      <c r="AL311" s="26" t="str">
        <f t="shared" si="577"/>
        <v/>
      </c>
      <c r="AM311" s="26" t="str">
        <f t="shared" si="577"/>
        <v/>
      </c>
      <c r="AN311" s="26" t="str">
        <f t="shared" si="577"/>
        <v/>
      </c>
      <c r="AO311" s="26" t="str">
        <f t="shared" si="577"/>
        <v/>
      </c>
      <c r="AP311" s="26" t="str">
        <f t="shared" ref="AP311:AR311" si="578">IF(AP304="","",AP304-AO304)</f>
        <v/>
      </c>
      <c r="AQ311" s="26" t="str">
        <f t="shared" si="578"/>
        <v/>
      </c>
      <c r="AR311" s="26" t="str">
        <f t="shared" si="578"/>
        <v/>
      </c>
    </row>
    <row r="312" spans="1:44" s="93" customFormat="1">
      <c r="A312" s="7">
        <f>SUM(C312:AS312)</f>
        <v>9</v>
      </c>
      <c r="B312" s="27" t="s">
        <v>17</v>
      </c>
      <c r="C312" s="65">
        <v>0</v>
      </c>
      <c r="D312" s="26">
        <f t="shared" ref="D312:AO312" si="579">IF(D305="","",C305+C306-D305)</f>
        <v>0</v>
      </c>
      <c r="E312" s="26">
        <f t="shared" si="579"/>
        <v>0</v>
      </c>
      <c r="F312" s="26">
        <f t="shared" si="579"/>
        <v>0</v>
      </c>
      <c r="G312" s="122">
        <f t="shared" si="579"/>
        <v>0</v>
      </c>
      <c r="H312" s="26">
        <f t="shared" si="579"/>
        <v>0</v>
      </c>
      <c r="I312" s="26">
        <f t="shared" si="579"/>
        <v>5</v>
      </c>
      <c r="J312" s="122">
        <f t="shared" si="579"/>
        <v>0</v>
      </c>
      <c r="K312" s="26">
        <f t="shared" si="579"/>
        <v>0</v>
      </c>
      <c r="L312" s="26">
        <f t="shared" si="579"/>
        <v>0</v>
      </c>
      <c r="M312" s="26">
        <f t="shared" si="579"/>
        <v>0</v>
      </c>
      <c r="N312" s="26">
        <f t="shared" si="579"/>
        <v>0</v>
      </c>
      <c r="O312" s="26">
        <f t="shared" si="579"/>
        <v>1</v>
      </c>
      <c r="P312" s="122">
        <f t="shared" si="579"/>
        <v>0</v>
      </c>
      <c r="Q312" s="26">
        <f t="shared" si="579"/>
        <v>0</v>
      </c>
      <c r="R312" s="26">
        <f t="shared" si="579"/>
        <v>0</v>
      </c>
      <c r="S312" s="26">
        <f t="shared" si="579"/>
        <v>0</v>
      </c>
      <c r="T312" s="26">
        <f t="shared" si="579"/>
        <v>0</v>
      </c>
      <c r="U312" s="26">
        <f t="shared" si="579"/>
        <v>0</v>
      </c>
      <c r="V312" s="26">
        <f>IF(V305="","",U305+U306-V305)</f>
        <v>1</v>
      </c>
      <c r="W312" s="26">
        <f t="shared" si="579"/>
        <v>0</v>
      </c>
      <c r="X312" s="26">
        <f t="shared" si="579"/>
        <v>0</v>
      </c>
      <c r="Y312" s="26">
        <f t="shared" si="579"/>
        <v>0</v>
      </c>
      <c r="Z312" s="26">
        <f t="shared" si="579"/>
        <v>0</v>
      </c>
      <c r="AA312" s="26">
        <f t="shared" si="579"/>
        <v>2</v>
      </c>
      <c r="AB312" s="26">
        <f t="shared" si="579"/>
        <v>0</v>
      </c>
      <c r="AC312" s="26">
        <f t="shared" si="579"/>
        <v>0</v>
      </c>
      <c r="AD312" s="26">
        <f t="shared" si="579"/>
        <v>0</v>
      </c>
      <c r="AE312" s="26" t="str">
        <f t="shared" si="579"/>
        <v/>
      </c>
      <c r="AF312" s="26" t="str">
        <f t="shared" si="579"/>
        <v/>
      </c>
      <c r="AG312" s="26" t="str">
        <f t="shared" si="579"/>
        <v/>
      </c>
      <c r="AH312" s="26" t="str">
        <f t="shared" si="579"/>
        <v/>
      </c>
      <c r="AI312" s="26" t="str">
        <f t="shared" si="579"/>
        <v/>
      </c>
      <c r="AJ312" s="26" t="str">
        <f t="shared" si="579"/>
        <v/>
      </c>
      <c r="AK312" s="26" t="str">
        <f t="shared" si="579"/>
        <v/>
      </c>
      <c r="AL312" s="26" t="str">
        <f t="shared" si="579"/>
        <v/>
      </c>
      <c r="AM312" s="26" t="str">
        <f t="shared" si="579"/>
        <v/>
      </c>
      <c r="AN312" s="26" t="str">
        <f t="shared" si="579"/>
        <v/>
      </c>
      <c r="AO312" s="26" t="str">
        <f t="shared" si="579"/>
        <v/>
      </c>
      <c r="AP312" s="26" t="str">
        <f t="shared" ref="AP312:AR312" si="580">IF(AP305="","",AO305+AO306-AP305)</f>
        <v/>
      </c>
      <c r="AQ312" s="26" t="str">
        <f t="shared" si="580"/>
        <v/>
      </c>
      <c r="AR312" s="26" t="str">
        <f t="shared" si="580"/>
        <v/>
      </c>
    </row>
    <row r="313" spans="1:44" s="93" customFormat="1">
      <c r="A313" s="7">
        <f>SUM(C313:AS313)</f>
        <v>7380</v>
      </c>
      <c r="B313" s="27" t="s">
        <v>18</v>
      </c>
      <c r="C313" s="65">
        <v>0</v>
      </c>
      <c r="D313" s="26">
        <f t="shared" ref="D313:AO313" si="581">IF(D303="","",D312*D307)</f>
        <v>0</v>
      </c>
      <c r="E313" s="26">
        <f t="shared" si="581"/>
        <v>0</v>
      </c>
      <c r="F313" s="26">
        <f t="shared" si="581"/>
        <v>0</v>
      </c>
      <c r="G313" s="122">
        <f t="shared" si="581"/>
        <v>0</v>
      </c>
      <c r="H313" s="26">
        <f t="shared" si="581"/>
        <v>0</v>
      </c>
      <c r="I313" s="26">
        <f t="shared" si="581"/>
        <v>4100</v>
      </c>
      <c r="J313" s="122">
        <f t="shared" si="581"/>
        <v>0</v>
      </c>
      <c r="K313" s="26">
        <f t="shared" si="581"/>
        <v>0</v>
      </c>
      <c r="L313" s="26">
        <f t="shared" si="581"/>
        <v>0</v>
      </c>
      <c r="M313" s="26">
        <f t="shared" si="581"/>
        <v>0</v>
      </c>
      <c r="N313" s="26">
        <f t="shared" si="581"/>
        <v>0</v>
      </c>
      <c r="O313" s="26">
        <f t="shared" si="581"/>
        <v>820</v>
      </c>
      <c r="P313" s="122">
        <f t="shared" si="581"/>
        <v>0</v>
      </c>
      <c r="Q313" s="26">
        <f t="shared" si="581"/>
        <v>0</v>
      </c>
      <c r="R313" s="26">
        <f t="shared" si="581"/>
        <v>0</v>
      </c>
      <c r="S313" s="26">
        <f t="shared" si="581"/>
        <v>0</v>
      </c>
      <c r="T313" s="26">
        <f t="shared" si="581"/>
        <v>0</v>
      </c>
      <c r="U313" s="26">
        <f t="shared" si="581"/>
        <v>0</v>
      </c>
      <c r="V313" s="26">
        <f>IF(V303="","",V312*V307)</f>
        <v>820</v>
      </c>
      <c r="W313" s="26">
        <f t="shared" si="581"/>
        <v>0</v>
      </c>
      <c r="X313" s="26">
        <f t="shared" si="581"/>
        <v>0</v>
      </c>
      <c r="Y313" s="26">
        <f t="shared" si="581"/>
        <v>0</v>
      </c>
      <c r="Z313" s="26">
        <f t="shared" si="581"/>
        <v>0</v>
      </c>
      <c r="AA313" s="26">
        <f t="shared" si="581"/>
        <v>1640</v>
      </c>
      <c r="AB313" s="26">
        <f t="shared" si="581"/>
        <v>0</v>
      </c>
      <c r="AC313" s="26">
        <f t="shared" si="581"/>
        <v>0</v>
      </c>
      <c r="AD313" s="26">
        <f t="shared" si="581"/>
        <v>0</v>
      </c>
      <c r="AE313" s="26" t="str">
        <f t="shared" si="581"/>
        <v/>
      </c>
      <c r="AF313" s="26" t="str">
        <f t="shared" si="581"/>
        <v/>
      </c>
      <c r="AG313" s="26" t="str">
        <f t="shared" si="581"/>
        <v/>
      </c>
      <c r="AH313" s="26" t="str">
        <f t="shared" si="581"/>
        <v/>
      </c>
      <c r="AI313" s="26" t="str">
        <f t="shared" si="581"/>
        <v/>
      </c>
      <c r="AJ313" s="26" t="str">
        <f t="shared" si="581"/>
        <v/>
      </c>
      <c r="AK313" s="26" t="str">
        <f t="shared" si="581"/>
        <v/>
      </c>
      <c r="AL313" s="26" t="str">
        <f t="shared" si="581"/>
        <v/>
      </c>
      <c r="AM313" s="26" t="str">
        <f t="shared" si="581"/>
        <v/>
      </c>
      <c r="AN313" s="26" t="str">
        <f t="shared" si="581"/>
        <v/>
      </c>
      <c r="AO313" s="26" t="str">
        <f t="shared" si="581"/>
        <v/>
      </c>
      <c r="AP313" s="26" t="str">
        <f t="shared" ref="AP313:AR313" si="582">IF(AP303="","",AP312*AP307)</f>
        <v/>
      </c>
      <c r="AQ313" s="26" t="str">
        <f t="shared" si="582"/>
        <v/>
      </c>
      <c r="AR313" s="26" t="str">
        <f t="shared" si="582"/>
        <v/>
      </c>
    </row>
    <row r="314" spans="1:44" s="93" customFormat="1" ht="12" thickBot="1">
      <c r="A314" s="4">
        <f>IF(A313="","",A313/(A310*100))</f>
        <v>9.5968790637191159E-2</v>
      </c>
      <c r="B314" s="27" t="s">
        <v>20</v>
      </c>
      <c r="C314" s="68" t="s">
        <v>21</v>
      </c>
      <c r="D314" s="44" t="str">
        <f t="shared" ref="D314:AO314" si="583">IF(D313="","",IF(D313=0,"",D313/(D310*100)))</f>
        <v/>
      </c>
      <c r="E314" s="44" t="str">
        <f t="shared" si="583"/>
        <v/>
      </c>
      <c r="F314" s="44" t="str">
        <f t="shared" si="583"/>
        <v/>
      </c>
      <c r="G314" s="384" t="str">
        <f t="shared" si="583"/>
        <v/>
      </c>
      <c r="H314" s="44" t="str">
        <f t="shared" si="583"/>
        <v/>
      </c>
      <c r="I314" s="44">
        <f t="shared" si="583"/>
        <v>0.22777777777777777</v>
      </c>
      <c r="J314" s="384" t="str">
        <f t="shared" si="583"/>
        <v/>
      </c>
      <c r="K314" s="44" t="str">
        <f t="shared" si="583"/>
        <v/>
      </c>
      <c r="L314" s="44" t="str">
        <f t="shared" si="583"/>
        <v/>
      </c>
      <c r="M314" s="44" t="str">
        <f t="shared" si="583"/>
        <v/>
      </c>
      <c r="N314" s="44" t="str">
        <f t="shared" si="583"/>
        <v/>
      </c>
      <c r="O314" s="44">
        <f t="shared" si="583"/>
        <v>6.8907563025210089E-2</v>
      </c>
      <c r="P314" s="384" t="str">
        <f t="shared" si="583"/>
        <v/>
      </c>
      <c r="Q314" s="44" t="str">
        <f t="shared" si="583"/>
        <v/>
      </c>
      <c r="R314" s="44" t="str">
        <f t="shared" si="583"/>
        <v/>
      </c>
      <c r="S314" s="44" t="str">
        <f t="shared" si="583"/>
        <v/>
      </c>
      <c r="T314" s="44" t="str">
        <f t="shared" si="583"/>
        <v/>
      </c>
      <c r="U314" s="44" t="str">
        <f t="shared" si="583"/>
        <v/>
      </c>
      <c r="V314" s="44">
        <f>IF(V313="","",IF(V313=0,"",V313/(V310*100)))</f>
        <v>8.2828282828282834E-2</v>
      </c>
      <c r="W314" s="44" t="str">
        <f t="shared" si="583"/>
        <v/>
      </c>
      <c r="X314" s="44" t="str">
        <f t="shared" si="583"/>
        <v/>
      </c>
      <c r="Y314" s="44" t="str">
        <f t="shared" si="583"/>
        <v/>
      </c>
      <c r="Z314" s="44" t="str">
        <f t="shared" si="583"/>
        <v/>
      </c>
      <c r="AA314" s="44">
        <f t="shared" si="583"/>
        <v>6.2357414448669199E-2</v>
      </c>
      <c r="AB314" s="44" t="str">
        <f t="shared" si="583"/>
        <v/>
      </c>
      <c r="AC314" s="44" t="str">
        <f t="shared" si="583"/>
        <v/>
      </c>
      <c r="AD314" s="44" t="str">
        <f t="shared" si="583"/>
        <v/>
      </c>
      <c r="AE314" s="44" t="str">
        <f t="shared" si="583"/>
        <v/>
      </c>
      <c r="AF314" s="44" t="str">
        <f t="shared" si="583"/>
        <v/>
      </c>
      <c r="AG314" s="44" t="str">
        <f t="shared" si="583"/>
        <v/>
      </c>
      <c r="AH314" s="44" t="str">
        <f t="shared" si="583"/>
        <v/>
      </c>
      <c r="AI314" s="44" t="str">
        <f t="shared" si="583"/>
        <v/>
      </c>
      <c r="AJ314" s="44" t="str">
        <f t="shared" si="583"/>
        <v/>
      </c>
      <c r="AK314" s="44" t="str">
        <f t="shared" si="583"/>
        <v/>
      </c>
      <c r="AL314" s="44" t="str">
        <f t="shared" si="583"/>
        <v/>
      </c>
      <c r="AM314" s="44" t="str">
        <f t="shared" si="583"/>
        <v/>
      </c>
      <c r="AN314" s="44" t="str">
        <f t="shared" si="583"/>
        <v/>
      </c>
      <c r="AO314" s="44" t="str">
        <f t="shared" si="583"/>
        <v/>
      </c>
      <c r="AP314" s="44" t="str">
        <f t="shared" ref="AP314:AR314" si="584">IF(AP313="","",IF(AP313=0,"",AP313/(AP310*100)))</f>
        <v/>
      </c>
      <c r="AQ314" s="44" t="str">
        <f t="shared" si="584"/>
        <v/>
      </c>
      <c r="AR314" s="44" t="str">
        <f t="shared" si="584"/>
        <v/>
      </c>
    </row>
    <row r="315" spans="1:44" s="93" customFormat="1">
      <c r="A315" s="43" t="str">
        <f>A303</f>
        <v>南熊本</v>
      </c>
      <c r="B315" s="42" t="s">
        <v>2</v>
      </c>
      <c r="C315" s="64">
        <v>2798</v>
      </c>
      <c r="D315" s="35">
        <f>IF(D$279="","",C315)</f>
        <v>2798</v>
      </c>
      <c r="E315" s="35">
        <f>IF(E$279="","",D315)</f>
        <v>2798</v>
      </c>
      <c r="F315" s="35">
        <v>2869</v>
      </c>
      <c r="G315" s="383">
        <f>IF(G$279="","",F315)</f>
        <v>2869</v>
      </c>
      <c r="H315" s="35">
        <f>IF(H$279="","",G315)</f>
        <v>2869</v>
      </c>
      <c r="I315" s="35">
        <v>2885</v>
      </c>
      <c r="J315" s="383">
        <f t="shared" ref="J315:N316" si="585">IF(J$279="","",I315)</f>
        <v>2885</v>
      </c>
      <c r="K315" s="35">
        <f t="shared" si="585"/>
        <v>2885</v>
      </c>
      <c r="L315" s="35">
        <f t="shared" si="585"/>
        <v>2885</v>
      </c>
      <c r="M315" s="35">
        <f t="shared" si="585"/>
        <v>2885</v>
      </c>
      <c r="N315" s="35">
        <f t="shared" si="585"/>
        <v>2885</v>
      </c>
      <c r="O315" s="35">
        <v>3063</v>
      </c>
      <c r="P315" s="383">
        <f t="shared" ref="P315:AO315" si="586">IF(P$279="","",O315)</f>
        <v>3063</v>
      </c>
      <c r="Q315" s="35">
        <f t="shared" si="586"/>
        <v>3063</v>
      </c>
      <c r="R315" s="35">
        <f t="shared" si="586"/>
        <v>3063</v>
      </c>
      <c r="S315" s="35">
        <v>3075</v>
      </c>
      <c r="T315" s="35">
        <f t="shared" si="586"/>
        <v>3075</v>
      </c>
      <c r="U315" s="35">
        <f t="shared" si="586"/>
        <v>3075</v>
      </c>
      <c r="V315" s="35">
        <v>3124</v>
      </c>
      <c r="W315" s="35">
        <f t="shared" si="586"/>
        <v>3124</v>
      </c>
      <c r="X315" s="35">
        <f t="shared" si="586"/>
        <v>3124</v>
      </c>
      <c r="Y315" s="35">
        <f t="shared" si="586"/>
        <v>3124</v>
      </c>
      <c r="Z315" s="35">
        <f t="shared" si="586"/>
        <v>3124</v>
      </c>
      <c r="AA315" s="35">
        <v>3221</v>
      </c>
      <c r="AB315" s="35">
        <f t="shared" si="586"/>
        <v>3221</v>
      </c>
      <c r="AC315" s="35">
        <f t="shared" si="586"/>
        <v>3221</v>
      </c>
      <c r="AD315" s="35">
        <v>3301</v>
      </c>
      <c r="AE315" s="35" t="str">
        <f t="shared" si="586"/>
        <v/>
      </c>
      <c r="AF315" s="35" t="str">
        <f t="shared" si="586"/>
        <v/>
      </c>
      <c r="AG315" s="35" t="str">
        <f t="shared" si="586"/>
        <v/>
      </c>
      <c r="AH315" s="35" t="str">
        <f t="shared" si="586"/>
        <v/>
      </c>
      <c r="AI315" s="35" t="str">
        <f t="shared" si="586"/>
        <v/>
      </c>
      <c r="AJ315" s="35" t="str">
        <f t="shared" si="586"/>
        <v/>
      </c>
      <c r="AK315" s="35" t="str">
        <f t="shared" si="586"/>
        <v/>
      </c>
      <c r="AL315" s="35" t="str">
        <f t="shared" si="586"/>
        <v/>
      </c>
      <c r="AM315" s="35" t="str">
        <f t="shared" si="586"/>
        <v/>
      </c>
      <c r="AN315" s="35" t="str">
        <f t="shared" si="586"/>
        <v/>
      </c>
      <c r="AO315" s="35" t="str">
        <f t="shared" si="586"/>
        <v/>
      </c>
      <c r="AP315" s="35" t="str">
        <f t="shared" ref="AP315:AR315" si="587">IF(AP$279="","",AO315)</f>
        <v/>
      </c>
      <c r="AQ315" s="35" t="str">
        <f t="shared" si="587"/>
        <v/>
      </c>
      <c r="AR315" s="35" t="str">
        <f t="shared" si="587"/>
        <v/>
      </c>
    </row>
    <row r="316" spans="1:44" s="93" customFormat="1">
      <c r="A316" s="37" t="str">
        <f>A304</f>
        <v>BUZZ＃1</v>
      </c>
      <c r="B316" s="30" t="s">
        <v>4</v>
      </c>
      <c r="C316" s="65">
        <v>52</v>
      </c>
      <c r="D316" s="29">
        <f>IF(D$279="","",C316)</f>
        <v>52</v>
      </c>
      <c r="E316" s="29">
        <f>IF(E$279="","",D316)</f>
        <v>52</v>
      </c>
      <c r="F316" s="29">
        <v>54</v>
      </c>
      <c r="G316" s="122">
        <f>IF(G$279="","",F316)</f>
        <v>54</v>
      </c>
      <c r="H316" s="29">
        <f>IF(H$279="","",G316)</f>
        <v>54</v>
      </c>
      <c r="I316" s="29">
        <f>IF(I$279="","",H316)</f>
        <v>54</v>
      </c>
      <c r="J316" s="122">
        <f t="shared" si="585"/>
        <v>54</v>
      </c>
      <c r="K316" s="29">
        <f t="shared" si="585"/>
        <v>54</v>
      </c>
      <c r="L316" s="29">
        <f t="shared" si="585"/>
        <v>54</v>
      </c>
      <c r="M316" s="29">
        <f t="shared" si="585"/>
        <v>54</v>
      </c>
      <c r="N316" s="29">
        <f t="shared" si="585"/>
        <v>54</v>
      </c>
      <c r="O316" s="29">
        <v>57</v>
      </c>
      <c r="P316" s="122">
        <f t="shared" ref="P316:AO316" si="588">IF(P$279="","",O316)</f>
        <v>57</v>
      </c>
      <c r="Q316" s="29">
        <f t="shared" si="588"/>
        <v>57</v>
      </c>
      <c r="R316" s="29">
        <f t="shared" si="588"/>
        <v>57</v>
      </c>
      <c r="S316" s="29">
        <f t="shared" si="588"/>
        <v>57</v>
      </c>
      <c r="T316" s="29">
        <f t="shared" si="588"/>
        <v>57</v>
      </c>
      <c r="U316" s="29">
        <f t="shared" si="588"/>
        <v>57</v>
      </c>
      <c r="V316" s="29">
        <v>58</v>
      </c>
      <c r="W316" s="29">
        <f t="shared" si="588"/>
        <v>58</v>
      </c>
      <c r="X316" s="29">
        <f t="shared" si="588"/>
        <v>58</v>
      </c>
      <c r="Y316" s="29">
        <f t="shared" si="588"/>
        <v>58</v>
      </c>
      <c r="Z316" s="29">
        <f t="shared" si="588"/>
        <v>58</v>
      </c>
      <c r="AA316" s="29">
        <v>59</v>
      </c>
      <c r="AB316" s="29">
        <f t="shared" si="588"/>
        <v>59</v>
      </c>
      <c r="AC316" s="29">
        <f t="shared" si="588"/>
        <v>59</v>
      </c>
      <c r="AD316" s="29">
        <v>60</v>
      </c>
      <c r="AE316" s="29" t="str">
        <f t="shared" si="588"/>
        <v/>
      </c>
      <c r="AF316" s="29" t="str">
        <f t="shared" si="588"/>
        <v/>
      </c>
      <c r="AG316" s="29" t="str">
        <f t="shared" si="588"/>
        <v/>
      </c>
      <c r="AH316" s="29" t="str">
        <f t="shared" si="588"/>
        <v/>
      </c>
      <c r="AI316" s="29" t="str">
        <f t="shared" si="588"/>
        <v/>
      </c>
      <c r="AJ316" s="29" t="str">
        <f t="shared" si="588"/>
        <v/>
      </c>
      <c r="AK316" s="29" t="str">
        <f t="shared" si="588"/>
        <v/>
      </c>
      <c r="AL316" s="29" t="str">
        <f t="shared" si="588"/>
        <v/>
      </c>
      <c r="AM316" s="29" t="str">
        <f t="shared" si="588"/>
        <v/>
      </c>
      <c r="AN316" s="29" t="str">
        <f t="shared" si="588"/>
        <v/>
      </c>
      <c r="AO316" s="29" t="str">
        <f t="shared" si="588"/>
        <v/>
      </c>
      <c r="AP316" s="29" t="str">
        <f t="shared" ref="AP316:AR316" si="589">IF(AP$279="","",AO316)</f>
        <v/>
      </c>
      <c r="AQ316" s="29" t="str">
        <f t="shared" si="589"/>
        <v/>
      </c>
      <c r="AR316" s="29" t="str">
        <f t="shared" si="589"/>
        <v/>
      </c>
    </row>
    <row r="317" spans="1:44" s="93" customFormat="1">
      <c r="A317" s="41">
        <v>4</v>
      </c>
      <c r="B317" s="30" t="s">
        <v>5</v>
      </c>
      <c r="C317" s="65">
        <v>12</v>
      </c>
      <c r="D317" s="29">
        <f>IF(D315="","",(C317+C318))</f>
        <v>12</v>
      </c>
      <c r="E317" s="29">
        <f>IF(E315="","",(D317+D318))</f>
        <v>12</v>
      </c>
      <c r="F317" s="29">
        <v>9</v>
      </c>
      <c r="G317" s="122">
        <f t="shared" ref="G317:N317" si="590">IF(G315="","",(F317+F318))</f>
        <v>5</v>
      </c>
      <c r="H317" s="29">
        <f t="shared" si="590"/>
        <v>5</v>
      </c>
      <c r="I317" s="29">
        <f t="shared" si="590"/>
        <v>5</v>
      </c>
      <c r="J317" s="122">
        <f t="shared" si="590"/>
        <v>5</v>
      </c>
      <c r="K317" s="29">
        <f t="shared" si="590"/>
        <v>5</v>
      </c>
      <c r="L317" s="29">
        <f t="shared" si="590"/>
        <v>5</v>
      </c>
      <c r="M317" s="29">
        <f t="shared" si="590"/>
        <v>5</v>
      </c>
      <c r="N317" s="29">
        <f t="shared" si="590"/>
        <v>5</v>
      </c>
      <c r="O317" s="29">
        <v>2</v>
      </c>
      <c r="P317" s="122">
        <f t="shared" ref="P317:AO317" si="591">IF(P315="","",(O317+O318))</f>
        <v>5</v>
      </c>
      <c r="Q317" s="29">
        <f t="shared" si="591"/>
        <v>5</v>
      </c>
      <c r="R317" s="29">
        <f t="shared" si="591"/>
        <v>5</v>
      </c>
      <c r="S317" s="29">
        <f t="shared" si="591"/>
        <v>5</v>
      </c>
      <c r="T317" s="29">
        <f t="shared" si="591"/>
        <v>5</v>
      </c>
      <c r="U317" s="29">
        <f t="shared" si="591"/>
        <v>5</v>
      </c>
      <c r="V317" s="29">
        <v>4</v>
      </c>
      <c r="W317" s="29">
        <f t="shared" si="591"/>
        <v>4</v>
      </c>
      <c r="X317" s="29">
        <f t="shared" si="591"/>
        <v>4</v>
      </c>
      <c r="Y317" s="29">
        <f t="shared" si="591"/>
        <v>4</v>
      </c>
      <c r="Z317" s="29">
        <f t="shared" si="591"/>
        <v>4</v>
      </c>
      <c r="AA317" s="29">
        <v>3</v>
      </c>
      <c r="AB317" s="29">
        <f t="shared" si="591"/>
        <v>4</v>
      </c>
      <c r="AC317" s="29">
        <f t="shared" si="591"/>
        <v>4</v>
      </c>
      <c r="AD317" s="29">
        <f t="shared" si="591"/>
        <v>4</v>
      </c>
      <c r="AE317" s="29" t="str">
        <f t="shared" si="591"/>
        <v/>
      </c>
      <c r="AF317" s="29" t="str">
        <f t="shared" si="591"/>
        <v/>
      </c>
      <c r="AG317" s="29" t="str">
        <f t="shared" si="591"/>
        <v/>
      </c>
      <c r="AH317" s="29" t="str">
        <f t="shared" si="591"/>
        <v/>
      </c>
      <c r="AI317" s="29" t="str">
        <f t="shared" si="591"/>
        <v/>
      </c>
      <c r="AJ317" s="29" t="str">
        <f t="shared" si="591"/>
        <v/>
      </c>
      <c r="AK317" s="29" t="str">
        <f t="shared" si="591"/>
        <v/>
      </c>
      <c r="AL317" s="29" t="str">
        <f t="shared" si="591"/>
        <v/>
      </c>
      <c r="AM317" s="29" t="str">
        <f t="shared" si="591"/>
        <v/>
      </c>
      <c r="AN317" s="29" t="str">
        <f t="shared" si="591"/>
        <v/>
      </c>
      <c r="AO317" s="29" t="str">
        <f t="shared" si="591"/>
        <v/>
      </c>
      <c r="AP317" s="29" t="str">
        <f t="shared" ref="AP317:AR317" si="592">IF(AP315="","",(AO317+AO318))</f>
        <v/>
      </c>
      <c r="AQ317" s="29" t="str">
        <f t="shared" si="592"/>
        <v/>
      </c>
      <c r="AR317" s="29" t="str">
        <f t="shared" si="592"/>
        <v/>
      </c>
    </row>
    <row r="318" spans="1:44" s="93" customFormat="1">
      <c r="A318" s="14"/>
      <c r="B318" s="30" t="s">
        <v>7</v>
      </c>
      <c r="C318" s="65"/>
      <c r="D318" s="29"/>
      <c r="E318" s="29"/>
      <c r="F318" s="29">
        <v>-4</v>
      </c>
      <c r="G318" s="122"/>
      <c r="H318" s="29"/>
      <c r="I318" s="29"/>
      <c r="J318" s="122"/>
      <c r="K318" s="29"/>
      <c r="L318" s="29"/>
      <c r="M318" s="29"/>
      <c r="N318" s="29"/>
      <c r="O318" s="29">
        <v>3</v>
      </c>
      <c r="P318" s="122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>
        <v>1</v>
      </c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</row>
    <row r="319" spans="1:44" s="93" customFormat="1">
      <c r="A319" s="7"/>
      <c r="B319" s="30" t="s">
        <v>8</v>
      </c>
      <c r="C319" s="64">
        <v>60</v>
      </c>
      <c r="D319" s="35">
        <f>IF(D315="","",C319)</f>
        <v>60</v>
      </c>
      <c r="E319" s="35">
        <f>IF(E315="","",D319)</f>
        <v>60</v>
      </c>
      <c r="F319" s="35">
        <f>IF(F315="","",E319)</f>
        <v>60</v>
      </c>
      <c r="G319" s="383">
        <v>800</v>
      </c>
      <c r="H319" s="35">
        <f t="shared" ref="H319:AO319" si="593">IF(H315="","",G319)</f>
        <v>800</v>
      </c>
      <c r="I319" s="35">
        <f t="shared" si="593"/>
        <v>800</v>
      </c>
      <c r="J319" s="383">
        <f t="shared" si="593"/>
        <v>800</v>
      </c>
      <c r="K319" s="35">
        <f t="shared" si="593"/>
        <v>800</v>
      </c>
      <c r="L319" s="35">
        <f t="shared" si="593"/>
        <v>800</v>
      </c>
      <c r="M319" s="35">
        <f t="shared" si="593"/>
        <v>800</v>
      </c>
      <c r="N319" s="35">
        <f t="shared" si="593"/>
        <v>800</v>
      </c>
      <c r="O319" s="35">
        <f t="shared" si="593"/>
        <v>800</v>
      </c>
      <c r="P319" s="383">
        <f t="shared" si="593"/>
        <v>800</v>
      </c>
      <c r="Q319" s="35">
        <f t="shared" si="593"/>
        <v>800</v>
      </c>
      <c r="R319" s="35">
        <f t="shared" si="593"/>
        <v>800</v>
      </c>
      <c r="S319" s="35">
        <f t="shared" si="593"/>
        <v>800</v>
      </c>
      <c r="T319" s="35">
        <f t="shared" si="593"/>
        <v>800</v>
      </c>
      <c r="U319" s="35">
        <f t="shared" si="593"/>
        <v>800</v>
      </c>
      <c r="V319" s="35">
        <f>IF(V315="","",U319)</f>
        <v>800</v>
      </c>
      <c r="W319" s="35">
        <f t="shared" si="593"/>
        <v>800</v>
      </c>
      <c r="X319" s="35">
        <f t="shared" si="593"/>
        <v>800</v>
      </c>
      <c r="Y319" s="35">
        <f t="shared" si="593"/>
        <v>800</v>
      </c>
      <c r="Z319" s="35">
        <f t="shared" si="593"/>
        <v>800</v>
      </c>
      <c r="AA319" s="35">
        <f t="shared" si="593"/>
        <v>800</v>
      </c>
      <c r="AB319" s="35">
        <f t="shared" si="593"/>
        <v>800</v>
      </c>
      <c r="AC319" s="35">
        <f t="shared" si="593"/>
        <v>800</v>
      </c>
      <c r="AD319" s="35">
        <f t="shared" si="593"/>
        <v>800</v>
      </c>
      <c r="AE319" s="35" t="str">
        <f t="shared" si="593"/>
        <v/>
      </c>
      <c r="AF319" s="35" t="str">
        <f t="shared" si="593"/>
        <v/>
      </c>
      <c r="AG319" s="35" t="str">
        <f t="shared" si="593"/>
        <v/>
      </c>
      <c r="AH319" s="35" t="str">
        <f t="shared" si="593"/>
        <v/>
      </c>
      <c r="AI319" s="35" t="str">
        <f t="shared" si="593"/>
        <v/>
      </c>
      <c r="AJ319" s="35" t="str">
        <f t="shared" si="593"/>
        <v/>
      </c>
      <c r="AK319" s="35" t="str">
        <f t="shared" si="593"/>
        <v/>
      </c>
      <c r="AL319" s="35" t="str">
        <f t="shared" si="593"/>
        <v/>
      </c>
      <c r="AM319" s="35" t="str">
        <f t="shared" si="593"/>
        <v/>
      </c>
      <c r="AN319" s="35" t="str">
        <f t="shared" si="593"/>
        <v/>
      </c>
      <c r="AO319" s="35" t="str">
        <f t="shared" si="593"/>
        <v/>
      </c>
      <c r="AP319" s="35" t="str">
        <f t="shared" ref="AP319:AR319" si="594">IF(AP315="","",AO319)</f>
        <v/>
      </c>
      <c r="AQ319" s="35" t="str">
        <f t="shared" si="594"/>
        <v/>
      </c>
      <c r="AR319" s="35" t="str">
        <f t="shared" si="594"/>
        <v/>
      </c>
    </row>
    <row r="320" spans="1:44" s="94" customFormat="1">
      <c r="A320" s="14" t="s">
        <v>9</v>
      </c>
      <c r="B320" s="33" t="s">
        <v>10</v>
      </c>
      <c r="C320" s="63" t="s">
        <v>189</v>
      </c>
      <c r="D320" s="32" t="str">
        <f>IF(D315="","",C320)</f>
        <v>しば犬たまご</v>
      </c>
      <c r="E320" s="32" t="str">
        <f>IF(E315="","",D320)</f>
        <v>しば犬たまご</v>
      </c>
      <c r="F320" s="32" t="str">
        <f>IF(F315="","",E320)</f>
        <v>しば犬たまご</v>
      </c>
      <c r="G320" s="123" t="s">
        <v>54</v>
      </c>
      <c r="H320" s="32" t="str">
        <f t="shared" ref="H320:AO320" si="595">IF(H315="","",G320)</f>
        <v>サンリオバンズクリップ</v>
      </c>
      <c r="I320" s="32" t="str">
        <f t="shared" si="595"/>
        <v>サンリオバンズクリップ</v>
      </c>
      <c r="J320" s="123" t="str">
        <f t="shared" si="595"/>
        <v>サンリオバンズクリップ</v>
      </c>
      <c r="K320" s="32" t="str">
        <f t="shared" si="595"/>
        <v>サンリオバンズクリップ</v>
      </c>
      <c r="L320" s="32" t="str">
        <f t="shared" si="595"/>
        <v>サンリオバンズクリップ</v>
      </c>
      <c r="M320" s="32" t="str">
        <f t="shared" si="595"/>
        <v>サンリオバンズクリップ</v>
      </c>
      <c r="N320" s="32" t="str">
        <f t="shared" si="595"/>
        <v>サンリオバンズクリップ</v>
      </c>
      <c r="O320" s="32" t="str">
        <f t="shared" si="595"/>
        <v>サンリオバンズクリップ</v>
      </c>
      <c r="P320" s="123" t="str">
        <f t="shared" si="595"/>
        <v>サンリオバンズクリップ</v>
      </c>
      <c r="Q320" s="32" t="str">
        <f t="shared" si="595"/>
        <v>サンリオバンズクリップ</v>
      </c>
      <c r="R320" s="32" t="str">
        <f t="shared" si="595"/>
        <v>サンリオバンズクリップ</v>
      </c>
      <c r="S320" s="32" t="str">
        <f t="shared" si="595"/>
        <v>サンリオバンズクリップ</v>
      </c>
      <c r="T320" s="32" t="str">
        <f t="shared" si="595"/>
        <v>サンリオバンズクリップ</v>
      </c>
      <c r="U320" s="32" t="str">
        <f t="shared" si="595"/>
        <v>サンリオバンズクリップ</v>
      </c>
      <c r="V320" s="32" t="str">
        <f>IF(V315="","",U320)</f>
        <v>サンリオバンズクリップ</v>
      </c>
      <c r="W320" s="32" t="str">
        <f t="shared" si="595"/>
        <v>サンリオバンズクリップ</v>
      </c>
      <c r="X320" s="32" t="str">
        <f t="shared" si="595"/>
        <v>サンリオバンズクリップ</v>
      </c>
      <c r="Y320" s="32" t="str">
        <f t="shared" si="595"/>
        <v>サンリオバンズクリップ</v>
      </c>
      <c r="Z320" s="32" t="str">
        <f t="shared" si="595"/>
        <v>サンリオバンズクリップ</v>
      </c>
      <c r="AA320" s="32" t="str">
        <f t="shared" si="595"/>
        <v>サンリオバンズクリップ</v>
      </c>
      <c r="AB320" s="32" t="str">
        <f t="shared" si="595"/>
        <v>サンリオバンズクリップ</v>
      </c>
      <c r="AC320" s="32" t="str">
        <f t="shared" si="595"/>
        <v>サンリオバンズクリップ</v>
      </c>
      <c r="AD320" s="32" t="str">
        <f t="shared" si="595"/>
        <v>サンリオバンズクリップ</v>
      </c>
      <c r="AE320" s="32" t="str">
        <f t="shared" si="595"/>
        <v/>
      </c>
      <c r="AF320" s="32" t="str">
        <f t="shared" si="595"/>
        <v/>
      </c>
      <c r="AG320" s="32" t="str">
        <f t="shared" si="595"/>
        <v/>
      </c>
      <c r="AH320" s="32" t="str">
        <f t="shared" si="595"/>
        <v/>
      </c>
      <c r="AI320" s="32" t="str">
        <f t="shared" si="595"/>
        <v/>
      </c>
      <c r="AJ320" s="32" t="str">
        <f t="shared" si="595"/>
        <v/>
      </c>
      <c r="AK320" s="32" t="str">
        <f t="shared" si="595"/>
        <v/>
      </c>
      <c r="AL320" s="32" t="str">
        <f t="shared" si="595"/>
        <v/>
      </c>
      <c r="AM320" s="32" t="str">
        <f t="shared" si="595"/>
        <v/>
      </c>
      <c r="AN320" s="32" t="str">
        <f t="shared" si="595"/>
        <v/>
      </c>
      <c r="AO320" s="32" t="str">
        <f t="shared" si="595"/>
        <v/>
      </c>
      <c r="AP320" s="32" t="str">
        <f t="shared" ref="AP320:AR320" si="596">IF(AP315="","",AO320)</f>
        <v/>
      </c>
      <c r="AQ320" s="32" t="str">
        <f t="shared" si="596"/>
        <v/>
      </c>
      <c r="AR320" s="32" t="str">
        <f t="shared" si="596"/>
        <v/>
      </c>
    </row>
    <row r="321" spans="1:44" s="93" customFormat="1">
      <c r="A321" s="7">
        <f>AVERAGE(C322:AS322)*30*100</f>
        <v>53892.857142857145</v>
      </c>
      <c r="B321" s="30" t="s">
        <v>14</v>
      </c>
      <c r="C321" s="65"/>
      <c r="D321" s="29"/>
      <c r="E321" s="29"/>
      <c r="F321" s="29"/>
      <c r="G321" s="122"/>
      <c r="H321" s="29"/>
      <c r="I321" s="29"/>
      <c r="J321" s="122"/>
      <c r="K321" s="29"/>
      <c r="L321" s="29"/>
      <c r="M321" s="29"/>
      <c r="N321" s="29"/>
      <c r="O321" s="29"/>
      <c r="P321" s="122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</row>
    <row r="322" spans="1:44" s="93" customFormat="1">
      <c r="A322" s="7">
        <f>SUM(C322:AS322)</f>
        <v>503</v>
      </c>
      <c r="B322" s="27" t="s">
        <v>15</v>
      </c>
      <c r="C322" s="65">
        <v>0</v>
      </c>
      <c r="D322" s="26">
        <f t="shared" ref="D322:AO322" si="597">IF(D315="","",D315-C315)</f>
        <v>0</v>
      </c>
      <c r="E322" s="26">
        <f t="shared" si="597"/>
        <v>0</v>
      </c>
      <c r="F322" s="26">
        <f t="shared" si="597"/>
        <v>71</v>
      </c>
      <c r="G322" s="122">
        <f t="shared" si="597"/>
        <v>0</v>
      </c>
      <c r="H322" s="26">
        <f t="shared" si="597"/>
        <v>0</v>
      </c>
      <c r="I322" s="26">
        <f t="shared" si="597"/>
        <v>16</v>
      </c>
      <c r="J322" s="122">
        <f t="shared" si="597"/>
        <v>0</v>
      </c>
      <c r="K322" s="26">
        <f t="shared" si="597"/>
        <v>0</v>
      </c>
      <c r="L322" s="26">
        <f t="shared" si="597"/>
        <v>0</v>
      </c>
      <c r="M322" s="26">
        <f t="shared" si="597"/>
        <v>0</v>
      </c>
      <c r="N322" s="26">
        <f t="shared" si="597"/>
        <v>0</v>
      </c>
      <c r="O322" s="26">
        <f t="shared" si="597"/>
        <v>178</v>
      </c>
      <c r="P322" s="122">
        <f t="shared" si="597"/>
        <v>0</v>
      </c>
      <c r="Q322" s="26">
        <f t="shared" si="597"/>
        <v>0</v>
      </c>
      <c r="R322" s="26">
        <f t="shared" si="597"/>
        <v>0</v>
      </c>
      <c r="S322" s="26">
        <f t="shared" si="597"/>
        <v>12</v>
      </c>
      <c r="T322" s="26">
        <f t="shared" si="597"/>
        <v>0</v>
      </c>
      <c r="U322" s="26">
        <f t="shared" si="597"/>
        <v>0</v>
      </c>
      <c r="V322" s="26">
        <f>IF(V315="","",V315-U315)</f>
        <v>49</v>
      </c>
      <c r="W322" s="26">
        <f t="shared" si="597"/>
        <v>0</v>
      </c>
      <c r="X322" s="26">
        <f t="shared" si="597"/>
        <v>0</v>
      </c>
      <c r="Y322" s="26">
        <f t="shared" si="597"/>
        <v>0</v>
      </c>
      <c r="Z322" s="26">
        <f t="shared" si="597"/>
        <v>0</v>
      </c>
      <c r="AA322" s="26">
        <f t="shared" si="597"/>
        <v>97</v>
      </c>
      <c r="AB322" s="26">
        <f t="shared" si="597"/>
        <v>0</v>
      </c>
      <c r="AC322" s="26">
        <f t="shared" si="597"/>
        <v>0</v>
      </c>
      <c r="AD322" s="26">
        <f t="shared" si="597"/>
        <v>80</v>
      </c>
      <c r="AE322" s="26" t="str">
        <f t="shared" si="597"/>
        <v/>
      </c>
      <c r="AF322" s="26" t="str">
        <f t="shared" si="597"/>
        <v/>
      </c>
      <c r="AG322" s="26" t="str">
        <f t="shared" si="597"/>
        <v/>
      </c>
      <c r="AH322" s="26" t="str">
        <f t="shared" si="597"/>
        <v/>
      </c>
      <c r="AI322" s="26" t="str">
        <f t="shared" si="597"/>
        <v/>
      </c>
      <c r="AJ322" s="26" t="str">
        <f t="shared" si="597"/>
        <v/>
      </c>
      <c r="AK322" s="26" t="str">
        <f t="shared" si="597"/>
        <v/>
      </c>
      <c r="AL322" s="26" t="str">
        <f t="shared" si="597"/>
        <v/>
      </c>
      <c r="AM322" s="26" t="str">
        <f t="shared" si="597"/>
        <v/>
      </c>
      <c r="AN322" s="26" t="str">
        <f t="shared" si="597"/>
        <v/>
      </c>
      <c r="AO322" s="26" t="str">
        <f t="shared" si="597"/>
        <v/>
      </c>
      <c r="AP322" s="26" t="str">
        <f t="shared" ref="AP322:AR322" si="598">IF(AP315="","",AP315-AO315)</f>
        <v/>
      </c>
      <c r="AQ322" s="26" t="str">
        <f t="shared" si="598"/>
        <v/>
      </c>
      <c r="AR322" s="26" t="str">
        <f t="shared" si="598"/>
        <v/>
      </c>
    </row>
    <row r="323" spans="1:44" s="93" customFormat="1">
      <c r="A323" s="7">
        <f>SUM(C323:AS323)</f>
        <v>8</v>
      </c>
      <c r="B323" s="27" t="s">
        <v>16</v>
      </c>
      <c r="C323" s="65">
        <v>0</v>
      </c>
      <c r="D323" s="26">
        <f t="shared" ref="D323:AO323" si="599">IF(D316="","",D316-C316)</f>
        <v>0</v>
      </c>
      <c r="E323" s="26">
        <f t="shared" si="599"/>
        <v>0</v>
      </c>
      <c r="F323" s="26">
        <f t="shared" si="599"/>
        <v>2</v>
      </c>
      <c r="G323" s="122">
        <f t="shared" si="599"/>
        <v>0</v>
      </c>
      <c r="H323" s="26">
        <f t="shared" si="599"/>
        <v>0</v>
      </c>
      <c r="I323" s="26">
        <f t="shared" si="599"/>
        <v>0</v>
      </c>
      <c r="J323" s="122">
        <f t="shared" si="599"/>
        <v>0</v>
      </c>
      <c r="K323" s="26">
        <f t="shared" si="599"/>
        <v>0</v>
      </c>
      <c r="L323" s="26">
        <f t="shared" si="599"/>
        <v>0</v>
      </c>
      <c r="M323" s="26">
        <f t="shared" si="599"/>
        <v>0</v>
      </c>
      <c r="N323" s="26">
        <f t="shared" si="599"/>
        <v>0</v>
      </c>
      <c r="O323" s="26">
        <f t="shared" si="599"/>
        <v>3</v>
      </c>
      <c r="P323" s="122">
        <f t="shared" si="599"/>
        <v>0</v>
      </c>
      <c r="Q323" s="26">
        <f t="shared" si="599"/>
        <v>0</v>
      </c>
      <c r="R323" s="26">
        <f t="shared" si="599"/>
        <v>0</v>
      </c>
      <c r="S323" s="26">
        <f t="shared" si="599"/>
        <v>0</v>
      </c>
      <c r="T323" s="26">
        <f t="shared" si="599"/>
        <v>0</v>
      </c>
      <c r="U323" s="26">
        <f t="shared" si="599"/>
        <v>0</v>
      </c>
      <c r="V323" s="26">
        <f>IF(V316="","",V316-U316)</f>
        <v>1</v>
      </c>
      <c r="W323" s="26">
        <f t="shared" si="599"/>
        <v>0</v>
      </c>
      <c r="X323" s="26">
        <f t="shared" si="599"/>
        <v>0</v>
      </c>
      <c r="Y323" s="26">
        <f t="shared" si="599"/>
        <v>0</v>
      </c>
      <c r="Z323" s="26">
        <f t="shared" si="599"/>
        <v>0</v>
      </c>
      <c r="AA323" s="26">
        <f t="shared" si="599"/>
        <v>1</v>
      </c>
      <c r="AB323" s="26">
        <f t="shared" si="599"/>
        <v>0</v>
      </c>
      <c r="AC323" s="26">
        <f t="shared" si="599"/>
        <v>0</v>
      </c>
      <c r="AD323" s="26">
        <f t="shared" si="599"/>
        <v>1</v>
      </c>
      <c r="AE323" s="26" t="str">
        <f t="shared" si="599"/>
        <v/>
      </c>
      <c r="AF323" s="26" t="str">
        <f t="shared" si="599"/>
        <v/>
      </c>
      <c r="AG323" s="26" t="str">
        <f t="shared" si="599"/>
        <v/>
      </c>
      <c r="AH323" s="26" t="str">
        <f t="shared" si="599"/>
        <v/>
      </c>
      <c r="AI323" s="26" t="str">
        <f t="shared" si="599"/>
        <v/>
      </c>
      <c r="AJ323" s="26" t="str">
        <f t="shared" si="599"/>
        <v/>
      </c>
      <c r="AK323" s="26" t="str">
        <f t="shared" si="599"/>
        <v/>
      </c>
      <c r="AL323" s="26" t="str">
        <f t="shared" si="599"/>
        <v/>
      </c>
      <c r="AM323" s="26" t="str">
        <f t="shared" si="599"/>
        <v/>
      </c>
      <c r="AN323" s="26" t="str">
        <f t="shared" si="599"/>
        <v/>
      </c>
      <c r="AO323" s="26" t="str">
        <f t="shared" si="599"/>
        <v/>
      </c>
      <c r="AP323" s="26" t="str">
        <f t="shared" ref="AP323:AR323" si="600">IF(AP316="","",AP316-AO316)</f>
        <v/>
      </c>
      <c r="AQ323" s="26" t="str">
        <f t="shared" si="600"/>
        <v/>
      </c>
      <c r="AR323" s="26" t="str">
        <f t="shared" si="600"/>
        <v/>
      </c>
    </row>
    <row r="324" spans="1:44" s="93" customFormat="1">
      <c r="A324" s="7">
        <f>SUM(C324:AS324)</f>
        <v>8</v>
      </c>
      <c r="B324" s="27" t="s">
        <v>17</v>
      </c>
      <c r="C324" s="65">
        <v>0</v>
      </c>
      <c r="D324" s="26">
        <f t="shared" ref="D324:AO324" si="601">IF(D317="","",C317+C318-D317)</f>
        <v>0</v>
      </c>
      <c r="E324" s="26">
        <f t="shared" si="601"/>
        <v>0</v>
      </c>
      <c r="F324" s="26">
        <f t="shared" si="601"/>
        <v>3</v>
      </c>
      <c r="G324" s="122">
        <f t="shared" si="601"/>
        <v>0</v>
      </c>
      <c r="H324" s="26">
        <f t="shared" si="601"/>
        <v>0</v>
      </c>
      <c r="I324" s="26">
        <f t="shared" si="601"/>
        <v>0</v>
      </c>
      <c r="J324" s="122">
        <f t="shared" si="601"/>
        <v>0</v>
      </c>
      <c r="K324" s="26">
        <f t="shared" si="601"/>
        <v>0</v>
      </c>
      <c r="L324" s="26">
        <f t="shared" si="601"/>
        <v>0</v>
      </c>
      <c r="M324" s="26">
        <f t="shared" si="601"/>
        <v>0</v>
      </c>
      <c r="N324" s="26">
        <f t="shared" si="601"/>
        <v>0</v>
      </c>
      <c r="O324" s="26">
        <f t="shared" si="601"/>
        <v>3</v>
      </c>
      <c r="P324" s="122">
        <f t="shared" si="601"/>
        <v>0</v>
      </c>
      <c r="Q324" s="26">
        <f t="shared" si="601"/>
        <v>0</v>
      </c>
      <c r="R324" s="26">
        <f t="shared" si="601"/>
        <v>0</v>
      </c>
      <c r="S324" s="26">
        <f t="shared" si="601"/>
        <v>0</v>
      </c>
      <c r="T324" s="26">
        <f t="shared" si="601"/>
        <v>0</v>
      </c>
      <c r="U324" s="26">
        <f t="shared" si="601"/>
        <v>0</v>
      </c>
      <c r="V324" s="26">
        <f>IF(V317="","",U317+U318-V317)</f>
        <v>1</v>
      </c>
      <c r="W324" s="26">
        <f t="shared" si="601"/>
        <v>0</v>
      </c>
      <c r="X324" s="26">
        <f t="shared" si="601"/>
        <v>0</v>
      </c>
      <c r="Y324" s="26">
        <f t="shared" si="601"/>
        <v>0</v>
      </c>
      <c r="Z324" s="26">
        <f t="shared" si="601"/>
        <v>0</v>
      </c>
      <c r="AA324" s="26">
        <f t="shared" si="601"/>
        <v>1</v>
      </c>
      <c r="AB324" s="26">
        <f t="shared" si="601"/>
        <v>0</v>
      </c>
      <c r="AC324" s="26">
        <f t="shared" si="601"/>
        <v>0</v>
      </c>
      <c r="AD324" s="26">
        <f t="shared" si="601"/>
        <v>0</v>
      </c>
      <c r="AE324" s="26" t="str">
        <f t="shared" si="601"/>
        <v/>
      </c>
      <c r="AF324" s="26" t="str">
        <f t="shared" si="601"/>
        <v/>
      </c>
      <c r="AG324" s="26" t="str">
        <f t="shared" si="601"/>
        <v/>
      </c>
      <c r="AH324" s="26" t="str">
        <f t="shared" si="601"/>
        <v/>
      </c>
      <c r="AI324" s="26" t="str">
        <f t="shared" si="601"/>
        <v/>
      </c>
      <c r="AJ324" s="26" t="str">
        <f t="shared" si="601"/>
        <v/>
      </c>
      <c r="AK324" s="26" t="str">
        <f t="shared" si="601"/>
        <v/>
      </c>
      <c r="AL324" s="26" t="str">
        <f t="shared" si="601"/>
        <v/>
      </c>
      <c r="AM324" s="26" t="str">
        <f t="shared" si="601"/>
        <v/>
      </c>
      <c r="AN324" s="26" t="str">
        <f t="shared" si="601"/>
        <v/>
      </c>
      <c r="AO324" s="26" t="str">
        <f t="shared" si="601"/>
        <v/>
      </c>
      <c r="AP324" s="26" t="str">
        <f t="shared" ref="AP324:AR324" si="602">IF(AP317="","",AO317+AO318-AP317)</f>
        <v/>
      </c>
      <c r="AQ324" s="26" t="str">
        <f t="shared" si="602"/>
        <v/>
      </c>
      <c r="AR324" s="26" t="str">
        <f t="shared" si="602"/>
        <v/>
      </c>
    </row>
    <row r="325" spans="1:44" s="93" customFormat="1">
      <c r="A325" s="7">
        <f>SUM(C325:AS325)</f>
        <v>4180</v>
      </c>
      <c r="B325" s="27" t="s">
        <v>18</v>
      </c>
      <c r="C325" s="65">
        <v>0</v>
      </c>
      <c r="D325" s="26">
        <f t="shared" ref="D325:AO325" si="603">IF(D315="","",D324*D319)</f>
        <v>0</v>
      </c>
      <c r="E325" s="26">
        <f t="shared" si="603"/>
        <v>0</v>
      </c>
      <c r="F325" s="26">
        <f t="shared" si="603"/>
        <v>180</v>
      </c>
      <c r="G325" s="122">
        <f t="shared" si="603"/>
        <v>0</v>
      </c>
      <c r="H325" s="26">
        <f t="shared" si="603"/>
        <v>0</v>
      </c>
      <c r="I325" s="26">
        <f t="shared" si="603"/>
        <v>0</v>
      </c>
      <c r="J325" s="122">
        <f t="shared" si="603"/>
        <v>0</v>
      </c>
      <c r="K325" s="26">
        <f t="shared" si="603"/>
        <v>0</v>
      </c>
      <c r="L325" s="26">
        <f t="shared" si="603"/>
        <v>0</v>
      </c>
      <c r="M325" s="26">
        <f t="shared" si="603"/>
        <v>0</v>
      </c>
      <c r="N325" s="26">
        <f t="shared" si="603"/>
        <v>0</v>
      </c>
      <c r="O325" s="26">
        <f t="shared" si="603"/>
        <v>2400</v>
      </c>
      <c r="P325" s="122">
        <f t="shared" si="603"/>
        <v>0</v>
      </c>
      <c r="Q325" s="26">
        <f t="shared" si="603"/>
        <v>0</v>
      </c>
      <c r="R325" s="26">
        <f t="shared" si="603"/>
        <v>0</v>
      </c>
      <c r="S325" s="26">
        <f t="shared" si="603"/>
        <v>0</v>
      </c>
      <c r="T325" s="26">
        <f t="shared" si="603"/>
        <v>0</v>
      </c>
      <c r="U325" s="26">
        <f t="shared" si="603"/>
        <v>0</v>
      </c>
      <c r="V325" s="26">
        <f>IF(V315="","",V324*V319)</f>
        <v>800</v>
      </c>
      <c r="W325" s="26">
        <f t="shared" si="603"/>
        <v>0</v>
      </c>
      <c r="X325" s="26">
        <f t="shared" si="603"/>
        <v>0</v>
      </c>
      <c r="Y325" s="26">
        <f t="shared" si="603"/>
        <v>0</v>
      </c>
      <c r="Z325" s="26">
        <f t="shared" si="603"/>
        <v>0</v>
      </c>
      <c r="AA325" s="26">
        <f t="shared" si="603"/>
        <v>800</v>
      </c>
      <c r="AB325" s="26">
        <f t="shared" si="603"/>
        <v>0</v>
      </c>
      <c r="AC325" s="26">
        <f t="shared" si="603"/>
        <v>0</v>
      </c>
      <c r="AD325" s="26">
        <f t="shared" si="603"/>
        <v>0</v>
      </c>
      <c r="AE325" s="26" t="str">
        <f t="shared" si="603"/>
        <v/>
      </c>
      <c r="AF325" s="26" t="str">
        <f t="shared" si="603"/>
        <v/>
      </c>
      <c r="AG325" s="26" t="str">
        <f t="shared" si="603"/>
        <v/>
      </c>
      <c r="AH325" s="26" t="str">
        <f t="shared" si="603"/>
        <v/>
      </c>
      <c r="AI325" s="26" t="str">
        <f t="shared" si="603"/>
        <v/>
      </c>
      <c r="AJ325" s="26" t="str">
        <f t="shared" si="603"/>
        <v/>
      </c>
      <c r="AK325" s="26" t="str">
        <f t="shared" si="603"/>
        <v/>
      </c>
      <c r="AL325" s="26" t="str">
        <f t="shared" si="603"/>
        <v/>
      </c>
      <c r="AM325" s="26" t="str">
        <f t="shared" si="603"/>
        <v/>
      </c>
      <c r="AN325" s="26" t="str">
        <f t="shared" si="603"/>
        <v/>
      </c>
      <c r="AO325" s="26" t="str">
        <f t="shared" si="603"/>
        <v/>
      </c>
      <c r="AP325" s="26" t="str">
        <f t="shared" ref="AP325:AR325" si="604">IF(AP315="","",AP324*AP319)</f>
        <v/>
      </c>
      <c r="AQ325" s="26" t="str">
        <f t="shared" si="604"/>
        <v/>
      </c>
      <c r="AR325" s="26" t="str">
        <f t="shared" si="604"/>
        <v/>
      </c>
    </row>
    <row r="326" spans="1:44" s="93" customFormat="1" ht="12" thickBot="1">
      <c r="A326" s="4">
        <f>IF(A325="","",A325/(A322*100))</f>
        <v>8.3101391650099402E-2</v>
      </c>
      <c r="B326" s="24" t="s">
        <v>20</v>
      </c>
      <c r="C326" s="67" t="s">
        <v>21</v>
      </c>
      <c r="D326" s="23" t="str">
        <f t="shared" ref="D326:AO326" si="605">IF(D325="","",IF(D325=0,"",D325/(D322*100)))</f>
        <v/>
      </c>
      <c r="E326" s="23" t="str">
        <f t="shared" si="605"/>
        <v/>
      </c>
      <c r="F326" s="23">
        <f t="shared" si="605"/>
        <v>2.5352112676056339E-2</v>
      </c>
      <c r="G326" s="124" t="str">
        <f t="shared" si="605"/>
        <v/>
      </c>
      <c r="H326" s="23" t="str">
        <f t="shared" si="605"/>
        <v/>
      </c>
      <c r="I326" s="23" t="str">
        <f t="shared" si="605"/>
        <v/>
      </c>
      <c r="J326" s="124" t="str">
        <f t="shared" si="605"/>
        <v/>
      </c>
      <c r="K326" s="23" t="str">
        <f t="shared" si="605"/>
        <v/>
      </c>
      <c r="L326" s="23" t="str">
        <f t="shared" si="605"/>
        <v/>
      </c>
      <c r="M326" s="23" t="str">
        <f t="shared" si="605"/>
        <v/>
      </c>
      <c r="N326" s="23" t="str">
        <f t="shared" si="605"/>
        <v/>
      </c>
      <c r="O326" s="23">
        <f t="shared" si="605"/>
        <v>0.1348314606741573</v>
      </c>
      <c r="P326" s="124" t="str">
        <f t="shared" si="605"/>
        <v/>
      </c>
      <c r="Q326" s="23" t="str">
        <f t="shared" si="605"/>
        <v/>
      </c>
      <c r="R326" s="23" t="str">
        <f t="shared" si="605"/>
        <v/>
      </c>
      <c r="S326" s="23" t="str">
        <f t="shared" si="605"/>
        <v/>
      </c>
      <c r="T326" s="23" t="str">
        <f t="shared" si="605"/>
        <v/>
      </c>
      <c r="U326" s="23" t="str">
        <f t="shared" si="605"/>
        <v/>
      </c>
      <c r="V326" s="23">
        <f>IF(V325="","",IF(V325=0,"",V325/(V322*100)))</f>
        <v>0.16326530612244897</v>
      </c>
      <c r="W326" s="23" t="str">
        <f t="shared" si="605"/>
        <v/>
      </c>
      <c r="X326" s="23" t="str">
        <f t="shared" si="605"/>
        <v/>
      </c>
      <c r="Y326" s="23" t="str">
        <f t="shared" si="605"/>
        <v/>
      </c>
      <c r="Z326" s="23" t="str">
        <f t="shared" si="605"/>
        <v/>
      </c>
      <c r="AA326" s="23">
        <f t="shared" si="605"/>
        <v>8.247422680412371E-2</v>
      </c>
      <c r="AB326" s="23" t="str">
        <f t="shared" si="605"/>
        <v/>
      </c>
      <c r="AC326" s="23" t="str">
        <f t="shared" si="605"/>
        <v/>
      </c>
      <c r="AD326" s="23" t="str">
        <f t="shared" si="605"/>
        <v/>
      </c>
      <c r="AE326" s="23" t="str">
        <f t="shared" si="605"/>
        <v/>
      </c>
      <c r="AF326" s="23" t="str">
        <f t="shared" si="605"/>
        <v/>
      </c>
      <c r="AG326" s="23" t="str">
        <f t="shared" si="605"/>
        <v/>
      </c>
      <c r="AH326" s="23" t="str">
        <f t="shared" si="605"/>
        <v/>
      </c>
      <c r="AI326" s="23" t="str">
        <f t="shared" si="605"/>
        <v/>
      </c>
      <c r="AJ326" s="23" t="str">
        <f t="shared" si="605"/>
        <v/>
      </c>
      <c r="AK326" s="23" t="str">
        <f t="shared" si="605"/>
        <v/>
      </c>
      <c r="AL326" s="23" t="str">
        <f t="shared" si="605"/>
        <v/>
      </c>
      <c r="AM326" s="23" t="str">
        <f t="shared" si="605"/>
        <v/>
      </c>
      <c r="AN326" s="23" t="str">
        <f t="shared" si="605"/>
        <v/>
      </c>
      <c r="AO326" s="23" t="str">
        <f t="shared" si="605"/>
        <v/>
      </c>
      <c r="AP326" s="23" t="str">
        <f t="shared" ref="AP326:AR326" si="606">IF(AP325="","",IF(AP325=0,"",AP325/(AP322*100)))</f>
        <v/>
      </c>
      <c r="AQ326" s="23" t="str">
        <f t="shared" si="606"/>
        <v/>
      </c>
      <c r="AR326" s="23" t="str">
        <f t="shared" si="606"/>
        <v/>
      </c>
    </row>
    <row r="327" spans="1:44" s="93" customFormat="1">
      <c r="A327" s="40" t="s">
        <v>151</v>
      </c>
      <c r="B327" s="39" t="s">
        <v>2</v>
      </c>
      <c r="C327" s="66">
        <v>3443</v>
      </c>
      <c r="D327" s="38">
        <f>IF(D$279="","",C327)</f>
        <v>3443</v>
      </c>
      <c r="E327" s="38">
        <f>IF(E$279="","",D327)</f>
        <v>3443</v>
      </c>
      <c r="F327" s="38">
        <v>3588</v>
      </c>
      <c r="G327" s="121">
        <f>IF(G$279="","",F327)</f>
        <v>3588</v>
      </c>
      <c r="H327" s="38">
        <f>IF(H$279="","",G327)</f>
        <v>3588</v>
      </c>
      <c r="I327" s="38">
        <v>3692</v>
      </c>
      <c r="J327" s="121">
        <f t="shared" ref="J327:N328" si="607">IF(J$279="","",I327)</f>
        <v>3692</v>
      </c>
      <c r="K327" s="38">
        <f t="shared" si="607"/>
        <v>3692</v>
      </c>
      <c r="L327" s="38">
        <f t="shared" si="607"/>
        <v>3692</v>
      </c>
      <c r="M327" s="38">
        <f t="shared" si="607"/>
        <v>3692</v>
      </c>
      <c r="N327" s="38">
        <f t="shared" si="607"/>
        <v>3692</v>
      </c>
      <c r="O327" s="38">
        <v>3767</v>
      </c>
      <c r="P327" s="121">
        <f t="shared" ref="P327:AO327" si="608">IF(P$279="","",O327)</f>
        <v>3767</v>
      </c>
      <c r="Q327" s="38">
        <f t="shared" si="608"/>
        <v>3767</v>
      </c>
      <c r="R327" s="38">
        <f t="shared" si="608"/>
        <v>3767</v>
      </c>
      <c r="S327" s="38">
        <v>3820</v>
      </c>
      <c r="T327" s="38">
        <f t="shared" si="608"/>
        <v>3820</v>
      </c>
      <c r="U327" s="38">
        <f t="shared" si="608"/>
        <v>3820</v>
      </c>
      <c r="V327" s="38">
        <v>3894</v>
      </c>
      <c r="W327" s="38">
        <f t="shared" si="608"/>
        <v>3894</v>
      </c>
      <c r="X327" s="38">
        <f t="shared" si="608"/>
        <v>3894</v>
      </c>
      <c r="Y327" s="38">
        <f t="shared" si="608"/>
        <v>3894</v>
      </c>
      <c r="Z327" s="38">
        <f t="shared" si="608"/>
        <v>3894</v>
      </c>
      <c r="AA327" s="38">
        <v>3927</v>
      </c>
      <c r="AB327" s="38">
        <f t="shared" si="608"/>
        <v>3927</v>
      </c>
      <c r="AC327" s="38">
        <f t="shared" si="608"/>
        <v>3927</v>
      </c>
      <c r="AD327" s="38">
        <v>4017</v>
      </c>
      <c r="AE327" s="38" t="str">
        <f t="shared" si="608"/>
        <v/>
      </c>
      <c r="AF327" s="38" t="str">
        <f t="shared" si="608"/>
        <v/>
      </c>
      <c r="AG327" s="38" t="str">
        <f t="shared" si="608"/>
        <v/>
      </c>
      <c r="AH327" s="38" t="str">
        <f t="shared" si="608"/>
        <v/>
      </c>
      <c r="AI327" s="38" t="str">
        <f t="shared" si="608"/>
        <v/>
      </c>
      <c r="AJ327" s="38" t="str">
        <f t="shared" si="608"/>
        <v/>
      </c>
      <c r="AK327" s="38" t="str">
        <f t="shared" si="608"/>
        <v/>
      </c>
      <c r="AL327" s="38" t="str">
        <f t="shared" si="608"/>
        <v/>
      </c>
      <c r="AM327" s="38" t="str">
        <f t="shared" si="608"/>
        <v/>
      </c>
      <c r="AN327" s="38" t="str">
        <f t="shared" si="608"/>
        <v/>
      </c>
      <c r="AO327" s="38" t="str">
        <f t="shared" si="608"/>
        <v/>
      </c>
      <c r="AP327" s="38" t="str">
        <f t="shared" ref="AP327:AR327" si="609">IF(AP$279="","",AO327)</f>
        <v/>
      </c>
      <c r="AQ327" s="38" t="str">
        <f t="shared" si="609"/>
        <v/>
      </c>
      <c r="AR327" s="38" t="str">
        <f t="shared" si="609"/>
        <v/>
      </c>
    </row>
    <row r="328" spans="1:44" s="93" customFormat="1">
      <c r="A328" s="37" t="s">
        <v>28</v>
      </c>
      <c r="B328" s="30" t="s">
        <v>4</v>
      </c>
      <c r="C328" s="65">
        <v>61</v>
      </c>
      <c r="D328" s="29">
        <f>IF(D$279="","",C328)</f>
        <v>61</v>
      </c>
      <c r="E328" s="29">
        <f>IF(E$279="","",D328)</f>
        <v>61</v>
      </c>
      <c r="F328" s="29">
        <v>63</v>
      </c>
      <c r="G328" s="122">
        <f>IF(G$279="","",F328)</f>
        <v>63</v>
      </c>
      <c r="H328" s="29">
        <f>IF(H$279="","",G328)</f>
        <v>63</v>
      </c>
      <c r="I328" s="29">
        <v>64</v>
      </c>
      <c r="J328" s="122">
        <f t="shared" si="607"/>
        <v>64</v>
      </c>
      <c r="K328" s="29">
        <f t="shared" si="607"/>
        <v>64</v>
      </c>
      <c r="L328" s="29">
        <f t="shared" si="607"/>
        <v>64</v>
      </c>
      <c r="M328" s="29">
        <f t="shared" si="607"/>
        <v>64</v>
      </c>
      <c r="N328" s="29">
        <f t="shared" si="607"/>
        <v>64</v>
      </c>
      <c r="O328" s="29">
        <v>65</v>
      </c>
      <c r="P328" s="122">
        <f t="shared" ref="P328:AO328" si="610">IF(P$279="","",O328)</f>
        <v>65</v>
      </c>
      <c r="Q328" s="29">
        <f t="shared" si="610"/>
        <v>65</v>
      </c>
      <c r="R328" s="29">
        <f t="shared" si="610"/>
        <v>65</v>
      </c>
      <c r="S328" s="29">
        <f t="shared" si="610"/>
        <v>65</v>
      </c>
      <c r="T328" s="29">
        <f t="shared" si="610"/>
        <v>65</v>
      </c>
      <c r="U328" s="29">
        <f t="shared" si="610"/>
        <v>65</v>
      </c>
      <c r="V328" s="29">
        <v>66</v>
      </c>
      <c r="W328" s="29">
        <f t="shared" si="610"/>
        <v>66</v>
      </c>
      <c r="X328" s="29">
        <f t="shared" si="610"/>
        <v>66</v>
      </c>
      <c r="Y328" s="29">
        <f t="shared" si="610"/>
        <v>66</v>
      </c>
      <c r="Z328" s="29">
        <f t="shared" si="610"/>
        <v>66</v>
      </c>
      <c r="AA328" s="29">
        <v>68</v>
      </c>
      <c r="AB328" s="29">
        <f t="shared" si="610"/>
        <v>68</v>
      </c>
      <c r="AC328" s="29">
        <f t="shared" si="610"/>
        <v>68</v>
      </c>
      <c r="AD328" s="29">
        <v>70</v>
      </c>
      <c r="AE328" s="29" t="str">
        <f t="shared" si="610"/>
        <v/>
      </c>
      <c r="AF328" s="29" t="str">
        <f t="shared" si="610"/>
        <v/>
      </c>
      <c r="AG328" s="29" t="str">
        <f t="shared" si="610"/>
        <v/>
      </c>
      <c r="AH328" s="29" t="str">
        <f t="shared" si="610"/>
        <v/>
      </c>
      <c r="AI328" s="29" t="str">
        <f t="shared" si="610"/>
        <v/>
      </c>
      <c r="AJ328" s="29" t="str">
        <f t="shared" si="610"/>
        <v/>
      </c>
      <c r="AK328" s="29" t="str">
        <f t="shared" si="610"/>
        <v/>
      </c>
      <c r="AL328" s="29" t="str">
        <f t="shared" si="610"/>
        <v/>
      </c>
      <c r="AM328" s="29" t="str">
        <f t="shared" si="610"/>
        <v/>
      </c>
      <c r="AN328" s="29" t="str">
        <f t="shared" si="610"/>
        <v/>
      </c>
      <c r="AO328" s="29" t="str">
        <f t="shared" si="610"/>
        <v/>
      </c>
      <c r="AP328" s="29" t="str">
        <f t="shared" ref="AP328:AR328" si="611">IF(AP$279="","",AO328)</f>
        <v/>
      </c>
      <c r="AQ328" s="29" t="str">
        <f t="shared" si="611"/>
        <v/>
      </c>
      <c r="AR328" s="29" t="str">
        <f t="shared" si="611"/>
        <v/>
      </c>
    </row>
    <row r="329" spans="1:44" s="93" customFormat="1">
      <c r="A329" s="41">
        <v>1</v>
      </c>
      <c r="B329" s="30" t="s">
        <v>5</v>
      </c>
      <c r="C329" s="65">
        <v>5</v>
      </c>
      <c r="D329" s="29">
        <f>IF(D327="","",(C329+C330))</f>
        <v>5</v>
      </c>
      <c r="E329" s="29">
        <f>IF(E327="","",(D329+D330))</f>
        <v>5</v>
      </c>
      <c r="F329" s="29">
        <v>3</v>
      </c>
      <c r="G329" s="122">
        <f>IF(G327="","",(F329+F330))</f>
        <v>6</v>
      </c>
      <c r="H329" s="29">
        <f>IF(H327="","",(G329+G330))</f>
        <v>6</v>
      </c>
      <c r="I329" s="29">
        <v>5</v>
      </c>
      <c r="J329" s="122">
        <f>IF(J327="","",(I329+I330))</f>
        <v>5</v>
      </c>
      <c r="K329" s="29">
        <f>IF(K327="","",(J329+J330))</f>
        <v>5</v>
      </c>
      <c r="L329" s="29">
        <f>IF(L327="","",(K329+K330))</f>
        <v>5</v>
      </c>
      <c r="M329" s="29">
        <f>IF(M327="","",(L329+L330))</f>
        <v>5</v>
      </c>
      <c r="N329" s="29">
        <f>IF(N327="","",(M329+M330))</f>
        <v>5</v>
      </c>
      <c r="O329" s="29">
        <v>4</v>
      </c>
      <c r="P329" s="122">
        <f t="shared" ref="P329:AO329" si="612">IF(P327="","",(O329+O330))</f>
        <v>6</v>
      </c>
      <c r="Q329" s="29">
        <f t="shared" si="612"/>
        <v>6</v>
      </c>
      <c r="R329" s="29">
        <f t="shared" si="612"/>
        <v>6</v>
      </c>
      <c r="S329" s="29">
        <f t="shared" si="612"/>
        <v>6</v>
      </c>
      <c r="T329" s="29">
        <f t="shared" si="612"/>
        <v>6</v>
      </c>
      <c r="U329" s="29">
        <f t="shared" si="612"/>
        <v>6</v>
      </c>
      <c r="V329" s="29">
        <v>5</v>
      </c>
      <c r="W329" s="29">
        <f t="shared" si="612"/>
        <v>5</v>
      </c>
      <c r="X329" s="29">
        <f t="shared" si="612"/>
        <v>5</v>
      </c>
      <c r="Y329" s="29">
        <f t="shared" si="612"/>
        <v>5</v>
      </c>
      <c r="Z329" s="29">
        <f t="shared" si="612"/>
        <v>5</v>
      </c>
      <c r="AA329" s="29">
        <v>3</v>
      </c>
      <c r="AB329" s="29">
        <f t="shared" si="612"/>
        <v>6</v>
      </c>
      <c r="AC329" s="29">
        <f t="shared" si="612"/>
        <v>6</v>
      </c>
      <c r="AD329" s="29">
        <f t="shared" si="612"/>
        <v>6</v>
      </c>
      <c r="AE329" s="29" t="str">
        <f t="shared" si="612"/>
        <v/>
      </c>
      <c r="AF329" s="29" t="str">
        <f t="shared" si="612"/>
        <v/>
      </c>
      <c r="AG329" s="29" t="str">
        <f t="shared" si="612"/>
        <v/>
      </c>
      <c r="AH329" s="29" t="str">
        <f t="shared" si="612"/>
        <v/>
      </c>
      <c r="AI329" s="29" t="str">
        <f t="shared" si="612"/>
        <v/>
      </c>
      <c r="AJ329" s="29" t="str">
        <f t="shared" si="612"/>
        <v/>
      </c>
      <c r="AK329" s="29" t="str">
        <f t="shared" si="612"/>
        <v/>
      </c>
      <c r="AL329" s="29" t="str">
        <f t="shared" si="612"/>
        <v/>
      </c>
      <c r="AM329" s="29" t="str">
        <f t="shared" si="612"/>
        <v/>
      </c>
      <c r="AN329" s="29" t="str">
        <f t="shared" si="612"/>
        <v/>
      </c>
      <c r="AO329" s="29" t="str">
        <f t="shared" si="612"/>
        <v/>
      </c>
      <c r="AP329" s="29" t="str">
        <f t="shared" ref="AP329:AR329" si="613">IF(AP327="","",(AO329+AO330))</f>
        <v/>
      </c>
      <c r="AQ329" s="29" t="str">
        <f t="shared" si="613"/>
        <v/>
      </c>
      <c r="AR329" s="29" t="str">
        <f t="shared" si="613"/>
        <v/>
      </c>
    </row>
    <row r="330" spans="1:44" s="93" customFormat="1">
      <c r="A330" s="101" t="s">
        <v>6</v>
      </c>
      <c r="B330" s="30" t="s">
        <v>7</v>
      </c>
      <c r="C330" s="65"/>
      <c r="D330" s="29"/>
      <c r="E330" s="29"/>
      <c r="F330" s="29">
        <v>3</v>
      </c>
      <c r="G330" s="122"/>
      <c r="H330" s="29"/>
      <c r="I330" s="29"/>
      <c r="J330" s="122"/>
      <c r="K330" s="29"/>
      <c r="L330" s="29"/>
      <c r="M330" s="29"/>
      <c r="N330" s="29"/>
      <c r="O330" s="29">
        <v>2</v>
      </c>
      <c r="P330" s="122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>
        <v>3</v>
      </c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</row>
    <row r="331" spans="1:44" s="93" customFormat="1">
      <c r="A331" s="102">
        <f>+(A334+A346+A358+A370)*100</f>
        <v>152500</v>
      </c>
      <c r="B331" s="30" t="s">
        <v>8</v>
      </c>
      <c r="C331" s="64">
        <v>400</v>
      </c>
      <c r="D331" s="35">
        <f t="shared" ref="D331:AO331" si="614">IF(D327="","",C331)</f>
        <v>400</v>
      </c>
      <c r="E331" s="35">
        <f t="shared" si="614"/>
        <v>400</v>
      </c>
      <c r="F331" s="35">
        <f t="shared" si="614"/>
        <v>400</v>
      </c>
      <c r="G331" s="383">
        <f t="shared" si="614"/>
        <v>400</v>
      </c>
      <c r="H331" s="35">
        <f t="shared" si="614"/>
        <v>400</v>
      </c>
      <c r="I331" s="35">
        <f t="shared" si="614"/>
        <v>400</v>
      </c>
      <c r="J331" s="383">
        <f t="shared" si="614"/>
        <v>400</v>
      </c>
      <c r="K331" s="35">
        <f t="shared" si="614"/>
        <v>400</v>
      </c>
      <c r="L331" s="35">
        <f t="shared" si="614"/>
        <v>400</v>
      </c>
      <c r="M331" s="35">
        <f t="shared" si="614"/>
        <v>400</v>
      </c>
      <c r="N331" s="35">
        <f t="shared" si="614"/>
        <v>400</v>
      </c>
      <c r="O331" s="35">
        <f t="shared" si="614"/>
        <v>400</v>
      </c>
      <c r="P331" s="383">
        <f t="shared" si="614"/>
        <v>400</v>
      </c>
      <c r="Q331" s="35">
        <f t="shared" si="614"/>
        <v>400</v>
      </c>
      <c r="R331" s="35">
        <f t="shared" si="614"/>
        <v>400</v>
      </c>
      <c r="S331" s="35">
        <f t="shared" si="614"/>
        <v>400</v>
      </c>
      <c r="T331" s="35">
        <f t="shared" si="614"/>
        <v>400</v>
      </c>
      <c r="U331" s="35">
        <f t="shared" si="614"/>
        <v>400</v>
      </c>
      <c r="V331" s="35">
        <f>IF(V327="","",U331)</f>
        <v>400</v>
      </c>
      <c r="W331" s="35">
        <f t="shared" si="614"/>
        <v>400</v>
      </c>
      <c r="X331" s="35">
        <f t="shared" si="614"/>
        <v>400</v>
      </c>
      <c r="Y331" s="35">
        <f t="shared" si="614"/>
        <v>400</v>
      </c>
      <c r="Z331" s="35">
        <f t="shared" si="614"/>
        <v>400</v>
      </c>
      <c r="AA331" s="35">
        <f t="shared" si="614"/>
        <v>400</v>
      </c>
      <c r="AB331" s="35">
        <f t="shared" si="614"/>
        <v>400</v>
      </c>
      <c r="AC331" s="35">
        <f t="shared" si="614"/>
        <v>400</v>
      </c>
      <c r="AD331" s="35">
        <f t="shared" si="614"/>
        <v>400</v>
      </c>
      <c r="AE331" s="35" t="str">
        <f t="shared" si="614"/>
        <v/>
      </c>
      <c r="AF331" s="35" t="str">
        <f t="shared" si="614"/>
        <v/>
      </c>
      <c r="AG331" s="35" t="str">
        <f t="shared" si="614"/>
        <v/>
      </c>
      <c r="AH331" s="35" t="str">
        <f t="shared" si="614"/>
        <v/>
      </c>
      <c r="AI331" s="35" t="str">
        <f t="shared" si="614"/>
        <v/>
      </c>
      <c r="AJ331" s="35" t="str">
        <f t="shared" si="614"/>
        <v/>
      </c>
      <c r="AK331" s="35" t="str">
        <f t="shared" si="614"/>
        <v/>
      </c>
      <c r="AL331" s="35" t="str">
        <f t="shared" si="614"/>
        <v/>
      </c>
      <c r="AM331" s="35" t="str">
        <f t="shared" si="614"/>
        <v/>
      </c>
      <c r="AN331" s="35" t="str">
        <f t="shared" si="614"/>
        <v/>
      </c>
      <c r="AO331" s="35" t="str">
        <f t="shared" si="614"/>
        <v/>
      </c>
      <c r="AP331" s="35" t="str">
        <f t="shared" ref="AP331:AR331" si="615">IF(AP327="","",AO331)</f>
        <v/>
      </c>
      <c r="AQ331" s="35" t="str">
        <f t="shared" si="615"/>
        <v/>
      </c>
      <c r="AR331" s="35" t="str">
        <f t="shared" si="615"/>
        <v/>
      </c>
    </row>
    <row r="332" spans="1:44" s="94" customFormat="1">
      <c r="A332" s="14" t="s">
        <v>9</v>
      </c>
      <c r="B332" s="33" t="s">
        <v>10</v>
      </c>
      <c r="C332" s="63" t="s">
        <v>34</v>
      </c>
      <c r="D332" s="32" t="str">
        <f t="shared" ref="D332:AO332" si="616">IF(D327="","",C332)</f>
        <v>ラブブMC</v>
      </c>
      <c r="E332" s="32" t="str">
        <f t="shared" si="616"/>
        <v>ラブブMC</v>
      </c>
      <c r="F332" s="32" t="str">
        <f t="shared" si="616"/>
        <v>ラブブMC</v>
      </c>
      <c r="G332" s="123" t="str">
        <f t="shared" si="616"/>
        <v>ラブブMC</v>
      </c>
      <c r="H332" s="32" t="str">
        <f t="shared" si="616"/>
        <v>ラブブMC</v>
      </c>
      <c r="I332" s="32" t="str">
        <f t="shared" si="616"/>
        <v>ラブブMC</v>
      </c>
      <c r="J332" s="123" t="str">
        <f t="shared" si="616"/>
        <v>ラブブMC</v>
      </c>
      <c r="K332" s="32" t="str">
        <f t="shared" si="616"/>
        <v>ラブブMC</v>
      </c>
      <c r="L332" s="32" t="str">
        <f t="shared" si="616"/>
        <v>ラブブMC</v>
      </c>
      <c r="M332" s="32" t="str">
        <f t="shared" si="616"/>
        <v>ラブブMC</v>
      </c>
      <c r="N332" s="32" t="str">
        <f t="shared" si="616"/>
        <v>ラブブMC</v>
      </c>
      <c r="O332" s="32" t="str">
        <f t="shared" si="616"/>
        <v>ラブブMC</v>
      </c>
      <c r="P332" s="123" t="str">
        <f t="shared" si="616"/>
        <v>ラブブMC</v>
      </c>
      <c r="Q332" s="32" t="str">
        <f t="shared" si="616"/>
        <v>ラブブMC</v>
      </c>
      <c r="R332" s="32" t="str">
        <f t="shared" si="616"/>
        <v>ラブブMC</v>
      </c>
      <c r="S332" s="32" t="str">
        <f t="shared" si="616"/>
        <v>ラブブMC</v>
      </c>
      <c r="T332" s="32" t="str">
        <f t="shared" si="616"/>
        <v>ラブブMC</v>
      </c>
      <c r="U332" s="32" t="str">
        <f t="shared" si="616"/>
        <v>ラブブMC</v>
      </c>
      <c r="V332" s="32" t="str">
        <f>IF(V327="","",U332)</f>
        <v>ラブブMC</v>
      </c>
      <c r="W332" s="32" t="str">
        <f t="shared" si="616"/>
        <v>ラブブMC</v>
      </c>
      <c r="X332" s="32" t="str">
        <f t="shared" si="616"/>
        <v>ラブブMC</v>
      </c>
      <c r="Y332" s="32" t="str">
        <f t="shared" si="616"/>
        <v>ラブブMC</v>
      </c>
      <c r="Z332" s="32" t="str">
        <f t="shared" si="616"/>
        <v>ラブブMC</v>
      </c>
      <c r="AA332" s="32" t="str">
        <f t="shared" si="616"/>
        <v>ラブブMC</v>
      </c>
      <c r="AB332" s="32" t="str">
        <f t="shared" si="616"/>
        <v>ラブブMC</v>
      </c>
      <c r="AC332" s="32" t="str">
        <f t="shared" si="616"/>
        <v>ラブブMC</v>
      </c>
      <c r="AD332" s="32" t="str">
        <f t="shared" si="616"/>
        <v>ラブブMC</v>
      </c>
      <c r="AE332" s="32" t="str">
        <f t="shared" si="616"/>
        <v/>
      </c>
      <c r="AF332" s="32" t="str">
        <f t="shared" si="616"/>
        <v/>
      </c>
      <c r="AG332" s="32" t="str">
        <f t="shared" si="616"/>
        <v/>
      </c>
      <c r="AH332" s="32" t="str">
        <f t="shared" si="616"/>
        <v/>
      </c>
      <c r="AI332" s="32" t="str">
        <f t="shared" si="616"/>
        <v/>
      </c>
      <c r="AJ332" s="32" t="str">
        <f t="shared" si="616"/>
        <v/>
      </c>
      <c r="AK332" s="32" t="str">
        <f t="shared" si="616"/>
        <v/>
      </c>
      <c r="AL332" s="32" t="str">
        <f t="shared" si="616"/>
        <v/>
      </c>
      <c r="AM332" s="32" t="str">
        <f t="shared" si="616"/>
        <v/>
      </c>
      <c r="AN332" s="32" t="str">
        <f t="shared" si="616"/>
        <v/>
      </c>
      <c r="AO332" s="32" t="str">
        <f t="shared" si="616"/>
        <v/>
      </c>
      <c r="AP332" s="32" t="str">
        <f t="shared" ref="AP332:AR332" si="617">IF(AP327="","",AO332)</f>
        <v/>
      </c>
      <c r="AQ332" s="32" t="str">
        <f t="shared" si="617"/>
        <v/>
      </c>
      <c r="AR332" s="32" t="str">
        <f t="shared" si="617"/>
        <v/>
      </c>
    </row>
    <row r="333" spans="1:44" s="93" customFormat="1">
      <c r="A333" s="7">
        <f>AVERAGE(C334:AS334)*30*100</f>
        <v>61500</v>
      </c>
      <c r="B333" s="30" t="s">
        <v>14</v>
      </c>
      <c r="C333" s="65"/>
      <c r="D333" s="29"/>
      <c r="E333" s="29"/>
      <c r="F333" s="29"/>
      <c r="G333" s="122"/>
      <c r="H333" s="29"/>
      <c r="I333" s="29"/>
      <c r="J333" s="122"/>
      <c r="K333" s="29"/>
      <c r="L333" s="29"/>
      <c r="M333" s="29"/>
      <c r="N333" s="29"/>
      <c r="O333" s="29"/>
      <c r="P333" s="122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</row>
    <row r="334" spans="1:44" s="93" customFormat="1">
      <c r="A334" s="7">
        <f>SUM(C334:AS334)</f>
        <v>574</v>
      </c>
      <c r="B334" s="27" t="s">
        <v>15</v>
      </c>
      <c r="C334" s="65">
        <v>0</v>
      </c>
      <c r="D334" s="26">
        <f t="shared" ref="D334:AP334" si="618">IF(D327="","",D327-C327)</f>
        <v>0</v>
      </c>
      <c r="E334" s="26">
        <f t="shared" si="618"/>
        <v>0</v>
      </c>
      <c r="F334" s="26">
        <f t="shared" si="618"/>
        <v>145</v>
      </c>
      <c r="G334" s="122">
        <f t="shared" si="618"/>
        <v>0</v>
      </c>
      <c r="H334" s="26">
        <f t="shared" si="618"/>
        <v>0</v>
      </c>
      <c r="I334" s="26">
        <f t="shared" si="618"/>
        <v>104</v>
      </c>
      <c r="J334" s="122">
        <f t="shared" si="618"/>
        <v>0</v>
      </c>
      <c r="K334" s="26">
        <f t="shared" si="618"/>
        <v>0</v>
      </c>
      <c r="L334" s="26">
        <f t="shared" si="618"/>
        <v>0</v>
      </c>
      <c r="M334" s="26">
        <f t="shared" si="618"/>
        <v>0</v>
      </c>
      <c r="N334" s="26">
        <f t="shared" si="618"/>
        <v>0</v>
      </c>
      <c r="O334" s="26">
        <f t="shared" si="618"/>
        <v>75</v>
      </c>
      <c r="P334" s="122">
        <f t="shared" si="618"/>
        <v>0</v>
      </c>
      <c r="Q334" s="26">
        <f t="shared" si="618"/>
        <v>0</v>
      </c>
      <c r="R334" s="26">
        <f t="shared" si="618"/>
        <v>0</v>
      </c>
      <c r="S334" s="26">
        <f t="shared" si="618"/>
        <v>53</v>
      </c>
      <c r="T334" s="26">
        <f t="shared" si="618"/>
        <v>0</v>
      </c>
      <c r="U334" s="26">
        <f t="shared" si="618"/>
        <v>0</v>
      </c>
      <c r="V334" s="26">
        <f>IF(V327="","",V327-U327)</f>
        <v>74</v>
      </c>
      <c r="W334" s="26">
        <f t="shared" si="618"/>
        <v>0</v>
      </c>
      <c r="X334" s="26">
        <f t="shared" si="618"/>
        <v>0</v>
      </c>
      <c r="Y334" s="26">
        <f t="shared" si="618"/>
        <v>0</v>
      </c>
      <c r="Z334" s="26">
        <f t="shared" si="618"/>
        <v>0</v>
      </c>
      <c r="AA334" s="26">
        <f t="shared" si="618"/>
        <v>33</v>
      </c>
      <c r="AB334" s="26">
        <f t="shared" si="618"/>
        <v>0</v>
      </c>
      <c r="AC334" s="26">
        <f t="shared" si="618"/>
        <v>0</v>
      </c>
      <c r="AD334" s="26">
        <f t="shared" si="618"/>
        <v>90</v>
      </c>
      <c r="AE334" s="26" t="str">
        <f t="shared" si="618"/>
        <v/>
      </c>
      <c r="AF334" s="26" t="str">
        <f t="shared" si="618"/>
        <v/>
      </c>
      <c r="AG334" s="26" t="str">
        <f t="shared" si="618"/>
        <v/>
      </c>
      <c r="AH334" s="26" t="str">
        <f t="shared" si="618"/>
        <v/>
      </c>
      <c r="AI334" s="26" t="str">
        <f t="shared" si="618"/>
        <v/>
      </c>
      <c r="AJ334" s="26" t="str">
        <f t="shared" si="618"/>
        <v/>
      </c>
      <c r="AK334" s="26" t="str">
        <f t="shared" si="618"/>
        <v/>
      </c>
      <c r="AL334" s="26" t="str">
        <f t="shared" si="618"/>
        <v/>
      </c>
      <c r="AM334" s="26" t="str">
        <f t="shared" si="618"/>
        <v/>
      </c>
      <c r="AN334" s="26" t="str">
        <f t="shared" si="618"/>
        <v/>
      </c>
      <c r="AO334" s="26" t="str">
        <f t="shared" si="618"/>
        <v/>
      </c>
      <c r="AP334" s="26" t="str">
        <f t="shared" si="618"/>
        <v/>
      </c>
      <c r="AQ334" s="26" t="str">
        <f t="shared" ref="AQ334:AR334" si="619">IF(AQ327="","",AQ327-AP327)</f>
        <v/>
      </c>
      <c r="AR334" s="26" t="str">
        <f t="shared" si="619"/>
        <v/>
      </c>
    </row>
    <row r="335" spans="1:44" s="93" customFormat="1">
      <c r="A335" s="7">
        <f>SUM(C335:AS335)</f>
        <v>9</v>
      </c>
      <c r="B335" s="27" t="s">
        <v>16</v>
      </c>
      <c r="C335" s="65">
        <v>0</v>
      </c>
      <c r="D335" s="26">
        <f t="shared" ref="D335:AO335" si="620">IF(D328="","",D328-C328)</f>
        <v>0</v>
      </c>
      <c r="E335" s="26">
        <f t="shared" si="620"/>
        <v>0</v>
      </c>
      <c r="F335" s="26">
        <f t="shared" si="620"/>
        <v>2</v>
      </c>
      <c r="G335" s="122">
        <f t="shared" si="620"/>
        <v>0</v>
      </c>
      <c r="H335" s="26">
        <f t="shared" si="620"/>
        <v>0</v>
      </c>
      <c r="I335" s="26">
        <f t="shared" si="620"/>
        <v>1</v>
      </c>
      <c r="J335" s="122">
        <f t="shared" si="620"/>
        <v>0</v>
      </c>
      <c r="K335" s="26">
        <f t="shared" si="620"/>
        <v>0</v>
      </c>
      <c r="L335" s="26">
        <f t="shared" si="620"/>
        <v>0</v>
      </c>
      <c r="M335" s="26">
        <f t="shared" si="620"/>
        <v>0</v>
      </c>
      <c r="N335" s="26">
        <f t="shared" si="620"/>
        <v>0</v>
      </c>
      <c r="O335" s="26">
        <f t="shared" si="620"/>
        <v>1</v>
      </c>
      <c r="P335" s="122">
        <f t="shared" si="620"/>
        <v>0</v>
      </c>
      <c r="Q335" s="26">
        <f t="shared" si="620"/>
        <v>0</v>
      </c>
      <c r="R335" s="26">
        <f t="shared" si="620"/>
        <v>0</v>
      </c>
      <c r="S335" s="26">
        <f t="shared" si="620"/>
        <v>0</v>
      </c>
      <c r="T335" s="26">
        <f t="shared" si="620"/>
        <v>0</v>
      </c>
      <c r="U335" s="26">
        <f t="shared" si="620"/>
        <v>0</v>
      </c>
      <c r="V335" s="26">
        <f>IF(V328="","",V328-U328)</f>
        <v>1</v>
      </c>
      <c r="W335" s="26">
        <f t="shared" si="620"/>
        <v>0</v>
      </c>
      <c r="X335" s="26">
        <f t="shared" si="620"/>
        <v>0</v>
      </c>
      <c r="Y335" s="26">
        <f t="shared" si="620"/>
        <v>0</v>
      </c>
      <c r="Z335" s="26">
        <f t="shared" si="620"/>
        <v>0</v>
      </c>
      <c r="AA335" s="26">
        <f t="shared" si="620"/>
        <v>2</v>
      </c>
      <c r="AB335" s="26">
        <f t="shared" si="620"/>
        <v>0</v>
      </c>
      <c r="AC335" s="26">
        <f t="shared" si="620"/>
        <v>0</v>
      </c>
      <c r="AD335" s="26">
        <f t="shared" si="620"/>
        <v>2</v>
      </c>
      <c r="AE335" s="26" t="str">
        <f t="shared" si="620"/>
        <v/>
      </c>
      <c r="AF335" s="26" t="str">
        <f t="shared" si="620"/>
        <v/>
      </c>
      <c r="AG335" s="26" t="str">
        <f t="shared" si="620"/>
        <v/>
      </c>
      <c r="AH335" s="26" t="str">
        <f t="shared" si="620"/>
        <v/>
      </c>
      <c r="AI335" s="26" t="str">
        <f t="shared" si="620"/>
        <v/>
      </c>
      <c r="AJ335" s="26" t="str">
        <f t="shared" si="620"/>
        <v/>
      </c>
      <c r="AK335" s="26" t="str">
        <f t="shared" si="620"/>
        <v/>
      </c>
      <c r="AL335" s="26" t="str">
        <f t="shared" si="620"/>
        <v/>
      </c>
      <c r="AM335" s="26" t="str">
        <f t="shared" si="620"/>
        <v/>
      </c>
      <c r="AN335" s="26" t="str">
        <f t="shared" si="620"/>
        <v/>
      </c>
      <c r="AO335" s="26" t="str">
        <f t="shared" si="620"/>
        <v/>
      </c>
      <c r="AP335" s="26" t="str">
        <f t="shared" ref="AP335:AR335" si="621">IF(AP328="","",AP328-AO328)</f>
        <v/>
      </c>
      <c r="AQ335" s="26" t="str">
        <f t="shared" si="621"/>
        <v/>
      </c>
      <c r="AR335" s="26" t="str">
        <f t="shared" si="621"/>
        <v/>
      </c>
    </row>
    <row r="336" spans="1:44" s="93" customFormat="1">
      <c r="A336" s="7">
        <f>SUM(C336:AS336)</f>
        <v>7</v>
      </c>
      <c r="B336" s="27" t="s">
        <v>17</v>
      </c>
      <c r="C336" s="65">
        <v>0</v>
      </c>
      <c r="D336" s="26">
        <f t="shared" ref="D336:AO336" si="622">IF(D329="","",C329+C330-D329)</f>
        <v>0</v>
      </c>
      <c r="E336" s="26">
        <f t="shared" si="622"/>
        <v>0</v>
      </c>
      <c r="F336" s="26">
        <f t="shared" si="622"/>
        <v>2</v>
      </c>
      <c r="G336" s="122">
        <f t="shared" si="622"/>
        <v>0</v>
      </c>
      <c r="H336" s="26">
        <f t="shared" si="622"/>
        <v>0</v>
      </c>
      <c r="I336" s="26">
        <f t="shared" si="622"/>
        <v>1</v>
      </c>
      <c r="J336" s="122">
        <f t="shared" si="622"/>
        <v>0</v>
      </c>
      <c r="K336" s="26">
        <f t="shared" si="622"/>
        <v>0</v>
      </c>
      <c r="L336" s="26">
        <f t="shared" si="622"/>
        <v>0</v>
      </c>
      <c r="M336" s="26">
        <f t="shared" si="622"/>
        <v>0</v>
      </c>
      <c r="N336" s="26">
        <f t="shared" si="622"/>
        <v>0</v>
      </c>
      <c r="O336" s="26">
        <f t="shared" si="622"/>
        <v>1</v>
      </c>
      <c r="P336" s="122">
        <f t="shared" si="622"/>
        <v>0</v>
      </c>
      <c r="Q336" s="26">
        <f t="shared" si="622"/>
        <v>0</v>
      </c>
      <c r="R336" s="26">
        <f t="shared" si="622"/>
        <v>0</v>
      </c>
      <c r="S336" s="26">
        <f t="shared" si="622"/>
        <v>0</v>
      </c>
      <c r="T336" s="26">
        <f t="shared" si="622"/>
        <v>0</v>
      </c>
      <c r="U336" s="26">
        <f t="shared" si="622"/>
        <v>0</v>
      </c>
      <c r="V336" s="26">
        <f>IF(V329="","",U329+U330-V329)</f>
        <v>1</v>
      </c>
      <c r="W336" s="26">
        <f t="shared" si="622"/>
        <v>0</v>
      </c>
      <c r="X336" s="26">
        <f t="shared" si="622"/>
        <v>0</v>
      </c>
      <c r="Y336" s="26">
        <f t="shared" si="622"/>
        <v>0</v>
      </c>
      <c r="Z336" s="26">
        <f t="shared" si="622"/>
        <v>0</v>
      </c>
      <c r="AA336" s="26">
        <f t="shared" si="622"/>
        <v>2</v>
      </c>
      <c r="AB336" s="26">
        <f t="shared" si="622"/>
        <v>0</v>
      </c>
      <c r="AC336" s="26">
        <f t="shared" si="622"/>
        <v>0</v>
      </c>
      <c r="AD336" s="26">
        <f t="shared" si="622"/>
        <v>0</v>
      </c>
      <c r="AE336" s="26" t="str">
        <f t="shared" si="622"/>
        <v/>
      </c>
      <c r="AF336" s="26" t="str">
        <f t="shared" si="622"/>
        <v/>
      </c>
      <c r="AG336" s="26" t="str">
        <f t="shared" si="622"/>
        <v/>
      </c>
      <c r="AH336" s="26" t="str">
        <f t="shared" si="622"/>
        <v/>
      </c>
      <c r="AI336" s="26" t="str">
        <f t="shared" si="622"/>
        <v/>
      </c>
      <c r="AJ336" s="26" t="str">
        <f t="shared" si="622"/>
        <v/>
      </c>
      <c r="AK336" s="26" t="str">
        <f t="shared" si="622"/>
        <v/>
      </c>
      <c r="AL336" s="26" t="str">
        <f t="shared" si="622"/>
        <v/>
      </c>
      <c r="AM336" s="26" t="str">
        <f t="shared" si="622"/>
        <v/>
      </c>
      <c r="AN336" s="26" t="str">
        <f t="shared" si="622"/>
        <v/>
      </c>
      <c r="AO336" s="26" t="str">
        <f t="shared" si="622"/>
        <v/>
      </c>
      <c r="AP336" s="26" t="str">
        <f t="shared" ref="AP336:AR336" si="623">IF(AP329="","",AO329+AO330-AP329)</f>
        <v/>
      </c>
      <c r="AQ336" s="26" t="str">
        <f t="shared" si="623"/>
        <v/>
      </c>
      <c r="AR336" s="26" t="str">
        <f t="shared" si="623"/>
        <v/>
      </c>
    </row>
    <row r="337" spans="1:44" s="93" customFormat="1">
      <c r="A337" s="7">
        <f>SUM(C337:AS337)</f>
        <v>2800</v>
      </c>
      <c r="B337" s="27" t="s">
        <v>18</v>
      </c>
      <c r="C337" s="65">
        <v>0</v>
      </c>
      <c r="D337" s="26">
        <f t="shared" ref="D337:AO337" si="624">IF(D327="","",D336*D331)</f>
        <v>0</v>
      </c>
      <c r="E337" s="26">
        <f t="shared" si="624"/>
        <v>0</v>
      </c>
      <c r="F337" s="26">
        <f t="shared" si="624"/>
        <v>800</v>
      </c>
      <c r="G337" s="122">
        <f t="shared" si="624"/>
        <v>0</v>
      </c>
      <c r="H337" s="26">
        <f t="shared" si="624"/>
        <v>0</v>
      </c>
      <c r="I337" s="26">
        <f t="shared" si="624"/>
        <v>400</v>
      </c>
      <c r="J337" s="122">
        <f t="shared" si="624"/>
        <v>0</v>
      </c>
      <c r="K337" s="26">
        <f t="shared" si="624"/>
        <v>0</v>
      </c>
      <c r="L337" s="26">
        <f t="shared" si="624"/>
        <v>0</v>
      </c>
      <c r="M337" s="26">
        <f t="shared" si="624"/>
        <v>0</v>
      </c>
      <c r="N337" s="26">
        <f t="shared" si="624"/>
        <v>0</v>
      </c>
      <c r="O337" s="26">
        <f t="shared" si="624"/>
        <v>400</v>
      </c>
      <c r="P337" s="122">
        <f t="shared" si="624"/>
        <v>0</v>
      </c>
      <c r="Q337" s="26">
        <f t="shared" si="624"/>
        <v>0</v>
      </c>
      <c r="R337" s="26">
        <f t="shared" si="624"/>
        <v>0</v>
      </c>
      <c r="S337" s="26">
        <f t="shared" si="624"/>
        <v>0</v>
      </c>
      <c r="T337" s="26">
        <f t="shared" si="624"/>
        <v>0</v>
      </c>
      <c r="U337" s="26">
        <f t="shared" si="624"/>
        <v>0</v>
      </c>
      <c r="V337" s="26">
        <f>IF(V327="","",V336*V331)</f>
        <v>400</v>
      </c>
      <c r="W337" s="26">
        <f t="shared" si="624"/>
        <v>0</v>
      </c>
      <c r="X337" s="26">
        <f t="shared" si="624"/>
        <v>0</v>
      </c>
      <c r="Y337" s="26">
        <f t="shared" si="624"/>
        <v>0</v>
      </c>
      <c r="Z337" s="26">
        <f t="shared" si="624"/>
        <v>0</v>
      </c>
      <c r="AA337" s="26">
        <f t="shared" si="624"/>
        <v>800</v>
      </c>
      <c r="AB337" s="26">
        <f t="shared" si="624"/>
        <v>0</v>
      </c>
      <c r="AC337" s="26">
        <f t="shared" si="624"/>
        <v>0</v>
      </c>
      <c r="AD337" s="26">
        <f t="shared" si="624"/>
        <v>0</v>
      </c>
      <c r="AE337" s="26" t="str">
        <f t="shared" si="624"/>
        <v/>
      </c>
      <c r="AF337" s="26" t="str">
        <f t="shared" si="624"/>
        <v/>
      </c>
      <c r="AG337" s="26" t="str">
        <f t="shared" si="624"/>
        <v/>
      </c>
      <c r="AH337" s="26" t="str">
        <f t="shared" si="624"/>
        <v/>
      </c>
      <c r="AI337" s="26" t="str">
        <f t="shared" si="624"/>
        <v/>
      </c>
      <c r="AJ337" s="26" t="str">
        <f t="shared" si="624"/>
        <v/>
      </c>
      <c r="AK337" s="26" t="str">
        <f t="shared" si="624"/>
        <v/>
      </c>
      <c r="AL337" s="26" t="str">
        <f t="shared" si="624"/>
        <v/>
      </c>
      <c r="AM337" s="26" t="str">
        <f t="shared" si="624"/>
        <v/>
      </c>
      <c r="AN337" s="26" t="str">
        <f t="shared" si="624"/>
        <v/>
      </c>
      <c r="AO337" s="26" t="str">
        <f t="shared" si="624"/>
        <v/>
      </c>
      <c r="AP337" s="26" t="str">
        <f t="shared" ref="AP337:AR337" si="625">IF(AP327="","",AP336*AP331)</f>
        <v/>
      </c>
      <c r="AQ337" s="26" t="str">
        <f t="shared" si="625"/>
        <v/>
      </c>
      <c r="AR337" s="26" t="str">
        <f t="shared" si="625"/>
        <v/>
      </c>
    </row>
    <row r="338" spans="1:44" s="93" customFormat="1" ht="12" thickBot="1">
      <c r="A338" s="4">
        <f>IF(A337="","",A337/(A334*100))</f>
        <v>4.878048780487805E-2</v>
      </c>
      <c r="B338" s="27" t="s">
        <v>20</v>
      </c>
      <c r="C338" s="68" t="s">
        <v>21</v>
      </c>
      <c r="D338" s="44" t="str">
        <f t="shared" ref="D338:AO338" si="626">IF(D337="","",IF(D337=0,"",D337/(D334*100)))</f>
        <v/>
      </c>
      <c r="E338" s="44" t="str">
        <f t="shared" si="626"/>
        <v/>
      </c>
      <c r="F338" s="44">
        <f t="shared" si="626"/>
        <v>5.5172413793103448E-2</v>
      </c>
      <c r="G338" s="384" t="str">
        <f t="shared" si="626"/>
        <v/>
      </c>
      <c r="H338" s="44" t="str">
        <f t="shared" si="626"/>
        <v/>
      </c>
      <c r="I338" s="44">
        <f t="shared" si="626"/>
        <v>3.8461538461538464E-2</v>
      </c>
      <c r="J338" s="384" t="str">
        <f t="shared" si="626"/>
        <v/>
      </c>
      <c r="K338" s="44" t="str">
        <f t="shared" si="626"/>
        <v/>
      </c>
      <c r="L338" s="44" t="str">
        <f t="shared" si="626"/>
        <v/>
      </c>
      <c r="M338" s="44" t="str">
        <f t="shared" si="626"/>
        <v/>
      </c>
      <c r="N338" s="44" t="str">
        <f t="shared" si="626"/>
        <v/>
      </c>
      <c r="O338" s="44">
        <f t="shared" si="626"/>
        <v>5.3333333333333337E-2</v>
      </c>
      <c r="P338" s="384" t="str">
        <f t="shared" si="626"/>
        <v/>
      </c>
      <c r="Q338" s="44" t="str">
        <f t="shared" si="626"/>
        <v/>
      </c>
      <c r="R338" s="44" t="str">
        <f t="shared" si="626"/>
        <v/>
      </c>
      <c r="S338" s="44" t="str">
        <f t="shared" si="626"/>
        <v/>
      </c>
      <c r="T338" s="44" t="str">
        <f t="shared" si="626"/>
        <v/>
      </c>
      <c r="U338" s="44" t="str">
        <f t="shared" si="626"/>
        <v/>
      </c>
      <c r="V338" s="44">
        <f>IF(V337="","",IF(V337=0,"",V337/(V334*100)))</f>
        <v>5.4054054054054057E-2</v>
      </c>
      <c r="W338" s="44" t="str">
        <f t="shared" si="626"/>
        <v/>
      </c>
      <c r="X338" s="44" t="str">
        <f t="shared" si="626"/>
        <v/>
      </c>
      <c r="Y338" s="44" t="str">
        <f t="shared" si="626"/>
        <v/>
      </c>
      <c r="Z338" s="44" t="str">
        <f t="shared" si="626"/>
        <v/>
      </c>
      <c r="AA338" s="44">
        <f t="shared" si="626"/>
        <v>0.24242424242424243</v>
      </c>
      <c r="AB338" s="44" t="str">
        <f t="shared" si="626"/>
        <v/>
      </c>
      <c r="AC338" s="44" t="str">
        <f t="shared" si="626"/>
        <v/>
      </c>
      <c r="AD338" s="44" t="str">
        <f t="shared" si="626"/>
        <v/>
      </c>
      <c r="AE338" s="44" t="str">
        <f t="shared" si="626"/>
        <v/>
      </c>
      <c r="AF338" s="44" t="str">
        <f t="shared" si="626"/>
        <v/>
      </c>
      <c r="AG338" s="44" t="str">
        <f t="shared" si="626"/>
        <v/>
      </c>
      <c r="AH338" s="44" t="str">
        <f t="shared" si="626"/>
        <v/>
      </c>
      <c r="AI338" s="44" t="str">
        <f t="shared" si="626"/>
        <v/>
      </c>
      <c r="AJ338" s="44" t="str">
        <f t="shared" si="626"/>
        <v/>
      </c>
      <c r="AK338" s="44" t="str">
        <f t="shared" si="626"/>
        <v/>
      </c>
      <c r="AL338" s="44" t="str">
        <f t="shared" si="626"/>
        <v/>
      </c>
      <c r="AM338" s="44" t="str">
        <f t="shared" si="626"/>
        <v/>
      </c>
      <c r="AN338" s="44" t="str">
        <f t="shared" si="626"/>
        <v/>
      </c>
      <c r="AO338" s="44" t="str">
        <f t="shared" si="626"/>
        <v/>
      </c>
      <c r="AP338" s="44" t="str">
        <f t="shared" ref="AP338:AR338" si="627">IF(AP337="","",IF(AP337=0,"",AP337/(AP334*100)))</f>
        <v/>
      </c>
      <c r="AQ338" s="44" t="str">
        <f t="shared" si="627"/>
        <v/>
      </c>
      <c r="AR338" s="44" t="str">
        <f t="shared" si="627"/>
        <v/>
      </c>
    </row>
    <row r="339" spans="1:44" s="93" customFormat="1">
      <c r="A339" s="43" t="str">
        <f>A327</f>
        <v>南熊本</v>
      </c>
      <c r="B339" s="42" t="s">
        <v>2</v>
      </c>
      <c r="C339" s="64">
        <v>2035</v>
      </c>
      <c r="D339" s="35">
        <f>IF(D$279="","",C339)</f>
        <v>2035</v>
      </c>
      <c r="E339" s="35">
        <f>IF(E$279="","",D339)</f>
        <v>2035</v>
      </c>
      <c r="F339" s="35">
        <v>2112</v>
      </c>
      <c r="G339" s="383">
        <f>IF(G$279="","",F339)</f>
        <v>2112</v>
      </c>
      <c r="H339" s="35">
        <f>IF(H$279="","",G339)</f>
        <v>2112</v>
      </c>
      <c r="I339" s="35">
        <v>2158</v>
      </c>
      <c r="J339" s="383">
        <f t="shared" ref="J339:N340" si="628">IF(J$279="","",I339)</f>
        <v>2158</v>
      </c>
      <c r="K339" s="35">
        <f t="shared" si="628"/>
        <v>2158</v>
      </c>
      <c r="L339" s="35">
        <f t="shared" si="628"/>
        <v>2158</v>
      </c>
      <c r="M339" s="35">
        <f t="shared" si="628"/>
        <v>2158</v>
      </c>
      <c r="N339" s="35">
        <f t="shared" si="628"/>
        <v>2158</v>
      </c>
      <c r="O339" s="35">
        <v>2204</v>
      </c>
      <c r="P339" s="383">
        <f t="shared" ref="P339:AO339" si="629">IF(P$279="","",O339)</f>
        <v>2204</v>
      </c>
      <c r="Q339" s="35">
        <f t="shared" si="629"/>
        <v>2204</v>
      </c>
      <c r="R339" s="35">
        <f t="shared" si="629"/>
        <v>2204</v>
      </c>
      <c r="S339" s="35">
        <v>2205</v>
      </c>
      <c r="T339" s="35">
        <f t="shared" si="629"/>
        <v>2205</v>
      </c>
      <c r="U339" s="35">
        <f t="shared" si="629"/>
        <v>2205</v>
      </c>
      <c r="V339" s="35">
        <v>2221</v>
      </c>
      <c r="W339" s="35">
        <f t="shared" si="629"/>
        <v>2221</v>
      </c>
      <c r="X339" s="35">
        <f t="shared" si="629"/>
        <v>2221</v>
      </c>
      <c r="Y339" s="35">
        <f t="shared" si="629"/>
        <v>2221</v>
      </c>
      <c r="Z339" s="35">
        <f t="shared" si="629"/>
        <v>2221</v>
      </c>
      <c r="AA339" s="35">
        <v>2245</v>
      </c>
      <c r="AB339" s="35">
        <f t="shared" si="629"/>
        <v>2245</v>
      </c>
      <c r="AC339" s="35">
        <f t="shared" si="629"/>
        <v>2245</v>
      </c>
      <c r="AD339" s="35">
        <v>2249</v>
      </c>
      <c r="AE339" s="35" t="str">
        <f t="shared" si="629"/>
        <v/>
      </c>
      <c r="AF339" s="35" t="str">
        <f t="shared" si="629"/>
        <v/>
      </c>
      <c r="AG339" s="35" t="str">
        <f t="shared" si="629"/>
        <v/>
      </c>
      <c r="AH339" s="35" t="str">
        <f t="shared" si="629"/>
        <v/>
      </c>
      <c r="AI339" s="35" t="str">
        <f t="shared" si="629"/>
        <v/>
      </c>
      <c r="AJ339" s="35" t="str">
        <f t="shared" si="629"/>
        <v/>
      </c>
      <c r="AK339" s="35" t="str">
        <f t="shared" si="629"/>
        <v/>
      </c>
      <c r="AL339" s="35" t="str">
        <f t="shared" si="629"/>
        <v/>
      </c>
      <c r="AM339" s="35" t="str">
        <f t="shared" si="629"/>
        <v/>
      </c>
      <c r="AN339" s="35" t="str">
        <f t="shared" si="629"/>
        <v/>
      </c>
      <c r="AO339" s="35" t="str">
        <f t="shared" si="629"/>
        <v/>
      </c>
      <c r="AP339" s="35" t="str">
        <f t="shared" ref="AP339:AR339" si="630">IF(AP$279="","",AO339)</f>
        <v/>
      </c>
      <c r="AQ339" s="35" t="str">
        <f t="shared" si="630"/>
        <v/>
      </c>
      <c r="AR339" s="35" t="str">
        <f t="shared" si="630"/>
        <v/>
      </c>
    </row>
    <row r="340" spans="1:44" s="93" customFormat="1">
      <c r="A340" s="37" t="str">
        <f>A328</f>
        <v>BUZZ＃2</v>
      </c>
      <c r="B340" s="30" t="s">
        <v>4</v>
      </c>
      <c r="C340" s="65">
        <v>53</v>
      </c>
      <c r="D340" s="29">
        <f>IF(D$279="","",C340)</f>
        <v>53</v>
      </c>
      <c r="E340" s="29">
        <f>IF(E$279="","",D340)</f>
        <v>53</v>
      </c>
      <c r="F340" s="29">
        <v>54</v>
      </c>
      <c r="G340" s="122">
        <f>IF(G$279="","",F340)</f>
        <v>54</v>
      </c>
      <c r="H340" s="29">
        <f>IF(H$279="","",G340)</f>
        <v>54</v>
      </c>
      <c r="I340" s="29">
        <v>55</v>
      </c>
      <c r="J340" s="122">
        <f t="shared" si="628"/>
        <v>55</v>
      </c>
      <c r="K340" s="29">
        <f t="shared" si="628"/>
        <v>55</v>
      </c>
      <c r="L340" s="29">
        <f t="shared" si="628"/>
        <v>55</v>
      </c>
      <c r="M340" s="29">
        <f t="shared" si="628"/>
        <v>55</v>
      </c>
      <c r="N340" s="29">
        <f t="shared" si="628"/>
        <v>55</v>
      </c>
      <c r="O340" s="29">
        <v>56</v>
      </c>
      <c r="P340" s="122">
        <f t="shared" ref="P340:AO340" si="631">IF(P$279="","",O340)</f>
        <v>56</v>
      </c>
      <c r="Q340" s="29">
        <f t="shared" si="631"/>
        <v>56</v>
      </c>
      <c r="R340" s="29">
        <f t="shared" si="631"/>
        <v>56</v>
      </c>
      <c r="S340" s="29">
        <f t="shared" si="631"/>
        <v>56</v>
      </c>
      <c r="T340" s="29">
        <f t="shared" si="631"/>
        <v>56</v>
      </c>
      <c r="U340" s="29">
        <f t="shared" si="631"/>
        <v>56</v>
      </c>
      <c r="V340" s="29">
        <v>56</v>
      </c>
      <c r="W340" s="29">
        <f t="shared" si="631"/>
        <v>56</v>
      </c>
      <c r="X340" s="29">
        <f t="shared" si="631"/>
        <v>56</v>
      </c>
      <c r="Y340" s="29">
        <f t="shared" si="631"/>
        <v>56</v>
      </c>
      <c r="Z340" s="29">
        <f t="shared" si="631"/>
        <v>56</v>
      </c>
      <c r="AA340" s="29">
        <v>56</v>
      </c>
      <c r="AB340" s="29">
        <f t="shared" si="631"/>
        <v>56</v>
      </c>
      <c r="AC340" s="29">
        <f t="shared" si="631"/>
        <v>56</v>
      </c>
      <c r="AD340" s="29">
        <f t="shared" si="631"/>
        <v>56</v>
      </c>
      <c r="AE340" s="29" t="str">
        <f t="shared" si="631"/>
        <v/>
      </c>
      <c r="AF340" s="29" t="str">
        <f t="shared" si="631"/>
        <v/>
      </c>
      <c r="AG340" s="29" t="str">
        <f t="shared" si="631"/>
        <v/>
      </c>
      <c r="AH340" s="29" t="str">
        <f t="shared" si="631"/>
        <v/>
      </c>
      <c r="AI340" s="29" t="str">
        <f t="shared" si="631"/>
        <v/>
      </c>
      <c r="AJ340" s="29" t="str">
        <f t="shared" si="631"/>
        <v/>
      </c>
      <c r="AK340" s="29" t="str">
        <f t="shared" si="631"/>
        <v/>
      </c>
      <c r="AL340" s="29" t="str">
        <f t="shared" si="631"/>
        <v/>
      </c>
      <c r="AM340" s="29" t="str">
        <f t="shared" si="631"/>
        <v/>
      </c>
      <c r="AN340" s="29" t="str">
        <f t="shared" si="631"/>
        <v/>
      </c>
      <c r="AO340" s="29" t="str">
        <f t="shared" si="631"/>
        <v/>
      </c>
      <c r="AP340" s="29" t="str">
        <f t="shared" ref="AP340:AR340" si="632">IF(AP$279="","",AO340)</f>
        <v/>
      </c>
      <c r="AQ340" s="29" t="str">
        <f t="shared" si="632"/>
        <v/>
      </c>
      <c r="AR340" s="29" t="str">
        <f t="shared" si="632"/>
        <v/>
      </c>
    </row>
    <row r="341" spans="1:44" s="93" customFormat="1">
      <c r="A341" s="41">
        <v>2</v>
      </c>
      <c r="B341" s="30" t="s">
        <v>5</v>
      </c>
      <c r="C341" s="65">
        <v>8</v>
      </c>
      <c r="D341" s="29">
        <f>IF(D339="","",(C341+C342))</f>
        <v>8</v>
      </c>
      <c r="E341" s="29">
        <f>IF(E339="","",(D341+D342))</f>
        <v>8</v>
      </c>
      <c r="F341" s="29">
        <v>7</v>
      </c>
      <c r="G341" s="122">
        <f>IF(G339="","",(F341+F342))</f>
        <v>8</v>
      </c>
      <c r="H341" s="29">
        <f>IF(H339="","",(G341+G342))</f>
        <v>8</v>
      </c>
      <c r="I341" s="29">
        <v>7</v>
      </c>
      <c r="J341" s="122">
        <f>IF(J339="","",(I341+I342))</f>
        <v>7</v>
      </c>
      <c r="K341" s="29">
        <f>IF(K339="","",(J341+J342))</f>
        <v>7</v>
      </c>
      <c r="L341" s="29">
        <f>IF(L339="","",(K341+K342))</f>
        <v>7</v>
      </c>
      <c r="M341" s="29">
        <f>IF(M339="","",(L341+L342))</f>
        <v>7</v>
      </c>
      <c r="N341" s="29">
        <f>IF(N339="","",(M341+M342))</f>
        <v>7</v>
      </c>
      <c r="O341" s="29">
        <v>6</v>
      </c>
      <c r="P341" s="122">
        <f t="shared" ref="P341:AO341" si="633">IF(P339="","",(O341+O342))</f>
        <v>8</v>
      </c>
      <c r="Q341" s="29">
        <f t="shared" si="633"/>
        <v>8</v>
      </c>
      <c r="R341" s="29">
        <f t="shared" si="633"/>
        <v>8</v>
      </c>
      <c r="S341" s="29">
        <f t="shared" si="633"/>
        <v>8</v>
      </c>
      <c r="T341" s="29">
        <f t="shared" si="633"/>
        <v>8</v>
      </c>
      <c r="U341" s="29">
        <f t="shared" si="633"/>
        <v>8</v>
      </c>
      <c r="V341" s="29">
        <f>IF(V339="","",(U341+U342))</f>
        <v>8</v>
      </c>
      <c r="W341" s="29">
        <f t="shared" si="633"/>
        <v>8</v>
      </c>
      <c r="X341" s="29">
        <f t="shared" si="633"/>
        <v>8</v>
      </c>
      <c r="Y341" s="29">
        <f t="shared" si="633"/>
        <v>8</v>
      </c>
      <c r="Z341" s="29">
        <f t="shared" si="633"/>
        <v>8</v>
      </c>
      <c r="AA341" s="29">
        <f t="shared" si="633"/>
        <v>8</v>
      </c>
      <c r="AB341" s="29">
        <f t="shared" si="633"/>
        <v>8</v>
      </c>
      <c r="AC341" s="29">
        <f t="shared" si="633"/>
        <v>8</v>
      </c>
      <c r="AD341" s="29">
        <f t="shared" si="633"/>
        <v>8</v>
      </c>
      <c r="AE341" s="29" t="str">
        <f t="shared" si="633"/>
        <v/>
      </c>
      <c r="AF341" s="29" t="str">
        <f t="shared" si="633"/>
        <v/>
      </c>
      <c r="AG341" s="29" t="str">
        <f t="shared" si="633"/>
        <v/>
      </c>
      <c r="AH341" s="29" t="str">
        <f t="shared" si="633"/>
        <v/>
      </c>
      <c r="AI341" s="29" t="str">
        <f t="shared" si="633"/>
        <v/>
      </c>
      <c r="AJ341" s="29" t="str">
        <f t="shared" si="633"/>
        <v/>
      </c>
      <c r="AK341" s="29" t="str">
        <f t="shared" si="633"/>
        <v/>
      </c>
      <c r="AL341" s="29" t="str">
        <f t="shared" si="633"/>
        <v/>
      </c>
      <c r="AM341" s="29" t="str">
        <f t="shared" si="633"/>
        <v/>
      </c>
      <c r="AN341" s="29" t="str">
        <f t="shared" si="633"/>
        <v/>
      </c>
      <c r="AO341" s="29" t="str">
        <f t="shared" si="633"/>
        <v/>
      </c>
      <c r="AP341" s="29" t="str">
        <f t="shared" ref="AP341:AR341" si="634">IF(AP339="","",(AO341+AO342))</f>
        <v/>
      </c>
      <c r="AQ341" s="29" t="str">
        <f t="shared" si="634"/>
        <v/>
      </c>
      <c r="AR341" s="29" t="str">
        <f t="shared" si="634"/>
        <v/>
      </c>
    </row>
    <row r="342" spans="1:44" s="93" customFormat="1">
      <c r="A342" s="14"/>
      <c r="B342" s="30" t="s">
        <v>7</v>
      </c>
      <c r="C342" s="65"/>
      <c r="D342" s="29"/>
      <c r="E342" s="29"/>
      <c r="F342" s="29">
        <v>1</v>
      </c>
      <c r="G342" s="122"/>
      <c r="H342" s="29"/>
      <c r="I342" s="29"/>
      <c r="J342" s="122"/>
      <c r="K342" s="29"/>
      <c r="L342" s="29"/>
      <c r="M342" s="29"/>
      <c r="N342" s="29"/>
      <c r="O342" s="29">
        <v>2</v>
      </c>
      <c r="P342" s="122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</row>
    <row r="343" spans="1:44" s="93" customFormat="1">
      <c r="A343" s="7"/>
      <c r="B343" s="30" t="s">
        <v>8</v>
      </c>
      <c r="C343" s="64">
        <v>600</v>
      </c>
      <c r="D343" s="35">
        <f t="shared" ref="D343:AO343" si="635">IF(D339="","",C343)</f>
        <v>600</v>
      </c>
      <c r="E343" s="35">
        <f t="shared" si="635"/>
        <v>600</v>
      </c>
      <c r="F343" s="35">
        <f t="shared" si="635"/>
        <v>600</v>
      </c>
      <c r="G343" s="383">
        <f t="shared" si="635"/>
        <v>600</v>
      </c>
      <c r="H343" s="35">
        <f t="shared" si="635"/>
        <v>600</v>
      </c>
      <c r="I343" s="35">
        <f t="shared" si="635"/>
        <v>600</v>
      </c>
      <c r="J343" s="383">
        <f t="shared" si="635"/>
        <v>600</v>
      </c>
      <c r="K343" s="35">
        <f t="shared" si="635"/>
        <v>600</v>
      </c>
      <c r="L343" s="35">
        <f t="shared" si="635"/>
        <v>600</v>
      </c>
      <c r="M343" s="35">
        <f t="shared" si="635"/>
        <v>600</v>
      </c>
      <c r="N343" s="35">
        <f t="shared" si="635"/>
        <v>600</v>
      </c>
      <c r="O343" s="35">
        <f t="shared" si="635"/>
        <v>600</v>
      </c>
      <c r="P343" s="383">
        <f t="shared" si="635"/>
        <v>600</v>
      </c>
      <c r="Q343" s="35">
        <f t="shared" si="635"/>
        <v>600</v>
      </c>
      <c r="R343" s="35">
        <f t="shared" si="635"/>
        <v>600</v>
      </c>
      <c r="S343" s="35">
        <f t="shared" si="635"/>
        <v>600</v>
      </c>
      <c r="T343" s="35">
        <f t="shared" si="635"/>
        <v>600</v>
      </c>
      <c r="U343" s="35">
        <f t="shared" si="635"/>
        <v>600</v>
      </c>
      <c r="V343" s="35">
        <f>IF(V339="","",U343)</f>
        <v>600</v>
      </c>
      <c r="W343" s="35">
        <f t="shared" si="635"/>
        <v>600</v>
      </c>
      <c r="X343" s="35">
        <f t="shared" si="635"/>
        <v>600</v>
      </c>
      <c r="Y343" s="35">
        <f t="shared" si="635"/>
        <v>600</v>
      </c>
      <c r="Z343" s="35">
        <f t="shared" si="635"/>
        <v>600</v>
      </c>
      <c r="AA343" s="35">
        <f t="shared" si="635"/>
        <v>600</v>
      </c>
      <c r="AB343" s="35">
        <f t="shared" si="635"/>
        <v>600</v>
      </c>
      <c r="AC343" s="35">
        <f t="shared" si="635"/>
        <v>600</v>
      </c>
      <c r="AD343" s="35">
        <f t="shared" si="635"/>
        <v>600</v>
      </c>
      <c r="AE343" s="35" t="str">
        <f t="shared" si="635"/>
        <v/>
      </c>
      <c r="AF343" s="35" t="str">
        <f t="shared" si="635"/>
        <v/>
      </c>
      <c r="AG343" s="35" t="str">
        <f t="shared" si="635"/>
        <v/>
      </c>
      <c r="AH343" s="35" t="str">
        <f t="shared" si="635"/>
        <v/>
      </c>
      <c r="AI343" s="35" t="str">
        <f t="shared" si="635"/>
        <v/>
      </c>
      <c r="AJ343" s="35" t="str">
        <f t="shared" si="635"/>
        <v/>
      </c>
      <c r="AK343" s="35" t="str">
        <f t="shared" si="635"/>
        <v/>
      </c>
      <c r="AL343" s="35" t="str">
        <f t="shared" si="635"/>
        <v/>
      </c>
      <c r="AM343" s="35" t="str">
        <f t="shared" si="635"/>
        <v/>
      </c>
      <c r="AN343" s="35" t="str">
        <f t="shared" si="635"/>
        <v/>
      </c>
      <c r="AO343" s="35" t="str">
        <f t="shared" si="635"/>
        <v/>
      </c>
      <c r="AP343" s="35" t="str">
        <f t="shared" ref="AP343:AR343" si="636">IF(AP339="","",AO343)</f>
        <v/>
      </c>
      <c r="AQ343" s="35" t="str">
        <f t="shared" si="636"/>
        <v/>
      </c>
      <c r="AR343" s="35" t="str">
        <f t="shared" si="636"/>
        <v/>
      </c>
    </row>
    <row r="344" spans="1:44" s="94" customFormat="1">
      <c r="A344" s="14" t="s">
        <v>9</v>
      </c>
      <c r="B344" s="33" t="s">
        <v>10</v>
      </c>
      <c r="C344" s="63" t="s">
        <v>93</v>
      </c>
      <c r="D344" s="32" t="str">
        <f t="shared" ref="D344:AO344" si="637">IF(D339="","",C344)</f>
        <v>NICI</v>
      </c>
      <c r="E344" s="32" t="str">
        <f t="shared" si="637"/>
        <v>NICI</v>
      </c>
      <c r="F344" s="32" t="str">
        <f t="shared" si="637"/>
        <v>NICI</v>
      </c>
      <c r="G344" s="123" t="str">
        <f t="shared" si="637"/>
        <v>NICI</v>
      </c>
      <c r="H344" s="32" t="str">
        <f t="shared" si="637"/>
        <v>NICI</v>
      </c>
      <c r="I344" s="32" t="str">
        <f t="shared" si="637"/>
        <v>NICI</v>
      </c>
      <c r="J344" s="123" t="str">
        <f t="shared" si="637"/>
        <v>NICI</v>
      </c>
      <c r="K344" s="32" t="str">
        <f t="shared" si="637"/>
        <v>NICI</v>
      </c>
      <c r="L344" s="32" t="str">
        <f t="shared" si="637"/>
        <v>NICI</v>
      </c>
      <c r="M344" s="32" t="str">
        <f t="shared" si="637"/>
        <v>NICI</v>
      </c>
      <c r="N344" s="32" t="str">
        <f t="shared" si="637"/>
        <v>NICI</v>
      </c>
      <c r="O344" s="32" t="str">
        <f t="shared" si="637"/>
        <v>NICI</v>
      </c>
      <c r="P344" s="123" t="str">
        <f t="shared" si="637"/>
        <v>NICI</v>
      </c>
      <c r="Q344" s="32" t="str">
        <f t="shared" si="637"/>
        <v>NICI</v>
      </c>
      <c r="R344" s="32" t="str">
        <f t="shared" si="637"/>
        <v>NICI</v>
      </c>
      <c r="S344" s="32" t="str">
        <f t="shared" si="637"/>
        <v>NICI</v>
      </c>
      <c r="T344" s="32" t="str">
        <f t="shared" si="637"/>
        <v>NICI</v>
      </c>
      <c r="U344" s="32" t="str">
        <f t="shared" si="637"/>
        <v>NICI</v>
      </c>
      <c r="V344" s="32" t="str">
        <f>IF(V339="","",U344)</f>
        <v>NICI</v>
      </c>
      <c r="W344" s="32" t="str">
        <f t="shared" si="637"/>
        <v>NICI</v>
      </c>
      <c r="X344" s="32" t="str">
        <f t="shared" si="637"/>
        <v>NICI</v>
      </c>
      <c r="Y344" s="32" t="str">
        <f t="shared" si="637"/>
        <v>NICI</v>
      </c>
      <c r="Z344" s="32" t="str">
        <f t="shared" si="637"/>
        <v>NICI</v>
      </c>
      <c r="AA344" s="32" t="str">
        <f t="shared" si="637"/>
        <v>NICI</v>
      </c>
      <c r="AB344" s="32" t="str">
        <f t="shared" si="637"/>
        <v>NICI</v>
      </c>
      <c r="AC344" s="32" t="str">
        <f t="shared" si="637"/>
        <v>NICI</v>
      </c>
      <c r="AD344" s="32" t="str">
        <f t="shared" si="637"/>
        <v>NICI</v>
      </c>
      <c r="AE344" s="32" t="str">
        <f t="shared" si="637"/>
        <v/>
      </c>
      <c r="AF344" s="32" t="str">
        <f t="shared" si="637"/>
        <v/>
      </c>
      <c r="AG344" s="32" t="str">
        <f t="shared" si="637"/>
        <v/>
      </c>
      <c r="AH344" s="32" t="str">
        <f t="shared" si="637"/>
        <v/>
      </c>
      <c r="AI344" s="32" t="str">
        <f t="shared" si="637"/>
        <v/>
      </c>
      <c r="AJ344" s="32" t="str">
        <f t="shared" si="637"/>
        <v/>
      </c>
      <c r="AK344" s="32" t="str">
        <f t="shared" si="637"/>
        <v/>
      </c>
      <c r="AL344" s="32" t="str">
        <f t="shared" si="637"/>
        <v/>
      </c>
      <c r="AM344" s="32" t="str">
        <f t="shared" si="637"/>
        <v/>
      </c>
      <c r="AN344" s="32" t="str">
        <f t="shared" si="637"/>
        <v/>
      </c>
      <c r="AO344" s="32" t="str">
        <f t="shared" si="637"/>
        <v/>
      </c>
      <c r="AP344" s="32" t="str">
        <f t="shared" ref="AP344:AR344" si="638">IF(AP339="","",AO344)</f>
        <v/>
      </c>
      <c r="AQ344" s="32" t="str">
        <f t="shared" si="638"/>
        <v/>
      </c>
      <c r="AR344" s="32" t="str">
        <f t="shared" si="638"/>
        <v/>
      </c>
    </row>
    <row r="345" spans="1:44" s="93" customFormat="1">
      <c r="A345" s="7">
        <f>AVERAGE(C346:AS346)*30*100</f>
        <v>22928.571428571431</v>
      </c>
      <c r="B345" s="30" t="s">
        <v>14</v>
      </c>
      <c r="C345" s="65"/>
      <c r="D345" s="29"/>
      <c r="E345" s="29"/>
      <c r="F345" s="29"/>
      <c r="G345" s="122"/>
      <c r="H345" s="29"/>
      <c r="I345" s="29"/>
      <c r="J345" s="122"/>
      <c r="K345" s="29"/>
      <c r="L345" s="29"/>
      <c r="M345" s="29"/>
      <c r="N345" s="29"/>
      <c r="O345" s="29"/>
      <c r="P345" s="122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</row>
    <row r="346" spans="1:44" s="93" customFormat="1">
      <c r="A346" s="7">
        <f>SUM(C346:AS346)</f>
        <v>214</v>
      </c>
      <c r="B346" s="27" t="s">
        <v>15</v>
      </c>
      <c r="C346" s="65">
        <v>0</v>
      </c>
      <c r="D346" s="26">
        <f t="shared" ref="D346:AO346" si="639">IF(D339="","",D339-C339)</f>
        <v>0</v>
      </c>
      <c r="E346" s="26">
        <f t="shared" si="639"/>
        <v>0</v>
      </c>
      <c r="F346" s="26">
        <f t="shared" si="639"/>
        <v>77</v>
      </c>
      <c r="G346" s="122">
        <f t="shared" si="639"/>
        <v>0</v>
      </c>
      <c r="H346" s="26">
        <f t="shared" si="639"/>
        <v>0</v>
      </c>
      <c r="I346" s="26">
        <f t="shared" si="639"/>
        <v>46</v>
      </c>
      <c r="J346" s="122">
        <f t="shared" si="639"/>
        <v>0</v>
      </c>
      <c r="K346" s="26">
        <f t="shared" si="639"/>
        <v>0</v>
      </c>
      <c r="L346" s="26">
        <f t="shared" si="639"/>
        <v>0</v>
      </c>
      <c r="M346" s="26">
        <f t="shared" si="639"/>
        <v>0</v>
      </c>
      <c r="N346" s="26">
        <f t="shared" si="639"/>
        <v>0</v>
      </c>
      <c r="O346" s="26">
        <f t="shared" si="639"/>
        <v>46</v>
      </c>
      <c r="P346" s="122">
        <f t="shared" si="639"/>
        <v>0</v>
      </c>
      <c r="Q346" s="26">
        <f t="shared" si="639"/>
        <v>0</v>
      </c>
      <c r="R346" s="26">
        <f t="shared" si="639"/>
        <v>0</v>
      </c>
      <c r="S346" s="26">
        <f t="shared" si="639"/>
        <v>1</v>
      </c>
      <c r="T346" s="26">
        <f t="shared" si="639"/>
        <v>0</v>
      </c>
      <c r="U346" s="26">
        <f t="shared" si="639"/>
        <v>0</v>
      </c>
      <c r="V346" s="26">
        <f>IF(V339="","",V339-U339)</f>
        <v>16</v>
      </c>
      <c r="W346" s="26">
        <f t="shared" si="639"/>
        <v>0</v>
      </c>
      <c r="X346" s="26">
        <f t="shared" si="639"/>
        <v>0</v>
      </c>
      <c r="Y346" s="26">
        <f t="shared" si="639"/>
        <v>0</v>
      </c>
      <c r="Z346" s="26">
        <f t="shared" si="639"/>
        <v>0</v>
      </c>
      <c r="AA346" s="26">
        <f t="shared" si="639"/>
        <v>24</v>
      </c>
      <c r="AB346" s="26">
        <f t="shared" si="639"/>
        <v>0</v>
      </c>
      <c r="AC346" s="26">
        <f t="shared" si="639"/>
        <v>0</v>
      </c>
      <c r="AD346" s="26">
        <f t="shared" si="639"/>
        <v>4</v>
      </c>
      <c r="AE346" s="26" t="str">
        <f t="shared" si="639"/>
        <v/>
      </c>
      <c r="AF346" s="26" t="str">
        <f t="shared" si="639"/>
        <v/>
      </c>
      <c r="AG346" s="26" t="str">
        <f t="shared" si="639"/>
        <v/>
      </c>
      <c r="AH346" s="26" t="str">
        <f t="shared" si="639"/>
        <v/>
      </c>
      <c r="AI346" s="26" t="str">
        <f t="shared" si="639"/>
        <v/>
      </c>
      <c r="AJ346" s="26" t="str">
        <f t="shared" si="639"/>
        <v/>
      </c>
      <c r="AK346" s="26" t="str">
        <f t="shared" si="639"/>
        <v/>
      </c>
      <c r="AL346" s="26" t="str">
        <f t="shared" si="639"/>
        <v/>
      </c>
      <c r="AM346" s="26" t="str">
        <f t="shared" si="639"/>
        <v/>
      </c>
      <c r="AN346" s="26" t="str">
        <f t="shared" si="639"/>
        <v/>
      </c>
      <c r="AO346" s="26" t="str">
        <f t="shared" si="639"/>
        <v/>
      </c>
      <c r="AP346" s="26" t="str">
        <f t="shared" ref="AP346:AR346" si="640">IF(AP339="","",AP339-AO339)</f>
        <v/>
      </c>
      <c r="AQ346" s="26" t="str">
        <f t="shared" si="640"/>
        <v/>
      </c>
      <c r="AR346" s="26" t="str">
        <f t="shared" si="640"/>
        <v/>
      </c>
    </row>
    <row r="347" spans="1:44" s="93" customFormat="1">
      <c r="A347" s="7">
        <f>SUM(C347:AS347)</f>
        <v>3</v>
      </c>
      <c r="B347" s="27" t="s">
        <v>16</v>
      </c>
      <c r="C347" s="65">
        <v>0</v>
      </c>
      <c r="D347" s="26">
        <f t="shared" ref="D347:AO347" si="641">IF(D340="","",D340-C340)</f>
        <v>0</v>
      </c>
      <c r="E347" s="26">
        <f t="shared" si="641"/>
        <v>0</v>
      </c>
      <c r="F347" s="26">
        <f t="shared" si="641"/>
        <v>1</v>
      </c>
      <c r="G347" s="122">
        <f t="shared" si="641"/>
        <v>0</v>
      </c>
      <c r="H347" s="26">
        <f t="shared" si="641"/>
        <v>0</v>
      </c>
      <c r="I347" s="26">
        <f t="shared" si="641"/>
        <v>1</v>
      </c>
      <c r="J347" s="122">
        <f t="shared" si="641"/>
        <v>0</v>
      </c>
      <c r="K347" s="26">
        <f t="shared" si="641"/>
        <v>0</v>
      </c>
      <c r="L347" s="26">
        <f t="shared" si="641"/>
        <v>0</v>
      </c>
      <c r="M347" s="26">
        <f t="shared" si="641"/>
        <v>0</v>
      </c>
      <c r="N347" s="26">
        <f t="shared" si="641"/>
        <v>0</v>
      </c>
      <c r="O347" s="26">
        <f t="shared" si="641"/>
        <v>1</v>
      </c>
      <c r="P347" s="122">
        <f t="shared" si="641"/>
        <v>0</v>
      </c>
      <c r="Q347" s="26">
        <f t="shared" si="641"/>
        <v>0</v>
      </c>
      <c r="R347" s="26">
        <f t="shared" si="641"/>
        <v>0</v>
      </c>
      <c r="S347" s="26">
        <f t="shared" si="641"/>
        <v>0</v>
      </c>
      <c r="T347" s="26">
        <f t="shared" si="641"/>
        <v>0</v>
      </c>
      <c r="U347" s="26">
        <f t="shared" si="641"/>
        <v>0</v>
      </c>
      <c r="V347" s="26">
        <f>IF(V340="","",V340-U340)</f>
        <v>0</v>
      </c>
      <c r="W347" s="26">
        <f t="shared" si="641"/>
        <v>0</v>
      </c>
      <c r="X347" s="26">
        <f t="shared" si="641"/>
        <v>0</v>
      </c>
      <c r="Y347" s="26">
        <f t="shared" si="641"/>
        <v>0</v>
      </c>
      <c r="Z347" s="26">
        <f t="shared" si="641"/>
        <v>0</v>
      </c>
      <c r="AA347" s="26">
        <f t="shared" si="641"/>
        <v>0</v>
      </c>
      <c r="AB347" s="26">
        <f t="shared" si="641"/>
        <v>0</v>
      </c>
      <c r="AC347" s="26">
        <f t="shared" si="641"/>
        <v>0</v>
      </c>
      <c r="AD347" s="26">
        <f t="shared" si="641"/>
        <v>0</v>
      </c>
      <c r="AE347" s="26" t="str">
        <f t="shared" si="641"/>
        <v/>
      </c>
      <c r="AF347" s="26" t="str">
        <f t="shared" si="641"/>
        <v/>
      </c>
      <c r="AG347" s="26" t="str">
        <f t="shared" si="641"/>
        <v/>
      </c>
      <c r="AH347" s="26" t="str">
        <f t="shared" si="641"/>
        <v/>
      </c>
      <c r="AI347" s="26" t="str">
        <f t="shared" si="641"/>
        <v/>
      </c>
      <c r="AJ347" s="26" t="str">
        <f t="shared" si="641"/>
        <v/>
      </c>
      <c r="AK347" s="26" t="str">
        <f t="shared" si="641"/>
        <v/>
      </c>
      <c r="AL347" s="26" t="str">
        <f t="shared" si="641"/>
        <v/>
      </c>
      <c r="AM347" s="26" t="str">
        <f t="shared" si="641"/>
        <v/>
      </c>
      <c r="AN347" s="26" t="str">
        <f t="shared" si="641"/>
        <v/>
      </c>
      <c r="AO347" s="26" t="str">
        <f t="shared" si="641"/>
        <v/>
      </c>
      <c r="AP347" s="26" t="str">
        <f t="shared" ref="AP347:AR347" si="642">IF(AP340="","",AP340-AO340)</f>
        <v/>
      </c>
      <c r="AQ347" s="26" t="str">
        <f t="shared" si="642"/>
        <v/>
      </c>
      <c r="AR347" s="26" t="str">
        <f t="shared" si="642"/>
        <v/>
      </c>
    </row>
    <row r="348" spans="1:44" s="93" customFormat="1">
      <c r="A348" s="7">
        <f>SUM(C348:AS348)</f>
        <v>3</v>
      </c>
      <c r="B348" s="27" t="s">
        <v>17</v>
      </c>
      <c r="C348" s="65">
        <v>0</v>
      </c>
      <c r="D348" s="26">
        <f t="shared" ref="D348:AO348" si="643">IF(D341="","",C341+C342-D341)</f>
        <v>0</v>
      </c>
      <c r="E348" s="26">
        <f t="shared" si="643"/>
        <v>0</v>
      </c>
      <c r="F348" s="26">
        <f t="shared" si="643"/>
        <v>1</v>
      </c>
      <c r="G348" s="122">
        <f t="shared" si="643"/>
        <v>0</v>
      </c>
      <c r="H348" s="26">
        <f t="shared" si="643"/>
        <v>0</v>
      </c>
      <c r="I348" s="26">
        <f t="shared" si="643"/>
        <v>1</v>
      </c>
      <c r="J348" s="122">
        <f t="shared" si="643"/>
        <v>0</v>
      </c>
      <c r="K348" s="26">
        <f t="shared" si="643"/>
        <v>0</v>
      </c>
      <c r="L348" s="26">
        <f t="shared" si="643"/>
        <v>0</v>
      </c>
      <c r="M348" s="26">
        <f t="shared" si="643"/>
        <v>0</v>
      </c>
      <c r="N348" s="26">
        <f t="shared" si="643"/>
        <v>0</v>
      </c>
      <c r="O348" s="26">
        <f t="shared" si="643"/>
        <v>1</v>
      </c>
      <c r="P348" s="122">
        <f t="shared" si="643"/>
        <v>0</v>
      </c>
      <c r="Q348" s="26">
        <f t="shared" si="643"/>
        <v>0</v>
      </c>
      <c r="R348" s="26">
        <f t="shared" si="643"/>
        <v>0</v>
      </c>
      <c r="S348" s="26">
        <f t="shared" si="643"/>
        <v>0</v>
      </c>
      <c r="T348" s="26">
        <f t="shared" si="643"/>
        <v>0</v>
      </c>
      <c r="U348" s="26">
        <f t="shared" si="643"/>
        <v>0</v>
      </c>
      <c r="V348" s="26">
        <f>IF(V341="","",U341+U342-V341)</f>
        <v>0</v>
      </c>
      <c r="W348" s="26">
        <f t="shared" si="643"/>
        <v>0</v>
      </c>
      <c r="X348" s="26">
        <f t="shared" si="643"/>
        <v>0</v>
      </c>
      <c r="Y348" s="26">
        <f t="shared" si="643"/>
        <v>0</v>
      </c>
      <c r="Z348" s="26">
        <f t="shared" si="643"/>
        <v>0</v>
      </c>
      <c r="AA348" s="26">
        <f t="shared" si="643"/>
        <v>0</v>
      </c>
      <c r="AB348" s="26">
        <f t="shared" si="643"/>
        <v>0</v>
      </c>
      <c r="AC348" s="26">
        <f t="shared" si="643"/>
        <v>0</v>
      </c>
      <c r="AD348" s="26">
        <f t="shared" si="643"/>
        <v>0</v>
      </c>
      <c r="AE348" s="26" t="str">
        <f t="shared" si="643"/>
        <v/>
      </c>
      <c r="AF348" s="26" t="str">
        <f t="shared" si="643"/>
        <v/>
      </c>
      <c r="AG348" s="26" t="str">
        <f t="shared" si="643"/>
        <v/>
      </c>
      <c r="AH348" s="26" t="str">
        <f t="shared" si="643"/>
        <v/>
      </c>
      <c r="AI348" s="26" t="str">
        <f t="shared" si="643"/>
        <v/>
      </c>
      <c r="AJ348" s="26" t="str">
        <f t="shared" si="643"/>
        <v/>
      </c>
      <c r="AK348" s="26" t="str">
        <f t="shared" si="643"/>
        <v/>
      </c>
      <c r="AL348" s="26" t="str">
        <f t="shared" si="643"/>
        <v/>
      </c>
      <c r="AM348" s="26" t="str">
        <f t="shared" si="643"/>
        <v/>
      </c>
      <c r="AN348" s="26" t="str">
        <f t="shared" si="643"/>
        <v/>
      </c>
      <c r="AO348" s="26" t="str">
        <f t="shared" si="643"/>
        <v/>
      </c>
      <c r="AP348" s="26" t="str">
        <f t="shared" ref="AP348:AR348" si="644">IF(AP341="","",AO341+AO342-AP341)</f>
        <v/>
      </c>
      <c r="AQ348" s="26" t="str">
        <f t="shared" si="644"/>
        <v/>
      </c>
      <c r="AR348" s="26" t="str">
        <f t="shared" si="644"/>
        <v/>
      </c>
    </row>
    <row r="349" spans="1:44" s="93" customFormat="1">
      <c r="A349" s="7">
        <f>SUM(C349:AS349)</f>
        <v>1800</v>
      </c>
      <c r="B349" s="27" t="s">
        <v>18</v>
      </c>
      <c r="C349" s="65">
        <v>0</v>
      </c>
      <c r="D349" s="26">
        <f t="shared" ref="D349:AO349" si="645">IF(D339="","",D348*D343)</f>
        <v>0</v>
      </c>
      <c r="E349" s="26">
        <f t="shared" si="645"/>
        <v>0</v>
      </c>
      <c r="F349" s="26">
        <f t="shared" si="645"/>
        <v>600</v>
      </c>
      <c r="G349" s="122">
        <f t="shared" si="645"/>
        <v>0</v>
      </c>
      <c r="H349" s="26">
        <f t="shared" si="645"/>
        <v>0</v>
      </c>
      <c r="I349" s="26">
        <f t="shared" si="645"/>
        <v>600</v>
      </c>
      <c r="J349" s="122">
        <f t="shared" si="645"/>
        <v>0</v>
      </c>
      <c r="K349" s="26">
        <f t="shared" si="645"/>
        <v>0</v>
      </c>
      <c r="L349" s="26">
        <f t="shared" si="645"/>
        <v>0</v>
      </c>
      <c r="M349" s="26">
        <f t="shared" si="645"/>
        <v>0</v>
      </c>
      <c r="N349" s="26">
        <f t="shared" si="645"/>
        <v>0</v>
      </c>
      <c r="O349" s="26">
        <f t="shared" si="645"/>
        <v>600</v>
      </c>
      <c r="P349" s="122">
        <f t="shared" si="645"/>
        <v>0</v>
      </c>
      <c r="Q349" s="26">
        <f t="shared" si="645"/>
        <v>0</v>
      </c>
      <c r="R349" s="26">
        <f t="shared" si="645"/>
        <v>0</v>
      </c>
      <c r="S349" s="26">
        <f t="shared" si="645"/>
        <v>0</v>
      </c>
      <c r="T349" s="26">
        <f t="shared" si="645"/>
        <v>0</v>
      </c>
      <c r="U349" s="26">
        <f t="shared" si="645"/>
        <v>0</v>
      </c>
      <c r="V349" s="26">
        <f>IF(V339="","",V348*V343)</f>
        <v>0</v>
      </c>
      <c r="W349" s="26">
        <f t="shared" si="645"/>
        <v>0</v>
      </c>
      <c r="X349" s="26">
        <f t="shared" si="645"/>
        <v>0</v>
      </c>
      <c r="Y349" s="26">
        <f t="shared" si="645"/>
        <v>0</v>
      </c>
      <c r="Z349" s="26">
        <f t="shared" si="645"/>
        <v>0</v>
      </c>
      <c r="AA349" s="26">
        <f t="shared" si="645"/>
        <v>0</v>
      </c>
      <c r="AB349" s="26">
        <f t="shared" si="645"/>
        <v>0</v>
      </c>
      <c r="AC349" s="26">
        <f t="shared" si="645"/>
        <v>0</v>
      </c>
      <c r="AD349" s="26">
        <f t="shared" si="645"/>
        <v>0</v>
      </c>
      <c r="AE349" s="26" t="str">
        <f t="shared" si="645"/>
        <v/>
      </c>
      <c r="AF349" s="26" t="str">
        <f t="shared" si="645"/>
        <v/>
      </c>
      <c r="AG349" s="26" t="str">
        <f t="shared" si="645"/>
        <v/>
      </c>
      <c r="AH349" s="26" t="str">
        <f t="shared" si="645"/>
        <v/>
      </c>
      <c r="AI349" s="26" t="str">
        <f t="shared" si="645"/>
        <v/>
      </c>
      <c r="AJ349" s="26" t="str">
        <f t="shared" si="645"/>
        <v/>
      </c>
      <c r="AK349" s="26" t="str">
        <f t="shared" si="645"/>
        <v/>
      </c>
      <c r="AL349" s="26" t="str">
        <f t="shared" si="645"/>
        <v/>
      </c>
      <c r="AM349" s="26" t="str">
        <f t="shared" si="645"/>
        <v/>
      </c>
      <c r="AN349" s="26" t="str">
        <f t="shared" si="645"/>
        <v/>
      </c>
      <c r="AO349" s="26" t="str">
        <f t="shared" si="645"/>
        <v/>
      </c>
      <c r="AP349" s="26" t="str">
        <f t="shared" ref="AP349:AR349" si="646">IF(AP339="","",AP348*AP343)</f>
        <v/>
      </c>
      <c r="AQ349" s="26" t="str">
        <f t="shared" si="646"/>
        <v/>
      </c>
      <c r="AR349" s="26" t="str">
        <f t="shared" si="646"/>
        <v/>
      </c>
    </row>
    <row r="350" spans="1:44" s="93" customFormat="1" ht="12" thickBot="1">
      <c r="A350" s="4">
        <f>IF(A349="","",A349/(A346*100))</f>
        <v>8.4112149532710276E-2</v>
      </c>
      <c r="B350" s="27" t="s">
        <v>20</v>
      </c>
      <c r="C350" s="68" t="s">
        <v>21</v>
      </c>
      <c r="D350" s="44" t="str">
        <f t="shared" ref="D350:AO350" si="647">IF(D349="","",IF(D349=0,"",D349/(D346*100)))</f>
        <v/>
      </c>
      <c r="E350" s="44" t="str">
        <f t="shared" si="647"/>
        <v/>
      </c>
      <c r="F350" s="44">
        <f t="shared" si="647"/>
        <v>7.792207792207792E-2</v>
      </c>
      <c r="G350" s="384" t="str">
        <f t="shared" si="647"/>
        <v/>
      </c>
      <c r="H350" s="44" t="str">
        <f t="shared" si="647"/>
        <v/>
      </c>
      <c r="I350" s="44">
        <f t="shared" si="647"/>
        <v>0.13043478260869565</v>
      </c>
      <c r="J350" s="384" t="str">
        <f t="shared" si="647"/>
        <v/>
      </c>
      <c r="K350" s="44" t="str">
        <f t="shared" si="647"/>
        <v/>
      </c>
      <c r="L350" s="44" t="str">
        <f t="shared" si="647"/>
        <v/>
      </c>
      <c r="M350" s="44" t="str">
        <f t="shared" si="647"/>
        <v/>
      </c>
      <c r="N350" s="44" t="str">
        <f t="shared" si="647"/>
        <v/>
      </c>
      <c r="O350" s="44">
        <f t="shared" si="647"/>
        <v>0.13043478260869565</v>
      </c>
      <c r="P350" s="384" t="str">
        <f t="shared" si="647"/>
        <v/>
      </c>
      <c r="Q350" s="44" t="str">
        <f t="shared" si="647"/>
        <v/>
      </c>
      <c r="R350" s="44" t="str">
        <f t="shared" si="647"/>
        <v/>
      </c>
      <c r="S350" s="44" t="str">
        <f t="shared" si="647"/>
        <v/>
      </c>
      <c r="T350" s="44" t="str">
        <f t="shared" si="647"/>
        <v/>
      </c>
      <c r="U350" s="44" t="str">
        <f t="shared" si="647"/>
        <v/>
      </c>
      <c r="V350" s="44" t="str">
        <f>IF(V349="","",IF(V349=0,"",V349/(V346*100)))</f>
        <v/>
      </c>
      <c r="W350" s="44" t="str">
        <f t="shared" si="647"/>
        <v/>
      </c>
      <c r="X350" s="44" t="str">
        <f t="shared" si="647"/>
        <v/>
      </c>
      <c r="Y350" s="44" t="str">
        <f t="shared" si="647"/>
        <v/>
      </c>
      <c r="Z350" s="44" t="str">
        <f t="shared" si="647"/>
        <v/>
      </c>
      <c r="AA350" s="44" t="str">
        <f t="shared" si="647"/>
        <v/>
      </c>
      <c r="AB350" s="44" t="str">
        <f t="shared" si="647"/>
        <v/>
      </c>
      <c r="AC350" s="44" t="str">
        <f t="shared" si="647"/>
        <v/>
      </c>
      <c r="AD350" s="44" t="str">
        <f t="shared" si="647"/>
        <v/>
      </c>
      <c r="AE350" s="44" t="str">
        <f t="shared" si="647"/>
        <v/>
      </c>
      <c r="AF350" s="44" t="str">
        <f t="shared" si="647"/>
        <v/>
      </c>
      <c r="AG350" s="44" t="str">
        <f t="shared" si="647"/>
        <v/>
      </c>
      <c r="AH350" s="44" t="str">
        <f t="shared" si="647"/>
        <v/>
      </c>
      <c r="AI350" s="44" t="str">
        <f t="shared" si="647"/>
        <v/>
      </c>
      <c r="AJ350" s="44" t="str">
        <f t="shared" si="647"/>
        <v/>
      </c>
      <c r="AK350" s="44" t="str">
        <f t="shared" si="647"/>
        <v/>
      </c>
      <c r="AL350" s="44" t="str">
        <f t="shared" si="647"/>
        <v/>
      </c>
      <c r="AM350" s="44" t="str">
        <f t="shared" si="647"/>
        <v/>
      </c>
      <c r="AN350" s="44" t="str">
        <f t="shared" si="647"/>
        <v/>
      </c>
      <c r="AO350" s="44" t="str">
        <f t="shared" si="647"/>
        <v/>
      </c>
      <c r="AP350" s="44" t="str">
        <f t="shared" ref="AP350:AR350" si="648">IF(AP349="","",IF(AP349=0,"",AP349/(AP346*100)))</f>
        <v/>
      </c>
      <c r="AQ350" s="44" t="str">
        <f t="shared" si="648"/>
        <v/>
      </c>
      <c r="AR350" s="44" t="str">
        <f t="shared" si="648"/>
        <v/>
      </c>
    </row>
    <row r="351" spans="1:44" s="93" customFormat="1">
      <c r="A351" s="43" t="str">
        <f>A339</f>
        <v>南熊本</v>
      </c>
      <c r="B351" s="42" t="s">
        <v>2</v>
      </c>
      <c r="C351" s="64">
        <v>3418</v>
      </c>
      <c r="D351" s="35">
        <f>IF(D$279="","",C351)</f>
        <v>3418</v>
      </c>
      <c r="E351" s="35">
        <f>IF(E$279="","",D351)</f>
        <v>3418</v>
      </c>
      <c r="F351" s="35">
        <v>3427</v>
      </c>
      <c r="G351" s="383">
        <f>IF(G$279="","",F351)</f>
        <v>3427</v>
      </c>
      <c r="H351" s="35">
        <f>IF(H$279="","",G351)</f>
        <v>3427</v>
      </c>
      <c r="I351" s="35">
        <v>3463</v>
      </c>
      <c r="J351" s="383">
        <f t="shared" ref="J351:N352" si="649">IF(J$279="","",I351)</f>
        <v>3463</v>
      </c>
      <c r="K351" s="35">
        <f t="shared" si="649"/>
        <v>3463</v>
      </c>
      <c r="L351" s="35">
        <f t="shared" si="649"/>
        <v>3463</v>
      </c>
      <c r="M351" s="35">
        <f t="shared" si="649"/>
        <v>3463</v>
      </c>
      <c r="N351" s="35">
        <f t="shared" si="649"/>
        <v>3463</v>
      </c>
      <c r="O351" s="35">
        <v>3535</v>
      </c>
      <c r="P351" s="383">
        <f t="shared" ref="P351:AO351" si="650">IF(P$279="","",O351)</f>
        <v>3535</v>
      </c>
      <c r="Q351" s="35">
        <f t="shared" si="650"/>
        <v>3535</v>
      </c>
      <c r="R351" s="35">
        <f t="shared" si="650"/>
        <v>3535</v>
      </c>
      <c r="S351" s="35">
        <v>3552</v>
      </c>
      <c r="T351" s="35">
        <f t="shared" si="650"/>
        <v>3552</v>
      </c>
      <c r="U351" s="35">
        <f t="shared" si="650"/>
        <v>3552</v>
      </c>
      <c r="V351" s="35">
        <v>3575</v>
      </c>
      <c r="W351" s="35">
        <f t="shared" si="650"/>
        <v>3575</v>
      </c>
      <c r="X351" s="35">
        <f t="shared" si="650"/>
        <v>3575</v>
      </c>
      <c r="Y351" s="35">
        <f t="shared" si="650"/>
        <v>3575</v>
      </c>
      <c r="Z351" s="35">
        <f t="shared" si="650"/>
        <v>3575</v>
      </c>
      <c r="AA351" s="35">
        <v>3685</v>
      </c>
      <c r="AB351" s="35">
        <f t="shared" si="650"/>
        <v>3685</v>
      </c>
      <c r="AC351" s="35">
        <f t="shared" si="650"/>
        <v>3685</v>
      </c>
      <c r="AD351" s="35">
        <v>3773</v>
      </c>
      <c r="AE351" s="35" t="str">
        <f t="shared" si="650"/>
        <v/>
      </c>
      <c r="AF351" s="35" t="str">
        <f t="shared" si="650"/>
        <v/>
      </c>
      <c r="AG351" s="35" t="str">
        <f t="shared" si="650"/>
        <v/>
      </c>
      <c r="AH351" s="35" t="str">
        <f t="shared" si="650"/>
        <v/>
      </c>
      <c r="AI351" s="35" t="str">
        <f t="shared" si="650"/>
        <v/>
      </c>
      <c r="AJ351" s="35" t="str">
        <f t="shared" si="650"/>
        <v/>
      </c>
      <c r="AK351" s="35" t="str">
        <f t="shared" si="650"/>
        <v/>
      </c>
      <c r="AL351" s="35" t="str">
        <f t="shared" si="650"/>
        <v/>
      </c>
      <c r="AM351" s="35" t="str">
        <f t="shared" si="650"/>
        <v/>
      </c>
      <c r="AN351" s="35" t="str">
        <f t="shared" si="650"/>
        <v/>
      </c>
      <c r="AO351" s="35" t="str">
        <f t="shared" si="650"/>
        <v/>
      </c>
      <c r="AP351" s="35" t="str">
        <f t="shared" ref="AP351:AR351" si="651">IF(AP$279="","",AO351)</f>
        <v/>
      </c>
      <c r="AQ351" s="35" t="str">
        <f t="shared" si="651"/>
        <v/>
      </c>
      <c r="AR351" s="35" t="str">
        <f t="shared" si="651"/>
        <v/>
      </c>
    </row>
    <row r="352" spans="1:44" s="93" customFormat="1">
      <c r="A352" s="37" t="str">
        <f>A340</f>
        <v>BUZZ＃2</v>
      </c>
      <c r="B352" s="30" t="s">
        <v>4</v>
      </c>
      <c r="C352" s="65">
        <v>53</v>
      </c>
      <c r="D352" s="29">
        <f>IF(D$279="","",C352)</f>
        <v>53</v>
      </c>
      <c r="E352" s="29">
        <f>IF(E$279="","",D352)</f>
        <v>53</v>
      </c>
      <c r="F352" s="29">
        <v>55</v>
      </c>
      <c r="G352" s="122">
        <f>IF(G$279="","",F352)</f>
        <v>55</v>
      </c>
      <c r="H352" s="29">
        <f>IF(H$279="","",G352)</f>
        <v>55</v>
      </c>
      <c r="I352" s="29">
        <f>IF(I$279="","",H352)</f>
        <v>55</v>
      </c>
      <c r="J352" s="122">
        <f t="shared" si="649"/>
        <v>55</v>
      </c>
      <c r="K352" s="29">
        <f t="shared" si="649"/>
        <v>55</v>
      </c>
      <c r="L352" s="29">
        <f t="shared" si="649"/>
        <v>55</v>
      </c>
      <c r="M352" s="29">
        <f t="shared" si="649"/>
        <v>55</v>
      </c>
      <c r="N352" s="29">
        <f t="shared" si="649"/>
        <v>55</v>
      </c>
      <c r="O352" s="29">
        <v>62</v>
      </c>
      <c r="P352" s="122">
        <f t="shared" ref="P352:AO352" si="652">IF(P$279="","",O352)</f>
        <v>62</v>
      </c>
      <c r="Q352" s="29">
        <f t="shared" si="652"/>
        <v>62</v>
      </c>
      <c r="R352" s="29">
        <f t="shared" si="652"/>
        <v>62</v>
      </c>
      <c r="S352" s="29">
        <f t="shared" si="652"/>
        <v>62</v>
      </c>
      <c r="T352" s="29">
        <f t="shared" si="652"/>
        <v>62</v>
      </c>
      <c r="U352" s="29">
        <f t="shared" si="652"/>
        <v>62</v>
      </c>
      <c r="V352" s="29">
        <v>64</v>
      </c>
      <c r="W352" s="29">
        <f t="shared" si="652"/>
        <v>64</v>
      </c>
      <c r="X352" s="29">
        <f t="shared" si="652"/>
        <v>64</v>
      </c>
      <c r="Y352" s="29">
        <f t="shared" si="652"/>
        <v>64</v>
      </c>
      <c r="Z352" s="29">
        <f t="shared" si="652"/>
        <v>64</v>
      </c>
      <c r="AA352" s="29">
        <v>67</v>
      </c>
      <c r="AB352" s="29">
        <f t="shared" si="652"/>
        <v>67</v>
      </c>
      <c r="AC352" s="29">
        <f t="shared" si="652"/>
        <v>67</v>
      </c>
      <c r="AD352" s="29">
        <v>68</v>
      </c>
      <c r="AE352" s="29" t="str">
        <f t="shared" si="652"/>
        <v/>
      </c>
      <c r="AF352" s="29" t="str">
        <f t="shared" si="652"/>
        <v/>
      </c>
      <c r="AG352" s="29" t="str">
        <f t="shared" si="652"/>
        <v/>
      </c>
      <c r="AH352" s="29" t="str">
        <f t="shared" si="652"/>
        <v/>
      </c>
      <c r="AI352" s="29" t="str">
        <f t="shared" si="652"/>
        <v/>
      </c>
      <c r="AJ352" s="29" t="str">
        <f t="shared" si="652"/>
        <v/>
      </c>
      <c r="AK352" s="29" t="str">
        <f t="shared" si="652"/>
        <v/>
      </c>
      <c r="AL352" s="29" t="str">
        <f t="shared" si="652"/>
        <v/>
      </c>
      <c r="AM352" s="29" t="str">
        <f t="shared" si="652"/>
        <v/>
      </c>
      <c r="AN352" s="29" t="str">
        <f t="shared" si="652"/>
        <v/>
      </c>
      <c r="AO352" s="29" t="str">
        <f t="shared" si="652"/>
        <v/>
      </c>
      <c r="AP352" s="29" t="str">
        <f t="shared" ref="AP352:AR352" si="653">IF(AP$279="","",AO352)</f>
        <v/>
      </c>
      <c r="AQ352" s="29" t="str">
        <f t="shared" si="653"/>
        <v/>
      </c>
      <c r="AR352" s="29" t="str">
        <f t="shared" si="653"/>
        <v/>
      </c>
    </row>
    <row r="353" spans="1:44" s="93" customFormat="1">
      <c r="A353" s="41">
        <v>3</v>
      </c>
      <c r="B353" s="30" t="s">
        <v>5</v>
      </c>
      <c r="C353" s="65">
        <v>2</v>
      </c>
      <c r="D353" s="29">
        <f>IF(D351="","",(C353+C354))</f>
        <v>2</v>
      </c>
      <c r="E353" s="29">
        <f>IF(E351="","",(D353+D354))</f>
        <v>2</v>
      </c>
      <c r="F353" s="29">
        <v>0</v>
      </c>
      <c r="G353" s="122">
        <f>IF(G351="","",(F353+F354))</f>
        <v>4</v>
      </c>
      <c r="H353" s="29">
        <f>IF(H351="","",(G353+G354))</f>
        <v>4</v>
      </c>
      <c r="I353" s="29">
        <v>3</v>
      </c>
      <c r="J353" s="122">
        <f>IF(J351="","",(I353+I354))</f>
        <v>8</v>
      </c>
      <c r="K353" s="29">
        <f>IF(K351="","",(J353+J354))</f>
        <v>8</v>
      </c>
      <c r="L353" s="29">
        <f>IF(L351="","",(K353+K354))</f>
        <v>8</v>
      </c>
      <c r="M353" s="29">
        <f>IF(M351="","",(L353+L354))</f>
        <v>8</v>
      </c>
      <c r="N353" s="29">
        <f>IF(N351="","",(M353+M354))</f>
        <v>8</v>
      </c>
      <c r="O353" s="29">
        <v>1</v>
      </c>
      <c r="P353" s="122">
        <f t="shared" ref="P353:AO353" si="654">IF(P351="","",(O353+O354))</f>
        <v>4</v>
      </c>
      <c r="Q353" s="29">
        <f t="shared" si="654"/>
        <v>4</v>
      </c>
      <c r="R353" s="29">
        <f t="shared" si="654"/>
        <v>4</v>
      </c>
      <c r="S353" s="29">
        <f t="shared" si="654"/>
        <v>4</v>
      </c>
      <c r="T353" s="29">
        <f t="shared" si="654"/>
        <v>4</v>
      </c>
      <c r="U353" s="29">
        <f t="shared" si="654"/>
        <v>4</v>
      </c>
      <c r="V353" s="29">
        <v>2</v>
      </c>
      <c r="W353" s="29">
        <f t="shared" si="654"/>
        <v>7</v>
      </c>
      <c r="X353" s="29">
        <f t="shared" si="654"/>
        <v>7</v>
      </c>
      <c r="Y353" s="29">
        <f t="shared" si="654"/>
        <v>7</v>
      </c>
      <c r="Z353" s="29">
        <f t="shared" si="654"/>
        <v>7</v>
      </c>
      <c r="AA353" s="29">
        <v>5</v>
      </c>
      <c r="AB353" s="29">
        <f t="shared" si="654"/>
        <v>5</v>
      </c>
      <c r="AC353" s="29">
        <f t="shared" si="654"/>
        <v>5</v>
      </c>
      <c r="AD353" s="29">
        <f t="shared" si="654"/>
        <v>5</v>
      </c>
      <c r="AE353" s="29" t="str">
        <f t="shared" si="654"/>
        <v/>
      </c>
      <c r="AF353" s="29" t="str">
        <f t="shared" si="654"/>
        <v/>
      </c>
      <c r="AG353" s="29" t="str">
        <f t="shared" si="654"/>
        <v/>
      </c>
      <c r="AH353" s="29" t="str">
        <f t="shared" si="654"/>
        <v/>
      </c>
      <c r="AI353" s="29" t="str">
        <f t="shared" si="654"/>
        <v/>
      </c>
      <c r="AJ353" s="29" t="str">
        <f t="shared" si="654"/>
        <v/>
      </c>
      <c r="AK353" s="29" t="str">
        <f t="shared" si="654"/>
        <v/>
      </c>
      <c r="AL353" s="29" t="str">
        <f t="shared" si="654"/>
        <v/>
      </c>
      <c r="AM353" s="29" t="str">
        <f t="shared" si="654"/>
        <v/>
      </c>
      <c r="AN353" s="29" t="str">
        <f t="shared" si="654"/>
        <v/>
      </c>
      <c r="AO353" s="29" t="str">
        <f t="shared" si="654"/>
        <v/>
      </c>
      <c r="AP353" s="29" t="str">
        <f t="shared" ref="AP353:AR353" si="655">IF(AP351="","",(AO353+AO354))</f>
        <v/>
      </c>
      <c r="AQ353" s="29" t="str">
        <f t="shared" si="655"/>
        <v/>
      </c>
      <c r="AR353" s="29" t="str">
        <f t="shared" si="655"/>
        <v/>
      </c>
    </row>
    <row r="354" spans="1:44" s="93" customFormat="1">
      <c r="A354" s="14"/>
      <c r="B354" s="30" t="s">
        <v>7</v>
      </c>
      <c r="C354" s="65"/>
      <c r="D354" s="29"/>
      <c r="E354" s="29"/>
      <c r="F354" s="29">
        <v>4</v>
      </c>
      <c r="G354" s="122"/>
      <c r="H354" s="29"/>
      <c r="I354" s="29">
        <v>5</v>
      </c>
      <c r="J354" s="122"/>
      <c r="K354" s="29"/>
      <c r="L354" s="29"/>
      <c r="M354" s="29"/>
      <c r="N354" s="29"/>
      <c r="O354" s="29">
        <v>3</v>
      </c>
      <c r="P354" s="122"/>
      <c r="Q354" s="29"/>
      <c r="R354" s="29"/>
      <c r="S354" s="29"/>
      <c r="T354" s="29"/>
      <c r="U354" s="29"/>
      <c r="V354" s="29">
        <v>5</v>
      </c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</row>
    <row r="355" spans="1:44" s="93" customFormat="1">
      <c r="A355" s="7"/>
      <c r="B355" s="30" t="s">
        <v>8</v>
      </c>
      <c r="C355" s="64">
        <v>500</v>
      </c>
      <c r="D355" s="35">
        <f t="shared" ref="D355:I355" si="656">IF(D351="","",C355)</f>
        <v>500</v>
      </c>
      <c r="E355" s="35">
        <f t="shared" si="656"/>
        <v>500</v>
      </c>
      <c r="F355" s="35">
        <f t="shared" si="656"/>
        <v>500</v>
      </c>
      <c r="G355" s="383">
        <f t="shared" si="656"/>
        <v>500</v>
      </c>
      <c r="H355" s="35">
        <f t="shared" si="656"/>
        <v>500</v>
      </c>
      <c r="I355" s="35">
        <f t="shared" si="656"/>
        <v>500</v>
      </c>
      <c r="J355" s="383">
        <v>900</v>
      </c>
      <c r="K355" s="35">
        <f t="shared" ref="K355:AO355" si="657">IF(K351="","",J355)</f>
        <v>900</v>
      </c>
      <c r="L355" s="35">
        <f t="shared" si="657"/>
        <v>900</v>
      </c>
      <c r="M355" s="35">
        <f t="shared" si="657"/>
        <v>900</v>
      </c>
      <c r="N355" s="35">
        <f t="shared" si="657"/>
        <v>900</v>
      </c>
      <c r="O355" s="35">
        <f t="shared" si="657"/>
        <v>900</v>
      </c>
      <c r="P355" s="383">
        <f t="shared" si="657"/>
        <v>900</v>
      </c>
      <c r="Q355" s="35">
        <f t="shared" si="657"/>
        <v>900</v>
      </c>
      <c r="R355" s="35">
        <f t="shared" si="657"/>
        <v>900</v>
      </c>
      <c r="S355" s="35">
        <f t="shared" si="657"/>
        <v>900</v>
      </c>
      <c r="T355" s="35">
        <f t="shared" si="657"/>
        <v>900</v>
      </c>
      <c r="U355" s="35">
        <f t="shared" si="657"/>
        <v>900</v>
      </c>
      <c r="V355" s="35">
        <f>IF(V351="","",U355)</f>
        <v>900</v>
      </c>
      <c r="W355" s="35">
        <f t="shared" si="657"/>
        <v>900</v>
      </c>
      <c r="X355" s="35">
        <f t="shared" si="657"/>
        <v>900</v>
      </c>
      <c r="Y355" s="35">
        <f t="shared" si="657"/>
        <v>900</v>
      </c>
      <c r="Z355" s="35">
        <f t="shared" si="657"/>
        <v>900</v>
      </c>
      <c r="AA355" s="35">
        <f t="shared" si="657"/>
        <v>900</v>
      </c>
      <c r="AB355" s="35">
        <f t="shared" si="657"/>
        <v>900</v>
      </c>
      <c r="AC355" s="35">
        <f t="shared" si="657"/>
        <v>900</v>
      </c>
      <c r="AD355" s="35">
        <f t="shared" si="657"/>
        <v>900</v>
      </c>
      <c r="AE355" s="35" t="str">
        <f t="shared" si="657"/>
        <v/>
      </c>
      <c r="AF355" s="35" t="str">
        <f t="shared" si="657"/>
        <v/>
      </c>
      <c r="AG355" s="35" t="str">
        <f t="shared" si="657"/>
        <v/>
      </c>
      <c r="AH355" s="35" t="str">
        <f t="shared" si="657"/>
        <v/>
      </c>
      <c r="AI355" s="35" t="str">
        <f t="shared" si="657"/>
        <v/>
      </c>
      <c r="AJ355" s="35" t="str">
        <f t="shared" si="657"/>
        <v/>
      </c>
      <c r="AK355" s="35" t="str">
        <f t="shared" si="657"/>
        <v/>
      </c>
      <c r="AL355" s="35" t="str">
        <f t="shared" si="657"/>
        <v/>
      </c>
      <c r="AM355" s="35" t="str">
        <f t="shared" si="657"/>
        <v/>
      </c>
      <c r="AN355" s="35" t="str">
        <f t="shared" si="657"/>
        <v/>
      </c>
      <c r="AO355" s="35" t="str">
        <f t="shared" si="657"/>
        <v/>
      </c>
      <c r="AP355" s="35" t="str">
        <f t="shared" ref="AP355:AR355" si="658">IF(AP351="","",AO355)</f>
        <v/>
      </c>
      <c r="AQ355" s="35" t="str">
        <f t="shared" si="658"/>
        <v/>
      </c>
      <c r="AR355" s="35" t="str">
        <f t="shared" si="658"/>
        <v/>
      </c>
    </row>
    <row r="356" spans="1:44" s="94" customFormat="1">
      <c r="A356" s="14" t="s">
        <v>9</v>
      </c>
      <c r="B356" s="33" t="s">
        <v>10</v>
      </c>
      <c r="C356" s="63" t="s">
        <v>186</v>
      </c>
      <c r="D356" s="32" t="str">
        <f t="shared" ref="D356:I356" si="659">IF(D351="","",C356)</f>
        <v>ケーキSQ</v>
      </c>
      <c r="E356" s="32" t="str">
        <f t="shared" si="659"/>
        <v>ケーキSQ</v>
      </c>
      <c r="F356" s="32" t="str">
        <f t="shared" si="659"/>
        <v>ケーキSQ</v>
      </c>
      <c r="G356" s="123" t="str">
        <f t="shared" si="659"/>
        <v>ケーキSQ</v>
      </c>
      <c r="H356" s="32" t="str">
        <f t="shared" si="659"/>
        <v>ケーキSQ</v>
      </c>
      <c r="I356" s="32" t="str">
        <f t="shared" si="659"/>
        <v>ケーキSQ</v>
      </c>
      <c r="J356" s="123" t="s">
        <v>88</v>
      </c>
      <c r="K356" s="32" t="str">
        <f t="shared" ref="K356:AO356" si="660">IF(K351="","",J356)</f>
        <v>ギャルキティMC</v>
      </c>
      <c r="L356" s="32" t="str">
        <f t="shared" si="660"/>
        <v>ギャルキティMC</v>
      </c>
      <c r="M356" s="32" t="str">
        <f t="shared" si="660"/>
        <v>ギャルキティMC</v>
      </c>
      <c r="N356" s="32" t="str">
        <f t="shared" si="660"/>
        <v>ギャルキティMC</v>
      </c>
      <c r="O356" s="32" t="str">
        <f t="shared" si="660"/>
        <v>ギャルキティMC</v>
      </c>
      <c r="P356" s="123" t="str">
        <f t="shared" si="660"/>
        <v>ギャルキティMC</v>
      </c>
      <c r="Q356" s="32" t="str">
        <f t="shared" si="660"/>
        <v>ギャルキティMC</v>
      </c>
      <c r="R356" s="32" t="str">
        <f t="shared" si="660"/>
        <v>ギャルキティMC</v>
      </c>
      <c r="S356" s="32" t="str">
        <f t="shared" si="660"/>
        <v>ギャルキティMC</v>
      </c>
      <c r="T356" s="32" t="str">
        <f t="shared" si="660"/>
        <v>ギャルキティMC</v>
      </c>
      <c r="U356" s="32" t="str">
        <f t="shared" si="660"/>
        <v>ギャルキティMC</v>
      </c>
      <c r="V356" s="32" t="s">
        <v>412</v>
      </c>
      <c r="W356" s="32" t="str">
        <f t="shared" si="660"/>
        <v>バターSQ</v>
      </c>
      <c r="X356" s="32" t="str">
        <f t="shared" si="660"/>
        <v>バターSQ</v>
      </c>
      <c r="Y356" s="32" t="str">
        <f t="shared" si="660"/>
        <v>バターSQ</v>
      </c>
      <c r="Z356" s="32" t="str">
        <f t="shared" si="660"/>
        <v>バターSQ</v>
      </c>
      <c r="AA356" s="32" t="str">
        <f t="shared" si="660"/>
        <v>バターSQ</v>
      </c>
      <c r="AB356" s="32" t="str">
        <f t="shared" si="660"/>
        <v>バターSQ</v>
      </c>
      <c r="AC356" s="32" t="str">
        <f t="shared" si="660"/>
        <v>バターSQ</v>
      </c>
      <c r="AD356" s="32" t="str">
        <f t="shared" si="660"/>
        <v>バターSQ</v>
      </c>
      <c r="AE356" s="32" t="str">
        <f t="shared" si="660"/>
        <v/>
      </c>
      <c r="AF356" s="32" t="str">
        <f t="shared" si="660"/>
        <v/>
      </c>
      <c r="AG356" s="32" t="str">
        <f t="shared" si="660"/>
        <v/>
      </c>
      <c r="AH356" s="32" t="str">
        <f t="shared" si="660"/>
        <v/>
      </c>
      <c r="AI356" s="32" t="str">
        <f t="shared" si="660"/>
        <v/>
      </c>
      <c r="AJ356" s="32" t="str">
        <f t="shared" si="660"/>
        <v/>
      </c>
      <c r="AK356" s="32" t="str">
        <f t="shared" si="660"/>
        <v/>
      </c>
      <c r="AL356" s="32" t="str">
        <f t="shared" si="660"/>
        <v/>
      </c>
      <c r="AM356" s="32" t="str">
        <f t="shared" si="660"/>
        <v/>
      </c>
      <c r="AN356" s="32" t="str">
        <f t="shared" si="660"/>
        <v/>
      </c>
      <c r="AO356" s="32" t="str">
        <f t="shared" si="660"/>
        <v/>
      </c>
      <c r="AP356" s="32" t="str">
        <f t="shared" ref="AP356:AR356" si="661">IF(AP351="","",AO356)</f>
        <v/>
      </c>
      <c r="AQ356" s="32" t="str">
        <f t="shared" si="661"/>
        <v/>
      </c>
      <c r="AR356" s="32" t="str">
        <f t="shared" si="661"/>
        <v/>
      </c>
    </row>
    <row r="357" spans="1:44" s="93" customFormat="1">
      <c r="A357" s="7">
        <f>AVERAGE(C358:AS358)*30*100</f>
        <v>38035.71428571429</v>
      </c>
      <c r="B357" s="30" t="s">
        <v>14</v>
      </c>
      <c r="C357" s="65"/>
      <c r="D357" s="29"/>
      <c r="E357" s="29"/>
      <c r="F357" s="29"/>
      <c r="G357" s="122"/>
      <c r="H357" s="29"/>
      <c r="I357" s="29"/>
      <c r="J357" s="122"/>
      <c r="K357" s="29"/>
      <c r="L357" s="29"/>
      <c r="M357" s="29"/>
      <c r="N357" s="29"/>
      <c r="O357" s="29"/>
      <c r="P357" s="122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</row>
    <row r="358" spans="1:44" s="93" customFormat="1">
      <c r="A358" s="7">
        <f>SUM(C358:AS358)</f>
        <v>355</v>
      </c>
      <c r="B358" s="27" t="s">
        <v>15</v>
      </c>
      <c r="C358" s="65">
        <v>0</v>
      </c>
      <c r="D358" s="26">
        <f t="shared" ref="D358:AO358" si="662">IF(D351="","",D351-C351)</f>
        <v>0</v>
      </c>
      <c r="E358" s="26">
        <f t="shared" si="662"/>
        <v>0</v>
      </c>
      <c r="F358" s="26">
        <f t="shared" si="662"/>
        <v>9</v>
      </c>
      <c r="G358" s="122">
        <f t="shared" si="662"/>
        <v>0</v>
      </c>
      <c r="H358" s="26">
        <f t="shared" si="662"/>
        <v>0</v>
      </c>
      <c r="I358" s="26">
        <f t="shared" si="662"/>
        <v>36</v>
      </c>
      <c r="J358" s="122">
        <f t="shared" si="662"/>
        <v>0</v>
      </c>
      <c r="K358" s="26">
        <f t="shared" si="662"/>
        <v>0</v>
      </c>
      <c r="L358" s="26">
        <f t="shared" si="662"/>
        <v>0</v>
      </c>
      <c r="M358" s="26">
        <f t="shared" si="662"/>
        <v>0</v>
      </c>
      <c r="N358" s="26">
        <f t="shared" si="662"/>
        <v>0</v>
      </c>
      <c r="O358" s="26">
        <f t="shared" si="662"/>
        <v>72</v>
      </c>
      <c r="P358" s="122">
        <f t="shared" si="662"/>
        <v>0</v>
      </c>
      <c r="Q358" s="26">
        <f t="shared" si="662"/>
        <v>0</v>
      </c>
      <c r="R358" s="26">
        <f t="shared" si="662"/>
        <v>0</v>
      </c>
      <c r="S358" s="26">
        <f t="shared" si="662"/>
        <v>17</v>
      </c>
      <c r="T358" s="26">
        <f t="shared" si="662"/>
        <v>0</v>
      </c>
      <c r="U358" s="26">
        <f t="shared" si="662"/>
        <v>0</v>
      </c>
      <c r="V358" s="26">
        <f>IF(V351="","",V351-U351)</f>
        <v>23</v>
      </c>
      <c r="W358" s="26">
        <f t="shared" si="662"/>
        <v>0</v>
      </c>
      <c r="X358" s="26">
        <f t="shared" si="662"/>
        <v>0</v>
      </c>
      <c r="Y358" s="26">
        <f t="shared" si="662"/>
        <v>0</v>
      </c>
      <c r="Z358" s="26">
        <f t="shared" si="662"/>
        <v>0</v>
      </c>
      <c r="AA358" s="26">
        <f t="shared" si="662"/>
        <v>110</v>
      </c>
      <c r="AB358" s="26">
        <f t="shared" si="662"/>
        <v>0</v>
      </c>
      <c r="AC358" s="26">
        <f t="shared" si="662"/>
        <v>0</v>
      </c>
      <c r="AD358" s="26">
        <f t="shared" si="662"/>
        <v>88</v>
      </c>
      <c r="AE358" s="26" t="str">
        <f t="shared" si="662"/>
        <v/>
      </c>
      <c r="AF358" s="26" t="str">
        <f t="shared" si="662"/>
        <v/>
      </c>
      <c r="AG358" s="26" t="str">
        <f t="shared" si="662"/>
        <v/>
      </c>
      <c r="AH358" s="26" t="str">
        <f t="shared" si="662"/>
        <v/>
      </c>
      <c r="AI358" s="26" t="str">
        <f t="shared" si="662"/>
        <v/>
      </c>
      <c r="AJ358" s="26" t="str">
        <f t="shared" si="662"/>
        <v/>
      </c>
      <c r="AK358" s="26" t="str">
        <f t="shared" si="662"/>
        <v/>
      </c>
      <c r="AL358" s="26" t="str">
        <f t="shared" si="662"/>
        <v/>
      </c>
      <c r="AM358" s="26" t="str">
        <f t="shared" si="662"/>
        <v/>
      </c>
      <c r="AN358" s="26" t="str">
        <f t="shared" si="662"/>
        <v/>
      </c>
      <c r="AO358" s="26" t="str">
        <f t="shared" si="662"/>
        <v/>
      </c>
      <c r="AP358" s="26" t="str">
        <f t="shared" ref="AP358:AR358" si="663">IF(AP351="","",AP351-AO351)</f>
        <v/>
      </c>
      <c r="AQ358" s="26" t="str">
        <f t="shared" si="663"/>
        <v/>
      </c>
      <c r="AR358" s="26" t="str">
        <f t="shared" si="663"/>
        <v/>
      </c>
    </row>
    <row r="359" spans="1:44" s="93" customFormat="1">
      <c r="A359" s="7">
        <f>SUM(C359:AS359)</f>
        <v>15</v>
      </c>
      <c r="B359" s="27" t="s">
        <v>16</v>
      </c>
      <c r="C359" s="65">
        <v>0</v>
      </c>
      <c r="D359" s="26">
        <f t="shared" ref="D359:AO359" si="664">IF(D352="","",D352-C352)</f>
        <v>0</v>
      </c>
      <c r="E359" s="26">
        <f t="shared" si="664"/>
        <v>0</v>
      </c>
      <c r="F359" s="26">
        <f t="shared" si="664"/>
        <v>2</v>
      </c>
      <c r="G359" s="122">
        <f t="shared" si="664"/>
        <v>0</v>
      </c>
      <c r="H359" s="26">
        <f t="shared" si="664"/>
        <v>0</v>
      </c>
      <c r="I359" s="26">
        <f t="shared" si="664"/>
        <v>0</v>
      </c>
      <c r="J359" s="122">
        <f t="shared" si="664"/>
        <v>0</v>
      </c>
      <c r="K359" s="26">
        <f t="shared" si="664"/>
        <v>0</v>
      </c>
      <c r="L359" s="26">
        <f t="shared" si="664"/>
        <v>0</v>
      </c>
      <c r="M359" s="26">
        <f t="shared" si="664"/>
        <v>0</v>
      </c>
      <c r="N359" s="26">
        <f t="shared" si="664"/>
        <v>0</v>
      </c>
      <c r="O359" s="26">
        <f t="shared" si="664"/>
        <v>7</v>
      </c>
      <c r="P359" s="122">
        <f t="shared" si="664"/>
        <v>0</v>
      </c>
      <c r="Q359" s="26">
        <f t="shared" si="664"/>
        <v>0</v>
      </c>
      <c r="R359" s="26">
        <f t="shared" si="664"/>
        <v>0</v>
      </c>
      <c r="S359" s="26">
        <f t="shared" si="664"/>
        <v>0</v>
      </c>
      <c r="T359" s="26">
        <f t="shared" si="664"/>
        <v>0</v>
      </c>
      <c r="U359" s="26">
        <f t="shared" si="664"/>
        <v>0</v>
      </c>
      <c r="V359" s="26">
        <f>IF(V352="","",V352-U352)</f>
        <v>2</v>
      </c>
      <c r="W359" s="26">
        <f t="shared" si="664"/>
        <v>0</v>
      </c>
      <c r="X359" s="26">
        <f t="shared" si="664"/>
        <v>0</v>
      </c>
      <c r="Y359" s="26">
        <f t="shared" si="664"/>
        <v>0</v>
      </c>
      <c r="Z359" s="26">
        <f t="shared" si="664"/>
        <v>0</v>
      </c>
      <c r="AA359" s="26">
        <f t="shared" si="664"/>
        <v>3</v>
      </c>
      <c r="AB359" s="26">
        <f t="shared" si="664"/>
        <v>0</v>
      </c>
      <c r="AC359" s="26">
        <f t="shared" si="664"/>
        <v>0</v>
      </c>
      <c r="AD359" s="26">
        <f t="shared" si="664"/>
        <v>1</v>
      </c>
      <c r="AE359" s="26" t="str">
        <f t="shared" si="664"/>
        <v/>
      </c>
      <c r="AF359" s="26" t="str">
        <f t="shared" si="664"/>
        <v/>
      </c>
      <c r="AG359" s="26" t="str">
        <f t="shared" si="664"/>
        <v/>
      </c>
      <c r="AH359" s="26" t="str">
        <f t="shared" si="664"/>
        <v/>
      </c>
      <c r="AI359" s="26" t="str">
        <f t="shared" si="664"/>
        <v/>
      </c>
      <c r="AJ359" s="26" t="str">
        <f t="shared" si="664"/>
        <v/>
      </c>
      <c r="AK359" s="26" t="str">
        <f t="shared" si="664"/>
        <v/>
      </c>
      <c r="AL359" s="26" t="str">
        <f t="shared" si="664"/>
        <v/>
      </c>
      <c r="AM359" s="26" t="str">
        <f t="shared" si="664"/>
        <v/>
      </c>
      <c r="AN359" s="26" t="str">
        <f t="shared" si="664"/>
        <v/>
      </c>
      <c r="AO359" s="26" t="str">
        <f t="shared" si="664"/>
        <v/>
      </c>
      <c r="AP359" s="26" t="str">
        <f t="shared" ref="AP359:AR359" si="665">IF(AP352="","",AP352-AO352)</f>
        <v/>
      </c>
      <c r="AQ359" s="26" t="str">
        <f t="shared" si="665"/>
        <v/>
      </c>
      <c r="AR359" s="26" t="str">
        <f t="shared" si="665"/>
        <v/>
      </c>
    </row>
    <row r="360" spans="1:44" s="93" customFormat="1">
      <c r="A360" s="7">
        <f>SUM(C360:AS360)</f>
        <v>14</v>
      </c>
      <c r="B360" s="27" t="s">
        <v>17</v>
      </c>
      <c r="C360" s="65">
        <v>0</v>
      </c>
      <c r="D360" s="26">
        <f t="shared" ref="D360:AO360" si="666">IF(D353="","",C353+C354-D353)</f>
        <v>0</v>
      </c>
      <c r="E360" s="26">
        <f t="shared" si="666"/>
        <v>0</v>
      </c>
      <c r="F360" s="26">
        <f t="shared" si="666"/>
        <v>2</v>
      </c>
      <c r="G360" s="122">
        <f t="shared" si="666"/>
        <v>0</v>
      </c>
      <c r="H360" s="26">
        <f t="shared" si="666"/>
        <v>0</v>
      </c>
      <c r="I360" s="26">
        <f t="shared" si="666"/>
        <v>1</v>
      </c>
      <c r="J360" s="122">
        <f t="shared" si="666"/>
        <v>0</v>
      </c>
      <c r="K360" s="26">
        <f t="shared" si="666"/>
        <v>0</v>
      </c>
      <c r="L360" s="26">
        <f t="shared" si="666"/>
        <v>0</v>
      </c>
      <c r="M360" s="26">
        <f t="shared" si="666"/>
        <v>0</v>
      </c>
      <c r="N360" s="26">
        <f t="shared" si="666"/>
        <v>0</v>
      </c>
      <c r="O360" s="26">
        <f t="shared" si="666"/>
        <v>7</v>
      </c>
      <c r="P360" s="122">
        <f t="shared" si="666"/>
        <v>0</v>
      </c>
      <c r="Q360" s="26">
        <f t="shared" si="666"/>
        <v>0</v>
      </c>
      <c r="R360" s="26">
        <f t="shared" si="666"/>
        <v>0</v>
      </c>
      <c r="S360" s="26">
        <f t="shared" si="666"/>
        <v>0</v>
      </c>
      <c r="T360" s="26">
        <f t="shared" si="666"/>
        <v>0</v>
      </c>
      <c r="U360" s="26">
        <f t="shared" si="666"/>
        <v>0</v>
      </c>
      <c r="V360" s="26">
        <f>IF(V353="","",U353+U354-V353)</f>
        <v>2</v>
      </c>
      <c r="W360" s="26">
        <f t="shared" si="666"/>
        <v>0</v>
      </c>
      <c r="X360" s="26">
        <f t="shared" si="666"/>
        <v>0</v>
      </c>
      <c r="Y360" s="26">
        <f t="shared" si="666"/>
        <v>0</v>
      </c>
      <c r="Z360" s="26">
        <f t="shared" si="666"/>
        <v>0</v>
      </c>
      <c r="AA360" s="26">
        <f t="shared" si="666"/>
        <v>2</v>
      </c>
      <c r="AB360" s="26">
        <f t="shared" si="666"/>
        <v>0</v>
      </c>
      <c r="AC360" s="26">
        <f t="shared" si="666"/>
        <v>0</v>
      </c>
      <c r="AD360" s="26">
        <f t="shared" si="666"/>
        <v>0</v>
      </c>
      <c r="AE360" s="26" t="str">
        <f t="shared" si="666"/>
        <v/>
      </c>
      <c r="AF360" s="26" t="str">
        <f t="shared" si="666"/>
        <v/>
      </c>
      <c r="AG360" s="26" t="str">
        <f t="shared" si="666"/>
        <v/>
      </c>
      <c r="AH360" s="26" t="str">
        <f t="shared" si="666"/>
        <v/>
      </c>
      <c r="AI360" s="26" t="str">
        <f t="shared" si="666"/>
        <v/>
      </c>
      <c r="AJ360" s="26" t="str">
        <f t="shared" si="666"/>
        <v/>
      </c>
      <c r="AK360" s="26" t="str">
        <f t="shared" si="666"/>
        <v/>
      </c>
      <c r="AL360" s="26" t="str">
        <f t="shared" si="666"/>
        <v/>
      </c>
      <c r="AM360" s="26" t="str">
        <f t="shared" si="666"/>
        <v/>
      </c>
      <c r="AN360" s="26" t="str">
        <f t="shared" si="666"/>
        <v/>
      </c>
      <c r="AO360" s="26" t="str">
        <f t="shared" si="666"/>
        <v/>
      </c>
      <c r="AP360" s="26" t="str">
        <f t="shared" ref="AP360:AR360" si="667">IF(AP353="","",AO353+AO354-AP353)</f>
        <v/>
      </c>
      <c r="AQ360" s="26" t="str">
        <f t="shared" si="667"/>
        <v/>
      </c>
      <c r="AR360" s="26" t="str">
        <f t="shared" si="667"/>
        <v/>
      </c>
    </row>
    <row r="361" spans="1:44" s="93" customFormat="1">
      <c r="A361" s="7">
        <f>SUM(C361:AS361)</f>
        <v>11400</v>
      </c>
      <c r="B361" s="27" t="s">
        <v>18</v>
      </c>
      <c r="C361" s="65">
        <v>0</v>
      </c>
      <c r="D361" s="26">
        <f t="shared" ref="D361:AO361" si="668">IF(D351="","",D360*D355)</f>
        <v>0</v>
      </c>
      <c r="E361" s="26">
        <f t="shared" si="668"/>
        <v>0</v>
      </c>
      <c r="F361" s="26">
        <f t="shared" si="668"/>
        <v>1000</v>
      </c>
      <c r="G361" s="122">
        <f t="shared" si="668"/>
        <v>0</v>
      </c>
      <c r="H361" s="26">
        <f t="shared" si="668"/>
        <v>0</v>
      </c>
      <c r="I361" s="26">
        <f t="shared" si="668"/>
        <v>500</v>
      </c>
      <c r="J361" s="122">
        <f t="shared" si="668"/>
        <v>0</v>
      </c>
      <c r="K361" s="26">
        <f t="shared" si="668"/>
        <v>0</v>
      </c>
      <c r="L361" s="26">
        <f t="shared" si="668"/>
        <v>0</v>
      </c>
      <c r="M361" s="26">
        <f t="shared" si="668"/>
        <v>0</v>
      </c>
      <c r="N361" s="26">
        <f t="shared" si="668"/>
        <v>0</v>
      </c>
      <c r="O361" s="26">
        <f t="shared" si="668"/>
        <v>6300</v>
      </c>
      <c r="P361" s="122">
        <f t="shared" si="668"/>
        <v>0</v>
      </c>
      <c r="Q361" s="26">
        <f t="shared" si="668"/>
        <v>0</v>
      </c>
      <c r="R361" s="26">
        <f t="shared" si="668"/>
        <v>0</v>
      </c>
      <c r="S361" s="26">
        <f t="shared" si="668"/>
        <v>0</v>
      </c>
      <c r="T361" s="26">
        <f t="shared" si="668"/>
        <v>0</v>
      </c>
      <c r="U361" s="26">
        <f t="shared" si="668"/>
        <v>0</v>
      </c>
      <c r="V361" s="26">
        <f>IF(V351="","",V360*V355)</f>
        <v>1800</v>
      </c>
      <c r="W361" s="26">
        <f t="shared" si="668"/>
        <v>0</v>
      </c>
      <c r="X361" s="26">
        <f t="shared" si="668"/>
        <v>0</v>
      </c>
      <c r="Y361" s="26">
        <f t="shared" si="668"/>
        <v>0</v>
      </c>
      <c r="Z361" s="26">
        <f t="shared" si="668"/>
        <v>0</v>
      </c>
      <c r="AA361" s="26">
        <f t="shared" si="668"/>
        <v>1800</v>
      </c>
      <c r="AB361" s="26">
        <f t="shared" si="668"/>
        <v>0</v>
      </c>
      <c r="AC361" s="26">
        <f t="shared" si="668"/>
        <v>0</v>
      </c>
      <c r="AD361" s="26">
        <f t="shared" si="668"/>
        <v>0</v>
      </c>
      <c r="AE361" s="26" t="str">
        <f t="shared" si="668"/>
        <v/>
      </c>
      <c r="AF361" s="26" t="str">
        <f t="shared" si="668"/>
        <v/>
      </c>
      <c r="AG361" s="26" t="str">
        <f t="shared" si="668"/>
        <v/>
      </c>
      <c r="AH361" s="26" t="str">
        <f t="shared" si="668"/>
        <v/>
      </c>
      <c r="AI361" s="26" t="str">
        <f t="shared" si="668"/>
        <v/>
      </c>
      <c r="AJ361" s="26" t="str">
        <f t="shared" si="668"/>
        <v/>
      </c>
      <c r="AK361" s="26" t="str">
        <f t="shared" si="668"/>
        <v/>
      </c>
      <c r="AL361" s="26" t="str">
        <f t="shared" si="668"/>
        <v/>
      </c>
      <c r="AM361" s="26" t="str">
        <f t="shared" si="668"/>
        <v/>
      </c>
      <c r="AN361" s="26" t="str">
        <f t="shared" si="668"/>
        <v/>
      </c>
      <c r="AO361" s="26" t="str">
        <f t="shared" si="668"/>
        <v/>
      </c>
      <c r="AP361" s="26" t="str">
        <f t="shared" ref="AP361:AR361" si="669">IF(AP351="","",AP360*AP355)</f>
        <v/>
      </c>
      <c r="AQ361" s="26" t="str">
        <f t="shared" si="669"/>
        <v/>
      </c>
      <c r="AR361" s="26" t="str">
        <f t="shared" si="669"/>
        <v/>
      </c>
    </row>
    <row r="362" spans="1:44" s="93" customFormat="1" ht="12" thickBot="1">
      <c r="A362" s="4">
        <f>IF(A361="","",A361/(A358*100))</f>
        <v>0.3211267605633803</v>
      </c>
      <c r="B362" s="27" t="s">
        <v>20</v>
      </c>
      <c r="C362" s="68" t="s">
        <v>21</v>
      </c>
      <c r="D362" s="44" t="str">
        <f t="shared" ref="D362:AO362" si="670">IF(D361="","",IF(D361=0,"",D361/(D358*100)))</f>
        <v/>
      </c>
      <c r="E362" s="44" t="str">
        <f t="shared" si="670"/>
        <v/>
      </c>
      <c r="F362" s="44">
        <f t="shared" si="670"/>
        <v>1.1111111111111112</v>
      </c>
      <c r="G362" s="384" t="str">
        <f t="shared" si="670"/>
        <v/>
      </c>
      <c r="H362" s="44" t="str">
        <f t="shared" si="670"/>
        <v/>
      </c>
      <c r="I362" s="44">
        <f t="shared" si="670"/>
        <v>0.1388888888888889</v>
      </c>
      <c r="J362" s="384" t="str">
        <f t="shared" si="670"/>
        <v/>
      </c>
      <c r="K362" s="44" t="str">
        <f t="shared" si="670"/>
        <v/>
      </c>
      <c r="L362" s="44" t="str">
        <f t="shared" si="670"/>
        <v/>
      </c>
      <c r="M362" s="44" t="str">
        <f t="shared" si="670"/>
        <v/>
      </c>
      <c r="N362" s="44" t="str">
        <f t="shared" si="670"/>
        <v/>
      </c>
      <c r="O362" s="44">
        <f t="shared" si="670"/>
        <v>0.875</v>
      </c>
      <c r="P362" s="384" t="str">
        <f t="shared" si="670"/>
        <v/>
      </c>
      <c r="Q362" s="44" t="str">
        <f t="shared" si="670"/>
        <v/>
      </c>
      <c r="R362" s="44" t="str">
        <f t="shared" si="670"/>
        <v/>
      </c>
      <c r="S362" s="44" t="str">
        <f t="shared" si="670"/>
        <v/>
      </c>
      <c r="T362" s="44" t="str">
        <f t="shared" si="670"/>
        <v/>
      </c>
      <c r="U362" s="44" t="str">
        <f t="shared" si="670"/>
        <v/>
      </c>
      <c r="V362" s="44">
        <f>IF(V361="","",IF(V361=0,"",V361/(V358*100)))</f>
        <v>0.78260869565217395</v>
      </c>
      <c r="W362" s="44" t="str">
        <f t="shared" si="670"/>
        <v/>
      </c>
      <c r="X362" s="44" t="str">
        <f t="shared" si="670"/>
        <v/>
      </c>
      <c r="Y362" s="44" t="str">
        <f t="shared" si="670"/>
        <v/>
      </c>
      <c r="Z362" s="44" t="str">
        <f t="shared" si="670"/>
        <v/>
      </c>
      <c r="AA362" s="44">
        <f t="shared" si="670"/>
        <v>0.16363636363636364</v>
      </c>
      <c r="AB362" s="44" t="str">
        <f t="shared" si="670"/>
        <v/>
      </c>
      <c r="AC362" s="44" t="str">
        <f t="shared" si="670"/>
        <v/>
      </c>
      <c r="AD362" s="44" t="str">
        <f t="shared" si="670"/>
        <v/>
      </c>
      <c r="AE362" s="44" t="str">
        <f t="shared" si="670"/>
        <v/>
      </c>
      <c r="AF362" s="44" t="str">
        <f t="shared" si="670"/>
        <v/>
      </c>
      <c r="AG362" s="44" t="str">
        <f t="shared" si="670"/>
        <v/>
      </c>
      <c r="AH362" s="44" t="str">
        <f t="shared" si="670"/>
        <v/>
      </c>
      <c r="AI362" s="44" t="str">
        <f t="shared" si="670"/>
        <v/>
      </c>
      <c r="AJ362" s="44" t="str">
        <f t="shared" si="670"/>
        <v/>
      </c>
      <c r="AK362" s="44" t="str">
        <f t="shared" si="670"/>
        <v/>
      </c>
      <c r="AL362" s="44" t="str">
        <f t="shared" si="670"/>
        <v/>
      </c>
      <c r="AM362" s="44" t="str">
        <f t="shared" si="670"/>
        <v/>
      </c>
      <c r="AN362" s="44" t="str">
        <f t="shared" si="670"/>
        <v/>
      </c>
      <c r="AO362" s="44" t="str">
        <f t="shared" si="670"/>
        <v/>
      </c>
      <c r="AP362" s="44" t="str">
        <f t="shared" ref="AP362:AR362" si="671">IF(AP361="","",IF(AP361=0,"",AP361/(AP358*100)))</f>
        <v/>
      </c>
      <c r="AQ362" s="44" t="str">
        <f t="shared" si="671"/>
        <v/>
      </c>
      <c r="AR362" s="44" t="str">
        <f t="shared" si="671"/>
        <v/>
      </c>
    </row>
    <row r="363" spans="1:44" s="93" customFormat="1">
      <c r="A363" s="43" t="str">
        <f>A351</f>
        <v>南熊本</v>
      </c>
      <c r="B363" s="42" t="s">
        <v>2</v>
      </c>
      <c r="C363" s="64">
        <v>2648</v>
      </c>
      <c r="D363" s="35">
        <f>IF(D$279="","",C363)</f>
        <v>2648</v>
      </c>
      <c r="E363" s="35">
        <f>IF(E$279="","",D363)</f>
        <v>2648</v>
      </c>
      <c r="F363" s="35">
        <v>2716</v>
      </c>
      <c r="G363" s="383">
        <f>IF(G$279="","",F363)</f>
        <v>2716</v>
      </c>
      <c r="H363" s="35">
        <f>IF(H$279="","",G363)</f>
        <v>2716</v>
      </c>
      <c r="I363" s="35">
        <v>2760</v>
      </c>
      <c r="J363" s="383">
        <f t="shared" ref="J363:N364" si="672">IF(J$279="","",I363)</f>
        <v>2760</v>
      </c>
      <c r="K363" s="35">
        <f t="shared" si="672"/>
        <v>2760</v>
      </c>
      <c r="L363" s="35">
        <f t="shared" si="672"/>
        <v>2760</v>
      </c>
      <c r="M363" s="35">
        <f t="shared" si="672"/>
        <v>2760</v>
      </c>
      <c r="N363" s="35">
        <f t="shared" si="672"/>
        <v>2760</v>
      </c>
      <c r="O363" s="35">
        <v>2886</v>
      </c>
      <c r="P363" s="383">
        <f t="shared" ref="P363:AO363" si="673">IF(P$279="","",O363)</f>
        <v>2886</v>
      </c>
      <c r="Q363" s="35">
        <f t="shared" si="673"/>
        <v>2886</v>
      </c>
      <c r="R363" s="35">
        <f t="shared" si="673"/>
        <v>2886</v>
      </c>
      <c r="S363" s="35">
        <v>2897</v>
      </c>
      <c r="T363" s="35">
        <f t="shared" si="673"/>
        <v>2897</v>
      </c>
      <c r="U363" s="35">
        <f t="shared" si="673"/>
        <v>2897</v>
      </c>
      <c r="V363" s="35">
        <v>2940</v>
      </c>
      <c r="W363" s="35">
        <f t="shared" si="673"/>
        <v>2940</v>
      </c>
      <c r="X363" s="35">
        <f t="shared" si="673"/>
        <v>2940</v>
      </c>
      <c r="Y363" s="35">
        <f t="shared" si="673"/>
        <v>2940</v>
      </c>
      <c r="Z363" s="35">
        <f t="shared" si="673"/>
        <v>2940</v>
      </c>
      <c r="AA363" s="35">
        <v>3008</v>
      </c>
      <c r="AB363" s="35">
        <f t="shared" si="673"/>
        <v>3008</v>
      </c>
      <c r="AC363" s="35">
        <f t="shared" si="673"/>
        <v>3008</v>
      </c>
      <c r="AD363" s="35">
        <v>3030</v>
      </c>
      <c r="AE363" s="35" t="str">
        <f t="shared" si="673"/>
        <v/>
      </c>
      <c r="AF363" s="35" t="str">
        <f t="shared" si="673"/>
        <v/>
      </c>
      <c r="AG363" s="35" t="str">
        <f t="shared" si="673"/>
        <v/>
      </c>
      <c r="AH363" s="35" t="str">
        <f t="shared" si="673"/>
        <v/>
      </c>
      <c r="AI363" s="35" t="str">
        <f t="shared" si="673"/>
        <v/>
      </c>
      <c r="AJ363" s="35" t="str">
        <f t="shared" si="673"/>
        <v/>
      </c>
      <c r="AK363" s="35" t="str">
        <f t="shared" si="673"/>
        <v/>
      </c>
      <c r="AL363" s="35" t="str">
        <f t="shared" si="673"/>
        <v/>
      </c>
      <c r="AM363" s="35" t="str">
        <f t="shared" si="673"/>
        <v/>
      </c>
      <c r="AN363" s="35" t="str">
        <f t="shared" si="673"/>
        <v/>
      </c>
      <c r="AO363" s="35" t="str">
        <f t="shared" si="673"/>
        <v/>
      </c>
      <c r="AP363" s="35" t="str">
        <f t="shared" ref="AP363:AR363" si="674">IF(AP$279="","",AO363)</f>
        <v/>
      </c>
      <c r="AQ363" s="35" t="str">
        <f t="shared" si="674"/>
        <v/>
      </c>
      <c r="AR363" s="35" t="str">
        <f t="shared" si="674"/>
        <v/>
      </c>
    </row>
    <row r="364" spans="1:44" s="93" customFormat="1">
      <c r="A364" s="37" t="str">
        <f>A352</f>
        <v>BUZZ＃2</v>
      </c>
      <c r="B364" s="30" t="s">
        <v>4</v>
      </c>
      <c r="C364" s="65">
        <v>48</v>
      </c>
      <c r="D364" s="29">
        <f>IF(D$279="","",C364)</f>
        <v>48</v>
      </c>
      <c r="E364" s="29">
        <f>IF(E$279="","",D364)</f>
        <v>48</v>
      </c>
      <c r="F364" s="29">
        <v>50</v>
      </c>
      <c r="G364" s="122">
        <f>IF(G$279="","",F364)</f>
        <v>50</v>
      </c>
      <c r="H364" s="29">
        <f>IF(H$279="","",G364)</f>
        <v>50</v>
      </c>
      <c r="I364" s="29">
        <v>51</v>
      </c>
      <c r="J364" s="122">
        <f t="shared" si="672"/>
        <v>51</v>
      </c>
      <c r="K364" s="29">
        <f t="shared" si="672"/>
        <v>51</v>
      </c>
      <c r="L364" s="29">
        <f t="shared" si="672"/>
        <v>51</v>
      </c>
      <c r="M364" s="29">
        <f t="shared" si="672"/>
        <v>51</v>
      </c>
      <c r="N364" s="29">
        <f t="shared" si="672"/>
        <v>51</v>
      </c>
      <c r="O364" s="29">
        <v>55</v>
      </c>
      <c r="P364" s="122">
        <f t="shared" ref="P364:AO364" si="675">IF(P$279="","",O364)</f>
        <v>55</v>
      </c>
      <c r="Q364" s="29">
        <f t="shared" si="675"/>
        <v>55</v>
      </c>
      <c r="R364" s="29">
        <f t="shared" si="675"/>
        <v>55</v>
      </c>
      <c r="S364" s="29">
        <f t="shared" si="675"/>
        <v>55</v>
      </c>
      <c r="T364" s="29">
        <f t="shared" si="675"/>
        <v>55</v>
      </c>
      <c r="U364" s="29">
        <f t="shared" si="675"/>
        <v>55</v>
      </c>
      <c r="V364" s="29">
        <v>56</v>
      </c>
      <c r="W364" s="29">
        <f t="shared" si="675"/>
        <v>56</v>
      </c>
      <c r="X364" s="29">
        <f t="shared" si="675"/>
        <v>56</v>
      </c>
      <c r="Y364" s="29">
        <f t="shared" si="675"/>
        <v>56</v>
      </c>
      <c r="Z364" s="29">
        <f t="shared" si="675"/>
        <v>56</v>
      </c>
      <c r="AA364" s="29">
        <v>56</v>
      </c>
      <c r="AB364" s="29">
        <f t="shared" si="675"/>
        <v>56</v>
      </c>
      <c r="AC364" s="29">
        <f t="shared" si="675"/>
        <v>56</v>
      </c>
      <c r="AD364" s="29">
        <v>56</v>
      </c>
      <c r="AE364" s="29" t="str">
        <f t="shared" si="675"/>
        <v/>
      </c>
      <c r="AF364" s="29" t="str">
        <f t="shared" si="675"/>
        <v/>
      </c>
      <c r="AG364" s="29" t="str">
        <f t="shared" si="675"/>
        <v/>
      </c>
      <c r="AH364" s="29" t="str">
        <f t="shared" si="675"/>
        <v/>
      </c>
      <c r="AI364" s="29" t="str">
        <f t="shared" si="675"/>
        <v/>
      </c>
      <c r="AJ364" s="29" t="str">
        <f t="shared" si="675"/>
        <v/>
      </c>
      <c r="AK364" s="29" t="str">
        <f t="shared" si="675"/>
        <v/>
      </c>
      <c r="AL364" s="29" t="str">
        <f t="shared" si="675"/>
        <v/>
      </c>
      <c r="AM364" s="29" t="str">
        <f t="shared" si="675"/>
        <v/>
      </c>
      <c r="AN364" s="29" t="str">
        <f t="shared" si="675"/>
        <v/>
      </c>
      <c r="AO364" s="29" t="str">
        <f t="shared" si="675"/>
        <v/>
      </c>
      <c r="AP364" s="29" t="str">
        <f t="shared" ref="AP364:AR364" si="676">IF(AP$279="","",AO364)</f>
        <v/>
      </c>
      <c r="AQ364" s="29" t="str">
        <f t="shared" si="676"/>
        <v/>
      </c>
      <c r="AR364" s="29" t="str">
        <f t="shared" si="676"/>
        <v/>
      </c>
    </row>
    <row r="365" spans="1:44" s="93" customFormat="1">
      <c r="A365" s="41">
        <v>4</v>
      </c>
      <c r="B365" s="30" t="s">
        <v>5</v>
      </c>
      <c r="C365" s="65">
        <v>2</v>
      </c>
      <c r="D365" s="29">
        <f>IF(D363="","",(C365+C366))</f>
        <v>2</v>
      </c>
      <c r="E365" s="29">
        <f>IF(E363="","",(D365+D366))</f>
        <v>2</v>
      </c>
      <c r="F365" s="29">
        <v>1</v>
      </c>
      <c r="G365" s="122">
        <f>IF(G363="","",(F365+F366))</f>
        <v>14</v>
      </c>
      <c r="H365" s="29">
        <f>IF(H363="","",(G365+G366))</f>
        <v>14</v>
      </c>
      <c r="I365" s="29">
        <v>13</v>
      </c>
      <c r="J365" s="122">
        <f>IF(J363="","",(I365+I366))</f>
        <v>13</v>
      </c>
      <c r="K365" s="29">
        <f>IF(K363="","",(J365+J366))</f>
        <v>13</v>
      </c>
      <c r="L365" s="29">
        <f>IF(L363="","",(K365+K366))</f>
        <v>13</v>
      </c>
      <c r="M365" s="29">
        <f>IF(M363="","",(L365+L366))</f>
        <v>13</v>
      </c>
      <c r="N365" s="29">
        <f>IF(N363="","",(M365+M366))</f>
        <v>13</v>
      </c>
      <c r="O365" s="29">
        <v>9</v>
      </c>
      <c r="P365" s="122">
        <f t="shared" ref="P365:AO365" si="677">IF(P363="","",(O365+O366))</f>
        <v>9</v>
      </c>
      <c r="Q365" s="29">
        <f t="shared" si="677"/>
        <v>9</v>
      </c>
      <c r="R365" s="29">
        <f t="shared" si="677"/>
        <v>9</v>
      </c>
      <c r="S365" s="29">
        <f t="shared" si="677"/>
        <v>9</v>
      </c>
      <c r="T365" s="29">
        <f t="shared" si="677"/>
        <v>9</v>
      </c>
      <c r="U365" s="29">
        <f t="shared" si="677"/>
        <v>9</v>
      </c>
      <c r="V365" s="29">
        <v>8</v>
      </c>
      <c r="W365" s="29">
        <f t="shared" si="677"/>
        <v>8</v>
      </c>
      <c r="X365" s="29">
        <f t="shared" si="677"/>
        <v>8</v>
      </c>
      <c r="Y365" s="29">
        <f t="shared" si="677"/>
        <v>8</v>
      </c>
      <c r="Z365" s="29">
        <f t="shared" si="677"/>
        <v>8</v>
      </c>
      <c r="AA365" s="29">
        <f t="shared" si="677"/>
        <v>8</v>
      </c>
      <c r="AB365" s="29">
        <f t="shared" si="677"/>
        <v>8</v>
      </c>
      <c r="AC365" s="29">
        <f t="shared" si="677"/>
        <v>8</v>
      </c>
      <c r="AD365" s="29">
        <f t="shared" si="677"/>
        <v>8</v>
      </c>
      <c r="AE365" s="29" t="str">
        <f t="shared" si="677"/>
        <v/>
      </c>
      <c r="AF365" s="29" t="str">
        <f t="shared" si="677"/>
        <v/>
      </c>
      <c r="AG365" s="29" t="str">
        <f t="shared" si="677"/>
        <v/>
      </c>
      <c r="AH365" s="29" t="str">
        <f t="shared" si="677"/>
        <v/>
      </c>
      <c r="AI365" s="29" t="str">
        <f t="shared" si="677"/>
        <v/>
      </c>
      <c r="AJ365" s="29" t="str">
        <f t="shared" si="677"/>
        <v/>
      </c>
      <c r="AK365" s="29" t="str">
        <f t="shared" si="677"/>
        <v/>
      </c>
      <c r="AL365" s="29" t="str">
        <f t="shared" si="677"/>
        <v/>
      </c>
      <c r="AM365" s="29" t="str">
        <f t="shared" si="677"/>
        <v/>
      </c>
      <c r="AN365" s="29" t="str">
        <f t="shared" si="677"/>
        <v/>
      </c>
      <c r="AO365" s="29" t="str">
        <f t="shared" si="677"/>
        <v/>
      </c>
      <c r="AP365" s="29" t="str">
        <f t="shared" ref="AP365:AR365" si="678">IF(AP363="","",(AO365+AO366))</f>
        <v/>
      </c>
      <c r="AQ365" s="29" t="str">
        <f t="shared" si="678"/>
        <v/>
      </c>
      <c r="AR365" s="29" t="str">
        <f t="shared" si="678"/>
        <v/>
      </c>
    </row>
    <row r="366" spans="1:44" s="93" customFormat="1">
      <c r="A366" s="14"/>
      <c r="B366" s="30" t="s">
        <v>7</v>
      </c>
      <c r="C366" s="65"/>
      <c r="D366" s="29"/>
      <c r="E366" s="29"/>
      <c r="F366" s="29">
        <v>13</v>
      </c>
      <c r="G366" s="122"/>
      <c r="H366" s="29"/>
      <c r="I366" s="29"/>
      <c r="J366" s="122"/>
      <c r="K366" s="29"/>
      <c r="L366" s="29"/>
      <c r="M366" s="29"/>
      <c r="N366" s="29"/>
      <c r="O366" s="29"/>
      <c r="P366" s="122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</row>
    <row r="367" spans="1:44" s="93" customFormat="1">
      <c r="A367" s="7"/>
      <c r="B367" s="30" t="s">
        <v>8</v>
      </c>
      <c r="C367" s="64">
        <v>800</v>
      </c>
      <c r="D367" s="35">
        <f>IF(D363="","",C367)</f>
        <v>800</v>
      </c>
      <c r="E367" s="35">
        <f>IF(E363="","",D367)</f>
        <v>800</v>
      </c>
      <c r="F367" s="35">
        <f>IF(F363="","",E367)</f>
        <v>800</v>
      </c>
      <c r="G367" s="383">
        <v>60</v>
      </c>
      <c r="H367" s="35">
        <f t="shared" ref="H367:AO367" si="679">IF(H363="","",G367)</f>
        <v>60</v>
      </c>
      <c r="I367" s="35">
        <f t="shared" si="679"/>
        <v>60</v>
      </c>
      <c r="J367" s="383">
        <f t="shared" si="679"/>
        <v>60</v>
      </c>
      <c r="K367" s="35">
        <f t="shared" si="679"/>
        <v>60</v>
      </c>
      <c r="L367" s="35">
        <f t="shared" si="679"/>
        <v>60</v>
      </c>
      <c r="M367" s="35">
        <f t="shared" si="679"/>
        <v>60</v>
      </c>
      <c r="N367" s="35">
        <f t="shared" si="679"/>
        <v>60</v>
      </c>
      <c r="O367" s="35">
        <f t="shared" si="679"/>
        <v>60</v>
      </c>
      <c r="P367" s="383">
        <f t="shared" si="679"/>
        <v>60</v>
      </c>
      <c r="Q367" s="35">
        <f t="shared" si="679"/>
        <v>60</v>
      </c>
      <c r="R367" s="35">
        <f t="shared" si="679"/>
        <v>60</v>
      </c>
      <c r="S367" s="35">
        <f t="shared" si="679"/>
        <v>60</v>
      </c>
      <c r="T367" s="35">
        <f t="shared" si="679"/>
        <v>60</v>
      </c>
      <c r="U367" s="35">
        <f t="shared" si="679"/>
        <v>60</v>
      </c>
      <c r="V367" s="35">
        <f>IF(V363="","",U367)</f>
        <v>60</v>
      </c>
      <c r="W367" s="35">
        <f t="shared" si="679"/>
        <v>60</v>
      </c>
      <c r="X367" s="35">
        <f t="shared" si="679"/>
        <v>60</v>
      </c>
      <c r="Y367" s="35">
        <f t="shared" si="679"/>
        <v>60</v>
      </c>
      <c r="Z367" s="35">
        <f t="shared" si="679"/>
        <v>60</v>
      </c>
      <c r="AA367" s="35">
        <f t="shared" si="679"/>
        <v>60</v>
      </c>
      <c r="AB367" s="35">
        <f t="shared" si="679"/>
        <v>60</v>
      </c>
      <c r="AC367" s="35">
        <f t="shared" si="679"/>
        <v>60</v>
      </c>
      <c r="AD367" s="35">
        <f t="shared" si="679"/>
        <v>60</v>
      </c>
      <c r="AE367" s="35" t="str">
        <f t="shared" si="679"/>
        <v/>
      </c>
      <c r="AF367" s="35" t="str">
        <f t="shared" si="679"/>
        <v/>
      </c>
      <c r="AG367" s="35" t="str">
        <f t="shared" si="679"/>
        <v/>
      </c>
      <c r="AH367" s="35" t="str">
        <f t="shared" si="679"/>
        <v/>
      </c>
      <c r="AI367" s="35" t="str">
        <f t="shared" si="679"/>
        <v/>
      </c>
      <c r="AJ367" s="35" t="str">
        <f t="shared" si="679"/>
        <v/>
      </c>
      <c r="AK367" s="35" t="str">
        <f t="shared" si="679"/>
        <v/>
      </c>
      <c r="AL367" s="35" t="str">
        <f t="shared" si="679"/>
        <v/>
      </c>
      <c r="AM367" s="35" t="str">
        <f t="shared" si="679"/>
        <v/>
      </c>
      <c r="AN367" s="35" t="str">
        <f t="shared" si="679"/>
        <v/>
      </c>
      <c r="AO367" s="35" t="str">
        <f t="shared" si="679"/>
        <v/>
      </c>
      <c r="AP367" s="35" t="str">
        <f t="shared" ref="AP367:AR367" si="680">IF(AP363="","",AO367)</f>
        <v/>
      </c>
      <c r="AQ367" s="35" t="str">
        <f t="shared" si="680"/>
        <v/>
      </c>
      <c r="AR367" s="35" t="str">
        <f t="shared" si="680"/>
        <v/>
      </c>
    </row>
    <row r="368" spans="1:44" s="94" customFormat="1">
      <c r="A368" s="14" t="s">
        <v>9</v>
      </c>
      <c r="B368" s="33" t="s">
        <v>10</v>
      </c>
      <c r="C368" s="63" t="s">
        <v>54</v>
      </c>
      <c r="D368" s="32" t="str">
        <f>IF(D363="","",C368)</f>
        <v>サンリオバンズクリップ</v>
      </c>
      <c r="E368" s="32" t="str">
        <f>IF(E363="","",D368)</f>
        <v>サンリオバンズクリップ</v>
      </c>
      <c r="F368" s="32" t="str">
        <f>IF(F363="","",E368)</f>
        <v>サンリオバンズクリップ</v>
      </c>
      <c r="G368" s="123" t="s">
        <v>189</v>
      </c>
      <c r="H368" s="32" t="str">
        <f t="shared" ref="H368:AO368" si="681">IF(H363="","",G368)</f>
        <v>しば犬たまご</v>
      </c>
      <c r="I368" s="32" t="str">
        <f t="shared" si="681"/>
        <v>しば犬たまご</v>
      </c>
      <c r="J368" s="123" t="str">
        <f t="shared" si="681"/>
        <v>しば犬たまご</v>
      </c>
      <c r="K368" s="32" t="str">
        <f t="shared" si="681"/>
        <v>しば犬たまご</v>
      </c>
      <c r="L368" s="32" t="str">
        <f t="shared" si="681"/>
        <v>しば犬たまご</v>
      </c>
      <c r="M368" s="32" t="str">
        <f t="shared" si="681"/>
        <v>しば犬たまご</v>
      </c>
      <c r="N368" s="32" t="str">
        <f t="shared" si="681"/>
        <v>しば犬たまご</v>
      </c>
      <c r="O368" s="32" t="str">
        <f t="shared" si="681"/>
        <v>しば犬たまご</v>
      </c>
      <c r="P368" s="123" t="str">
        <f t="shared" si="681"/>
        <v>しば犬たまご</v>
      </c>
      <c r="Q368" s="32" t="str">
        <f t="shared" si="681"/>
        <v>しば犬たまご</v>
      </c>
      <c r="R368" s="32" t="str">
        <f t="shared" si="681"/>
        <v>しば犬たまご</v>
      </c>
      <c r="S368" s="32" t="str">
        <f t="shared" si="681"/>
        <v>しば犬たまご</v>
      </c>
      <c r="T368" s="32" t="str">
        <f t="shared" si="681"/>
        <v>しば犬たまご</v>
      </c>
      <c r="U368" s="32" t="str">
        <f t="shared" si="681"/>
        <v>しば犬たまご</v>
      </c>
      <c r="V368" s="32" t="str">
        <f>IF(V363="","",U368)</f>
        <v>しば犬たまご</v>
      </c>
      <c r="W368" s="32" t="str">
        <f t="shared" si="681"/>
        <v>しば犬たまご</v>
      </c>
      <c r="X368" s="32" t="str">
        <f t="shared" si="681"/>
        <v>しば犬たまご</v>
      </c>
      <c r="Y368" s="32" t="str">
        <f t="shared" si="681"/>
        <v>しば犬たまご</v>
      </c>
      <c r="Z368" s="32" t="str">
        <f t="shared" si="681"/>
        <v>しば犬たまご</v>
      </c>
      <c r="AA368" s="32" t="str">
        <f t="shared" si="681"/>
        <v>しば犬たまご</v>
      </c>
      <c r="AB368" s="32" t="str">
        <f t="shared" si="681"/>
        <v>しば犬たまご</v>
      </c>
      <c r="AC368" s="32" t="str">
        <f t="shared" si="681"/>
        <v>しば犬たまご</v>
      </c>
      <c r="AD368" s="32" t="str">
        <f t="shared" si="681"/>
        <v>しば犬たまご</v>
      </c>
      <c r="AE368" s="32" t="str">
        <f t="shared" si="681"/>
        <v/>
      </c>
      <c r="AF368" s="32" t="str">
        <f t="shared" si="681"/>
        <v/>
      </c>
      <c r="AG368" s="32" t="str">
        <f t="shared" si="681"/>
        <v/>
      </c>
      <c r="AH368" s="32" t="str">
        <f t="shared" si="681"/>
        <v/>
      </c>
      <c r="AI368" s="32" t="str">
        <f t="shared" si="681"/>
        <v/>
      </c>
      <c r="AJ368" s="32" t="str">
        <f t="shared" si="681"/>
        <v/>
      </c>
      <c r="AK368" s="32" t="str">
        <f t="shared" si="681"/>
        <v/>
      </c>
      <c r="AL368" s="32" t="str">
        <f t="shared" si="681"/>
        <v/>
      </c>
      <c r="AM368" s="32" t="str">
        <f t="shared" si="681"/>
        <v/>
      </c>
      <c r="AN368" s="32" t="str">
        <f t="shared" si="681"/>
        <v/>
      </c>
      <c r="AO368" s="32" t="str">
        <f t="shared" si="681"/>
        <v/>
      </c>
      <c r="AP368" s="32" t="str">
        <f t="shared" ref="AP368:AR368" si="682">IF(AP363="","",AO368)</f>
        <v/>
      </c>
      <c r="AQ368" s="32" t="str">
        <f t="shared" si="682"/>
        <v/>
      </c>
      <c r="AR368" s="32" t="str">
        <f t="shared" si="682"/>
        <v/>
      </c>
    </row>
    <row r="369" spans="1:44" s="93" customFormat="1">
      <c r="A369" s="7">
        <f>AVERAGE(C370:AS370)*30*100</f>
        <v>40928.571428571428</v>
      </c>
      <c r="B369" s="30" t="s">
        <v>14</v>
      </c>
      <c r="C369" s="65"/>
      <c r="D369" s="29"/>
      <c r="E369" s="29"/>
      <c r="F369" s="29"/>
      <c r="G369" s="122"/>
      <c r="H369" s="29"/>
      <c r="I369" s="29"/>
      <c r="J369" s="122"/>
      <c r="K369" s="29"/>
      <c r="L369" s="29"/>
      <c r="M369" s="29"/>
      <c r="N369" s="29"/>
      <c r="O369" s="29"/>
      <c r="P369" s="122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</row>
    <row r="370" spans="1:44" s="93" customFormat="1">
      <c r="A370" s="7">
        <f>SUM(C370:AS370)</f>
        <v>382</v>
      </c>
      <c r="B370" s="27" t="s">
        <v>15</v>
      </c>
      <c r="C370" s="65">
        <v>0</v>
      </c>
      <c r="D370" s="26">
        <f t="shared" ref="D370:AO370" si="683">IF(D363="","",D363-C363)</f>
        <v>0</v>
      </c>
      <c r="E370" s="26">
        <f t="shared" si="683"/>
        <v>0</v>
      </c>
      <c r="F370" s="26">
        <f t="shared" si="683"/>
        <v>68</v>
      </c>
      <c r="G370" s="122">
        <f t="shared" si="683"/>
        <v>0</v>
      </c>
      <c r="H370" s="26">
        <f t="shared" si="683"/>
        <v>0</v>
      </c>
      <c r="I370" s="26">
        <f t="shared" si="683"/>
        <v>44</v>
      </c>
      <c r="J370" s="122">
        <f t="shared" si="683"/>
        <v>0</v>
      </c>
      <c r="K370" s="26">
        <f t="shared" si="683"/>
        <v>0</v>
      </c>
      <c r="L370" s="26">
        <f t="shared" si="683"/>
        <v>0</v>
      </c>
      <c r="M370" s="26">
        <f t="shared" si="683"/>
        <v>0</v>
      </c>
      <c r="N370" s="26">
        <f t="shared" si="683"/>
        <v>0</v>
      </c>
      <c r="O370" s="26">
        <f t="shared" si="683"/>
        <v>126</v>
      </c>
      <c r="P370" s="122">
        <f t="shared" si="683"/>
        <v>0</v>
      </c>
      <c r="Q370" s="26">
        <f t="shared" si="683"/>
        <v>0</v>
      </c>
      <c r="R370" s="26">
        <f t="shared" si="683"/>
        <v>0</v>
      </c>
      <c r="S370" s="26">
        <f t="shared" si="683"/>
        <v>11</v>
      </c>
      <c r="T370" s="26">
        <f t="shared" si="683"/>
        <v>0</v>
      </c>
      <c r="U370" s="26">
        <f t="shared" si="683"/>
        <v>0</v>
      </c>
      <c r="V370" s="26">
        <f>IF(V363="","",V363-U363)</f>
        <v>43</v>
      </c>
      <c r="W370" s="26">
        <f t="shared" si="683"/>
        <v>0</v>
      </c>
      <c r="X370" s="26">
        <f t="shared" si="683"/>
        <v>0</v>
      </c>
      <c r="Y370" s="26">
        <f t="shared" si="683"/>
        <v>0</v>
      </c>
      <c r="Z370" s="26">
        <f t="shared" si="683"/>
        <v>0</v>
      </c>
      <c r="AA370" s="26">
        <f t="shared" si="683"/>
        <v>68</v>
      </c>
      <c r="AB370" s="26">
        <f t="shared" si="683"/>
        <v>0</v>
      </c>
      <c r="AC370" s="26">
        <f t="shared" si="683"/>
        <v>0</v>
      </c>
      <c r="AD370" s="26">
        <f t="shared" si="683"/>
        <v>22</v>
      </c>
      <c r="AE370" s="26" t="str">
        <f t="shared" si="683"/>
        <v/>
      </c>
      <c r="AF370" s="26" t="str">
        <f t="shared" si="683"/>
        <v/>
      </c>
      <c r="AG370" s="26" t="str">
        <f t="shared" si="683"/>
        <v/>
      </c>
      <c r="AH370" s="26" t="str">
        <f t="shared" si="683"/>
        <v/>
      </c>
      <c r="AI370" s="26" t="str">
        <f t="shared" si="683"/>
        <v/>
      </c>
      <c r="AJ370" s="26" t="str">
        <f t="shared" si="683"/>
        <v/>
      </c>
      <c r="AK370" s="26" t="str">
        <f t="shared" si="683"/>
        <v/>
      </c>
      <c r="AL370" s="26" t="str">
        <f t="shared" si="683"/>
        <v/>
      </c>
      <c r="AM370" s="26" t="str">
        <f t="shared" si="683"/>
        <v/>
      </c>
      <c r="AN370" s="26" t="str">
        <f t="shared" si="683"/>
        <v/>
      </c>
      <c r="AO370" s="26" t="str">
        <f t="shared" si="683"/>
        <v/>
      </c>
      <c r="AP370" s="26" t="str">
        <f t="shared" ref="AP370:AR370" si="684">IF(AP363="","",AP363-AO363)</f>
        <v/>
      </c>
      <c r="AQ370" s="26" t="str">
        <f t="shared" si="684"/>
        <v/>
      </c>
      <c r="AR370" s="26" t="str">
        <f t="shared" si="684"/>
        <v/>
      </c>
    </row>
    <row r="371" spans="1:44" s="93" customFormat="1">
      <c r="A371" s="7">
        <f>SUM(C371:AS371)</f>
        <v>8</v>
      </c>
      <c r="B371" s="27" t="s">
        <v>16</v>
      </c>
      <c r="C371" s="65">
        <v>0</v>
      </c>
      <c r="D371" s="26">
        <f t="shared" ref="D371:AO371" si="685">IF(D364="","",D364-C364)</f>
        <v>0</v>
      </c>
      <c r="E371" s="26">
        <f t="shared" si="685"/>
        <v>0</v>
      </c>
      <c r="F371" s="26">
        <f t="shared" si="685"/>
        <v>2</v>
      </c>
      <c r="G371" s="122">
        <f t="shared" si="685"/>
        <v>0</v>
      </c>
      <c r="H371" s="26">
        <f t="shared" si="685"/>
        <v>0</v>
      </c>
      <c r="I371" s="26">
        <f t="shared" si="685"/>
        <v>1</v>
      </c>
      <c r="J371" s="122">
        <f t="shared" si="685"/>
        <v>0</v>
      </c>
      <c r="K371" s="26">
        <f t="shared" si="685"/>
        <v>0</v>
      </c>
      <c r="L371" s="26">
        <f t="shared" si="685"/>
        <v>0</v>
      </c>
      <c r="M371" s="26">
        <f t="shared" si="685"/>
        <v>0</v>
      </c>
      <c r="N371" s="26">
        <f t="shared" si="685"/>
        <v>0</v>
      </c>
      <c r="O371" s="26">
        <f t="shared" si="685"/>
        <v>4</v>
      </c>
      <c r="P371" s="122">
        <f t="shared" si="685"/>
        <v>0</v>
      </c>
      <c r="Q371" s="26">
        <f t="shared" si="685"/>
        <v>0</v>
      </c>
      <c r="R371" s="26">
        <f t="shared" si="685"/>
        <v>0</v>
      </c>
      <c r="S371" s="26">
        <f t="shared" si="685"/>
        <v>0</v>
      </c>
      <c r="T371" s="26">
        <f t="shared" si="685"/>
        <v>0</v>
      </c>
      <c r="U371" s="26">
        <f t="shared" si="685"/>
        <v>0</v>
      </c>
      <c r="V371" s="26">
        <f>IF(V364="","",V364-U364)</f>
        <v>1</v>
      </c>
      <c r="W371" s="26">
        <f t="shared" si="685"/>
        <v>0</v>
      </c>
      <c r="X371" s="26">
        <f t="shared" si="685"/>
        <v>0</v>
      </c>
      <c r="Y371" s="26">
        <f t="shared" si="685"/>
        <v>0</v>
      </c>
      <c r="Z371" s="26">
        <f t="shared" si="685"/>
        <v>0</v>
      </c>
      <c r="AA371" s="26">
        <f t="shared" si="685"/>
        <v>0</v>
      </c>
      <c r="AB371" s="26">
        <f t="shared" si="685"/>
        <v>0</v>
      </c>
      <c r="AC371" s="26">
        <f t="shared" si="685"/>
        <v>0</v>
      </c>
      <c r="AD371" s="26">
        <f t="shared" si="685"/>
        <v>0</v>
      </c>
      <c r="AE371" s="26" t="str">
        <f t="shared" si="685"/>
        <v/>
      </c>
      <c r="AF371" s="26" t="str">
        <f t="shared" si="685"/>
        <v/>
      </c>
      <c r="AG371" s="26" t="str">
        <f t="shared" si="685"/>
        <v/>
      </c>
      <c r="AH371" s="26" t="str">
        <f t="shared" si="685"/>
        <v/>
      </c>
      <c r="AI371" s="26" t="str">
        <f t="shared" si="685"/>
        <v/>
      </c>
      <c r="AJ371" s="26" t="str">
        <f t="shared" si="685"/>
        <v/>
      </c>
      <c r="AK371" s="26" t="str">
        <f t="shared" si="685"/>
        <v/>
      </c>
      <c r="AL371" s="26" t="str">
        <f t="shared" si="685"/>
        <v/>
      </c>
      <c r="AM371" s="26" t="str">
        <f t="shared" si="685"/>
        <v/>
      </c>
      <c r="AN371" s="26" t="str">
        <f t="shared" si="685"/>
        <v/>
      </c>
      <c r="AO371" s="26" t="str">
        <f t="shared" si="685"/>
        <v/>
      </c>
      <c r="AP371" s="26" t="str">
        <f t="shared" ref="AP371:AR371" si="686">IF(AP364="","",AP364-AO364)</f>
        <v/>
      </c>
      <c r="AQ371" s="26" t="str">
        <f t="shared" si="686"/>
        <v/>
      </c>
      <c r="AR371" s="26" t="str">
        <f t="shared" si="686"/>
        <v/>
      </c>
    </row>
    <row r="372" spans="1:44" s="93" customFormat="1">
      <c r="A372" s="7">
        <f>SUM(C372:AS372)</f>
        <v>7</v>
      </c>
      <c r="B372" s="27" t="s">
        <v>17</v>
      </c>
      <c r="C372" s="65">
        <v>0</v>
      </c>
      <c r="D372" s="26">
        <f t="shared" ref="D372:AO372" si="687">IF(D365="","",C365+C366-D365)</f>
        <v>0</v>
      </c>
      <c r="E372" s="26">
        <f t="shared" si="687"/>
        <v>0</v>
      </c>
      <c r="F372" s="26">
        <f t="shared" si="687"/>
        <v>1</v>
      </c>
      <c r="G372" s="122">
        <f t="shared" si="687"/>
        <v>0</v>
      </c>
      <c r="H372" s="26">
        <f t="shared" si="687"/>
        <v>0</v>
      </c>
      <c r="I372" s="26">
        <f t="shared" si="687"/>
        <v>1</v>
      </c>
      <c r="J372" s="122">
        <f t="shared" si="687"/>
        <v>0</v>
      </c>
      <c r="K372" s="26">
        <f t="shared" si="687"/>
        <v>0</v>
      </c>
      <c r="L372" s="26">
        <f t="shared" si="687"/>
        <v>0</v>
      </c>
      <c r="M372" s="26">
        <f t="shared" si="687"/>
        <v>0</v>
      </c>
      <c r="N372" s="26">
        <f t="shared" si="687"/>
        <v>0</v>
      </c>
      <c r="O372" s="26">
        <f t="shared" si="687"/>
        <v>4</v>
      </c>
      <c r="P372" s="122">
        <f t="shared" si="687"/>
        <v>0</v>
      </c>
      <c r="Q372" s="26">
        <f t="shared" si="687"/>
        <v>0</v>
      </c>
      <c r="R372" s="26">
        <f t="shared" si="687"/>
        <v>0</v>
      </c>
      <c r="S372" s="26">
        <f t="shared" si="687"/>
        <v>0</v>
      </c>
      <c r="T372" s="26">
        <f t="shared" si="687"/>
        <v>0</v>
      </c>
      <c r="U372" s="26">
        <f t="shared" si="687"/>
        <v>0</v>
      </c>
      <c r="V372" s="26">
        <f>IF(V365="","",U365+U366-V365)</f>
        <v>1</v>
      </c>
      <c r="W372" s="26">
        <f t="shared" si="687"/>
        <v>0</v>
      </c>
      <c r="X372" s="26">
        <f t="shared" si="687"/>
        <v>0</v>
      </c>
      <c r="Y372" s="26">
        <f t="shared" si="687"/>
        <v>0</v>
      </c>
      <c r="Z372" s="26">
        <f t="shared" si="687"/>
        <v>0</v>
      </c>
      <c r="AA372" s="26">
        <f t="shared" si="687"/>
        <v>0</v>
      </c>
      <c r="AB372" s="26">
        <f t="shared" si="687"/>
        <v>0</v>
      </c>
      <c r="AC372" s="26">
        <f t="shared" si="687"/>
        <v>0</v>
      </c>
      <c r="AD372" s="26">
        <f t="shared" si="687"/>
        <v>0</v>
      </c>
      <c r="AE372" s="26" t="str">
        <f t="shared" si="687"/>
        <v/>
      </c>
      <c r="AF372" s="26" t="str">
        <f t="shared" si="687"/>
        <v/>
      </c>
      <c r="AG372" s="26" t="str">
        <f t="shared" si="687"/>
        <v/>
      </c>
      <c r="AH372" s="26" t="str">
        <f t="shared" si="687"/>
        <v/>
      </c>
      <c r="AI372" s="26" t="str">
        <f t="shared" si="687"/>
        <v/>
      </c>
      <c r="AJ372" s="26" t="str">
        <f t="shared" si="687"/>
        <v/>
      </c>
      <c r="AK372" s="26" t="str">
        <f t="shared" si="687"/>
        <v/>
      </c>
      <c r="AL372" s="26" t="str">
        <f t="shared" si="687"/>
        <v/>
      </c>
      <c r="AM372" s="26" t="str">
        <f t="shared" si="687"/>
        <v/>
      </c>
      <c r="AN372" s="26" t="str">
        <f t="shared" si="687"/>
        <v/>
      </c>
      <c r="AO372" s="26" t="str">
        <f t="shared" si="687"/>
        <v/>
      </c>
      <c r="AP372" s="26" t="str">
        <f t="shared" ref="AP372:AR372" si="688">IF(AP365="","",AO365+AO366-AP365)</f>
        <v/>
      </c>
      <c r="AQ372" s="26" t="str">
        <f t="shared" si="688"/>
        <v/>
      </c>
      <c r="AR372" s="26" t="str">
        <f t="shared" si="688"/>
        <v/>
      </c>
    </row>
    <row r="373" spans="1:44" s="93" customFormat="1">
      <c r="A373" s="7">
        <f>SUM(C373:AS373)</f>
        <v>1160</v>
      </c>
      <c r="B373" s="27" t="s">
        <v>18</v>
      </c>
      <c r="C373" s="65">
        <v>0</v>
      </c>
      <c r="D373" s="26">
        <f t="shared" ref="D373:AO373" si="689">IF(D363="","",D372*D367)</f>
        <v>0</v>
      </c>
      <c r="E373" s="26">
        <f t="shared" si="689"/>
        <v>0</v>
      </c>
      <c r="F373" s="26">
        <f t="shared" si="689"/>
        <v>800</v>
      </c>
      <c r="G373" s="122">
        <f t="shared" si="689"/>
        <v>0</v>
      </c>
      <c r="H373" s="26">
        <f t="shared" si="689"/>
        <v>0</v>
      </c>
      <c r="I373" s="26">
        <f t="shared" si="689"/>
        <v>60</v>
      </c>
      <c r="J373" s="122">
        <f t="shared" si="689"/>
        <v>0</v>
      </c>
      <c r="K373" s="26">
        <f t="shared" si="689"/>
        <v>0</v>
      </c>
      <c r="L373" s="26">
        <f t="shared" si="689"/>
        <v>0</v>
      </c>
      <c r="M373" s="26">
        <f t="shared" si="689"/>
        <v>0</v>
      </c>
      <c r="N373" s="26">
        <f t="shared" si="689"/>
        <v>0</v>
      </c>
      <c r="O373" s="26">
        <f t="shared" si="689"/>
        <v>240</v>
      </c>
      <c r="P373" s="122">
        <f t="shared" si="689"/>
        <v>0</v>
      </c>
      <c r="Q373" s="26">
        <f t="shared" si="689"/>
        <v>0</v>
      </c>
      <c r="R373" s="26">
        <f t="shared" si="689"/>
        <v>0</v>
      </c>
      <c r="S373" s="26">
        <f t="shared" si="689"/>
        <v>0</v>
      </c>
      <c r="T373" s="26">
        <f t="shared" si="689"/>
        <v>0</v>
      </c>
      <c r="U373" s="26">
        <f t="shared" si="689"/>
        <v>0</v>
      </c>
      <c r="V373" s="26">
        <f>IF(V363="","",V372*V367)</f>
        <v>60</v>
      </c>
      <c r="W373" s="26">
        <f t="shared" si="689"/>
        <v>0</v>
      </c>
      <c r="X373" s="26">
        <f t="shared" si="689"/>
        <v>0</v>
      </c>
      <c r="Y373" s="26">
        <f t="shared" si="689"/>
        <v>0</v>
      </c>
      <c r="Z373" s="26">
        <f t="shared" si="689"/>
        <v>0</v>
      </c>
      <c r="AA373" s="26">
        <f t="shared" si="689"/>
        <v>0</v>
      </c>
      <c r="AB373" s="26">
        <f t="shared" si="689"/>
        <v>0</v>
      </c>
      <c r="AC373" s="26">
        <f t="shared" si="689"/>
        <v>0</v>
      </c>
      <c r="AD373" s="26">
        <f t="shared" si="689"/>
        <v>0</v>
      </c>
      <c r="AE373" s="26" t="str">
        <f t="shared" si="689"/>
        <v/>
      </c>
      <c r="AF373" s="26" t="str">
        <f t="shared" si="689"/>
        <v/>
      </c>
      <c r="AG373" s="26" t="str">
        <f t="shared" si="689"/>
        <v/>
      </c>
      <c r="AH373" s="26" t="str">
        <f t="shared" si="689"/>
        <v/>
      </c>
      <c r="AI373" s="26" t="str">
        <f t="shared" si="689"/>
        <v/>
      </c>
      <c r="AJ373" s="26" t="str">
        <f t="shared" si="689"/>
        <v/>
      </c>
      <c r="AK373" s="26" t="str">
        <f t="shared" si="689"/>
        <v/>
      </c>
      <c r="AL373" s="26" t="str">
        <f t="shared" si="689"/>
        <v/>
      </c>
      <c r="AM373" s="26" t="str">
        <f t="shared" si="689"/>
        <v/>
      </c>
      <c r="AN373" s="26" t="str">
        <f t="shared" si="689"/>
        <v/>
      </c>
      <c r="AO373" s="26" t="str">
        <f t="shared" si="689"/>
        <v/>
      </c>
      <c r="AP373" s="26" t="str">
        <f t="shared" ref="AP373:AR373" si="690">IF(AP363="","",AP372*AP367)</f>
        <v/>
      </c>
      <c r="AQ373" s="26" t="str">
        <f t="shared" si="690"/>
        <v/>
      </c>
      <c r="AR373" s="26" t="str">
        <f t="shared" si="690"/>
        <v/>
      </c>
    </row>
    <row r="374" spans="1:44" s="93" customFormat="1" ht="12" thickBot="1">
      <c r="A374" s="4">
        <f>IF(A373="","",A373/(A370*100))</f>
        <v>3.0366492146596858E-2</v>
      </c>
      <c r="B374" s="24" t="s">
        <v>20</v>
      </c>
      <c r="C374" s="67" t="s">
        <v>21</v>
      </c>
      <c r="D374" s="23" t="str">
        <f t="shared" ref="D374:AO374" si="691">IF(D373="","",IF(D373=0,"",D373/(D370*100)))</f>
        <v/>
      </c>
      <c r="E374" s="23" t="str">
        <f t="shared" si="691"/>
        <v/>
      </c>
      <c r="F374" s="23">
        <f t="shared" si="691"/>
        <v>0.11764705882352941</v>
      </c>
      <c r="G374" s="124" t="str">
        <f t="shared" si="691"/>
        <v/>
      </c>
      <c r="H374" s="23" t="str">
        <f t="shared" si="691"/>
        <v/>
      </c>
      <c r="I374" s="23">
        <f t="shared" si="691"/>
        <v>1.3636363636363636E-2</v>
      </c>
      <c r="J374" s="124" t="str">
        <f t="shared" si="691"/>
        <v/>
      </c>
      <c r="K374" s="23" t="str">
        <f t="shared" si="691"/>
        <v/>
      </c>
      <c r="L374" s="23" t="str">
        <f t="shared" si="691"/>
        <v/>
      </c>
      <c r="M374" s="23" t="str">
        <f t="shared" si="691"/>
        <v/>
      </c>
      <c r="N374" s="23" t="str">
        <f t="shared" si="691"/>
        <v/>
      </c>
      <c r="O374" s="23">
        <f t="shared" si="691"/>
        <v>1.9047619047619049E-2</v>
      </c>
      <c r="P374" s="124" t="str">
        <f t="shared" si="691"/>
        <v/>
      </c>
      <c r="Q374" s="23" t="str">
        <f t="shared" si="691"/>
        <v/>
      </c>
      <c r="R374" s="23" t="str">
        <f t="shared" si="691"/>
        <v/>
      </c>
      <c r="S374" s="23" t="str">
        <f t="shared" si="691"/>
        <v/>
      </c>
      <c r="T374" s="23" t="str">
        <f t="shared" si="691"/>
        <v/>
      </c>
      <c r="U374" s="23" t="str">
        <f t="shared" si="691"/>
        <v/>
      </c>
      <c r="V374" s="23">
        <f>IF(V373="","",IF(V373=0,"",V373/(V370*100)))</f>
        <v>1.3953488372093023E-2</v>
      </c>
      <c r="W374" s="23" t="str">
        <f t="shared" si="691"/>
        <v/>
      </c>
      <c r="X374" s="23" t="str">
        <f t="shared" si="691"/>
        <v/>
      </c>
      <c r="Y374" s="23" t="str">
        <f t="shared" si="691"/>
        <v/>
      </c>
      <c r="Z374" s="23" t="str">
        <f t="shared" si="691"/>
        <v/>
      </c>
      <c r="AA374" s="23" t="str">
        <f t="shared" si="691"/>
        <v/>
      </c>
      <c r="AB374" s="23" t="str">
        <f t="shared" si="691"/>
        <v/>
      </c>
      <c r="AC374" s="23" t="str">
        <f t="shared" si="691"/>
        <v/>
      </c>
      <c r="AD374" s="23" t="str">
        <f t="shared" si="691"/>
        <v/>
      </c>
      <c r="AE374" s="23" t="str">
        <f t="shared" si="691"/>
        <v/>
      </c>
      <c r="AF374" s="23" t="str">
        <f t="shared" si="691"/>
        <v/>
      </c>
      <c r="AG374" s="23" t="str">
        <f t="shared" si="691"/>
        <v/>
      </c>
      <c r="AH374" s="23" t="str">
        <f t="shared" si="691"/>
        <v/>
      </c>
      <c r="AI374" s="23" t="str">
        <f t="shared" si="691"/>
        <v/>
      </c>
      <c r="AJ374" s="23" t="str">
        <f t="shared" si="691"/>
        <v/>
      </c>
      <c r="AK374" s="23" t="str">
        <f t="shared" si="691"/>
        <v/>
      </c>
      <c r="AL374" s="23" t="str">
        <f t="shared" si="691"/>
        <v/>
      </c>
      <c r="AM374" s="23" t="str">
        <f t="shared" si="691"/>
        <v/>
      </c>
      <c r="AN374" s="23" t="str">
        <f t="shared" si="691"/>
        <v/>
      </c>
      <c r="AO374" s="23" t="str">
        <f t="shared" si="691"/>
        <v/>
      </c>
      <c r="AP374" s="23" t="str">
        <f t="shared" ref="AP374:AR374" si="692">IF(AP373="","",IF(AP373=0,"",AP373/(AP370*100)))</f>
        <v/>
      </c>
      <c r="AQ374" s="23" t="str">
        <f t="shared" si="692"/>
        <v/>
      </c>
      <c r="AR374" s="23" t="str">
        <f t="shared" si="692"/>
        <v/>
      </c>
    </row>
    <row r="375" spans="1:44" s="93" customFormat="1">
      <c r="A375" s="40" t="s">
        <v>214</v>
      </c>
      <c r="B375" s="39" t="s">
        <v>2</v>
      </c>
      <c r="C375" s="66">
        <v>701</v>
      </c>
      <c r="D375" s="38">
        <f>IF(D$279="","",C375)</f>
        <v>701</v>
      </c>
      <c r="E375" s="38">
        <f>IF(E$279="","",D375)</f>
        <v>701</v>
      </c>
      <c r="F375" s="38">
        <v>999</v>
      </c>
      <c r="G375" s="121">
        <f>IF(G$279="","",F375)</f>
        <v>999</v>
      </c>
      <c r="H375" s="38">
        <f>IF(H$279="","",G375)</f>
        <v>999</v>
      </c>
      <c r="I375" s="38">
        <v>1413</v>
      </c>
      <c r="J375" s="121">
        <f t="shared" ref="J375:N376" si="693">IF(J$279="","",I375)</f>
        <v>1413</v>
      </c>
      <c r="K375" s="38">
        <f t="shared" si="693"/>
        <v>1413</v>
      </c>
      <c r="L375" s="38">
        <f t="shared" si="693"/>
        <v>1413</v>
      </c>
      <c r="M375" s="38">
        <f t="shared" si="693"/>
        <v>1413</v>
      </c>
      <c r="N375" s="38">
        <f t="shared" si="693"/>
        <v>1413</v>
      </c>
      <c r="O375" s="38">
        <v>2033</v>
      </c>
      <c r="P375" s="121">
        <f t="shared" ref="P375:AO375" si="694">IF(P$279="","",O375)</f>
        <v>2033</v>
      </c>
      <c r="Q375" s="38">
        <f t="shared" si="694"/>
        <v>2033</v>
      </c>
      <c r="R375" s="38">
        <f t="shared" si="694"/>
        <v>2033</v>
      </c>
      <c r="S375" s="38">
        <v>2390</v>
      </c>
      <c r="T375" s="38">
        <f t="shared" si="694"/>
        <v>2390</v>
      </c>
      <c r="U375" s="38">
        <f t="shared" si="694"/>
        <v>2390</v>
      </c>
      <c r="V375" s="38">
        <v>2638</v>
      </c>
      <c r="W375" s="38">
        <f t="shared" si="694"/>
        <v>2638</v>
      </c>
      <c r="X375" s="38">
        <f t="shared" si="694"/>
        <v>2638</v>
      </c>
      <c r="Y375" s="38">
        <f t="shared" si="694"/>
        <v>2638</v>
      </c>
      <c r="Z375" s="38">
        <f t="shared" si="694"/>
        <v>2638</v>
      </c>
      <c r="AA375" s="38">
        <v>2985</v>
      </c>
      <c r="AB375" s="38">
        <f t="shared" si="694"/>
        <v>2985</v>
      </c>
      <c r="AC375" s="38">
        <f t="shared" si="694"/>
        <v>2985</v>
      </c>
      <c r="AD375" s="38">
        <v>3182</v>
      </c>
      <c r="AE375" s="38" t="str">
        <f t="shared" si="694"/>
        <v/>
      </c>
      <c r="AF375" s="38" t="str">
        <f t="shared" si="694"/>
        <v/>
      </c>
      <c r="AG375" s="38" t="str">
        <f t="shared" si="694"/>
        <v/>
      </c>
      <c r="AH375" s="38" t="str">
        <f t="shared" si="694"/>
        <v/>
      </c>
      <c r="AI375" s="38" t="str">
        <f t="shared" si="694"/>
        <v/>
      </c>
      <c r="AJ375" s="38" t="str">
        <f t="shared" si="694"/>
        <v/>
      </c>
      <c r="AK375" s="38" t="str">
        <f t="shared" si="694"/>
        <v/>
      </c>
      <c r="AL375" s="38" t="str">
        <f t="shared" si="694"/>
        <v/>
      </c>
      <c r="AM375" s="38" t="str">
        <f t="shared" si="694"/>
        <v/>
      </c>
      <c r="AN375" s="38" t="str">
        <f t="shared" si="694"/>
        <v/>
      </c>
      <c r="AO375" s="38" t="str">
        <f t="shared" si="694"/>
        <v/>
      </c>
      <c r="AP375" s="38" t="str">
        <f t="shared" ref="AP375:AR375" si="695">IF(AP$279="","",AO375)</f>
        <v/>
      </c>
      <c r="AQ375" s="38" t="str">
        <f t="shared" si="695"/>
        <v/>
      </c>
      <c r="AR375" s="38" t="str">
        <f t="shared" si="695"/>
        <v/>
      </c>
    </row>
    <row r="376" spans="1:44" s="93" customFormat="1">
      <c r="A376" s="37" t="s">
        <v>79</v>
      </c>
      <c r="B376" s="30" t="s">
        <v>4</v>
      </c>
      <c r="C376" s="65">
        <v>3</v>
      </c>
      <c r="D376" s="29">
        <f>IF(D$279="","",C376)</f>
        <v>3</v>
      </c>
      <c r="E376" s="29">
        <f>IF(E$279="","",D376)</f>
        <v>3</v>
      </c>
      <c r="F376" s="29">
        <v>5</v>
      </c>
      <c r="G376" s="122">
        <f>IF(G$279="","",F376)</f>
        <v>5</v>
      </c>
      <c r="H376" s="29">
        <f>IF(H$279="","",G376)</f>
        <v>5</v>
      </c>
      <c r="I376" s="29">
        <v>7</v>
      </c>
      <c r="J376" s="122">
        <f t="shared" si="693"/>
        <v>7</v>
      </c>
      <c r="K376" s="29">
        <f t="shared" si="693"/>
        <v>7</v>
      </c>
      <c r="L376" s="29">
        <f t="shared" si="693"/>
        <v>7</v>
      </c>
      <c r="M376" s="29">
        <f t="shared" si="693"/>
        <v>7</v>
      </c>
      <c r="N376" s="29">
        <f t="shared" si="693"/>
        <v>7</v>
      </c>
      <c r="O376" s="29">
        <v>8</v>
      </c>
      <c r="P376" s="122">
        <f t="shared" ref="P376:AO376" si="696">IF(P$279="","",O376)</f>
        <v>8</v>
      </c>
      <c r="Q376" s="29">
        <f t="shared" si="696"/>
        <v>8</v>
      </c>
      <c r="R376" s="29">
        <f t="shared" si="696"/>
        <v>8</v>
      </c>
      <c r="S376" s="29">
        <v>11</v>
      </c>
      <c r="T376" s="29">
        <f t="shared" si="696"/>
        <v>11</v>
      </c>
      <c r="U376" s="29">
        <f t="shared" si="696"/>
        <v>11</v>
      </c>
      <c r="V376" s="29">
        <v>11</v>
      </c>
      <c r="W376" s="29">
        <f t="shared" si="696"/>
        <v>11</v>
      </c>
      <c r="X376" s="29">
        <f t="shared" si="696"/>
        <v>11</v>
      </c>
      <c r="Y376" s="29">
        <f t="shared" si="696"/>
        <v>11</v>
      </c>
      <c r="Z376" s="29">
        <f t="shared" si="696"/>
        <v>11</v>
      </c>
      <c r="AA376" s="29">
        <v>12</v>
      </c>
      <c r="AB376" s="29">
        <f t="shared" si="696"/>
        <v>12</v>
      </c>
      <c r="AC376" s="29">
        <f t="shared" si="696"/>
        <v>12</v>
      </c>
      <c r="AD376" s="29">
        <v>12</v>
      </c>
      <c r="AE376" s="29" t="str">
        <f t="shared" si="696"/>
        <v/>
      </c>
      <c r="AF376" s="29" t="str">
        <f t="shared" si="696"/>
        <v/>
      </c>
      <c r="AG376" s="29" t="str">
        <f t="shared" si="696"/>
        <v/>
      </c>
      <c r="AH376" s="29" t="str">
        <f t="shared" si="696"/>
        <v/>
      </c>
      <c r="AI376" s="29" t="str">
        <f t="shared" si="696"/>
        <v/>
      </c>
      <c r="AJ376" s="29" t="str">
        <f t="shared" si="696"/>
        <v/>
      </c>
      <c r="AK376" s="29" t="str">
        <f t="shared" si="696"/>
        <v/>
      </c>
      <c r="AL376" s="29" t="str">
        <f t="shared" si="696"/>
        <v/>
      </c>
      <c r="AM376" s="29" t="str">
        <f t="shared" si="696"/>
        <v/>
      </c>
      <c r="AN376" s="29" t="str">
        <f t="shared" si="696"/>
        <v/>
      </c>
      <c r="AO376" s="29" t="str">
        <f t="shared" si="696"/>
        <v/>
      </c>
      <c r="AP376" s="29" t="str">
        <f t="shared" ref="AP376:AR376" si="697">IF(AP$279="","",AO376)</f>
        <v/>
      </c>
      <c r="AQ376" s="29" t="str">
        <f t="shared" si="697"/>
        <v/>
      </c>
      <c r="AR376" s="29" t="str">
        <f t="shared" si="697"/>
        <v/>
      </c>
    </row>
    <row r="377" spans="1:44" s="93" customFormat="1">
      <c r="A377" s="34"/>
      <c r="B377" s="30" t="s">
        <v>5</v>
      </c>
      <c r="C377" s="65">
        <v>6</v>
      </c>
      <c r="D377" s="29">
        <f>IF(D375="","",(C377+C378))</f>
        <v>6</v>
      </c>
      <c r="E377" s="29">
        <f>IF(E375="","",(D377+D378))</f>
        <v>6</v>
      </c>
      <c r="F377" s="29">
        <v>4</v>
      </c>
      <c r="G377" s="122">
        <f>IF(G375="","",(F377+F378))</f>
        <v>8</v>
      </c>
      <c r="H377" s="29">
        <f>IF(H375="","",(G377+G378))</f>
        <v>8</v>
      </c>
      <c r="I377" s="29">
        <v>6</v>
      </c>
      <c r="J377" s="122">
        <f t="shared" ref="J377:AO377" si="698">IF(J375="","",(I377+I378))</f>
        <v>8</v>
      </c>
      <c r="K377" s="29">
        <f t="shared" si="698"/>
        <v>8</v>
      </c>
      <c r="L377" s="29">
        <f t="shared" si="698"/>
        <v>8</v>
      </c>
      <c r="M377" s="29">
        <f t="shared" si="698"/>
        <v>8</v>
      </c>
      <c r="N377" s="29">
        <f t="shared" si="698"/>
        <v>8</v>
      </c>
      <c r="O377" s="29">
        <f t="shared" si="698"/>
        <v>8</v>
      </c>
      <c r="P377" s="122">
        <f t="shared" si="698"/>
        <v>8</v>
      </c>
      <c r="Q377" s="29">
        <f t="shared" si="698"/>
        <v>8</v>
      </c>
      <c r="R377" s="29">
        <f t="shared" si="698"/>
        <v>8</v>
      </c>
      <c r="S377" s="29">
        <v>4</v>
      </c>
      <c r="T377" s="29">
        <f t="shared" si="698"/>
        <v>8</v>
      </c>
      <c r="U377" s="29">
        <f t="shared" si="698"/>
        <v>8</v>
      </c>
      <c r="V377" s="29">
        <f>IF(V375="","",(U377+U378))</f>
        <v>8</v>
      </c>
      <c r="W377" s="29">
        <f t="shared" si="698"/>
        <v>8</v>
      </c>
      <c r="X377" s="29">
        <f t="shared" si="698"/>
        <v>8</v>
      </c>
      <c r="Y377" s="29">
        <f t="shared" si="698"/>
        <v>8</v>
      </c>
      <c r="Z377" s="29">
        <f t="shared" si="698"/>
        <v>8</v>
      </c>
      <c r="AA377" s="29">
        <f t="shared" si="698"/>
        <v>8</v>
      </c>
      <c r="AB377" s="29">
        <f t="shared" si="698"/>
        <v>8</v>
      </c>
      <c r="AC377" s="29">
        <f t="shared" si="698"/>
        <v>8</v>
      </c>
      <c r="AD377" s="29">
        <f t="shared" si="698"/>
        <v>8</v>
      </c>
      <c r="AE377" s="29" t="str">
        <f t="shared" si="698"/>
        <v/>
      </c>
      <c r="AF377" s="29" t="str">
        <f t="shared" si="698"/>
        <v/>
      </c>
      <c r="AG377" s="29" t="str">
        <f t="shared" si="698"/>
        <v/>
      </c>
      <c r="AH377" s="29" t="str">
        <f t="shared" si="698"/>
        <v/>
      </c>
      <c r="AI377" s="29" t="str">
        <f t="shared" si="698"/>
        <v/>
      </c>
      <c r="AJ377" s="29" t="str">
        <f t="shared" si="698"/>
        <v/>
      </c>
      <c r="AK377" s="29" t="str">
        <f t="shared" si="698"/>
        <v/>
      </c>
      <c r="AL377" s="29" t="str">
        <f t="shared" si="698"/>
        <v/>
      </c>
      <c r="AM377" s="29" t="str">
        <f t="shared" si="698"/>
        <v/>
      </c>
      <c r="AN377" s="29" t="str">
        <f t="shared" si="698"/>
        <v/>
      </c>
      <c r="AO377" s="29" t="str">
        <f t="shared" si="698"/>
        <v/>
      </c>
      <c r="AP377" s="29" t="str">
        <f t="shared" ref="AP377:AR377" si="699">IF(AP375="","",(AO377+AO378))</f>
        <v/>
      </c>
      <c r="AQ377" s="29" t="str">
        <f t="shared" si="699"/>
        <v/>
      </c>
      <c r="AR377" s="29" t="str">
        <f t="shared" si="699"/>
        <v/>
      </c>
    </row>
    <row r="378" spans="1:44" s="93" customFormat="1">
      <c r="A378" s="14"/>
      <c r="B378" s="30" t="s">
        <v>7</v>
      </c>
      <c r="C378" s="65"/>
      <c r="D378" s="29"/>
      <c r="E378" s="29"/>
      <c r="F378" s="29">
        <v>4</v>
      </c>
      <c r="G378" s="122"/>
      <c r="H378" s="29"/>
      <c r="I378" s="29">
        <v>2</v>
      </c>
      <c r="J378" s="122"/>
      <c r="K378" s="29"/>
      <c r="L378" s="29"/>
      <c r="M378" s="29"/>
      <c r="N378" s="29"/>
      <c r="O378" s="29"/>
      <c r="P378" s="122"/>
      <c r="Q378" s="29"/>
      <c r="R378" s="29"/>
      <c r="S378" s="29">
        <v>4</v>
      </c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</row>
    <row r="379" spans="1:44" s="93" customFormat="1">
      <c r="A379" s="7"/>
      <c r="B379" s="30" t="s">
        <v>8</v>
      </c>
      <c r="C379" s="64">
        <v>1500</v>
      </c>
      <c r="D379" s="35">
        <f t="shared" ref="D379:AO379" si="700">IF(D375="","",C379)</f>
        <v>1500</v>
      </c>
      <c r="E379" s="35">
        <f t="shared" si="700"/>
        <v>1500</v>
      </c>
      <c r="F379" s="35">
        <f t="shared" si="700"/>
        <v>1500</v>
      </c>
      <c r="G379" s="383">
        <f t="shared" si="700"/>
        <v>1500</v>
      </c>
      <c r="H379" s="35">
        <f t="shared" si="700"/>
        <v>1500</v>
      </c>
      <c r="I379" s="35">
        <f t="shared" si="700"/>
        <v>1500</v>
      </c>
      <c r="J379" s="383">
        <f t="shared" si="700"/>
        <v>1500</v>
      </c>
      <c r="K379" s="35">
        <f t="shared" si="700"/>
        <v>1500</v>
      </c>
      <c r="L379" s="35">
        <f t="shared" si="700"/>
        <v>1500</v>
      </c>
      <c r="M379" s="35">
        <f t="shared" si="700"/>
        <v>1500</v>
      </c>
      <c r="N379" s="35">
        <f t="shared" si="700"/>
        <v>1500</v>
      </c>
      <c r="O379" s="35">
        <f t="shared" si="700"/>
        <v>1500</v>
      </c>
      <c r="P379" s="383">
        <f t="shared" si="700"/>
        <v>1500</v>
      </c>
      <c r="Q379" s="35">
        <f t="shared" si="700"/>
        <v>1500</v>
      </c>
      <c r="R379" s="35">
        <f t="shared" si="700"/>
        <v>1500</v>
      </c>
      <c r="S379" s="35">
        <f t="shared" si="700"/>
        <v>1500</v>
      </c>
      <c r="T379" s="35">
        <f t="shared" si="700"/>
        <v>1500</v>
      </c>
      <c r="U379" s="35">
        <f t="shared" si="700"/>
        <v>1500</v>
      </c>
      <c r="V379" s="35">
        <f>IF(V375="","",U379)</f>
        <v>1500</v>
      </c>
      <c r="W379" s="35">
        <f t="shared" si="700"/>
        <v>1500</v>
      </c>
      <c r="X379" s="35">
        <f t="shared" si="700"/>
        <v>1500</v>
      </c>
      <c r="Y379" s="35">
        <f t="shared" si="700"/>
        <v>1500</v>
      </c>
      <c r="Z379" s="35">
        <f t="shared" si="700"/>
        <v>1500</v>
      </c>
      <c r="AA379" s="35">
        <f t="shared" si="700"/>
        <v>1500</v>
      </c>
      <c r="AB379" s="35">
        <f t="shared" si="700"/>
        <v>1500</v>
      </c>
      <c r="AC379" s="35">
        <f t="shared" si="700"/>
        <v>1500</v>
      </c>
      <c r="AD379" s="35">
        <f t="shared" si="700"/>
        <v>1500</v>
      </c>
      <c r="AE379" s="35" t="str">
        <f t="shared" si="700"/>
        <v/>
      </c>
      <c r="AF379" s="35" t="str">
        <f t="shared" si="700"/>
        <v/>
      </c>
      <c r="AG379" s="35" t="str">
        <f t="shared" si="700"/>
        <v/>
      </c>
      <c r="AH379" s="35" t="str">
        <f t="shared" si="700"/>
        <v/>
      </c>
      <c r="AI379" s="35" t="str">
        <f t="shared" si="700"/>
        <v/>
      </c>
      <c r="AJ379" s="35" t="str">
        <f t="shared" si="700"/>
        <v/>
      </c>
      <c r="AK379" s="35" t="str">
        <f t="shared" si="700"/>
        <v/>
      </c>
      <c r="AL379" s="35" t="str">
        <f t="shared" si="700"/>
        <v/>
      </c>
      <c r="AM379" s="35" t="str">
        <f t="shared" si="700"/>
        <v/>
      </c>
      <c r="AN379" s="35" t="str">
        <f t="shared" si="700"/>
        <v/>
      </c>
      <c r="AO379" s="35" t="str">
        <f t="shared" si="700"/>
        <v/>
      </c>
      <c r="AP379" s="35" t="str">
        <f t="shared" ref="AP379:AR379" si="701">IF(AP375="","",AO379)</f>
        <v/>
      </c>
      <c r="AQ379" s="35" t="str">
        <f t="shared" si="701"/>
        <v/>
      </c>
      <c r="AR379" s="35" t="str">
        <f t="shared" si="701"/>
        <v/>
      </c>
    </row>
    <row r="380" spans="1:44" s="94" customFormat="1">
      <c r="A380" s="14" t="s">
        <v>9</v>
      </c>
      <c r="B380" s="33" t="s">
        <v>10</v>
      </c>
      <c r="C380" s="63" t="s">
        <v>77</v>
      </c>
      <c r="D380" s="32" t="str">
        <f t="shared" ref="D380:AO380" si="702">IF(D375="","",C380)</f>
        <v>ボンドロ</v>
      </c>
      <c r="E380" s="32" t="str">
        <f t="shared" si="702"/>
        <v>ボンドロ</v>
      </c>
      <c r="F380" s="32" t="str">
        <f t="shared" si="702"/>
        <v>ボンドロ</v>
      </c>
      <c r="G380" s="123" t="str">
        <f t="shared" si="702"/>
        <v>ボンドロ</v>
      </c>
      <c r="H380" s="32" t="str">
        <f t="shared" si="702"/>
        <v>ボンドロ</v>
      </c>
      <c r="I380" s="32" t="str">
        <f t="shared" si="702"/>
        <v>ボンドロ</v>
      </c>
      <c r="J380" s="123" t="str">
        <f t="shared" si="702"/>
        <v>ボンドロ</v>
      </c>
      <c r="K380" s="32" t="str">
        <f t="shared" si="702"/>
        <v>ボンドロ</v>
      </c>
      <c r="L380" s="32" t="str">
        <f t="shared" si="702"/>
        <v>ボンドロ</v>
      </c>
      <c r="M380" s="32" t="str">
        <f t="shared" si="702"/>
        <v>ボンドロ</v>
      </c>
      <c r="N380" s="32" t="str">
        <f t="shared" si="702"/>
        <v>ボンドロ</v>
      </c>
      <c r="O380" s="32" t="str">
        <f t="shared" si="702"/>
        <v>ボンドロ</v>
      </c>
      <c r="P380" s="123" t="str">
        <f t="shared" si="702"/>
        <v>ボンドロ</v>
      </c>
      <c r="Q380" s="32" t="str">
        <f t="shared" si="702"/>
        <v>ボンドロ</v>
      </c>
      <c r="R380" s="32" t="str">
        <f t="shared" si="702"/>
        <v>ボンドロ</v>
      </c>
      <c r="S380" s="32" t="str">
        <f t="shared" si="702"/>
        <v>ボンドロ</v>
      </c>
      <c r="T380" s="32" t="str">
        <f t="shared" si="702"/>
        <v>ボンドロ</v>
      </c>
      <c r="U380" s="32" t="str">
        <f t="shared" si="702"/>
        <v>ボンドロ</v>
      </c>
      <c r="V380" s="32" t="str">
        <f>IF(V375="","",U380)</f>
        <v>ボンドロ</v>
      </c>
      <c r="W380" s="32" t="str">
        <f t="shared" si="702"/>
        <v>ボンドロ</v>
      </c>
      <c r="X380" s="32" t="str">
        <f t="shared" si="702"/>
        <v>ボンドロ</v>
      </c>
      <c r="Y380" s="32" t="str">
        <f t="shared" si="702"/>
        <v>ボンドロ</v>
      </c>
      <c r="Z380" s="32" t="str">
        <f t="shared" si="702"/>
        <v>ボンドロ</v>
      </c>
      <c r="AA380" s="32" t="str">
        <f t="shared" si="702"/>
        <v>ボンドロ</v>
      </c>
      <c r="AB380" s="32" t="str">
        <f t="shared" si="702"/>
        <v>ボンドロ</v>
      </c>
      <c r="AC380" s="32" t="str">
        <f t="shared" si="702"/>
        <v>ボンドロ</v>
      </c>
      <c r="AD380" s="32" t="str">
        <f t="shared" si="702"/>
        <v>ボンドロ</v>
      </c>
      <c r="AE380" s="32" t="str">
        <f t="shared" si="702"/>
        <v/>
      </c>
      <c r="AF380" s="32" t="str">
        <f t="shared" si="702"/>
        <v/>
      </c>
      <c r="AG380" s="32" t="str">
        <f t="shared" si="702"/>
        <v/>
      </c>
      <c r="AH380" s="32" t="str">
        <f t="shared" si="702"/>
        <v/>
      </c>
      <c r="AI380" s="32" t="str">
        <f t="shared" si="702"/>
        <v/>
      </c>
      <c r="AJ380" s="32" t="str">
        <f t="shared" si="702"/>
        <v/>
      </c>
      <c r="AK380" s="32" t="str">
        <f t="shared" si="702"/>
        <v/>
      </c>
      <c r="AL380" s="32" t="str">
        <f t="shared" si="702"/>
        <v/>
      </c>
      <c r="AM380" s="32" t="str">
        <f t="shared" si="702"/>
        <v/>
      </c>
      <c r="AN380" s="32" t="str">
        <f t="shared" si="702"/>
        <v/>
      </c>
      <c r="AO380" s="32" t="str">
        <f t="shared" si="702"/>
        <v/>
      </c>
      <c r="AP380" s="32" t="str">
        <f t="shared" ref="AP380:AR380" si="703">IF(AP375="","",AO380)</f>
        <v/>
      </c>
      <c r="AQ380" s="32" t="str">
        <f t="shared" si="703"/>
        <v/>
      </c>
      <c r="AR380" s="32" t="str">
        <f t="shared" si="703"/>
        <v/>
      </c>
    </row>
    <row r="381" spans="1:44" s="93" customFormat="1">
      <c r="A381" s="7">
        <f>AVERAGE(C382:AS382)*30*100</f>
        <v>265821.42857142858</v>
      </c>
      <c r="B381" s="30" t="s">
        <v>14</v>
      </c>
      <c r="C381" s="65"/>
      <c r="D381" s="29"/>
      <c r="E381" s="29"/>
      <c r="F381" s="29"/>
      <c r="G381" s="122"/>
      <c r="H381" s="29"/>
      <c r="I381" s="29"/>
      <c r="J381" s="122"/>
      <c r="K381" s="29"/>
      <c r="L381" s="29"/>
      <c r="M381" s="29"/>
      <c r="N381" s="29"/>
      <c r="O381" s="29"/>
      <c r="P381" s="122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</row>
    <row r="382" spans="1:44" s="93" customFormat="1">
      <c r="A382" s="7">
        <f>SUM(C382:AS382)</f>
        <v>2481</v>
      </c>
      <c r="B382" s="27" t="s">
        <v>15</v>
      </c>
      <c r="C382" s="65">
        <v>0</v>
      </c>
      <c r="D382" s="26">
        <f t="shared" ref="D382:AO382" si="704">IF(D375="","",D375-C375)</f>
        <v>0</v>
      </c>
      <c r="E382" s="26">
        <f t="shared" si="704"/>
        <v>0</v>
      </c>
      <c r="F382" s="26">
        <f t="shared" si="704"/>
        <v>298</v>
      </c>
      <c r="G382" s="122">
        <f t="shared" si="704"/>
        <v>0</v>
      </c>
      <c r="H382" s="26">
        <f t="shared" si="704"/>
        <v>0</v>
      </c>
      <c r="I382" s="26">
        <f t="shared" si="704"/>
        <v>414</v>
      </c>
      <c r="J382" s="122">
        <f t="shared" si="704"/>
        <v>0</v>
      </c>
      <c r="K382" s="26">
        <f t="shared" si="704"/>
        <v>0</v>
      </c>
      <c r="L382" s="26">
        <f t="shared" si="704"/>
        <v>0</v>
      </c>
      <c r="M382" s="26">
        <f t="shared" si="704"/>
        <v>0</v>
      </c>
      <c r="N382" s="26">
        <f t="shared" si="704"/>
        <v>0</v>
      </c>
      <c r="O382" s="26">
        <f t="shared" si="704"/>
        <v>620</v>
      </c>
      <c r="P382" s="122">
        <f t="shared" si="704"/>
        <v>0</v>
      </c>
      <c r="Q382" s="26">
        <f t="shared" si="704"/>
        <v>0</v>
      </c>
      <c r="R382" s="26">
        <f t="shared" si="704"/>
        <v>0</v>
      </c>
      <c r="S382" s="26">
        <f t="shared" si="704"/>
        <v>357</v>
      </c>
      <c r="T382" s="26">
        <f t="shared" si="704"/>
        <v>0</v>
      </c>
      <c r="U382" s="26">
        <f t="shared" si="704"/>
        <v>0</v>
      </c>
      <c r="V382" s="26">
        <f>IF(V375="","",V375-U375)</f>
        <v>248</v>
      </c>
      <c r="W382" s="26">
        <f t="shared" si="704"/>
        <v>0</v>
      </c>
      <c r="X382" s="26">
        <f t="shared" si="704"/>
        <v>0</v>
      </c>
      <c r="Y382" s="26">
        <f t="shared" si="704"/>
        <v>0</v>
      </c>
      <c r="Z382" s="26">
        <f t="shared" si="704"/>
        <v>0</v>
      </c>
      <c r="AA382" s="26">
        <f t="shared" si="704"/>
        <v>347</v>
      </c>
      <c r="AB382" s="26">
        <f t="shared" si="704"/>
        <v>0</v>
      </c>
      <c r="AC382" s="26">
        <f t="shared" si="704"/>
        <v>0</v>
      </c>
      <c r="AD382" s="26">
        <f t="shared" si="704"/>
        <v>197</v>
      </c>
      <c r="AE382" s="26" t="str">
        <f t="shared" si="704"/>
        <v/>
      </c>
      <c r="AF382" s="26" t="str">
        <f t="shared" si="704"/>
        <v/>
      </c>
      <c r="AG382" s="26" t="str">
        <f t="shared" si="704"/>
        <v/>
      </c>
      <c r="AH382" s="26" t="str">
        <f t="shared" si="704"/>
        <v/>
      </c>
      <c r="AI382" s="26" t="str">
        <f t="shared" si="704"/>
        <v/>
      </c>
      <c r="AJ382" s="26" t="str">
        <f t="shared" si="704"/>
        <v/>
      </c>
      <c r="AK382" s="26" t="str">
        <f t="shared" si="704"/>
        <v/>
      </c>
      <c r="AL382" s="26" t="str">
        <f t="shared" si="704"/>
        <v/>
      </c>
      <c r="AM382" s="26" t="str">
        <f t="shared" si="704"/>
        <v/>
      </c>
      <c r="AN382" s="26" t="str">
        <f t="shared" si="704"/>
        <v/>
      </c>
      <c r="AO382" s="26" t="str">
        <f t="shared" si="704"/>
        <v/>
      </c>
      <c r="AP382" s="26" t="str">
        <f t="shared" ref="AP382:AR382" si="705">IF(AP375="","",AP375-AO375)</f>
        <v/>
      </c>
      <c r="AQ382" s="26" t="str">
        <f t="shared" si="705"/>
        <v/>
      </c>
      <c r="AR382" s="26" t="str">
        <f t="shared" si="705"/>
        <v/>
      </c>
    </row>
    <row r="383" spans="1:44" s="93" customFormat="1">
      <c r="A383" s="7">
        <f>SUM(C383:AS383)</f>
        <v>9</v>
      </c>
      <c r="B383" s="27" t="s">
        <v>16</v>
      </c>
      <c r="C383" s="65">
        <v>0</v>
      </c>
      <c r="D383" s="26">
        <f t="shared" ref="D383:AO383" si="706">IF(D376="","",D376-C376)</f>
        <v>0</v>
      </c>
      <c r="E383" s="26">
        <f t="shared" si="706"/>
        <v>0</v>
      </c>
      <c r="F383" s="26">
        <f t="shared" si="706"/>
        <v>2</v>
      </c>
      <c r="G383" s="122">
        <f t="shared" si="706"/>
        <v>0</v>
      </c>
      <c r="H383" s="26">
        <f t="shared" si="706"/>
        <v>0</v>
      </c>
      <c r="I383" s="26">
        <f t="shared" si="706"/>
        <v>2</v>
      </c>
      <c r="J383" s="122">
        <f t="shared" si="706"/>
        <v>0</v>
      </c>
      <c r="K383" s="26">
        <f t="shared" si="706"/>
        <v>0</v>
      </c>
      <c r="L383" s="26">
        <f t="shared" si="706"/>
        <v>0</v>
      </c>
      <c r="M383" s="26">
        <f t="shared" si="706"/>
        <v>0</v>
      </c>
      <c r="N383" s="26">
        <f t="shared" si="706"/>
        <v>0</v>
      </c>
      <c r="O383" s="26">
        <f t="shared" si="706"/>
        <v>1</v>
      </c>
      <c r="P383" s="122">
        <f t="shared" si="706"/>
        <v>0</v>
      </c>
      <c r="Q383" s="26">
        <f t="shared" si="706"/>
        <v>0</v>
      </c>
      <c r="R383" s="26">
        <f t="shared" si="706"/>
        <v>0</v>
      </c>
      <c r="S383" s="26">
        <f t="shared" si="706"/>
        <v>3</v>
      </c>
      <c r="T383" s="26">
        <f t="shared" si="706"/>
        <v>0</v>
      </c>
      <c r="U383" s="26">
        <f t="shared" si="706"/>
        <v>0</v>
      </c>
      <c r="V383" s="26">
        <f>IF(V376="","",V376-U376)</f>
        <v>0</v>
      </c>
      <c r="W383" s="26">
        <f t="shared" si="706"/>
        <v>0</v>
      </c>
      <c r="X383" s="26">
        <f t="shared" si="706"/>
        <v>0</v>
      </c>
      <c r="Y383" s="26">
        <f t="shared" si="706"/>
        <v>0</v>
      </c>
      <c r="Z383" s="26">
        <f t="shared" si="706"/>
        <v>0</v>
      </c>
      <c r="AA383" s="26">
        <f t="shared" si="706"/>
        <v>1</v>
      </c>
      <c r="AB383" s="26">
        <f t="shared" si="706"/>
        <v>0</v>
      </c>
      <c r="AC383" s="26">
        <f t="shared" si="706"/>
        <v>0</v>
      </c>
      <c r="AD383" s="26">
        <f t="shared" si="706"/>
        <v>0</v>
      </c>
      <c r="AE383" s="26" t="str">
        <f t="shared" si="706"/>
        <v/>
      </c>
      <c r="AF383" s="26" t="str">
        <f t="shared" si="706"/>
        <v/>
      </c>
      <c r="AG383" s="26" t="str">
        <f t="shared" si="706"/>
        <v/>
      </c>
      <c r="AH383" s="26" t="str">
        <f t="shared" si="706"/>
        <v/>
      </c>
      <c r="AI383" s="26" t="str">
        <f t="shared" si="706"/>
        <v/>
      </c>
      <c r="AJ383" s="26" t="str">
        <f t="shared" si="706"/>
        <v/>
      </c>
      <c r="AK383" s="26" t="str">
        <f t="shared" si="706"/>
        <v/>
      </c>
      <c r="AL383" s="26" t="str">
        <f t="shared" si="706"/>
        <v/>
      </c>
      <c r="AM383" s="26" t="str">
        <f t="shared" si="706"/>
        <v/>
      </c>
      <c r="AN383" s="26" t="str">
        <f t="shared" si="706"/>
        <v/>
      </c>
      <c r="AO383" s="26" t="str">
        <f t="shared" si="706"/>
        <v/>
      </c>
      <c r="AP383" s="26" t="str">
        <f t="shared" ref="AP383:AR383" si="707">IF(AP376="","",AP376-AO376)</f>
        <v/>
      </c>
      <c r="AQ383" s="26" t="str">
        <f t="shared" si="707"/>
        <v/>
      </c>
      <c r="AR383" s="26" t="str">
        <f t="shared" si="707"/>
        <v/>
      </c>
    </row>
    <row r="384" spans="1:44" s="93" customFormat="1">
      <c r="A384" s="7">
        <f>SUM(C384:AS384)</f>
        <v>8</v>
      </c>
      <c r="B384" s="27" t="s">
        <v>17</v>
      </c>
      <c r="C384" s="65">
        <v>0</v>
      </c>
      <c r="D384" s="26">
        <f t="shared" ref="D384:AO384" si="708">IF(D377="","",C377+C378-D377)</f>
        <v>0</v>
      </c>
      <c r="E384" s="26">
        <f t="shared" si="708"/>
        <v>0</v>
      </c>
      <c r="F384" s="26">
        <f t="shared" si="708"/>
        <v>2</v>
      </c>
      <c r="G384" s="122">
        <f t="shared" si="708"/>
        <v>0</v>
      </c>
      <c r="H384" s="26">
        <f t="shared" si="708"/>
        <v>0</v>
      </c>
      <c r="I384" s="26">
        <f t="shared" si="708"/>
        <v>2</v>
      </c>
      <c r="J384" s="122">
        <f t="shared" si="708"/>
        <v>0</v>
      </c>
      <c r="K384" s="26">
        <f t="shared" si="708"/>
        <v>0</v>
      </c>
      <c r="L384" s="26">
        <f t="shared" si="708"/>
        <v>0</v>
      </c>
      <c r="M384" s="26">
        <f t="shared" si="708"/>
        <v>0</v>
      </c>
      <c r="N384" s="26">
        <f t="shared" si="708"/>
        <v>0</v>
      </c>
      <c r="O384" s="26">
        <f t="shared" si="708"/>
        <v>0</v>
      </c>
      <c r="P384" s="122">
        <f t="shared" si="708"/>
        <v>0</v>
      </c>
      <c r="Q384" s="26">
        <f t="shared" si="708"/>
        <v>0</v>
      </c>
      <c r="R384" s="26">
        <f t="shared" si="708"/>
        <v>0</v>
      </c>
      <c r="S384" s="26">
        <f t="shared" si="708"/>
        <v>4</v>
      </c>
      <c r="T384" s="26">
        <f t="shared" si="708"/>
        <v>0</v>
      </c>
      <c r="U384" s="26">
        <f t="shared" si="708"/>
        <v>0</v>
      </c>
      <c r="V384" s="26">
        <f>IF(V377="","",U377+U378-V377)</f>
        <v>0</v>
      </c>
      <c r="W384" s="26">
        <f t="shared" si="708"/>
        <v>0</v>
      </c>
      <c r="X384" s="26">
        <f t="shared" si="708"/>
        <v>0</v>
      </c>
      <c r="Y384" s="26">
        <f t="shared" si="708"/>
        <v>0</v>
      </c>
      <c r="Z384" s="26">
        <f t="shared" si="708"/>
        <v>0</v>
      </c>
      <c r="AA384" s="26">
        <f t="shared" si="708"/>
        <v>0</v>
      </c>
      <c r="AB384" s="26">
        <f t="shared" si="708"/>
        <v>0</v>
      </c>
      <c r="AC384" s="26">
        <f t="shared" si="708"/>
        <v>0</v>
      </c>
      <c r="AD384" s="26">
        <f t="shared" si="708"/>
        <v>0</v>
      </c>
      <c r="AE384" s="26" t="str">
        <f t="shared" si="708"/>
        <v/>
      </c>
      <c r="AF384" s="26" t="str">
        <f t="shared" si="708"/>
        <v/>
      </c>
      <c r="AG384" s="26" t="str">
        <f t="shared" si="708"/>
        <v/>
      </c>
      <c r="AH384" s="26" t="str">
        <f t="shared" si="708"/>
        <v/>
      </c>
      <c r="AI384" s="26" t="str">
        <f t="shared" si="708"/>
        <v/>
      </c>
      <c r="AJ384" s="26" t="str">
        <f t="shared" si="708"/>
        <v/>
      </c>
      <c r="AK384" s="26" t="str">
        <f t="shared" si="708"/>
        <v/>
      </c>
      <c r="AL384" s="26" t="str">
        <f t="shared" si="708"/>
        <v/>
      </c>
      <c r="AM384" s="26" t="str">
        <f t="shared" si="708"/>
        <v/>
      </c>
      <c r="AN384" s="26" t="str">
        <f t="shared" si="708"/>
        <v/>
      </c>
      <c r="AO384" s="26" t="str">
        <f t="shared" si="708"/>
        <v/>
      </c>
      <c r="AP384" s="26" t="str">
        <f t="shared" ref="AP384:AR384" si="709">IF(AP377="","",AO377+AO378-AP377)</f>
        <v/>
      </c>
      <c r="AQ384" s="26" t="str">
        <f t="shared" si="709"/>
        <v/>
      </c>
      <c r="AR384" s="26" t="str">
        <f t="shared" si="709"/>
        <v/>
      </c>
    </row>
    <row r="385" spans="1:49" s="93" customFormat="1">
      <c r="A385" s="7">
        <f>SUM(C385:AS385)</f>
        <v>12000</v>
      </c>
      <c r="B385" s="27" t="s">
        <v>18</v>
      </c>
      <c r="C385" s="65">
        <v>0</v>
      </c>
      <c r="D385" s="26">
        <f t="shared" ref="D385:AO385" si="710">IF(D375="","",D384*D379)</f>
        <v>0</v>
      </c>
      <c r="E385" s="26">
        <f t="shared" si="710"/>
        <v>0</v>
      </c>
      <c r="F385" s="26">
        <f t="shared" si="710"/>
        <v>3000</v>
      </c>
      <c r="G385" s="122">
        <f t="shared" si="710"/>
        <v>0</v>
      </c>
      <c r="H385" s="26">
        <f t="shared" si="710"/>
        <v>0</v>
      </c>
      <c r="I385" s="26">
        <f t="shared" si="710"/>
        <v>3000</v>
      </c>
      <c r="J385" s="122">
        <f t="shared" si="710"/>
        <v>0</v>
      </c>
      <c r="K385" s="26">
        <f t="shared" si="710"/>
        <v>0</v>
      </c>
      <c r="L385" s="26">
        <f t="shared" si="710"/>
        <v>0</v>
      </c>
      <c r="M385" s="26">
        <f t="shared" si="710"/>
        <v>0</v>
      </c>
      <c r="N385" s="26">
        <f t="shared" si="710"/>
        <v>0</v>
      </c>
      <c r="O385" s="26">
        <f t="shared" si="710"/>
        <v>0</v>
      </c>
      <c r="P385" s="122">
        <f t="shared" si="710"/>
        <v>0</v>
      </c>
      <c r="Q385" s="26">
        <f t="shared" si="710"/>
        <v>0</v>
      </c>
      <c r="R385" s="26">
        <f t="shared" si="710"/>
        <v>0</v>
      </c>
      <c r="S385" s="26">
        <f t="shared" si="710"/>
        <v>6000</v>
      </c>
      <c r="T385" s="26">
        <f t="shared" si="710"/>
        <v>0</v>
      </c>
      <c r="U385" s="26">
        <f t="shared" si="710"/>
        <v>0</v>
      </c>
      <c r="V385" s="26">
        <f>IF(V375="","",V384*V379)</f>
        <v>0</v>
      </c>
      <c r="W385" s="26">
        <f t="shared" si="710"/>
        <v>0</v>
      </c>
      <c r="X385" s="26">
        <f t="shared" si="710"/>
        <v>0</v>
      </c>
      <c r="Y385" s="26">
        <f t="shared" si="710"/>
        <v>0</v>
      </c>
      <c r="Z385" s="26">
        <f t="shared" si="710"/>
        <v>0</v>
      </c>
      <c r="AA385" s="26">
        <f t="shared" si="710"/>
        <v>0</v>
      </c>
      <c r="AB385" s="26">
        <f t="shared" si="710"/>
        <v>0</v>
      </c>
      <c r="AC385" s="26">
        <f t="shared" si="710"/>
        <v>0</v>
      </c>
      <c r="AD385" s="26">
        <f t="shared" si="710"/>
        <v>0</v>
      </c>
      <c r="AE385" s="26" t="str">
        <f t="shared" si="710"/>
        <v/>
      </c>
      <c r="AF385" s="26" t="str">
        <f t="shared" si="710"/>
        <v/>
      </c>
      <c r="AG385" s="26" t="str">
        <f t="shared" si="710"/>
        <v/>
      </c>
      <c r="AH385" s="26" t="str">
        <f t="shared" si="710"/>
        <v/>
      </c>
      <c r="AI385" s="26" t="str">
        <f t="shared" si="710"/>
        <v/>
      </c>
      <c r="AJ385" s="26" t="str">
        <f t="shared" si="710"/>
        <v/>
      </c>
      <c r="AK385" s="26" t="str">
        <f t="shared" si="710"/>
        <v/>
      </c>
      <c r="AL385" s="26" t="str">
        <f t="shared" si="710"/>
        <v/>
      </c>
      <c r="AM385" s="26" t="str">
        <f t="shared" si="710"/>
        <v/>
      </c>
      <c r="AN385" s="26" t="str">
        <f t="shared" si="710"/>
        <v/>
      </c>
      <c r="AO385" s="26" t="str">
        <f t="shared" si="710"/>
        <v/>
      </c>
      <c r="AP385" s="26" t="str">
        <f t="shared" ref="AP385:AR385" si="711">IF(AP375="","",AP384*AP379)</f>
        <v/>
      </c>
      <c r="AQ385" s="26" t="str">
        <f t="shared" si="711"/>
        <v/>
      </c>
      <c r="AR385" s="26" t="str">
        <f t="shared" si="711"/>
        <v/>
      </c>
      <c r="AS385" s="1"/>
      <c r="AT385" s="1"/>
      <c r="AU385" s="1"/>
      <c r="AV385" s="1"/>
      <c r="AW385" s="1"/>
    </row>
    <row r="386" spans="1:49" s="93" customFormat="1" ht="12" thickBot="1">
      <c r="A386" s="4">
        <f>IF(A385="","",A385/(A382*100))</f>
        <v>4.8367593712212817E-2</v>
      </c>
      <c r="B386" s="24" t="s">
        <v>20</v>
      </c>
      <c r="C386" s="67" t="s">
        <v>21</v>
      </c>
      <c r="D386" s="23" t="str">
        <f t="shared" ref="D386:AO386" si="712">IF(D385="","",IF(D385=0,"",D385/(D382*100)))</f>
        <v/>
      </c>
      <c r="E386" s="23" t="str">
        <f t="shared" si="712"/>
        <v/>
      </c>
      <c r="F386" s="23">
        <f t="shared" si="712"/>
        <v>0.10067114093959731</v>
      </c>
      <c r="G386" s="124" t="str">
        <f t="shared" si="712"/>
        <v/>
      </c>
      <c r="H386" s="23" t="str">
        <f t="shared" si="712"/>
        <v/>
      </c>
      <c r="I386" s="23">
        <f t="shared" si="712"/>
        <v>7.2463768115942032E-2</v>
      </c>
      <c r="J386" s="124" t="str">
        <f t="shared" si="712"/>
        <v/>
      </c>
      <c r="K386" s="23" t="str">
        <f t="shared" si="712"/>
        <v/>
      </c>
      <c r="L386" s="23" t="str">
        <f t="shared" si="712"/>
        <v/>
      </c>
      <c r="M386" s="23" t="str">
        <f t="shared" si="712"/>
        <v/>
      </c>
      <c r="N386" s="23" t="str">
        <f t="shared" si="712"/>
        <v/>
      </c>
      <c r="O386" s="23" t="str">
        <f t="shared" si="712"/>
        <v/>
      </c>
      <c r="P386" s="124" t="str">
        <f t="shared" si="712"/>
        <v/>
      </c>
      <c r="Q386" s="23" t="str">
        <f t="shared" si="712"/>
        <v/>
      </c>
      <c r="R386" s="23" t="str">
        <f t="shared" si="712"/>
        <v/>
      </c>
      <c r="S386" s="23">
        <f t="shared" si="712"/>
        <v>0.16806722689075632</v>
      </c>
      <c r="T386" s="23" t="str">
        <f t="shared" si="712"/>
        <v/>
      </c>
      <c r="U386" s="23" t="str">
        <f t="shared" si="712"/>
        <v/>
      </c>
      <c r="V386" s="23" t="str">
        <f>IF(V385="","",IF(V385=0,"",V385/(V382*100)))</f>
        <v/>
      </c>
      <c r="W386" s="23" t="str">
        <f t="shared" si="712"/>
        <v/>
      </c>
      <c r="X386" s="23" t="str">
        <f t="shared" si="712"/>
        <v/>
      </c>
      <c r="Y386" s="23" t="str">
        <f t="shared" si="712"/>
        <v/>
      </c>
      <c r="Z386" s="23" t="str">
        <f t="shared" si="712"/>
        <v/>
      </c>
      <c r="AA386" s="23" t="str">
        <f>IF(AA385="","",IF(AA385=0,"",AA385/(AA382*100)))</f>
        <v/>
      </c>
      <c r="AB386" s="23" t="str">
        <f t="shared" si="712"/>
        <v/>
      </c>
      <c r="AC386" s="23" t="str">
        <f t="shared" si="712"/>
        <v/>
      </c>
      <c r="AD386" s="23" t="str">
        <f t="shared" si="712"/>
        <v/>
      </c>
      <c r="AE386" s="23" t="str">
        <f t="shared" si="712"/>
        <v/>
      </c>
      <c r="AF386" s="23" t="str">
        <f t="shared" si="712"/>
        <v/>
      </c>
      <c r="AG386" s="23" t="str">
        <f t="shared" si="712"/>
        <v/>
      </c>
      <c r="AH386" s="23" t="str">
        <f t="shared" si="712"/>
        <v/>
      </c>
      <c r="AI386" s="23" t="str">
        <f t="shared" si="712"/>
        <v/>
      </c>
      <c r="AJ386" s="23" t="str">
        <f t="shared" si="712"/>
        <v/>
      </c>
      <c r="AK386" s="23" t="str">
        <f t="shared" si="712"/>
        <v/>
      </c>
      <c r="AL386" s="23" t="str">
        <f t="shared" si="712"/>
        <v/>
      </c>
      <c r="AM386" s="23" t="str">
        <f t="shared" si="712"/>
        <v/>
      </c>
      <c r="AN386" s="23" t="str">
        <f t="shared" si="712"/>
        <v/>
      </c>
      <c r="AO386" s="23" t="str">
        <f t="shared" si="712"/>
        <v/>
      </c>
      <c r="AP386" s="23" t="str">
        <f t="shared" ref="AP386:AR386" si="713">IF(AP385="","",IF(AP385=0,"",AP385/(AP382*100)))</f>
        <v/>
      </c>
      <c r="AQ386" s="23" t="str">
        <f t="shared" si="713"/>
        <v/>
      </c>
      <c r="AR386" s="23" t="str">
        <f t="shared" si="713"/>
        <v/>
      </c>
      <c r="AS386" s="1"/>
      <c r="AT386" s="1"/>
      <c r="AU386" s="1"/>
      <c r="AV386" s="1"/>
      <c r="AW386" s="1"/>
    </row>
    <row r="387" spans="1:49" s="1" customFormat="1">
      <c r="A387" s="40" t="s">
        <v>214</v>
      </c>
      <c r="B387" s="39" t="s">
        <v>2</v>
      </c>
      <c r="C387" s="66">
        <v>664</v>
      </c>
      <c r="D387" s="38">
        <f>IF(D$279="","",C387)</f>
        <v>664</v>
      </c>
      <c r="E387" s="38">
        <f>IF(E$279="","",D387)</f>
        <v>664</v>
      </c>
      <c r="F387" s="38">
        <v>758</v>
      </c>
      <c r="G387" s="121">
        <f>IF(G$279="","",F387)</f>
        <v>758</v>
      </c>
      <c r="H387" s="38">
        <f>IF(H$279="","",G387)</f>
        <v>758</v>
      </c>
      <c r="I387" s="38">
        <v>849</v>
      </c>
      <c r="J387" s="121">
        <f t="shared" ref="J387:N388" si="714">IF(J$279="","",I387)</f>
        <v>849</v>
      </c>
      <c r="K387" s="38">
        <f t="shared" si="714"/>
        <v>849</v>
      </c>
      <c r="L387" s="38">
        <f t="shared" si="714"/>
        <v>849</v>
      </c>
      <c r="M387" s="38">
        <f t="shared" si="714"/>
        <v>849</v>
      </c>
      <c r="N387" s="38">
        <f t="shared" si="714"/>
        <v>849</v>
      </c>
      <c r="O387" s="38">
        <v>966</v>
      </c>
      <c r="P387" s="121">
        <f t="shared" ref="P387:AO387" si="715">IF(P$279="","",O387)</f>
        <v>966</v>
      </c>
      <c r="Q387" s="38">
        <f t="shared" si="715"/>
        <v>966</v>
      </c>
      <c r="R387" s="38">
        <f t="shared" si="715"/>
        <v>966</v>
      </c>
      <c r="S387" s="38">
        <v>1010</v>
      </c>
      <c r="T387" s="38">
        <f t="shared" si="715"/>
        <v>1010</v>
      </c>
      <c r="U387" s="38">
        <f t="shared" si="715"/>
        <v>1010</v>
      </c>
      <c r="V387" s="38">
        <v>1039</v>
      </c>
      <c r="W387" s="38">
        <f t="shared" si="715"/>
        <v>1039</v>
      </c>
      <c r="X387" s="38">
        <f t="shared" si="715"/>
        <v>1039</v>
      </c>
      <c r="Y387" s="38">
        <f t="shared" si="715"/>
        <v>1039</v>
      </c>
      <c r="Z387" s="38">
        <f t="shared" si="715"/>
        <v>1039</v>
      </c>
      <c r="AA387" s="38">
        <v>1154</v>
      </c>
      <c r="AB387" s="38">
        <f t="shared" si="715"/>
        <v>1154</v>
      </c>
      <c r="AC387" s="38">
        <f t="shared" si="715"/>
        <v>1154</v>
      </c>
      <c r="AD387" s="38">
        <v>1247</v>
      </c>
      <c r="AE387" s="38" t="str">
        <f t="shared" si="715"/>
        <v/>
      </c>
      <c r="AF387" s="38" t="str">
        <f t="shared" si="715"/>
        <v/>
      </c>
      <c r="AG387" s="38" t="str">
        <f t="shared" si="715"/>
        <v/>
      </c>
      <c r="AH387" s="38" t="str">
        <f t="shared" si="715"/>
        <v/>
      </c>
      <c r="AI387" s="38" t="str">
        <f t="shared" si="715"/>
        <v/>
      </c>
      <c r="AJ387" s="38" t="str">
        <f t="shared" si="715"/>
        <v/>
      </c>
      <c r="AK387" s="38" t="str">
        <f t="shared" si="715"/>
        <v/>
      </c>
      <c r="AL387" s="38" t="str">
        <f t="shared" si="715"/>
        <v/>
      </c>
      <c r="AM387" s="38" t="str">
        <f t="shared" si="715"/>
        <v/>
      </c>
      <c r="AN387" s="38" t="str">
        <f t="shared" si="715"/>
        <v/>
      </c>
      <c r="AO387" s="38" t="str">
        <f t="shared" si="715"/>
        <v/>
      </c>
      <c r="AP387" s="38" t="str">
        <f t="shared" ref="AP387:AR387" si="716">IF(AP$279="","",AO387)</f>
        <v/>
      </c>
      <c r="AQ387" s="38" t="str">
        <f t="shared" si="716"/>
        <v/>
      </c>
      <c r="AR387" s="38" t="str">
        <f t="shared" si="716"/>
        <v/>
      </c>
    </row>
    <row r="388" spans="1:49" s="1" customFormat="1">
      <c r="A388" s="37" t="s">
        <v>79</v>
      </c>
      <c r="B388" s="30" t="s">
        <v>4</v>
      </c>
      <c r="C388" s="65">
        <v>11</v>
      </c>
      <c r="D388" s="29">
        <f>IF(D$279="","",C388)</f>
        <v>11</v>
      </c>
      <c r="E388" s="29">
        <f>IF(E$279="","",D388)</f>
        <v>11</v>
      </c>
      <c r="F388" s="29">
        <v>12</v>
      </c>
      <c r="G388" s="122">
        <f>IF(G$279="","",F388)</f>
        <v>12</v>
      </c>
      <c r="H388" s="29">
        <f>IF(H$279="","",G388)</f>
        <v>12</v>
      </c>
      <c r="I388" s="29">
        <v>16</v>
      </c>
      <c r="J388" s="122">
        <f t="shared" si="714"/>
        <v>16</v>
      </c>
      <c r="K388" s="29">
        <f t="shared" si="714"/>
        <v>16</v>
      </c>
      <c r="L388" s="29">
        <f t="shared" si="714"/>
        <v>16</v>
      </c>
      <c r="M388" s="29">
        <f t="shared" si="714"/>
        <v>16</v>
      </c>
      <c r="N388" s="29">
        <f t="shared" si="714"/>
        <v>16</v>
      </c>
      <c r="O388" s="29">
        <v>20</v>
      </c>
      <c r="P388" s="122">
        <f t="shared" ref="P388:AO388" si="717">IF(P$279="","",O388)</f>
        <v>20</v>
      </c>
      <c r="Q388" s="29">
        <f t="shared" si="717"/>
        <v>20</v>
      </c>
      <c r="R388" s="29">
        <f t="shared" si="717"/>
        <v>20</v>
      </c>
      <c r="S388" s="29">
        <v>21</v>
      </c>
      <c r="T388" s="29">
        <f t="shared" si="717"/>
        <v>21</v>
      </c>
      <c r="U388" s="29">
        <f t="shared" si="717"/>
        <v>21</v>
      </c>
      <c r="V388" s="29">
        <v>21</v>
      </c>
      <c r="W388" s="29">
        <f t="shared" si="717"/>
        <v>21</v>
      </c>
      <c r="X388" s="29">
        <f t="shared" si="717"/>
        <v>21</v>
      </c>
      <c r="Y388" s="29">
        <f t="shared" si="717"/>
        <v>21</v>
      </c>
      <c r="Z388" s="29">
        <f t="shared" si="717"/>
        <v>21</v>
      </c>
      <c r="AA388" s="29">
        <v>24</v>
      </c>
      <c r="AB388" s="29">
        <f t="shared" si="717"/>
        <v>24</v>
      </c>
      <c r="AC388" s="29">
        <f t="shared" si="717"/>
        <v>24</v>
      </c>
      <c r="AD388" s="29">
        <v>25</v>
      </c>
      <c r="AE388" s="29" t="str">
        <f t="shared" si="717"/>
        <v/>
      </c>
      <c r="AF388" s="29" t="str">
        <f t="shared" si="717"/>
        <v/>
      </c>
      <c r="AG388" s="29" t="str">
        <f t="shared" si="717"/>
        <v/>
      </c>
      <c r="AH388" s="29" t="str">
        <f t="shared" si="717"/>
        <v/>
      </c>
      <c r="AI388" s="29" t="str">
        <f t="shared" si="717"/>
        <v/>
      </c>
      <c r="AJ388" s="29" t="str">
        <f t="shared" si="717"/>
        <v/>
      </c>
      <c r="AK388" s="29" t="str">
        <f t="shared" si="717"/>
        <v/>
      </c>
      <c r="AL388" s="29" t="str">
        <f t="shared" si="717"/>
        <v/>
      </c>
      <c r="AM388" s="29" t="str">
        <f t="shared" si="717"/>
        <v/>
      </c>
      <c r="AN388" s="29" t="str">
        <f t="shared" si="717"/>
        <v/>
      </c>
      <c r="AO388" s="29" t="str">
        <f t="shared" si="717"/>
        <v/>
      </c>
      <c r="AP388" s="29" t="str">
        <f t="shared" ref="AP388:AR388" si="718">IF(AP$279="","",AO388)</f>
        <v/>
      </c>
      <c r="AQ388" s="29" t="str">
        <f t="shared" si="718"/>
        <v/>
      </c>
      <c r="AR388" s="29" t="str">
        <f t="shared" si="718"/>
        <v/>
      </c>
    </row>
    <row r="389" spans="1:49" s="1" customFormat="1">
      <c r="A389" s="34"/>
      <c r="B389" s="30" t="s">
        <v>5</v>
      </c>
      <c r="C389" s="65">
        <v>5</v>
      </c>
      <c r="D389" s="29">
        <f>IF(D387="","",(C389+C390))</f>
        <v>5</v>
      </c>
      <c r="E389" s="29">
        <f>IF(E387="","",(D389+D390))</f>
        <v>5</v>
      </c>
      <c r="F389" s="29">
        <f>IF(F387="","",(E389+E390))</f>
        <v>5</v>
      </c>
      <c r="G389" s="122">
        <f>IF(G387="","",(F389+F390))</f>
        <v>17</v>
      </c>
      <c r="H389" s="29">
        <f>IF(H387="","",(G389+G390))</f>
        <v>17</v>
      </c>
      <c r="I389" s="29">
        <v>11</v>
      </c>
      <c r="J389" s="122">
        <f>IF(J387="","",(I389+I390))</f>
        <v>11</v>
      </c>
      <c r="K389" s="29">
        <f>IF(K387="","",(J389+J390))</f>
        <v>11</v>
      </c>
      <c r="L389" s="29">
        <f>IF(L387="","",(K389+K390))</f>
        <v>11</v>
      </c>
      <c r="M389" s="29">
        <f>IF(M387="","",(L389+L390))</f>
        <v>11</v>
      </c>
      <c r="N389" s="29">
        <f>IF(N387="","",(M389+M390))</f>
        <v>11</v>
      </c>
      <c r="O389" s="29">
        <v>6</v>
      </c>
      <c r="P389" s="122">
        <f t="shared" ref="P389:AO389" si="719">IF(P387="","",(O389+O390))</f>
        <v>6</v>
      </c>
      <c r="Q389" s="29">
        <f t="shared" si="719"/>
        <v>6</v>
      </c>
      <c r="R389" s="29">
        <f t="shared" si="719"/>
        <v>6</v>
      </c>
      <c r="S389" s="29">
        <v>4</v>
      </c>
      <c r="T389" s="29">
        <f t="shared" si="719"/>
        <v>4</v>
      </c>
      <c r="U389" s="29">
        <f t="shared" si="719"/>
        <v>4</v>
      </c>
      <c r="V389" s="29">
        <f>IF(V387="","",(U389+U390))</f>
        <v>4</v>
      </c>
      <c r="W389" s="29">
        <f t="shared" si="719"/>
        <v>6</v>
      </c>
      <c r="X389" s="29">
        <f t="shared" si="719"/>
        <v>6</v>
      </c>
      <c r="Y389" s="29">
        <f t="shared" si="719"/>
        <v>6</v>
      </c>
      <c r="Z389" s="29">
        <f t="shared" si="719"/>
        <v>6</v>
      </c>
      <c r="AA389" s="29">
        <v>4</v>
      </c>
      <c r="AB389" s="29">
        <f t="shared" si="719"/>
        <v>6</v>
      </c>
      <c r="AC389" s="29">
        <f t="shared" si="719"/>
        <v>6</v>
      </c>
      <c r="AD389" s="29">
        <f>IF(AD387="","",(AC389+AC390))</f>
        <v>6</v>
      </c>
      <c r="AE389" s="29" t="str">
        <f t="shared" si="719"/>
        <v/>
      </c>
      <c r="AF389" s="29" t="str">
        <f t="shared" si="719"/>
        <v/>
      </c>
      <c r="AG389" s="29" t="str">
        <f t="shared" si="719"/>
        <v/>
      </c>
      <c r="AH389" s="29" t="str">
        <f t="shared" si="719"/>
        <v/>
      </c>
      <c r="AI389" s="29" t="str">
        <f t="shared" si="719"/>
        <v/>
      </c>
      <c r="AJ389" s="29" t="str">
        <f t="shared" si="719"/>
        <v/>
      </c>
      <c r="AK389" s="29" t="str">
        <f t="shared" si="719"/>
        <v/>
      </c>
      <c r="AL389" s="29" t="str">
        <f t="shared" si="719"/>
        <v/>
      </c>
      <c r="AM389" s="29" t="str">
        <f t="shared" si="719"/>
        <v/>
      </c>
      <c r="AN389" s="29" t="str">
        <f t="shared" si="719"/>
        <v/>
      </c>
      <c r="AO389" s="29" t="str">
        <f t="shared" si="719"/>
        <v/>
      </c>
      <c r="AP389" s="29" t="str">
        <f t="shared" ref="AP389:AR389" si="720">IF(AP387="","",(AO389+AO390))</f>
        <v/>
      </c>
      <c r="AQ389" s="29" t="str">
        <f t="shared" si="720"/>
        <v/>
      </c>
      <c r="AR389" s="29" t="str">
        <f t="shared" si="720"/>
        <v/>
      </c>
    </row>
    <row r="390" spans="1:49" s="1" customFormat="1">
      <c r="A390" s="14"/>
      <c r="B390" s="30" t="s">
        <v>7</v>
      </c>
      <c r="C390" s="65"/>
      <c r="D390" s="29"/>
      <c r="E390" s="29"/>
      <c r="F390" s="29">
        <v>12</v>
      </c>
      <c r="G390" s="122"/>
      <c r="H390" s="29"/>
      <c r="I390" s="29"/>
      <c r="J390" s="122"/>
      <c r="K390" s="29"/>
      <c r="L390" s="29"/>
      <c r="M390" s="29"/>
      <c r="N390" s="29"/>
      <c r="O390" s="29"/>
      <c r="P390" s="122"/>
      <c r="Q390" s="29"/>
      <c r="R390" s="29"/>
      <c r="S390" s="29"/>
      <c r="T390" s="29"/>
      <c r="U390" s="29"/>
      <c r="V390" s="29">
        <v>2</v>
      </c>
      <c r="W390" s="29"/>
      <c r="X390" s="29"/>
      <c r="Y390" s="29"/>
      <c r="Z390" s="29"/>
      <c r="AA390" s="29">
        <v>2</v>
      </c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</row>
    <row r="391" spans="1:49" s="1" customFormat="1">
      <c r="A391" s="7"/>
      <c r="B391" s="30" t="s">
        <v>8</v>
      </c>
      <c r="C391" s="64">
        <v>750</v>
      </c>
      <c r="D391" s="35">
        <f t="shared" ref="D391:AO391" si="721">IF(D387="","",C391)</f>
        <v>750</v>
      </c>
      <c r="E391" s="35">
        <f t="shared" si="721"/>
        <v>750</v>
      </c>
      <c r="F391" s="35">
        <f t="shared" si="721"/>
        <v>750</v>
      </c>
      <c r="G391" s="383">
        <f t="shared" si="721"/>
        <v>750</v>
      </c>
      <c r="H391" s="35">
        <f t="shared" si="721"/>
        <v>750</v>
      </c>
      <c r="I391" s="35">
        <f t="shared" si="721"/>
        <v>750</v>
      </c>
      <c r="J391" s="383">
        <f t="shared" si="721"/>
        <v>750</v>
      </c>
      <c r="K391" s="35">
        <f t="shared" si="721"/>
        <v>750</v>
      </c>
      <c r="L391" s="35">
        <f t="shared" si="721"/>
        <v>750</v>
      </c>
      <c r="M391" s="35">
        <f t="shared" si="721"/>
        <v>750</v>
      </c>
      <c r="N391" s="35">
        <f t="shared" si="721"/>
        <v>750</v>
      </c>
      <c r="O391" s="35">
        <f t="shared" si="721"/>
        <v>750</v>
      </c>
      <c r="P391" s="383">
        <f t="shared" si="721"/>
        <v>750</v>
      </c>
      <c r="Q391" s="35">
        <f t="shared" si="721"/>
        <v>750</v>
      </c>
      <c r="R391" s="35">
        <f t="shared" si="721"/>
        <v>750</v>
      </c>
      <c r="S391" s="35">
        <f t="shared" si="721"/>
        <v>750</v>
      </c>
      <c r="T391" s="35">
        <f t="shared" si="721"/>
        <v>750</v>
      </c>
      <c r="U391" s="35">
        <f t="shared" si="721"/>
        <v>750</v>
      </c>
      <c r="V391" s="35">
        <f>IF(V387="","",U391)</f>
        <v>750</v>
      </c>
      <c r="W391" s="35">
        <f t="shared" si="721"/>
        <v>750</v>
      </c>
      <c r="X391" s="35">
        <f t="shared" si="721"/>
        <v>750</v>
      </c>
      <c r="Y391" s="35">
        <f t="shared" si="721"/>
        <v>750</v>
      </c>
      <c r="Z391" s="35">
        <f t="shared" si="721"/>
        <v>750</v>
      </c>
      <c r="AA391" s="35">
        <f t="shared" si="721"/>
        <v>750</v>
      </c>
      <c r="AB391" s="35">
        <f t="shared" si="721"/>
        <v>750</v>
      </c>
      <c r="AC391" s="35">
        <f t="shared" si="721"/>
        <v>750</v>
      </c>
      <c r="AD391" s="35">
        <f t="shared" si="721"/>
        <v>750</v>
      </c>
      <c r="AE391" s="35" t="str">
        <f t="shared" si="721"/>
        <v/>
      </c>
      <c r="AF391" s="35" t="str">
        <f t="shared" si="721"/>
        <v/>
      </c>
      <c r="AG391" s="35" t="str">
        <f t="shared" si="721"/>
        <v/>
      </c>
      <c r="AH391" s="35" t="str">
        <f t="shared" si="721"/>
        <v/>
      </c>
      <c r="AI391" s="35" t="str">
        <f t="shared" si="721"/>
        <v/>
      </c>
      <c r="AJ391" s="35" t="str">
        <f t="shared" si="721"/>
        <v/>
      </c>
      <c r="AK391" s="35" t="str">
        <f t="shared" si="721"/>
        <v/>
      </c>
      <c r="AL391" s="35" t="str">
        <f t="shared" si="721"/>
        <v/>
      </c>
      <c r="AM391" s="35" t="str">
        <f t="shared" si="721"/>
        <v/>
      </c>
      <c r="AN391" s="35" t="str">
        <f t="shared" si="721"/>
        <v/>
      </c>
      <c r="AO391" s="35" t="str">
        <f t="shared" si="721"/>
        <v/>
      </c>
      <c r="AP391" s="35" t="str">
        <f t="shared" ref="AP391:AR391" si="722">IF(AP387="","",AO391)</f>
        <v/>
      </c>
      <c r="AQ391" s="35" t="str">
        <f t="shared" si="722"/>
        <v/>
      </c>
      <c r="AR391" s="35" t="str">
        <f t="shared" si="722"/>
        <v/>
      </c>
    </row>
    <row r="392" spans="1:49" s="94" customFormat="1">
      <c r="A392" s="14" t="s">
        <v>9</v>
      </c>
      <c r="B392" s="33" t="s">
        <v>10</v>
      </c>
      <c r="C392" s="63" t="s">
        <v>75</v>
      </c>
      <c r="D392" s="32" t="str">
        <f t="shared" ref="D392:AO392" si="723">IF(D387="","",C392)</f>
        <v>ルララ</v>
      </c>
      <c r="E392" s="32" t="str">
        <f t="shared" si="723"/>
        <v>ルララ</v>
      </c>
      <c r="F392" s="32" t="str">
        <f t="shared" si="723"/>
        <v>ルララ</v>
      </c>
      <c r="G392" s="123" t="str">
        <f t="shared" si="723"/>
        <v>ルララ</v>
      </c>
      <c r="H392" s="32" t="str">
        <f t="shared" si="723"/>
        <v>ルララ</v>
      </c>
      <c r="I392" s="32" t="str">
        <f t="shared" si="723"/>
        <v>ルララ</v>
      </c>
      <c r="J392" s="123" t="str">
        <f t="shared" si="723"/>
        <v>ルララ</v>
      </c>
      <c r="K392" s="32" t="str">
        <f t="shared" si="723"/>
        <v>ルララ</v>
      </c>
      <c r="L392" s="32" t="str">
        <f t="shared" si="723"/>
        <v>ルララ</v>
      </c>
      <c r="M392" s="32" t="str">
        <f t="shared" si="723"/>
        <v>ルララ</v>
      </c>
      <c r="N392" s="32" t="str">
        <f t="shared" si="723"/>
        <v>ルララ</v>
      </c>
      <c r="O392" s="32" t="str">
        <f t="shared" si="723"/>
        <v>ルララ</v>
      </c>
      <c r="P392" s="123" t="str">
        <f t="shared" si="723"/>
        <v>ルララ</v>
      </c>
      <c r="Q392" s="32" t="str">
        <f t="shared" si="723"/>
        <v>ルララ</v>
      </c>
      <c r="R392" s="32" t="str">
        <f t="shared" si="723"/>
        <v>ルララ</v>
      </c>
      <c r="S392" s="32" t="str">
        <f t="shared" si="723"/>
        <v>ルララ</v>
      </c>
      <c r="T392" s="32" t="str">
        <f t="shared" si="723"/>
        <v>ルララ</v>
      </c>
      <c r="U392" s="32" t="str">
        <f t="shared" si="723"/>
        <v>ルララ</v>
      </c>
      <c r="V392" s="32" t="str">
        <f>IF(V387="","",U392)</f>
        <v>ルララ</v>
      </c>
      <c r="W392" s="32" t="str">
        <f t="shared" si="723"/>
        <v>ルララ</v>
      </c>
      <c r="X392" s="32" t="str">
        <f t="shared" si="723"/>
        <v>ルララ</v>
      </c>
      <c r="Y392" s="32" t="str">
        <f t="shared" si="723"/>
        <v>ルララ</v>
      </c>
      <c r="Z392" s="32" t="str">
        <f t="shared" si="723"/>
        <v>ルララ</v>
      </c>
      <c r="AA392" s="32" t="str">
        <f t="shared" si="723"/>
        <v>ルララ</v>
      </c>
      <c r="AB392" s="32" t="str">
        <f t="shared" si="723"/>
        <v>ルララ</v>
      </c>
      <c r="AC392" s="32" t="str">
        <f t="shared" si="723"/>
        <v>ルララ</v>
      </c>
      <c r="AD392" s="32" t="str">
        <f t="shared" si="723"/>
        <v>ルララ</v>
      </c>
      <c r="AE392" s="32" t="str">
        <f t="shared" si="723"/>
        <v/>
      </c>
      <c r="AF392" s="32" t="str">
        <f t="shared" si="723"/>
        <v/>
      </c>
      <c r="AG392" s="32" t="str">
        <f t="shared" si="723"/>
        <v/>
      </c>
      <c r="AH392" s="32" t="str">
        <f t="shared" si="723"/>
        <v/>
      </c>
      <c r="AI392" s="32" t="str">
        <f t="shared" si="723"/>
        <v/>
      </c>
      <c r="AJ392" s="32" t="str">
        <f t="shared" si="723"/>
        <v/>
      </c>
      <c r="AK392" s="32" t="str">
        <f t="shared" si="723"/>
        <v/>
      </c>
      <c r="AL392" s="32" t="str">
        <f t="shared" si="723"/>
        <v/>
      </c>
      <c r="AM392" s="32" t="str">
        <f t="shared" si="723"/>
        <v/>
      </c>
      <c r="AN392" s="32" t="str">
        <f t="shared" si="723"/>
        <v/>
      </c>
      <c r="AO392" s="32" t="str">
        <f t="shared" si="723"/>
        <v/>
      </c>
      <c r="AP392" s="32" t="str">
        <f t="shared" ref="AP392:AR392" si="724">IF(AP387="","",AO392)</f>
        <v/>
      </c>
      <c r="AQ392" s="32" t="str">
        <f t="shared" si="724"/>
        <v/>
      </c>
      <c r="AR392" s="32" t="str">
        <f t="shared" si="724"/>
        <v/>
      </c>
      <c r="AS392" s="11"/>
      <c r="AT392" s="11"/>
      <c r="AU392" s="11"/>
      <c r="AV392" s="11"/>
      <c r="AW392" s="11"/>
    </row>
    <row r="393" spans="1:49" s="1" customFormat="1">
      <c r="A393" s="7">
        <f>AVERAGE(C394:AS394)*30*100</f>
        <v>62464.285714285725</v>
      </c>
      <c r="B393" s="30" t="s">
        <v>14</v>
      </c>
      <c r="C393" s="65"/>
      <c r="D393" s="29"/>
      <c r="E393" s="29"/>
      <c r="F393" s="29"/>
      <c r="G393" s="122"/>
      <c r="H393" s="29"/>
      <c r="I393" s="29"/>
      <c r="J393" s="122"/>
      <c r="K393" s="29"/>
      <c r="L393" s="29"/>
      <c r="M393" s="29"/>
      <c r="N393" s="29"/>
      <c r="O393" s="29"/>
      <c r="P393" s="122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</row>
    <row r="394" spans="1:49" s="1" customFormat="1">
      <c r="A394" s="7">
        <f>SUM(C394:AS394)</f>
        <v>583</v>
      </c>
      <c r="B394" s="27" t="s">
        <v>15</v>
      </c>
      <c r="C394" s="65">
        <v>0</v>
      </c>
      <c r="D394" s="26">
        <f t="shared" ref="D394:AO394" si="725">IF(D387="","",D387-C387)</f>
        <v>0</v>
      </c>
      <c r="E394" s="26">
        <f t="shared" si="725"/>
        <v>0</v>
      </c>
      <c r="F394" s="26">
        <f t="shared" si="725"/>
        <v>94</v>
      </c>
      <c r="G394" s="122">
        <f t="shared" si="725"/>
        <v>0</v>
      </c>
      <c r="H394" s="26">
        <f t="shared" si="725"/>
        <v>0</v>
      </c>
      <c r="I394" s="26">
        <f t="shared" si="725"/>
        <v>91</v>
      </c>
      <c r="J394" s="122">
        <f t="shared" si="725"/>
        <v>0</v>
      </c>
      <c r="K394" s="26">
        <f t="shared" si="725"/>
        <v>0</v>
      </c>
      <c r="L394" s="26">
        <f t="shared" si="725"/>
        <v>0</v>
      </c>
      <c r="M394" s="26">
        <f t="shared" si="725"/>
        <v>0</v>
      </c>
      <c r="N394" s="26">
        <f t="shared" si="725"/>
        <v>0</v>
      </c>
      <c r="O394" s="26">
        <f t="shared" si="725"/>
        <v>117</v>
      </c>
      <c r="P394" s="122">
        <f t="shared" si="725"/>
        <v>0</v>
      </c>
      <c r="Q394" s="26">
        <f t="shared" si="725"/>
        <v>0</v>
      </c>
      <c r="R394" s="26">
        <f t="shared" si="725"/>
        <v>0</v>
      </c>
      <c r="S394" s="26">
        <f t="shared" si="725"/>
        <v>44</v>
      </c>
      <c r="T394" s="26">
        <f t="shared" si="725"/>
        <v>0</v>
      </c>
      <c r="U394" s="26">
        <f t="shared" si="725"/>
        <v>0</v>
      </c>
      <c r="V394" s="26">
        <f>IF(V387="","",V387-U387)</f>
        <v>29</v>
      </c>
      <c r="W394" s="26">
        <f t="shared" si="725"/>
        <v>0</v>
      </c>
      <c r="X394" s="26">
        <f t="shared" si="725"/>
        <v>0</v>
      </c>
      <c r="Y394" s="26">
        <f t="shared" si="725"/>
        <v>0</v>
      </c>
      <c r="Z394" s="26">
        <f t="shared" si="725"/>
        <v>0</v>
      </c>
      <c r="AA394" s="26">
        <f t="shared" si="725"/>
        <v>115</v>
      </c>
      <c r="AB394" s="26">
        <f t="shared" si="725"/>
        <v>0</v>
      </c>
      <c r="AC394" s="26">
        <f t="shared" si="725"/>
        <v>0</v>
      </c>
      <c r="AD394" s="26">
        <f t="shared" si="725"/>
        <v>93</v>
      </c>
      <c r="AE394" s="26" t="str">
        <f t="shared" si="725"/>
        <v/>
      </c>
      <c r="AF394" s="26" t="str">
        <f t="shared" si="725"/>
        <v/>
      </c>
      <c r="AG394" s="26" t="str">
        <f t="shared" si="725"/>
        <v/>
      </c>
      <c r="AH394" s="26" t="str">
        <f t="shared" si="725"/>
        <v/>
      </c>
      <c r="AI394" s="26" t="str">
        <f t="shared" si="725"/>
        <v/>
      </c>
      <c r="AJ394" s="26" t="str">
        <f t="shared" si="725"/>
        <v/>
      </c>
      <c r="AK394" s="26" t="str">
        <f t="shared" si="725"/>
        <v/>
      </c>
      <c r="AL394" s="26" t="str">
        <f t="shared" si="725"/>
        <v/>
      </c>
      <c r="AM394" s="26" t="str">
        <f t="shared" si="725"/>
        <v/>
      </c>
      <c r="AN394" s="26" t="str">
        <f t="shared" si="725"/>
        <v/>
      </c>
      <c r="AO394" s="26" t="str">
        <f t="shared" si="725"/>
        <v/>
      </c>
      <c r="AP394" s="26" t="str">
        <f t="shared" ref="AP394:AR394" si="726">IF(AP387="","",AP387-AO387)</f>
        <v/>
      </c>
      <c r="AQ394" s="26" t="str">
        <f t="shared" si="726"/>
        <v/>
      </c>
      <c r="AR394" s="26" t="str">
        <f t="shared" si="726"/>
        <v/>
      </c>
    </row>
    <row r="395" spans="1:49" s="1" customFormat="1">
      <c r="A395" s="7">
        <f>SUM(C395:AS395)</f>
        <v>14</v>
      </c>
      <c r="B395" s="27" t="s">
        <v>16</v>
      </c>
      <c r="C395" s="65">
        <v>0</v>
      </c>
      <c r="D395" s="26">
        <f t="shared" ref="D395:AO395" si="727">IF(D388="","",D388-C388)</f>
        <v>0</v>
      </c>
      <c r="E395" s="26">
        <f t="shared" si="727"/>
        <v>0</v>
      </c>
      <c r="F395" s="26">
        <f t="shared" si="727"/>
        <v>1</v>
      </c>
      <c r="G395" s="122">
        <f t="shared" si="727"/>
        <v>0</v>
      </c>
      <c r="H395" s="26">
        <f t="shared" si="727"/>
        <v>0</v>
      </c>
      <c r="I395" s="26">
        <f t="shared" si="727"/>
        <v>4</v>
      </c>
      <c r="J395" s="122">
        <f t="shared" si="727"/>
        <v>0</v>
      </c>
      <c r="K395" s="26">
        <f t="shared" si="727"/>
        <v>0</v>
      </c>
      <c r="L395" s="26">
        <f t="shared" si="727"/>
        <v>0</v>
      </c>
      <c r="M395" s="26">
        <f t="shared" si="727"/>
        <v>0</v>
      </c>
      <c r="N395" s="26">
        <f t="shared" si="727"/>
        <v>0</v>
      </c>
      <c r="O395" s="26">
        <f t="shared" si="727"/>
        <v>4</v>
      </c>
      <c r="P395" s="122">
        <f t="shared" si="727"/>
        <v>0</v>
      </c>
      <c r="Q395" s="26">
        <f t="shared" si="727"/>
        <v>0</v>
      </c>
      <c r="R395" s="26">
        <f t="shared" si="727"/>
        <v>0</v>
      </c>
      <c r="S395" s="26">
        <f t="shared" si="727"/>
        <v>1</v>
      </c>
      <c r="T395" s="26">
        <f t="shared" si="727"/>
        <v>0</v>
      </c>
      <c r="U395" s="26">
        <f t="shared" si="727"/>
        <v>0</v>
      </c>
      <c r="V395" s="26">
        <f>IF(V388="","",V388-U388)</f>
        <v>0</v>
      </c>
      <c r="W395" s="26">
        <f t="shared" si="727"/>
        <v>0</v>
      </c>
      <c r="X395" s="26">
        <f t="shared" si="727"/>
        <v>0</v>
      </c>
      <c r="Y395" s="26">
        <f t="shared" si="727"/>
        <v>0</v>
      </c>
      <c r="Z395" s="26">
        <f t="shared" si="727"/>
        <v>0</v>
      </c>
      <c r="AA395" s="26">
        <f t="shared" si="727"/>
        <v>3</v>
      </c>
      <c r="AB395" s="26">
        <f t="shared" si="727"/>
        <v>0</v>
      </c>
      <c r="AC395" s="26">
        <f t="shared" si="727"/>
        <v>0</v>
      </c>
      <c r="AD395" s="26">
        <f t="shared" si="727"/>
        <v>1</v>
      </c>
      <c r="AE395" s="26" t="str">
        <f t="shared" si="727"/>
        <v/>
      </c>
      <c r="AF395" s="26" t="str">
        <f t="shared" si="727"/>
        <v/>
      </c>
      <c r="AG395" s="26" t="str">
        <f t="shared" si="727"/>
        <v/>
      </c>
      <c r="AH395" s="26" t="str">
        <f t="shared" si="727"/>
        <v/>
      </c>
      <c r="AI395" s="26" t="str">
        <f t="shared" si="727"/>
        <v/>
      </c>
      <c r="AJ395" s="26" t="str">
        <f t="shared" si="727"/>
        <v/>
      </c>
      <c r="AK395" s="26" t="str">
        <f t="shared" si="727"/>
        <v/>
      </c>
      <c r="AL395" s="26" t="str">
        <f t="shared" si="727"/>
        <v/>
      </c>
      <c r="AM395" s="26" t="str">
        <f t="shared" si="727"/>
        <v/>
      </c>
      <c r="AN395" s="26" t="str">
        <f t="shared" si="727"/>
        <v/>
      </c>
      <c r="AO395" s="26" t="str">
        <f t="shared" si="727"/>
        <v/>
      </c>
      <c r="AP395" s="26" t="str">
        <f t="shared" ref="AP395:AR395" si="728">IF(AP388="","",AP388-AO388)</f>
        <v/>
      </c>
      <c r="AQ395" s="26" t="str">
        <f t="shared" si="728"/>
        <v/>
      </c>
      <c r="AR395" s="26" t="str">
        <f t="shared" si="728"/>
        <v/>
      </c>
    </row>
    <row r="396" spans="1:49" s="1" customFormat="1">
      <c r="A396" s="7">
        <f>SUM(C396:AS396)</f>
        <v>15</v>
      </c>
      <c r="B396" s="27" t="s">
        <v>17</v>
      </c>
      <c r="C396" s="65">
        <v>0</v>
      </c>
      <c r="D396" s="26">
        <f t="shared" ref="D396:AO396" si="729">IF(D389="","",C389+C390-D389)</f>
        <v>0</v>
      </c>
      <c r="E396" s="26">
        <f t="shared" si="729"/>
        <v>0</v>
      </c>
      <c r="F396" s="26">
        <f t="shared" si="729"/>
        <v>0</v>
      </c>
      <c r="G396" s="122">
        <f t="shared" si="729"/>
        <v>0</v>
      </c>
      <c r="H396" s="26">
        <f t="shared" si="729"/>
        <v>0</v>
      </c>
      <c r="I396" s="26">
        <f t="shared" si="729"/>
        <v>6</v>
      </c>
      <c r="J396" s="122">
        <f t="shared" si="729"/>
        <v>0</v>
      </c>
      <c r="K396" s="26">
        <f t="shared" si="729"/>
        <v>0</v>
      </c>
      <c r="L396" s="26">
        <f t="shared" si="729"/>
        <v>0</v>
      </c>
      <c r="M396" s="26">
        <f t="shared" si="729"/>
        <v>0</v>
      </c>
      <c r="N396" s="26">
        <f t="shared" si="729"/>
        <v>0</v>
      </c>
      <c r="O396" s="26">
        <f t="shared" si="729"/>
        <v>5</v>
      </c>
      <c r="P396" s="122">
        <f t="shared" si="729"/>
        <v>0</v>
      </c>
      <c r="Q396" s="26">
        <f t="shared" si="729"/>
        <v>0</v>
      </c>
      <c r="R396" s="26">
        <f t="shared" si="729"/>
        <v>0</v>
      </c>
      <c r="S396" s="26">
        <f t="shared" si="729"/>
        <v>2</v>
      </c>
      <c r="T396" s="26">
        <f t="shared" si="729"/>
        <v>0</v>
      </c>
      <c r="U396" s="26">
        <f t="shared" si="729"/>
        <v>0</v>
      </c>
      <c r="V396" s="26">
        <f>IF(V389="","",U389+U390-V389)</f>
        <v>0</v>
      </c>
      <c r="W396" s="26">
        <f t="shared" si="729"/>
        <v>0</v>
      </c>
      <c r="X396" s="26">
        <f t="shared" si="729"/>
        <v>0</v>
      </c>
      <c r="Y396" s="26">
        <f t="shared" si="729"/>
        <v>0</v>
      </c>
      <c r="Z396" s="26">
        <f t="shared" si="729"/>
        <v>0</v>
      </c>
      <c r="AA396" s="26">
        <f t="shared" si="729"/>
        <v>2</v>
      </c>
      <c r="AB396" s="26">
        <f t="shared" si="729"/>
        <v>0</v>
      </c>
      <c r="AC396" s="26">
        <f t="shared" si="729"/>
        <v>0</v>
      </c>
      <c r="AD396" s="26">
        <f t="shared" si="729"/>
        <v>0</v>
      </c>
      <c r="AE396" s="26" t="str">
        <f t="shared" si="729"/>
        <v/>
      </c>
      <c r="AF396" s="26" t="str">
        <f t="shared" si="729"/>
        <v/>
      </c>
      <c r="AG396" s="26" t="str">
        <f t="shared" si="729"/>
        <v/>
      </c>
      <c r="AH396" s="26" t="str">
        <f t="shared" si="729"/>
        <v/>
      </c>
      <c r="AI396" s="26" t="str">
        <f t="shared" si="729"/>
        <v/>
      </c>
      <c r="AJ396" s="26" t="str">
        <f t="shared" si="729"/>
        <v/>
      </c>
      <c r="AK396" s="26" t="str">
        <f t="shared" si="729"/>
        <v/>
      </c>
      <c r="AL396" s="26" t="str">
        <f t="shared" si="729"/>
        <v/>
      </c>
      <c r="AM396" s="26" t="str">
        <f t="shared" si="729"/>
        <v/>
      </c>
      <c r="AN396" s="26" t="str">
        <f t="shared" si="729"/>
        <v/>
      </c>
      <c r="AO396" s="26" t="str">
        <f t="shared" si="729"/>
        <v/>
      </c>
      <c r="AP396" s="26" t="str">
        <f t="shared" ref="AP396:AR396" si="730">IF(AP389="","",AO389+AO390-AP389)</f>
        <v/>
      </c>
      <c r="AQ396" s="26" t="str">
        <f t="shared" si="730"/>
        <v/>
      </c>
      <c r="AR396" s="26" t="str">
        <f t="shared" si="730"/>
        <v/>
      </c>
    </row>
    <row r="397" spans="1:49" s="1" customFormat="1">
      <c r="A397" s="7">
        <f>SUM(C397:AS397)</f>
        <v>11250</v>
      </c>
      <c r="B397" s="27" t="s">
        <v>18</v>
      </c>
      <c r="C397" s="65">
        <v>0</v>
      </c>
      <c r="D397" s="26">
        <f t="shared" ref="D397:AO397" si="731">IF(D387="","",D396*D391)</f>
        <v>0</v>
      </c>
      <c r="E397" s="26">
        <f t="shared" si="731"/>
        <v>0</v>
      </c>
      <c r="F397" s="26">
        <f t="shared" si="731"/>
        <v>0</v>
      </c>
      <c r="G397" s="122">
        <f t="shared" si="731"/>
        <v>0</v>
      </c>
      <c r="H397" s="26">
        <f t="shared" si="731"/>
        <v>0</v>
      </c>
      <c r="I397" s="26">
        <f t="shared" si="731"/>
        <v>4500</v>
      </c>
      <c r="J397" s="122">
        <f t="shared" si="731"/>
        <v>0</v>
      </c>
      <c r="K397" s="26">
        <f t="shared" si="731"/>
        <v>0</v>
      </c>
      <c r="L397" s="26">
        <f t="shared" si="731"/>
        <v>0</v>
      </c>
      <c r="M397" s="26">
        <f t="shared" si="731"/>
        <v>0</v>
      </c>
      <c r="N397" s="26">
        <f t="shared" si="731"/>
        <v>0</v>
      </c>
      <c r="O397" s="26">
        <f t="shared" si="731"/>
        <v>3750</v>
      </c>
      <c r="P397" s="122">
        <f t="shared" si="731"/>
        <v>0</v>
      </c>
      <c r="Q397" s="26">
        <f t="shared" si="731"/>
        <v>0</v>
      </c>
      <c r="R397" s="26">
        <f t="shared" si="731"/>
        <v>0</v>
      </c>
      <c r="S397" s="26">
        <f t="shared" si="731"/>
        <v>1500</v>
      </c>
      <c r="T397" s="26">
        <f t="shared" si="731"/>
        <v>0</v>
      </c>
      <c r="U397" s="26">
        <f t="shared" si="731"/>
        <v>0</v>
      </c>
      <c r="V397" s="26">
        <f>IF(V387="","",V396*V391)</f>
        <v>0</v>
      </c>
      <c r="W397" s="26">
        <f t="shared" si="731"/>
        <v>0</v>
      </c>
      <c r="X397" s="26">
        <f t="shared" si="731"/>
        <v>0</v>
      </c>
      <c r="Y397" s="26">
        <f t="shared" si="731"/>
        <v>0</v>
      </c>
      <c r="Z397" s="26">
        <f t="shared" si="731"/>
        <v>0</v>
      </c>
      <c r="AA397" s="26">
        <f t="shared" si="731"/>
        <v>1500</v>
      </c>
      <c r="AB397" s="26">
        <f t="shared" si="731"/>
        <v>0</v>
      </c>
      <c r="AC397" s="26">
        <f t="shared" si="731"/>
        <v>0</v>
      </c>
      <c r="AD397" s="26">
        <f t="shared" si="731"/>
        <v>0</v>
      </c>
      <c r="AE397" s="26" t="str">
        <f t="shared" si="731"/>
        <v/>
      </c>
      <c r="AF397" s="26" t="str">
        <f t="shared" si="731"/>
        <v/>
      </c>
      <c r="AG397" s="26" t="str">
        <f t="shared" si="731"/>
        <v/>
      </c>
      <c r="AH397" s="26" t="str">
        <f t="shared" si="731"/>
        <v/>
      </c>
      <c r="AI397" s="26" t="str">
        <f t="shared" si="731"/>
        <v/>
      </c>
      <c r="AJ397" s="26" t="str">
        <f t="shared" si="731"/>
        <v/>
      </c>
      <c r="AK397" s="26" t="str">
        <f t="shared" si="731"/>
        <v/>
      </c>
      <c r="AL397" s="26" t="str">
        <f t="shared" si="731"/>
        <v/>
      </c>
      <c r="AM397" s="26" t="str">
        <f t="shared" si="731"/>
        <v/>
      </c>
      <c r="AN397" s="26" t="str">
        <f t="shared" si="731"/>
        <v/>
      </c>
      <c r="AO397" s="26" t="str">
        <f t="shared" si="731"/>
        <v/>
      </c>
      <c r="AP397" s="26" t="str">
        <f t="shared" ref="AP397:AR397" si="732">IF(AP387="","",AP396*AP391)</f>
        <v/>
      </c>
      <c r="AQ397" s="26" t="str">
        <f t="shared" si="732"/>
        <v/>
      </c>
      <c r="AR397" s="26" t="str">
        <f t="shared" si="732"/>
        <v/>
      </c>
    </row>
    <row r="398" spans="1:49" s="1" customFormat="1" ht="12" thickBot="1">
      <c r="A398" s="4">
        <f>IF(A397="","",A397/(A394*100))</f>
        <v>0.19296740994854203</v>
      </c>
      <c r="B398" s="24" t="s">
        <v>20</v>
      </c>
      <c r="C398" s="67" t="s">
        <v>21</v>
      </c>
      <c r="D398" s="23" t="str">
        <f t="shared" ref="D398:AO398" si="733">IF(D397="","",IF(D397=0,"",D397/(D394*100)))</f>
        <v/>
      </c>
      <c r="E398" s="23" t="str">
        <f t="shared" si="733"/>
        <v/>
      </c>
      <c r="F398" s="23" t="str">
        <f t="shared" si="733"/>
        <v/>
      </c>
      <c r="G398" s="124" t="str">
        <f t="shared" si="733"/>
        <v/>
      </c>
      <c r="H398" s="23" t="str">
        <f t="shared" si="733"/>
        <v/>
      </c>
      <c r="I398" s="23">
        <f t="shared" si="733"/>
        <v>0.49450549450549453</v>
      </c>
      <c r="J398" s="124" t="str">
        <f t="shared" si="733"/>
        <v/>
      </c>
      <c r="K398" s="23" t="str">
        <f t="shared" si="733"/>
        <v/>
      </c>
      <c r="L398" s="23" t="str">
        <f t="shared" si="733"/>
        <v/>
      </c>
      <c r="M398" s="23" t="str">
        <f t="shared" si="733"/>
        <v/>
      </c>
      <c r="N398" s="23" t="str">
        <f t="shared" si="733"/>
        <v/>
      </c>
      <c r="O398" s="23">
        <f t="shared" si="733"/>
        <v>0.32051282051282054</v>
      </c>
      <c r="P398" s="124" t="str">
        <f t="shared" si="733"/>
        <v/>
      </c>
      <c r="Q398" s="23" t="str">
        <f t="shared" si="733"/>
        <v/>
      </c>
      <c r="R398" s="23" t="str">
        <f t="shared" si="733"/>
        <v/>
      </c>
      <c r="S398" s="23">
        <f t="shared" si="733"/>
        <v>0.34090909090909088</v>
      </c>
      <c r="T398" s="23" t="str">
        <f t="shared" si="733"/>
        <v/>
      </c>
      <c r="U398" s="23" t="str">
        <f t="shared" si="733"/>
        <v/>
      </c>
      <c r="V398" s="23" t="str">
        <f>IF(V397="","",IF(V397=0,"",V397/(V394*100)))</f>
        <v/>
      </c>
      <c r="W398" s="23" t="str">
        <f t="shared" si="733"/>
        <v/>
      </c>
      <c r="X398" s="23" t="str">
        <f t="shared" si="733"/>
        <v/>
      </c>
      <c r="Y398" s="23" t="str">
        <f t="shared" si="733"/>
        <v/>
      </c>
      <c r="Z398" s="23" t="str">
        <f t="shared" si="733"/>
        <v/>
      </c>
      <c r="AA398" s="23">
        <f t="shared" si="733"/>
        <v>0.13043478260869565</v>
      </c>
      <c r="AB398" s="23" t="str">
        <f t="shared" si="733"/>
        <v/>
      </c>
      <c r="AC398" s="23" t="str">
        <f t="shared" si="733"/>
        <v/>
      </c>
      <c r="AD398" s="23" t="str">
        <f t="shared" si="733"/>
        <v/>
      </c>
      <c r="AE398" s="23" t="str">
        <f t="shared" si="733"/>
        <v/>
      </c>
      <c r="AF398" s="23" t="str">
        <f t="shared" si="733"/>
        <v/>
      </c>
      <c r="AG398" s="23" t="str">
        <f t="shared" si="733"/>
        <v/>
      </c>
      <c r="AH398" s="23" t="str">
        <f t="shared" si="733"/>
        <v/>
      </c>
      <c r="AI398" s="23" t="str">
        <f t="shared" si="733"/>
        <v/>
      </c>
      <c r="AJ398" s="23" t="str">
        <f t="shared" si="733"/>
        <v/>
      </c>
      <c r="AK398" s="23" t="str">
        <f t="shared" si="733"/>
        <v/>
      </c>
      <c r="AL398" s="23" t="str">
        <f t="shared" si="733"/>
        <v/>
      </c>
      <c r="AM398" s="23" t="str">
        <f t="shared" si="733"/>
        <v/>
      </c>
      <c r="AN398" s="23" t="str">
        <f t="shared" si="733"/>
        <v/>
      </c>
      <c r="AO398" s="23" t="str">
        <f t="shared" si="733"/>
        <v/>
      </c>
      <c r="AP398" s="23" t="str">
        <f t="shared" ref="AP398:AR398" si="734">IF(AP397="","",IF(AP397=0,"",AP397/(AP394*100)))</f>
        <v/>
      </c>
      <c r="AQ398" s="23" t="str">
        <f t="shared" si="734"/>
        <v/>
      </c>
      <c r="AR398" s="23" t="str">
        <f t="shared" si="734"/>
        <v/>
      </c>
    </row>
    <row r="399" spans="1:49">
      <c r="A399" s="104">
        <f>+A201+A189+A177+A165+A153+A141+A129+A117+A105+A93+A81+A69+A57+A45+A33+A21+A9</f>
        <v>766928.57142857159</v>
      </c>
      <c r="B399" s="104">
        <f>+A202+A190+A178+A166+A154+A142+A130+A118+A106+A94+A82+A70+A58+A46+A34+A10</f>
        <v>6836</v>
      </c>
      <c r="V399" s="111"/>
      <c r="AW399" s="69"/>
    </row>
    <row r="400" spans="1:49">
      <c r="A400" s="104">
        <f>+A273+A261+A249+A237+A225+A213</f>
        <v>493178.57142857142</v>
      </c>
      <c r="B400" s="104">
        <f>+A274+A262+A250+A238+A226+A214</f>
        <v>4603</v>
      </c>
      <c r="V400" s="111"/>
      <c r="AW400" s="69"/>
    </row>
    <row r="401" spans="1:22">
      <c r="A401" s="104">
        <f>+A369+A381+A393+A357+A345+A333+A321+A309+A297+A285</f>
        <v>678000</v>
      </c>
      <c r="B401" s="104">
        <f>+A370+A358+A346+A334+A322+A382+A394+A310+A298+A286</f>
        <v>6328</v>
      </c>
      <c r="V401" s="111"/>
    </row>
    <row r="402" spans="1:22">
      <c r="A402" s="104">
        <f>SUM(A399:A401)</f>
        <v>1938107.142857143</v>
      </c>
      <c r="B402" s="104">
        <f>SUM(B399:B401)</f>
        <v>17767</v>
      </c>
      <c r="V402" s="111"/>
    </row>
  </sheetData>
  <phoneticPr fontId="2"/>
  <conditionalFormatting sqref="A14">
    <cfRule type="cellIs" dxfId="31" priority="17" operator="greaterThan">
      <formula>0.25</formula>
    </cfRule>
  </conditionalFormatting>
  <conditionalFormatting sqref="A26">
    <cfRule type="cellIs" dxfId="30" priority="19" operator="greaterThan">
      <formula>0.25</formula>
    </cfRule>
  </conditionalFormatting>
  <conditionalFormatting sqref="A38">
    <cfRule type="cellIs" dxfId="29" priority="20" operator="greaterThan">
      <formula>0.25</formula>
    </cfRule>
  </conditionalFormatting>
  <conditionalFormatting sqref="A50">
    <cfRule type="cellIs" dxfId="28" priority="21" operator="greaterThan">
      <formula>0.25</formula>
    </cfRule>
  </conditionalFormatting>
  <conditionalFormatting sqref="A62">
    <cfRule type="cellIs" dxfId="27" priority="16" operator="greaterThan">
      <formula>0.25</formula>
    </cfRule>
  </conditionalFormatting>
  <conditionalFormatting sqref="A74">
    <cfRule type="cellIs" dxfId="26" priority="23" operator="greaterThan">
      <formula>0.25</formula>
    </cfRule>
  </conditionalFormatting>
  <conditionalFormatting sqref="A86">
    <cfRule type="cellIs" dxfId="25" priority="24" operator="greaterThan">
      <formula>0.25</formula>
    </cfRule>
  </conditionalFormatting>
  <conditionalFormatting sqref="A98">
    <cfRule type="cellIs" dxfId="24" priority="25" operator="greaterThan">
      <formula>0.25</formula>
    </cfRule>
  </conditionalFormatting>
  <conditionalFormatting sqref="A110">
    <cfRule type="cellIs" dxfId="23" priority="26" operator="greaterThan">
      <formula>0.25</formula>
    </cfRule>
  </conditionalFormatting>
  <conditionalFormatting sqref="A122">
    <cfRule type="cellIs" dxfId="22" priority="27" operator="greaterThan">
      <formula>0.25</formula>
    </cfRule>
  </conditionalFormatting>
  <conditionalFormatting sqref="A134">
    <cfRule type="cellIs" dxfId="21" priority="28" operator="greaterThan">
      <formula>0.25</formula>
    </cfRule>
  </conditionalFormatting>
  <conditionalFormatting sqref="A146">
    <cfRule type="cellIs" dxfId="20" priority="29" operator="greaterThan">
      <formula>0.25</formula>
    </cfRule>
  </conditionalFormatting>
  <conditionalFormatting sqref="A158">
    <cfRule type="cellIs" dxfId="19" priority="30" operator="greaterThan">
      <formula>0.25</formula>
    </cfRule>
  </conditionalFormatting>
  <conditionalFormatting sqref="A170">
    <cfRule type="cellIs" dxfId="18" priority="31" operator="greaterThan">
      <formula>0.25</formula>
    </cfRule>
  </conditionalFormatting>
  <conditionalFormatting sqref="A182">
    <cfRule type="cellIs" dxfId="17" priority="32" operator="greaterThan">
      <formula>0.25</formula>
    </cfRule>
  </conditionalFormatting>
  <conditionalFormatting sqref="A194">
    <cfRule type="cellIs" dxfId="16" priority="33" operator="greaterThan">
      <formula>0.25</formula>
    </cfRule>
  </conditionalFormatting>
  <conditionalFormatting sqref="A206">
    <cfRule type="cellIs" dxfId="15" priority="34" operator="greaterThan">
      <formula>0.25</formula>
    </cfRule>
  </conditionalFormatting>
  <conditionalFormatting sqref="A218">
    <cfRule type="cellIs" dxfId="14" priority="15" operator="greaterThan">
      <formula>0.25</formula>
    </cfRule>
  </conditionalFormatting>
  <conditionalFormatting sqref="A230">
    <cfRule type="cellIs" dxfId="13" priority="36" operator="greaterThan">
      <formula>0.25</formula>
    </cfRule>
  </conditionalFormatting>
  <conditionalFormatting sqref="A242">
    <cfRule type="cellIs" dxfId="12" priority="37" operator="greaterThan">
      <formula>0.25</formula>
    </cfRule>
  </conditionalFormatting>
  <conditionalFormatting sqref="A254">
    <cfRule type="cellIs" dxfId="11" priority="38" operator="greaterThan">
      <formula>0.25</formula>
    </cfRule>
  </conditionalFormatting>
  <conditionalFormatting sqref="A266">
    <cfRule type="cellIs" dxfId="10" priority="14" operator="greaterThan">
      <formula>0.25</formula>
    </cfRule>
  </conditionalFormatting>
  <conditionalFormatting sqref="A278">
    <cfRule type="cellIs" dxfId="9" priority="40" operator="greaterThan">
      <formula>0.25</formula>
    </cfRule>
  </conditionalFormatting>
  <conditionalFormatting sqref="A290">
    <cfRule type="cellIs" dxfId="8" priority="7" operator="greaterThan">
      <formula>0.25</formula>
    </cfRule>
  </conditionalFormatting>
  <conditionalFormatting sqref="A302">
    <cfRule type="cellIs" dxfId="7" priority="8" operator="greaterThan">
      <formula>0.25</formula>
    </cfRule>
  </conditionalFormatting>
  <conditionalFormatting sqref="A314">
    <cfRule type="cellIs" dxfId="6" priority="9" operator="greaterThan">
      <formula>0.25</formula>
    </cfRule>
  </conditionalFormatting>
  <conditionalFormatting sqref="A326">
    <cfRule type="cellIs" dxfId="5" priority="10" operator="greaterThan">
      <formula>0.25</formula>
    </cfRule>
  </conditionalFormatting>
  <conditionalFormatting sqref="A338">
    <cfRule type="cellIs" dxfId="4" priority="2" operator="greaterThan">
      <formula>0.25</formula>
    </cfRule>
  </conditionalFormatting>
  <conditionalFormatting sqref="A350">
    <cfRule type="cellIs" dxfId="3" priority="3" operator="greaterThan">
      <formula>0.25</formula>
    </cfRule>
  </conditionalFormatting>
  <conditionalFormatting sqref="A362">
    <cfRule type="cellIs" dxfId="2" priority="4" operator="greaterThan">
      <formula>0.25</formula>
    </cfRule>
  </conditionalFormatting>
  <conditionalFormatting sqref="A374">
    <cfRule type="cellIs" dxfId="1" priority="5" operator="greaterThan">
      <formula>0.25</formula>
    </cfRule>
  </conditionalFormatting>
  <conditionalFormatting sqref="A386 A398">
    <cfRule type="cellIs" dxfId="0" priority="1" operator="greaterThan">
      <formula>0.25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55"/>
  <sheetViews>
    <sheetView tabSelected="1" zoomScale="90" zoomScaleNormal="90" workbookViewId="0">
      <pane xSplit="2" ySplit="2" topLeftCell="E98" activePane="bottomRight" state="frozen"/>
      <selection pane="topRight" activeCell="C1" sqref="C1"/>
      <selection pane="bottomLeft" activeCell="A3" sqref="A3"/>
      <selection pane="bottomRight" activeCell="I109" sqref="I109"/>
    </sheetView>
  </sheetViews>
  <sheetFormatPr baseColWidth="10" defaultColWidth="14.33203125" defaultRowHeight="15" customHeight="1"/>
  <cols>
    <col min="1" max="1" width="9.1640625" style="138" customWidth="1"/>
    <col min="2" max="2" width="7.6640625" style="379" customWidth="1"/>
    <col min="3" max="3" width="8.5" style="83" bestFit="1" customWidth="1"/>
    <col min="4" max="4" width="9" style="83" customWidth="1"/>
    <col min="5" max="5" width="6.1640625" style="83" bestFit="1" customWidth="1"/>
    <col min="6" max="6" width="8.1640625" style="83" customWidth="1"/>
    <col min="7" max="7" width="7" style="334" bestFit="1" customWidth="1"/>
    <col min="8" max="8" width="4.5" style="83" bestFit="1" customWidth="1"/>
    <col min="9" max="9" width="8" style="339" bestFit="1" customWidth="1"/>
    <col min="10" max="10" width="12.5" style="83" customWidth="1"/>
    <col min="11" max="11" width="12.83203125" style="83" customWidth="1"/>
    <col min="12" max="12" width="9.33203125" style="139" customWidth="1"/>
    <col min="13" max="13" width="6.6640625" style="139" bestFit="1" customWidth="1"/>
    <col min="14" max="14" width="10.1640625" style="139" bestFit="1" customWidth="1"/>
    <col min="15" max="15" width="9.33203125" style="139" customWidth="1"/>
    <col min="16" max="16" width="2.33203125" style="83" bestFit="1" customWidth="1"/>
    <col min="17" max="17" width="8" style="392" customWidth="1"/>
    <col min="18" max="18" width="7.83203125" style="386" bestFit="1" customWidth="1"/>
    <col min="19" max="19" width="4.5" style="386" customWidth="1"/>
    <col min="20" max="20" width="3" style="386" bestFit="1" customWidth="1"/>
    <col min="21" max="22" width="3" style="387" bestFit="1" customWidth="1"/>
    <col min="23" max="25" width="3.1640625" style="387" bestFit="1" customWidth="1"/>
    <col min="26" max="26" width="3.1640625" style="386" bestFit="1" customWidth="1"/>
    <col min="27" max="27" width="3.33203125" style="386" bestFit="1" customWidth="1"/>
    <col min="28" max="29" width="3.1640625" style="386" bestFit="1" customWidth="1"/>
    <col min="30" max="30" width="3.1640625" style="389" bestFit="1" customWidth="1"/>
    <col min="31" max="31" width="3" style="389" customWidth="1"/>
    <col min="32" max="32" width="6.5" style="79" bestFit="1" customWidth="1"/>
    <col min="33" max="33" width="13.5" style="79" customWidth="1"/>
    <col min="34" max="34" width="11.5" style="381" customWidth="1"/>
    <col min="35" max="35" width="2.1640625" style="381" customWidth="1"/>
    <col min="36" max="16384" width="14.33203125" style="79"/>
  </cols>
  <sheetData>
    <row r="1" spans="1:38">
      <c r="A1" s="380">
        <f>+鹿屋!A1+都城!A1+霧島!A1+宇宿!A1+川内!A1+中央!A1+天文館!A1+クレーン熊本!A1</f>
        <v>9813400.1536098309</v>
      </c>
      <c r="B1" s="342" t="s">
        <v>215</v>
      </c>
      <c r="C1" s="84" t="s">
        <v>216</v>
      </c>
      <c r="D1" s="84" t="s">
        <v>217</v>
      </c>
      <c r="E1" s="84" t="s">
        <v>218</v>
      </c>
      <c r="F1" s="382">
        <f>+F2*100/A1</f>
        <v>1.1413373371797098</v>
      </c>
      <c r="G1" s="308" t="s">
        <v>219</v>
      </c>
      <c r="H1" s="309" t="s">
        <v>220</v>
      </c>
      <c r="I1" s="310" t="s">
        <v>221</v>
      </c>
      <c r="J1" s="84" t="s">
        <v>222</v>
      </c>
      <c r="K1" s="84"/>
      <c r="L1" s="142" t="s">
        <v>223</v>
      </c>
      <c r="M1" s="142"/>
      <c r="N1" s="142"/>
      <c r="O1" s="142"/>
      <c r="P1" s="84"/>
      <c r="Q1" s="385"/>
      <c r="S1" s="387">
        <v>46090</v>
      </c>
      <c r="T1" s="388">
        <f>S1+1</f>
        <v>46091</v>
      </c>
      <c r="U1" s="388">
        <f t="shared" ref="U1:AA1" si="0">T1+1</f>
        <v>46092</v>
      </c>
      <c r="V1" s="388">
        <f t="shared" si="0"/>
        <v>46093</v>
      </c>
      <c r="W1" s="388">
        <f t="shared" si="0"/>
        <v>46094</v>
      </c>
      <c r="X1" s="388">
        <f t="shared" si="0"/>
        <v>46095</v>
      </c>
      <c r="Y1" s="388">
        <f t="shared" si="0"/>
        <v>46096</v>
      </c>
      <c r="Z1" s="388">
        <f t="shared" si="0"/>
        <v>46097</v>
      </c>
      <c r="AA1" s="388">
        <f t="shared" si="0"/>
        <v>46098</v>
      </c>
      <c r="AB1" s="388">
        <f t="shared" ref="AB1:AD1" si="1">AA1+1</f>
        <v>46099</v>
      </c>
      <c r="AC1" s="388">
        <f t="shared" si="1"/>
        <v>46100</v>
      </c>
      <c r="AD1" s="388">
        <f t="shared" si="1"/>
        <v>46101</v>
      </c>
      <c r="AF1" s="79" t="s">
        <v>224</v>
      </c>
      <c r="AG1" s="80">
        <v>12191900</v>
      </c>
      <c r="AJ1" s="79" t="s">
        <v>225</v>
      </c>
      <c r="AK1" s="79" t="s">
        <v>215</v>
      </c>
      <c r="AL1" s="79" t="s">
        <v>222</v>
      </c>
    </row>
    <row r="2" spans="1:38">
      <c r="A2" s="95"/>
      <c r="B2" s="342"/>
      <c r="C2" s="84"/>
      <c r="D2" s="84"/>
      <c r="E2" s="84"/>
      <c r="F2" s="84">
        <f>+F22+F46+F55+F80+F90+F101+F128+F158+F187+F6</f>
        <v>112004</v>
      </c>
      <c r="G2" s="311">
        <f>SUM(G3:G257)</f>
        <v>8082</v>
      </c>
      <c r="H2" s="84">
        <f>SUM(H3:H257)</f>
        <v>49</v>
      </c>
      <c r="I2" s="312">
        <f>SUM(I3:I257)</f>
        <v>2089</v>
      </c>
      <c r="J2" s="84">
        <f>G2*1000+H2*500+I2*100</f>
        <v>8315400</v>
      </c>
      <c r="K2" s="84"/>
      <c r="L2" s="142"/>
      <c r="M2" s="142"/>
      <c r="N2" s="142"/>
      <c r="O2" s="142"/>
      <c r="P2" s="84"/>
      <c r="Q2" s="385"/>
      <c r="S2" s="386" t="s">
        <v>226</v>
      </c>
      <c r="T2" s="390">
        <f>T1</f>
        <v>46091</v>
      </c>
      <c r="U2" s="390">
        <f>U1</f>
        <v>46092</v>
      </c>
      <c r="V2" s="390">
        <f>V1</f>
        <v>46093</v>
      </c>
      <c r="W2" s="390">
        <f t="shared" ref="W2:AA2" si="2">W1</f>
        <v>46094</v>
      </c>
      <c r="X2" s="390">
        <f t="shared" si="2"/>
        <v>46095</v>
      </c>
      <c r="Y2" s="390">
        <f t="shared" si="2"/>
        <v>46096</v>
      </c>
      <c r="Z2" s="390">
        <f t="shared" si="2"/>
        <v>46097</v>
      </c>
      <c r="AA2" s="390">
        <f t="shared" si="2"/>
        <v>46098</v>
      </c>
      <c r="AB2" s="390">
        <f t="shared" ref="AB2:AD2" si="3">AB1</f>
        <v>46099</v>
      </c>
      <c r="AC2" s="390">
        <f t="shared" si="3"/>
        <v>46100</v>
      </c>
      <c r="AD2" s="390">
        <f t="shared" si="3"/>
        <v>46101</v>
      </c>
      <c r="AF2" s="79" t="s">
        <v>227</v>
      </c>
      <c r="AG2" s="80">
        <f>+J4+J18+J45+J53</f>
        <v>2621400</v>
      </c>
      <c r="AK2" s="79">
        <v>70600794</v>
      </c>
      <c r="AL2" s="79">
        <v>30000</v>
      </c>
    </row>
    <row r="3" spans="1:38" ht="16" thickBot="1">
      <c r="A3" s="95" t="s">
        <v>418</v>
      </c>
      <c r="B3" s="342" t="s">
        <v>417</v>
      </c>
      <c r="C3" s="84"/>
      <c r="D3" s="84"/>
      <c r="E3" s="84"/>
      <c r="F3" s="84"/>
      <c r="G3" s="311"/>
      <c r="H3" s="84"/>
      <c r="I3" s="312"/>
      <c r="J3" s="84"/>
      <c r="K3" s="84"/>
      <c r="L3" s="85"/>
      <c r="M3" s="85"/>
      <c r="N3" s="85"/>
      <c r="O3" s="85"/>
      <c r="P3" s="84"/>
      <c r="Q3" s="385" t="s">
        <v>228</v>
      </c>
      <c r="R3" s="391" t="s">
        <v>229</v>
      </c>
      <c r="S3" s="392" t="s">
        <v>230</v>
      </c>
      <c r="T3" s="392"/>
      <c r="U3" s="392"/>
      <c r="V3" s="392"/>
      <c r="W3" s="392"/>
      <c r="X3" s="392"/>
      <c r="Y3" s="392"/>
      <c r="Z3" s="392"/>
      <c r="AA3" s="417">
        <v>14</v>
      </c>
      <c r="AB3" s="392"/>
      <c r="AC3" s="392"/>
      <c r="AD3" s="392"/>
      <c r="AF3" s="86" t="s">
        <v>231</v>
      </c>
      <c r="AG3" s="79">
        <v>80</v>
      </c>
      <c r="AH3" s="381">
        <f>AG3*10000</f>
        <v>800000</v>
      </c>
      <c r="AJ3" s="79" t="s">
        <v>232</v>
      </c>
      <c r="AK3" s="79">
        <v>70600816</v>
      </c>
      <c r="AL3" s="79">
        <v>49200</v>
      </c>
    </row>
    <row r="4" spans="1:38">
      <c r="A4" s="135" t="s">
        <v>428</v>
      </c>
      <c r="B4" s="343"/>
      <c r="C4" s="136">
        <f>MIN(ガチャ!198:198)</f>
        <v>22348</v>
      </c>
      <c r="D4" s="136">
        <f>MAX(ガチャ!198:198)</f>
        <v>22660</v>
      </c>
      <c r="E4" s="136">
        <f>D4-C4</f>
        <v>312</v>
      </c>
      <c r="F4" s="260">
        <f>E4*10</f>
        <v>3120</v>
      </c>
      <c r="G4" s="313"/>
      <c r="H4" s="136"/>
      <c r="I4" s="137"/>
      <c r="J4" s="284">
        <f>G4*1000</f>
        <v>0</v>
      </c>
      <c r="K4" s="136">
        <f>J4-F4*100</f>
        <v>-312000</v>
      </c>
      <c r="L4" s="144"/>
      <c r="M4" s="144"/>
      <c r="N4" s="144"/>
      <c r="O4" s="144"/>
      <c r="P4" s="137">
        <v>0</v>
      </c>
      <c r="Q4" s="385" t="s">
        <v>150</v>
      </c>
      <c r="R4" s="393" t="s">
        <v>233</v>
      </c>
      <c r="U4" s="386"/>
      <c r="V4" s="386"/>
      <c r="W4" s="386"/>
      <c r="X4" s="386"/>
      <c r="Y4" s="386"/>
      <c r="AA4" s="417">
        <v>12</v>
      </c>
      <c r="AD4" s="386"/>
      <c r="AF4" s="86" t="s">
        <v>234</v>
      </c>
      <c r="AG4" s="79">
        <v>60</v>
      </c>
      <c r="AH4" s="381">
        <f>AG4*5000</f>
        <v>300000</v>
      </c>
      <c r="AK4" s="79">
        <v>70600817</v>
      </c>
      <c r="AL4" s="79">
        <v>38300</v>
      </c>
    </row>
    <row r="5" spans="1:38" ht="16" thickBot="1">
      <c r="A5" s="145"/>
      <c r="B5" s="344"/>
      <c r="C5" s="146"/>
      <c r="D5" s="146"/>
      <c r="E5" s="146">
        <v>0</v>
      </c>
      <c r="F5" s="261"/>
      <c r="G5" s="314"/>
      <c r="H5" s="146"/>
      <c r="I5" s="148"/>
      <c r="J5" s="285"/>
      <c r="K5" s="146"/>
      <c r="L5" s="147"/>
      <c r="M5" s="147"/>
      <c r="N5" s="147"/>
      <c r="O5" s="147"/>
      <c r="P5" s="148">
        <v>0</v>
      </c>
      <c r="Q5" s="385" t="s">
        <v>152</v>
      </c>
      <c r="R5" s="391" t="s">
        <v>235</v>
      </c>
      <c r="S5" s="392" t="s">
        <v>236</v>
      </c>
      <c r="T5" s="394"/>
      <c r="U5" s="395"/>
      <c r="V5" s="392"/>
      <c r="W5" s="392"/>
      <c r="X5" s="392"/>
      <c r="Y5" s="392"/>
      <c r="Z5" s="392"/>
      <c r="AA5" s="417">
        <v>11</v>
      </c>
      <c r="AB5" s="392"/>
      <c r="AC5" s="392"/>
      <c r="AD5" s="392"/>
      <c r="AF5" s="86" t="s">
        <v>237</v>
      </c>
      <c r="AG5" s="79">
        <v>1056</v>
      </c>
      <c r="AH5" s="381">
        <f>AG5*1000</f>
        <v>1056000</v>
      </c>
      <c r="AK5" s="79">
        <v>70600817</v>
      </c>
      <c r="AL5" s="79">
        <v>0</v>
      </c>
    </row>
    <row r="6" spans="1:38" ht="16" thickBot="1">
      <c r="A6" s="84" t="s">
        <v>214</v>
      </c>
      <c r="B6" s="143" t="s">
        <v>416</v>
      </c>
      <c r="C6" s="84"/>
      <c r="D6" s="84"/>
      <c r="E6" s="84"/>
      <c r="F6" s="84">
        <f>SUM(F7:F17)</f>
        <v>7348</v>
      </c>
      <c r="G6" s="311"/>
      <c r="H6" s="84"/>
      <c r="I6" s="312"/>
      <c r="J6" s="84"/>
      <c r="K6" s="84"/>
      <c r="L6" s="85"/>
      <c r="M6" s="85"/>
      <c r="N6" s="85"/>
      <c r="O6" s="85"/>
      <c r="P6" s="84"/>
      <c r="Q6" s="385" t="s">
        <v>151</v>
      </c>
      <c r="R6" s="391" t="s">
        <v>238</v>
      </c>
      <c r="S6" s="392"/>
      <c r="T6" s="394"/>
      <c r="U6" s="395"/>
      <c r="V6" s="394"/>
      <c r="W6" s="394"/>
      <c r="X6" s="394"/>
      <c r="Y6" s="394"/>
      <c r="Z6" s="394"/>
      <c r="AA6" s="417">
        <v>10</v>
      </c>
      <c r="AB6" s="394"/>
      <c r="AC6" s="394"/>
      <c r="AD6" s="392"/>
      <c r="AF6" s="86">
        <v>500</v>
      </c>
      <c r="AG6" s="79">
        <v>990</v>
      </c>
      <c r="AH6" s="381">
        <f>AG6*500</f>
        <v>495000</v>
      </c>
      <c r="AJ6" s="79" t="s">
        <v>232</v>
      </c>
      <c r="AK6" s="79">
        <v>70600826</v>
      </c>
      <c r="AL6" s="79">
        <v>36100</v>
      </c>
    </row>
    <row r="7" spans="1:38" ht="16" thickBot="1">
      <c r="A7" s="180" t="s">
        <v>415</v>
      </c>
      <c r="B7" s="345"/>
      <c r="C7" s="181">
        <f>MIN(ガチャ!210:210)</f>
        <v>9909</v>
      </c>
      <c r="D7" s="181">
        <f>MAX(ガチャ!210:210)</f>
        <v>10011</v>
      </c>
      <c r="E7" s="150">
        <f t="shared" ref="E7:E11" si="4">D7-C7</f>
        <v>102</v>
      </c>
      <c r="F7" s="262">
        <f>E7*10</f>
        <v>1020</v>
      </c>
      <c r="G7" s="315">
        <v>102</v>
      </c>
      <c r="H7" s="182"/>
      <c r="I7" s="316"/>
      <c r="J7" s="286">
        <f>G7*1000</f>
        <v>102000</v>
      </c>
      <c r="K7" s="181">
        <f>J7-F7*100</f>
        <v>0</v>
      </c>
      <c r="L7" s="183"/>
      <c r="M7" s="85"/>
      <c r="N7" s="85"/>
      <c r="O7" s="85"/>
      <c r="P7" s="84"/>
      <c r="Q7" s="396" t="s">
        <v>240</v>
      </c>
      <c r="R7" s="397" t="s">
        <v>241</v>
      </c>
      <c r="S7" s="398" t="s">
        <v>230</v>
      </c>
      <c r="T7" s="399"/>
      <c r="U7" s="399"/>
      <c r="V7" s="399"/>
      <c r="W7" s="399"/>
      <c r="X7" s="399"/>
      <c r="Y7" s="399"/>
      <c r="Z7" s="399"/>
      <c r="AA7" s="399"/>
      <c r="AB7" s="418">
        <v>15</v>
      </c>
      <c r="AC7" s="399"/>
      <c r="AD7" s="399"/>
      <c r="AF7" s="86">
        <v>100</v>
      </c>
      <c r="AH7" s="381">
        <f>AG7*100</f>
        <v>0</v>
      </c>
      <c r="AJ7" s="79" t="s">
        <v>232</v>
      </c>
      <c r="AK7" s="79">
        <v>70600827</v>
      </c>
      <c r="AL7" s="79">
        <v>21700</v>
      </c>
    </row>
    <row r="8" spans="1:38" ht="16" thickTop="1">
      <c r="A8" s="188" t="s">
        <v>242</v>
      </c>
      <c r="B8" s="346" t="s">
        <v>243</v>
      </c>
      <c r="C8" s="150">
        <f>MIN(クレーン熊本!279:279)</f>
        <v>2530</v>
      </c>
      <c r="D8" s="150">
        <f>MAX(クレーン熊本!279:279)</f>
        <v>2828</v>
      </c>
      <c r="E8" s="150">
        <f t="shared" si="4"/>
        <v>298</v>
      </c>
      <c r="F8" s="263">
        <f>SUM(E8:E11)</f>
        <v>1739</v>
      </c>
      <c r="G8" s="235">
        <v>173</v>
      </c>
      <c r="H8" s="150"/>
      <c r="I8" s="317">
        <v>9</v>
      </c>
      <c r="J8" s="287">
        <f>G8*1000+H8*500+I8*100</f>
        <v>173900</v>
      </c>
      <c r="K8" s="150">
        <f>J8-F8*100</f>
        <v>0</v>
      </c>
      <c r="L8" s="172"/>
      <c r="M8" s="85"/>
      <c r="N8" s="85"/>
      <c r="O8" s="85"/>
      <c r="P8" s="84"/>
      <c r="Q8" s="385" t="s">
        <v>134</v>
      </c>
      <c r="R8" s="392" t="s">
        <v>244</v>
      </c>
      <c r="S8" s="392"/>
      <c r="T8" s="392"/>
      <c r="U8" s="392"/>
      <c r="V8" s="392"/>
      <c r="W8" s="392"/>
      <c r="X8" s="392"/>
      <c r="Y8" s="392"/>
      <c r="Z8" s="392"/>
      <c r="AA8" s="392"/>
      <c r="AB8" s="417">
        <v>13</v>
      </c>
      <c r="AC8" s="392"/>
      <c r="AD8" s="392"/>
      <c r="AH8" s="381">
        <f>SUM(AH3:AH7)</f>
        <v>2651000</v>
      </c>
      <c r="AK8" s="79">
        <v>70600827</v>
      </c>
      <c r="AL8" s="79">
        <v>0</v>
      </c>
    </row>
    <row r="9" spans="1:38">
      <c r="A9" s="190"/>
      <c r="B9" s="347"/>
      <c r="C9" s="153">
        <f>MIN(クレーン熊本!291:291)</f>
        <v>1432</v>
      </c>
      <c r="D9" s="153">
        <f>MAX(クレーン熊本!291:291)</f>
        <v>1601</v>
      </c>
      <c r="E9" s="153">
        <f t="shared" si="4"/>
        <v>169</v>
      </c>
      <c r="F9" s="264"/>
      <c r="G9" s="318"/>
      <c r="H9" s="153"/>
      <c r="I9" s="189"/>
      <c r="J9" s="288"/>
      <c r="K9" s="153"/>
      <c r="L9" s="173"/>
      <c r="M9" s="85"/>
      <c r="N9" s="85"/>
      <c r="O9" s="85"/>
      <c r="P9" s="84"/>
      <c r="Q9" s="385" t="s">
        <v>245</v>
      </c>
      <c r="R9" s="392"/>
      <c r="S9" s="392"/>
      <c r="T9" s="392"/>
      <c r="U9" s="392"/>
      <c r="V9" s="392"/>
      <c r="W9" s="392"/>
      <c r="X9" s="392"/>
      <c r="Y9" s="392"/>
      <c r="Z9" s="392"/>
      <c r="AA9" s="392"/>
      <c r="AB9" s="417">
        <v>12</v>
      </c>
      <c r="AC9" s="392"/>
      <c r="AD9" s="392"/>
      <c r="AH9" s="381">
        <f>+AH8-AG2</f>
        <v>29600</v>
      </c>
      <c r="AK9" s="79">
        <v>70600982</v>
      </c>
      <c r="AL9" s="79">
        <v>36400</v>
      </c>
    </row>
    <row r="10" spans="1:38">
      <c r="A10" s="190"/>
      <c r="B10" s="347"/>
      <c r="C10" s="153">
        <f>MIN(クレーン熊本!303:303)</f>
        <v>3029</v>
      </c>
      <c r="D10" s="153">
        <f>MAX(クレーン熊本!303:303)</f>
        <v>3798</v>
      </c>
      <c r="E10" s="153">
        <f t="shared" si="4"/>
        <v>769</v>
      </c>
      <c r="F10" s="264"/>
      <c r="G10" s="318"/>
      <c r="H10" s="153"/>
      <c r="I10" s="189"/>
      <c r="J10" s="161"/>
      <c r="K10" s="153"/>
      <c r="L10" s="173"/>
      <c r="M10" s="85"/>
      <c r="N10" s="85"/>
      <c r="O10" s="85"/>
      <c r="P10" s="84"/>
      <c r="Q10" s="385" t="s">
        <v>246</v>
      </c>
      <c r="R10" s="386" t="s">
        <v>247</v>
      </c>
      <c r="S10" s="386" t="s">
        <v>248</v>
      </c>
      <c r="U10" s="386"/>
      <c r="V10" s="386"/>
      <c r="W10" s="386"/>
      <c r="X10" s="386"/>
      <c r="Y10" s="386"/>
      <c r="AB10" s="417">
        <v>10</v>
      </c>
      <c r="AD10" s="386"/>
      <c r="AJ10" s="79" t="s">
        <v>232</v>
      </c>
      <c r="AK10" s="79">
        <v>70600983</v>
      </c>
      <c r="AL10" s="79">
        <v>31800</v>
      </c>
    </row>
    <row r="11" spans="1:38" ht="16" thickBot="1">
      <c r="A11" s="191"/>
      <c r="B11" s="348"/>
      <c r="C11" s="158">
        <f>MIN(クレーン熊本!315:315)</f>
        <v>2798</v>
      </c>
      <c r="D11" s="158">
        <f>MAX(クレーン熊本!315:315)</f>
        <v>3301</v>
      </c>
      <c r="E11" s="158">
        <f t="shared" si="4"/>
        <v>503</v>
      </c>
      <c r="F11" s="265"/>
      <c r="G11" s="236"/>
      <c r="H11" s="158"/>
      <c r="I11" s="319"/>
      <c r="J11" s="289"/>
      <c r="K11" s="158"/>
      <c r="L11" s="174"/>
      <c r="M11" s="85"/>
      <c r="N11" s="85"/>
      <c r="O11" s="85"/>
      <c r="P11" s="84"/>
      <c r="Q11" s="400" t="s">
        <v>78</v>
      </c>
      <c r="R11" s="398" t="s">
        <v>249</v>
      </c>
      <c r="S11" s="398" t="s">
        <v>230</v>
      </c>
      <c r="T11" s="398"/>
      <c r="U11" s="398"/>
      <c r="V11" s="398"/>
      <c r="W11" s="398"/>
      <c r="X11" s="398"/>
      <c r="Y11" s="398"/>
      <c r="Z11" s="398"/>
      <c r="AA11" s="398"/>
      <c r="AB11" s="398"/>
      <c r="AC11" s="433">
        <v>13</v>
      </c>
      <c r="AD11" s="398"/>
      <c r="AE11" s="385"/>
      <c r="AF11" s="79" t="s">
        <v>250</v>
      </c>
      <c r="AG11" s="80">
        <f>+AG1-AG2</f>
        <v>9570500</v>
      </c>
      <c r="AK11" s="79">
        <v>71201012</v>
      </c>
      <c r="AL11" s="79">
        <v>17300</v>
      </c>
    </row>
    <row r="12" spans="1:38" ht="16" thickBot="1">
      <c r="A12" s="188" t="s">
        <v>242</v>
      </c>
      <c r="B12" s="346" t="s">
        <v>251</v>
      </c>
      <c r="C12" s="150">
        <f>MIN(クレーン熊本!327:327)</f>
        <v>3443</v>
      </c>
      <c r="D12" s="150">
        <f>MAX(クレーン熊本!327:327)</f>
        <v>4017</v>
      </c>
      <c r="E12" s="150">
        <f t="shared" ref="E12:E15" si="5">D12-C12</f>
        <v>574</v>
      </c>
      <c r="F12" s="263">
        <f>SUM(E12:E15)</f>
        <v>1525</v>
      </c>
      <c r="G12" s="235">
        <v>152</v>
      </c>
      <c r="H12" s="150"/>
      <c r="I12" s="317">
        <v>5</v>
      </c>
      <c r="J12" s="287">
        <f>G12*1000+H12*500+I12*100</f>
        <v>152500</v>
      </c>
      <c r="K12" s="150">
        <f>J12-F12*100</f>
        <v>0</v>
      </c>
      <c r="L12" s="172"/>
      <c r="M12" s="85"/>
      <c r="N12" s="85"/>
      <c r="O12" s="85"/>
      <c r="P12" s="84"/>
      <c r="Q12" s="401" t="s">
        <v>1</v>
      </c>
      <c r="R12" s="402" t="s">
        <v>252</v>
      </c>
      <c r="S12" s="403" t="s">
        <v>248</v>
      </c>
      <c r="T12" s="402"/>
      <c r="U12" s="402"/>
      <c r="V12" s="402"/>
      <c r="W12" s="402"/>
      <c r="X12" s="402"/>
      <c r="Y12" s="402"/>
      <c r="Z12" s="402"/>
      <c r="AA12" s="402"/>
      <c r="AB12" s="402"/>
      <c r="AC12" s="419">
        <v>10</v>
      </c>
      <c r="AD12" s="402"/>
      <c r="AF12" s="86" t="s">
        <v>231</v>
      </c>
      <c r="AH12" s="381">
        <f>AG12*10000</f>
        <v>0</v>
      </c>
      <c r="AJ12" s="79" t="s">
        <v>253</v>
      </c>
      <c r="AK12" s="79">
        <v>71261231</v>
      </c>
      <c r="AL12" s="79">
        <v>26900</v>
      </c>
    </row>
    <row r="13" spans="1:38" ht="16" thickBot="1">
      <c r="A13" s="190"/>
      <c r="B13" s="347"/>
      <c r="C13" s="153">
        <f>MIN(クレーン熊本!339:339)</f>
        <v>2035</v>
      </c>
      <c r="D13" s="153">
        <f>MAX(クレーン熊本!339:339)</f>
        <v>2249</v>
      </c>
      <c r="E13" s="153">
        <f t="shared" si="5"/>
        <v>214</v>
      </c>
      <c r="F13" s="264"/>
      <c r="G13" s="318"/>
      <c r="H13" s="153"/>
      <c r="I13" s="189"/>
      <c r="J13" s="288"/>
      <c r="K13" s="153"/>
      <c r="L13" s="173"/>
      <c r="M13" s="85"/>
      <c r="N13" s="85"/>
      <c r="O13" s="85"/>
      <c r="P13" s="84"/>
      <c r="Q13" s="404" t="s">
        <v>254</v>
      </c>
      <c r="R13" s="403" t="s">
        <v>255</v>
      </c>
      <c r="S13" s="403" t="s">
        <v>248</v>
      </c>
      <c r="T13" s="403"/>
      <c r="U13" s="403"/>
      <c r="V13" s="403"/>
      <c r="W13" s="420">
        <v>10</v>
      </c>
      <c r="X13" s="403"/>
      <c r="Y13" s="403"/>
      <c r="Z13" s="403"/>
      <c r="AA13" s="403"/>
      <c r="AB13" s="403"/>
      <c r="AC13" s="403"/>
      <c r="AD13" s="403"/>
      <c r="AF13" s="86" t="s">
        <v>234</v>
      </c>
      <c r="AH13" s="381">
        <f>AG13*5000</f>
        <v>0</v>
      </c>
      <c r="AJ13" s="79" t="s">
        <v>256</v>
      </c>
      <c r="AK13" s="79">
        <v>71602154</v>
      </c>
      <c r="AL13" s="79">
        <v>71500</v>
      </c>
    </row>
    <row r="14" spans="1:38" ht="16" thickTop="1">
      <c r="A14" s="190"/>
      <c r="B14" s="347"/>
      <c r="C14" s="153">
        <f>MIN(クレーン熊本!351:351)</f>
        <v>3418</v>
      </c>
      <c r="D14" s="153">
        <f>MAX(クレーン熊本!351:351)</f>
        <v>3773</v>
      </c>
      <c r="E14" s="153">
        <f t="shared" si="5"/>
        <v>355</v>
      </c>
      <c r="F14" s="264"/>
      <c r="G14" s="318"/>
      <c r="H14" s="153"/>
      <c r="I14" s="189"/>
      <c r="J14" s="161"/>
      <c r="K14" s="153"/>
      <c r="L14" s="173"/>
      <c r="M14" s="85"/>
      <c r="N14" s="85"/>
      <c r="O14" s="85"/>
      <c r="P14" s="84"/>
      <c r="Q14" s="385" t="s">
        <v>264</v>
      </c>
      <c r="R14" s="386" t="s">
        <v>265</v>
      </c>
      <c r="U14" s="386"/>
      <c r="V14" s="386"/>
      <c r="W14" s="386"/>
      <c r="X14" s="386"/>
      <c r="Y14" s="386"/>
      <c r="AD14" s="386"/>
      <c r="AF14" s="86" t="s">
        <v>237</v>
      </c>
      <c r="AG14" s="79">
        <f>7232-1056</f>
        <v>6176</v>
      </c>
      <c r="AH14" s="381">
        <f>AG14*1000</f>
        <v>6176000</v>
      </c>
      <c r="AK14" s="79">
        <v>71602154</v>
      </c>
      <c r="AL14" s="79">
        <v>0</v>
      </c>
    </row>
    <row r="15" spans="1:38">
      <c r="A15" s="191"/>
      <c r="B15" s="348"/>
      <c r="C15" s="158">
        <f>MIN(クレーン熊本!363:363)</f>
        <v>2648</v>
      </c>
      <c r="D15" s="158">
        <f>MAX(クレーン熊本!363:363)</f>
        <v>3030</v>
      </c>
      <c r="E15" s="158">
        <f t="shared" si="5"/>
        <v>382</v>
      </c>
      <c r="F15" s="265"/>
      <c r="G15" s="236"/>
      <c r="H15" s="158"/>
      <c r="I15" s="319"/>
      <c r="J15" s="289"/>
      <c r="K15" s="158"/>
      <c r="L15" s="174"/>
      <c r="M15" s="85"/>
      <c r="N15" s="85"/>
      <c r="O15" s="85"/>
      <c r="P15" s="84"/>
      <c r="Q15" s="405" t="s">
        <v>268</v>
      </c>
      <c r="R15" s="407" t="s">
        <v>269</v>
      </c>
      <c r="S15" s="406"/>
      <c r="T15" s="406"/>
      <c r="U15" s="408"/>
      <c r="V15" s="406"/>
      <c r="W15" s="406"/>
      <c r="X15" s="406"/>
      <c r="Y15" s="406"/>
      <c r="Z15" s="406"/>
      <c r="AA15" s="406"/>
      <c r="AB15" s="406"/>
      <c r="AC15" s="406"/>
      <c r="AD15" s="406"/>
      <c r="AF15" s="86">
        <v>500</v>
      </c>
      <c r="AG15" s="79">
        <f>3242-990</f>
        <v>2252</v>
      </c>
      <c r="AH15" s="381">
        <f>AG15*500</f>
        <v>1126000</v>
      </c>
      <c r="AK15" s="79">
        <v>71602154</v>
      </c>
      <c r="AL15" s="79">
        <v>64200</v>
      </c>
    </row>
    <row r="16" spans="1:38">
      <c r="A16" s="195" t="s">
        <v>260</v>
      </c>
      <c r="B16" s="349" t="s">
        <v>261</v>
      </c>
      <c r="C16" s="175">
        <f>MIN(クレーン熊本!375:375)</f>
        <v>701</v>
      </c>
      <c r="D16" s="175">
        <f>MAX(クレーン熊本!375:375)</f>
        <v>3182</v>
      </c>
      <c r="E16" s="175">
        <f>D16-C16</f>
        <v>2481</v>
      </c>
      <c r="F16" s="268">
        <f>SUM(E16)</f>
        <v>2481</v>
      </c>
      <c r="G16" s="222">
        <v>248</v>
      </c>
      <c r="H16" s="175"/>
      <c r="I16" s="323">
        <v>1</v>
      </c>
      <c r="J16" s="293">
        <f>G16*1000+H16*500+I16*100</f>
        <v>248100</v>
      </c>
      <c r="K16" s="175">
        <f>J16-F16*100</f>
        <v>0</v>
      </c>
      <c r="L16" s="176"/>
      <c r="M16" s="85"/>
      <c r="N16" s="85"/>
      <c r="O16" s="85"/>
      <c r="P16" s="84"/>
      <c r="Q16" s="385" t="s">
        <v>157</v>
      </c>
      <c r="R16" s="386" t="s">
        <v>257</v>
      </c>
      <c r="U16" s="386"/>
      <c r="V16" s="386"/>
      <c r="W16" s="386"/>
      <c r="X16" s="386"/>
      <c r="Y16" s="386"/>
      <c r="AD16" s="386"/>
      <c r="AF16" s="86">
        <v>100</v>
      </c>
      <c r="AG16" s="79">
        <v>22389</v>
      </c>
      <c r="AH16" s="381">
        <f>AG16*100</f>
        <v>2238900</v>
      </c>
      <c r="AK16" s="79">
        <v>71602154</v>
      </c>
      <c r="AL16" s="79">
        <v>0</v>
      </c>
    </row>
    <row r="17" spans="1:43">
      <c r="A17" s="195" t="s">
        <v>260</v>
      </c>
      <c r="B17" s="349" t="s">
        <v>263</v>
      </c>
      <c r="C17" s="175">
        <f>MIN(クレーン熊本!387:387)</f>
        <v>664</v>
      </c>
      <c r="D17" s="175">
        <f>MAX(クレーン熊本!387:387)</f>
        <v>1247</v>
      </c>
      <c r="E17" s="175">
        <f>D17-C17</f>
        <v>583</v>
      </c>
      <c r="F17" s="268">
        <f>SUM(E17)</f>
        <v>583</v>
      </c>
      <c r="G17" s="222">
        <v>58</v>
      </c>
      <c r="H17" s="175"/>
      <c r="I17" s="323">
        <v>3</v>
      </c>
      <c r="J17" s="293">
        <f>G17*1000+H17*500+I17*100</f>
        <v>58300</v>
      </c>
      <c r="K17" s="175">
        <f>J17-F17*100</f>
        <v>0</v>
      </c>
      <c r="L17" s="176"/>
      <c r="M17" s="85"/>
      <c r="N17" s="85"/>
      <c r="O17" s="85"/>
      <c r="P17" s="84"/>
      <c r="Q17" s="385" t="s">
        <v>258</v>
      </c>
      <c r="R17" s="386" t="s">
        <v>259</v>
      </c>
      <c r="U17" s="386"/>
      <c r="V17" s="386"/>
      <c r="W17" s="386"/>
      <c r="X17" s="386"/>
      <c r="Y17" s="386"/>
      <c r="AD17" s="386"/>
      <c r="AH17" s="381">
        <f>SUM(AH12:AH16)</f>
        <v>9540900</v>
      </c>
      <c r="AJ17" s="79" t="s">
        <v>266</v>
      </c>
      <c r="AK17" s="79" t="s">
        <v>267</v>
      </c>
      <c r="AL17" s="79">
        <v>22700</v>
      </c>
    </row>
    <row r="18" spans="1:43">
      <c r="A18" s="84"/>
      <c r="B18" s="143"/>
      <c r="C18" s="84"/>
      <c r="D18" s="84"/>
      <c r="E18" s="84"/>
      <c r="F18" s="84"/>
      <c r="G18" s="311"/>
      <c r="H18" s="84"/>
      <c r="I18" s="312"/>
      <c r="J18" s="84">
        <f>SUM(J7:J17)</f>
        <v>734800</v>
      </c>
      <c r="K18" s="84"/>
      <c r="L18" s="85"/>
      <c r="M18" s="85"/>
      <c r="N18" s="85"/>
      <c r="O18" s="85"/>
      <c r="P18" s="84"/>
      <c r="Q18" s="405" t="s">
        <v>159</v>
      </c>
      <c r="R18" s="406" t="s">
        <v>262</v>
      </c>
      <c r="S18" s="406"/>
      <c r="T18" s="406"/>
      <c r="U18" s="406"/>
      <c r="V18" s="406"/>
      <c r="W18" s="406"/>
      <c r="X18" s="406"/>
      <c r="Y18" s="406"/>
      <c r="Z18" s="406"/>
      <c r="AA18" s="406"/>
      <c r="AB18" s="406"/>
      <c r="AC18" s="406"/>
      <c r="AD18" s="406"/>
      <c r="AG18" s="80">
        <f>+AG8-AG9</f>
        <v>0</v>
      </c>
      <c r="AH18" s="381">
        <f>+AH17-AG11</f>
        <v>-29600</v>
      </c>
      <c r="AK18" s="79" t="s">
        <v>270</v>
      </c>
      <c r="AL18" s="79">
        <v>7900</v>
      </c>
    </row>
    <row r="19" spans="1:43" ht="16" thickBot="1">
      <c r="A19" s="84"/>
      <c r="B19" s="143"/>
      <c r="C19" s="84"/>
      <c r="D19" s="84"/>
      <c r="E19" s="84"/>
      <c r="F19" s="84"/>
      <c r="G19" s="311"/>
      <c r="H19" s="84"/>
      <c r="I19" s="312"/>
      <c r="J19" s="84"/>
      <c r="K19" s="84"/>
      <c r="L19" s="85"/>
      <c r="M19" s="85"/>
      <c r="N19" s="85"/>
      <c r="O19" s="85"/>
      <c r="P19" s="84"/>
      <c r="Q19" s="404" t="s">
        <v>282</v>
      </c>
      <c r="R19" s="409" t="s">
        <v>283</v>
      </c>
      <c r="S19" s="403"/>
      <c r="T19" s="403"/>
      <c r="U19" s="403"/>
      <c r="V19" s="403"/>
      <c r="W19" s="403"/>
      <c r="X19" s="403"/>
      <c r="Y19" s="403"/>
      <c r="Z19" s="403"/>
      <c r="AA19" s="403"/>
      <c r="AB19" s="403"/>
      <c r="AC19" s="403"/>
      <c r="AD19" s="403"/>
      <c r="AE19" s="403"/>
      <c r="AF19" s="403"/>
      <c r="AG19" s="403"/>
      <c r="AH19" s="403"/>
      <c r="AI19" s="403"/>
      <c r="AJ19" s="403"/>
      <c r="AK19" s="403"/>
      <c r="AL19" s="403"/>
      <c r="AM19" s="403"/>
      <c r="AN19" s="403"/>
      <c r="AO19" s="403"/>
      <c r="AP19" s="403"/>
      <c r="AQ19" s="403"/>
    </row>
    <row r="20" spans="1:43" ht="16" thickTop="1">
      <c r="A20" s="84"/>
      <c r="B20" s="143"/>
      <c r="C20" s="84"/>
      <c r="D20" s="84"/>
      <c r="E20" s="84"/>
      <c r="F20" s="84"/>
      <c r="G20" s="311"/>
      <c r="H20" s="84"/>
      <c r="I20" s="312"/>
      <c r="J20" s="84"/>
      <c r="K20" s="84"/>
      <c r="L20" s="85"/>
      <c r="M20" s="85"/>
      <c r="N20" s="85"/>
      <c r="O20" s="85"/>
      <c r="P20" s="84"/>
      <c r="Q20" s="385" t="s">
        <v>286</v>
      </c>
      <c r="R20" s="393" t="s">
        <v>287</v>
      </c>
      <c r="U20" s="386"/>
      <c r="Z20" s="387"/>
      <c r="AD20" s="386"/>
      <c r="AE20" s="386"/>
      <c r="AF20" s="386"/>
      <c r="AG20" s="386"/>
      <c r="AH20" s="386"/>
      <c r="AI20" s="386"/>
      <c r="AJ20" s="386"/>
      <c r="AK20" s="386"/>
      <c r="AL20" s="386"/>
      <c r="AM20" s="386"/>
      <c r="AN20" s="386"/>
      <c r="AO20" s="386"/>
      <c r="AP20" s="386"/>
      <c r="AQ20" s="386"/>
    </row>
    <row r="21" spans="1:43" ht="15.75" customHeight="1">
      <c r="A21" s="84"/>
      <c r="B21" s="143"/>
      <c r="C21" s="84"/>
      <c r="D21" s="84"/>
      <c r="E21" s="84"/>
      <c r="F21" s="84"/>
      <c r="G21" s="311"/>
      <c r="H21" s="84"/>
      <c r="I21" s="312"/>
      <c r="J21" s="84"/>
      <c r="K21" s="84"/>
      <c r="L21" s="85"/>
      <c r="M21" s="85"/>
      <c r="N21" s="85"/>
      <c r="O21" s="85"/>
      <c r="P21" s="84"/>
      <c r="Q21" s="385" t="s">
        <v>271</v>
      </c>
      <c r="R21" s="393" t="s">
        <v>272</v>
      </c>
      <c r="U21" s="386"/>
      <c r="W21" s="386"/>
      <c r="X21" s="386"/>
      <c r="Y21" s="386"/>
      <c r="AD21" s="386"/>
      <c r="AE21" s="386"/>
      <c r="AF21" s="386"/>
      <c r="AG21" s="386"/>
      <c r="AH21" s="386"/>
      <c r="AI21" s="386"/>
      <c r="AJ21" s="386"/>
      <c r="AK21" s="386"/>
      <c r="AL21" s="386"/>
      <c r="AM21" s="386"/>
      <c r="AN21" s="386"/>
      <c r="AO21" s="386"/>
      <c r="AP21" s="386"/>
      <c r="AQ21" s="386"/>
    </row>
    <row r="22" spans="1:43" ht="15.75" customHeight="1" thickBot="1">
      <c r="A22" s="95" t="s">
        <v>180</v>
      </c>
      <c r="B22" s="342" t="s">
        <v>419</v>
      </c>
      <c r="C22" s="84"/>
      <c r="D22" s="84"/>
      <c r="E22" s="84"/>
      <c r="F22" s="84">
        <f>SUM(F23:F44)</f>
        <v>10387</v>
      </c>
      <c r="G22" s="311"/>
      <c r="H22" s="84"/>
      <c r="I22" s="312"/>
      <c r="J22" s="84"/>
      <c r="K22" s="84"/>
      <c r="L22" s="84"/>
      <c r="M22" s="84"/>
      <c r="N22" s="84"/>
      <c r="O22" s="84"/>
      <c r="P22" s="84"/>
      <c r="Q22" s="404" t="s">
        <v>273</v>
      </c>
      <c r="R22" s="409" t="s">
        <v>274</v>
      </c>
      <c r="S22" s="403"/>
      <c r="T22" s="403"/>
      <c r="U22" s="403"/>
      <c r="V22" s="410"/>
      <c r="W22" s="403"/>
      <c r="X22" s="403"/>
      <c r="Y22" s="403"/>
      <c r="Z22" s="403"/>
      <c r="AA22" s="403"/>
      <c r="AB22" s="403"/>
      <c r="AC22" s="403"/>
      <c r="AD22" s="403"/>
      <c r="AF22" s="86">
        <v>500</v>
      </c>
      <c r="AG22" s="79">
        <v>3243</v>
      </c>
      <c r="AH22" s="381">
        <f>AG22*500</f>
        <v>1621500</v>
      </c>
      <c r="AJ22" s="79" t="s">
        <v>280</v>
      </c>
      <c r="AK22" s="79" t="s">
        <v>281</v>
      </c>
      <c r="AL22" s="79">
        <v>32400</v>
      </c>
    </row>
    <row r="23" spans="1:43" ht="15.75" customHeight="1" thickTop="1">
      <c r="A23" s="135" t="s">
        <v>428</v>
      </c>
      <c r="B23" s="345"/>
      <c r="C23" s="181">
        <f>MIN(ガチャ!166:166)</f>
        <v>6742</v>
      </c>
      <c r="D23" s="181">
        <f>MAX(ガチャ!166:166)</f>
        <v>6948</v>
      </c>
      <c r="E23" s="150">
        <f t="shared" ref="E23:E42" si="6">D23-C23</f>
        <v>206</v>
      </c>
      <c r="F23" s="262">
        <f>E23*10</f>
        <v>2060</v>
      </c>
      <c r="G23" s="315">
        <v>206</v>
      </c>
      <c r="H23" s="182"/>
      <c r="I23" s="316"/>
      <c r="J23" s="286">
        <f>G23*1000</f>
        <v>206000</v>
      </c>
      <c r="K23" s="181">
        <f>J23-F23*100</f>
        <v>0</v>
      </c>
      <c r="L23" s="183"/>
      <c r="M23" s="184"/>
      <c r="N23" s="185"/>
      <c r="O23" s="186"/>
      <c r="P23" s="187"/>
      <c r="Q23" s="385" t="s">
        <v>275</v>
      </c>
      <c r="R23" s="393" t="s">
        <v>276</v>
      </c>
      <c r="S23" s="386" t="s">
        <v>248</v>
      </c>
      <c r="U23" s="386"/>
      <c r="V23" s="386"/>
      <c r="W23" s="386"/>
      <c r="X23" s="386"/>
      <c r="Y23" s="386"/>
      <c r="AD23" s="386"/>
      <c r="AF23" s="86">
        <v>100</v>
      </c>
      <c r="AG23" s="79">
        <v>30775</v>
      </c>
      <c r="AH23" s="381">
        <f>AG23*100</f>
        <v>3077500</v>
      </c>
      <c r="AJ23" s="79" t="s">
        <v>280</v>
      </c>
      <c r="AK23" s="79" t="s">
        <v>284</v>
      </c>
      <c r="AL23" s="79">
        <v>60600</v>
      </c>
    </row>
    <row r="24" spans="1:43" ht="15.75" customHeight="1">
      <c r="A24" s="188" t="s">
        <v>242</v>
      </c>
      <c r="B24" s="346" t="s">
        <v>285</v>
      </c>
      <c r="C24" s="150">
        <f>MIN(クレーン熊本!3:3)</f>
        <v>9801</v>
      </c>
      <c r="D24" s="150">
        <f>MAX(クレーン熊本!3:3)</f>
        <v>9991</v>
      </c>
      <c r="E24" s="150">
        <f t="shared" si="6"/>
        <v>190</v>
      </c>
      <c r="F24" s="263">
        <f>SUM(E24:E27)</f>
        <v>1070</v>
      </c>
      <c r="G24" s="235">
        <v>107</v>
      </c>
      <c r="H24" s="150"/>
      <c r="I24" s="317"/>
      <c r="J24" s="287">
        <f>G24*1000+H24*500+I24*100</f>
        <v>107000</v>
      </c>
      <c r="K24" s="150">
        <f>J24-F24*100</f>
        <v>0</v>
      </c>
      <c r="L24" s="172">
        <v>100</v>
      </c>
      <c r="M24" s="160"/>
      <c r="N24" s="155"/>
      <c r="O24" s="154"/>
      <c r="P24" s="189"/>
      <c r="Q24" s="385" t="s">
        <v>277</v>
      </c>
      <c r="R24" s="393" t="s">
        <v>278</v>
      </c>
      <c r="S24" s="386" t="s">
        <v>279</v>
      </c>
      <c r="U24" s="394"/>
      <c r="V24" s="386"/>
      <c r="W24" s="386"/>
      <c r="X24" s="386"/>
      <c r="Y24" s="386"/>
      <c r="AD24" s="386"/>
      <c r="AH24" s="381">
        <f>SUM(AH19:AH23)</f>
        <v>4699000</v>
      </c>
      <c r="AK24" s="79" t="s">
        <v>288</v>
      </c>
      <c r="AL24" s="79">
        <v>39900</v>
      </c>
    </row>
    <row r="25" spans="1:43" ht="15.75" customHeight="1">
      <c r="A25" s="190"/>
      <c r="B25" s="347"/>
      <c r="C25" s="153">
        <f>MIN(クレーン熊本!15:15)</f>
        <v>11213</v>
      </c>
      <c r="D25" s="153">
        <f>MAX(クレーン熊本!15:15)</f>
        <v>11535</v>
      </c>
      <c r="E25" s="153">
        <f t="shared" si="6"/>
        <v>322</v>
      </c>
      <c r="F25" s="264"/>
      <c r="G25" s="318"/>
      <c r="H25" s="153"/>
      <c r="I25" s="189"/>
      <c r="J25" s="288"/>
      <c r="K25" s="153"/>
      <c r="L25" s="173"/>
      <c r="M25" s="161" t="s">
        <v>289</v>
      </c>
      <c r="N25" s="153" t="s">
        <v>290</v>
      </c>
      <c r="O25" s="154"/>
      <c r="P25" s="189"/>
      <c r="Q25" s="385"/>
      <c r="U25" s="386"/>
      <c r="V25" s="386"/>
      <c r="W25" s="386"/>
      <c r="X25" s="386"/>
      <c r="Y25" s="386"/>
      <c r="AD25" s="386"/>
      <c r="AH25" s="381">
        <f>+AH24-AG11-AG2</f>
        <v>-7492900</v>
      </c>
      <c r="AJ25" s="79" t="s">
        <v>280</v>
      </c>
      <c r="AK25" s="79" t="s">
        <v>291</v>
      </c>
      <c r="AL25" s="79">
        <v>27700</v>
      </c>
    </row>
    <row r="26" spans="1:43" ht="15.75" customHeight="1">
      <c r="A26" s="190"/>
      <c r="B26" s="347"/>
      <c r="C26" s="153">
        <f>MIN(クレーン熊本!27:27)</f>
        <v>15809</v>
      </c>
      <c r="D26" s="153">
        <f>MAX(クレーン熊本!27:27)</f>
        <v>16082</v>
      </c>
      <c r="E26" s="153">
        <f t="shared" si="6"/>
        <v>273</v>
      </c>
      <c r="F26" s="264"/>
      <c r="G26" s="318"/>
      <c r="H26" s="153"/>
      <c r="I26" s="189"/>
      <c r="J26" s="161"/>
      <c r="K26" s="153"/>
      <c r="L26" s="173"/>
      <c r="M26" s="161"/>
      <c r="N26" s="153" t="s">
        <v>292</v>
      </c>
      <c r="O26" s="154"/>
      <c r="P26" s="189"/>
      <c r="AG26" s="80">
        <f>AG1-7200000</f>
        <v>4991900</v>
      </c>
      <c r="AJ26" s="79" t="s">
        <v>293</v>
      </c>
      <c r="AK26" s="79" t="s">
        <v>294</v>
      </c>
      <c r="AL26" s="79">
        <v>91700</v>
      </c>
    </row>
    <row r="27" spans="1:43" ht="15.75" customHeight="1">
      <c r="A27" s="191"/>
      <c r="B27" s="348"/>
      <c r="C27" s="158">
        <f>MIN(クレーン熊本!39:39)</f>
        <v>11596</v>
      </c>
      <c r="D27" s="158">
        <f>MAX(クレーン熊本!39:39)</f>
        <v>11881</v>
      </c>
      <c r="E27" s="158">
        <f t="shared" si="6"/>
        <v>285</v>
      </c>
      <c r="F27" s="265"/>
      <c r="G27" s="236"/>
      <c r="H27" s="158"/>
      <c r="I27" s="319"/>
      <c r="J27" s="289"/>
      <c r="K27" s="158"/>
      <c r="L27" s="174"/>
      <c r="M27" s="162"/>
      <c r="N27" s="154" t="s">
        <v>295</v>
      </c>
      <c r="O27" s="154"/>
      <c r="P27" s="189"/>
      <c r="AF27" s="86" t="s">
        <v>231</v>
      </c>
      <c r="AH27" s="381">
        <f>AG27*10000</f>
        <v>0</v>
      </c>
      <c r="AJ27" s="79" t="s">
        <v>296</v>
      </c>
      <c r="AK27" s="79" t="s">
        <v>297</v>
      </c>
      <c r="AL27" s="79">
        <v>30800</v>
      </c>
    </row>
    <row r="28" spans="1:43" ht="15.75" customHeight="1">
      <c r="A28" s="192" t="s">
        <v>172</v>
      </c>
      <c r="B28" s="350"/>
      <c r="C28" s="167">
        <f>MIN(ガチャ!178:178)</f>
        <v>5970</v>
      </c>
      <c r="D28" s="167">
        <f>MAX(ガチャ!178:178)</f>
        <v>6267</v>
      </c>
      <c r="E28" s="167">
        <f t="shared" si="6"/>
        <v>297</v>
      </c>
      <c r="F28" s="266">
        <f>SUM(E28:E29)</f>
        <v>1005</v>
      </c>
      <c r="G28" s="240"/>
      <c r="H28" s="167">
        <v>49</v>
      </c>
      <c r="I28" s="320">
        <v>746</v>
      </c>
      <c r="J28" s="290">
        <f>G28*1000+H28*500+I28*100</f>
        <v>99100</v>
      </c>
      <c r="K28" s="167">
        <f>J28-F28*100</f>
        <v>-1400</v>
      </c>
      <c r="L28" s="177">
        <v>500</v>
      </c>
      <c r="M28" s="162"/>
      <c r="N28" s="154"/>
      <c r="O28" s="154"/>
      <c r="P28" s="189"/>
      <c r="AF28" s="86" t="s">
        <v>234</v>
      </c>
      <c r="AH28" s="381">
        <f>AG28*5000</f>
        <v>0</v>
      </c>
      <c r="AJ28" s="79" t="s">
        <v>298</v>
      </c>
      <c r="AK28" s="79" t="s">
        <v>299</v>
      </c>
      <c r="AL28" s="79">
        <v>35600</v>
      </c>
    </row>
    <row r="29" spans="1:43" ht="15.75" customHeight="1">
      <c r="A29" s="193"/>
      <c r="B29" s="351"/>
      <c r="C29" s="164">
        <f>MIN(ガチャ!188:188)</f>
        <v>9192</v>
      </c>
      <c r="D29" s="164">
        <f>MAX(ガチャ!188:188)</f>
        <v>9900</v>
      </c>
      <c r="E29" s="164">
        <f t="shared" si="6"/>
        <v>708</v>
      </c>
      <c r="F29" s="267"/>
      <c r="G29" s="321"/>
      <c r="H29" s="164"/>
      <c r="I29" s="322"/>
      <c r="J29" s="291"/>
      <c r="K29" s="164"/>
      <c r="L29" s="178"/>
      <c r="M29" s="162"/>
      <c r="N29" s="154"/>
      <c r="O29" s="154"/>
      <c r="P29" s="189"/>
      <c r="AF29" s="86" t="s">
        <v>237</v>
      </c>
      <c r="AG29" s="79">
        <v>1370</v>
      </c>
      <c r="AH29" s="381">
        <f>AG29*1000</f>
        <v>1370000</v>
      </c>
      <c r="AJ29" s="79" t="s">
        <v>300</v>
      </c>
      <c r="AK29" s="79" t="s">
        <v>301</v>
      </c>
      <c r="AL29" s="79">
        <v>47500</v>
      </c>
    </row>
    <row r="30" spans="1:43" ht="15.75" customHeight="1">
      <c r="A30" s="188" t="s">
        <v>302</v>
      </c>
      <c r="B30" s="346" t="s">
        <v>303</v>
      </c>
      <c r="C30" s="150">
        <f>MIN(クレーン熊本!111:111)</f>
        <v>31946</v>
      </c>
      <c r="D30" s="150">
        <f>MAX(クレーン熊本!111:111)</f>
        <v>32161</v>
      </c>
      <c r="E30" s="150">
        <f t="shared" si="6"/>
        <v>215</v>
      </c>
      <c r="F30" s="263">
        <f>SUM(E30:E31)</f>
        <v>696</v>
      </c>
      <c r="G30" s="235">
        <v>69</v>
      </c>
      <c r="H30" s="150"/>
      <c r="I30" s="317">
        <v>6</v>
      </c>
      <c r="J30" s="287">
        <f>G30*1000+H30*500+I30*100</f>
        <v>69600</v>
      </c>
      <c r="K30" s="150">
        <f>J30-F30*100</f>
        <v>0</v>
      </c>
      <c r="L30" s="172"/>
      <c r="M30" s="162"/>
      <c r="N30" s="154"/>
      <c r="O30" s="154"/>
      <c r="P30" s="189"/>
      <c r="AF30" s="86">
        <v>500</v>
      </c>
      <c r="AG30" s="79">
        <v>3243</v>
      </c>
      <c r="AH30" s="381">
        <f>AG30*500</f>
        <v>1621500</v>
      </c>
      <c r="AJ30" s="79" t="s">
        <v>304</v>
      </c>
      <c r="AK30" s="79" t="s">
        <v>305</v>
      </c>
      <c r="AL30" s="79">
        <v>66300</v>
      </c>
    </row>
    <row r="31" spans="1:43" ht="15.75" customHeight="1">
      <c r="A31" s="191"/>
      <c r="B31" s="348"/>
      <c r="C31" s="158">
        <f>MIN(クレーン熊本!123:123)</f>
        <v>36826</v>
      </c>
      <c r="D31" s="158">
        <f>MAX(クレーン熊本!123:123)</f>
        <v>37307</v>
      </c>
      <c r="E31" s="158">
        <f t="shared" si="6"/>
        <v>481</v>
      </c>
      <c r="F31" s="265"/>
      <c r="G31" s="236"/>
      <c r="H31" s="158"/>
      <c r="I31" s="319"/>
      <c r="J31" s="292"/>
      <c r="K31" s="158"/>
      <c r="L31" s="174"/>
      <c r="M31" s="162"/>
      <c r="N31" s="154"/>
      <c r="O31" s="154"/>
      <c r="P31" s="189"/>
      <c r="AF31" s="86">
        <v>100</v>
      </c>
      <c r="AG31" s="79">
        <v>20000</v>
      </c>
      <c r="AH31" s="381">
        <f>AG31*100</f>
        <v>2000000</v>
      </c>
      <c r="AJ31" s="79" t="s">
        <v>304</v>
      </c>
      <c r="AK31" s="79" t="s">
        <v>306</v>
      </c>
      <c r="AL31" s="79">
        <v>60700</v>
      </c>
    </row>
    <row r="32" spans="1:43" ht="15.75" customHeight="1">
      <c r="A32" s="192" t="s">
        <v>307</v>
      </c>
      <c r="B32" s="350" t="s">
        <v>308</v>
      </c>
      <c r="C32" s="167">
        <f>MIN(クレーン熊本!135:135)</f>
        <v>52064</v>
      </c>
      <c r="D32" s="167">
        <f>MAX(クレーン熊本!135:135)</f>
        <v>52157</v>
      </c>
      <c r="E32" s="167">
        <f t="shared" si="6"/>
        <v>93</v>
      </c>
      <c r="F32" s="266">
        <f>SUM(E32:E33)</f>
        <v>215</v>
      </c>
      <c r="G32" s="240">
        <v>21</v>
      </c>
      <c r="H32" s="167"/>
      <c r="I32" s="320">
        <v>5</v>
      </c>
      <c r="J32" s="290">
        <f>G32*1000+H32*500+I32*100</f>
        <v>21500</v>
      </c>
      <c r="K32" s="167">
        <f>J32-F32*100</f>
        <v>0</v>
      </c>
      <c r="L32" s="177"/>
      <c r="M32" s="162"/>
      <c r="N32" s="154"/>
      <c r="O32" s="154"/>
      <c r="P32" s="189"/>
      <c r="AH32" s="381">
        <f>SUM(AH27:AH31)</f>
        <v>4991500</v>
      </c>
      <c r="AJ32" s="79" t="s">
        <v>242</v>
      </c>
      <c r="AK32" s="79" t="s">
        <v>309</v>
      </c>
      <c r="AL32" s="79">
        <v>166600</v>
      </c>
    </row>
    <row r="33" spans="1:38" ht="15.75" customHeight="1">
      <c r="A33" s="193"/>
      <c r="B33" s="351"/>
      <c r="C33" s="164">
        <f>MIN(クレーン熊本!147:147)</f>
        <v>55298</v>
      </c>
      <c r="D33" s="164">
        <f>MAX(クレーン熊本!147:147)</f>
        <v>55420</v>
      </c>
      <c r="E33" s="164">
        <f t="shared" si="6"/>
        <v>122</v>
      </c>
      <c r="F33" s="267"/>
      <c r="G33" s="321"/>
      <c r="H33" s="164"/>
      <c r="I33" s="322"/>
      <c r="J33" s="291"/>
      <c r="K33" s="164"/>
      <c r="L33" s="178"/>
      <c r="M33" s="162"/>
      <c r="N33" s="154"/>
      <c r="O33" s="154"/>
      <c r="P33" s="189"/>
      <c r="AH33" s="381">
        <f>+AH32-AG26-AG10</f>
        <v>-400</v>
      </c>
      <c r="AJ33" s="79" t="s">
        <v>242</v>
      </c>
      <c r="AK33" s="79" t="s">
        <v>310</v>
      </c>
      <c r="AL33" s="79">
        <v>246600</v>
      </c>
    </row>
    <row r="34" spans="1:38" ht="15.75" customHeight="1">
      <c r="A34" s="188" t="s">
        <v>311</v>
      </c>
      <c r="B34" s="346" t="s">
        <v>312</v>
      </c>
      <c r="C34" s="150">
        <f>MIN(クレーン熊本!159:159)</f>
        <v>50587</v>
      </c>
      <c r="D34" s="150">
        <f>MAX(クレーン熊本!159:159)</f>
        <v>50769</v>
      </c>
      <c r="E34" s="150">
        <f t="shared" si="6"/>
        <v>182</v>
      </c>
      <c r="F34" s="263">
        <f>SUM(E34:E35)</f>
        <v>326</v>
      </c>
      <c r="G34" s="235">
        <v>32</v>
      </c>
      <c r="H34" s="150"/>
      <c r="I34" s="317">
        <v>6</v>
      </c>
      <c r="J34" s="287">
        <f>G34*1000+H34*500+I34*100</f>
        <v>32600</v>
      </c>
      <c r="K34" s="150">
        <f>J34-F34*100</f>
        <v>0</v>
      </c>
      <c r="L34" s="172"/>
      <c r="M34" s="162"/>
      <c r="N34" s="154"/>
      <c r="O34" s="154"/>
      <c r="P34" s="189"/>
      <c r="AJ34" s="79" t="s">
        <v>304</v>
      </c>
      <c r="AK34" s="79" t="s">
        <v>313</v>
      </c>
      <c r="AL34" s="79">
        <v>65100</v>
      </c>
    </row>
    <row r="35" spans="1:38" ht="15.75" customHeight="1">
      <c r="A35" s="191"/>
      <c r="B35" s="348"/>
      <c r="C35" s="158">
        <f>MIN(クレーン熊本!171:171)</f>
        <v>48311</v>
      </c>
      <c r="D35" s="158">
        <f>MAX(クレーン熊本!171:171)</f>
        <v>48455</v>
      </c>
      <c r="E35" s="158">
        <f t="shared" si="6"/>
        <v>144</v>
      </c>
      <c r="F35" s="265"/>
      <c r="G35" s="236"/>
      <c r="H35" s="158"/>
      <c r="I35" s="319"/>
      <c r="J35" s="292"/>
      <c r="K35" s="158"/>
      <c r="L35" s="174"/>
      <c r="M35" s="162"/>
      <c r="N35" s="154"/>
      <c r="O35" s="154"/>
      <c r="P35" s="189"/>
      <c r="AJ35" s="79" t="s">
        <v>242</v>
      </c>
      <c r="AK35" s="79" t="s">
        <v>314</v>
      </c>
      <c r="AL35" s="79">
        <v>173000</v>
      </c>
    </row>
    <row r="36" spans="1:38" ht="15.75" customHeight="1">
      <c r="A36" s="192" t="s">
        <v>315</v>
      </c>
      <c r="B36" s="350" t="s">
        <v>316</v>
      </c>
      <c r="C36" s="167">
        <f>MIN(クレーン熊本!183:183)</f>
        <v>58639</v>
      </c>
      <c r="D36" s="167">
        <f>MAX(クレーン熊本!183:183)</f>
        <v>58895</v>
      </c>
      <c r="E36" s="167">
        <f t="shared" si="6"/>
        <v>256</v>
      </c>
      <c r="F36" s="266">
        <f>SUM(E36:E37)</f>
        <v>523</v>
      </c>
      <c r="G36" s="240">
        <v>52</v>
      </c>
      <c r="H36" s="167"/>
      <c r="I36" s="320">
        <v>3</v>
      </c>
      <c r="J36" s="290">
        <f>G36*1000+H36*500+I36*100</f>
        <v>52300</v>
      </c>
      <c r="K36" s="167">
        <f>J36-F36*100</f>
        <v>0</v>
      </c>
      <c r="L36" s="177"/>
      <c r="M36" s="162"/>
      <c r="N36" s="154"/>
      <c r="O36" s="154"/>
      <c r="P36" s="189"/>
      <c r="AJ36" s="79" t="s">
        <v>317</v>
      </c>
      <c r="AK36" s="79" t="s">
        <v>318</v>
      </c>
      <c r="AL36" s="79">
        <v>182800</v>
      </c>
    </row>
    <row r="37" spans="1:38" ht="15.75" customHeight="1">
      <c r="A37" s="193"/>
      <c r="B37" s="351"/>
      <c r="C37" s="164">
        <f>MIN(クレーン熊本!195:195)</f>
        <v>46758</v>
      </c>
      <c r="D37" s="164">
        <f>MAX(クレーン熊本!195:195)</f>
        <v>47025</v>
      </c>
      <c r="E37" s="164">
        <f t="shared" si="6"/>
        <v>267</v>
      </c>
      <c r="F37" s="267"/>
      <c r="G37" s="321"/>
      <c r="H37" s="164"/>
      <c r="I37" s="322"/>
      <c r="J37" s="291"/>
      <c r="K37" s="164"/>
      <c r="L37" s="178"/>
      <c r="M37" s="162"/>
      <c r="N37" s="154"/>
      <c r="O37" s="154"/>
      <c r="P37" s="189"/>
      <c r="AJ37" s="79" t="s">
        <v>317</v>
      </c>
      <c r="AK37" s="79" t="s">
        <v>319</v>
      </c>
      <c r="AL37" s="79">
        <v>260000</v>
      </c>
    </row>
    <row r="38" spans="1:38" ht="15.75" customHeight="1">
      <c r="A38" s="188" t="s">
        <v>320</v>
      </c>
      <c r="B38" s="346" t="s">
        <v>321</v>
      </c>
      <c r="C38" s="150">
        <f>MIN(クレーン熊本!51:51)</f>
        <v>5365</v>
      </c>
      <c r="D38" s="150">
        <f>MAX(クレーン熊本!51:51)</f>
        <v>5628</v>
      </c>
      <c r="E38" s="150">
        <f t="shared" si="6"/>
        <v>263</v>
      </c>
      <c r="F38" s="263">
        <f>SUM(E38:E41)</f>
        <v>1322</v>
      </c>
      <c r="G38" s="235">
        <v>132</v>
      </c>
      <c r="H38" s="150"/>
      <c r="I38" s="317">
        <v>2</v>
      </c>
      <c r="J38" s="287">
        <f>G38*1000+H38*500+I38*100</f>
        <v>132200</v>
      </c>
      <c r="K38" s="150">
        <f>J38-F38*100</f>
        <v>0</v>
      </c>
      <c r="L38" s="172"/>
      <c r="M38" s="162"/>
      <c r="N38" s="154"/>
      <c r="O38" s="154"/>
      <c r="P38" s="189"/>
      <c r="AJ38" s="79" t="s">
        <v>322</v>
      </c>
      <c r="AK38" s="79" t="s">
        <v>323</v>
      </c>
      <c r="AL38" s="79">
        <v>207100</v>
      </c>
    </row>
    <row r="39" spans="1:38" ht="15.75" customHeight="1">
      <c r="A39" s="190"/>
      <c r="B39" s="347"/>
      <c r="C39" s="153">
        <f>MIN(クレーン熊本!63:63)</f>
        <v>5212</v>
      </c>
      <c r="D39" s="153">
        <f>MAX(クレーン熊本!63:63)</f>
        <v>5295</v>
      </c>
      <c r="E39" s="153">
        <f t="shared" si="6"/>
        <v>83</v>
      </c>
      <c r="F39" s="264"/>
      <c r="G39" s="318"/>
      <c r="H39" s="153"/>
      <c r="I39" s="189"/>
      <c r="J39" s="288"/>
      <c r="K39" s="153"/>
      <c r="L39" s="173"/>
      <c r="M39" s="162"/>
      <c r="N39" s="154"/>
      <c r="O39" s="154"/>
      <c r="P39" s="189"/>
      <c r="AJ39" s="79" t="s">
        <v>324</v>
      </c>
      <c r="AK39" s="79" t="s">
        <v>325</v>
      </c>
      <c r="AL39" s="79">
        <v>49800</v>
      </c>
    </row>
    <row r="40" spans="1:38" ht="15.75" customHeight="1">
      <c r="A40" s="190"/>
      <c r="B40" s="347"/>
      <c r="C40" s="153">
        <f>MIN(クレーン熊本!75:75)</f>
        <v>5671</v>
      </c>
      <c r="D40" s="153">
        <f>MAX(クレーン熊本!75:75)</f>
        <v>5913</v>
      </c>
      <c r="E40" s="153">
        <f t="shared" si="6"/>
        <v>242</v>
      </c>
      <c r="F40" s="264"/>
      <c r="G40" s="318"/>
      <c r="H40" s="153"/>
      <c r="I40" s="189"/>
      <c r="J40" s="161"/>
      <c r="K40" s="153"/>
      <c r="L40" s="173"/>
      <c r="M40" s="162"/>
      <c r="N40" s="154"/>
      <c r="O40" s="154"/>
      <c r="P40" s="189"/>
      <c r="AJ40" s="79" t="s">
        <v>324</v>
      </c>
      <c r="AK40" s="79" t="s">
        <v>326</v>
      </c>
      <c r="AL40" s="79">
        <v>78000</v>
      </c>
    </row>
    <row r="41" spans="1:38" ht="15.75" customHeight="1">
      <c r="A41" s="191"/>
      <c r="B41" s="348"/>
      <c r="C41" s="158">
        <f>MIN(クレーン熊本!87:87)</f>
        <v>6113</v>
      </c>
      <c r="D41" s="158">
        <f>MAX(クレーン熊本!87:87)</f>
        <v>6847</v>
      </c>
      <c r="E41" s="158">
        <f t="shared" si="6"/>
        <v>734</v>
      </c>
      <c r="F41" s="265"/>
      <c r="G41" s="236"/>
      <c r="H41" s="158"/>
      <c r="I41" s="319"/>
      <c r="J41" s="289"/>
      <c r="K41" s="158"/>
      <c r="L41" s="174"/>
      <c r="M41" s="162"/>
      <c r="N41" s="154"/>
      <c r="O41" s="154"/>
      <c r="P41" s="189"/>
      <c r="AJ41" s="79" t="s">
        <v>324</v>
      </c>
      <c r="AK41" s="79" t="s">
        <v>327</v>
      </c>
      <c r="AL41" s="79">
        <v>90400</v>
      </c>
    </row>
    <row r="42" spans="1:38" ht="15.75" customHeight="1">
      <c r="A42" s="194" t="s">
        <v>328</v>
      </c>
      <c r="B42" s="352"/>
      <c r="C42" s="167">
        <v>86135</v>
      </c>
      <c r="D42" s="167">
        <v>86299</v>
      </c>
      <c r="E42" s="169">
        <f t="shared" si="6"/>
        <v>164</v>
      </c>
      <c r="F42" s="266">
        <f>SUM(E42:E43)</f>
        <v>164</v>
      </c>
      <c r="G42" s="240"/>
      <c r="H42" s="167"/>
      <c r="I42" s="320">
        <v>164</v>
      </c>
      <c r="J42" s="290">
        <f>G42*1000+H42*500+I42*100</f>
        <v>16400</v>
      </c>
      <c r="K42" s="167">
        <f>J42-F42*100</f>
        <v>0</v>
      </c>
      <c r="L42" s="177"/>
      <c r="M42" s="162"/>
      <c r="N42" s="154"/>
      <c r="O42" s="154"/>
      <c r="P42" s="189"/>
      <c r="Q42" s="167">
        <v>85914</v>
      </c>
      <c r="AJ42" s="79" t="s">
        <v>324</v>
      </c>
      <c r="AK42" s="79" t="s">
        <v>329</v>
      </c>
      <c r="AL42" s="79">
        <v>197000</v>
      </c>
    </row>
    <row r="43" spans="1:38" ht="15.75" customHeight="1">
      <c r="A43" s="193"/>
      <c r="B43" s="351"/>
      <c r="C43" s="164"/>
      <c r="D43" s="164"/>
      <c r="E43" s="164"/>
      <c r="F43" s="267"/>
      <c r="G43" s="321"/>
      <c r="H43" s="164"/>
      <c r="I43" s="322"/>
      <c r="J43" s="291"/>
      <c r="K43" s="164"/>
      <c r="L43" s="178"/>
      <c r="M43" s="162"/>
      <c r="N43" s="154"/>
      <c r="O43" s="154"/>
      <c r="P43" s="189"/>
      <c r="AJ43" s="79" t="s">
        <v>324</v>
      </c>
      <c r="AK43" s="79" t="s">
        <v>330</v>
      </c>
      <c r="AL43" s="79">
        <v>71800</v>
      </c>
    </row>
    <row r="44" spans="1:38" ht="15.75" customHeight="1">
      <c r="A44" s="195" t="s">
        <v>260</v>
      </c>
      <c r="B44" s="349" t="s">
        <v>331</v>
      </c>
      <c r="C44" s="175">
        <f>MIN(クレーン熊本!99:99)</f>
        <v>14278</v>
      </c>
      <c r="D44" s="175">
        <f>MAX(クレーン熊本!99:99)</f>
        <v>17284</v>
      </c>
      <c r="E44" s="175">
        <f>D44-C44</f>
        <v>3006</v>
      </c>
      <c r="F44" s="268">
        <f>SUM(E44:E45)</f>
        <v>3006</v>
      </c>
      <c r="G44" s="222">
        <v>300</v>
      </c>
      <c r="H44" s="175"/>
      <c r="I44" s="323">
        <v>6</v>
      </c>
      <c r="J44" s="293">
        <f>G44*1000+H44*500+I44*100</f>
        <v>300600</v>
      </c>
      <c r="K44" s="175">
        <f>J44-F44*100</f>
        <v>0</v>
      </c>
      <c r="L44" s="176"/>
      <c r="M44" s="162"/>
      <c r="N44" s="154"/>
      <c r="O44" s="154"/>
      <c r="P44" s="189"/>
      <c r="AJ44" s="79" t="s">
        <v>242</v>
      </c>
      <c r="AK44" s="79" t="s">
        <v>332</v>
      </c>
      <c r="AL44" s="79">
        <v>130600</v>
      </c>
    </row>
    <row r="45" spans="1:38" ht="15.75" customHeight="1" thickBot="1">
      <c r="A45" s="196"/>
      <c r="B45" s="353"/>
      <c r="C45" s="197"/>
      <c r="D45" s="197"/>
      <c r="E45" s="197"/>
      <c r="F45" s="269"/>
      <c r="G45" s="205"/>
      <c r="H45" s="197"/>
      <c r="I45" s="324"/>
      <c r="J45" s="295">
        <f>SUM(J23:J44)</f>
        <v>1037300</v>
      </c>
      <c r="K45" s="197"/>
      <c r="L45" s="199"/>
      <c r="M45" s="200"/>
      <c r="N45" s="200"/>
      <c r="O45" s="200"/>
      <c r="P45" s="201"/>
      <c r="Q45" s="411"/>
      <c r="R45" s="412"/>
      <c r="S45" s="412"/>
      <c r="T45" s="412"/>
      <c r="AJ45" s="79" t="s">
        <v>322</v>
      </c>
      <c r="AK45" s="79" t="s">
        <v>333</v>
      </c>
      <c r="AL45" s="79">
        <v>152600</v>
      </c>
    </row>
    <row r="46" spans="1:38" ht="15.75" customHeight="1" thickBot="1">
      <c r="A46" s="95" t="s">
        <v>175</v>
      </c>
      <c r="B46" s="342" t="s">
        <v>420</v>
      </c>
      <c r="C46" s="84"/>
      <c r="D46" s="84"/>
      <c r="E46" s="84"/>
      <c r="F46" s="84">
        <f>SUM(F47:F53)</f>
        <v>7703</v>
      </c>
      <c r="G46" s="311"/>
      <c r="H46" s="84"/>
      <c r="I46" s="312"/>
      <c r="J46" s="84"/>
      <c r="K46" s="84"/>
      <c r="L46" s="85"/>
      <c r="M46" s="85"/>
      <c r="N46" s="85"/>
      <c r="O46" s="85"/>
      <c r="P46" s="84"/>
      <c r="Q46" s="411"/>
      <c r="R46" s="412"/>
      <c r="S46" s="412"/>
      <c r="T46" s="412"/>
      <c r="AJ46" s="79" t="s">
        <v>334</v>
      </c>
      <c r="AK46" s="79" t="s">
        <v>335</v>
      </c>
      <c r="AL46" s="79">
        <v>141000</v>
      </c>
    </row>
    <row r="47" spans="1:38" ht="15.75" customHeight="1">
      <c r="A47" s="135" t="s">
        <v>428</v>
      </c>
      <c r="B47" s="354"/>
      <c r="C47" s="181">
        <f>MIN(ガチャ!154:154)</f>
        <v>16523</v>
      </c>
      <c r="D47" s="181">
        <f>MAX(ガチャ!154:154)</f>
        <v>16833</v>
      </c>
      <c r="E47" s="181">
        <f>D47-C47</f>
        <v>310</v>
      </c>
      <c r="F47" s="270">
        <f>E47*10</f>
        <v>3100</v>
      </c>
      <c r="G47" s="221">
        <v>308</v>
      </c>
      <c r="H47" s="181"/>
      <c r="I47" s="325"/>
      <c r="J47" s="286">
        <f>G47*1000</f>
        <v>308000</v>
      </c>
      <c r="K47" s="181">
        <f>J47-F47*100</f>
        <v>-2000</v>
      </c>
      <c r="L47" s="202"/>
      <c r="M47" s="203"/>
      <c r="N47" s="204"/>
      <c r="O47" s="204"/>
      <c r="P47" s="187">
        <v>0</v>
      </c>
      <c r="Q47" s="411"/>
      <c r="R47" s="412"/>
      <c r="S47" s="412"/>
      <c r="T47" s="412"/>
      <c r="AJ47" s="79" t="s">
        <v>336</v>
      </c>
      <c r="AK47" s="79" t="s">
        <v>337</v>
      </c>
      <c r="AL47" s="79">
        <v>213700</v>
      </c>
    </row>
    <row r="48" spans="1:38" ht="15.75" customHeight="1">
      <c r="A48" s="188" t="s">
        <v>242</v>
      </c>
      <c r="B48" s="346" t="s">
        <v>338</v>
      </c>
      <c r="C48" s="150">
        <f>MIN(クレーン熊本!207:207)</f>
        <v>10546</v>
      </c>
      <c r="D48" s="150">
        <f>MAX(クレーン熊本!207:207)</f>
        <v>10931</v>
      </c>
      <c r="E48" s="150">
        <f t="shared" ref="E48:E51" si="7">D48-C48</f>
        <v>385</v>
      </c>
      <c r="F48" s="263">
        <f>SUM(E48:E51)</f>
        <v>2778</v>
      </c>
      <c r="G48" s="235">
        <v>357</v>
      </c>
      <c r="H48" s="150"/>
      <c r="I48" s="317">
        <v>8</v>
      </c>
      <c r="J48" s="287">
        <f>G48*1000+H48*500+I48*100</f>
        <v>357800</v>
      </c>
      <c r="K48" s="150">
        <f>J48-F48*100</f>
        <v>80000</v>
      </c>
      <c r="L48" s="172"/>
      <c r="M48" s="162"/>
      <c r="N48" s="154"/>
      <c r="O48" s="154"/>
      <c r="P48" s="189">
        <v>0</v>
      </c>
      <c r="Q48" s="411"/>
      <c r="R48" s="412"/>
      <c r="S48" s="412"/>
      <c r="T48" s="412"/>
      <c r="AJ48" s="79" t="s">
        <v>339</v>
      </c>
      <c r="AK48" s="79" t="s">
        <v>340</v>
      </c>
      <c r="AL48" s="79">
        <v>274000</v>
      </c>
    </row>
    <row r="49" spans="1:38" ht="15.75" customHeight="1">
      <c r="A49" s="190"/>
      <c r="B49" s="347"/>
      <c r="C49" s="153">
        <f>MIN(クレーン熊本!219:219)</f>
        <v>13303</v>
      </c>
      <c r="D49" s="153">
        <f>MAX(クレーン熊本!219:219)</f>
        <v>13738</v>
      </c>
      <c r="E49" s="153">
        <f t="shared" si="7"/>
        <v>435</v>
      </c>
      <c r="F49" s="264"/>
      <c r="G49" s="318"/>
      <c r="H49" s="153"/>
      <c r="I49" s="189"/>
      <c r="J49" s="288"/>
      <c r="K49" s="153"/>
      <c r="L49" s="173"/>
      <c r="M49" s="162"/>
      <c r="N49" s="154"/>
      <c r="O49" s="154"/>
      <c r="P49" s="189"/>
      <c r="Q49" s="385"/>
      <c r="R49" s="412"/>
      <c r="S49" s="412"/>
      <c r="T49" s="412"/>
      <c r="AJ49" s="79" t="s">
        <v>322</v>
      </c>
      <c r="AK49" s="79" t="s">
        <v>341</v>
      </c>
      <c r="AL49" s="79">
        <v>131700</v>
      </c>
    </row>
    <row r="50" spans="1:38" ht="15.75" customHeight="1">
      <c r="A50" s="190"/>
      <c r="B50" s="347"/>
      <c r="C50" s="153">
        <f>MIN(クレーン熊本!231:231)</f>
        <v>21319</v>
      </c>
      <c r="D50" s="153">
        <f>MAX(クレーン熊本!231:231)</f>
        <v>21868</v>
      </c>
      <c r="E50" s="153">
        <f t="shared" si="7"/>
        <v>549</v>
      </c>
      <c r="F50" s="264"/>
      <c r="G50" s="318"/>
      <c r="H50" s="153"/>
      <c r="I50" s="189"/>
      <c r="J50" s="161"/>
      <c r="K50" s="153"/>
      <c r="L50" s="173"/>
      <c r="M50" s="162"/>
      <c r="N50" s="154"/>
      <c r="O50" s="154"/>
      <c r="P50" s="189">
        <v>0</v>
      </c>
      <c r="Q50" s="413"/>
      <c r="R50" s="414"/>
      <c r="S50" s="414"/>
      <c r="T50" s="414"/>
      <c r="U50" s="414"/>
      <c r="V50" s="414"/>
      <c r="AJ50" s="79" t="s">
        <v>324</v>
      </c>
      <c r="AK50" s="79" t="s">
        <v>342</v>
      </c>
      <c r="AL50" s="79">
        <v>187300</v>
      </c>
    </row>
    <row r="51" spans="1:38" ht="15.75" customHeight="1">
      <c r="A51" s="191"/>
      <c r="B51" s="348"/>
      <c r="C51" s="158">
        <f>MIN(クレーン熊本!243:243)</f>
        <v>12979</v>
      </c>
      <c r="D51" s="158">
        <f>MAX(クレーン熊本!243:243)</f>
        <v>14388</v>
      </c>
      <c r="E51" s="158">
        <f t="shared" si="7"/>
        <v>1409</v>
      </c>
      <c r="F51" s="265"/>
      <c r="G51" s="236"/>
      <c r="H51" s="158"/>
      <c r="I51" s="319"/>
      <c r="J51" s="289"/>
      <c r="K51" s="158"/>
      <c r="L51" s="174"/>
      <c r="M51" s="162"/>
      <c r="N51" s="154"/>
      <c r="O51" s="154"/>
      <c r="P51" s="189">
        <v>0</v>
      </c>
      <c r="Q51" s="411"/>
      <c r="R51" s="412"/>
      <c r="S51" s="412"/>
      <c r="T51" s="412"/>
      <c r="U51" s="412"/>
      <c r="V51" s="412"/>
      <c r="AJ51" s="79" t="s">
        <v>334</v>
      </c>
      <c r="AK51" s="79" t="s">
        <v>343</v>
      </c>
      <c r="AL51" s="79">
        <v>138600</v>
      </c>
    </row>
    <row r="52" spans="1:38" ht="15.75" customHeight="1">
      <c r="A52" s="192" t="s">
        <v>208</v>
      </c>
      <c r="B52" s="350" t="s">
        <v>344</v>
      </c>
      <c r="C52" s="167">
        <f>MIN(クレーン熊本!255:255)</f>
        <v>8983</v>
      </c>
      <c r="D52" s="167">
        <f>MAX(クレーン熊本!255:255)</f>
        <v>9660</v>
      </c>
      <c r="E52" s="167">
        <f t="shared" ref="E52:E53" si="8">D52-C52</f>
        <v>677</v>
      </c>
      <c r="F52" s="266">
        <f>SUM(E52:E53)</f>
        <v>1825</v>
      </c>
      <c r="G52" s="240">
        <v>183</v>
      </c>
      <c r="H52" s="167"/>
      <c r="I52" s="320">
        <v>5</v>
      </c>
      <c r="J52" s="290">
        <f>G52*1000+H52*500+I52*100</f>
        <v>183500</v>
      </c>
      <c r="K52" s="167">
        <f>J52-F52*100</f>
        <v>1000</v>
      </c>
      <c r="L52" s="177"/>
      <c r="M52" s="162"/>
      <c r="N52" s="154"/>
      <c r="O52" s="154"/>
      <c r="P52" s="189">
        <v>0</v>
      </c>
      <c r="Q52" s="411"/>
      <c r="AJ52" s="79" t="s">
        <v>242</v>
      </c>
      <c r="AK52" s="79" t="s">
        <v>345</v>
      </c>
      <c r="AL52" s="79">
        <v>308800</v>
      </c>
    </row>
    <row r="53" spans="1:38" ht="15.75" customHeight="1">
      <c r="A53" s="191"/>
      <c r="B53" s="348"/>
      <c r="C53" s="158">
        <f>MIN(クレーン熊本!267:267)</f>
        <v>13523</v>
      </c>
      <c r="D53" s="158">
        <f>MAX(クレーン熊本!267:267)</f>
        <v>14671</v>
      </c>
      <c r="E53" s="158">
        <f t="shared" si="8"/>
        <v>1148</v>
      </c>
      <c r="F53" s="265"/>
      <c r="G53" s="236"/>
      <c r="H53" s="158"/>
      <c r="I53" s="319"/>
      <c r="J53" s="289">
        <f>SUM(J47:J52)</f>
        <v>849300</v>
      </c>
      <c r="K53" s="158"/>
      <c r="L53" s="174"/>
      <c r="M53" s="162"/>
      <c r="N53" s="154"/>
      <c r="O53" s="154"/>
      <c r="P53" s="189">
        <v>0</v>
      </c>
      <c r="Q53" s="415"/>
      <c r="AJ53" s="79" t="s">
        <v>324</v>
      </c>
      <c r="AK53" s="79" t="s">
        <v>346</v>
      </c>
      <c r="AL53" s="79">
        <v>213900</v>
      </c>
    </row>
    <row r="54" spans="1:38" ht="15.75" customHeight="1" thickBot="1">
      <c r="A54" s="205"/>
      <c r="B54" s="355"/>
      <c r="C54" s="197"/>
      <c r="D54" s="197"/>
      <c r="E54" s="197"/>
      <c r="F54" s="269"/>
      <c r="G54" s="205"/>
      <c r="H54" s="197"/>
      <c r="I54" s="324"/>
      <c r="J54" s="295"/>
      <c r="K54" s="197"/>
      <c r="L54" s="199"/>
      <c r="M54" s="200"/>
      <c r="N54" s="200"/>
      <c r="O54" s="200"/>
      <c r="P54" s="201"/>
      <c r="AJ54" s="79" t="s">
        <v>324</v>
      </c>
      <c r="AK54" s="79" t="s">
        <v>347</v>
      </c>
      <c r="AL54" s="79">
        <v>513100</v>
      </c>
    </row>
    <row r="55" spans="1:38" ht="15.75" customHeight="1" thickBot="1">
      <c r="A55" s="179" t="s">
        <v>246</v>
      </c>
      <c r="B55" s="356" t="s">
        <v>421</v>
      </c>
      <c r="C55" s="87"/>
      <c r="D55" s="87"/>
      <c r="E55" s="87"/>
      <c r="F55" s="87">
        <f>SUM(F56:F78)</f>
        <v>12996</v>
      </c>
      <c r="G55" s="326"/>
      <c r="H55" s="87"/>
      <c r="I55" s="327"/>
      <c r="J55" s="87"/>
      <c r="K55" s="87"/>
      <c r="L55" s="87"/>
      <c r="M55" s="87"/>
      <c r="N55" s="87"/>
      <c r="O55" s="87"/>
      <c r="P55" s="87"/>
      <c r="AJ55" s="79" t="s">
        <v>53</v>
      </c>
      <c r="AK55" s="79" t="s">
        <v>348</v>
      </c>
      <c r="AL55" s="79">
        <v>134400</v>
      </c>
    </row>
    <row r="56" spans="1:38" ht="15.75" customHeight="1">
      <c r="A56" s="180" t="s">
        <v>170</v>
      </c>
      <c r="B56" s="345"/>
      <c r="C56" s="181">
        <f>MIN(ガチャ!144:144)</f>
        <v>5351</v>
      </c>
      <c r="D56" s="181">
        <f>MAX(ガチャ!144:144)</f>
        <v>5410</v>
      </c>
      <c r="E56" s="181">
        <f t="shared" ref="E56:E78" si="9">D56-C56</f>
        <v>59</v>
      </c>
      <c r="F56" s="262">
        <f>E56*10</f>
        <v>590</v>
      </c>
      <c r="G56" s="221">
        <v>45</v>
      </c>
      <c r="H56" s="181"/>
      <c r="I56" s="325"/>
      <c r="J56" s="286">
        <f>G56*1000</f>
        <v>45000</v>
      </c>
      <c r="K56" s="181">
        <f>J56-F56*100</f>
        <v>-14000</v>
      </c>
      <c r="L56" s="210">
        <v>1000</v>
      </c>
      <c r="M56" s="204"/>
      <c r="N56" s="204"/>
      <c r="O56" s="204"/>
      <c r="P56" s="187"/>
      <c r="AJ56" s="79" t="s">
        <v>209</v>
      </c>
      <c r="AK56" s="79" t="s">
        <v>349</v>
      </c>
      <c r="AL56" s="79">
        <v>165100</v>
      </c>
    </row>
    <row r="57" spans="1:38" ht="15.75" customHeight="1">
      <c r="A57" s="171" t="s">
        <v>242</v>
      </c>
      <c r="B57" s="346" t="s">
        <v>314</v>
      </c>
      <c r="C57" s="150">
        <f>MIN(宇宿!3:3)</f>
        <v>15588</v>
      </c>
      <c r="D57" s="150">
        <f>MAX(宇宿!3:3)</f>
        <v>16252</v>
      </c>
      <c r="E57" s="150">
        <f t="shared" si="9"/>
        <v>664</v>
      </c>
      <c r="F57" s="263">
        <f>SUM(E57:E60)</f>
        <v>1670</v>
      </c>
      <c r="G57" s="235">
        <v>167</v>
      </c>
      <c r="H57" s="150"/>
      <c r="I57" s="317"/>
      <c r="J57" s="287">
        <f>G57*1000+H57*500+I57*100</f>
        <v>167000</v>
      </c>
      <c r="K57" s="150">
        <f>J57-F57*100</f>
        <v>0</v>
      </c>
      <c r="L57" s="172"/>
      <c r="M57" s="162"/>
      <c r="N57" s="154"/>
      <c r="O57" s="154"/>
      <c r="P57" s="189"/>
      <c r="AJ57" s="79" t="s">
        <v>350</v>
      </c>
      <c r="AK57" s="79" t="s">
        <v>351</v>
      </c>
      <c r="AL57" s="79">
        <v>261200</v>
      </c>
    </row>
    <row r="58" spans="1:38" ht="15.75" customHeight="1">
      <c r="A58" s="152"/>
      <c r="B58" s="347"/>
      <c r="C58" s="153">
        <f>MIN(宇宿!15:15)</f>
        <v>18232</v>
      </c>
      <c r="D58" s="153">
        <f>MAX(宇宿!15:15)</f>
        <v>18534</v>
      </c>
      <c r="E58" s="153">
        <f t="shared" si="9"/>
        <v>302</v>
      </c>
      <c r="F58" s="264"/>
      <c r="G58" s="318"/>
      <c r="H58" s="153"/>
      <c r="I58" s="189"/>
      <c r="J58" s="288"/>
      <c r="K58" s="153"/>
      <c r="L58" s="173"/>
      <c r="M58" s="162"/>
      <c r="N58" s="154"/>
      <c r="O58" s="154"/>
      <c r="P58" s="189"/>
      <c r="AJ58" s="79" t="s">
        <v>242</v>
      </c>
      <c r="AK58" s="79" t="s">
        <v>352</v>
      </c>
      <c r="AL58" s="79">
        <v>121800</v>
      </c>
    </row>
    <row r="59" spans="1:38" ht="15.75" customHeight="1">
      <c r="A59" s="152"/>
      <c r="B59" s="347"/>
      <c r="C59" s="153">
        <f>MIN(宇宿!27:27)</f>
        <v>13236</v>
      </c>
      <c r="D59" s="153">
        <f>MAX(宇宿!27:27)</f>
        <v>13623</v>
      </c>
      <c r="E59" s="153">
        <f t="shared" si="9"/>
        <v>387</v>
      </c>
      <c r="F59" s="264"/>
      <c r="G59" s="318"/>
      <c r="H59" s="153"/>
      <c r="I59" s="189"/>
      <c r="J59" s="161"/>
      <c r="K59" s="153"/>
      <c r="L59" s="173"/>
      <c r="M59" s="162"/>
      <c r="N59" s="154"/>
      <c r="O59" s="154"/>
      <c r="P59" s="189"/>
      <c r="AJ59" s="79" t="s">
        <v>334</v>
      </c>
      <c r="AK59" s="79" t="s">
        <v>353</v>
      </c>
      <c r="AL59" s="79">
        <v>117300</v>
      </c>
    </row>
    <row r="60" spans="1:38" ht="15.75" customHeight="1">
      <c r="A60" s="157"/>
      <c r="B60" s="348"/>
      <c r="C60" s="158">
        <f>MIN(宇宿!39:39)</f>
        <v>18834</v>
      </c>
      <c r="D60" s="158">
        <f>MAX(宇宿!39:39)</f>
        <v>19151</v>
      </c>
      <c r="E60" s="158">
        <f t="shared" si="9"/>
        <v>317</v>
      </c>
      <c r="F60" s="265"/>
      <c r="G60" s="236"/>
      <c r="H60" s="158"/>
      <c r="I60" s="319"/>
      <c r="J60" s="289"/>
      <c r="K60" s="158"/>
      <c r="L60" s="174"/>
      <c r="M60" s="162"/>
      <c r="N60" s="154"/>
      <c r="O60" s="154"/>
      <c r="P60" s="189"/>
      <c r="AJ60" s="79" t="s">
        <v>336</v>
      </c>
      <c r="AK60" s="79" t="s">
        <v>354</v>
      </c>
      <c r="AL60" s="79">
        <v>174100</v>
      </c>
    </row>
    <row r="61" spans="1:38" ht="15.75" customHeight="1">
      <c r="A61" s="166" t="s">
        <v>317</v>
      </c>
      <c r="B61" s="350" t="s">
        <v>318</v>
      </c>
      <c r="C61" s="167">
        <f>MIN(宇宿!51:51)</f>
        <v>14308</v>
      </c>
      <c r="D61" s="167">
        <f>MAX(宇宿!51:51)</f>
        <v>14521</v>
      </c>
      <c r="E61" s="167">
        <f t="shared" si="9"/>
        <v>213</v>
      </c>
      <c r="F61" s="266">
        <f>SUM(E61:E64)</f>
        <v>1094</v>
      </c>
      <c r="G61" s="240">
        <v>109</v>
      </c>
      <c r="H61" s="167"/>
      <c r="I61" s="320">
        <v>4</v>
      </c>
      <c r="J61" s="290">
        <f>G61*1000+H61*500+I61*100</f>
        <v>109400</v>
      </c>
      <c r="K61" s="167">
        <f>J61-F61*100</f>
        <v>0</v>
      </c>
      <c r="L61" s="177"/>
      <c r="M61" s="162"/>
      <c r="N61" s="154"/>
      <c r="O61" s="154"/>
      <c r="P61" s="189"/>
      <c r="AJ61" s="79" t="s">
        <v>355</v>
      </c>
      <c r="AK61" s="79" t="s">
        <v>356</v>
      </c>
      <c r="AL61" s="79">
        <v>263600</v>
      </c>
    </row>
    <row r="62" spans="1:38" ht="15.75" customHeight="1">
      <c r="A62" s="152"/>
      <c r="B62" s="347"/>
      <c r="C62" s="153">
        <f>MIN(宇宿!63:63)</f>
        <v>16395</v>
      </c>
      <c r="D62" s="153">
        <f>MAX(宇宿!63:63)</f>
        <v>16638</v>
      </c>
      <c r="E62" s="153">
        <f t="shared" si="9"/>
        <v>243</v>
      </c>
      <c r="F62" s="264"/>
      <c r="G62" s="318"/>
      <c r="H62" s="153"/>
      <c r="I62" s="189"/>
      <c r="J62" s="288"/>
      <c r="K62" s="153"/>
      <c r="L62" s="173"/>
      <c r="M62" s="162"/>
      <c r="N62" s="154"/>
      <c r="O62" s="154"/>
      <c r="P62" s="189"/>
      <c r="AJ62" s="79" t="s">
        <v>242</v>
      </c>
      <c r="AK62" s="79" t="s">
        <v>243</v>
      </c>
      <c r="AL62" s="79">
        <v>94100</v>
      </c>
    </row>
    <row r="63" spans="1:38" ht="15.75" customHeight="1">
      <c r="A63" s="152"/>
      <c r="B63" s="347"/>
      <c r="C63" s="153">
        <f>+MIN(宇宿!75:75)</f>
        <v>18649</v>
      </c>
      <c r="D63" s="153">
        <f>+MAX(宇宿!75:75)</f>
        <v>18897</v>
      </c>
      <c r="E63" s="153">
        <f t="shared" si="9"/>
        <v>248</v>
      </c>
      <c r="F63" s="264"/>
      <c r="G63" s="318"/>
      <c r="H63" s="153"/>
      <c r="I63" s="189"/>
      <c r="J63" s="161"/>
      <c r="K63" s="153"/>
      <c r="L63" s="173"/>
      <c r="M63" s="162"/>
      <c r="N63" s="154"/>
      <c r="O63" s="154"/>
      <c r="P63" s="189"/>
      <c r="AJ63" s="79" t="s">
        <v>242</v>
      </c>
      <c r="AK63" s="79" t="s">
        <v>251</v>
      </c>
      <c r="AL63" s="79">
        <v>217700</v>
      </c>
    </row>
    <row r="64" spans="1:38" ht="15.75" customHeight="1">
      <c r="A64" s="163"/>
      <c r="B64" s="351"/>
      <c r="C64" s="164">
        <f>MIN(宇宿!87:87)</f>
        <v>14880</v>
      </c>
      <c r="D64" s="164">
        <f>MAX(宇宿!87:87)</f>
        <v>15270</v>
      </c>
      <c r="E64" s="164">
        <f t="shared" si="9"/>
        <v>390</v>
      </c>
      <c r="F64" s="267"/>
      <c r="G64" s="321"/>
      <c r="H64" s="164"/>
      <c r="I64" s="322"/>
      <c r="J64" s="296"/>
      <c r="K64" s="164"/>
      <c r="L64" s="178"/>
      <c r="M64" s="162"/>
      <c r="N64" s="154"/>
      <c r="O64" s="154"/>
      <c r="P64" s="189"/>
      <c r="AJ64" s="79" t="s">
        <v>336</v>
      </c>
      <c r="AK64" s="79" t="s">
        <v>357</v>
      </c>
      <c r="AL64" s="79">
        <v>226500</v>
      </c>
    </row>
    <row r="65" spans="1:38" ht="15.75" customHeight="1">
      <c r="A65" s="149" t="s">
        <v>304</v>
      </c>
      <c r="B65" s="357" t="s">
        <v>306</v>
      </c>
      <c r="C65" s="150">
        <f>MIN(宇宿!147:147)</f>
        <v>13279</v>
      </c>
      <c r="D65" s="150">
        <f>MAX(宇宿!147:147)</f>
        <v>13788</v>
      </c>
      <c r="E65" s="150">
        <f t="shared" si="9"/>
        <v>509</v>
      </c>
      <c r="F65" s="263">
        <f>SUM(E65)</f>
        <v>509</v>
      </c>
      <c r="G65" s="235">
        <v>50</v>
      </c>
      <c r="H65" s="150"/>
      <c r="I65" s="317">
        <v>9</v>
      </c>
      <c r="J65" s="287">
        <f>G65*1000+H65*500+I65*100</f>
        <v>50900</v>
      </c>
      <c r="K65" s="150">
        <f>J65-F65*100</f>
        <v>0</v>
      </c>
      <c r="L65" s="172"/>
      <c r="M65" s="162"/>
      <c r="N65" s="154"/>
      <c r="O65" s="154"/>
      <c r="P65" s="189"/>
      <c r="AJ65" s="79" t="s">
        <v>358</v>
      </c>
      <c r="AK65" s="79" t="s">
        <v>359</v>
      </c>
      <c r="AL65" s="79">
        <v>154000</v>
      </c>
    </row>
    <row r="66" spans="1:38" ht="15.75" customHeight="1">
      <c r="A66" s="166" t="s">
        <v>360</v>
      </c>
      <c r="B66" s="350" t="s">
        <v>343</v>
      </c>
      <c r="C66" s="167">
        <f>MIN(宇宿!99:99)</f>
        <v>4464</v>
      </c>
      <c r="D66" s="167">
        <f>MAX(宇宿!99:99)</f>
        <v>4761</v>
      </c>
      <c r="E66" s="167">
        <f t="shared" si="9"/>
        <v>297</v>
      </c>
      <c r="F66" s="266">
        <f>SUM(E66:E69)</f>
        <v>1133</v>
      </c>
      <c r="G66" s="240">
        <v>113</v>
      </c>
      <c r="H66" s="167"/>
      <c r="I66" s="320">
        <v>3</v>
      </c>
      <c r="J66" s="290">
        <f>G66*1000+H66*500+I66*100</f>
        <v>113300</v>
      </c>
      <c r="K66" s="167">
        <f>J66-F66*100</f>
        <v>0</v>
      </c>
      <c r="L66" s="177"/>
      <c r="M66" s="162"/>
      <c r="N66" s="154"/>
      <c r="O66" s="154"/>
      <c r="P66" s="189"/>
      <c r="AJ66" s="79" t="s">
        <v>242</v>
      </c>
      <c r="AK66" s="79" t="s">
        <v>361</v>
      </c>
      <c r="AL66" s="79">
        <v>137000</v>
      </c>
    </row>
    <row r="67" spans="1:38" ht="15.75" customHeight="1">
      <c r="A67" s="152"/>
      <c r="B67" s="347"/>
      <c r="C67" s="153">
        <f>MIN(宇宿!111:111)</f>
        <v>606</v>
      </c>
      <c r="D67" s="153">
        <f>MAX(宇宿!111:111)</f>
        <v>804</v>
      </c>
      <c r="E67" s="153">
        <f t="shared" si="9"/>
        <v>198</v>
      </c>
      <c r="F67" s="264"/>
      <c r="G67" s="318"/>
      <c r="H67" s="153"/>
      <c r="I67" s="189"/>
      <c r="J67" s="288"/>
      <c r="K67" s="153"/>
      <c r="L67" s="173"/>
      <c r="M67" s="162"/>
      <c r="N67" s="154"/>
      <c r="O67" s="154"/>
      <c r="P67" s="189"/>
      <c r="AJ67" s="79" t="s">
        <v>322</v>
      </c>
      <c r="AK67" s="79" t="s">
        <v>362</v>
      </c>
      <c r="AL67" s="79">
        <v>186400</v>
      </c>
    </row>
    <row r="68" spans="1:38" ht="15.75" customHeight="1">
      <c r="A68" s="152"/>
      <c r="B68" s="347"/>
      <c r="C68" s="153">
        <f>MIN(宇宿!123:123)</f>
        <v>10075</v>
      </c>
      <c r="D68" s="153">
        <f>MAX(宇宿!123:123)</f>
        <v>10417</v>
      </c>
      <c r="E68" s="153">
        <f t="shared" si="9"/>
        <v>342</v>
      </c>
      <c r="F68" s="264"/>
      <c r="G68" s="318"/>
      <c r="H68" s="153"/>
      <c r="I68" s="189"/>
      <c r="J68" s="161"/>
      <c r="K68" s="153"/>
      <c r="L68" s="173"/>
      <c r="M68" s="162"/>
      <c r="N68" s="154"/>
      <c r="O68" s="154"/>
      <c r="P68" s="189"/>
      <c r="AJ68" s="79" t="s">
        <v>363</v>
      </c>
      <c r="AK68" s="79" t="s">
        <v>364</v>
      </c>
      <c r="AL68" s="79">
        <v>611700</v>
      </c>
    </row>
    <row r="69" spans="1:38" ht="15.75" customHeight="1">
      <c r="A69" s="163"/>
      <c r="B69" s="351"/>
      <c r="C69" s="164">
        <f>MIN(宇宿!135:135)</f>
        <v>6697</v>
      </c>
      <c r="D69" s="164">
        <f>MAX(宇宿!135:135)</f>
        <v>6993</v>
      </c>
      <c r="E69" s="164">
        <f t="shared" si="9"/>
        <v>296</v>
      </c>
      <c r="F69" s="267"/>
      <c r="G69" s="321"/>
      <c r="H69" s="164"/>
      <c r="I69" s="322"/>
      <c r="J69" s="296"/>
      <c r="K69" s="164"/>
      <c r="L69" s="178"/>
      <c r="M69" s="162"/>
      <c r="N69" s="154"/>
      <c r="O69" s="154"/>
      <c r="P69" s="189"/>
      <c r="AJ69" s="79" t="s">
        <v>242</v>
      </c>
      <c r="AK69" s="79" t="s">
        <v>365</v>
      </c>
      <c r="AL69" s="79">
        <v>62200</v>
      </c>
    </row>
    <row r="70" spans="1:38" ht="15.75" customHeight="1">
      <c r="A70" s="171" t="s">
        <v>324</v>
      </c>
      <c r="B70" s="346" t="s">
        <v>346</v>
      </c>
      <c r="C70" s="150">
        <f>MIN(宇宿!159:159)</f>
        <v>14325</v>
      </c>
      <c r="D70" s="150">
        <f>MAX(宇宿!159:159)</f>
        <v>18451</v>
      </c>
      <c r="E70" s="150">
        <f t="shared" si="9"/>
        <v>4126</v>
      </c>
      <c r="F70" s="263">
        <f>SUM(E70)</f>
        <v>4126</v>
      </c>
      <c r="G70" s="235">
        <v>412</v>
      </c>
      <c r="H70" s="150"/>
      <c r="I70" s="317">
        <v>6</v>
      </c>
      <c r="J70" s="287">
        <f>G70*1000+H70*500+I70*100</f>
        <v>412600</v>
      </c>
      <c r="K70" s="150">
        <f>J70-F70*100</f>
        <v>0</v>
      </c>
      <c r="L70" s="172"/>
      <c r="M70" s="162"/>
      <c r="N70" s="154"/>
      <c r="O70" s="154"/>
      <c r="P70" s="189"/>
      <c r="AJ70" s="79" t="s">
        <v>322</v>
      </c>
      <c r="AK70" s="79" t="s">
        <v>366</v>
      </c>
      <c r="AL70" s="79">
        <v>40000</v>
      </c>
    </row>
    <row r="71" spans="1:38" ht="15.75" customHeight="1">
      <c r="A71" s="166" t="s">
        <v>367</v>
      </c>
      <c r="B71" s="350" t="s">
        <v>357</v>
      </c>
      <c r="C71" s="167">
        <f>MIN(宇宿!171:171)</f>
        <v>9546</v>
      </c>
      <c r="D71" s="167">
        <f>MAX(宇宿!171:171)</f>
        <v>9818</v>
      </c>
      <c r="E71" s="167">
        <f t="shared" si="9"/>
        <v>272</v>
      </c>
      <c r="F71" s="266">
        <f>SUM(E71:E74)</f>
        <v>1276</v>
      </c>
      <c r="G71" s="240">
        <v>128</v>
      </c>
      <c r="H71" s="167"/>
      <c r="I71" s="320">
        <v>6</v>
      </c>
      <c r="J71" s="290">
        <f>G71*1000+H71*500+I71*100</f>
        <v>128600</v>
      </c>
      <c r="K71" s="167">
        <f>J71-F71*100</f>
        <v>1000</v>
      </c>
      <c r="L71" s="177"/>
      <c r="M71" s="162"/>
      <c r="N71" s="154"/>
      <c r="O71" s="154"/>
      <c r="P71" s="189"/>
      <c r="AJ71" s="79" t="s">
        <v>324</v>
      </c>
      <c r="AK71" s="79" t="s">
        <v>368</v>
      </c>
      <c r="AL71" s="79">
        <v>102700</v>
      </c>
    </row>
    <row r="72" spans="1:38" ht="15.75" customHeight="1">
      <c r="A72" s="152"/>
      <c r="B72" s="347"/>
      <c r="C72" s="153">
        <f>MIN(宇宿!183:183)</f>
        <v>10506</v>
      </c>
      <c r="D72" s="153">
        <f>MAX(宇宿!183:183)</f>
        <v>10771</v>
      </c>
      <c r="E72" s="153">
        <f t="shared" si="9"/>
        <v>265</v>
      </c>
      <c r="F72" s="264"/>
      <c r="G72" s="318"/>
      <c r="H72" s="153"/>
      <c r="I72" s="189"/>
      <c r="J72" s="288"/>
      <c r="K72" s="153"/>
      <c r="L72" s="173"/>
      <c r="M72" s="162"/>
      <c r="N72" s="154"/>
      <c r="O72" s="154"/>
      <c r="P72" s="189"/>
      <c r="AJ72" s="79" t="s">
        <v>324</v>
      </c>
      <c r="AK72" s="79" t="s">
        <v>261</v>
      </c>
      <c r="AL72" s="79">
        <v>70100</v>
      </c>
    </row>
    <row r="73" spans="1:38" ht="15.75" customHeight="1">
      <c r="A73" s="156"/>
      <c r="B73" s="358"/>
      <c r="C73" s="153">
        <f>MIN(宇宿!195:195)</f>
        <v>11051</v>
      </c>
      <c r="D73" s="153">
        <f>MAX(宇宿!195:195)</f>
        <v>11370</v>
      </c>
      <c r="E73" s="153">
        <f t="shared" si="9"/>
        <v>319</v>
      </c>
      <c r="F73" s="264"/>
      <c r="G73" s="318"/>
      <c r="H73" s="153"/>
      <c r="I73" s="189"/>
      <c r="J73" s="161"/>
      <c r="K73" s="153"/>
      <c r="L73" s="173"/>
      <c r="M73" s="162"/>
      <c r="N73" s="154"/>
      <c r="O73" s="154"/>
      <c r="P73" s="189"/>
      <c r="AJ73" s="79" t="s">
        <v>324</v>
      </c>
      <c r="AK73" s="79" t="s">
        <v>263</v>
      </c>
      <c r="AL73" s="79">
        <v>66400</v>
      </c>
    </row>
    <row r="74" spans="1:38" ht="15.75" customHeight="1">
      <c r="A74" s="163"/>
      <c r="B74" s="351"/>
      <c r="C74" s="164">
        <f>MIN(宇宿!207:207)</f>
        <v>9508</v>
      </c>
      <c r="D74" s="164">
        <f>MAX(宇宿!207:207)</f>
        <v>9928</v>
      </c>
      <c r="E74" s="164">
        <f t="shared" si="9"/>
        <v>420</v>
      </c>
      <c r="F74" s="267"/>
      <c r="G74" s="321"/>
      <c r="H74" s="164"/>
      <c r="I74" s="322"/>
      <c r="J74" s="296"/>
      <c r="K74" s="164"/>
      <c r="L74" s="178"/>
      <c r="M74" s="162"/>
      <c r="N74" s="154"/>
      <c r="O74" s="154"/>
      <c r="P74" s="189"/>
      <c r="AJ74" s="79" t="s">
        <v>242</v>
      </c>
      <c r="AK74" s="79" t="s">
        <v>369</v>
      </c>
      <c r="AL74" s="79">
        <v>166800</v>
      </c>
    </row>
    <row r="75" spans="1:38" ht="15.75" customHeight="1">
      <c r="A75" s="171" t="s">
        <v>370</v>
      </c>
      <c r="B75" s="346" t="s">
        <v>359</v>
      </c>
      <c r="C75" s="150">
        <f>MIN(宇宿!219:219)</f>
        <v>23731</v>
      </c>
      <c r="D75" s="150">
        <f>MAX(宇宿!219:219)</f>
        <v>24008</v>
      </c>
      <c r="E75" s="150">
        <f t="shared" si="9"/>
        <v>277</v>
      </c>
      <c r="F75" s="263">
        <f>SUM(E75:E78)</f>
        <v>2598</v>
      </c>
      <c r="G75" s="235">
        <v>259</v>
      </c>
      <c r="H75" s="150"/>
      <c r="I75" s="317">
        <v>8</v>
      </c>
      <c r="J75" s="287">
        <f>G75*1000+H75*500+I75*100</f>
        <v>259800</v>
      </c>
      <c r="K75" s="150">
        <f>J75-F75*100</f>
        <v>0</v>
      </c>
      <c r="L75" s="172"/>
      <c r="M75" s="162"/>
      <c r="N75" s="154"/>
      <c r="O75" s="154"/>
      <c r="P75" s="189"/>
      <c r="AJ75" s="79" t="s">
        <v>322</v>
      </c>
      <c r="AK75" s="79" t="s">
        <v>371</v>
      </c>
      <c r="AL75" s="79">
        <v>132000</v>
      </c>
    </row>
    <row r="76" spans="1:38" ht="15.75" customHeight="1">
      <c r="A76" s="152"/>
      <c r="B76" s="347"/>
      <c r="C76" s="153">
        <f>MIN(宇宿!231:231)</f>
        <v>27658</v>
      </c>
      <c r="D76" s="153">
        <f>MAX(宇宿!231:231)</f>
        <v>27931</v>
      </c>
      <c r="E76" s="153">
        <f t="shared" si="9"/>
        <v>273</v>
      </c>
      <c r="F76" s="264"/>
      <c r="G76" s="318"/>
      <c r="H76" s="153"/>
      <c r="I76" s="189"/>
      <c r="J76" s="288"/>
      <c r="K76" s="153"/>
      <c r="L76" s="173"/>
      <c r="M76" s="162"/>
      <c r="N76" s="154"/>
      <c r="O76" s="154"/>
      <c r="P76" s="189"/>
      <c r="AJ76" s="79" t="s">
        <v>334</v>
      </c>
      <c r="AK76" s="79" t="s">
        <v>372</v>
      </c>
      <c r="AL76" s="79">
        <v>159300</v>
      </c>
    </row>
    <row r="77" spans="1:38" ht="15.75" customHeight="1">
      <c r="A77" s="152"/>
      <c r="B77" s="347"/>
      <c r="C77" s="153">
        <f>MIN(宇宿!243:243)</f>
        <v>24945</v>
      </c>
      <c r="D77" s="153">
        <f>MAX(宇宿!243:243)</f>
        <v>25432</v>
      </c>
      <c r="E77" s="153">
        <f t="shared" si="9"/>
        <v>487</v>
      </c>
      <c r="F77" s="264"/>
      <c r="G77" s="318"/>
      <c r="H77" s="153"/>
      <c r="I77" s="189"/>
      <c r="J77" s="161"/>
      <c r="K77" s="153"/>
      <c r="L77" s="173"/>
      <c r="M77" s="162"/>
      <c r="N77" s="154"/>
      <c r="O77" s="154"/>
      <c r="P77" s="189"/>
      <c r="AJ77" s="79" t="s">
        <v>336</v>
      </c>
      <c r="AK77" s="79" t="s">
        <v>373</v>
      </c>
      <c r="AL77" s="79">
        <v>137500</v>
      </c>
    </row>
    <row r="78" spans="1:38" ht="15.75" customHeight="1">
      <c r="A78" s="157"/>
      <c r="B78" s="348"/>
      <c r="C78" s="158">
        <f>MIN(宇宿!255:255)</f>
        <v>31436</v>
      </c>
      <c r="D78" s="158">
        <f>MAX(宇宿!255:255)</f>
        <v>32997</v>
      </c>
      <c r="E78" s="158">
        <f t="shared" si="9"/>
        <v>1561</v>
      </c>
      <c r="F78" s="265"/>
      <c r="G78" s="236"/>
      <c r="H78" s="158"/>
      <c r="I78" s="319"/>
      <c r="J78" s="289"/>
      <c r="K78" s="158"/>
      <c r="L78" s="174"/>
      <c r="M78" s="162"/>
      <c r="N78" s="154"/>
      <c r="O78" s="154"/>
      <c r="P78" s="189"/>
      <c r="AJ78" s="79" t="s">
        <v>374</v>
      </c>
      <c r="AK78" s="79" t="s">
        <v>375</v>
      </c>
      <c r="AL78" s="79">
        <v>64900</v>
      </c>
    </row>
    <row r="79" spans="1:38" ht="15.75" customHeight="1" thickBot="1">
      <c r="A79" s="205"/>
      <c r="B79" s="355"/>
      <c r="C79" s="197"/>
      <c r="D79" s="197"/>
      <c r="E79" s="197"/>
      <c r="F79" s="269"/>
      <c r="G79" s="205"/>
      <c r="H79" s="197"/>
      <c r="I79" s="324"/>
      <c r="J79" s="295">
        <f>SUM(J56:J78)</f>
        <v>1286600</v>
      </c>
      <c r="K79" s="197"/>
      <c r="L79" s="199"/>
      <c r="M79" s="200"/>
      <c r="N79" s="200"/>
      <c r="O79" s="200"/>
      <c r="P79" s="201"/>
      <c r="AJ79" s="79" t="s">
        <v>376</v>
      </c>
      <c r="AK79" s="79" t="s">
        <v>377</v>
      </c>
      <c r="AL79" s="79">
        <v>69000</v>
      </c>
    </row>
    <row r="80" spans="1:38" ht="15.75" customHeight="1" thickBot="1">
      <c r="A80" s="95" t="s">
        <v>134</v>
      </c>
      <c r="B80" s="342" t="s">
        <v>423</v>
      </c>
      <c r="C80" s="84"/>
      <c r="D80" s="84"/>
      <c r="E80" s="84"/>
      <c r="F80" s="84">
        <f>SUM(F81:F85)</f>
        <v>3004</v>
      </c>
      <c r="G80" s="311"/>
      <c r="H80" s="84"/>
      <c r="I80" s="312"/>
      <c r="J80" s="84"/>
      <c r="K80" s="84"/>
      <c r="L80" s="85"/>
      <c r="M80" s="85"/>
      <c r="N80" s="85"/>
      <c r="O80" s="85"/>
      <c r="P80" s="84"/>
      <c r="AJ80" s="79" t="s">
        <v>378</v>
      </c>
      <c r="AK80" s="79" t="s">
        <v>379</v>
      </c>
      <c r="AL80" s="79">
        <v>126600</v>
      </c>
    </row>
    <row r="81" spans="1:38" ht="15.75" customHeight="1">
      <c r="A81" s="212" t="s">
        <v>242</v>
      </c>
      <c r="B81" s="359" t="s">
        <v>361</v>
      </c>
      <c r="C81" s="186">
        <f>MIN(天文館!3:3)</f>
        <v>23419</v>
      </c>
      <c r="D81" s="186">
        <f>MAX(天文館!3:3)</f>
        <v>23561</v>
      </c>
      <c r="E81" s="186">
        <f t="shared" ref="E81:E88" si="10">D81-C81</f>
        <v>142</v>
      </c>
      <c r="F81" s="271">
        <f>SUM(E81:E84)</f>
        <v>960</v>
      </c>
      <c r="G81" s="328">
        <v>96</v>
      </c>
      <c r="H81" s="186"/>
      <c r="I81" s="187"/>
      <c r="J81" s="297">
        <f>G81*1000+H81*500+I81*100</f>
        <v>96000</v>
      </c>
      <c r="K81" s="186">
        <f>J81-F81*100</f>
        <v>0</v>
      </c>
      <c r="L81" s="213"/>
      <c r="M81" s="203"/>
      <c r="N81" s="204"/>
      <c r="O81" s="204"/>
      <c r="P81" s="187"/>
      <c r="AJ81" s="79" t="s">
        <v>380</v>
      </c>
      <c r="AK81" s="79" t="s">
        <v>381</v>
      </c>
      <c r="AL81" s="79">
        <v>382600</v>
      </c>
    </row>
    <row r="82" spans="1:38" ht="15.75" customHeight="1">
      <c r="A82" s="190"/>
      <c r="B82" s="347"/>
      <c r="C82" s="153">
        <f>MIN(天文館!15:15)</f>
        <v>30064</v>
      </c>
      <c r="D82" s="153">
        <f>MAX(天文館!15:15)</f>
        <v>30443</v>
      </c>
      <c r="E82" s="153">
        <f t="shared" si="10"/>
        <v>379</v>
      </c>
      <c r="F82" s="264"/>
      <c r="G82" s="318"/>
      <c r="H82" s="153"/>
      <c r="I82" s="189"/>
      <c r="J82" s="288"/>
      <c r="K82" s="153"/>
      <c r="L82" s="173"/>
      <c r="M82" s="162"/>
      <c r="N82" s="154"/>
      <c r="O82" s="154"/>
      <c r="P82" s="189"/>
      <c r="AL82" s="79">
        <v>12191900</v>
      </c>
    </row>
    <row r="83" spans="1:38" ht="15.75" customHeight="1">
      <c r="A83" s="190"/>
      <c r="B83" s="347"/>
      <c r="C83" s="153">
        <f>MIN(天文館!27:27)</f>
        <v>24537</v>
      </c>
      <c r="D83" s="153">
        <f>MAX(天文館!27:27)</f>
        <v>24799</v>
      </c>
      <c r="E83" s="153">
        <f t="shared" si="10"/>
        <v>262</v>
      </c>
      <c r="F83" s="264"/>
      <c r="G83" s="318"/>
      <c r="H83" s="153"/>
      <c r="I83" s="189"/>
      <c r="J83" s="161"/>
      <c r="K83" s="153"/>
      <c r="L83" s="173"/>
      <c r="M83" s="162"/>
      <c r="N83" s="154"/>
      <c r="O83" s="154"/>
      <c r="P83" s="189"/>
      <c r="AJ83" s="79" t="s">
        <v>152</v>
      </c>
    </row>
    <row r="84" spans="1:38" ht="15.75" customHeight="1">
      <c r="A84" s="190"/>
      <c r="B84" s="347"/>
      <c r="C84" s="153">
        <f>MIN(天文館!39:39)</f>
        <v>22602</v>
      </c>
      <c r="D84" s="153">
        <f>MAX(天文館!39:39)</f>
        <v>22779</v>
      </c>
      <c r="E84" s="153">
        <f t="shared" si="10"/>
        <v>177</v>
      </c>
      <c r="F84" s="264"/>
      <c r="G84" s="318"/>
      <c r="H84" s="153"/>
      <c r="I84" s="189"/>
      <c r="J84" s="161"/>
      <c r="K84" s="153"/>
      <c r="L84" s="173"/>
      <c r="M84" s="162"/>
      <c r="N84" s="154"/>
      <c r="O84" s="154"/>
      <c r="P84" s="189"/>
      <c r="AJ84" s="79" t="s">
        <v>382</v>
      </c>
      <c r="AL84" s="79">
        <v>288000</v>
      </c>
    </row>
    <row r="85" spans="1:38" ht="15.75" customHeight="1">
      <c r="A85" s="190" t="s">
        <v>322</v>
      </c>
      <c r="B85" s="347" t="s">
        <v>362</v>
      </c>
      <c r="C85" s="153">
        <f>MIN(天文館!51:51)</f>
        <v>9391</v>
      </c>
      <c r="D85" s="153">
        <f>MAX(天文館!51:51)</f>
        <v>9829</v>
      </c>
      <c r="E85" s="153">
        <f t="shared" si="10"/>
        <v>438</v>
      </c>
      <c r="F85" s="264">
        <f>SUM(E85:E88)</f>
        <v>2044</v>
      </c>
      <c r="G85" s="318">
        <v>204</v>
      </c>
      <c r="H85" s="153"/>
      <c r="I85" s="189">
        <v>4</v>
      </c>
      <c r="J85" s="161">
        <f>G85*1000+H85*500+I85*100</f>
        <v>204400</v>
      </c>
      <c r="K85" s="153">
        <f>J85-F85*100</f>
        <v>0</v>
      </c>
      <c r="L85" s="173"/>
      <c r="M85" s="162"/>
      <c r="N85" s="154"/>
      <c r="O85" s="154"/>
      <c r="P85" s="189"/>
    </row>
    <row r="86" spans="1:38" ht="15" customHeight="1">
      <c r="A86" s="190"/>
      <c r="B86" s="347"/>
      <c r="C86" s="153">
        <f>MIN(天文館!63:63)</f>
        <v>9116</v>
      </c>
      <c r="D86" s="153">
        <f>MAX(天文館!63:63)</f>
        <v>9504</v>
      </c>
      <c r="E86" s="153">
        <f t="shared" si="10"/>
        <v>388</v>
      </c>
      <c r="F86" s="264"/>
      <c r="G86" s="318"/>
      <c r="H86" s="153"/>
      <c r="I86" s="189"/>
      <c r="J86" s="288"/>
      <c r="K86" s="153"/>
      <c r="L86" s="173"/>
      <c r="M86" s="162"/>
      <c r="N86" s="154"/>
      <c r="O86" s="154"/>
      <c r="P86" s="189"/>
      <c r="Q86" s="386"/>
      <c r="AJ86" s="79" t="s">
        <v>214</v>
      </c>
    </row>
    <row r="87" spans="1:38" ht="15.75" customHeight="1">
      <c r="A87" s="190"/>
      <c r="B87" s="347"/>
      <c r="C87" s="153">
        <f>MIN(天文館!75:75)</f>
        <v>11448</v>
      </c>
      <c r="D87" s="153">
        <f>MAX(天文館!75:75)</f>
        <v>11996</v>
      </c>
      <c r="E87" s="153">
        <f t="shared" si="10"/>
        <v>548</v>
      </c>
      <c r="F87" s="264"/>
      <c r="G87" s="318"/>
      <c r="H87" s="153"/>
      <c r="I87" s="189"/>
      <c r="J87" s="161"/>
      <c r="K87" s="153"/>
      <c r="L87" s="173"/>
      <c r="M87" s="162"/>
      <c r="N87" s="154"/>
      <c r="O87" s="154"/>
      <c r="P87" s="189"/>
      <c r="AJ87" s="79" t="s">
        <v>239</v>
      </c>
      <c r="AL87" s="79">
        <v>80000</v>
      </c>
    </row>
    <row r="88" spans="1:38" ht="15.75" customHeight="1">
      <c r="A88" s="191"/>
      <c r="B88" s="348"/>
      <c r="C88" s="158">
        <f>MIN(天文館!87:87)</f>
        <v>11440</v>
      </c>
      <c r="D88" s="158">
        <f>MAX(天文館!87:87)</f>
        <v>12110</v>
      </c>
      <c r="E88" s="158">
        <f t="shared" si="10"/>
        <v>670</v>
      </c>
      <c r="F88" s="265"/>
      <c r="G88" s="236"/>
      <c r="H88" s="158"/>
      <c r="I88" s="319"/>
      <c r="J88" s="289"/>
      <c r="K88" s="158"/>
      <c r="L88" s="174"/>
      <c r="M88" s="162"/>
      <c r="N88" s="154"/>
      <c r="O88" s="154"/>
      <c r="P88" s="189"/>
    </row>
    <row r="89" spans="1:38" ht="15.75" customHeight="1" thickBot="1">
      <c r="A89" s="205"/>
      <c r="B89" s="355"/>
      <c r="C89" s="197"/>
      <c r="D89" s="197"/>
      <c r="E89" s="197"/>
      <c r="F89" s="269"/>
      <c r="G89" s="205"/>
      <c r="H89" s="197"/>
      <c r="I89" s="324"/>
      <c r="J89" s="301">
        <f>SUM(J80:J88)</f>
        <v>300400</v>
      </c>
      <c r="K89" s="197"/>
      <c r="L89" s="199"/>
      <c r="M89" s="200"/>
      <c r="N89" s="200"/>
      <c r="O89" s="200"/>
      <c r="P89" s="201"/>
    </row>
    <row r="90" spans="1:38" ht="15.75" customHeight="1" thickBot="1">
      <c r="A90" s="95" t="s">
        <v>130</v>
      </c>
      <c r="B90" s="342" t="s">
        <v>422</v>
      </c>
      <c r="C90" s="84"/>
      <c r="D90" s="84"/>
      <c r="E90" s="84"/>
      <c r="F90" s="84">
        <f>SUM(F91:F100)</f>
        <v>4586</v>
      </c>
      <c r="G90" s="311"/>
      <c r="H90" s="84"/>
      <c r="I90" s="312"/>
      <c r="J90" s="84"/>
      <c r="K90" s="84"/>
      <c r="L90" s="85"/>
      <c r="M90" s="85"/>
      <c r="N90" s="85"/>
      <c r="O90" s="85"/>
      <c r="P90" s="84"/>
    </row>
    <row r="91" spans="1:38" ht="15.75" customHeight="1">
      <c r="A91" s="212" t="s">
        <v>242</v>
      </c>
      <c r="B91" s="359" t="s">
        <v>365</v>
      </c>
      <c r="C91" s="186">
        <f>MIN(中央!3:3)</f>
        <v>93</v>
      </c>
      <c r="D91" s="186">
        <f>MAX(中央!3:3)</f>
        <v>250</v>
      </c>
      <c r="E91" s="186">
        <f t="shared" ref="E91:E99" si="11">D91-C91</f>
        <v>157</v>
      </c>
      <c r="F91" s="271">
        <f>SUM(E91:E94)</f>
        <v>1241</v>
      </c>
      <c r="G91" s="328">
        <v>124</v>
      </c>
      <c r="H91" s="186"/>
      <c r="I91" s="187">
        <v>1</v>
      </c>
      <c r="J91" s="297">
        <f>G91*1000+H91*500+I91*100</f>
        <v>124100</v>
      </c>
      <c r="K91" s="186">
        <f>J91-F91*100</f>
        <v>0</v>
      </c>
      <c r="L91" s="213"/>
      <c r="M91" s="203"/>
      <c r="N91" s="204"/>
      <c r="O91" s="204"/>
      <c r="P91" s="187"/>
    </row>
    <row r="92" spans="1:38" ht="15.75" customHeight="1">
      <c r="A92" s="190"/>
      <c r="B92" s="347"/>
      <c r="C92" s="153">
        <f>MIN(中央!15:15)</f>
        <v>278</v>
      </c>
      <c r="D92" s="153">
        <f>MAX(中央!15:15)</f>
        <v>541</v>
      </c>
      <c r="E92" s="153">
        <f t="shared" si="11"/>
        <v>263</v>
      </c>
      <c r="F92" s="264"/>
      <c r="G92" s="318"/>
      <c r="H92" s="153"/>
      <c r="I92" s="189"/>
      <c r="J92" s="288"/>
      <c r="K92" s="153"/>
      <c r="L92" s="173"/>
      <c r="M92" s="162"/>
      <c r="N92" s="154"/>
      <c r="O92" s="154"/>
      <c r="P92" s="189"/>
    </row>
    <row r="93" spans="1:38" ht="15.75" customHeight="1">
      <c r="A93" s="190"/>
      <c r="B93" s="347"/>
      <c r="C93" s="153">
        <f>MIN(中央!27:27)</f>
        <v>127</v>
      </c>
      <c r="D93" s="153">
        <f>MAX(中央!27:27)</f>
        <v>495</v>
      </c>
      <c r="E93" s="153">
        <f t="shared" si="11"/>
        <v>368</v>
      </c>
      <c r="F93" s="264"/>
      <c r="G93" s="318"/>
      <c r="H93" s="153"/>
      <c r="I93" s="189"/>
      <c r="J93" s="288"/>
      <c r="K93" s="153"/>
      <c r="L93" s="173"/>
      <c r="M93" s="162"/>
      <c r="N93" s="154"/>
      <c r="O93" s="154"/>
      <c r="P93" s="189"/>
    </row>
    <row r="94" spans="1:38" ht="15.75" customHeight="1">
      <c r="A94" s="191"/>
      <c r="B94" s="348"/>
      <c r="C94" s="158">
        <f>MIN(中央!39:39)</f>
        <v>124</v>
      </c>
      <c r="D94" s="158">
        <f>MAX(中央!39:39)</f>
        <v>577</v>
      </c>
      <c r="E94" s="158">
        <f t="shared" si="11"/>
        <v>453</v>
      </c>
      <c r="F94" s="265"/>
      <c r="G94" s="236"/>
      <c r="H94" s="158"/>
      <c r="I94" s="319"/>
      <c r="J94" s="289"/>
      <c r="K94" s="158"/>
      <c r="L94" s="174"/>
      <c r="M94" s="162"/>
      <c r="N94" s="154"/>
      <c r="O94" s="154"/>
      <c r="P94" s="189"/>
      <c r="AL94" s="79">
        <v>528300</v>
      </c>
    </row>
    <row r="95" spans="1:38" ht="15.75" customHeight="1">
      <c r="A95" s="192" t="s">
        <v>322</v>
      </c>
      <c r="B95" s="350" t="s">
        <v>366</v>
      </c>
      <c r="C95" s="167">
        <f>MIN(中央!51:51)</f>
        <v>67</v>
      </c>
      <c r="D95" s="167">
        <f>MAX(中央!51:51)</f>
        <v>248</v>
      </c>
      <c r="E95" s="167">
        <f t="shared" si="11"/>
        <v>181</v>
      </c>
      <c r="F95" s="266">
        <f>SUM(E95:E98)</f>
        <v>784</v>
      </c>
      <c r="G95" s="240">
        <v>78</v>
      </c>
      <c r="H95" s="167"/>
      <c r="I95" s="320">
        <v>4</v>
      </c>
      <c r="J95" s="290">
        <f>G95*1000+H95*500+I95*100</f>
        <v>78400</v>
      </c>
      <c r="K95" s="167">
        <f>J95-F95*100</f>
        <v>0</v>
      </c>
      <c r="L95" s="177"/>
      <c r="M95" s="162"/>
      <c r="N95" s="154"/>
      <c r="O95" s="154"/>
      <c r="P95" s="189"/>
    </row>
    <row r="96" spans="1:38" ht="15.75" customHeight="1">
      <c r="A96" s="190"/>
      <c r="B96" s="347"/>
      <c r="C96" s="153">
        <f>MIN(中央!63:63)</f>
        <v>59</v>
      </c>
      <c r="D96" s="153">
        <f>MAX(中央!63:63)</f>
        <v>232</v>
      </c>
      <c r="E96" s="153">
        <f t="shared" si="11"/>
        <v>173</v>
      </c>
      <c r="F96" s="264"/>
      <c r="G96" s="318"/>
      <c r="H96" s="153"/>
      <c r="I96" s="189"/>
      <c r="J96" s="288"/>
      <c r="K96" s="153"/>
      <c r="L96" s="173"/>
      <c r="M96" s="162"/>
      <c r="N96" s="154"/>
      <c r="O96" s="154"/>
      <c r="P96" s="189"/>
    </row>
    <row r="97" spans="1:38" ht="15.75" customHeight="1">
      <c r="A97" s="190"/>
      <c r="B97" s="347"/>
      <c r="C97" s="153">
        <f>MIN(中央!75:75)</f>
        <v>155</v>
      </c>
      <c r="D97" s="153">
        <f>MAX(中央!75:75)</f>
        <v>330</v>
      </c>
      <c r="E97" s="153">
        <f t="shared" si="11"/>
        <v>175</v>
      </c>
      <c r="F97" s="264"/>
      <c r="G97" s="318"/>
      <c r="H97" s="153"/>
      <c r="I97" s="189"/>
      <c r="J97" s="161"/>
      <c r="K97" s="153"/>
      <c r="L97" s="173"/>
      <c r="M97" s="162"/>
      <c r="N97" s="154"/>
      <c r="O97" s="154"/>
      <c r="P97" s="189"/>
    </row>
    <row r="98" spans="1:38" ht="15.75" customHeight="1">
      <c r="A98" s="193"/>
      <c r="B98" s="351"/>
      <c r="C98" s="164">
        <f>MIN(中央!87:87)</f>
        <v>145</v>
      </c>
      <c r="D98" s="164">
        <f>MAX(中央!87:87)</f>
        <v>400</v>
      </c>
      <c r="E98" s="164">
        <f t="shared" si="11"/>
        <v>255</v>
      </c>
      <c r="F98" s="267"/>
      <c r="G98" s="321"/>
      <c r="H98" s="164"/>
      <c r="I98" s="322"/>
      <c r="J98" s="296"/>
      <c r="K98" s="164"/>
      <c r="L98" s="178"/>
      <c r="M98" s="162"/>
      <c r="N98" s="154"/>
      <c r="O98" s="154"/>
      <c r="P98" s="189"/>
      <c r="AJ98" s="79" t="s">
        <v>180</v>
      </c>
    </row>
    <row r="99" spans="1:38" ht="15.75" customHeight="1">
      <c r="A99" s="214" t="s">
        <v>260</v>
      </c>
      <c r="B99" s="357" t="s">
        <v>368</v>
      </c>
      <c r="C99" s="150">
        <f>MIN(中央!99:99)</f>
        <v>1027</v>
      </c>
      <c r="D99" s="150">
        <f>MAX(中央!99:99)</f>
        <v>3588</v>
      </c>
      <c r="E99" s="150">
        <f t="shared" si="11"/>
        <v>2561</v>
      </c>
      <c r="F99" s="263">
        <f>SUM(E99:E100)</f>
        <v>2561</v>
      </c>
      <c r="G99" s="235">
        <v>256</v>
      </c>
      <c r="H99" s="150"/>
      <c r="I99" s="317">
        <v>1</v>
      </c>
      <c r="J99" s="287">
        <f>G99*1000+H99*500+I99*100</f>
        <v>256100</v>
      </c>
      <c r="K99" s="150">
        <f>J99-F99*100</f>
        <v>0</v>
      </c>
      <c r="L99" s="172">
        <v>100</v>
      </c>
      <c r="M99" s="162"/>
      <c r="N99" s="154"/>
      <c r="O99" s="154"/>
      <c r="P99" s="189"/>
      <c r="AJ99" s="79" t="s">
        <v>382</v>
      </c>
      <c r="AL99" s="79">
        <v>129000</v>
      </c>
    </row>
    <row r="100" spans="1:38" ht="15.75" customHeight="1" thickBot="1">
      <c r="A100" s="215"/>
      <c r="B100" s="360"/>
      <c r="C100" s="209"/>
      <c r="D100" s="209"/>
      <c r="E100" s="209"/>
      <c r="F100" s="272"/>
      <c r="G100" s="208"/>
      <c r="H100" s="209"/>
      <c r="I100" s="201"/>
      <c r="J100" s="301">
        <f>SUM(J91:J99)</f>
        <v>458600</v>
      </c>
      <c r="K100" s="209"/>
      <c r="L100" s="217"/>
      <c r="M100" s="218"/>
      <c r="N100" s="200"/>
      <c r="O100" s="200"/>
      <c r="P100" s="201"/>
    </row>
    <row r="101" spans="1:38" ht="15.75" customHeight="1" thickBot="1">
      <c r="A101" s="95" t="s">
        <v>240</v>
      </c>
      <c r="B101" s="342" t="s">
        <v>424</v>
      </c>
      <c r="C101" s="84"/>
      <c r="D101" s="84"/>
      <c r="E101" s="84"/>
      <c r="F101" s="84">
        <f>SUM(F102:F126)</f>
        <v>22147</v>
      </c>
      <c r="G101" s="311"/>
      <c r="H101" s="84"/>
      <c r="I101" s="312"/>
      <c r="J101" s="84"/>
      <c r="K101" s="84"/>
      <c r="L101" s="85"/>
      <c r="M101" s="85"/>
      <c r="N101" s="85"/>
      <c r="O101" s="85"/>
      <c r="P101" s="84"/>
    </row>
    <row r="102" spans="1:38" ht="15.75" customHeight="1">
      <c r="A102" s="221" t="s">
        <v>162</v>
      </c>
      <c r="B102" s="361"/>
      <c r="C102" s="181">
        <f>MIN(ガチャ!114:114)</f>
        <v>9868</v>
      </c>
      <c r="D102" s="181">
        <f>MAX(ガチャ!114:114)</f>
        <v>9984</v>
      </c>
      <c r="E102" s="181">
        <f t="shared" ref="E102:E111" si="12">D102-C102</f>
        <v>116</v>
      </c>
      <c r="F102" s="262">
        <f>E102*10</f>
        <v>1160</v>
      </c>
      <c r="G102" s="221">
        <v>116</v>
      </c>
      <c r="H102" s="181"/>
      <c r="I102" s="325"/>
      <c r="J102" s="286">
        <f>G102*1000</f>
        <v>116000</v>
      </c>
      <c r="K102" s="181">
        <f>J102-F102*100</f>
        <v>0</v>
      </c>
      <c r="L102" s="202">
        <v>2000</v>
      </c>
      <c r="M102" s="203"/>
      <c r="N102" s="204"/>
      <c r="O102" s="204"/>
      <c r="P102" s="187"/>
    </row>
    <row r="103" spans="1:38" ht="15.75" customHeight="1">
      <c r="A103" s="222" t="s">
        <v>383</v>
      </c>
      <c r="B103" s="362"/>
      <c r="C103" s="175">
        <f>MIN(ガチャ!104:104)</f>
        <v>8650</v>
      </c>
      <c r="D103" s="175">
        <f>MAX(ガチャ!104:104)</f>
        <v>8786</v>
      </c>
      <c r="E103" s="175">
        <f t="shared" si="12"/>
        <v>136</v>
      </c>
      <c r="F103" s="268">
        <f>E103*10</f>
        <v>1360</v>
      </c>
      <c r="G103" s="222">
        <v>137</v>
      </c>
      <c r="H103" s="175"/>
      <c r="I103" s="323"/>
      <c r="J103" s="293">
        <f>G103*1000</f>
        <v>137000</v>
      </c>
      <c r="K103" s="175">
        <f>J103-F103*100</f>
        <v>1000</v>
      </c>
      <c r="L103" s="176"/>
      <c r="M103" s="162"/>
      <c r="N103" s="154"/>
      <c r="O103" s="154"/>
      <c r="P103" s="189"/>
      <c r="AJ103" s="79" t="s">
        <v>384</v>
      </c>
      <c r="AL103" s="79">
        <v>185500</v>
      </c>
    </row>
    <row r="104" spans="1:38" ht="15.75" customHeight="1">
      <c r="A104" s="192" t="s">
        <v>242</v>
      </c>
      <c r="B104" s="350" t="s">
        <v>385</v>
      </c>
      <c r="C104" s="167">
        <f>MIN(川内!3:3)</f>
        <v>35146</v>
      </c>
      <c r="D104" s="167">
        <f>MAX(川内!3:3)</f>
        <v>35484</v>
      </c>
      <c r="E104" s="167">
        <f t="shared" si="12"/>
        <v>338</v>
      </c>
      <c r="F104" s="266">
        <f>SUM(E104:E107)</f>
        <v>1618</v>
      </c>
      <c r="G104" s="240">
        <v>161</v>
      </c>
      <c r="H104" s="167"/>
      <c r="I104" s="320">
        <v>8</v>
      </c>
      <c r="J104" s="290">
        <f>G104*1000+H104*500+I104*100</f>
        <v>161800</v>
      </c>
      <c r="K104" s="167">
        <f>J104-F104*100</f>
        <v>0</v>
      </c>
      <c r="L104" s="177"/>
      <c r="M104" s="162"/>
      <c r="N104" s="154"/>
      <c r="O104" s="154"/>
      <c r="P104" s="189"/>
    </row>
    <row r="105" spans="1:38" ht="15.75" customHeight="1">
      <c r="A105" s="190"/>
      <c r="B105" s="347"/>
      <c r="C105" s="153">
        <f>MIN(川内!15:15)</f>
        <v>38775</v>
      </c>
      <c r="D105" s="153">
        <f>MAX(川内!15:15)</f>
        <v>39128</v>
      </c>
      <c r="E105" s="153">
        <f t="shared" si="12"/>
        <v>353</v>
      </c>
      <c r="F105" s="264"/>
      <c r="G105" s="318"/>
      <c r="H105" s="153"/>
      <c r="I105" s="189"/>
      <c r="J105" s="288"/>
      <c r="K105" s="153"/>
      <c r="L105" s="173"/>
      <c r="M105" s="162"/>
      <c r="N105" s="154"/>
      <c r="O105" s="154"/>
      <c r="P105" s="189"/>
    </row>
    <row r="106" spans="1:38" ht="15.75" customHeight="1">
      <c r="A106" s="190"/>
      <c r="B106" s="347"/>
      <c r="C106" s="153">
        <f>MIN(川内!27:27)</f>
        <v>35707</v>
      </c>
      <c r="D106" s="153">
        <f>MAX(川内!27:27)</f>
        <v>36223</v>
      </c>
      <c r="E106" s="153">
        <f t="shared" si="12"/>
        <v>516</v>
      </c>
      <c r="F106" s="264"/>
      <c r="G106" s="318"/>
      <c r="H106" s="153"/>
      <c r="I106" s="189"/>
      <c r="J106" s="161"/>
      <c r="K106" s="153"/>
      <c r="L106" s="173"/>
      <c r="M106" s="162"/>
      <c r="N106" s="154"/>
      <c r="O106" s="154"/>
      <c r="P106" s="189"/>
    </row>
    <row r="107" spans="1:38" ht="15.75" customHeight="1">
      <c r="A107" s="193"/>
      <c r="B107" s="351"/>
      <c r="C107" s="164">
        <f>MIN(川内!39:39)</f>
        <v>35998</v>
      </c>
      <c r="D107" s="164">
        <f>MAX(川内!39:39)</f>
        <v>36409</v>
      </c>
      <c r="E107" s="164">
        <f t="shared" si="12"/>
        <v>411</v>
      </c>
      <c r="F107" s="267"/>
      <c r="G107" s="321"/>
      <c r="H107" s="164"/>
      <c r="I107" s="322"/>
      <c r="J107" s="296"/>
      <c r="K107" s="164"/>
      <c r="L107" s="178"/>
      <c r="M107" s="162"/>
      <c r="N107" s="154"/>
      <c r="O107" s="154"/>
      <c r="P107" s="189"/>
    </row>
    <row r="108" spans="1:38" ht="15.75" customHeight="1">
      <c r="A108" s="188" t="s">
        <v>317</v>
      </c>
      <c r="B108" s="346" t="s">
        <v>319</v>
      </c>
      <c r="C108" s="150">
        <f>MIN(川内!51:51)</f>
        <v>36154</v>
      </c>
      <c r="D108" s="150">
        <f>MAX(川内!51:51)</f>
        <v>36552</v>
      </c>
      <c r="E108" s="150">
        <f t="shared" si="12"/>
        <v>398</v>
      </c>
      <c r="F108" s="263">
        <f>SUM(E108:E111)</f>
        <v>3832</v>
      </c>
      <c r="G108" s="235">
        <v>383</v>
      </c>
      <c r="H108" s="150"/>
      <c r="I108" s="317">
        <v>2</v>
      </c>
      <c r="J108" s="287">
        <f>G108*1000+H108*500+I108*100</f>
        <v>383200</v>
      </c>
      <c r="K108" s="150">
        <f>J108-F108*100</f>
        <v>0</v>
      </c>
      <c r="L108" s="172"/>
      <c r="M108" s="162"/>
      <c r="N108" s="154"/>
      <c r="O108" s="154"/>
      <c r="P108" s="189"/>
    </row>
    <row r="109" spans="1:38" ht="15.75" customHeight="1">
      <c r="A109" s="190"/>
      <c r="B109" s="347"/>
      <c r="C109" s="153">
        <f>MIN(川内!63:63)</f>
        <v>35288</v>
      </c>
      <c r="D109" s="153">
        <f>MAX(川内!63:63)</f>
        <v>35890</v>
      </c>
      <c r="E109" s="153">
        <f t="shared" si="12"/>
        <v>602</v>
      </c>
      <c r="F109" s="264"/>
      <c r="G109" s="318"/>
      <c r="H109" s="153"/>
      <c r="I109" s="189"/>
      <c r="J109" s="288"/>
      <c r="K109" s="153"/>
      <c r="L109" s="173"/>
      <c r="M109" s="162"/>
      <c r="N109" s="154"/>
      <c r="O109" s="154"/>
      <c r="P109" s="189"/>
    </row>
    <row r="110" spans="1:38" ht="15.75" customHeight="1">
      <c r="A110" s="190"/>
      <c r="B110" s="347"/>
      <c r="C110" s="153">
        <f>MIN(川内!75:75)</f>
        <v>28648</v>
      </c>
      <c r="D110" s="153">
        <f>MAX(川内!75:75)</f>
        <v>29107</v>
      </c>
      <c r="E110" s="153">
        <f t="shared" si="12"/>
        <v>459</v>
      </c>
      <c r="F110" s="264"/>
      <c r="G110" s="318"/>
      <c r="H110" s="153"/>
      <c r="I110" s="189"/>
      <c r="J110" s="161"/>
      <c r="K110" s="153"/>
      <c r="L110" s="173"/>
      <c r="M110" s="162"/>
      <c r="N110" s="154"/>
      <c r="O110" s="154"/>
      <c r="P110" s="189"/>
    </row>
    <row r="111" spans="1:38" ht="15.75" customHeight="1">
      <c r="A111" s="191"/>
      <c r="B111" s="348"/>
      <c r="C111" s="158">
        <f>MIN(川内!87:87)</f>
        <v>35008</v>
      </c>
      <c r="D111" s="158">
        <f>MAX(川内!87:87)</f>
        <v>37381</v>
      </c>
      <c r="E111" s="158">
        <f t="shared" si="12"/>
        <v>2373</v>
      </c>
      <c r="F111" s="265"/>
      <c r="G111" s="236"/>
      <c r="H111" s="158"/>
      <c r="I111" s="319"/>
      <c r="J111" s="289"/>
      <c r="K111" s="158"/>
      <c r="L111" s="174"/>
      <c r="M111" s="162"/>
      <c r="N111" s="154"/>
      <c r="O111" s="154"/>
      <c r="P111" s="189"/>
    </row>
    <row r="112" spans="1:38" ht="15.75" customHeight="1">
      <c r="A112" s="192" t="s">
        <v>172</v>
      </c>
      <c r="B112" s="350"/>
      <c r="C112" s="167">
        <f>MIN(ガチャ!124:124)</f>
        <v>20125</v>
      </c>
      <c r="D112" s="167">
        <f>MAX(ガチャ!124:124)</f>
        <v>20687</v>
      </c>
      <c r="E112" s="167">
        <f t="shared" ref="E112:E113" si="13">D112-C112</f>
        <v>562</v>
      </c>
      <c r="F112" s="266">
        <f>SUM(E112:E113)</f>
        <v>762</v>
      </c>
      <c r="G112" s="240">
        <v>51</v>
      </c>
      <c r="H112" s="167"/>
      <c r="I112" s="320">
        <v>512</v>
      </c>
      <c r="J112" s="290">
        <f>G112*1000+H112*500+I112*100</f>
        <v>102200</v>
      </c>
      <c r="K112" s="167">
        <f>J112-F112*100</f>
        <v>26000</v>
      </c>
      <c r="L112" s="177">
        <v>500</v>
      </c>
      <c r="M112" s="162"/>
      <c r="N112" s="154"/>
      <c r="O112" s="154"/>
      <c r="P112" s="189"/>
      <c r="AJ112" s="79" t="s">
        <v>328</v>
      </c>
      <c r="AL112" s="79">
        <v>22100</v>
      </c>
    </row>
    <row r="113" spans="1:38" ht="15.75" customHeight="1">
      <c r="A113" s="193"/>
      <c r="B113" s="351"/>
      <c r="C113" s="164">
        <f>MIN(ガチャ!134:134)</f>
        <v>15568</v>
      </c>
      <c r="D113" s="164">
        <f>MAX(ガチャ!134:134)</f>
        <v>15768</v>
      </c>
      <c r="E113" s="164">
        <f t="shared" si="13"/>
        <v>200</v>
      </c>
      <c r="F113" s="267"/>
      <c r="G113" s="321"/>
      <c r="H113" s="164"/>
      <c r="I113" s="322"/>
      <c r="J113" s="291"/>
      <c r="K113" s="164"/>
      <c r="L113" s="178"/>
      <c r="M113" s="162"/>
      <c r="N113" s="154"/>
      <c r="O113" s="154"/>
      <c r="P113" s="189"/>
    </row>
    <row r="114" spans="1:38" ht="15" customHeight="1">
      <c r="A114" s="195" t="s">
        <v>304</v>
      </c>
      <c r="B114" s="349" t="s">
        <v>313</v>
      </c>
      <c r="C114" s="175">
        <f>MIN(川内!99:99)</f>
        <v>28458</v>
      </c>
      <c r="D114" s="175">
        <f>MAX(川内!99:99)</f>
        <v>28934</v>
      </c>
      <c r="E114" s="175">
        <f t="shared" ref="E114:E126" si="14">D114-C114</f>
        <v>476</v>
      </c>
      <c r="F114" s="268">
        <f>SUM(E114)</f>
        <v>476</v>
      </c>
      <c r="G114" s="222">
        <v>47</v>
      </c>
      <c r="H114" s="175"/>
      <c r="I114" s="323">
        <v>6</v>
      </c>
      <c r="J114" s="293">
        <f>G114*1000+H114*500+I114*100</f>
        <v>47600</v>
      </c>
      <c r="K114" s="175">
        <f>J114-F114*100</f>
        <v>0</v>
      </c>
      <c r="L114" s="176"/>
      <c r="M114" s="162"/>
      <c r="N114" s="154"/>
      <c r="O114" s="154"/>
      <c r="P114" s="189"/>
      <c r="AL114" s="79">
        <v>1027800</v>
      </c>
    </row>
    <row r="115" spans="1:38" ht="15" customHeight="1">
      <c r="A115" s="223" t="s">
        <v>260</v>
      </c>
      <c r="B115" s="363" t="s">
        <v>327</v>
      </c>
      <c r="C115" s="211">
        <f>MIN(川内!111:111)</f>
        <v>28677</v>
      </c>
      <c r="D115" s="211">
        <f>MAX(川内!111:111)</f>
        <v>29443</v>
      </c>
      <c r="E115" s="211">
        <f t="shared" si="14"/>
        <v>766</v>
      </c>
      <c r="F115" s="273">
        <f>SUM(E115:E115)</f>
        <v>766</v>
      </c>
      <c r="G115" s="234">
        <v>76</v>
      </c>
      <c r="H115" s="211"/>
      <c r="I115" s="329">
        <v>6</v>
      </c>
      <c r="J115" s="299">
        <f>G115*1000+H115*500+I115*100</f>
        <v>76600</v>
      </c>
      <c r="K115" s="211">
        <f>J115-F115*100</f>
        <v>0</v>
      </c>
      <c r="L115" s="220"/>
      <c r="M115" s="162"/>
      <c r="N115" s="154"/>
      <c r="O115" s="154"/>
      <c r="P115" s="189"/>
      <c r="AJ115" s="79" t="s">
        <v>175</v>
      </c>
    </row>
    <row r="116" spans="1:38" ht="15" customHeight="1">
      <c r="A116" s="195" t="s">
        <v>324</v>
      </c>
      <c r="B116" s="349" t="s">
        <v>329</v>
      </c>
      <c r="C116" s="175">
        <f>MIN(川内!123:123)</f>
        <v>27639</v>
      </c>
      <c r="D116" s="175">
        <f>MAX(川内!123:123)</f>
        <v>28886</v>
      </c>
      <c r="E116" s="175">
        <f t="shared" si="14"/>
        <v>1247</v>
      </c>
      <c r="F116" s="268">
        <f>SUM(E116:E116)</f>
        <v>1247</v>
      </c>
      <c r="G116" s="222">
        <v>124</v>
      </c>
      <c r="H116" s="175"/>
      <c r="I116" s="323">
        <v>7</v>
      </c>
      <c r="J116" s="293">
        <f>G116*1000+H116*500+I116*100</f>
        <v>124700</v>
      </c>
      <c r="K116" s="175">
        <f>J116-F116*100</f>
        <v>0</v>
      </c>
      <c r="L116" s="176"/>
      <c r="M116" s="162"/>
      <c r="N116" s="154"/>
      <c r="O116" s="154"/>
      <c r="P116" s="189"/>
      <c r="AJ116" s="79" t="s">
        <v>382</v>
      </c>
      <c r="AL116" s="79">
        <v>333000</v>
      </c>
    </row>
    <row r="117" spans="1:38" ht="15" customHeight="1">
      <c r="A117" s="192" t="s">
        <v>386</v>
      </c>
      <c r="B117" s="350" t="s">
        <v>351</v>
      </c>
      <c r="C117" s="167">
        <f>MIN(川内!135:135)</f>
        <v>4458</v>
      </c>
      <c r="D117" s="167">
        <f>MAX(川内!135:135)</f>
        <v>5203</v>
      </c>
      <c r="E117" s="167">
        <f t="shared" si="14"/>
        <v>745</v>
      </c>
      <c r="F117" s="266">
        <f>SUM(E117:E120)</f>
        <v>2445</v>
      </c>
      <c r="G117" s="240">
        <v>244</v>
      </c>
      <c r="H117" s="167"/>
      <c r="I117" s="320">
        <v>5</v>
      </c>
      <c r="J117" s="290">
        <f>G117*1000+H117*500+I117*100</f>
        <v>244500</v>
      </c>
      <c r="K117" s="167">
        <f>J117-F117*100</f>
        <v>0</v>
      </c>
      <c r="L117" s="177"/>
      <c r="M117" s="162"/>
      <c r="N117" s="154"/>
      <c r="O117" s="154"/>
      <c r="P117" s="189"/>
    </row>
    <row r="118" spans="1:38" ht="15" customHeight="1">
      <c r="A118" s="190"/>
      <c r="B118" s="347"/>
      <c r="C118" s="153">
        <f>MIN(川内!147:147)</f>
        <v>3231</v>
      </c>
      <c r="D118" s="153">
        <f>MAX(川内!147:147)</f>
        <v>3903</v>
      </c>
      <c r="E118" s="153">
        <f t="shared" si="14"/>
        <v>672</v>
      </c>
      <c r="F118" s="264"/>
      <c r="G118" s="318"/>
      <c r="H118" s="153"/>
      <c r="I118" s="189"/>
      <c r="J118" s="288"/>
      <c r="K118" s="153"/>
      <c r="L118" s="173"/>
      <c r="M118" s="162"/>
      <c r="N118" s="154"/>
      <c r="O118" s="154"/>
      <c r="P118" s="189"/>
    </row>
    <row r="119" spans="1:38" ht="15" customHeight="1">
      <c r="A119" s="190"/>
      <c r="B119" s="347"/>
      <c r="C119" s="153">
        <f>MIN(川内!159:159)</f>
        <v>3810</v>
      </c>
      <c r="D119" s="153">
        <f>MAX(川内!159:159)</f>
        <v>4098</v>
      </c>
      <c r="E119" s="153">
        <f t="shared" si="14"/>
        <v>288</v>
      </c>
      <c r="F119" s="264"/>
      <c r="G119" s="318"/>
      <c r="H119" s="153"/>
      <c r="I119" s="189"/>
      <c r="J119" s="161"/>
      <c r="K119" s="153"/>
      <c r="L119" s="173"/>
      <c r="M119" s="162"/>
      <c r="N119" s="154"/>
      <c r="O119" s="154"/>
      <c r="P119" s="189"/>
    </row>
    <row r="120" spans="1:38" ht="15" customHeight="1">
      <c r="A120" s="193"/>
      <c r="B120" s="351"/>
      <c r="C120" s="164">
        <f>MIN(川内!171:171)</f>
        <v>3085</v>
      </c>
      <c r="D120" s="164">
        <f>MAX(川内!171:171)</f>
        <v>3825</v>
      </c>
      <c r="E120" s="164">
        <f t="shared" si="14"/>
        <v>740</v>
      </c>
      <c r="F120" s="267"/>
      <c r="G120" s="321"/>
      <c r="H120" s="164"/>
      <c r="I120" s="322"/>
      <c r="J120" s="296"/>
      <c r="K120" s="164"/>
      <c r="L120" s="178"/>
      <c r="M120" s="162"/>
      <c r="N120" s="154"/>
      <c r="O120" s="154"/>
      <c r="P120" s="189"/>
      <c r="AL120" s="79">
        <v>806900</v>
      </c>
    </row>
    <row r="121" spans="1:38" ht="15" customHeight="1">
      <c r="A121" s="188" t="s">
        <v>387</v>
      </c>
      <c r="B121" s="346" t="s">
        <v>356</v>
      </c>
      <c r="C121" s="150">
        <f>MIN(川内!183:183)</f>
        <v>5038</v>
      </c>
      <c r="D121" s="150">
        <f>MAX(川内!183:183)</f>
        <v>5390</v>
      </c>
      <c r="E121" s="150">
        <f t="shared" si="14"/>
        <v>352</v>
      </c>
      <c r="F121" s="263">
        <f>SUM(E121:E124)</f>
        <v>2004</v>
      </c>
      <c r="G121" s="235">
        <v>200</v>
      </c>
      <c r="H121" s="150"/>
      <c r="I121" s="317">
        <v>4</v>
      </c>
      <c r="J121" s="287">
        <f>G121*1000+H121*500+I121*100</f>
        <v>200400</v>
      </c>
      <c r="K121" s="150">
        <f>J121-F121*100</f>
        <v>0</v>
      </c>
      <c r="L121" s="172"/>
      <c r="M121" s="162"/>
      <c r="N121" s="154"/>
      <c r="O121" s="154"/>
      <c r="P121" s="189"/>
    </row>
    <row r="122" spans="1:38" ht="15" customHeight="1">
      <c r="A122" s="190"/>
      <c r="B122" s="347"/>
      <c r="C122" s="153">
        <f>MIN(川内!195:195)</f>
        <v>5281</v>
      </c>
      <c r="D122" s="153">
        <f>MAX(川内!195:195)</f>
        <v>5481</v>
      </c>
      <c r="E122" s="153">
        <f t="shared" si="14"/>
        <v>200</v>
      </c>
      <c r="F122" s="264"/>
      <c r="G122" s="318"/>
      <c r="H122" s="153"/>
      <c r="I122" s="189"/>
      <c r="J122" s="288"/>
      <c r="K122" s="153"/>
      <c r="L122" s="173"/>
      <c r="M122" s="162"/>
      <c r="N122" s="154"/>
      <c r="O122" s="154"/>
      <c r="P122" s="189"/>
      <c r="AJ122" s="79" t="s">
        <v>246</v>
      </c>
    </row>
    <row r="123" spans="1:38" ht="15" customHeight="1">
      <c r="A123" s="190"/>
      <c r="B123" s="347"/>
      <c r="C123" s="153">
        <f>MIN(川内!207:207)</f>
        <v>4441</v>
      </c>
      <c r="D123" s="153">
        <f>MAX(川内!207:207)</f>
        <v>5139</v>
      </c>
      <c r="E123" s="153">
        <f t="shared" si="14"/>
        <v>698</v>
      </c>
      <c r="F123" s="264"/>
      <c r="G123" s="318"/>
      <c r="H123" s="153"/>
      <c r="I123" s="189"/>
      <c r="J123" s="161"/>
      <c r="K123" s="153"/>
      <c r="L123" s="173"/>
      <c r="M123" s="162"/>
      <c r="N123" s="154"/>
      <c r="O123" s="154"/>
      <c r="P123" s="189"/>
      <c r="AJ123" s="79" t="s">
        <v>383</v>
      </c>
      <c r="AL123" s="79">
        <v>177000</v>
      </c>
    </row>
    <row r="124" spans="1:38" ht="15" customHeight="1">
      <c r="A124" s="191"/>
      <c r="B124" s="348"/>
      <c r="C124" s="158">
        <f>MIN(川内!219:219)</f>
        <v>4102</v>
      </c>
      <c r="D124" s="158">
        <f>MAX(川内!219:219)</f>
        <v>4856</v>
      </c>
      <c r="E124" s="158">
        <f t="shared" si="14"/>
        <v>754</v>
      </c>
      <c r="F124" s="265"/>
      <c r="G124" s="236"/>
      <c r="H124" s="158"/>
      <c r="I124" s="319"/>
      <c r="J124" s="289"/>
      <c r="K124" s="158"/>
      <c r="L124" s="174"/>
      <c r="M124" s="162"/>
      <c r="N124" s="154"/>
      <c r="O124" s="154"/>
      <c r="P124" s="189"/>
    </row>
    <row r="125" spans="1:38" ht="15" customHeight="1">
      <c r="A125" s="192" t="s">
        <v>127</v>
      </c>
      <c r="B125" s="350" t="s">
        <v>364</v>
      </c>
      <c r="C125" s="167">
        <f>MIN(川内!C231:AS231)</f>
        <v>87407</v>
      </c>
      <c r="D125" s="167">
        <f>MAX(川内!D231:AT231)</f>
        <v>90219</v>
      </c>
      <c r="E125" s="167">
        <f t="shared" si="14"/>
        <v>2812</v>
      </c>
      <c r="F125" s="266">
        <f>SUM(E125:E126)</f>
        <v>6477</v>
      </c>
      <c r="G125" s="240">
        <v>647</v>
      </c>
      <c r="H125" s="167"/>
      <c r="I125" s="320">
        <v>7</v>
      </c>
      <c r="J125" s="290">
        <f>G125*1000+H125*500+I125*100</f>
        <v>647700</v>
      </c>
      <c r="K125" s="167">
        <f>J125-F125*100</f>
        <v>0</v>
      </c>
      <c r="L125" s="177"/>
      <c r="M125" s="162"/>
      <c r="N125" s="154"/>
      <c r="O125" s="154"/>
      <c r="P125" s="189"/>
    </row>
    <row r="126" spans="1:38" ht="15" customHeight="1">
      <c r="A126" s="191"/>
      <c r="B126" s="348"/>
      <c r="C126" s="158">
        <f>MIN(川内!C232:AS232)</f>
        <v>78390</v>
      </c>
      <c r="D126" s="158">
        <f>MAX(川内!D232:AT232)</f>
        <v>82055</v>
      </c>
      <c r="E126" s="158">
        <f t="shared" si="14"/>
        <v>3665</v>
      </c>
      <c r="F126" s="265"/>
      <c r="G126" s="236"/>
      <c r="H126" s="158"/>
      <c r="I126" s="319"/>
      <c r="J126" s="292"/>
      <c r="K126" s="158"/>
      <c r="L126" s="174"/>
      <c r="M126" s="162"/>
      <c r="N126" s="154"/>
      <c r="O126" s="154"/>
      <c r="P126" s="189"/>
    </row>
    <row r="127" spans="1:38" ht="15" customHeight="1" thickBot="1">
      <c r="A127" s="196"/>
      <c r="B127" s="353"/>
      <c r="C127" s="197"/>
      <c r="D127" s="197"/>
      <c r="E127" s="197"/>
      <c r="F127" s="269"/>
      <c r="G127" s="205"/>
      <c r="H127" s="197"/>
      <c r="I127" s="324"/>
      <c r="J127" s="295">
        <f>SUM(J102:J125)</f>
        <v>2241700</v>
      </c>
      <c r="K127" s="197"/>
      <c r="L127" s="199"/>
      <c r="M127" s="200"/>
      <c r="N127" s="200"/>
      <c r="O127" s="200"/>
      <c r="P127" s="201"/>
    </row>
    <row r="128" spans="1:38" ht="15" customHeight="1" thickBot="1">
      <c r="A128" s="95" t="s">
        <v>388</v>
      </c>
      <c r="B128" s="342" t="s">
        <v>425</v>
      </c>
      <c r="C128" s="84"/>
      <c r="D128" s="84"/>
      <c r="E128" s="84"/>
      <c r="F128" s="84">
        <f>SUM(F129:F153)</f>
        <v>13952</v>
      </c>
      <c r="G128" s="311"/>
      <c r="H128" s="84"/>
      <c r="I128" s="312"/>
      <c r="J128" s="84"/>
      <c r="K128" s="84"/>
      <c r="L128" s="85"/>
      <c r="M128" s="85"/>
      <c r="N128" s="85"/>
      <c r="O128" s="85"/>
      <c r="P128" s="84"/>
    </row>
    <row r="129" spans="1:38" ht="15" customHeight="1">
      <c r="A129" s="221" t="s">
        <v>383</v>
      </c>
      <c r="B129" s="361"/>
      <c r="C129" s="181">
        <f>MIN(ガチャ!64:64)</f>
        <v>4244</v>
      </c>
      <c r="D129" s="181">
        <f>MAX(ガチャ!64:64)</f>
        <v>4278</v>
      </c>
      <c r="E129" s="181">
        <f t="shared" ref="E129:E155" si="15">D129-C129</f>
        <v>34</v>
      </c>
      <c r="F129" s="262">
        <f>E129*10</f>
        <v>340</v>
      </c>
      <c r="G129" s="315"/>
      <c r="H129" s="182"/>
      <c r="I129" s="316"/>
      <c r="J129" s="286">
        <f>G129*1000</f>
        <v>0</v>
      </c>
      <c r="K129" s="182">
        <f>J129-F129*100</f>
        <v>-34000</v>
      </c>
      <c r="L129" s="229"/>
      <c r="M129" s="184"/>
      <c r="N129" s="185"/>
      <c r="O129" s="185"/>
      <c r="P129" s="187"/>
    </row>
    <row r="130" spans="1:38" ht="15" customHeight="1">
      <c r="A130" s="222" t="s">
        <v>162</v>
      </c>
      <c r="B130" s="362"/>
      <c r="C130" s="175">
        <f>MIN(ガチャ!74:74)</f>
        <v>10200</v>
      </c>
      <c r="D130" s="175">
        <f>MAX(ガチャ!74:74)</f>
        <v>10362</v>
      </c>
      <c r="E130" s="175">
        <f t="shared" si="15"/>
        <v>162</v>
      </c>
      <c r="F130" s="274">
        <f>E130*10</f>
        <v>1620</v>
      </c>
      <c r="G130" s="255"/>
      <c r="H130" s="226"/>
      <c r="I130" s="330"/>
      <c r="J130" s="293">
        <f>G130*1000</f>
        <v>0</v>
      </c>
      <c r="K130" s="226">
        <f>J130-F130*100</f>
        <v>-162000</v>
      </c>
      <c r="L130" s="227"/>
      <c r="M130" s="160"/>
      <c r="N130" s="155"/>
      <c r="O130" s="155"/>
      <c r="P130" s="189"/>
    </row>
    <row r="131" spans="1:38" ht="15" customHeight="1">
      <c r="A131" s="192" t="s">
        <v>172</v>
      </c>
      <c r="B131" s="350"/>
      <c r="C131" s="167">
        <f>MIN(ガチャ!84:84)</f>
        <v>10899</v>
      </c>
      <c r="D131" s="167">
        <f>MAX(ガチャ!84:84)</f>
        <v>11290</v>
      </c>
      <c r="E131" s="167">
        <f t="shared" si="15"/>
        <v>391</v>
      </c>
      <c r="F131" s="266">
        <f>SUM(E131:E132)</f>
        <v>731</v>
      </c>
      <c r="G131" s="240"/>
      <c r="H131" s="167"/>
      <c r="I131" s="320"/>
      <c r="J131" s="290">
        <f>G131*1000+H131*500+I131*100</f>
        <v>0</v>
      </c>
      <c r="K131" s="167">
        <f>J131-F131*100</f>
        <v>-73100</v>
      </c>
      <c r="L131" s="177"/>
      <c r="M131" s="162"/>
      <c r="N131" s="154"/>
      <c r="O131" s="154"/>
      <c r="P131" s="189"/>
    </row>
    <row r="132" spans="1:38" ht="15" customHeight="1">
      <c r="A132" s="193"/>
      <c r="B132" s="351"/>
      <c r="C132" s="164">
        <f>MIN(ガチャ!94:94)</f>
        <v>7518</v>
      </c>
      <c r="D132" s="164">
        <f>MAX(ガチャ!94:94)</f>
        <v>7858</v>
      </c>
      <c r="E132" s="164">
        <f t="shared" si="15"/>
        <v>340</v>
      </c>
      <c r="F132" s="267"/>
      <c r="G132" s="321"/>
      <c r="H132" s="164"/>
      <c r="I132" s="322"/>
      <c r="J132" s="291"/>
      <c r="K132" s="164"/>
      <c r="L132" s="178"/>
      <c r="M132" s="162"/>
      <c r="N132" s="154"/>
      <c r="O132" s="154"/>
      <c r="P132" s="189"/>
    </row>
    <row r="133" spans="1:38" ht="15" customHeight="1">
      <c r="A133" s="195" t="s">
        <v>260</v>
      </c>
      <c r="B133" s="349" t="s">
        <v>330</v>
      </c>
      <c r="C133" s="175">
        <f>MIN(霧島!3:3)</f>
        <v>21752</v>
      </c>
      <c r="D133" s="175">
        <f>MAX(霧島!3:3)</f>
        <v>22531</v>
      </c>
      <c r="E133" s="175">
        <f t="shared" si="15"/>
        <v>779</v>
      </c>
      <c r="F133" s="268"/>
      <c r="G133" s="222"/>
      <c r="H133" s="175"/>
      <c r="I133" s="323"/>
      <c r="J133" s="293">
        <f>G133*1000+H133*500+I133*100</f>
        <v>0</v>
      </c>
      <c r="K133" s="175">
        <f>J133-F133*100</f>
        <v>0</v>
      </c>
      <c r="L133" s="176"/>
      <c r="M133" s="162"/>
      <c r="N133" s="154"/>
      <c r="O133" s="154"/>
      <c r="P133" s="189"/>
    </row>
    <row r="134" spans="1:38" ht="15" customHeight="1">
      <c r="A134" s="223" t="s">
        <v>304</v>
      </c>
      <c r="B134" s="363" t="s">
        <v>305</v>
      </c>
      <c r="C134" s="211">
        <f>MIN(霧島!27:27)</f>
        <v>38243</v>
      </c>
      <c r="D134" s="211">
        <f>MAX(霧島!27:27)</f>
        <v>38724</v>
      </c>
      <c r="E134" s="211">
        <f t="shared" si="15"/>
        <v>481</v>
      </c>
      <c r="F134" s="273"/>
      <c r="G134" s="234"/>
      <c r="H134" s="211"/>
      <c r="I134" s="329"/>
      <c r="J134" s="299">
        <f>G134*1000+H134*500+I134*100</f>
        <v>0</v>
      </c>
      <c r="K134" s="211">
        <f>J134-F134*100</f>
        <v>0</v>
      </c>
      <c r="L134" s="220"/>
      <c r="M134" s="162"/>
      <c r="N134" s="154"/>
      <c r="O134" s="154"/>
      <c r="P134" s="189"/>
    </row>
    <row r="135" spans="1:38" ht="15" customHeight="1">
      <c r="A135" s="188" t="s">
        <v>242</v>
      </c>
      <c r="B135" s="346" t="s">
        <v>332</v>
      </c>
      <c r="C135" s="150">
        <f>MIN(霧島!39:39)</f>
        <v>13690</v>
      </c>
      <c r="D135" s="150">
        <f>MAX(霧島!39:39)</f>
        <v>14132</v>
      </c>
      <c r="E135" s="150">
        <f t="shared" si="15"/>
        <v>442</v>
      </c>
      <c r="F135" s="263">
        <f>SUM(E135:E138)</f>
        <v>1539</v>
      </c>
      <c r="G135" s="235"/>
      <c r="H135" s="150"/>
      <c r="I135" s="317"/>
      <c r="J135" s="287">
        <f>G135*1000+H135*500+I135*100</f>
        <v>0</v>
      </c>
      <c r="K135" s="150">
        <f>J135-F135*100</f>
        <v>-153900</v>
      </c>
      <c r="L135" s="172"/>
      <c r="M135" s="162"/>
      <c r="N135" s="154"/>
      <c r="O135" s="154"/>
      <c r="P135" s="189"/>
    </row>
    <row r="136" spans="1:38" ht="15" customHeight="1">
      <c r="A136" s="190"/>
      <c r="B136" s="347"/>
      <c r="C136" s="153">
        <f>MIN(霧島!51:51)</f>
        <v>11520</v>
      </c>
      <c r="D136" s="153">
        <f>MAX(霧島!51:51)</f>
        <v>11843</v>
      </c>
      <c r="E136" s="153">
        <f t="shared" si="15"/>
        <v>323</v>
      </c>
      <c r="F136" s="264"/>
      <c r="G136" s="318"/>
      <c r="H136" s="153"/>
      <c r="I136" s="189"/>
      <c r="J136" s="288"/>
      <c r="K136" s="153"/>
      <c r="L136" s="173"/>
      <c r="M136" s="162"/>
      <c r="N136" s="154"/>
      <c r="O136" s="154"/>
      <c r="P136" s="189"/>
    </row>
    <row r="137" spans="1:38" ht="15" customHeight="1">
      <c r="A137" s="190"/>
      <c r="B137" s="347"/>
      <c r="C137" s="153">
        <f>MIN(霧島!63:63)</f>
        <v>10787</v>
      </c>
      <c r="D137" s="153">
        <f>MAX(霧島!63:63)</f>
        <v>11300</v>
      </c>
      <c r="E137" s="153">
        <f t="shared" si="15"/>
        <v>513</v>
      </c>
      <c r="F137" s="264"/>
      <c r="G137" s="318"/>
      <c r="H137" s="153"/>
      <c r="I137" s="189"/>
      <c r="J137" s="161"/>
      <c r="K137" s="153"/>
      <c r="L137" s="173"/>
      <c r="M137" s="162"/>
      <c r="N137" s="154"/>
      <c r="O137" s="154"/>
      <c r="P137" s="189"/>
    </row>
    <row r="138" spans="1:38" ht="15" customHeight="1">
      <c r="A138" s="191"/>
      <c r="B138" s="348"/>
      <c r="C138" s="158">
        <f>MIN(霧島!75:75)</f>
        <v>10279</v>
      </c>
      <c r="D138" s="158">
        <f>MAX(霧島!75:75)</f>
        <v>10540</v>
      </c>
      <c r="E138" s="158">
        <f t="shared" si="15"/>
        <v>261</v>
      </c>
      <c r="F138" s="265"/>
      <c r="G138" s="236"/>
      <c r="H138" s="158"/>
      <c r="I138" s="319"/>
      <c r="J138" s="289"/>
      <c r="K138" s="158"/>
      <c r="L138" s="174"/>
      <c r="M138" s="162"/>
      <c r="N138" s="154"/>
      <c r="O138" s="154"/>
      <c r="P138" s="189"/>
    </row>
    <row r="139" spans="1:38" ht="15" customHeight="1">
      <c r="A139" s="192" t="s">
        <v>320</v>
      </c>
      <c r="B139" s="350" t="s">
        <v>333</v>
      </c>
      <c r="C139" s="167">
        <f>MIN(霧島!87:87)</f>
        <v>11313</v>
      </c>
      <c r="D139" s="167">
        <f>MAX(霧島!87:87)</f>
        <v>11636</v>
      </c>
      <c r="E139" s="167">
        <f t="shared" si="15"/>
        <v>323</v>
      </c>
      <c r="F139" s="266">
        <f>SUM(E139:E142)</f>
        <v>1872</v>
      </c>
      <c r="G139" s="240"/>
      <c r="H139" s="167"/>
      <c r="I139" s="320"/>
      <c r="J139" s="290">
        <f>G139*1000+H139*500+I139*100</f>
        <v>0</v>
      </c>
      <c r="K139" s="167">
        <f>J139-F139*100</f>
        <v>-187200</v>
      </c>
      <c r="L139" s="177"/>
      <c r="M139" s="162"/>
      <c r="N139" s="154"/>
      <c r="O139" s="154"/>
      <c r="P139" s="189"/>
      <c r="AL139" s="79">
        <v>1326500</v>
      </c>
    </row>
    <row r="140" spans="1:38" ht="15" customHeight="1">
      <c r="A140" s="190"/>
      <c r="B140" s="347"/>
      <c r="C140" s="153">
        <f>MIN(霧島!99:99)</f>
        <v>11706</v>
      </c>
      <c r="D140" s="153">
        <f>MAX(霧島!99:99)</f>
        <v>12154</v>
      </c>
      <c r="E140" s="153">
        <f t="shared" si="15"/>
        <v>448</v>
      </c>
      <c r="F140" s="264"/>
      <c r="G140" s="318"/>
      <c r="H140" s="153"/>
      <c r="I140" s="189"/>
      <c r="J140" s="288"/>
      <c r="K140" s="153"/>
      <c r="L140" s="173"/>
      <c r="M140" s="162"/>
      <c r="N140" s="154"/>
      <c r="O140" s="154"/>
      <c r="P140" s="189"/>
      <c r="AJ140" s="79" t="s">
        <v>134</v>
      </c>
    </row>
    <row r="141" spans="1:38" ht="15" customHeight="1">
      <c r="A141" s="190"/>
      <c r="B141" s="347"/>
      <c r="C141" s="153">
        <f>MIN(霧島!111:111)</f>
        <v>9180</v>
      </c>
      <c r="D141" s="153">
        <f>MAX(霧島!111:111)</f>
        <v>9786</v>
      </c>
      <c r="E141" s="153">
        <f t="shared" si="15"/>
        <v>606</v>
      </c>
      <c r="F141" s="264"/>
      <c r="G141" s="318"/>
      <c r="H141" s="153"/>
      <c r="I141" s="189"/>
      <c r="J141" s="161"/>
      <c r="K141" s="153"/>
      <c r="L141" s="173"/>
      <c r="M141" s="162"/>
      <c r="N141" s="154"/>
      <c r="O141" s="154"/>
      <c r="P141" s="189"/>
    </row>
    <row r="142" spans="1:38" ht="15" customHeight="1">
      <c r="A142" s="193"/>
      <c r="B142" s="351"/>
      <c r="C142" s="164">
        <f>MIN(霧島!123:123)</f>
        <v>13531</v>
      </c>
      <c r="D142" s="164">
        <f>MAX(霧島!123:123)</f>
        <v>14026</v>
      </c>
      <c r="E142" s="164">
        <f t="shared" si="15"/>
        <v>495</v>
      </c>
      <c r="F142" s="267"/>
      <c r="G142" s="321"/>
      <c r="H142" s="164"/>
      <c r="I142" s="322"/>
      <c r="J142" s="296"/>
      <c r="K142" s="164"/>
      <c r="L142" s="178"/>
      <c r="M142" s="162"/>
      <c r="N142" s="154"/>
      <c r="O142" s="154"/>
      <c r="P142" s="189"/>
    </row>
    <row r="143" spans="1:38" ht="15" customHeight="1">
      <c r="A143" s="188" t="s">
        <v>360</v>
      </c>
      <c r="B143" s="346" t="s">
        <v>335</v>
      </c>
      <c r="C143" s="150">
        <f>MIN(霧島!135:135)</f>
        <v>9033</v>
      </c>
      <c r="D143" s="150">
        <f>MAX(霧島!135:135)</f>
        <v>9376</v>
      </c>
      <c r="E143" s="150">
        <f t="shared" si="15"/>
        <v>343</v>
      </c>
      <c r="F143" s="263">
        <f>SUM(E143:E146)</f>
        <v>2292</v>
      </c>
      <c r="G143" s="235"/>
      <c r="H143" s="150"/>
      <c r="I143" s="317"/>
      <c r="J143" s="287">
        <f>G143*1000+H143*500+I143*100</f>
        <v>0</v>
      </c>
      <c r="K143" s="150">
        <f>J143-F143*100</f>
        <v>-229200</v>
      </c>
      <c r="L143" s="172"/>
      <c r="M143" s="162"/>
      <c r="N143" s="154"/>
      <c r="O143" s="154"/>
      <c r="P143" s="189"/>
    </row>
    <row r="144" spans="1:38" ht="15" customHeight="1">
      <c r="A144" s="190"/>
      <c r="B144" s="347"/>
      <c r="C144" s="153">
        <f>MIN(霧島!147:147)</f>
        <v>9544</v>
      </c>
      <c r="D144" s="153">
        <f>MAX(霧島!147:147)</f>
        <v>9881</v>
      </c>
      <c r="E144" s="153">
        <f t="shared" si="15"/>
        <v>337</v>
      </c>
      <c r="F144" s="264"/>
      <c r="G144" s="318"/>
      <c r="H144" s="153"/>
      <c r="I144" s="189"/>
      <c r="J144" s="288"/>
      <c r="K144" s="153"/>
      <c r="L144" s="173"/>
      <c r="M144" s="162"/>
      <c r="N144" s="154"/>
      <c r="O144" s="154"/>
      <c r="P144" s="189"/>
    </row>
    <row r="145" spans="1:38" ht="15" customHeight="1">
      <c r="A145" s="190"/>
      <c r="B145" s="347"/>
      <c r="C145" s="153">
        <f>MIN(霧島!159:159)</f>
        <v>12227</v>
      </c>
      <c r="D145" s="153">
        <f>MAX(霧島!159:159)</f>
        <v>12571</v>
      </c>
      <c r="E145" s="153">
        <f t="shared" si="15"/>
        <v>344</v>
      </c>
      <c r="F145" s="264"/>
      <c r="G145" s="318"/>
      <c r="H145" s="153"/>
      <c r="I145" s="189"/>
      <c r="J145" s="161"/>
      <c r="K145" s="153"/>
      <c r="L145" s="173"/>
      <c r="M145" s="162"/>
      <c r="N145" s="154"/>
      <c r="O145" s="154"/>
      <c r="P145" s="189"/>
    </row>
    <row r="146" spans="1:38" ht="15" customHeight="1">
      <c r="A146" s="191"/>
      <c r="B146" s="348"/>
      <c r="C146" s="158">
        <f>MIN(霧島!171:171)</f>
        <v>18224</v>
      </c>
      <c r="D146" s="158">
        <f>MAX(霧島!171:171)</f>
        <v>19492</v>
      </c>
      <c r="E146" s="158">
        <f t="shared" si="15"/>
        <v>1268</v>
      </c>
      <c r="F146" s="265"/>
      <c r="G146" s="236"/>
      <c r="H146" s="158"/>
      <c r="I146" s="319"/>
      <c r="J146" s="289"/>
      <c r="K146" s="158"/>
      <c r="L146" s="174"/>
      <c r="M146" s="162"/>
      <c r="N146" s="154"/>
      <c r="O146" s="154"/>
      <c r="P146" s="189"/>
    </row>
    <row r="147" spans="1:38" ht="15" customHeight="1">
      <c r="A147" s="192" t="s">
        <v>367</v>
      </c>
      <c r="B147" s="350" t="s">
        <v>337</v>
      </c>
      <c r="C147" s="167">
        <f>MIN(霧島!183:183)</f>
        <v>11592</v>
      </c>
      <c r="D147" s="167">
        <f>MAX(霧島!183:183)</f>
        <v>12410</v>
      </c>
      <c r="E147" s="167">
        <f t="shared" si="15"/>
        <v>818</v>
      </c>
      <c r="F147" s="266">
        <f>SUM(E147:E150)</f>
        <v>2078</v>
      </c>
      <c r="G147" s="240"/>
      <c r="H147" s="167"/>
      <c r="I147" s="320"/>
      <c r="J147" s="290">
        <f>G147*1000+H147*500+I147*100</f>
        <v>0</v>
      </c>
      <c r="K147" s="167">
        <f>J147-F147*100</f>
        <v>-207800</v>
      </c>
      <c r="L147" s="177"/>
      <c r="M147" s="162"/>
      <c r="N147" s="154"/>
      <c r="O147" s="154"/>
      <c r="P147" s="189"/>
      <c r="AL147" s="79">
        <v>323400</v>
      </c>
    </row>
    <row r="148" spans="1:38" ht="15" customHeight="1">
      <c r="A148" s="190"/>
      <c r="B148" s="347"/>
      <c r="C148" s="153">
        <f>MIN(霧島!195:195)</f>
        <v>6806</v>
      </c>
      <c r="D148" s="153">
        <f>MAX(霧島!195:195)</f>
        <v>7132</v>
      </c>
      <c r="E148" s="153">
        <f t="shared" si="15"/>
        <v>326</v>
      </c>
      <c r="F148" s="264"/>
      <c r="G148" s="318"/>
      <c r="H148" s="153"/>
      <c r="I148" s="189"/>
      <c r="J148" s="288"/>
      <c r="K148" s="153"/>
      <c r="L148" s="173"/>
      <c r="M148" s="162"/>
      <c r="N148" s="154"/>
      <c r="O148" s="154"/>
      <c r="P148" s="189"/>
      <c r="AJ148" s="79" t="s">
        <v>130</v>
      </c>
    </row>
    <row r="149" spans="1:38" ht="15" customHeight="1">
      <c r="A149" s="190"/>
      <c r="B149" s="347"/>
      <c r="C149" s="153">
        <f>MIN(霧島!207:207)</f>
        <v>10506</v>
      </c>
      <c r="D149" s="153">
        <f>MAX(霧島!207:207)</f>
        <v>11004</v>
      </c>
      <c r="E149" s="153">
        <f t="shared" si="15"/>
        <v>498</v>
      </c>
      <c r="F149" s="264"/>
      <c r="G149" s="318"/>
      <c r="H149" s="153"/>
      <c r="I149" s="189"/>
      <c r="J149" s="161"/>
      <c r="K149" s="153"/>
      <c r="L149" s="173"/>
      <c r="M149" s="162"/>
      <c r="N149" s="154"/>
      <c r="O149" s="154"/>
      <c r="P149" s="189"/>
    </row>
    <row r="150" spans="1:38" ht="15" customHeight="1">
      <c r="A150" s="193"/>
      <c r="B150" s="351"/>
      <c r="C150" s="164">
        <f>MIN(霧島!219:219)</f>
        <v>8511</v>
      </c>
      <c r="D150" s="164">
        <f>MAX(霧島!219:219)</f>
        <v>8947</v>
      </c>
      <c r="E150" s="164">
        <f t="shared" si="15"/>
        <v>436</v>
      </c>
      <c r="F150" s="267"/>
      <c r="G150" s="321"/>
      <c r="H150" s="164"/>
      <c r="I150" s="322"/>
      <c r="J150" s="296"/>
      <c r="K150" s="164"/>
      <c r="L150" s="178"/>
      <c r="M150" s="162"/>
      <c r="N150" s="154"/>
      <c r="O150" s="154"/>
      <c r="P150" s="189"/>
    </row>
    <row r="151" spans="1:38" ht="15" customHeight="1">
      <c r="A151" s="188" t="s">
        <v>95</v>
      </c>
      <c r="B151" s="346" t="s">
        <v>340</v>
      </c>
      <c r="C151" s="150">
        <f>MIN(霧島!231:231)</f>
        <v>112176</v>
      </c>
      <c r="D151" s="150">
        <f>MAX(霧島!231:231)</f>
        <v>114215</v>
      </c>
      <c r="E151" s="150">
        <f t="shared" si="15"/>
        <v>2039</v>
      </c>
      <c r="F151" s="263">
        <f>SUM(E151:E152)</f>
        <v>2658</v>
      </c>
      <c r="G151" s="235"/>
      <c r="H151" s="150"/>
      <c r="I151" s="317"/>
      <c r="J151" s="287">
        <f>G151*1000+H151*500+I151*100</f>
        <v>0</v>
      </c>
      <c r="K151" s="150">
        <f>J151-F151*100</f>
        <v>-265800</v>
      </c>
      <c r="L151" s="172"/>
      <c r="M151" s="162"/>
      <c r="N151" s="154"/>
      <c r="O151" s="154"/>
      <c r="P151" s="189"/>
    </row>
    <row r="152" spans="1:38" ht="15" customHeight="1">
      <c r="A152" s="191"/>
      <c r="B152" s="348"/>
      <c r="C152" s="158">
        <f>MIN(霧島!243:243)</f>
        <v>104898</v>
      </c>
      <c r="D152" s="158">
        <f>MAX(霧島!243:243)</f>
        <v>105517</v>
      </c>
      <c r="E152" s="158">
        <f t="shared" si="15"/>
        <v>619</v>
      </c>
      <c r="F152" s="265"/>
      <c r="G152" s="236"/>
      <c r="H152" s="158"/>
      <c r="I152" s="319"/>
      <c r="J152" s="292"/>
      <c r="K152" s="158"/>
      <c r="L152" s="174"/>
      <c r="M152" s="162"/>
      <c r="N152" s="154"/>
      <c r="O152" s="154"/>
      <c r="P152" s="189"/>
    </row>
    <row r="153" spans="1:38" ht="15" customHeight="1">
      <c r="A153" s="223" t="s">
        <v>324</v>
      </c>
      <c r="B153" s="363" t="s">
        <v>325</v>
      </c>
      <c r="C153" s="211">
        <f>MIN(霧島!15:15)</f>
        <v>16914</v>
      </c>
      <c r="D153" s="211">
        <f>MAX(霧島!15:15)</f>
        <v>17736</v>
      </c>
      <c r="E153" s="211">
        <f t="shared" si="15"/>
        <v>822</v>
      </c>
      <c r="F153" s="273">
        <f>SUM(E153:E153)</f>
        <v>822</v>
      </c>
      <c r="G153" s="234"/>
      <c r="H153" s="211"/>
      <c r="I153" s="329"/>
      <c r="J153" s="299">
        <f>G153*1000+H153*500+I153*100</f>
        <v>0</v>
      </c>
      <c r="K153" s="211">
        <f>J153-F153*100</f>
        <v>-82200</v>
      </c>
      <c r="L153" s="220"/>
      <c r="M153" s="162"/>
      <c r="N153" s="154"/>
      <c r="O153" s="154"/>
      <c r="P153" s="189"/>
    </row>
    <row r="154" spans="1:38" ht="15" customHeight="1">
      <c r="A154" s="195" t="s">
        <v>389</v>
      </c>
      <c r="B154" s="349"/>
      <c r="C154" s="175">
        <v>54963</v>
      </c>
      <c r="D154" s="175">
        <v>55256</v>
      </c>
      <c r="E154" s="175">
        <f t="shared" si="15"/>
        <v>293</v>
      </c>
      <c r="F154" s="268">
        <f>SUM(E154)</f>
        <v>293</v>
      </c>
      <c r="G154" s="222"/>
      <c r="H154" s="175"/>
      <c r="I154" s="323"/>
      <c r="J154" s="293">
        <f>G154*1000+H154*500+I154*100</f>
        <v>0</v>
      </c>
      <c r="K154" s="175">
        <f>J154-F154*100</f>
        <v>-29300</v>
      </c>
      <c r="L154" s="176"/>
      <c r="M154" s="162"/>
      <c r="N154" s="154"/>
      <c r="O154" s="154"/>
      <c r="P154" s="189"/>
    </row>
    <row r="155" spans="1:38" ht="15" customHeight="1">
      <c r="A155" s="230" t="s">
        <v>390</v>
      </c>
      <c r="B155" s="364"/>
      <c r="C155" s="170">
        <v>27854</v>
      </c>
      <c r="D155" s="170">
        <v>28029</v>
      </c>
      <c r="E155" s="170">
        <f t="shared" si="15"/>
        <v>175</v>
      </c>
      <c r="F155" s="275">
        <f>SUM(E155)</f>
        <v>175</v>
      </c>
      <c r="G155" s="331"/>
      <c r="H155" s="170"/>
      <c r="I155" s="332"/>
      <c r="J155" s="300">
        <f>G155*1000+H155*500+I155*100</f>
        <v>0</v>
      </c>
      <c r="K155" s="170">
        <f>J155-F155*100</f>
        <v>-17500</v>
      </c>
      <c r="L155" s="228"/>
      <c r="M155" s="162"/>
      <c r="N155" s="154"/>
      <c r="O155" s="154"/>
      <c r="P155" s="189"/>
      <c r="AL155" s="79">
        <v>204900</v>
      </c>
    </row>
    <row r="156" spans="1:38" ht="15" customHeight="1">
      <c r="A156" s="192" t="s">
        <v>391</v>
      </c>
      <c r="B156" s="350"/>
      <c r="C156" s="167"/>
      <c r="D156" s="167"/>
      <c r="E156" s="167"/>
      <c r="F156" s="266"/>
      <c r="G156" s="240"/>
      <c r="H156" s="167"/>
      <c r="I156" s="320"/>
      <c r="J156" s="290">
        <f>SUM(J129:J155)</f>
        <v>0</v>
      </c>
      <c r="K156" s="167"/>
      <c r="L156" s="168"/>
      <c r="M156" s="154"/>
      <c r="N156" s="154"/>
      <c r="O156" s="154"/>
      <c r="P156" s="189"/>
      <c r="AJ156" s="79" t="s">
        <v>240</v>
      </c>
    </row>
    <row r="157" spans="1:38" ht="15" customHeight="1" thickBot="1">
      <c r="A157" s="215"/>
      <c r="B157" s="360"/>
      <c r="C157" s="209"/>
      <c r="D157" s="209"/>
      <c r="E157" s="209"/>
      <c r="F157" s="272"/>
      <c r="G157" s="208"/>
      <c r="H157" s="209"/>
      <c r="I157" s="201"/>
      <c r="J157" s="298"/>
      <c r="K157" s="209"/>
      <c r="L157" s="200"/>
      <c r="M157" s="200"/>
      <c r="N157" s="200"/>
      <c r="O157" s="200"/>
      <c r="P157" s="201"/>
      <c r="AJ157" s="79" t="s">
        <v>239</v>
      </c>
      <c r="AL157" s="79">
        <v>234000</v>
      </c>
    </row>
    <row r="158" spans="1:38" ht="15" customHeight="1" thickBot="1">
      <c r="A158" s="95" t="s">
        <v>1</v>
      </c>
      <c r="B158" s="342" t="s">
        <v>426</v>
      </c>
      <c r="C158" s="84"/>
      <c r="D158" s="84"/>
      <c r="E158" s="84"/>
      <c r="F158" s="84">
        <f>SUM(F159:F184)</f>
        <v>15144</v>
      </c>
      <c r="G158" s="311"/>
      <c r="H158" s="84"/>
      <c r="I158" s="312"/>
      <c r="J158" s="84"/>
      <c r="K158" s="84"/>
      <c r="L158" s="85"/>
      <c r="M158" s="85"/>
      <c r="N158" s="85"/>
      <c r="O158" s="85"/>
      <c r="P158" s="84"/>
      <c r="AJ158" s="79" t="s">
        <v>383</v>
      </c>
      <c r="AL158" s="79">
        <v>226000</v>
      </c>
    </row>
    <row r="159" spans="1:38" ht="15" customHeight="1">
      <c r="A159" s="212" t="s">
        <v>242</v>
      </c>
      <c r="B159" s="359" t="s">
        <v>352</v>
      </c>
      <c r="C159" s="186">
        <f>MIN(鹿屋!3:3)</f>
        <v>3924</v>
      </c>
      <c r="D159" s="186">
        <f>MAX(鹿屋!3:3)</f>
        <v>4177</v>
      </c>
      <c r="E159" s="186">
        <f t="shared" ref="E159:E184" si="16">D159-C159</f>
        <v>253</v>
      </c>
      <c r="F159" s="271">
        <f>SUM(E159:E162)</f>
        <v>2431</v>
      </c>
      <c r="G159" s="328"/>
      <c r="H159" s="186"/>
      <c r="I159" s="187"/>
      <c r="J159" s="297">
        <f>G159*1000+H159*500+I159*100</f>
        <v>0</v>
      </c>
      <c r="K159" s="186">
        <f>J159-F159*100</f>
        <v>-243100</v>
      </c>
      <c r="L159" s="213"/>
      <c r="M159" s="203"/>
      <c r="N159" s="204"/>
      <c r="O159" s="204"/>
      <c r="P159" s="187"/>
    </row>
    <row r="160" spans="1:38" ht="15" customHeight="1">
      <c r="A160" s="190"/>
      <c r="B160" s="347"/>
      <c r="C160" s="153">
        <f>MIN(鹿屋!15:15)</f>
        <v>6732</v>
      </c>
      <c r="D160" s="153">
        <f>MAX(鹿屋!15:15)</f>
        <v>7181</v>
      </c>
      <c r="E160" s="153">
        <f t="shared" si="16"/>
        <v>449</v>
      </c>
      <c r="F160" s="264"/>
      <c r="G160" s="318"/>
      <c r="H160" s="153"/>
      <c r="I160" s="189"/>
      <c r="J160" s="288"/>
      <c r="K160" s="153"/>
      <c r="L160" s="173"/>
      <c r="M160" s="162"/>
      <c r="N160" s="154"/>
      <c r="O160" s="154"/>
      <c r="P160" s="189"/>
    </row>
    <row r="161" spans="1:38" ht="15" customHeight="1">
      <c r="A161" s="190"/>
      <c r="B161" s="347"/>
      <c r="C161" s="153">
        <f>MIN(鹿屋!27:27)</f>
        <v>4029</v>
      </c>
      <c r="D161" s="153">
        <f>MAX(鹿屋!27:27)</f>
        <v>5273</v>
      </c>
      <c r="E161" s="153">
        <f t="shared" si="16"/>
        <v>1244</v>
      </c>
      <c r="F161" s="264"/>
      <c r="G161" s="318"/>
      <c r="H161" s="153"/>
      <c r="I161" s="189"/>
      <c r="J161" s="161"/>
      <c r="K161" s="153"/>
      <c r="L161" s="173"/>
      <c r="M161" s="162"/>
      <c r="N161" s="154"/>
      <c r="O161" s="154"/>
      <c r="P161" s="189"/>
    </row>
    <row r="162" spans="1:38" ht="15" customHeight="1">
      <c r="A162" s="193"/>
      <c r="B162" s="351"/>
      <c r="C162" s="164">
        <f>MIN(鹿屋!39:39)</f>
        <v>8984</v>
      </c>
      <c r="D162" s="164">
        <f>MAX(鹿屋!39:39)</f>
        <v>9469</v>
      </c>
      <c r="E162" s="164">
        <f t="shared" si="16"/>
        <v>485</v>
      </c>
      <c r="F162" s="267"/>
      <c r="G162" s="321"/>
      <c r="H162" s="164"/>
      <c r="I162" s="322"/>
      <c r="J162" s="296"/>
      <c r="K162" s="164"/>
      <c r="L162" s="178"/>
      <c r="M162" s="162"/>
      <c r="N162" s="154"/>
      <c r="O162" s="154"/>
      <c r="P162" s="189"/>
    </row>
    <row r="163" spans="1:38" ht="15" customHeight="1">
      <c r="A163" s="188" t="s">
        <v>320</v>
      </c>
      <c r="B163" s="346" t="s">
        <v>323</v>
      </c>
      <c r="C163" s="150">
        <f>MIN(鹿屋!51:51)</f>
        <v>13131</v>
      </c>
      <c r="D163" s="150">
        <f>MAX(鹿屋!51:51)</f>
        <v>13557</v>
      </c>
      <c r="E163" s="150">
        <f t="shared" si="16"/>
        <v>426</v>
      </c>
      <c r="F163" s="263">
        <f>SUM(E163:E166)</f>
        <v>1894</v>
      </c>
      <c r="G163" s="235"/>
      <c r="H163" s="150"/>
      <c r="I163" s="317"/>
      <c r="J163" s="287">
        <f>G163*1000+H163*500+I163*100</f>
        <v>0</v>
      </c>
      <c r="K163" s="150">
        <f>J163-F163*100</f>
        <v>-189400</v>
      </c>
      <c r="L163" s="172"/>
      <c r="M163" s="162"/>
      <c r="N163" s="154"/>
      <c r="O163" s="154"/>
      <c r="P163" s="189"/>
    </row>
    <row r="164" spans="1:38" ht="15" customHeight="1">
      <c r="A164" s="190"/>
      <c r="B164" s="347"/>
      <c r="C164" s="153">
        <f>MIN(鹿屋!63:63)</f>
        <v>13723</v>
      </c>
      <c r="D164" s="153">
        <f>MAX(鹿屋!63:63)</f>
        <v>13959</v>
      </c>
      <c r="E164" s="153">
        <f t="shared" si="16"/>
        <v>236</v>
      </c>
      <c r="F164" s="264"/>
      <c r="G164" s="318"/>
      <c r="H164" s="153"/>
      <c r="I164" s="189"/>
      <c r="J164" s="288"/>
      <c r="K164" s="153"/>
      <c r="L164" s="173"/>
      <c r="M164" s="162"/>
      <c r="N164" s="154"/>
      <c r="O164" s="154"/>
      <c r="P164" s="189"/>
    </row>
    <row r="165" spans="1:38" ht="15" customHeight="1">
      <c r="A165" s="190"/>
      <c r="B165" s="347"/>
      <c r="C165" s="153">
        <f>MIN(鹿屋!75:75)</f>
        <v>10537</v>
      </c>
      <c r="D165" s="153">
        <f>MAX(鹿屋!75:75)</f>
        <v>11238</v>
      </c>
      <c r="E165" s="153">
        <f t="shared" si="16"/>
        <v>701</v>
      </c>
      <c r="F165" s="264"/>
      <c r="G165" s="318"/>
      <c r="H165" s="153"/>
      <c r="I165" s="189"/>
      <c r="J165" s="161"/>
      <c r="K165" s="153"/>
      <c r="L165" s="173"/>
      <c r="M165" s="162"/>
      <c r="N165" s="154"/>
      <c r="O165" s="154"/>
      <c r="P165" s="189"/>
      <c r="AJ165" s="79" t="s">
        <v>384</v>
      </c>
      <c r="AL165" s="79">
        <v>128700</v>
      </c>
    </row>
    <row r="166" spans="1:38" ht="15" customHeight="1">
      <c r="A166" s="191"/>
      <c r="B166" s="348"/>
      <c r="C166" s="158">
        <f>MIN(鹿屋!87:87)</f>
        <v>17202</v>
      </c>
      <c r="D166" s="158">
        <f>MAX(鹿屋!87:87)</f>
        <v>17733</v>
      </c>
      <c r="E166" s="158">
        <f t="shared" si="16"/>
        <v>531</v>
      </c>
      <c r="F166" s="265"/>
      <c r="G166" s="236"/>
      <c r="H166" s="158"/>
      <c r="I166" s="319"/>
      <c r="J166" s="289"/>
      <c r="K166" s="158"/>
      <c r="L166" s="174"/>
      <c r="M166" s="162"/>
      <c r="N166" s="154"/>
      <c r="O166" s="154"/>
      <c r="P166" s="189"/>
    </row>
    <row r="167" spans="1:38" ht="15" customHeight="1">
      <c r="A167" s="192" t="s">
        <v>360</v>
      </c>
      <c r="B167" s="350" t="s">
        <v>353</v>
      </c>
      <c r="C167" s="167">
        <f>MIN(鹿屋!99:99)</f>
        <v>2459</v>
      </c>
      <c r="D167" s="167">
        <f>MAX(鹿屋!99:99)</f>
        <v>2754</v>
      </c>
      <c r="E167" s="167">
        <f t="shared" si="16"/>
        <v>295</v>
      </c>
      <c r="F167" s="266">
        <f>SUM(E167:E170)</f>
        <v>1074</v>
      </c>
      <c r="G167" s="240"/>
      <c r="H167" s="167"/>
      <c r="I167" s="320"/>
      <c r="J167" s="290">
        <f>G167*1000+H167*500+I167*100</f>
        <v>0</v>
      </c>
      <c r="K167" s="167">
        <f>J167-F167*100</f>
        <v>-107400</v>
      </c>
      <c r="L167" s="177"/>
      <c r="M167" s="162"/>
      <c r="N167" s="154"/>
      <c r="O167" s="154"/>
      <c r="P167" s="189"/>
    </row>
    <row r="168" spans="1:38" ht="15" customHeight="1">
      <c r="A168" s="190"/>
      <c r="B168" s="347"/>
      <c r="C168" s="153">
        <f>MIN(鹿屋!111:111)</f>
        <v>2643</v>
      </c>
      <c r="D168" s="153">
        <f>MAX(鹿屋!111:111)</f>
        <v>2835</v>
      </c>
      <c r="E168" s="153">
        <f t="shared" si="16"/>
        <v>192</v>
      </c>
      <c r="F168" s="264"/>
      <c r="G168" s="318"/>
      <c r="H168" s="153"/>
      <c r="I168" s="189"/>
      <c r="J168" s="288"/>
      <c r="K168" s="153"/>
      <c r="L168" s="173"/>
      <c r="M168" s="162"/>
      <c r="N168" s="154"/>
      <c r="O168" s="154"/>
      <c r="P168" s="189"/>
    </row>
    <row r="169" spans="1:38" ht="15" customHeight="1">
      <c r="A169" s="190"/>
      <c r="B169" s="347"/>
      <c r="C169" s="153">
        <f>MIN(鹿屋!123:123)</f>
        <v>3588</v>
      </c>
      <c r="D169" s="153">
        <f>MAX(鹿屋!123:123)</f>
        <v>3944</v>
      </c>
      <c r="E169" s="153">
        <f t="shared" si="16"/>
        <v>356</v>
      </c>
      <c r="F169" s="264"/>
      <c r="G169" s="318"/>
      <c r="H169" s="153"/>
      <c r="I169" s="189"/>
      <c r="J169" s="161"/>
      <c r="K169" s="153"/>
      <c r="L169" s="173"/>
      <c r="M169" s="162"/>
      <c r="N169" s="154"/>
      <c r="O169" s="154"/>
      <c r="P169" s="189"/>
    </row>
    <row r="170" spans="1:38" ht="15" customHeight="1">
      <c r="A170" s="193"/>
      <c r="B170" s="351"/>
      <c r="C170" s="164">
        <f>MIN(鹿屋!135:135)</f>
        <v>3778</v>
      </c>
      <c r="D170" s="164">
        <f>MAX(鹿屋!135:135)</f>
        <v>4009</v>
      </c>
      <c r="E170" s="164">
        <f t="shared" si="16"/>
        <v>231</v>
      </c>
      <c r="F170" s="267"/>
      <c r="G170" s="321"/>
      <c r="H170" s="164"/>
      <c r="I170" s="322"/>
      <c r="J170" s="296"/>
      <c r="K170" s="164"/>
      <c r="L170" s="178"/>
      <c r="M170" s="162"/>
      <c r="N170" s="154"/>
      <c r="O170" s="154"/>
      <c r="P170" s="189"/>
    </row>
    <row r="171" spans="1:38" ht="15" customHeight="1">
      <c r="A171" s="188" t="s">
        <v>367</v>
      </c>
      <c r="B171" s="346" t="s">
        <v>354</v>
      </c>
      <c r="C171" s="150">
        <f>MIN(鹿屋!147:147)</f>
        <v>2450</v>
      </c>
      <c r="D171" s="150">
        <f>MAX(鹿屋!147:147)</f>
        <v>2732</v>
      </c>
      <c r="E171" s="150">
        <f t="shared" si="16"/>
        <v>282</v>
      </c>
      <c r="F171" s="263">
        <f>SUM(E171:E174)</f>
        <v>1301</v>
      </c>
      <c r="G171" s="235"/>
      <c r="H171" s="150"/>
      <c r="I171" s="317"/>
      <c r="J171" s="287">
        <f>G171*1000+H171*500+I171*100</f>
        <v>0</v>
      </c>
      <c r="K171" s="150">
        <f>J171-F171*100</f>
        <v>-130100</v>
      </c>
      <c r="L171" s="172"/>
      <c r="M171" s="162"/>
      <c r="N171" s="154"/>
      <c r="O171" s="154"/>
      <c r="P171" s="189"/>
    </row>
    <row r="172" spans="1:38" ht="15" customHeight="1">
      <c r="A172" s="190"/>
      <c r="B172" s="347"/>
      <c r="C172" s="153">
        <f>MIN(鹿屋!159:159)</f>
        <v>744</v>
      </c>
      <c r="D172" s="153">
        <f>MAX(鹿屋!159:159)</f>
        <v>918</v>
      </c>
      <c r="E172" s="153">
        <f t="shared" si="16"/>
        <v>174</v>
      </c>
      <c r="F172" s="264"/>
      <c r="G172" s="318"/>
      <c r="H172" s="153"/>
      <c r="I172" s="189"/>
      <c r="J172" s="288"/>
      <c r="K172" s="153"/>
      <c r="L172" s="173"/>
      <c r="M172" s="162"/>
      <c r="N172" s="154"/>
      <c r="O172" s="154"/>
      <c r="P172" s="189"/>
    </row>
    <row r="173" spans="1:38" ht="15" customHeight="1">
      <c r="A173" s="190"/>
      <c r="B173" s="347"/>
      <c r="C173" s="153">
        <f>MIN(鹿屋!171:171)</f>
        <v>5740</v>
      </c>
      <c r="D173" s="153">
        <f>MAX(鹿屋!171:171)</f>
        <v>6214</v>
      </c>
      <c r="E173" s="153">
        <f t="shared" si="16"/>
        <v>474</v>
      </c>
      <c r="F173" s="264"/>
      <c r="G173" s="318"/>
      <c r="H173" s="153"/>
      <c r="I173" s="189"/>
      <c r="J173" s="161"/>
      <c r="K173" s="153"/>
      <c r="L173" s="173"/>
      <c r="M173" s="162"/>
      <c r="N173" s="154"/>
      <c r="O173" s="154"/>
      <c r="P173" s="189"/>
    </row>
    <row r="174" spans="1:38" ht="15" customHeight="1">
      <c r="A174" s="191"/>
      <c r="B174" s="348"/>
      <c r="C174" s="158">
        <f>MIN(鹿屋!183:183)</f>
        <v>4076</v>
      </c>
      <c r="D174" s="158">
        <f>MAX(鹿屋!183:183)</f>
        <v>4447</v>
      </c>
      <c r="E174" s="158">
        <f t="shared" si="16"/>
        <v>371</v>
      </c>
      <c r="F174" s="265"/>
      <c r="G174" s="236"/>
      <c r="H174" s="158"/>
      <c r="I174" s="319"/>
      <c r="J174" s="289"/>
      <c r="K174" s="158"/>
      <c r="L174" s="174"/>
      <c r="M174" s="162"/>
      <c r="N174" s="154"/>
      <c r="O174" s="154"/>
      <c r="P174" s="189"/>
      <c r="AL174" s="79">
        <v>2584300</v>
      </c>
    </row>
    <row r="175" spans="1:38" ht="15" customHeight="1">
      <c r="A175" s="192" t="s">
        <v>51</v>
      </c>
      <c r="B175" s="350" t="s">
        <v>348</v>
      </c>
      <c r="C175" s="167">
        <f>MIN(鹿屋!195:195)</f>
        <v>4363</v>
      </c>
      <c r="D175" s="167">
        <f>MAX(鹿屋!195:195)</f>
        <v>4765</v>
      </c>
      <c r="E175" s="167">
        <f t="shared" si="16"/>
        <v>402</v>
      </c>
      <c r="F175" s="266">
        <f>SUM(E175:E178)</f>
        <v>1332</v>
      </c>
      <c r="G175" s="240"/>
      <c r="H175" s="167"/>
      <c r="I175" s="320"/>
      <c r="J175" s="290">
        <f>G175*1000+H175*500+I175*100</f>
        <v>0</v>
      </c>
      <c r="K175" s="167">
        <f>J175-F175*100</f>
        <v>-133200</v>
      </c>
      <c r="L175" s="177"/>
      <c r="M175" s="162"/>
      <c r="N175" s="154"/>
      <c r="O175" s="154"/>
      <c r="P175" s="189"/>
      <c r="AJ175" s="79" t="s">
        <v>388</v>
      </c>
    </row>
    <row r="176" spans="1:38" ht="15" customHeight="1">
      <c r="A176" s="190"/>
      <c r="B176" s="347"/>
      <c r="C176" s="153">
        <f>MIN(鹿屋!207:207)</f>
        <v>3247</v>
      </c>
      <c r="D176" s="153">
        <f>MAX(鹿屋!207:207)</f>
        <v>3657</v>
      </c>
      <c r="E176" s="153">
        <f t="shared" si="16"/>
        <v>410</v>
      </c>
      <c r="F176" s="264"/>
      <c r="G176" s="318"/>
      <c r="H176" s="153"/>
      <c r="I176" s="189"/>
      <c r="J176" s="288"/>
      <c r="K176" s="153"/>
      <c r="L176" s="173"/>
      <c r="M176" s="162"/>
      <c r="N176" s="154"/>
      <c r="O176" s="154"/>
      <c r="P176" s="189"/>
      <c r="AJ176" s="79" t="s">
        <v>383</v>
      </c>
      <c r="AL176" s="79">
        <v>86000</v>
      </c>
    </row>
    <row r="177" spans="1:38" ht="15" customHeight="1">
      <c r="A177" s="190"/>
      <c r="B177" s="347"/>
      <c r="C177" s="153">
        <f>MIN(鹿屋!219:219)</f>
        <v>3017</v>
      </c>
      <c r="D177" s="153">
        <f>MAX(鹿屋!219:219)</f>
        <v>3242</v>
      </c>
      <c r="E177" s="153">
        <f t="shared" si="16"/>
        <v>225</v>
      </c>
      <c r="F177" s="264"/>
      <c r="G177" s="318"/>
      <c r="H177" s="153"/>
      <c r="I177" s="189"/>
      <c r="J177" s="161"/>
      <c r="K177" s="153"/>
      <c r="L177" s="173"/>
      <c r="M177" s="162"/>
      <c r="N177" s="154"/>
      <c r="O177" s="154"/>
      <c r="P177" s="189"/>
      <c r="AJ177" s="79" t="s">
        <v>239</v>
      </c>
      <c r="AL177" s="79">
        <v>118000</v>
      </c>
    </row>
    <row r="178" spans="1:38" ht="15" customHeight="1">
      <c r="A178" s="193"/>
      <c r="B178" s="351"/>
      <c r="C178" s="164">
        <f>MIN(鹿屋!231:231)</f>
        <v>3697</v>
      </c>
      <c r="D178" s="164">
        <f>MAX(鹿屋!231:231)</f>
        <v>3992</v>
      </c>
      <c r="E178" s="164">
        <f t="shared" si="16"/>
        <v>295</v>
      </c>
      <c r="F178" s="267"/>
      <c r="G178" s="321"/>
      <c r="H178" s="164"/>
      <c r="I178" s="322"/>
      <c r="J178" s="296"/>
      <c r="K178" s="164"/>
      <c r="L178" s="178"/>
      <c r="M178" s="162"/>
      <c r="N178" s="154"/>
      <c r="O178" s="154"/>
      <c r="P178" s="189"/>
      <c r="AJ178" s="79" t="s">
        <v>384</v>
      </c>
      <c r="AL178" s="79">
        <v>74500</v>
      </c>
    </row>
    <row r="179" spans="1:38" ht="15" customHeight="1">
      <c r="A179" s="222" t="s">
        <v>383</v>
      </c>
      <c r="B179" s="362"/>
      <c r="C179" s="175">
        <f>MIN(ガチャ!24:24)</f>
        <v>921</v>
      </c>
      <c r="D179" s="175">
        <f>MAX(ガチャ!24:24)</f>
        <v>991</v>
      </c>
      <c r="E179" s="175">
        <f t="shared" si="16"/>
        <v>70</v>
      </c>
      <c r="F179" s="268">
        <f>E179*10</f>
        <v>700</v>
      </c>
      <c r="G179" s="222"/>
      <c r="H179" s="175"/>
      <c r="I179" s="323"/>
      <c r="J179" s="293">
        <f>G179*1000</f>
        <v>0</v>
      </c>
      <c r="K179" s="175">
        <f>J179-F179*100</f>
        <v>-70000</v>
      </c>
      <c r="L179" s="176"/>
      <c r="M179" s="162"/>
      <c r="N179" s="154"/>
      <c r="O179" s="154"/>
      <c r="P179" s="189"/>
    </row>
    <row r="180" spans="1:38" ht="15" customHeight="1">
      <c r="A180" s="234" t="s">
        <v>383</v>
      </c>
      <c r="B180" s="365"/>
      <c r="C180" s="211">
        <f>MIN(ガチャ!34:34)</f>
        <v>1199</v>
      </c>
      <c r="D180" s="211">
        <f>MAX(ガチャ!34:34)</f>
        <v>1255</v>
      </c>
      <c r="E180" s="211">
        <f t="shared" si="16"/>
        <v>56</v>
      </c>
      <c r="F180" s="273">
        <f>E180*10</f>
        <v>560</v>
      </c>
      <c r="G180" s="234"/>
      <c r="H180" s="211"/>
      <c r="I180" s="329"/>
      <c r="J180" s="299">
        <f>G180*1000</f>
        <v>0</v>
      </c>
      <c r="K180" s="211">
        <f>J180-F180*100</f>
        <v>-56000</v>
      </c>
      <c r="L180" s="220"/>
      <c r="M180" s="162"/>
      <c r="N180" s="154"/>
      <c r="O180" s="154"/>
      <c r="P180" s="189"/>
    </row>
    <row r="181" spans="1:38" ht="15" customHeight="1">
      <c r="A181" s="235" t="s">
        <v>384</v>
      </c>
      <c r="B181" s="366"/>
      <c r="C181" s="150">
        <f>MIN(ガチャ!44:44)</f>
        <v>6398</v>
      </c>
      <c r="D181" s="150">
        <f>MAX(ガチャ!44:44)</f>
        <v>7000</v>
      </c>
      <c r="E181" s="150">
        <f t="shared" si="16"/>
        <v>602</v>
      </c>
      <c r="F181" s="263">
        <f>SUM(E181:E182)</f>
        <v>811</v>
      </c>
      <c r="G181" s="235"/>
      <c r="H181" s="150"/>
      <c r="I181" s="317"/>
      <c r="J181" s="287">
        <f>G181*1000+H181*500+I181*100</f>
        <v>0</v>
      </c>
      <c r="K181" s="150">
        <f>J181-F181*100</f>
        <v>-81100</v>
      </c>
      <c r="L181" s="232"/>
      <c r="M181" s="160"/>
      <c r="N181" s="155"/>
      <c r="O181" s="155"/>
      <c r="P181" s="189"/>
    </row>
    <row r="182" spans="1:38" ht="15" customHeight="1">
      <c r="A182" s="236"/>
      <c r="B182" s="367"/>
      <c r="C182" s="158">
        <f>MIN(ガチャ!54:54)</f>
        <v>1815</v>
      </c>
      <c r="D182" s="158">
        <f>MAX(ガチャ!54:54)</f>
        <v>2024</v>
      </c>
      <c r="E182" s="158">
        <f t="shared" si="16"/>
        <v>209</v>
      </c>
      <c r="F182" s="265"/>
      <c r="G182" s="236"/>
      <c r="H182" s="158"/>
      <c r="I182" s="319"/>
      <c r="J182" s="292"/>
      <c r="K182" s="158"/>
      <c r="L182" s="233"/>
      <c r="M182" s="160"/>
      <c r="N182" s="155"/>
      <c r="O182" s="155"/>
      <c r="P182" s="189"/>
    </row>
    <row r="183" spans="1:38" ht="15" customHeight="1">
      <c r="A183" s="223" t="s">
        <v>260</v>
      </c>
      <c r="B183" s="363" t="s">
        <v>326</v>
      </c>
      <c r="C183" s="211">
        <f>MIN(鹿屋!243:243)</f>
        <v>5913</v>
      </c>
      <c r="D183" s="211">
        <f>MAX(鹿屋!243:243)</f>
        <v>7189</v>
      </c>
      <c r="E183" s="211">
        <f t="shared" si="16"/>
        <v>1276</v>
      </c>
      <c r="F183" s="273">
        <f>SUM(E183:E183)</f>
        <v>1276</v>
      </c>
      <c r="G183" s="234"/>
      <c r="H183" s="211"/>
      <c r="I183" s="329"/>
      <c r="J183" s="299">
        <f>G183*1000+H183*500+I183*100</f>
        <v>0</v>
      </c>
      <c r="K183" s="211">
        <f>J183-F183*100</f>
        <v>-127600</v>
      </c>
      <c r="L183" s="220"/>
      <c r="M183" s="162"/>
      <c r="N183" s="154"/>
      <c r="O183" s="154"/>
      <c r="P183" s="189"/>
    </row>
    <row r="184" spans="1:38" ht="15" customHeight="1">
      <c r="A184" s="195" t="s">
        <v>260</v>
      </c>
      <c r="B184" s="349" t="s">
        <v>347</v>
      </c>
      <c r="C184" s="175">
        <f>MIN(鹿屋!255:255)</f>
        <v>19815</v>
      </c>
      <c r="D184" s="175">
        <f>MAX(鹿屋!255:255)</f>
        <v>23580</v>
      </c>
      <c r="E184" s="175">
        <f t="shared" si="16"/>
        <v>3765</v>
      </c>
      <c r="F184" s="268">
        <f>SUM(E184:E184)</f>
        <v>3765</v>
      </c>
      <c r="G184" s="222"/>
      <c r="H184" s="175"/>
      <c r="I184" s="323"/>
      <c r="J184" s="293">
        <f>G184*1000+H184*500+I184*100</f>
        <v>0</v>
      </c>
      <c r="K184" s="175">
        <f>J184-F184*100</f>
        <v>-376500</v>
      </c>
      <c r="L184" s="176"/>
      <c r="M184" s="162"/>
      <c r="N184" s="154"/>
      <c r="O184" s="154"/>
      <c r="P184" s="189"/>
    </row>
    <row r="185" spans="1:38" ht="15" customHeight="1">
      <c r="A185" s="192"/>
      <c r="B185" s="350"/>
      <c r="C185" s="167"/>
      <c r="D185" s="167"/>
      <c r="E185" s="167"/>
      <c r="F185" s="266"/>
      <c r="G185" s="240"/>
      <c r="H185" s="167"/>
      <c r="I185" s="320"/>
      <c r="J185" s="290"/>
      <c r="K185" s="167">
        <f>SUM(J159:J184)</f>
        <v>0</v>
      </c>
      <c r="L185" s="168"/>
      <c r="M185" s="154"/>
      <c r="N185" s="154"/>
      <c r="O185" s="154"/>
      <c r="P185" s="189"/>
    </row>
    <row r="186" spans="1:38" ht="15" customHeight="1" thickBot="1">
      <c r="A186" s="237"/>
      <c r="B186" s="368"/>
      <c r="C186" s="216"/>
      <c r="D186" s="216"/>
      <c r="E186" s="216"/>
      <c r="F186" s="276"/>
      <c r="G186" s="333"/>
      <c r="H186" s="216"/>
      <c r="I186" s="239"/>
      <c r="J186" s="298"/>
      <c r="K186" s="216"/>
      <c r="L186" s="238"/>
      <c r="M186" s="238"/>
      <c r="N186" s="238"/>
      <c r="O186" s="238"/>
      <c r="P186" s="239"/>
    </row>
    <row r="187" spans="1:38" ht="15" customHeight="1" thickBot="1">
      <c r="A187" s="95" t="s">
        <v>61</v>
      </c>
      <c r="B187" s="342" t="s">
        <v>427</v>
      </c>
      <c r="C187" s="84"/>
      <c r="D187" s="84"/>
      <c r="E187" s="84"/>
      <c r="F187" s="84">
        <f>SUM(F188:F210)</f>
        <v>14737</v>
      </c>
      <c r="G187" s="311"/>
      <c r="H187" s="84"/>
      <c r="I187" s="312"/>
      <c r="J187" s="84"/>
      <c r="K187" s="84"/>
      <c r="L187" s="85"/>
      <c r="M187" s="85"/>
      <c r="N187" s="85"/>
      <c r="O187" s="85"/>
      <c r="P187" s="84"/>
    </row>
    <row r="188" spans="1:38" ht="15" customHeight="1">
      <c r="A188" s="221" t="s">
        <v>239</v>
      </c>
      <c r="B188" s="361"/>
      <c r="C188" s="181">
        <f>MIN(ガチャ!4:4)</f>
        <v>9021</v>
      </c>
      <c r="D188" s="181">
        <f>MAX(ガチャ!4:4)</f>
        <v>9144</v>
      </c>
      <c r="E188" s="181">
        <f t="shared" ref="E188:E209" si="17">D188-C188</f>
        <v>123</v>
      </c>
      <c r="F188" s="270">
        <f>E188*10</f>
        <v>1230</v>
      </c>
      <c r="G188" s="221">
        <v>123</v>
      </c>
      <c r="H188" s="181"/>
      <c r="I188" s="325"/>
      <c r="J188" s="286">
        <f>G188*1000</f>
        <v>123000</v>
      </c>
      <c r="K188" s="181">
        <f>J188-F188*100</f>
        <v>0</v>
      </c>
      <c r="L188" s="202"/>
      <c r="M188" s="203"/>
      <c r="N188" s="204"/>
      <c r="O188" s="204"/>
      <c r="P188" s="187"/>
    </row>
    <row r="189" spans="1:38" ht="15" customHeight="1">
      <c r="A189" s="222" t="s">
        <v>383</v>
      </c>
      <c r="B189" s="362"/>
      <c r="C189" s="175">
        <f>MIN(ガチャ!14:14)</f>
        <v>3032</v>
      </c>
      <c r="D189" s="175">
        <f>MAX(ガチャ!14:14)</f>
        <v>3096</v>
      </c>
      <c r="E189" s="175">
        <f t="shared" si="17"/>
        <v>64</v>
      </c>
      <c r="F189" s="268">
        <f>E189*10</f>
        <v>640</v>
      </c>
      <c r="G189" s="222">
        <v>64</v>
      </c>
      <c r="H189" s="175"/>
      <c r="I189" s="323"/>
      <c r="J189" s="293">
        <f>G189*1000</f>
        <v>64000</v>
      </c>
      <c r="K189" s="175">
        <f>J189-F189*100</f>
        <v>0</v>
      </c>
      <c r="L189" s="176"/>
      <c r="M189" s="162"/>
      <c r="N189" s="154"/>
      <c r="O189" s="154"/>
      <c r="P189" s="189"/>
    </row>
    <row r="190" spans="1:38" ht="15" customHeight="1">
      <c r="A190" s="192" t="s">
        <v>242</v>
      </c>
      <c r="B190" s="350" t="s">
        <v>369</v>
      </c>
      <c r="C190" s="167">
        <f>MIN(都城!3:3)</f>
        <v>3545</v>
      </c>
      <c r="D190" s="167">
        <f>MAX(都城!3:3)</f>
        <v>3917</v>
      </c>
      <c r="E190" s="167">
        <f t="shared" si="17"/>
        <v>372</v>
      </c>
      <c r="F190" s="266">
        <f>SUM(E190:E193)</f>
        <v>1765</v>
      </c>
      <c r="G190" s="240">
        <v>155</v>
      </c>
      <c r="H190" s="167"/>
      <c r="I190" s="320"/>
      <c r="J190" s="290">
        <f>G190*1000+H190*500+I190*100</f>
        <v>155000</v>
      </c>
      <c r="K190" s="167">
        <f>J190-F190*100</f>
        <v>-21500</v>
      </c>
      <c r="L190" s="177"/>
      <c r="M190" s="162"/>
      <c r="N190" s="154"/>
      <c r="O190" s="154"/>
      <c r="P190" s="189"/>
    </row>
    <row r="191" spans="1:38" ht="15" customHeight="1">
      <c r="A191" s="190"/>
      <c r="B191" s="347"/>
      <c r="C191" s="153">
        <f>MIN(都城!15:15)</f>
        <v>5792</v>
      </c>
      <c r="D191" s="153">
        <f>MAX(都城!15:15)</f>
        <v>6378</v>
      </c>
      <c r="E191" s="153">
        <f t="shared" si="17"/>
        <v>586</v>
      </c>
      <c r="F191" s="264"/>
      <c r="G191" s="318"/>
      <c r="H191" s="153"/>
      <c r="I191" s="189"/>
      <c r="J191" s="288"/>
      <c r="K191" s="153"/>
      <c r="L191" s="173"/>
      <c r="M191" s="162"/>
      <c r="N191" s="154"/>
      <c r="O191" s="154"/>
      <c r="P191" s="189"/>
    </row>
    <row r="192" spans="1:38" ht="15" customHeight="1">
      <c r="A192" s="190"/>
      <c r="B192" s="347"/>
      <c r="C192" s="153">
        <f>MIN(都城!27:27)</f>
        <v>6425</v>
      </c>
      <c r="D192" s="153">
        <f>MAX(都城!27:27)</f>
        <v>6908</v>
      </c>
      <c r="E192" s="153">
        <f t="shared" si="17"/>
        <v>483</v>
      </c>
      <c r="F192" s="264"/>
      <c r="G192" s="318"/>
      <c r="H192" s="153"/>
      <c r="I192" s="189"/>
      <c r="J192" s="161"/>
      <c r="K192" s="153"/>
      <c r="L192" s="173"/>
      <c r="M192" s="162"/>
      <c r="N192" s="154"/>
      <c r="O192" s="154"/>
      <c r="P192" s="189"/>
    </row>
    <row r="193" spans="1:38" ht="15" customHeight="1">
      <c r="A193" s="193"/>
      <c r="B193" s="351"/>
      <c r="C193" s="164">
        <f>MIN(都城!39:39)</f>
        <v>3171</v>
      </c>
      <c r="D193" s="164">
        <f>MAX(都城!39:39)</f>
        <v>3495</v>
      </c>
      <c r="E193" s="164">
        <f t="shared" si="17"/>
        <v>324</v>
      </c>
      <c r="F193" s="267"/>
      <c r="G193" s="321"/>
      <c r="H193" s="164"/>
      <c r="I193" s="322"/>
      <c r="J193" s="296"/>
      <c r="K193" s="164"/>
      <c r="L193" s="178"/>
      <c r="M193" s="162"/>
      <c r="N193" s="154"/>
      <c r="O193" s="154"/>
      <c r="P193" s="189"/>
      <c r="AJ193" s="79" t="s">
        <v>389</v>
      </c>
      <c r="AL193" s="79">
        <v>29300</v>
      </c>
    </row>
    <row r="194" spans="1:38" ht="15" customHeight="1">
      <c r="A194" s="188" t="s">
        <v>320</v>
      </c>
      <c r="B194" s="346" t="s">
        <v>371</v>
      </c>
      <c r="C194" s="150">
        <f>MIN(都城!51:51)</f>
        <v>3134</v>
      </c>
      <c r="D194" s="150">
        <f>MAX(都城!51:51)</f>
        <v>3500</v>
      </c>
      <c r="E194" s="150">
        <f t="shared" si="17"/>
        <v>366</v>
      </c>
      <c r="F194" s="263">
        <f>SUM(E194:E197)</f>
        <v>1221</v>
      </c>
      <c r="G194" s="235">
        <v>108</v>
      </c>
      <c r="H194" s="150"/>
      <c r="I194" s="317"/>
      <c r="J194" s="287">
        <f>G194*1000+H194*500+I194*100</f>
        <v>108000</v>
      </c>
      <c r="K194" s="150">
        <f>J194-F194*100</f>
        <v>-14100</v>
      </c>
      <c r="L194" s="172"/>
      <c r="M194" s="162"/>
      <c r="N194" s="154"/>
      <c r="O194" s="154"/>
      <c r="P194" s="189"/>
      <c r="AJ194" s="79" t="s">
        <v>392</v>
      </c>
      <c r="AL194" s="79">
        <v>17500</v>
      </c>
    </row>
    <row r="195" spans="1:38" ht="15" customHeight="1">
      <c r="A195" s="190"/>
      <c r="B195" s="347"/>
      <c r="C195" s="153">
        <f>MIN(都城!63:63)</f>
        <v>3015</v>
      </c>
      <c r="D195" s="153">
        <f>MAX(都城!63:63)</f>
        <v>3225</v>
      </c>
      <c r="E195" s="153">
        <f t="shared" si="17"/>
        <v>210</v>
      </c>
      <c r="F195" s="264"/>
      <c r="G195" s="318"/>
      <c r="H195" s="153"/>
      <c r="I195" s="189"/>
      <c r="J195" s="288"/>
      <c r="K195" s="153"/>
      <c r="L195" s="173"/>
      <c r="M195" s="162"/>
      <c r="N195" s="154"/>
      <c r="O195" s="154"/>
      <c r="P195" s="189"/>
      <c r="AJ195" s="79" t="s">
        <v>391</v>
      </c>
      <c r="AL195" s="79">
        <v>1425100</v>
      </c>
    </row>
    <row r="196" spans="1:38" ht="15" customHeight="1">
      <c r="A196" s="190"/>
      <c r="B196" s="347"/>
      <c r="C196" s="153">
        <f>MIN(都城!75:75)</f>
        <v>3512</v>
      </c>
      <c r="D196" s="153">
        <f>MAX(都城!75:75)</f>
        <v>3805</v>
      </c>
      <c r="E196" s="153">
        <f t="shared" si="17"/>
        <v>293</v>
      </c>
      <c r="F196" s="264"/>
      <c r="G196" s="318"/>
      <c r="H196" s="153"/>
      <c r="I196" s="189"/>
      <c r="J196" s="161"/>
      <c r="K196" s="153"/>
      <c r="L196" s="173"/>
      <c r="M196" s="162"/>
      <c r="N196" s="154"/>
      <c r="O196" s="154"/>
      <c r="P196" s="189"/>
    </row>
    <row r="197" spans="1:38" ht="15" customHeight="1">
      <c r="A197" s="191"/>
      <c r="B197" s="348"/>
      <c r="C197" s="158">
        <f>MIN(都城!87:87)</f>
        <v>2652</v>
      </c>
      <c r="D197" s="158">
        <f>MAX(都城!87:87)</f>
        <v>3004</v>
      </c>
      <c r="E197" s="158">
        <f t="shared" si="17"/>
        <v>352</v>
      </c>
      <c r="F197" s="265"/>
      <c r="G197" s="236"/>
      <c r="H197" s="158"/>
      <c r="I197" s="319"/>
      <c r="J197" s="289"/>
      <c r="K197" s="158"/>
      <c r="L197" s="174"/>
      <c r="M197" s="162"/>
      <c r="N197" s="154"/>
      <c r="O197" s="154"/>
      <c r="P197" s="189"/>
      <c r="AJ197" s="79" t="s">
        <v>1</v>
      </c>
    </row>
    <row r="198" spans="1:38" ht="15" customHeight="1">
      <c r="A198" s="192" t="s">
        <v>360</v>
      </c>
      <c r="B198" s="350" t="s">
        <v>372</v>
      </c>
      <c r="C198" s="167">
        <f>MIN(都城!99:99)</f>
        <v>2788</v>
      </c>
      <c r="D198" s="167">
        <f>MAX(都城!99:99)</f>
        <v>3081</v>
      </c>
      <c r="E198" s="167">
        <f t="shared" si="17"/>
        <v>293</v>
      </c>
      <c r="F198" s="266">
        <f>SUM(E198:E201)</f>
        <v>1859</v>
      </c>
      <c r="G198" s="240">
        <v>164</v>
      </c>
      <c r="H198" s="167"/>
      <c r="I198" s="320">
        <v>2</v>
      </c>
      <c r="J198" s="290">
        <f>G198*1000+H198*500+I198*100</f>
        <v>164200</v>
      </c>
      <c r="K198" s="167">
        <f>J198-F198*100</f>
        <v>-21700</v>
      </c>
      <c r="L198" s="177"/>
      <c r="M198" s="162"/>
      <c r="N198" s="154"/>
      <c r="O198" s="154"/>
      <c r="P198" s="189"/>
    </row>
    <row r="199" spans="1:38" ht="15" customHeight="1">
      <c r="A199" s="190"/>
      <c r="B199" s="347"/>
      <c r="C199" s="153">
        <f>MIN(都城!111:111)</f>
        <v>2232</v>
      </c>
      <c r="D199" s="153">
        <f>MAX(都城!111:111)</f>
        <v>2660</v>
      </c>
      <c r="E199" s="153">
        <f t="shared" si="17"/>
        <v>428</v>
      </c>
      <c r="F199" s="264"/>
      <c r="G199" s="318"/>
      <c r="H199" s="153"/>
      <c r="I199" s="189"/>
      <c r="J199" s="288"/>
      <c r="K199" s="153"/>
      <c r="L199" s="173"/>
      <c r="M199" s="162"/>
      <c r="N199" s="154"/>
      <c r="O199" s="154"/>
      <c r="P199" s="189"/>
      <c r="R199" s="386">
        <v>16450</v>
      </c>
    </row>
    <row r="200" spans="1:38" ht="15" customHeight="1">
      <c r="A200" s="190"/>
      <c r="B200" s="347"/>
      <c r="C200" s="153">
        <f>MIN(都城!123:123)</f>
        <v>4946</v>
      </c>
      <c r="D200" s="153">
        <f>MAX(都城!123:123)</f>
        <v>5302</v>
      </c>
      <c r="E200" s="153">
        <f t="shared" si="17"/>
        <v>356</v>
      </c>
      <c r="F200" s="264"/>
      <c r="G200" s="318"/>
      <c r="H200" s="153"/>
      <c r="I200" s="189"/>
      <c r="J200" s="161"/>
      <c r="K200" s="153"/>
      <c r="L200" s="173"/>
      <c r="M200" s="162"/>
      <c r="N200" s="154"/>
      <c r="O200" s="154"/>
      <c r="P200" s="189"/>
      <c r="R200" s="386">
        <v>19018</v>
      </c>
    </row>
    <row r="201" spans="1:38" ht="15" customHeight="1">
      <c r="A201" s="193"/>
      <c r="B201" s="351"/>
      <c r="C201" s="164">
        <f>MIN(都城!135:135)</f>
        <v>2593</v>
      </c>
      <c r="D201" s="164">
        <f>MAX(都城!135:135)</f>
        <v>3375</v>
      </c>
      <c r="E201" s="164">
        <f t="shared" si="17"/>
        <v>782</v>
      </c>
      <c r="F201" s="267"/>
      <c r="G201" s="321"/>
      <c r="H201" s="164"/>
      <c r="I201" s="322"/>
      <c r="J201" s="296"/>
      <c r="K201" s="164"/>
      <c r="L201" s="178"/>
      <c r="M201" s="162"/>
      <c r="N201" s="154"/>
      <c r="O201" s="154"/>
      <c r="P201" s="189"/>
      <c r="R201" s="386">
        <v>16786</v>
      </c>
    </row>
    <row r="202" spans="1:38" ht="15" customHeight="1">
      <c r="A202" s="188" t="s">
        <v>367</v>
      </c>
      <c r="B202" s="346" t="s">
        <v>373</v>
      </c>
      <c r="C202" s="150">
        <f>MIN(都城!147:147)</f>
        <v>3615</v>
      </c>
      <c r="D202" s="150">
        <f>MAX(都城!147:147)</f>
        <v>3957</v>
      </c>
      <c r="E202" s="150">
        <f t="shared" si="17"/>
        <v>342</v>
      </c>
      <c r="F202" s="263">
        <f>SUM(E202:E205)</f>
        <v>1666</v>
      </c>
      <c r="G202" s="235">
        <v>157</v>
      </c>
      <c r="H202" s="150"/>
      <c r="I202" s="317">
        <v>5</v>
      </c>
      <c r="J202" s="287">
        <f>G202*1000+H202*500+I202*100</f>
        <v>157500</v>
      </c>
      <c r="K202" s="150">
        <f>J202-F202*100</f>
        <v>-9100</v>
      </c>
      <c r="L202" s="172"/>
      <c r="M202" s="162"/>
      <c r="N202" s="154"/>
      <c r="O202" s="154"/>
      <c r="P202" s="189"/>
      <c r="R202" s="386">
        <v>16118</v>
      </c>
    </row>
    <row r="203" spans="1:38" ht="15" customHeight="1">
      <c r="A203" s="190"/>
      <c r="B203" s="347"/>
      <c r="C203" s="153">
        <f>MIN(都城!159:159)</f>
        <v>3406</v>
      </c>
      <c r="D203" s="153">
        <f>MAX(都城!159:159)</f>
        <v>3719</v>
      </c>
      <c r="E203" s="153">
        <f t="shared" si="17"/>
        <v>313</v>
      </c>
      <c r="F203" s="264"/>
      <c r="G203" s="318"/>
      <c r="H203" s="153"/>
      <c r="I203" s="189"/>
      <c r="J203" s="288"/>
      <c r="K203" s="153"/>
      <c r="L203" s="173"/>
      <c r="M203" s="162"/>
      <c r="N203" s="154"/>
      <c r="O203" s="154"/>
      <c r="P203" s="189"/>
      <c r="R203" s="386">
        <v>19370</v>
      </c>
    </row>
    <row r="204" spans="1:38" ht="15" customHeight="1">
      <c r="A204" s="190"/>
      <c r="B204" s="347"/>
      <c r="C204" s="153">
        <f>MIN(都城!171:171)</f>
        <v>5702</v>
      </c>
      <c r="D204" s="153">
        <f>MAX(都城!171:171)</f>
        <v>6018</v>
      </c>
      <c r="E204" s="153">
        <f t="shared" si="17"/>
        <v>316</v>
      </c>
      <c r="F204" s="264"/>
      <c r="G204" s="318"/>
      <c r="H204" s="153"/>
      <c r="I204" s="189"/>
      <c r="J204" s="161"/>
      <c r="K204" s="153"/>
      <c r="L204" s="173"/>
      <c r="M204" s="162"/>
      <c r="N204" s="154"/>
      <c r="O204" s="154"/>
      <c r="P204" s="189"/>
      <c r="R204" s="386">
        <v>15150</v>
      </c>
    </row>
    <row r="205" spans="1:38" ht="15" customHeight="1">
      <c r="A205" s="191"/>
      <c r="B205" s="348"/>
      <c r="C205" s="158">
        <f>MIN(都城!183:183)</f>
        <v>3775</v>
      </c>
      <c r="D205" s="158">
        <f>MAX(都城!183:183)</f>
        <v>4470</v>
      </c>
      <c r="E205" s="158">
        <f t="shared" si="17"/>
        <v>695</v>
      </c>
      <c r="F205" s="265"/>
      <c r="G205" s="236"/>
      <c r="H205" s="158"/>
      <c r="I205" s="319"/>
      <c r="J205" s="289"/>
      <c r="K205" s="158"/>
      <c r="L205" s="174"/>
      <c r="M205" s="162"/>
      <c r="N205" s="154"/>
      <c r="O205" s="154"/>
      <c r="P205" s="189"/>
      <c r="R205" s="386">
        <v>1101</v>
      </c>
    </row>
    <row r="206" spans="1:38" ht="15" customHeight="1">
      <c r="A206" s="223" t="s">
        <v>393</v>
      </c>
      <c r="B206" s="363" t="s">
        <v>375</v>
      </c>
      <c r="C206" s="211">
        <f>MIN(都城!195:195)</f>
        <v>6061</v>
      </c>
      <c r="D206" s="211">
        <f>MAX(都城!195:195)</f>
        <v>7062</v>
      </c>
      <c r="E206" s="211">
        <f t="shared" si="17"/>
        <v>1001</v>
      </c>
      <c r="F206" s="273">
        <f>SUM(E206)</f>
        <v>1001</v>
      </c>
      <c r="G206" s="234">
        <v>93</v>
      </c>
      <c r="H206" s="211"/>
      <c r="I206" s="329"/>
      <c r="J206" s="299">
        <f>G206*1000+H206*500+I206*100</f>
        <v>93000</v>
      </c>
      <c r="K206" s="211">
        <f>J206-F206*100</f>
        <v>-7100</v>
      </c>
      <c r="L206" s="220"/>
      <c r="M206" s="162"/>
      <c r="N206" s="154"/>
      <c r="O206" s="154"/>
      <c r="P206" s="189"/>
      <c r="R206" s="386">
        <v>1315</v>
      </c>
    </row>
    <row r="207" spans="1:38" ht="15" customHeight="1">
      <c r="A207" s="195" t="s">
        <v>376</v>
      </c>
      <c r="B207" s="349" t="s">
        <v>377</v>
      </c>
      <c r="C207" s="175">
        <f>MIN(都城!207:207)</f>
        <v>5785</v>
      </c>
      <c r="D207" s="175">
        <f>MAX(都城!207:207)</f>
        <v>6691</v>
      </c>
      <c r="E207" s="175">
        <f t="shared" si="17"/>
        <v>906</v>
      </c>
      <c r="F207" s="268">
        <f>SUM(E207)</f>
        <v>906</v>
      </c>
      <c r="G207" s="222">
        <v>82</v>
      </c>
      <c r="H207" s="175"/>
      <c r="I207" s="323">
        <v>1</v>
      </c>
      <c r="J207" s="293">
        <f>G207*1000+H207*500+I207*100</f>
        <v>82100</v>
      </c>
      <c r="K207" s="175">
        <f>J207-F207*100</f>
        <v>-8500</v>
      </c>
      <c r="L207" s="176"/>
      <c r="M207" s="162"/>
      <c r="N207" s="154"/>
      <c r="O207" s="154"/>
      <c r="P207" s="189"/>
      <c r="R207" s="386">
        <v>1273</v>
      </c>
    </row>
    <row r="208" spans="1:38" ht="15" customHeight="1">
      <c r="A208" s="223" t="s">
        <v>378</v>
      </c>
      <c r="B208" s="363" t="s">
        <v>379</v>
      </c>
      <c r="C208" s="211">
        <f>MIN(都城!219:219)</f>
        <v>9505</v>
      </c>
      <c r="D208" s="211">
        <f>MAX(都城!219:219)</f>
        <v>10719</v>
      </c>
      <c r="E208" s="211">
        <f t="shared" si="17"/>
        <v>1214</v>
      </c>
      <c r="F208" s="273">
        <f>SUM(E208)</f>
        <v>1214</v>
      </c>
      <c r="G208" s="234">
        <v>112</v>
      </c>
      <c r="H208" s="211"/>
      <c r="I208" s="329">
        <v>1</v>
      </c>
      <c r="J208" s="299">
        <f>G208*1000+H208*500+I208*100</f>
        <v>112100</v>
      </c>
      <c r="K208" s="211">
        <f>J208-F208*100</f>
        <v>-9300</v>
      </c>
      <c r="L208" s="220"/>
      <c r="M208" s="162"/>
      <c r="N208" s="154"/>
      <c r="O208" s="154"/>
      <c r="P208" s="189"/>
      <c r="R208" s="386">
        <v>932</v>
      </c>
    </row>
    <row r="209" spans="1:38" ht="15" customHeight="1">
      <c r="A209" s="195" t="s">
        <v>380</v>
      </c>
      <c r="B209" s="349" t="s">
        <v>381</v>
      </c>
      <c r="C209" s="175">
        <f>MIN(都城!231:231)</f>
        <v>8723</v>
      </c>
      <c r="D209" s="175">
        <f>MAX(都城!231:231)</f>
        <v>11958</v>
      </c>
      <c r="E209" s="175">
        <f t="shared" si="17"/>
        <v>3235</v>
      </c>
      <c r="F209" s="268">
        <f>SUM(E209)</f>
        <v>3235</v>
      </c>
      <c r="G209" s="222">
        <v>297</v>
      </c>
      <c r="H209" s="175"/>
      <c r="I209" s="323">
        <v>4</v>
      </c>
      <c r="J209" s="293">
        <f>G209*1000+H209*500+I209*100</f>
        <v>297400</v>
      </c>
      <c r="K209" s="175">
        <f>J209-F209*100</f>
        <v>-26100</v>
      </c>
      <c r="L209" s="176"/>
      <c r="M209" s="162"/>
      <c r="N209" s="154"/>
      <c r="O209" s="154"/>
      <c r="P209" s="189"/>
      <c r="R209" s="386">
        <v>1230</v>
      </c>
    </row>
    <row r="210" spans="1:38" ht="15" customHeight="1">
      <c r="A210" s="240"/>
      <c r="B210" s="369"/>
      <c r="C210" s="167"/>
      <c r="D210" s="167"/>
      <c r="E210" s="167"/>
      <c r="F210" s="266"/>
      <c r="G210" s="240"/>
      <c r="H210" s="167"/>
      <c r="I210" s="320"/>
      <c r="J210" s="290"/>
      <c r="K210" s="167">
        <f>SUM(J188:J209)</f>
        <v>1356300</v>
      </c>
      <c r="L210" s="168"/>
      <c r="M210" s="154"/>
      <c r="N210" s="154"/>
      <c r="O210" s="154"/>
      <c r="P210" s="189"/>
      <c r="R210" s="386">
        <v>2369</v>
      </c>
    </row>
    <row r="211" spans="1:38" ht="15" customHeight="1" thickBot="1">
      <c r="A211" s="208"/>
      <c r="B211" s="370"/>
      <c r="C211" s="209"/>
      <c r="D211" s="209"/>
      <c r="E211" s="209"/>
      <c r="F211" s="272"/>
      <c r="G211" s="208"/>
      <c r="H211" s="209"/>
      <c r="I211" s="201"/>
      <c r="J211" s="301"/>
      <c r="K211" s="209"/>
      <c r="L211" s="200"/>
      <c r="M211" s="200"/>
      <c r="N211" s="200"/>
      <c r="O211" s="200"/>
      <c r="P211" s="201"/>
      <c r="R211" s="386">
        <v>4731</v>
      </c>
    </row>
    <row r="212" spans="1:38" ht="15" customHeight="1">
      <c r="A212" s="138" t="s">
        <v>394</v>
      </c>
      <c r="B212" s="371"/>
      <c r="I212" s="312"/>
      <c r="R212" s="386">
        <v>3103</v>
      </c>
    </row>
    <row r="213" spans="1:38" ht="15" customHeight="1" thickBot="1">
      <c r="A213" s="138" t="s">
        <v>395</v>
      </c>
      <c r="B213" s="371"/>
      <c r="I213" s="312"/>
      <c r="AJ213" s="79" t="s">
        <v>383</v>
      </c>
      <c r="AL213" s="79">
        <v>74000</v>
      </c>
    </row>
    <row r="214" spans="1:38" ht="15" customHeight="1">
      <c r="A214" s="206" t="s">
        <v>396</v>
      </c>
      <c r="B214" s="372">
        <v>70600827</v>
      </c>
      <c r="C214" s="207">
        <v>16780</v>
      </c>
      <c r="D214" s="207">
        <v>16780</v>
      </c>
      <c r="E214" s="207">
        <f>D214-C214</f>
        <v>0</v>
      </c>
      <c r="F214" s="277"/>
      <c r="G214" s="257"/>
      <c r="H214" s="207"/>
      <c r="I214" s="248"/>
      <c r="J214" s="302">
        <f t="shared" ref="J214:J227" si="18">G214*1000+H214*500+I214*100</f>
        <v>0</v>
      </c>
      <c r="K214" s="207">
        <f t="shared" ref="K214:K227" si="19">J214-E214*100</f>
        <v>0</v>
      </c>
      <c r="L214" s="247"/>
      <c r="M214" s="184"/>
      <c r="N214" s="185"/>
      <c r="O214" s="185"/>
      <c r="P214" s="248"/>
      <c r="AJ214" s="79" t="s">
        <v>383</v>
      </c>
      <c r="AL214" s="79">
        <v>66000</v>
      </c>
    </row>
    <row r="215" spans="1:38" ht="15" customHeight="1">
      <c r="A215" s="252"/>
      <c r="B215" s="373">
        <v>70600827</v>
      </c>
      <c r="C215" s="165">
        <v>19550</v>
      </c>
      <c r="D215" s="165">
        <v>19550</v>
      </c>
      <c r="E215" s="165">
        <f t="shared" ref="E215:E223" si="20">D215-C215</f>
        <v>0</v>
      </c>
      <c r="F215" s="278"/>
      <c r="G215" s="252"/>
      <c r="H215" s="165"/>
      <c r="I215" s="256"/>
      <c r="J215" s="291">
        <f t="shared" si="18"/>
        <v>0</v>
      </c>
      <c r="K215" s="165">
        <f t="shared" si="19"/>
        <v>0</v>
      </c>
      <c r="L215" s="245"/>
      <c r="M215" s="160"/>
      <c r="N215" s="155"/>
      <c r="O215" s="155"/>
      <c r="P215" s="249"/>
      <c r="R215" s="386">
        <v>17026</v>
      </c>
      <c r="AJ215" s="79" t="s">
        <v>384</v>
      </c>
      <c r="AL215" s="79">
        <v>52600</v>
      </c>
    </row>
    <row r="216" spans="1:38" ht="15" customHeight="1">
      <c r="A216" s="243"/>
      <c r="B216" s="357">
        <v>70600817</v>
      </c>
      <c r="C216" s="151">
        <v>17338</v>
      </c>
      <c r="D216" s="151">
        <v>17338</v>
      </c>
      <c r="E216" s="151">
        <f t="shared" si="20"/>
        <v>0</v>
      </c>
      <c r="F216" s="279"/>
      <c r="G216" s="253"/>
      <c r="H216" s="151"/>
      <c r="I216" s="335"/>
      <c r="J216" s="303">
        <f t="shared" si="18"/>
        <v>0</v>
      </c>
      <c r="K216" s="151">
        <f t="shared" si="19"/>
        <v>0</v>
      </c>
      <c r="L216" s="232"/>
      <c r="M216" s="160"/>
      <c r="N216" s="155"/>
      <c r="O216" s="155"/>
      <c r="P216" s="249"/>
      <c r="R216" s="386">
        <v>16648</v>
      </c>
    </row>
    <row r="217" spans="1:38" ht="15" customHeight="1">
      <c r="A217" s="242"/>
      <c r="B217" s="374">
        <v>70600817</v>
      </c>
      <c r="C217" s="159">
        <v>16694</v>
      </c>
      <c r="D217" s="159">
        <v>16694</v>
      </c>
      <c r="E217" s="159">
        <f t="shared" si="20"/>
        <v>0</v>
      </c>
      <c r="F217" s="280"/>
      <c r="G217" s="250"/>
      <c r="H217" s="159"/>
      <c r="I217" s="336"/>
      <c r="J217" s="304">
        <f t="shared" si="18"/>
        <v>0</v>
      </c>
      <c r="K217" s="159">
        <f t="shared" si="19"/>
        <v>0</v>
      </c>
      <c r="L217" s="233"/>
      <c r="M217" s="160"/>
      <c r="N217" s="155"/>
      <c r="O217" s="155"/>
      <c r="P217" s="249"/>
      <c r="R217" s="386">
        <v>20377</v>
      </c>
    </row>
    <row r="218" spans="1:38" ht="15" customHeight="1">
      <c r="A218" s="251" t="s">
        <v>397</v>
      </c>
      <c r="B218" s="352">
        <v>71261231</v>
      </c>
      <c r="C218" s="169">
        <v>20117</v>
      </c>
      <c r="D218" s="169">
        <v>20117</v>
      </c>
      <c r="E218" s="169">
        <f t="shared" si="20"/>
        <v>0</v>
      </c>
      <c r="F218" s="281"/>
      <c r="G218" s="251"/>
      <c r="H218" s="169"/>
      <c r="I218" s="337"/>
      <c r="J218" s="305">
        <f t="shared" si="18"/>
        <v>0</v>
      </c>
      <c r="K218" s="169">
        <f t="shared" si="19"/>
        <v>0</v>
      </c>
      <c r="L218" s="244"/>
      <c r="M218" s="160"/>
      <c r="N218" s="155"/>
      <c r="O218" s="155"/>
      <c r="P218" s="249"/>
      <c r="R218" s="386">
        <v>17384</v>
      </c>
    </row>
    <row r="219" spans="1:38" ht="15" customHeight="1">
      <c r="A219" s="252"/>
      <c r="B219" s="373">
        <v>71201012</v>
      </c>
      <c r="C219" s="165">
        <v>15865</v>
      </c>
      <c r="D219" s="165">
        <v>15865</v>
      </c>
      <c r="E219" s="165">
        <f t="shared" si="20"/>
        <v>0</v>
      </c>
      <c r="F219" s="278"/>
      <c r="G219" s="252"/>
      <c r="H219" s="165"/>
      <c r="I219" s="256"/>
      <c r="J219" s="291">
        <f t="shared" si="18"/>
        <v>0</v>
      </c>
      <c r="K219" s="165">
        <f t="shared" si="19"/>
        <v>0</v>
      </c>
      <c r="L219" s="245"/>
      <c r="M219" s="160"/>
      <c r="N219" s="155"/>
      <c r="O219" s="155"/>
      <c r="P219" s="249"/>
      <c r="R219" s="386">
        <v>1934</v>
      </c>
      <c r="AJ219" s="79" t="s">
        <v>61</v>
      </c>
    </row>
    <row r="220" spans="1:38" ht="15" customHeight="1">
      <c r="A220" s="253" t="s">
        <v>398</v>
      </c>
      <c r="B220" s="357">
        <v>71602154</v>
      </c>
      <c r="C220" s="151">
        <v>1488</v>
      </c>
      <c r="D220" s="151">
        <v>1488</v>
      </c>
      <c r="E220" s="151">
        <f t="shared" si="20"/>
        <v>0</v>
      </c>
      <c r="F220" s="279"/>
      <c r="G220" s="253"/>
      <c r="H220" s="151"/>
      <c r="I220" s="335"/>
      <c r="J220" s="303">
        <f t="shared" si="18"/>
        <v>0</v>
      </c>
      <c r="K220" s="151">
        <f t="shared" si="19"/>
        <v>0</v>
      </c>
      <c r="L220" s="232"/>
      <c r="M220" s="160"/>
      <c r="N220" s="155"/>
      <c r="O220" s="155"/>
      <c r="P220" s="249"/>
      <c r="R220" s="386">
        <v>1298</v>
      </c>
      <c r="AJ220" s="79" t="s">
        <v>239</v>
      </c>
      <c r="AL220" s="79">
        <v>83000</v>
      </c>
    </row>
    <row r="221" spans="1:38" ht="15" customHeight="1">
      <c r="A221" s="252"/>
      <c r="B221" s="373">
        <v>71602154</v>
      </c>
      <c r="C221" s="165">
        <v>3119</v>
      </c>
      <c r="D221" s="165">
        <v>3119</v>
      </c>
      <c r="E221" s="165">
        <f t="shared" si="20"/>
        <v>0</v>
      </c>
      <c r="F221" s="278"/>
      <c r="G221" s="252"/>
      <c r="H221" s="165"/>
      <c r="I221" s="256"/>
      <c r="J221" s="291">
        <f t="shared" si="18"/>
        <v>0</v>
      </c>
      <c r="K221" s="165">
        <f t="shared" si="19"/>
        <v>0</v>
      </c>
      <c r="L221" s="245"/>
      <c r="M221" s="160"/>
      <c r="N221" s="155"/>
      <c r="O221" s="155"/>
      <c r="P221" s="249"/>
      <c r="AJ221" s="79" t="s">
        <v>383</v>
      </c>
      <c r="AL221" s="79">
        <v>85000</v>
      </c>
    </row>
    <row r="222" spans="1:38" ht="15" customHeight="1">
      <c r="A222" s="243"/>
      <c r="B222" s="357">
        <v>71602154</v>
      </c>
      <c r="C222" s="151">
        <v>2020</v>
      </c>
      <c r="D222" s="151">
        <v>2020</v>
      </c>
      <c r="E222" s="151">
        <f t="shared" si="20"/>
        <v>0</v>
      </c>
      <c r="F222" s="279"/>
      <c r="G222" s="253"/>
      <c r="H222" s="151"/>
      <c r="I222" s="335"/>
      <c r="J222" s="303">
        <f t="shared" si="18"/>
        <v>0</v>
      </c>
      <c r="K222" s="151">
        <f t="shared" si="19"/>
        <v>0</v>
      </c>
      <c r="L222" s="232"/>
      <c r="M222" s="160"/>
      <c r="N222" s="155"/>
      <c r="O222" s="155"/>
      <c r="P222" s="249"/>
    </row>
    <row r="223" spans="1:38" ht="15" customHeight="1">
      <c r="A223" s="242"/>
      <c r="B223" s="374">
        <v>71602154</v>
      </c>
      <c r="C223" s="159">
        <v>1884</v>
      </c>
      <c r="D223" s="159">
        <v>1884</v>
      </c>
      <c r="E223" s="159">
        <f t="shared" si="20"/>
        <v>0</v>
      </c>
      <c r="F223" s="280"/>
      <c r="G223" s="250"/>
      <c r="H223" s="159"/>
      <c r="I223" s="336"/>
      <c r="J223" s="292">
        <f t="shared" si="18"/>
        <v>0</v>
      </c>
      <c r="K223" s="159">
        <f t="shared" si="19"/>
        <v>0</v>
      </c>
      <c r="L223" s="233"/>
      <c r="M223" s="160"/>
      <c r="N223" s="155"/>
      <c r="O223" s="155"/>
      <c r="P223" s="249"/>
    </row>
    <row r="224" spans="1:38" ht="15" customHeight="1">
      <c r="A224" s="254" t="s">
        <v>266</v>
      </c>
      <c r="B224" s="363" t="s">
        <v>399</v>
      </c>
      <c r="C224" s="219">
        <v>1368</v>
      </c>
      <c r="D224" s="219">
        <v>1368</v>
      </c>
      <c r="E224" s="219">
        <f>D224-C224</f>
        <v>0</v>
      </c>
      <c r="F224" s="282"/>
      <c r="G224" s="254"/>
      <c r="H224" s="219"/>
      <c r="I224" s="338"/>
      <c r="J224" s="306">
        <f t="shared" si="18"/>
        <v>0</v>
      </c>
      <c r="K224" s="219">
        <f t="shared" si="19"/>
        <v>0</v>
      </c>
      <c r="L224" s="246"/>
      <c r="M224" s="160"/>
      <c r="N224" s="155"/>
      <c r="O224" s="155"/>
      <c r="P224" s="249"/>
      <c r="R224" s="386">
        <v>22047</v>
      </c>
    </row>
    <row r="225" spans="1:38" ht="15" customHeight="1">
      <c r="A225" s="255"/>
      <c r="B225" s="375" t="s">
        <v>400</v>
      </c>
      <c r="C225" s="226">
        <v>2423</v>
      </c>
      <c r="D225" s="226">
        <v>2423</v>
      </c>
      <c r="E225" s="226">
        <f>D225-C225</f>
        <v>0</v>
      </c>
      <c r="F225" s="274"/>
      <c r="G225" s="255"/>
      <c r="H225" s="226"/>
      <c r="I225" s="330"/>
      <c r="J225" s="307">
        <f t="shared" si="18"/>
        <v>0</v>
      </c>
      <c r="K225" s="226">
        <f t="shared" si="19"/>
        <v>0</v>
      </c>
      <c r="L225" s="227"/>
      <c r="M225" s="160"/>
      <c r="N225" s="155"/>
      <c r="O225" s="155"/>
      <c r="P225" s="249"/>
      <c r="R225" s="386">
        <v>18978</v>
      </c>
    </row>
    <row r="226" spans="1:38" ht="15" customHeight="1">
      <c r="A226" s="254" t="s">
        <v>401</v>
      </c>
      <c r="B226" s="376" t="s">
        <v>402</v>
      </c>
      <c r="C226" s="219">
        <v>5459</v>
      </c>
      <c r="D226" s="219">
        <v>5459</v>
      </c>
      <c r="E226" s="219">
        <f>D226-C226</f>
        <v>0</v>
      </c>
      <c r="F226" s="282"/>
      <c r="G226" s="254"/>
      <c r="H226" s="219"/>
      <c r="I226" s="338"/>
      <c r="J226" s="306">
        <f t="shared" si="18"/>
        <v>0</v>
      </c>
      <c r="K226" s="219">
        <f t="shared" si="19"/>
        <v>0</v>
      </c>
      <c r="L226" s="246"/>
      <c r="M226" s="160"/>
      <c r="N226" s="155"/>
      <c r="O226" s="155"/>
      <c r="P226" s="249"/>
      <c r="R226" s="386">
        <v>19841</v>
      </c>
    </row>
    <row r="227" spans="1:38" ht="15" customHeight="1">
      <c r="A227" s="255"/>
      <c r="B227" s="375" t="s">
        <v>403</v>
      </c>
      <c r="C227" s="226">
        <v>3799</v>
      </c>
      <c r="D227" s="226">
        <v>3799</v>
      </c>
      <c r="E227" s="226">
        <f>D227-C227</f>
        <v>0</v>
      </c>
      <c r="F227" s="274"/>
      <c r="G227" s="255"/>
      <c r="H227" s="226"/>
      <c r="I227" s="330"/>
      <c r="J227" s="307">
        <f t="shared" si="18"/>
        <v>0</v>
      </c>
      <c r="K227" s="226">
        <f t="shared" si="19"/>
        <v>0</v>
      </c>
      <c r="L227" s="227"/>
      <c r="M227" s="241"/>
      <c r="N227" s="231"/>
      <c r="O227" s="231"/>
      <c r="P227" s="256"/>
      <c r="R227" s="386">
        <v>18338</v>
      </c>
    </row>
    <row r="228" spans="1:38" ht="15" customHeight="1" thickBot="1">
      <c r="A228" s="140"/>
      <c r="B228" s="377"/>
      <c r="C228" s="81"/>
      <c r="D228" s="81"/>
      <c r="E228" s="81"/>
      <c r="F228" s="81"/>
      <c r="G228" s="140"/>
      <c r="H228" s="81"/>
      <c r="I228" s="82"/>
      <c r="J228" s="81"/>
      <c r="K228" s="81"/>
      <c r="L228" s="141"/>
      <c r="M228" s="141"/>
      <c r="N228" s="141"/>
      <c r="O228" s="141"/>
      <c r="P228" s="82"/>
      <c r="R228" s="386">
        <v>4856</v>
      </c>
    </row>
    <row r="229" spans="1:38" ht="15" customHeight="1" thickBot="1">
      <c r="A229" s="83" t="s">
        <v>61</v>
      </c>
      <c r="B229" s="371"/>
      <c r="R229" s="386">
        <v>3404</v>
      </c>
    </row>
    <row r="230" spans="1:38" ht="15" customHeight="1">
      <c r="A230" s="257" t="s">
        <v>232</v>
      </c>
      <c r="B230" s="421">
        <v>70600826</v>
      </c>
      <c r="C230" s="207">
        <v>17419</v>
      </c>
      <c r="D230" s="207">
        <v>17419</v>
      </c>
      <c r="E230" s="207">
        <f t="shared" ref="E230:E235" si="21">D230-C230</f>
        <v>0</v>
      </c>
      <c r="F230" s="277"/>
      <c r="G230" s="257"/>
      <c r="H230" s="207"/>
      <c r="I230" s="248"/>
      <c r="J230" s="302">
        <f t="shared" ref="J230:J235" si="22">G230*1000+H230*500+I230*100</f>
        <v>0</v>
      </c>
      <c r="K230" s="207">
        <f t="shared" ref="K230:K235" si="23">J230-E230*100</f>
        <v>0</v>
      </c>
      <c r="L230" s="247"/>
      <c r="M230" s="184"/>
      <c r="N230" s="185"/>
      <c r="O230" s="185"/>
      <c r="P230" s="248"/>
      <c r="R230" s="386">
        <v>3488</v>
      </c>
    </row>
    <row r="231" spans="1:38" ht="15" customHeight="1">
      <c r="A231" s="252"/>
      <c r="B231" s="422"/>
      <c r="C231" s="165">
        <v>17077</v>
      </c>
      <c r="D231" s="165">
        <v>17077</v>
      </c>
      <c r="E231" s="165">
        <f t="shared" si="21"/>
        <v>0</v>
      </c>
      <c r="F231" s="278"/>
      <c r="G231" s="252"/>
      <c r="H231" s="165"/>
      <c r="I231" s="256"/>
      <c r="J231" s="291">
        <f t="shared" si="22"/>
        <v>0</v>
      </c>
      <c r="K231" s="165">
        <f t="shared" si="23"/>
        <v>0</v>
      </c>
      <c r="L231" s="245"/>
      <c r="M231" s="160"/>
      <c r="N231" s="155"/>
      <c r="O231" s="155"/>
      <c r="P231" s="249"/>
      <c r="R231" s="386">
        <v>4493</v>
      </c>
    </row>
    <row r="232" spans="1:38" ht="15" customHeight="1">
      <c r="A232" s="253"/>
      <c r="B232" s="423">
        <v>70600794</v>
      </c>
      <c r="C232" s="151">
        <v>20846</v>
      </c>
      <c r="D232" s="151">
        <v>20846</v>
      </c>
      <c r="E232" s="151">
        <f t="shared" si="21"/>
        <v>0</v>
      </c>
      <c r="F232" s="279"/>
      <c r="G232" s="253"/>
      <c r="H232" s="151"/>
      <c r="I232" s="335"/>
      <c r="J232" s="303">
        <f t="shared" si="22"/>
        <v>0</v>
      </c>
      <c r="K232" s="151">
        <f t="shared" si="23"/>
        <v>0</v>
      </c>
      <c r="L232" s="232"/>
      <c r="M232" s="160"/>
      <c r="N232" s="155"/>
      <c r="O232" s="155"/>
      <c r="P232" s="249"/>
    </row>
    <row r="233" spans="1:38" ht="15" customHeight="1">
      <c r="A233" s="250"/>
      <c r="B233" s="424"/>
      <c r="C233" s="159">
        <v>17735</v>
      </c>
      <c r="D233" s="159">
        <v>17735</v>
      </c>
      <c r="E233" s="159">
        <f t="shared" si="21"/>
        <v>0</v>
      </c>
      <c r="F233" s="280"/>
      <c r="G233" s="250"/>
      <c r="H233" s="159"/>
      <c r="I233" s="336"/>
      <c r="J233" s="292">
        <f t="shared" si="22"/>
        <v>0</v>
      </c>
      <c r="K233" s="159">
        <f t="shared" si="23"/>
        <v>0</v>
      </c>
      <c r="L233" s="233"/>
      <c r="M233" s="160"/>
      <c r="N233" s="155"/>
      <c r="O233" s="155"/>
      <c r="P233" s="249"/>
    </row>
    <row r="234" spans="1:38" ht="15" customHeight="1">
      <c r="A234" s="254" t="s">
        <v>266</v>
      </c>
      <c r="B234" s="425" t="s">
        <v>404</v>
      </c>
      <c r="C234" s="219">
        <v>2046</v>
      </c>
      <c r="D234" s="219">
        <v>2046</v>
      </c>
      <c r="E234" s="219">
        <f t="shared" si="21"/>
        <v>0</v>
      </c>
      <c r="F234" s="282"/>
      <c r="G234" s="254"/>
      <c r="H234" s="219"/>
      <c r="I234" s="338"/>
      <c r="J234" s="306">
        <f t="shared" si="22"/>
        <v>0</v>
      </c>
      <c r="K234" s="219">
        <f t="shared" si="23"/>
        <v>0</v>
      </c>
      <c r="L234" s="246"/>
      <c r="M234" s="160"/>
      <c r="N234" s="155"/>
      <c r="O234" s="155"/>
      <c r="P234" s="249"/>
    </row>
    <row r="235" spans="1:38" ht="15" customHeight="1">
      <c r="A235" s="195" t="s">
        <v>401</v>
      </c>
      <c r="B235" s="426" t="s">
        <v>405</v>
      </c>
      <c r="C235" s="226">
        <v>1597</v>
      </c>
      <c r="D235" s="226">
        <v>1597</v>
      </c>
      <c r="E235" s="226">
        <f t="shared" si="21"/>
        <v>0</v>
      </c>
      <c r="F235" s="274"/>
      <c r="G235" s="255"/>
      <c r="H235" s="226"/>
      <c r="I235" s="330"/>
      <c r="J235" s="307">
        <f t="shared" si="22"/>
        <v>0</v>
      </c>
      <c r="K235" s="226">
        <f t="shared" si="23"/>
        <v>0</v>
      </c>
      <c r="L235" s="227"/>
      <c r="M235" s="160"/>
      <c r="N235" s="155"/>
      <c r="O235" s="155"/>
      <c r="P235" s="249"/>
      <c r="R235" s="386">
        <v>20806</v>
      </c>
    </row>
    <row r="236" spans="1:38" ht="15" customHeight="1">
      <c r="A236" s="223"/>
      <c r="B236" s="425"/>
      <c r="C236" s="219"/>
      <c r="D236" s="219"/>
      <c r="E236" s="219"/>
      <c r="F236" s="282"/>
      <c r="G236" s="254"/>
      <c r="H236" s="219"/>
      <c r="I236" s="338"/>
      <c r="J236" s="306">
        <f>SUM(J230:J235)</f>
        <v>0</v>
      </c>
      <c r="K236" s="219"/>
      <c r="L236" s="225"/>
      <c r="M236" s="231"/>
      <c r="N236" s="231"/>
      <c r="O236" s="231"/>
      <c r="P236" s="256"/>
      <c r="R236" s="386">
        <v>19007</v>
      </c>
      <c r="AJ236" s="79" t="s">
        <v>394</v>
      </c>
    </row>
    <row r="237" spans="1:38" ht="15" customHeight="1" thickBot="1">
      <c r="A237" s="140"/>
      <c r="B237" s="427"/>
      <c r="C237" s="81"/>
      <c r="D237" s="81"/>
      <c r="E237" s="81"/>
      <c r="F237" s="81"/>
      <c r="G237" s="140"/>
      <c r="H237" s="81"/>
      <c r="I237" s="82"/>
      <c r="J237" s="81"/>
      <c r="K237" s="81"/>
      <c r="L237" s="141"/>
      <c r="M237" s="141"/>
      <c r="N237" s="141"/>
      <c r="O237" s="141"/>
      <c r="P237" s="82"/>
      <c r="R237" s="386">
        <v>27523</v>
      </c>
      <c r="AJ237" s="79" t="s">
        <v>395</v>
      </c>
    </row>
    <row r="238" spans="1:38" ht="15" customHeight="1" thickBot="1">
      <c r="A238" s="83" t="s">
        <v>1</v>
      </c>
      <c r="B238" s="428"/>
      <c r="R238" s="386">
        <v>18034</v>
      </c>
    </row>
    <row r="239" spans="1:38" ht="15" customHeight="1">
      <c r="A239" s="257" t="s">
        <v>232</v>
      </c>
      <c r="B239" s="421">
        <v>70600983</v>
      </c>
      <c r="C239" s="207">
        <v>22546</v>
      </c>
      <c r="D239" s="207">
        <v>22546</v>
      </c>
      <c r="E239" s="207">
        <f t="shared" ref="E239:E246" si="24">D239-C239</f>
        <v>0</v>
      </c>
      <c r="F239" s="277"/>
      <c r="G239" s="257"/>
      <c r="H239" s="207"/>
      <c r="I239" s="248"/>
      <c r="J239" s="302">
        <f t="shared" ref="J239:J246" si="25">G239*1000+H239*500+I239*100</f>
        <v>0</v>
      </c>
      <c r="K239" s="207">
        <f>J239-E239*100</f>
        <v>0</v>
      </c>
      <c r="L239" s="247"/>
      <c r="M239" s="184"/>
      <c r="N239" s="185"/>
      <c r="O239" s="185"/>
      <c r="P239" s="248"/>
      <c r="R239" s="389"/>
      <c r="AJ239" s="79" t="s">
        <v>61</v>
      </c>
    </row>
    <row r="240" spans="1:38" ht="15" customHeight="1">
      <c r="A240" s="252"/>
      <c r="B240" s="422"/>
      <c r="C240" s="165">
        <v>19508</v>
      </c>
      <c r="D240" s="165">
        <v>19508</v>
      </c>
      <c r="E240" s="165">
        <f t="shared" si="24"/>
        <v>0</v>
      </c>
      <c r="F240" s="278"/>
      <c r="G240" s="252"/>
      <c r="H240" s="165"/>
      <c r="I240" s="256"/>
      <c r="J240" s="291">
        <f t="shared" si="25"/>
        <v>0</v>
      </c>
      <c r="K240" s="165">
        <f>J240-E240*100</f>
        <v>0</v>
      </c>
      <c r="L240" s="245"/>
      <c r="M240" s="160"/>
      <c r="N240" s="155"/>
      <c r="O240" s="155"/>
      <c r="P240" s="249"/>
      <c r="R240" s="389"/>
      <c r="AL240" s="79">
        <v>0</v>
      </c>
    </row>
    <row r="241" spans="1:38" ht="15" customHeight="1">
      <c r="A241" s="253"/>
      <c r="B241" s="423">
        <v>70600982</v>
      </c>
      <c r="C241" s="151">
        <v>20269</v>
      </c>
      <c r="D241" s="151">
        <v>20269</v>
      </c>
      <c r="E241" s="151">
        <f t="shared" si="24"/>
        <v>0</v>
      </c>
      <c r="F241" s="279"/>
      <c r="G241" s="253"/>
      <c r="H241" s="151"/>
      <c r="I241" s="335"/>
      <c r="J241" s="303">
        <f t="shared" si="25"/>
        <v>0</v>
      </c>
      <c r="K241" s="151">
        <f>J241-E241*100</f>
        <v>0</v>
      </c>
      <c r="L241" s="232"/>
      <c r="M241" s="160"/>
      <c r="N241" s="155"/>
      <c r="O241" s="155"/>
      <c r="P241" s="249"/>
      <c r="R241" s="389"/>
      <c r="AL241" s="79">
        <v>0</v>
      </c>
    </row>
    <row r="242" spans="1:38" ht="15" customHeight="1">
      <c r="A242" s="250"/>
      <c r="B242" s="424"/>
      <c r="C242" s="159">
        <v>19167</v>
      </c>
      <c r="D242" s="159">
        <v>19167</v>
      </c>
      <c r="E242" s="159">
        <f t="shared" si="24"/>
        <v>0</v>
      </c>
      <c r="F242" s="280"/>
      <c r="G242" s="250"/>
      <c r="H242" s="159"/>
      <c r="I242" s="336"/>
      <c r="J242" s="292">
        <f t="shared" si="25"/>
        <v>0</v>
      </c>
      <c r="K242" s="159">
        <f>J242-E242*100</f>
        <v>0</v>
      </c>
      <c r="L242" s="233"/>
      <c r="M242" s="160"/>
      <c r="N242" s="155"/>
      <c r="O242" s="155"/>
      <c r="P242" s="249"/>
      <c r="R242" s="389"/>
      <c r="AL242" s="79">
        <v>108700</v>
      </c>
    </row>
    <row r="243" spans="1:38" ht="15" customHeight="1">
      <c r="A243" s="254" t="s">
        <v>406</v>
      </c>
      <c r="B243" s="425"/>
      <c r="C243" s="219">
        <v>5046</v>
      </c>
      <c r="D243" s="219">
        <v>5046</v>
      </c>
      <c r="E243" s="219">
        <f t="shared" si="24"/>
        <v>0</v>
      </c>
      <c r="F243" s="282"/>
      <c r="G243" s="254"/>
      <c r="H243" s="219"/>
      <c r="I243" s="338"/>
      <c r="J243" s="306">
        <f t="shared" si="25"/>
        <v>0</v>
      </c>
      <c r="K243" s="219">
        <f>J243-E243*1000</f>
        <v>0</v>
      </c>
      <c r="L243" s="246"/>
      <c r="M243" s="160"/>
      <c r="N243" s="155"/>
      <c r="O243" s="155"/>
      <c r="P243" s="249"/>
      <c r="R243" s="389"/>
    </row>
    <row r="244" spans="1:38" ht="15" customHeight="1">
      <c r="A244" s="255" t="s">
        <v>266</v>
      </c>
      <c r="B244" s="426" t="s">
        <v>407</v>
      </c>
      <c r="C244" s="226">
        <v>3668</v>
      </c>
      <c r="D244" s="226">
        <v>3668</v>
      </c>
      <c r="E244" s="226">
        <f t="shared" si="24"/>
        <v>0</v>
      </c>
      <c r="F244" s="274"/>
      <c r="G244" s="255"/>
      <c r="H244" s="226"/>
      <c r="I244" s="330"/>
      <c r="J244" s="307">
        <f t="shared" si="25"/>
        <v>0</v>
      </c>
      <c r="K244" s="226">
        <f>J244-E244*100</f>
        <v>0</v>
      </c>
      <c r="L244" s="227"/>
      <c r="M244" s="160"/>
      <c r="N244" s="155"/>
      <c r="O244" s="155"/>
      <c r="P244" s="249"/>
      <c r="R244" s="389"/>
      <c r="AJ244" s="79" t="s">
        <v>1</v>
      </c>
    </row>
    <row r="245" spans="1:38" ht="15" customHeight="1">
      <c r="A245" s="254"/>
      <c r="B245" s="429" t="s">
        <v>408</v>
      </c>
      <c r="C245" s="219">
        <v>3569</v>
      </c>
      <c r="D245" s="219">
        <v>3569</v>
      </c>
      <c r="E245" s="219">
        <f t="shared" si="24"/>
        <v>0</v>
      </c>
      <c r="F245" s="282"/>
      <c r="G245" s="254"/>
      <c r="H245" s="219"/>
      <c r="I245" s="338"/>
      <c r="J245" s="306">
        <f t="shared" si="25"/>
        <v>0</v>
      </c>
      <c r="K245" s="219">
        <f>J245-E245*100</f>
        <v>0</v>
      </c>
      <c r="L245" s="246"/>
      <c r="M245" s="160"/>
      <c r="N245" s="155"/>
      <c r="O245" s="155"/>
      <c r="P245" s="249"/>
      <c r="R245" s="389"/>
      <c r="AL245" s="79">
        <v>0</v>
      </c>
    </row>
    <row r="246" spans="1:38" ht="15" customHeight="1">
      <c r="A246" s="255" t="s">
        <v>280</v>
      </c>
      <c r="B246" s="430" t="s">
        <v>409</v>
      </c>
      <c r="C246" s="226">
        <v>5352</v>
      </c>
      <c r="D246" s="226">
        <v>5352</v>
      </c>
      <c r="E246" s="226">
        <f t="shared" si="24"/>
        <v>0</v>
      </c>
      <c r="F246" s="274"/>
      <c r="G246" s="255"/>
      <c r="H246" s="226"/>
      <c r="I246" s="330"/>
      <c r="J246" s="307">
        <f t="shared" si="25"/>
        <v>0</v>
      </c>
      <c r="K246" s="226">
        <f>J246-E246*100</f>
        <v>0</v>
      </c>
      <c r="L246" s="227"/>
      <c r="M246" s="160"/>
      <c r="N246" s="155"/>
      <c r="O246" s="155"/>
      <c r="P246" s="249"/>
      <c r="R246" s="389"/>
      <c r="AL246" s="79">
        <v>0</v>
      </c>
    </row>
    <row r="247" spans="1:38" ht="15" customHeight="1">
      <c r="A247" s="251"/>
      <c r="B247" s="431"/>
      <c r="C247" s="169"/>
      <c r="D247" s="169"/>
      <c r="E247" s="169"/>
      <c r="F247" s="281"/>
      <c r="G247" s="251"/>
      <c r="H247" s="169"/>
      <c r="I247" s="337"/>
      <c r="J247" s="305">
        <f>SUM(J239:J246)</f>
        <v>0</v>
      </c>
      <c r="K247" s="169"/>
      <c r="L247" s="224"/>
      <c r="M247" s="155"/>
      <c r="N247" s="155"/>
      <c r="O247" s="155"/>
      <c r="P247" s="249"/>
      <c r="R247" s="389"/>
      <c r="AJ247" s="79" t="s">
        <v>406</v>
      </c>
      <c r="AL247" s="79">
        <v>34000</v>
      </c>
    </row>
    <row r="248" spans="1:38" ht="15" customHeight="1" thickBot="1">
      <c r="A248" s="237"/>
      <c r="B248" s="432"/>
      <c r="C248" s="216"/>
      <c r="D248" s="216"/>
      <c r="E248" s="216"/>
      <c r="F248" s="276"/>
      <c r="G248" s="333"/>
      <c r="H248" s="216"/>
      <c r="I248" s="239"/>
      <c r="J248" s="298"/>
      <c r="K248" s="216"/>
      <c r="L248" s="238"/>
      <c r="M248" s="238"/>
      <c r="N248" s="238"/>
      <c r="O248" s="238"/>
      <c r="P248" s="239"/>
      <c r="R248" s="389"/>
      <c r="AL248" s="79">
        <v>164400</v>
      </c>
    </row>
    <row r="249" spans="1:38" ht="15" customHeight="1" thickBot="1">
      <c r="A249" s="83" t="s">
        <v>134</v>
      </c>
      <c r="B249" s="428"/>
      <c r="R249" s="389"/>
    </row>
    <row r="250" spans="1:38" ht="15" customHeight="1">
      <c r="A250" s="257" t="s">
        <v>232</v>
      </c>
      <c r="B250" s="421">
        <v>70600816</v>
      </c>
      <c r="C250" s="207">
        <v>21452</v>
      </c>
      <c r="D250" s="207">
        <v>21626</v>
      </c>
      <c r="E250" s="207">
        <f>D250-C250</f>
        <v>174</v>
      </c>
      <c r="F250" s="277"/>
      <c r="G250" s="257"/>
      <c r="H250" s="207"/>
      <c r="I250" s="248">
        <v>278</v>
      </c>
      <c r="J250" s="302">
        <f>G250*1000+H250*500+I250*100</f>
        <v>27800</v>
      </c>
      <c r="K250" s="207">
        <f>J250-E250*100</f>
        <v>10400</v>
      </c>
      <c r="L250" s="247"/>
      <c r="M250" s="184"/>
      <c r="N250" s="185"/>
      <c r="O250" s="185"/>
      <c r="P250" s="248"/>
      <c r="R250" s="389"/>
      <c r="AJ250" s="79" t="s">
        <v>134</v>
      </c>
    </row>
    <row r="251" spans="1:38" ht="15" customHeight="1">
      <c r="A251" s="252"/>
      <c r="B251" s="422"/>
      <c r="C251" s="165">
        <v>19418</v>
      </c>
      <c r="D251" s="165">
        <v>19516</v>
      </c>
      <c r="E251" s="165">
        <f>D251-C251</f>
        <v>98</v>
      </c>
      <c r="F251" s="278"/>
      <c r="G251" s="252"/>
      <c r="H251" s="165"/>
      <c r="I251" s="256"/>
      <c r="J251" s="291">
        <f>G251*1000+H251*500+I251*100</f>
        <v>0</v>
      </c>
      <c r="K251" s="165">
        <f>J251-E251*100</f>
        <v>-9800</v>
      </c>
      <c r="L251" s="245"/>
      <c r="M251" s="160"/>
      <c r="N251" s="155"/>
      <c r="O251" s="155"/>
      <c r="P251" s="249"/>
      <c r="R251" s="389"/>
      <c r="AL251" s="79">
        <v>0</v>
      </c>
    </row>
    <row r="252" spans="1:38" ht="15" customHeight="1">
      <c r="A252" s="253"/>
      <c r="B252" s="357"/>
      <c r="C252" s="151">
        <v>27979</v>
      </c>
      <c r="D252" s="151">
        <v>28101</v>
      </c>
      <c r="E252" s="151">
        <f>D252-C252</f>
        <v>122</v>
      </c>
      <c r="F252" s="279"/>
      <c r="G252" s="253"/>
      <c r="H252" s="151"/>
      <c r="I252" s="438">
        <v>226</v>
      </c>
      <c r="J252" s="303">
        <f>G252*1000+H252*500+I252*100</f>
        <v>22600</v>
      </c>
      <c r="K252" s="151">
        <f>J252-E252*100</f>
        <v>10400</v>
      </c>
      <c r="L252" s="232"/>
      <c r="M252" s="160"/>
      <c r="N252" s="155"/>
      <c r="O252" s="155"/>
      <c r="P252" s="249"/>
      <c r="R252" s="389"/>
      <c r="AL252" s="79">
        <v>38300</v>
      </c>
    </row>
    <row r="253" spans="1:38" ht="15" customHeight="1">
      <c r="A253" s="250"/>
      <c r="B253" s="374"/>
      <c r="C253" s="159">
        <v>18268</v>
      </c>
      <c r="D253" s="159">
        <v>18372</v>
      </c>
      <c r="E253" s="159">
        <f>D253-C253</f>
        <v>104</v>
      </c>
      <c r="F253" s="280"/>
      <c r="G253" s="250"/>
      <c r="H253" s="159"/>
      <c r="I253" s="336"/>
      <c r="J253" s="292">
        <f>G253*1000+H253*500+I253*100</f>
        <v>0</v>
      </c>
      <c r="K253" s="159">
        <f>J253-E253*100</f>
        <v>-10400</v>
      </c>
      <c r="L253" s="233"/>
      <c r="M253" s="160"/>
      <c r="N253" s="155"/>
      <c r="O253" s="155"/>
      <c r="P253" s="249"/>
      <c r="R253" s="389"/>
      <c r="AL253" s="79">
        <v>0</v>
      </c>
    </row>
    <row r="254" spans="1:38" ht="15" customHeight="1" thickBot="1">
      <c r="A254" s="258"/>
      <c r="B254" s="378"/>
      <c r="C254" s="198"/>
      <c r="D254" s="198"/>
      <c r="E254" s="198">
        <f>SUM(E250:E253)</f>
        <v>498</v>
      </c>
      <c r="F254" s="283"/>
      <c r="G254" s="340"/>
      <c r="H254" s="198"/>
      <c r="I254" s="341"/>
      <c r="J254" s="294">
        <f>SUM(J250:J253)</f>
        <v>50400</v>
      </c>
      <c r="K254" s="198"/>
      <c r="L254" s="259"/>
      <c r="M254" s="238"/>
      <c r="N254" s="238"/>
      <c r="O254" s="238"/>
      <c r="P254" s="239"/>
      <c r="R254" s="389"/>
      <c r="AL254" s="79">
        <v>87500</v>
      </c>
    </row>
    <row r="255" spans="1:38" ht="15" customHeight="1">
      <c r="R255" s="389"/>
    </row>
  </sheetData>
  <sortState xmlns:xlrd2="http://schemas.microsoft.com/office/spreadsheetml/2017/richdata2" ref="AJ1:AL255">
    <sortCondition ref="AK2:AK255"/>
  </sortState>
  <phoneticPr fontId="2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鹿屋</vt:lpstr>
      <vt:lpstr>都城</vt:lpstr>
      <vt:lpstr>霧島</vt:lpstr>
      <vt:lpstr>宇宿</vt:lpstr>
      <vt:lpstr>川内</vt:lpstr>
      <vt:lpstr>中央</vt:lpstr>
      <vt:lpstr>天文館</vt:lpstr>
      <vt:lpstr>ガチャ</vt:lpstr>
      <vt:lpstr>クレーン熊本</vt:lpstr>
      <vt:lpstr>集金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本田 広宣</dc:creator>
  <cp:keywords/>
  <dc:description/>
  <cp:lastModifiedBy>Hironori Honda</cp:lastModifiedBy>
  <cp:revision>1</cp:revision>
  <dcterms:created xsi:type="dcterms:W3CDTF">2026-03-08T01:59:37Z</dcterms:created>
  <dcterms:modified xsi:type="dcterms:W3CDTF">2026-03-18T11:26:04Z</dcterms:modified>
  <cp:category/>
  <cp:contentStatus/>
</cp:coreProperties>
</file>