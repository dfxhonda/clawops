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株式会社キャンディトイズ\Desktop\㈱万代\"/>
    </mc:Choice>
  </mc:AlternateContent>
  <xr:revisionPtr revIDLastSave="0" documentId="13_ncr:1_{1C9010BD-E470-4EFB-A920-A0E4E27805B2}" xr6:coauthVersionLast="47" xr6:coauthVersionMax="47" xr10:uidLastSave="{00000000-0000-0000-0000-000000000000}"/>
  <bookViews>
    <workbookView xWindow="-120" yWindow="-120" windowWidth="29040" windowHeight="15840" xr2:uid="{13218FA5-AE41-4007-8626-83DC2C9F2F2C}"/>
  </bookViews>
  <sheets>
    <sheet name="3月" sheetId="3" r:id="rId1"/>
    <sheet name="4月" sheetId="4" r:id="rId2"/>
    <sheet name="5月" sheetId="5" r:id="rId3"/>
    <sheet name="6月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G19" i="3" s="1"/>
  <c r="F20" i="3"/>
  <c r="G20" i="3" s="1"/>
  <c r="G11" i="6"/>
  <c r="F11" i="6"/>
  <c r="F7" i="6"/>
  <c r="G7" i="6"/>
  <c r="F9" i="6"/>
  <c r="G9" i="6" s="1"/>
  <c r="F8" i="6"/>
  <c r="G8" i="6" s="1"/>
  <c r="A5" i="6"/>
  <c r="G15" i="4"/>
  <c r="F15" i="4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G8" i="5"/>
  <c r="F7" i="5"/>
  <c r="G7" i="5" s="1"/>
  <c r="A5" i="5"/>
  <c r="F9" i="4"/>
  <c r="G9" i="4" s="1"/>
  <c r="F8" i="4"/>
  <c r="G8" i="4" s="1"/>
  <c r="F7" i="4"/>
  <c r="G7" i="4" s="1"/>
  <c r="F13" i="4"/>
  <c r="G13" i="4" s="1"/>
  <c r="F12" i="4"/>
  <c r="G12" i="4" s="1"/>
  <c r="F11" i="4"/>
  <c r="G11" i="4" s="1"/>
  <c r="F10" i="4"/>
  <c r="G10" i="4" s="1"/>
  <c r="A5" i="4"/>
  <c r="F17" i="3"/>
  <c r="G17" i="3" s="1"/>
  <c r="F16" i="3"/>
  <c r="G16" i="3" s="1"/>
  <c r="F15" i="3"/>
  <c r="G15" i="3" s="1"/>
  <c r="F14" i="3"/>
  <c r="G14" i="3" s="1"/>
  <c r="F12" i="3"/>
  <c r="G12" i="3" s="1"/>
  <c r="F10" i="3"/>
  <c r="G10" i="3" s="1"/>
  <c r="F11" i="3"/>
  <c r="G11" i="3" s="1"/>
  <c r="F8" i="3"/>
  <c r="G8" i="3"/>
  <c r="F13" i="3"/>
  <c r="G13" i="3" s="1"/>
  <c r="F9" i="3"/>
  <c r="G9" i="3" s="1"/>
  <c r="F7" i="3"/>
  <c r="F22" i="3" s="1"/>
  <c r="G7" i="3"/>
  <c r="G22" i="3" s="1"/>
  <c r="F16" i="5" l="1"/>
  <c r="G16" i="5"/>
  <c r="A5" i="3"/>
</calcChain>
</file>

<file path=xl/sharedStrings.xml><?xml version="1.0" encoding="utf-8"?>
<sst xmlns="http://schemas.openxmlformats.org/spreadsheetml/2006/main" count="155" uniqueCount="66">
  <si>
    <t>商品名</t>
    <rPh sb="0" eb="3">
      <t>ショウヒンメイ</t>
    </rPh>
    <phoneticPr fontId="10"/>
  </si>
  <si>
    <t>ケース入数</t>
    <rPh sb="3" eb="4">
      <t>イ</t>
    </rPh>
    <rPh sb="4" eb="5">
      <t>スウ</t>
    </rPh>
    <phoneticPr fontId="10"/>
  </si>
  <si>
    <t>備考</t>
    <rPh sb="0" eb="2">
      <t>ビコウ</t>
    </rPh>
    <phoneticPr fontId="2"/>
  </si>
  <si>
    <t>×</t>
    <phoneticPr fontId="10"/>
  </si>
  <si>
    <t>（株）Cｈange　さま</t>
    <rPh sb="0" eb="3">
      <t>カブ</t>
    </rPh>
    <rPh sb="9" eb="10">
      <t>シンテン</t>
    </rPh>
    <phoneticPr fontId="2"/>
  </si>
  <si>
    <t>サンリオ吸水リストバンドVer.2</t>
    <phoneticPr fontId="10"/>
  </si>
  <si>
    <t>サンリオフェイスミラーポーチ</t>
    <phoneticPr fontId="10"/>
  </si>
  <si>
    <t>たまごっちボアミニポーチ</t>
    <phoneticPr fontId="10"/>
  </si>
  <si>
    <t>たまごっちミニチュアポシェット</t>
    <phoneticPr fontId="10"/>
  </si>
  <si>
    <t>パペットスンスン　カラー口金がま口</t>
    <phoneticPr fontId="10"/>
  </si>
  <si>
    <t>5/下旬</t>
    <rPh sb="2" eb="4">
      <t>ゲジュン</t>
    </rPh>
    <phoneticPr fontId="2"/>
  </si>
  <si>
    <t>田2，久1，飯1，鹿1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</si>
  <si>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単価</t>
    <rPh sb="0" eb="2">
      <t>タンカ</t>
    </rPh>
    <phoneticPr fontId="10"/>
  </si>
  <si>
    <t>（税抜）</t>
    <rPh sb="1" eb="2">
      <t>ゼイ</t>
    </rPh>
    <rPh sb="2" eb="3">
      <t>ヌ</t>
    </rPh>
    <phoneticPr fontId="10"/>
  </si>
  <si>
    <t>（税込）</t>
    <rPh sb="2" eb="3">
      <t>コ</t>
    </rPh>
    <phoneticPr fontId="10"/>
  </si>
  <si>
    <t>送料</t>
    <rPh sb="0" eb="2">
      <t>ソウリョウ</t>
    </rPh>
    <phoneticPr fontId="2"/>
  </si>
  <si>
    <t>田4，飯1，</t>
    <rPh sb="0" eb="1">
      <t>タ</t>
    </rPh>
    <rPh sb="3" eb="4">
      <t>メシ</t>
    </rPh>
    <phoneticPr fontId="2"/>
  </si>
  <si>
    <t>田4，久1，飯1，</t>
    <rPh sb="0" eb="1">
      <t>タ</t>
    </rPh>
    <rPh sb="3" eb="4">
      <t>ヒサシ</t>
    </rPh>
    <rPh sb="6" eb="7">
      <t>メシ</t>
    </rPh>
    <phoneticPr fontId="2"/>
  </si>
  <si>
    <t>田隈</t>
    <rPh sb="0" eb="2">
      <t>タグマ</t>
    </rPh>
    <phoneticPr fontId="2"/>
  </si>
  <si>
    <t>ハッピーラビット クリームタルト</t>
  </si>
  <si>
    <t>ハッピーラビット フレンチトースト</t>
  </si>
  <si>
    <t>ハッピーラビット クリーム＆チーズ</t>
  </si>
  <si>
    <t>4/下旬</t>
    <rPh sb="2" eb="4">
      <t>ゲジュン</t>
    </rPh>
    <phoneticPr fontId="2"/>
  </si>
  <si>
    <t>確認中</t>
    <rPh sb="0" eb="3">
      <t>カクニンチュウ</t>
    </rPh>
    <phoneticPr fontId="2"/>
  </si>
  <si>
    <t>たまごっちヘアバンド</t>
  </si>
  <si>
    <t>マスコットポーチねこねこメイド</t>
  </si>
  <si>
    <t>3/3出荷</t>
    <rPh sb="3" eb="5">
      <t>シュッカ</t>
    </rPh>
    <phoneticPr fontId="2"/>
  </si>
  <si>
    <t>田2，久1，飯2，鹿1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</si>
  <si>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</si>
  <si>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サンリオ　カラビナ付きミニファン</t>
    <phoneticPr fontId="10"/>
  </si>
  <si>
    <t>田2，久4，飯1，鹿2</t>
    <rPh sb="0" eb="1">
      <t>タ</t>
    </rPh>
    <rPh sb="3" eb="4">
      <t>ヒサシ</t>
    </rPh>
    <rPh sb="6" eb="7">
      <t>メシ</t>
    </rPh>
    <rPh sb="9" eb="10">
      <t>シカ</t>
    </rPh>
    <phoneticPr fontId="2"/>
  </si>
  <si>
    <t>5/上旬</t>
    <rPh sb="2" eb="4">
      <t>ジョウジュン</t>
    </rPh>
    <phoneticPr fontId="2"/>
  </si>
  <si>
    <t>6/上旬</t>
    <rPh sb="2" eb="4">
      <t>ジョウジュン</t>
    </rPh>
    <phoneticPr fontId="2"/>
  </si>
  <si>
    <t>田2，久2，飯1，鹿2</t>
    <rPh sb="0" eb="1">
      <t>タ</t>
    </rPh>
    <rPh sb="3" eb="4">
      <t>ヒサシ</t>
    </rPh>
    <rPh sb="6" eb="7">
      <t>メシ</t>
    </rPh>
    <rPh sb="9" eb="10">
      <t>シカ</t>
    </rPh>
    <phoneticPr fontId="2"/>
  </si>
  <si>
    <t>たまごっちミニチュアポシェット</t>
    <phoneticPr fontId="2"/>
  </si>
  <si>
    <t>田1，久1，飯1，鹿1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</si>
  <si>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キティデニムマルチポーチ　ギャル3</t>
    <phoneticPr fontId="2"/>
  </si>
  <si>
    <t>田1，飯1，</t>
    <rPh sb="0" eb="1">
      <t>タ</t>
    </rPh>
    <rPh sb="3" eb="4">
      <t>メシ</t>
    </rPh>
    <phoneticPr fontId="2"/>
  </si>
  <si>
    <t>モンチッチカラビナ付きミニミニポーチ</t>
    <phoneticPr fontId="2"/>
  </si>
  <si>
    <t>5/中旬</t>
    <rPh sb="2" eb="4">
      <t>チュウジュン</t>
    </rPh>
    <phoneticPr fontId="2"/>
  </si>
  <si>
    <t>モンチッチ プチがま口</t>
    <phoneticPr fontId="2"/>
  </si>
  <si>
    <t>サンリオ　キルティングミラーポーチ(新柄4種)</t>
    <phoneticPr fontId="2"/>
  </si>
  <si>
    <t>4/中旬</t>
    <rPh sb="2" eb="4">
      <t>チュウジュン</t>
    </rPh>
    <phoneticPr fontId="2"/>
  </si>
  <si>
    <t>サンリオ　エナメルミニポーチ</t>
    <phoneticPr fontId="2"/>
  </si>
  <si>
    <t>6/下旬</t>
    <rPh sb="2" eb="4">
      <t>ゲジュン</t>
    </rPh>
    <phoneticPr fontId="2"/>
  </si>
  <si>
    <t>田2，久2，飯1，鹿1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</si>
  <si>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日焼けキティコロふわねそべりクッションVer.2</t>
    <phoneticPr fontId="2"/>
  </si>
  <si>
    <t>3/中旬</t>
    <rPh sb="2" eb="4">
      <t>チュウジュン</t>
    </rPh>
    <phoneticPr fontId="2"/>
  </si>
  <si>
    <t>久1，飯1，</t>
    <rPh sb="0" eb="1">
      <t>ヒサシ</t>
    </rPh>
    <rPh sb="3" eb="4">
      <t>メシ</t>
    </rPh>
    <phoneticPr fontId="2"/>
  </si>
  <si>
    <t>日焼けキティ　クリア保温保冷クリアバッグ</t>
    <phoneticPr fontId="2"/>
  </si>
  <si>
    <t>サンリオ　ウィンドウチャームケースVer３</t>
    <phoneticPr fontId="2"/>
  </si>
  <si>
    <t>3/下旬</t>
    <rPh sb="2" eb="4">
      <t>ゲジュン</t>
    </rPh>
    <phoneticPr fontId="2"/>
  </si>
  <si>
    <t>飯塚</t>
    <rPh sb="0" eb="2">
      <t>イイヅカ</t>
    </rPh>
    <phoneticPr fontId="2"/>
  </si>
  <si>
    <t>サンリオ　スカーフ付チャームポーチVer.9</t>
    <phoneticPr fontId="2"/>
  </si>
  <si>
    <t>久留米</t>
    <rPh sb="0" eb="3">
      <t>クルメ</t>
    </rPh>
    <phoneticPr fontId="2"/>
  </si>
  <si>
    <t>日焼けキティ　キラキラマルチケース</t>
    <phoneticPr fontId="2"/>
  </si>
  <si>
    <t>カラフルメタリックミニゲーム</t>
    <phoneticPr fontId="10"/>
  </si>
  <si>
    <t>4in1急速充電ケーブル</t>
    <phoneticPr fontId="10"/>
  </si>
  <si>
    <t>充電アダプター</t>
    <phoneticPr fontId="10"/>
  </si>
  <si>
    <t>3/1出荷</t>
    <rPh sb="3" eb="5">
      <t>シュッカ</t>
    </rPh>
    <phoneticPr fontId="2"/>
  </si>
  <si>
    <t>3/2出荷</t>
    <rPh sb="3" eb="5">
      <t>シュッカ</t>
    </rPh>
    <phoneticPr fontId="2"/>
  </si>
  <si>
    <t>サンリオボアミニポーチ新柄</t>
    <rPh sb="11" eb="13">
      <t>シンガラ</t>
    </rPh>
    <phoneticPr fontId="10"/>
  </si>
  <si>
    <t>下記追記</t>
    <rPh sb="0" eb="2">
      <t>カキ</t>
    </rPh>
    <rPh sb="2" eb="4">
      <t>ツイキ</t>
    </rPh>
    <phoneticPr fontId="2"/>
  </si>
  <si>
    <t>3in1巻き取り式急速充電ケーブル</t>
  </si>
  <si>
    <t>ミニチュア香水オールアマティアス</t>
  </si>
  <si>
    <t>3/12出荷</t>
    <rPh sb="4" eb="6">
      <t>シュッカ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</si>
</sst>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28"/>
      <color theme="1"/>
      <name val="HGPｺﾞｼｯｸE"/>
      <family val="3"/>
      <charset val="128"/>
    </font>
    <font>
      <sz val="20"/>
      <color theme="1"/>
      <name val="HGPｺﾞｼｯｸE"/>
      <family val="3"/>
      <charset val="128"/>
    </font>
    <font>
      <sz val="14"/>
      <name val="HG丸ｺﾞｼｯｸM-PRO"/>
      <family val="3"/>
      <charset val="128"/>
    </font>
    <font>
      <sz val="6"/>
      <name val="ＭＳ Ｐゴシック"/>
      <family val="3"/>
      <charset val="128"/>
    </font>
    <font>
      <sz val="12"/>
      <name val="HG丸ｺﾞｼｯｸM-PRO"/>
      <family val="3"/>
      <charset val="128"/>
    </font>
    <font>
      <sz val="20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0" borderId="0" xfId="2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38" fontId="12" fillId="0" borderId="2" xfId="1" applyFont="1" applyFill="1" applyBorder="1" applyAlignment="1">
      <alignment horizontal="center" vertical="center" shrinkToFit="1"/>
    </xf>
    <xf numFmtId="38" fontId="5" fillId="3" borderId="2" xfId="1" applyFont="1" applyFill="1" applyBorder="1" applyAlignment="1">
      <alignment horizontal="right" shrinkToFit="1"/>
    </xf>
    <xf numFmtId="38" fontId="5" fillId="0" borderId="2" xfId="1" applyFont="1" applyBorder="1" applyAlignment="1">
      <alignment horizontal="left" shrinkToFit="1"/>
    </xf>
    <xf numFmtId="38" fontId="5" fillId="0" borderId="2" xfId="1" applyFont="1" applyBorder="1" applyAlignment="1">
      <alignment horizontal="right" shrinkToFit="1"/>
    </xf>
    <xf numFmtId="0" fontId="5" fillId="4" borderId="2" xfId="0" applyFont="1" applyFill="1" applyBorder="1" applyAlignment="1">
      <alignment horizontal="left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/>
    </xf>
    <xf numFmtId="0" fontId="5" fillId="4" borderId="5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  <xf numFmtId="38" fontId="12" fillId="4" borderId="2" xfId="1" applyFont="1" applyFill="1" applyBorder="1" applyAlignment="1">
      <alignment horizontal="center" vertical="center" shrinkToFit="1"/>
    </xf>
    <xf numFmtId="38" fontId="5" fillId="4" borderId="2" xfId="1" applyFont="1" applyFill="1" applyBorder="1" applyAlignment="1">
      <alignment horizontal="left" shrinkToFit="1"/>
    </xf>
    <xf numFmtId="0" fontId="11" fillId="3" borderId="2" xfId="0" applyFont="1" applyFill="1" applyBorder="1" applyAlignment="1">
      <alignment vertical="center" shrinkToFit="1"/>
    </xf>
    <xf numFmtId="0" fontId="7" fillId="0" borderId="0" xfId="2" applyFont="1" applyAlignment="1">
      <alignment horizontal="center" vertical="center"/>
    </xf>
    <xf numFmtId="58" fontId="9" fillId="0" borderId="0" xfId="0" applyNumberFormat="1" applyFont="1" applyAlignment="1">
      <alignment horizontal="left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</cellXfs>
  <cellStyles count="3">
    <cellStyle name="桁区切り" xfId="1" builtinId="6"/>
    <cellStyle name="標準" xfId="0" builtinId="0"/>
    <cellStyle name="標準 3" xfId="2" xr:uid="{3872DA19-E449-4CC9-807E-F782FADE6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CCB1-D2F6-46B5-BF1A-E3C3697E497E}">
  <dimension ref="A1:I22"/>
  <sheetViews>
    <sheetView tabSelected="1" topLeftCell="A6" workbookViewId="0">
      <selection activeCell="M16" sqref="M16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46096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28" t="s">
        <v>24</v>
      </c>
      <c r="B7" s="13">
        <v>1</v>
      </c>
      <c r="C7" s="14" t="s">
        <v>3</v>
      </c>
      <c r="D7" s="15">
        <v>111</v>
      </c>
      <c r="E7" s="16">
        <v>950</v>
      </c>
      <c r="F7" s="17">
        <f>B7*D7*E7</f>
        <v>105450</v>
      </c>
      <c r="G7" s="18">
        <f t="shared" ref="G7:G17" si="0">SUM(F7*1.1)</f>
        <v>115995.00000000001</v>
      </c>
      <c r="H7" s="19" t="s">
        <v>26</v>
      </c>
      <c r="I7" s="19" t="s">
        <v>18</v>
      </c>
    </row>
    <row r="8" spans="1:9" x14ac:dyDescent="0.25">
      <c r="A8" s="28" t="s">
        <v>36</v>
      </c>
      <c r="B8" s="13">
        <v>2</v>
      </c>
      <c r="C8" s="14" t="s">
        <v>3</v>
      </c>
      <c r="D8" s="15">
        <v>60</v>
      </c>
      <c r="E8" s="16">
        <v>1000</v>
      </c>
      <c r="F8" s="17">
        <f>B8*D8*E8</f>
        <v>120000</v>
      </c>
      <c r="G8" s="18">
        <f t="shared" si="0"/>
        <v>132000</v>
      </c>
      <c r="H8" s="19" t="s">
        <v>26</v>
      </c>
      <c r="I8" s="19" t="s">
        <v>37</v>
      </c>
    </row>
    <row r="9" spans="1:9" x14ac:dyDescent="0.25">
      <c r="A9" s="28" t="s">
        <v>46</v>
      </c>
      <c r="B9" s="13">
        <v>5</v>
      </c>
      <c r="C9" s="14" t="s">
        <v>3</v>
      </c>
      <c r="D9" s="15">
        <v>50</v>
      </c>
      <c r="E9" s="16">
        <v>800</v>
      </c>
      <c r="F9" s="17">
        <f t="shared" ref="F9" si="1">B9*D9*E9</f>
        <v>200000</v>
      </c>
      <c r="G9" s="18">
        <f t="shared" si="0"/>
        <v>220000.00000000003</v>
      </c>
      <c r="H9" s="19" t="s">
        <v>47</v>
      </c>
      <c r="I9" s="19" t="s">
        <v>48</v>
      </c>
    </row>
    <row r="10" spans="1:9" x14ac:dyDescent="0.25">
      <c r="A10" s="28" t="s">
        <v>49</v>
      </c>
      <c r="B10" s="13">
        <v>2</v>
      </c>
      <c r="C10" s="14" t="s">
        <v>3</v>
      </c>
      <c r="D10" s="15">
        <v>30</v>
      </c>
      <c r="E10" s="16">
        <v>950</v>
      </c>
      <c r="F10" s="17">
        <f t="shared" ref="F10:F17" si="2">B10*D10*E10</f>
        <v>57000</v>
      </c>
      <c r="G10" s="18">
        <f t="shared" si="0"/>
        <v>62700.000000000007</v>
      </c>
      <c r="H10" s="19" t="s">
        <v>47</v>
      </c>
      <c r="I10" s="19" t="s">
        <v>48</v>
      </c>
    </row>
    <row r="11" spans="1:9" x14ac:dyDescent="0.25">
      <c r="A11" s="28" t="s">
        <v>50</v>
      </c>
      <c r="B11" s="13">
        <v>1</v>
      </c>
      <c r="C11" s="14" t="s">
        <v>3</v>
      </c>
      <c r="D11" s="15">
        <v>96</v>
      </c>
      <c r="E11" s="16">
        <v>540</v>
      </c>
      <c r="F11" s="17">
        <f t="shared" si="2"/>
        <v>51840</v>
      </c>
      <c r="G11" s="18">
        <f t="shared" si="0"/>
        <v>57024.000000000007</v>
      </c>
      <c r="H11" s="19" t="s">
        <v>51</v>
      </c>
      <c r="I11" s="19" t="s">
        <v>52</v>
      </c>
    </row>
    <row r="12" spans="1:9" x14ac:dyDescent="0.25">
      <c r="A12" s="28" t="s">
        <v>53</v>
      </c>
      <c r="B12" s="13">
        <v>1</v>
      </c>
      <c r="C12" s="14" t="s">
        <v>3</v>
      </c>
      <c r="D12" s="15">
        <v>96</v>
      </c>
      <c r="E12" s="16">
        <v>470</v>
      </c>
      <c r="F12" s="17">
        <f t="shared" si="2"/>
        <v>45120</v>
      </c>
      <c r="G12" s="18">
        <f t="shared" si="0"/>
        <v>49632.000000000007</v>
      </c>
      <c r="H12" s="19" t="s">
        <v>51</v>
      </c>
      <c r="I12" s="19" t="s">
        <v>54</v>
      </c>
    </row>
    <row r="13" spans="1:9" x14ac:dyDescent="0.25">
      <c r="A13" s="28" t="s">
        <v>55</v>
      </c>
      <c r="B13" s="13">
        <v>2</v>
      </c>
      <c r="C13" s="14" t="s">
        <v>3</v>
      </c>
      <c r="D13" s="15">
        <v>96</v>
      </c>
      <c r="E13" s="16">
        <v>560</v>
      </c>
      <c r="F13" s="17">
        <f t="shared" si="2"/>
        <v>107520</v>
      </c>
      <c r="G13" s="18">
        <f t="shared" si="0"/>
        <v>118272.00000000001</v>
      </c>
      <c r="H13" s="19" t="s">
        <v>51</v>
      </c>
      <c r="I13" s="19" t="s">
        <v>54</v>
      </c>
    </row>
    <row r="14" spans="1:9" x14ac:dyDescent="0.25">
      <c r="A14" s="12" t="s">
        <v>56</v>
      </c>
      <c r="B14" s="13">
        <v>1</v>
      </c>
      <c r="C14" s="14" t="s">
        <v>3</v>
      </c>
      <c r="D14" s="15">
        <v>192</v>
      </c>
      <c r="E14" s="16">
        <v>220</v>
      </c>
      <c r="F14" s="17">
        <f t="shared" si="2"/>
        <v>42240</v>
      </c>
      <c r="G14" s="18">
        <f t="shared" si="0"/>
        <v>46464.000000000007</v>
      </c>
      <c r="H14" s="19" t="s">
        <v>26</v>
      </c>
      <c r="I14" s="19" t="s">
        <v>54</v>
      </c>
    </row>
    <row r="15" spans="1:9" x14ac:dyDescent="0.25">
      <c r="A15" s="12" t="s">
        <v>57</v>
      </c>
      <c r="B15" s="13">
        <v>1</v>
      </c>
      <c r="C15" s="14" t="s">
        <v>3</v>
      </c>
      <c r="D15" s="15">
        <v>240</v>
      </c>
      <c r="E15" s="16">
        <v>250</v>
      </c>
      <c r="F15" s="17">
        <f t="shared" si="2"/>
        <v>60000</v>
      </c>
      <c r="G15" s="18">
        <f t="shared" si="0"/>
        <v>66000</v>
      </c>
      <c r="H15" s="19" t="s">
        <v>60</v>
      </c>
      <c r="I15" s="19" t="s">
        <v>54</v>
      </c>
    </row>
    <row r="16" spans="1:9" x14ac:dyDescent="0.25">
      <c r="A16" s="12" t="s">
        <v>58</v>
      </c>
      <c r="B16" s="13">
        <v>1</v>
      </c>
      <c r="C16" s="14" t="s">
        <v>3</v>
      </c>
      <c r="D16" s="15">
        <v>123</v>
      </c>
      <c r="E16" s="16">
        <v>260</v>
      </c>
      <c r="F16" s="17">
        <f t="shared" si="2"/>
        <v>31980</v>
      </c>
      <c r="G16" s="18">
        <f t="shared" si="0"/>
        <v>35178</v>
      </c>
      <c r="H16" s="19" t="s">
        <v>59</v>
      </c>
      <c r="I16" s="19" t="s">
        <v>54</v>
      </c>
    </row>
    <row r="17" spans="1:9" x14ac:dyDescent="0.25">
      <c r="A17" s="12" t="s">
        <v>61</v>
      </c>
      <c r="B17" s="13">
        <v>1</v>
      </c>
      <c r="C17" s="14" t="s">
        <v>3</v>
      </c>
      <c r="D17" s="15">
        <v>72</v>
      </c>
      <c r="E17" s="16">
        <v>920</v>
      </c>
      <c r="F17" s="17">
        <f t="shared" si="2"/>
        <v>66240</v>
      </c>
      <c r="G17" s="18">
        <f t="shared" si="0"/>
        <v>72864</v>
      </c>
      <c r="H17" s="19" t="s">
        <v>59</v>
      </c>
      <c r="I17" s="19" t="s">
        <v>18</v>
      </c>
    </row>
    <row r="18" spans="1:9" x14ac:dyDescent="0.25">
      <c r="A18" s="34" t="s">
        <v>62</v>
      </c>
      <c r="B18" s="13"/>
      <c r="C18" s="14"/>
      <c r="D18" s="15"/>
      <c r="E18" s="16"/>
      <c r="F18" s="17"/>
      <c r="G18" s="20"/>
      <c r="H18" s="19"/>
      <c r="I18" s="19"/>
    </row>
    <row r="19" spans="1:9" x14ac:dyDescent="0.25">
      <c r="A19" s="28" t="s">
        <v>63</v>
      </c>
      <c r="B19" s="13">
        <v>1</v>
      </c>
      <c r="C19" s="14" t="s">
        <v>3</v>
      </c>
      <c r="D19" s="15">
        <v>240</v>
      </c>
      <c r="E19" s="16">
        <v>260</v>
      </c>
      <c r="F19" s="17">
        <f t="shared" ref="F19" si="3">B19*D19*E19</f>
        <v>62400</v>
      </c>
      <c r="G19" s="18">
        <f t="shared" ref="G19" si="4">SUM(F19*1.1)</f>
        <v>68640</v>
      </c>
      <c r="H19" s="19" t="s">
        <v>65</v>
      </c>
      <c r="I19" s="19" t="s">
        <v>52</v>
      </c>
    </row>
    <row r="20" spans="1:9" x14ac:dyDescent="0.25">
      <c r="A20" s="28" t="s">
        <v>64</v>
      </c>
      <c r="B20" s="13">
        <v>3</v>
      </c>
      <c r="C20" s="14" t="s">
        <v>3</v>
      </c>
      <c r="D20" s="15">
        <v>120</v>
      </c>
      <c r="E20" s="16">
        <v>370</v>
      </c>
      <c r="F20" s="17">
        <f t="shared" ref="F20" si="5">B20*D20*E20</f>
        <v>133200</v>
      </c>
      <c r="G20" s="18">
        <f t="shared" ref="G20" si="6">SUM(F20*1.1)</f>
        <v>146520</v>
      </c>
      <c r="H20" s="19" t="s">
        <v>65</v>
      </c>
      <c r="I20" s="19" t="s">
        <v>52</v>
      </c>
    </row>
    <row r="21" spans="1:9" x14ac:dyDescent="0.25">
      <c r="A21" s="12"/>
      <c r="B21" s="13"/>
      <c r="C21" s="14"/>
      <c r="D21" s="15"/>
      <c r="E21" s="16"/>
      <c r="F21" s="17"/>
      <c r="G21" s="20"/>
      <c r="H21" s="19"/>
      <c r="I21" s="19"/>
    </row>
    <row r="22" spans="1:9" x14ac:dyDescent="0.25">
      <c r="A22" s="21"/>
      <c r="B22" s="22"/>
      <c r="C22" s="23"/>
      <c r="D22" s="24"/>
      <c r="E22" s="25"/>
      <c r="F22" s="26">
        <f>SUM(F7:F21)</f>
        <v>1082990</v>
      </c>
      <c r="G22" s="26">
        <f>SUM(G7:G21)</f>
        <v>1191289</v>
      </c>
      <c r="H22" s="27"/>
      <c r="I22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1A1-9E82-443F-82EB-15DC74AEDE38}">
  <dimension ref="A1:I15"/>
  <sheetViews>
    <sheetView workbookViewId="0">
      <selection activeCell="B16" sqref="B16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46096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29</v>
      </c>
      <c r="B7" s="13">
        <v>9</v>
      </c>
      <c r="C7" s="14" t="s">
        <v>3</v>
      </c>
      <c r="D7" s="15">
        <v>72</v>
      </c>
      <c r="E7" s="16">
        <v>1000</v>
      </c>
      <c r="F7" s="17">
        <f>B7*D7*E7</f>
        <v>648000</v>
      </c>
      <c r="G7" s="18">
        <f>SUM(F7*1.1)</f>
        <v>712800</v>
      </c>
      <c r="H7" s="19" t="s">
        <v>22</v>
      </c>
      <c r="I7" s="19" t="s">
        <v>30</v>
      </c>
    </row>
    <row r="8" spans="1:9" x14ac:dyDescent="0.25">
      <c r="A8" s="28" t="s">
        <v>34</v>
      </c>
      <c r="B8" s="13">
        <v>4</v>
      </c>
      <c r="C8" s="14" t="s">
        <v>3</v>
      </c>
      <c r="D8" s="15">
        <v>120</v>
      </c>
      <c r="E8" s="16">
        <v>700</v>
      </c>
      <c r="F8" s="17">
        <f>B8*D8*E8</f>
        <v>336000</v>
      </c>
      <c r="G8" s="18">
        <f>SUM(F8*1.1)</f>
        <v>369600.00000000006</v>
      </c>
      <c r="H8" s="19" t="s">
        <v>22</v>
      </c>
      <c r="I8" s="19" t="s">
        <v>35</v>
      </c>
    </row>
    <row r="9" spans="1:9" x14ac:dyDescent="0.25">
      <c r="A9" s="28" t="s">
        <v>41</v>
      </c>
      <c r="B9" s="13">
        <v>5</v>
      </c>
      <c r="C9" s="14" t="s">
        <v>3</v>
      </c>
      <c r="D9" s="15">
        <v>36</v>
      </c>
      <c r="E9" s="16">
        <v>1000</v>
      </c>
      <c r="F9" s="17">
        <f>B9*D9*E9</f>
        <v>180000</v>
      </c>
      <c r="G9" s="18">
        <f>SUM(F9*1.1)</f>
        <v>198000.00000000003</v>
      </c>
      <c r="H9" s="19" t="s">
        <v>42</v>
      </c>
      <c r="I9" s="19" t="s">
        <v>11</v>
      </c>
    </row>
    <row r="10" spans="1:9" x14ac:dyDescent="0.25">
      <c r="A10" s="28" t="s">
        <v>25</v>
      </c>
      <c r="B10" s="13">
        <v>6</v>
      </c>
      <c r="C10" s="14" t="s">
        <v>3</v>
      </c>
      <c r="D10" s="15">
        <v>100</v>
      </c>
      <c r="E10" s="16">
        <v>850</v>
      </c>
      <c r="F10" s="17">
        <f>B10*D10*E10</f>
        <v>510000</v>
      </c>
      <c r="G10" s="18">
        <f>SUM(F10*1.1)</f>
        <v>561000</v>
      </c>
      <c r="H10" s="19" t="s">
        <v>22</v>
      </c>
      <c r="I10" s="19" t="s">
        <v>27</v>
      </c>
    </row>
    <row r="11" spans="1:9" x14ac:dyDescent="0.25">
      <c r="A11" s="28" t="s">
        <v>19</v>
      </c>
      <c r="B11" s="13">
        <v>5</v>
      </c>
      <c r="C11" s="14" t="s">
        <v>3</v>
      </c>
      <c r="D11" s="15">
        <v>72</v>
      </c>
      <c r="E11" s="16">
        <v>700</v>
      </c>
      <c r="F11" s="17">
        <f>B11*D11*E11</f>
        <v>252000</v>
      </c>
      <c r="G11" s="18">
        <f t="shared" ref="G11" si="0">SUM(F11*1.1)</f>
        <v>277200</v>
      </c>
      <c r="H11" s="19" t="s">
        <v>22</v>
      </c>
      <c r="I11" s="19" t="s">
        <v>11</v>
      </c>
    </row>
    <row r="12" spans="1:9" x14ac:dyDescent="0.25">
      <c r="A12" s="28" t="s">
        <v>20</v>
      </c>
      <c r="B12" s="13">
        <v>5</v>
      </c>
      <c r="C12" s="14" t="s">
        <v>3</v>
      </c>
      <c r="D12" s="15">
        <v>72</v>
      </c>
      <c r="E12" s="16">
        <v>750</v>
      </c>
      <c r="F12" s="17">
        <f t="shared" ref="F12" si="1">B12*D12*E12</f>
        <v>270000</v>
      </c>
      <c r="G12" s="18">
        <f>SUM(F12*1.1)</f>
        <v>297000</v>
      </c>
      <c r="H12" s="19" t="s">
        <v>22</v>
      </c>
      <c r="I12" s="19" t="s">
        <v>11</v>
      </c>
    </row>
    <row r="13" spans="1:9" x14ac:dyDescent="0.25">
      <c r="A13" s="28" t="s">
        <v>21</v>
      </c>
      <c r="B13" s="13">
        <v>5</v>
      </c>
      <c r="C13" s="14" t="s">
        <v>3</v>
      </c>
      <c r="D13" s="15">
        <v>72</v>
      </c>
      <c r="E13" s="16">
        <v>750</v>
      </c>
      <c r="F13" s="17">
        <f>B13*D13*E13</f>
        <v>270000</v>
      </c>
      <c r="G13" s="18">
        <f>SUM(F13*1.1)</f>
        <v>297000</v>
      </c>
      <c r="H13" s="19" t="s">
        <v>23</v>
      </c>
      <c r="I13" s="19" t="s">
        <v>11</v>
      </c>
    </row>
    <row r="14" spans="1:9" x14ac:dyDescent="0.25">
      <c r="A14" s="12"/>
      <c r="B14" s="13"/>
      <c r="C14" s="14"/>
      <c r="D14" s="15"/>
      <c r="E14" s="16"/>
      <c r="F14" s="17"/>
      <c r="G14" s="20"/>
      <c r="H14" s="19"/>
      <c r="I14" s="19"/>
    </row>
    <row r="15" spans="1:9" x14ac:dyDescent="0.25">
      <c r="A15" s="21"/>
      <c r="B15" s="22"/>
      <c r="C15" s="23"/>
      <c r="D15" s="24"/>
      <c r="E15" s="25"/>
      <c r="F15" s="26">
        <f>SUM(F7:F14)</f>
        <v>2466000</v>
      </c>
      <c r="G15" s="26">
        <f>SUM(G7:G14)</f>
        <v>2712600</v>
      </c>
      <c r="H15" s="27"/>
      <c r="I15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6615-F34E-4AC9-A2FE-80832997F764}">
  <dimension ref="A1:I16"/>
  <sheetViews>
    <sheetView workbookViewId="0">
      <selection activeCell="A11" sqref="A11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46096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6</v>
      </c>
      <c r="B7" s="13">
        <v>5</v>
      </c>
      <c r="C7" s="14" t="s">
        <v>3</v>
      </c>
      <c r="D7" s="15">
        <v>100</v>
      </c>
      <c r="E7" s="16">
        <v>1000</v>
      </c>
      <c r="F7" s="17">
        <f>B7*D7*E7</f>
        <v>500000</v>
      </c>
      <c r="G7" s="18">
        <f>SUM(F7*1.1)</f>
        <v>550000</v>
      </c>
      <c r="H7" s="19" t="s">
        <v>10</v>
      </c>
      <c r="I7" s="19" t="s">
        <v>16</v>
      </c>
    </row>
    <row r="8" spans="1:9" x14ac:dyDescent="0.25">
      <c r="A8" s="12" t="s">
        <v>15</v>
      </c>
      <c r="B8" s="13">
        <v>5</v>
      </c>
      <c r="C8" s="14" t="s">
        <v>3</v>
      </c>
      <c r="D8" s="15"/>
      <c r="E8" s="16">
        <v>1000</v>
      </c>
      <c r="F8" s="17">
        <v>5000</v>
      </c>
      <c r="G8" s="18">
        <f>SUM(F8*1.1)</f>
        <v>5500</v>
      </c>
      <c r="H8" s="19"/>
      <c r="I8" s="19"/>
    </row>
    <row r="9" spans="1:9" x14ac:dyDescent="0.25">
      <c r="A9" s="12" t="s">
        <v>7</v>
      </c>
      <c r="B9" s="13">
        <v>6</v>
      </c>
      <c r="C9" s="14" t="s">
        <v>3</v>
      </c>
      <c r="D9" s="15">
        <v>72</v>
      </c>
      <c r="E9" s="16">
        <v>1000</v>
      </c>
      <c r="F9" s="17">
        <f>B9*D9*E9</f>
        <v>432000</v>
      </c>
      <c r="G9" s="18">
        <f t="shared" ref="G9" si="0">SUM(F9*1.1)</f>
        <v>475200.00000000006</v>
      </c>
      <c r="H9" s="19" t="s">
        <v>10</v>
      </c>
      <c r="I9" s="19" t="s">
        <v>17</v>
      </c>
    </row>
    <row r="10" spans="1:9" x14ac:dyDescent="0.25">
      <c r="A10" s="12" t="s">
        <v>8</v>
      </c>
      <c r="B10" s="13">
        <v>4</v>
      </c>
      <c r="C10" s="14" t="s">
        <v>3</v>
      </c>
      <c r="D10" s="15">
        <v>120</v>
      </c>
      <c r="E10" s="16">
        <v>700</v>
      </c>
      <c r="F10" s="17">
        <f t="shared" ref="F10" si="1">B10*D10*E10</f>
        <v>336000</v>
      </c>
      <c r="G10" s="18">
        <f>SUM(F10*1.1)</f>
        <v>369600.00000000006</v>
      </c>
      <c r="H10" s="19" t="s">
        <v>10</v>
      </c>
      <c r="I10" s="19" t="s">
        <v>35</v>
      </c>
    </row>
    <row r="11" spans="1:9" x14ac:dyDescent="0.25">
      <c r="A11" s="12" t="s">
        <v>9</v>
      </c>
      <c r="B11" s="13">
        <v>5</v>
      </c>
      <c r="C11" s="14" t="s">
        <v>3</v>
      </c>
      <c r="D11" s="15">
        <v>144</v>
      </c>
      <c r="E11" s="16">
        <v>360</v>
      </c>
      <c r="F11" s="17">
        <f>B11*D11*E11</f>
        <v>259200</v>
      </c>
      <c r="G11" s="18">
        <f>SUM(F11*1.1)</f>
        <v>285120</v>
      </c>
      <c r="H11" s="19" t="s">
        <v>10</v>
      </c>
      <c r="I11" s="19" t="s">
        <v>11</v>
      </c>
    </row>
    <row r="12" spans="1:9" x14ac:dyDescent="0.25">
      <c r="A12" s="12" t="s">
        <v>29</v>
      </c>
      <c r="B12" s="13">
        <v>9</v>
      </c>
      <c r="C12" s="14" t="s">
        <v>3</v>
      </c>
      <c r="D12" s="15">
        <v>72</v>
      </c>
      <c r="E12" s="16">
        <v>1000</v>
      </c>
      <c r="F12" s="17">
        <f>B12*D12*E12</f>
        <v>648000</v>
      </c>
      <c r="G12" s="18">
        <f>SUM(F12*1.1)</f>
        <v>712800</v>
      </c>
      <c r="H12" s="19" t="s">
        <v>31</v>
      </c>
      <c r="I12" s="19" t="s">
        <v>30</v>
      </c>
    </row>
    <row r="13" spans="1:9" x14ac:dyDescent="0.25">
      <c r="A13" s="28" t="s">
        <v>38</v>
      </c>
      <c r="B13" s="13">
        <v>4</v>
      </c>
      <c r="C13" s="14" t="s">
        <v>3</v>
      </c>
      <c r="D13" s="15">
        <v>96</v>
      </c>
      <c r="E13" s="16">
        <v>600</v>
      </c>
      <c r="F13" s="17">
        <f>B13*D13*E13</f>
        <v>230400</v>
      </c>
      <c r="G13" s="18">
        <f t="shared" ref="G13" si="2">SUM(F13*1.1)</f>
        <v>253440.00000000003</v>
      </c>
      <c r="H13" s="19" t="s">
        <v>39</v>
      </c>
      <c r="I13" s="19" t="s">
        <v>35</v>
      </c>
    </row>
    <row r="14" spans="1:9" x14ac:dyDescent="0.25">
      <c r="A14" s="28" t="s">
        <v>40</v>
      </c>
      <c r="B14" s="13">
        <v>4</v>
      </c>
      <c r="C14" s="14" t="s">
        <v>3</v>
      </c>
      <c r="D14" s="15">
        <v>144</v>
      </c>
      <c r="E14" s="16">
        <v>420</v>
      </c>
      <c r="F14" s="17">
        <f t="shared" ref="F14" si="3">B14*D14*E14</f>
        <v>241920</v>
      </c>
      <c r="G14" s="18">
        <f>SUM(F14*1.1)</f>
        <v>266112</v>
      </c>
      <c r="H14" s="19" t="s">
        <v>39</v>
      </c>
      <c r="I14" s="19" t="s">
        <v>35</v>
      </c>
    </row>
    <row r="15" spans="1:9" x14ac:dyDescent="0.25">
      <c r="A15" s="12"/>
      <c r="B15" s="13"/>
      <c r="C15" s="14"/>
      <c r="D15" s="15"/>
      <c r="E15" s="16"/>
      <c r="F15" s="17"/>
      <c r="G15" s="20"/>
      <c r="H15" s="19"/>
      <c r="I15" s="19"/>
    </row>
    <row r="16" spans="1:9" x14ac:dyDescent="0.25">
      <c r="A16" s="21"/>
      <c r="B16" s="22"/>
      <c r="C16" s="23"/>
      <c r="D16" s="24"/>
      <c r="E16" s="25"/>
      <c r="F16" s="26">
        <f>SUM(F7:F15)</f>
        <v>2652520</v>
      </c>
      <c r="G16" s="26">
        <f>SUM(G7:G15)</f>
        <v>2917772</v>
      </c>
      <c r="H16" s="27"/>
      <c r="I16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1D23-1DD1-430A-9857-DD524006C365}">
  <dimension ref="A1:I11"/>
  <sheetViews>
    <sheetView workbookViewId="0">
      <selection activeCell="G13" sqref="G13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46096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5</v>
      </c>
      <c r="B7" s="13">
        <v>5</v>
      </c>
      <c r="C7" s="14" t="s">
        <v>3</v>
      </c>
      <c r="D7" s="15">
        <v>72</v>
      </c>
      <c r="E7" s="16">
        <v>900</v>
      </c>
      <c r="F7" s="17">
        <f>B7*D7*E7</f>
        <v>324000</v>
      </c>
      <c r="G7" s="18">
        <f>SUM(F7*1.1)</f>
        <v>356400</v>
      </c>
      <c r="H7" s="19" t="s">
        <v>32</v>
      </c>
      <c r="I7" s="19" t="s">
        <v>11</v>
      </c>
    </row>
    <row r="8" spans="1:9" x14ac:dyDescent="0.25">
      <c r="A8" s="12" t="s">
        <v>29</v>
      </c>
      <c r="B8" s="13">
        <v>7</v>
      </c>
      <c r="C8" s="14" t="s">
        <v>3</v>
      </c>
      <c r="D8" s="15">
        <v>72</v>
      </c>
      <c r="E8" s="16">
        <v>1000</v>
      </c>
      <c r="F8" s="17">
        <f>B8*D8*E8</f>
        <v>504000</v>
      </c>
      <c r="G8" s="18">
        <f>SUM(F8*1.1)</f>
        <v>554400</v>
      </c>
      <c r="H8" s="19" t="s">
        <v>32</v>
      </c>
      <c r="I8" s="19" t="s">
        <v>33</v>
      </c>
    </row>
    <row r="9" spans="1:9" x14ac:dyDescent="0.25">
      <c r="A9" s="28" t="s">
        <v>43</v>
      </c>
      <c r="B9" s="13">
        <v>6</v>
      </c>
      <c r="C9" s="14" t="s">
        <v>3</v>
      </c>
      <c r="D9" s="15">
        <v>72</v>
      </c>
      <c r="E9" s="16">
        <v>1000</v>
      </c>
      <c r="F9" s="17">
        <f>B9*D9*E9</f>
        <v>432000</v>
      </c>
      <c r="G9" s="18">
        <f t="shared" ref="G9" si="0">SUM(F9*1.1)</f>
        <v>475200.00000000006</v>
      </c>
      <c r="H9" s="19" t="s">
        <v>44</v>
      </c>
      <c r="I9" s="19" t="s">
        <v>45</v>
      </c>
    </row>
    <row r="10" spans="1:9" x14ac:dyDescent="0.25">
      <c r="A10" s="12"/>
      <c r="B10" s="13"/>
      <c r="C10" s="14"/>
      <c r="D10" s="15"/>
      <c r="E10" s="16"/>
      <c r="F10" s="17"/>
      <c r="G10" s="20"/>
      <c r="H10" s="19"/>
      <c r="I10" s="19"/>
    </row>
    <row r="11" spans="1:9" x14ac:dyDescent="0.25">
      <c r="A11" s="21"/>
      <c r="B11" s="22"/>
      <c r="C11" s="23"/>
      <c r="D11" s="24"/>
      <c r="E11" s="25"/>
      <c r="F11" s="26">
        <f>SUM(F7:F10)</f>
        <v>1260000</v>
      </c>
      <c r="G11" s="26">
        <f>SUM(G7:G10)</f>
        <v>1386000</v>
      </c>
      <c r="H11" s="27"/>
      <c r="I11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3月</vt:lpstr>
      <vt:lpstr>4月</vt:lpstr>
      <vt:lpstr>5月</vt:lpstr>
      <vt:lpstr>6月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株式会社キャンディトイズ</dc:creator>
  <cp:lastModifiedBy>株式会社キャンディトイズ</cp:lastModifiedBy>
  <dcterms:created xsi:type="dcterms:W3CDTF">2025-06-20T07:49:37Z</dcterms:created>
  <dcterms:modified xsi:type="dcterms:W3CDTF">2026-03-15T02:50:16Z</dcterms:modified>
</cp:coreProperties>
</file>